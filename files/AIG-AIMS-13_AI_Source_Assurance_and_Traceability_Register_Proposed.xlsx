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Source Assurance Register" sheetId="2" state="visible" r:id="rId2"/>
    <sheet xmlns:r="http://schemas.openxmlformats.org/officeDocument/2006/relationships" name="Lists &amp; Guidance" sheetId="3" state="visible" r:id="rId3"/>
    <sheet xmlns:r="http://schemas.openxmlformats.org/officeDocument/2006/relationships" name="INTEGRATION INV-04 DEC-04" sheetId="4" state="visible" r:id="rId4"/>
    <sheet xmlns:r="http://schemas.openxmlformats.org/officeDocument/2006/relationships" name="STANDARDS SCOPE QA" sheetId="5" state="visible" r:id="rId5"/>
    <sheet xmlns:r="http://schemas.openxmlformats.org/officeDocument/2006/relationships" name="MAP &amp; SPLIT CONTRACT" sheetId="6" state="visible" r:id="rId6"/>
  </sheets>
  <definedNames>
    <definedName name="SpecialistList" hidden="0" function="0" vbProcedure="0">'Lists &amp; Guidance'!$A$11:$A$29</definedName>
    <definedName name="StatusList" hidden="0" function="0" vbProcedure="0">'Lists &amp; Guidance'!$A$41:$A$45</definedName>
    <definedName name="_xlnm._FilterDatabase" localSheetId="3" hidden="1">'INTEGRATION INV-04 DEC-04'!$A$5:$H$13</definedName>
    <definedName name="_xlnm._FilterDatabase" localSheetId="4" hidden="1">'STANDARDS SCOPE QA'!$A$2:$E$5</definedName>
  </definedNames>
</workbook>
</file>

<file path=xl/styles.xml><?xml version="1.0" encoding="utf-8"?>
<styleSheet xmlns="http://schemas.openxmlformats.org/spreadsheetml/2006/main">
  <numFmts count="1">
    <numFmt numFmtId="164" formatCode="dd/mm/yyyy"/>
  </numFmts>
  <fonts count="21">
    <font>
      <name val="Arial"/>
      <sz val="10"/>
    </font>
    <font>
      <name val="Arial"/>
      <sz val="10"/>
    </font>
    <font>
      <name val="Arial"/>
      <sz val="10"/>
    </font>
    <font>
      <name val="Arial"/>
      <sz val="10"/>
    </font>
    <font>
      <name val="Arial"/>
      <b val="1"/>
      <color rgb="FFFFFFFF"/>
      <sz val="14"/>
    </font>
    <font>
      <name val="Arial"/>
      <i val="1"/>
      <color rgb="FF17212B"/>
      <sz val="9"/>
    </font>
    <font>
      <name val="Arial"/>
      <color rgb="FF17212B"/>
      <sz val="10"/>
    </font>
    <font>
      <name val="Arial"/>
      <color theme="1"/>
      <sz val="11"/>
    </font>
    <font>
      <name val="Arial"/>
      <b val="1"/>
      <color rgb="FFFFFFFF"/>
      <sz val="10"/>
    </font>
    <font>
      <name val="Arial"/>
      <b val="1"/>
      <color rgb="FF17212B"/>
      <sz val="10"/>
    </font>
    <font>
      <name val="Arial"/>
      <b val="1"/>
      <color rgb="FF17212B"/>
      <sz val="11"/>
    </font>
    <font>
      <name val="Arial"/>
      <i val="1"/>
      <color rgb="FF999999"/>
      <sz val="8"/>
    </font>
    <font>
      <b val="1"/>
      <color rgb="00FFFFFF"/>
      <sz val="13"/>
    </font>
    <font>
      <i val="1"/>
      <sz val="10"/>
    </font>
    <font>
      <b val="1"/>
      <color rgb="0017365D"/>
    </font>
    <font>
      <sz val="10"/>
    </font>
    <font>
      <name val="Calibri"/>
      <family val="2"/>
      <color theme="10"/>
      <sz val="12"/>
      <scheme val="minor"/>
    </font>
    <font>
      <b val="1"/>
      <color rgb="00FFFFFF"/>
    </font>
    <font>
      <name val="Aptos Display"/>
      <b val="1"/>
      <color rgb="0017324F"/>
      <sz val="16"/>
    </font>
    <font>
      <name val="Aptos"/>
      <b val="1"/>
      <color rgb="0017324F"/>
      <sz val="11"/>
    </font>
    <font>
      <name val="Aptos"/>
      <color rgb="0017324F"/>
      <sz val="11"/>
    </font>
  </fonts>
  <fills count="11">
    <fill>
      <patternFill/>
    </fill>
    <fill>
      <patternFill patternType="gray125"/>
    </fill>
    <fill>
      <patternFill patternType="solid">
        <fgColor rgb="FF0B2848"/>
      </patternFill>
    </fill>
    <fill>
      <patternFill patternType="solid">
        <fgColor rgb="FFFFF8E1"/>
      </patternFill>
    </fill>
    <fill>
      <patternFill patternType="solid">
        <fgColor rgb="0017365D"/>
      </patternFill>
    </fill>
    <fill>
      <patternFill patternType="solid">
        <fgColor rgb="00F2F2F2"/>
      </patternFill>
    </fill>
    <fill>
      <patternFill patternType="solid">
        <fgColor rgb="00D9EAF7"/>
      </patternFill>
    </fill>
    <fill>
      <patternFill patternType="solid">
        <fgColor rgb="00F7FAFC"/>
      </patternFill>
    </fill>
    <fill>
      <patternFill patternType="solid">
        <fgColor rgb="0017354F"/>
      </patternFill>
    </fill>
    <fill>
      <patternFill patternType="solid">
        <fgColor rgb="00EAF4F3"/>
      </patternFill>
    </fill>
    <fill>
      <patternFill patternType="solid">
        <fgColor rgb="00F5F9FA"/>
      </patternFill>
    </fill>
  </fills>
  <borders count="3">
    <border/>
    <border>
      <left style="thin">
        <color rgb="FFBFBFBF"/>
      </left>
      <right style="thin">
        <color rgb="FFBFBFBF"/>
      </right>
      <top style="thin">
        <color rgb="FFBFBFBF"/>
      </top>
      <bottom style="thin">
        <color rgb="FFBFBFBF"/>
      </bottom>
    </border>
    <border>
      <left/>
      <right/>
      <top/>
      <bottom/>
      <diagonal/>
    </border>
  </borders>
  <cellStyleXfs count="7">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16" fillId="0" borderId="2"/>
  </cellStyleXfs>
  <cellXfs count="48">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0" applyAlignment="1" pivotButton="0" quotePrefix="0" xfId="0">
      <alignment horizontal="general" vertical="center" wrapText="1"/>
    </xf>
    <xf numFmtId="0" fontId="6" fillId="0" borderId="0" applyAlignment="1" pivotButton="0" quotePrefix="0" xfId="0">
      <alignment horizontal="general" vertical="center" wrapText="1"/>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9"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0" borderId="1" applyAlignment="1" pivotButton="0" quotePrefix="0" xfId="0">
      <alignment horizontal="center" vertical="center"/>
    </xf>
    <xf numFmtId="0" fontId="10" fillId="0" borderId="0" applyAlignment="1" pivotButton="0" quotePrefix="0" xfId="0">
      <alignment horizontal="general" vertical="bottom"/>
    </xf>
    <xf numFmtId="0" fontId="8" fillId="2" borderId="1" applyAlignment="1" pivotButton="0" quotePrefix="0" xfId="0">
      <alignment horizontal="center" vertical="center" wrapText="1"/>
    </xf>
    <xf numFmtId="164" fontId="6" fillId="0" borderId="1" applyAlignment="1" pivotButton="0" quotePrefix="0" xfId="0">
      <alignment horizontal="general" vertical="top" wrapText="1"/>
    </xf>
    <xf numFmtId="0" fontId="4" fillId="2" borderId="0" applyAlignment="1" pivotButton="0" quotePrefix="0" xfId="0">
      <alignment horizontal="general" vertical="center"/>
    </xf>
    <xf numFmtId="0" fontId="6" fillId="0" borderId="1" applyAlignment="1" pivotButton="0" quotePrefix="0" xfId="0">
      <alignment horizontal="general" vertical="bottom"/>
    </xf>
    <xf numFmtId="0" fontId="6" fillId="0" borderId="0" applyAlignment="1" pivotButton="0" quotePrefix="0" xfId="0">
      <alignment horizontal="general" vertical="top" wrapText="1"/>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0" applyAlignment="1" pivotButton="0" quotePrefix="0" xfId="0">
      <alignment horizontal="general" vertical="center" wrapText="1"/>
    </xf>
    <xf numFmtId="0" fontId="6" fillId="0" borderId="0" applyAlignment="1" pivotButton="0" quotePrefix="0" xfId="0">
      <alignment horizontal="general" vertical="center" wrapText="1"/>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9"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0" borderId="1" applyAlignment="1" pivotButton="0" quotePrefix="0" xfId="0">
      <alignment horizontal="center" vertical="center"/>
    </xf>
    <xf numFmtId="0" fontId="10" fillId="0" borderId="0" applyAlignment="1" pivotButton="0" quotePrefix="0" xfId="0">
      <alignment horizontal="general" vertical="bottom"/>
    </xf>
    <xf numFmtId="0" fontId="8" fillId="2" borderId="1" applyAlignment="1" pivotButton="0" quotePrefix="0" xfId="0">
      <alignment horizontal="center" vertical="center" wrapText="1"/>
    </xf>
    <xf numFmtId="164" fontId="6" fillId="0" borderId="1" applyAlignment="1" pivotButton="0" quotePrefix="0" xfId="0">
      <alignment horizontal="general" vertical="top" wrapText="1"/>
    </xf>
    <xf numFmtId="0" fontId="4" fillId="2" borderId="0" applyAlignment="1" pivotButton="0" quotePrefix="0" xfId="0">
      <alignment horizontal="general" vertical="center"/>
    </xf>
    <xf numFmtId="0" fontId="6" fillId="0" borderId="1" applyAlignment="1" pivotButton="0" quotePrefix="0" xfId="0">
      <alignment horizontal="general" vertical="bottom"/>
    </xf>
    <xf numFmtId="0" fontId="6" fillId="0" borderId="0" applyAlignment="1" pivotButton="0" quotePrefix="0" xfId="0">
      <alignment horizontal="general" vertical="top" wrapText="1"/>
    </xf>
    <xf numFmtId="0" fontId="11" fillId="0" borderId="0" applyAlignment="1" pivotButton="0" quotePrefix="0" xfId="0">
      <alignment horizontal="general" vertical="bottom"/>
    </xf>
    <xf numFmtId="0" fontId="12" fillId="4" borderId="0" applyAlignment="1" pivotButton="0" quotePrefix="0" xfId="0">
      <alignment vertical="top" wrapText="1"/>
    </xf>
    <xf numFmtId="0" fontId="13" fillId="5" borderId="0" applyAlignment="1" pivotButton="0" quotePrefix="0" xfId="0">
      <alignment vertical="top" wrapText="1"/>
    </xf>
    <xf numFmtId="0" fontId="14" fillId="6" borderId="0" applyAlignment="1" pivotButton="0" quotePrefix="0" xfId="0">
      <alignment vertical="top" wrapText="1"/>
    </xf>
    <xf numFmtId="0" fontId="15" fillId="7" borderId="0" applyAlignment="1" pivotButton="0" quotePrefix="0" xfId="0">
      <alignment vertical="top" wrapText="1"/>
    </xf>
    <xf numFmtId="0" fontId="15" fillId="0" borderId="0" applyAlignment="1" pivotButton="0" quotePrefix="0" xfId="0">
      <alignment vertical="top" wrapText="1"/>
    </xf>
    <xf numFmtId="0" fontId="16" fillId="0" borderId="2" pivotButton="0" quotePrefix="0" xfId="6"/>
    <xf numFmtId="0" fontId="17" fillId="8" borderId="0" pivotButton="0" quotePrefix="0" xfId="0"/>
    <xf numFmtId="0" fontId="0" fillId="0" borderId="0" applyAlignment="1" pivotButton="0" quotePrefix="0" xfId="0">
      <alignment vertical="top" wrapText="1"/>
    </xf>
    <xf numFmtId="0" fontId="18" fillId="0" borderId="0" pivotButton="0" quotePrefix="0" xfId="0"/>
    <xf numFmtId="0" fontId="19" fillId="9" borderId="0" applyAlignment="1" pivotButton="0" quotePrefix="0" xfId="0">
      <alignment vertical="top" wrapText="1"/>
    </xf>
    <xf numFmtId="0" fontId="20" fillId="9" borderId="0" applyAlignment="1" pivotButton="0" quotePrefix="0" xfId="0">
      <alignment vertical="top" wrapText="1"/>
    </xf>
    <xf numFmtId="0" fontId="19" fillId="10" borderId="0" applyAlignment="1" pivotButton="0" quotePrefix="0" xfId="0">
      <alignment vertical="top" wrapText="1"/>
    </xf>
    <xf numFmtId="0" fontId="20" fillId="10" borderId="0" applyAlignment="1" pivotButton="0" quotePrefix="0" xfId="0">
      <alignment vertical="top" wrapText="1"/>
    </xf>
    <xf numFmtId="0" fontId="3" fillId="0" borderId="0" pivotButton="0" quotePrefix="0" xfId="0"/>
    <xf numFmtId="0" fontId="3" fillId="0" borderId="0" applyAlignment="1" pivotButton="0" quotePrefix="0" xfId="0">
      <alignment horizontal="general" vertical="bottom"/>
    </xf>
  </cellXfs>
  <cellStyles count="7">
    <cellStyle name="Normal" xfId="0"/>
    <cellStyle name="Comma" xfId="1"/>
    <cellStyle name="Comma [0]" xfId="2"/>
    <cellStyle name="Currency" xfId="3"/>
    <cellStyle name="Currency [0]" xfId="4"/>
    <cellStyle name="Percent" xfId="5"/>
    <cellStyle name="Hyperlink" xfId="6" builtinId="8" hidden="0"/>
  </cellStyles>
  <dxfs count="2">
    <dxf>
      <font>
        <color rgb="FF9C0006"/>
      </font>
      <fill>
        <patternFill patternType="solid">
          <fgColor rgb="FFF4CCCC"/>
        </patternFill>
      </fill>
    </dxf>
    <dxf>
      <fill>
        <patternFill patternType="solid">
          <f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B2848"/>
      <rgbColor rgb="FF339966"/>
      <rgbColor rgb="FF003300"/>
      <rgbColor rgb="FF333300"/>
      <rgbColor rgb="FF993300"/>
      <rgbColor rgb="FF993366"/>
      <rgbColor rgb="FF333399"/>
      <rgbColor rgb="FF1721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www.legislation.gov.uk/eur/2016/679/contents" TargetMode="External" Id="rId1"/><Relationship Type="http://schemas.openxmlformats.org/officeDocument/2006/relationships/hyperlink" Target="https://www.legislation.gov.uk/ukpga/2018/12/contents" TargetMode="External" Id="rId2"/><Relationship Type="http://schemas.openxmlformats.org/officeDocument/2006/relationships/hyperlink" Target="https://www.legislation.gov.uk/ukpga/2025/18/contents" TargetMode="External" Id="rId3"/><Relationship Type="http://schemas.openxmlformats.org/officeDocument/2006/relationships/hyperlink" Target="https://www.legislation.gov.uk/ukpga/2010/15/contents" TargetMode="External" Id="rId4"/><Relationship Type="http://schemas.openxmlformats.org/officeDocument/2006/relationships/hyperlink" Target="https://www.legislation.gov.uk/ukpga/1998/42/contents" TargetMode="External" Id="rId5"/><Relationship Type="http://schemas.openxmlformats.org/officeDocument/2006/relationships/hyperlink" Target="https://www.legislation.gov.uk/ukpga/2023/54/contents" TargetMode="External" Id="rId6"/><Relationship Type="http://schemas.openxmlformats.org/officeDocument/2006/relationships/hyperlink" Target="https://www.legislation.gov.uk/uksi/2024/692/contents" TargetMode="External" Id="rId7"/><Relationship Type="http://schemas.openxmlformats.org/officeDocument/2006/relationships/hyperlink" Target="https://eur-lex.europa.eu/legal-content/EN/TXT/HTML?uri=CELEX:02024R1689-20260727" TargetMode="External" Id="rId8"/><Relationship Type="http://schemas.openxmlformats.org/officeDocument/2006/relationships/hyperlink" Target="https://eur-lex.europa.eu/legal-content/EN/TXT/HTML/?uri=CELEX:32026R1744" TargetMode="External" Id="rId9"/><Relationship Type="http://schemas.openxmlformats.org/officeDocument/2006/relationships/hyperlink" Target="https://www.iso.org/standard/81230.html" TargetMode="External" Id="rId10"/><Relationship Type="http://schemas.openxmlformats.org/officeDocument/2006/relationships/hyperlink" Target="https://www.iso.org/standard/77304.html" TargetMode="External" Id="rId11"/><Relationship Type="http://schemas.openxmlformats.org/officeDocument/2006/relationships/hyperlink" Target="https://nvlpubs.nist.gov/nistpubs/ai/NIST.AI.100-1.pdf" TargetMode="External" Id="rId12"/></Relationships>
</file>

<file path=xl/worksheets/sheet1.xml><?xml version="1.0" encoding="utf-8"?>
<worksheet xmlns="http://schemas.openxmlformats.org/spreadsheetml/2006/main">
  <sheetPr>
    <outlinePr summaryBelow="1" summaryRight="1"/>
    <pageSetUpPr/>
  </sheetPr>
  <dimension ref="A1:N27"/>
  <sheetViews>
    <sheetView showGridLines="0" workbookViewId="0">
      <selection activeCell="A1" sqref="A1"/>
    </sheetView>
  </sheetViews>
  <sheetFormatPr baseColWidth="8" defaultColWidth="8.6796875" defaultRowHeight="15"/>
  <cols>
    <col width="26" customWidth="1" style="16" min="1" max="1"/>
    <col width="34" customWidth="1" style="16" min="2" max="2"/>
    <col width="3" customWidth="1" style="16" min="3" max="3"/>
    <col width="30" customWidth="1" style="16" min="4" max="4"/>
    <col width="13" customWidth="1" style="16" min="5" max="5"/>
  </cols>
  <sheetData>
    <row r="1" ht="24" customHeight="1" s="17">
      <c r="A1" s="18" t="inlineStr">
        <is>
          <t>The Council — AI Source Assurance and Traceability Register</t>
        </is>
      </c>
      <c r="K1" s="46" t="n"/>
      <c r="L1" s="46" t="n"/>
      <c r="M1" s="46" t="n"/>
      <c r="N1" s="46" t="n"/>
    </row>
    <row r="2" ht="13.5" customHeight="1" s="17">
      <c r="A2" s="19" t="inlineStr">
        <is>
          <t>AIG-AIMS-13  ·  v1.5 draft  ·  Draft for Council review  ·  OFFICIAL  ·  ISO/IEC 42001:2023</t>
        </is>
      </c>
      <c r="K2" s="46" t="n"/>
    </row>
    <row r="3" ht="57.75" customHeight="1" s="17">
      <c r="A3" s="20" t="inlineStr">
        <is>
          <t>Purpose: hold the standing traceability from each priority authoritative source (law, regulation, standard, policy, principle) through to the requirement it creates, the playbook chapter and the artefact or control that satisfies it, the applicability trigger, the responsible specialist, and the verification dates. This is the single source-of-truth ledger for the priority source set behind the framework.</t>
        </is>
      </c>
    </row>
    <row r="4" ht="45.75" customHeight="1" s="17">
      <c r="A4" s="20" t="inlineStr">
        <is>
          <t>Legal status: a structured traceability and assurance record, not legal advice. Applicability and interpretation of each source remain with the named specialist function (AIG-AIMS-04). It complements AIG-AIMS-05 (which logs change events). Any automated horizon-scanning tool is an optional input, not a controlled source.</t>
        </is>
      </c>
    </row>
    <row r="5" ht="15" customHeight="1" s="17">
      <c r="A5" s="21" t="n"/>
      <c r="B5" s="21" t="n"/>
      <c r="C5" s="21" t="n"/>
      <c r="D5" s="21" t="n"/>
      <c r="E5" s="21" t="n"/>
    </row>
    <row r="6" ht="15" customHeight="1" s="17">
      <c r="A6" s="22" t="inlineStr">
        <is>
          <t>Document control</t>
        </is>
      </c>
      <c r="B6" s="22" t="inlineStr">
        <is>
          <t>Controlled value</t>
        </is>
      </c>
      <c r="C6" s="21" t="n"/>
      <c r="D6" s="22" t="inlineStr">
        <is>
          <t>Register readiness</t>
        </is>
      </c>
      <c r="E6" s="22" t="inlineStr">
        <is>
          <t>Result</t>
        </is>
      </c>
    </row>
    <row r="7" ht="15" customHeight="1" s="17">
      <c r="A7" s="23" t="inlineStr">
        <is>
          <t>Document ID</t>
        </is>
      </c>
      <c r="B7" s="24" t="inlineStr">
        <is>
          <t>AIG-AIMS-13</t>
        </is>
      </c>
      <c r="C7" s="21" t="n"/>
      <c r="D7" s="23" t="inlineStr">
        <is>
          <t>Sources recorded</t>
        </is>
      </c>
      <c r="E7" s="25">
        <f>COUNTA('Source Assurance Register'!$A$7:$A$106)</f>
        <v/>
      </c>
    </row>
    <row r="8" ht="15" customHeight="1" s="17">
      <c r="A8" s="23" t="inlineStr">
        <is>
          <t>Version</t>
        </is>
      </c>
      <c r="B8" s="24" t="inlineStr">
        <is>
          <t>1.5 draft</t>
        </is>
      </c>
      <c r="C8" s="21" t="n"/>
      <c r="D8" s="23" t="inlineStr">
        <is>
          <t>Current</t>
        </is>
      </c>
      <c r="E8" s="25">
        <f>COUNTIF('Source Assurance Register'!$L$7:$L$106,"Current")</f>
        <v/>
      </c>
    </row>
    <row r="9" ht="15" customHeight="1" s="17">
      <c r="A9" s="23" t="inlineStr">
        <is>
          <t>Status</t>
        </is>
      </c>
      <c r="B9" s="24" t="inlineStr">
        <is>
          <t>Draft for Council review</t>
        </is>
      </c>
      <c r="C9" s="21" t="n"/>
      <c r="D9" s="23" t="inlineStr">
        <is>
          <t>Under review</t>
        </is>
      </c>
      <c r="E9" s="25">
        <f>COUNTIF('Source Assurance Register'!$L$7:$L$106,"Under review")</f>
        <v/>
      </c>
    </row>
    <row r="10" ht="15" customHeight="1" s="17">
      <c r="A10" s="23" t="inlineStr">
        <is>
          <t>Document owner</t>
        </is>
      </c>
      <c r="B10" s="24" t="inlineStr">
        <is>
          <t>AI Governance Lead</t>
        </is>
      </c>
      <c r="C10" s="21" t="n"/>
      <c r="D10" s="23" t="inlineStr">
        <is>
          <t>Superseded</t>
        </is>
      </c>
      <c r="E10" s="25">
        <f>COUNTIF('Source Assurance Register'!$L$7:$L$106,"Superseded")</f>
        <v/>
      </c>
    </row>
    <row r="11" ht="39.75" customHeight="1" s="17">
      <c r="A11" s="23" t="inlineStr">
        <is>
          <t>Primary specialist owners</t>
        </is>
      </c>
      <c r="B11" s="24" t="inlineStr">
        <is>
          <t>Legal Services / Monitoring Officer, DPO and named control functions (AIG-AIMS-04)</t>
        </is>
      </c>
      <c r="C11" s="21" t="n"/>
      <c r="D11" s="23" t="inlineStr">
        <is>
          <t>Horizon-watch</t>
        </is>
      </c>
      <c r="E11" s="25">
        <f>COUNTIF('Source Assurance Register'!$L$7:$L$106,"Horizon-watch")</f>
        <v/>
      </c>
    </row>
    <row r="12" ht="23.85000038146973" customHeight="1" s="17">
      <c r="A12" s="23" t="inlineStr">
        <is>
          <t>Approving authority</t>
        </is>
      </c>
      <c r="B12" s="24" t="inlineStr">
        <is>
          <t>Competent Council authority under Constitution and Scheme of Delegation; AI Assurance Board provides assurance where applicable</t>
        </is>
      </c>
      <c r="C12" s="21" t="n"/>
      <c r="D12" s="23" t="inlineStr">
        <is>
          <t>Gap – no source</t>
        </is>
      </c>
      <c r="E12" s="25">
        <f>COUNTIF('Source Assurance Register'!$L$7:$L$106,"Gap – no source")</f>
        <v/>
      </c>
    </row>
    <row r="13" ht="15" customHeight="1" s="17">
      <c r="A13" s="23" t="inlineStr">
        <is>
          <t>Source register control status</t>
        </is>
      </c>
      <c r="B13" s="24" t="inlineStr">
        <is>
          <t>Twenty-one source records are held in the controlled Source Assurance Register table: six verified priority sources and fifteen proposed entries awaiting owner verification. AIG-AIMS-05 remains the fuller obligations/applicability register, including case-specific Council policy and delegation sources.</t>
        </is>
      </c>
      <c r="C13" s="21" t="n"/>
      <c r="D13" s="23" t="inlineStr">
        <is>
          <t>Next review due ≤ 90 days</t>
        </is>
      </c>
      <c r="E13" s="25">
        <f>COUNTIFS('Source Assurance Register'!$K$7:$K$106,"&lt;="&amp;(TODAY()+90),'Source Assurance Register'!$K$7:$K$106,"&gt;"&amp;0)</f>
        <v/>
      </c>
    </row>
    <row r="14" ht="30" customHeight="1" s="17">
      <c r="A14" s="23" t="inlineStr">
        <is>
          <t>Review frequency</t>
        </is>
      </c>
      <c r="B14" s="24" t="inlineStr">
        <is>
          <t>Quarterly source verification; annual full review; event-driven on regulatory change</t>
        </is>
      </c>
      <c r="C14" s="21" t="n"/>
      <c r="D14" s="23" t="inlineStr">
        <is>
          <t>Entries missing a status</t>
        </is>
      </c>
      <c r="E14" s="25">
        <f>COUNTA('Source Assurance Register'!$A$7:$A$106)-COUNTA('Source Assurance Register'!$L$7:$L$106)</f>
        <v/>
      </c>
    </row>
    <row r="15" ht="51.75" customHeight="1" s="17">
      <c r="A15" s="23" t="inlineStr">
        <is>
          <t>Source position</t>
        </is>
      </c>
      <c r="B15" s="24" t="inlineStr">
        <is>
          <t>Playbook §2.5 regulatory landscape and §6.6.5 horizon scanning; complements AIG-AIMS-05 (applicable requirements, change register and horizon scanning)</t>
        </is>
      </c>
      <c r="C15" s="21" t="n"/>
      <c r="D15" s="23" t="inlineStr">
        <is>
          <t>Reconciliation</t>
        </is>
      </c>
      <c r="E15" s="25">
        <f>IF(E7=SUM(E8:E12),IF(E14=0,"Balanced","Check: status missing"),"Check: status outside controlled list")</f>
        <v/>
      </c>
    </row>
    <row r="16" ht="15" customHeight="1" s="17">
      <c r="A16" s="23" t="inlineStr">
        <is>
          <t>Classification</t>
        </is>
      </c>
      <c r="B16" s="24" t="inlineStr">
        <is>
          <t>OFFICIAL</t>
        </is>
      </c>
      <c r="C16" s="21" t="n"/>
      <c r="D16" s="23" t="inlineStr">
        <is>
          <t>Not yet verified (no last-verified date)</t>
        </is>
      </c>
      <c r="E16" s="25">
        <f>COUNTA('Source Assurance Register'!$A$7:$A$106)-COUNT('Source Assurance Register'!$J$7:$J$106)</f>
        <v/>
      </c>
    </row>
    <row r="17" ht="15" customHeight="1" s="17">
      <c r="A17" s="21" t="n"/>
      <c r="B17" s="21" t="n"/>
      <c r="C17" s="21" t="n"/>
      <c r="D17" s="21" t="n"/>
      <c r="E17" s="21" t="n"/>
    </row>
    <row r="18" ht="15" customHeight="1" s="17">
      <c r="A18" s="26" t="inlineStr">
        <is>
          <t>Change history</t>
        </is>
      </c>
      <c r="B18" s="21" t="n"/>
      <c r="C18" s="21" t="n"/>
      <c r="D18" s="21" t="n"/>
      <c r="E18" s="21" t="n"/>
    </row>
    <row r="19" ht="15" customHeight="1" s="17">
      <c r="A19" s="22" t="inlineStr">
        <is>
          <t>Version</t>
        </is>
      </c>
      <c r="B19" s="22" t="inlineStr">
        <is>
          <t>Date</t>
        </is>
      </c>
      <c r="C19" s="21" t="n"/>
      <c r="D19" s="22" t="inlineStr">
        <is>
          <t>Change</t>
        </is>
      </c>
      <c r="E19" s="22" t="inlineStr">
        <is>
          <t>Author / owner</t>
        </is>
      </c>
    </row>
    <row r="20" ht="78" customHeight="1" s="17">
      <c r="A20" s="24" t="inlineStr">
        <is>
          <t>1.0 draft</t>
        </is>
      </c>
      <c r="B20" s="24" t="inlineStr">
        <is>
          <t>14 September 2026</t>
        </is>
      </c>
      <c r="C20" s="21" t="n"/>
      <c r="D20" s="24" t="inlineStr">
        <is>
          <t>Initial controlled Source Assurance and Traceability Register created to hold source-to-artefact traceability with verification dates (Playbook §2.5, §6.6.5).</t>
        </is>
      </c>
      <c r="E20" s="24" t="inlineStr">
        <is>
          <t>AI Governance Lead</t>
        </is>
      </c>
    </row>
    <row r="21" s="17">
      <c r="A21" s="16" t="inlineStr">
        <is>
          <t>1.1 draft</t>
        </is>
      </c>
      <c r="B21" s="16" t="inlineStr">
        <is>
          <t>20 September 2026</t>
        </is>
      </c>
      <c r="D21" s="16" t="inlineStr">
        <is>
          <t>QA release: populated the controlled source table with the three current sources previously listed only on the Summary sheet; register counts and reconciliation now operate against the controlled table.</t>
        </is>
      </c>
      <c r="E21" s="16" t="inlineStr">
        <is>
          <t>AI Governance Lead</t>
        </is>
      </c>
    </row>
    <row r="22">
      <c r="A22" s="47" t="inlineStr">
        <is>
          <t>1.2 draft</t>
        </is>
      </c>
      <c r="B22" s="47" t="inlineStr">
        <is>
          <t>Not recorded</t>
        </is>
      </c>
      <c r="C22" s="46" t="n"/>
      <c r="D22" s="47" t="inlineStr">
        <is>
          <t>Added proposed versioned source entries (register rows 13–24) for legal and framework sources named in AIG-AIMS-05 (history entry reconstructed during QA remediation).</t>
        </is>
      </c>
      <c r="E22" s="47" t="inlineStr">
        <is>
          <t>AI Governance Lead</t>
        </is>
      </c>
      <c r="F22" s="46" t="n"/>
      <c r="G22" s="46" t="n"/>
      <c r="H22" s="46" t="n"/>
      <c r="I22" s="46" t="n"/>
      <c r="J22" s="46" t="n"/>
    </row>
    <row r="23">
      <c r="A23" s="47" t="inlineStr">
        <is>
          <t>1.3 draft</t>
        </is>
      </c>
      <c r="B23" s="47" t="inlineStr">
        <is>
          <t>29 September 2026</t>
        </is>
      </c>
      <c r="C23" s="46" t="n"/>
      <c r="D23" s="47" t="inlineStr">
        <is>
          <t>QA remediation — applied findings QA-090, QA-213, QA-218, QA-220, QA-240, QA-251, QA-259, QA-260, QA-261, QA-284, QA-285, QA-288, QA-291 and decision D9 (see QA change log).</t>
        </is>
      </c>
      <c r="E23" s="47" t="inlineStr">
        <is>
          <t>AI Governance Lead</t>
        </is>
      </c>
      <c r="F23" s="46" t="n"/>
      <c r="G23" s="46" t="n"/>
      <c r="H23" s="46" t="n"/>
      <c r="I23" s="46" t="n"/>
      <c r="J23" s="46" t="n"/>
    </row>
    <row r="24" s="17">
      <c r="A24" s="47" t="inlineStr">
        <is>
          <t>1.4 draft</t>
        </is>
      </c>
      <c r="B24" s="47" t="inlineStr">
        <is>
          <t>2 October 2026</t>
        </is>
      </c>
      <c r="C24" s="46" t="n"/>
      <c r="D24" s="47" t="inlineStr">
        <is>
          <t>v3.9.5: source record SRC-LAW-ICO-ADM-CODE-001 added for SI 2026/425 (ICO statutory code of practice on AI and automated decision-making; AIG-AIMS-05 REQ-056), status Horizon-watch until the code is issued; owner verification pending. Nineteen source records. Proposed — for Council confirmation.</t>
        </is>
      </c>
      <c r="E24" s="47" t="inlineStr">
        <is>
          <t>AI Governance Lead</t>
        </is>
      </c>
      <c r="F24" s="46" t="n"/>
      <c r="G24" s="46" t="n"/>
      <c r="H24" s="46" t="n"/>
      <c r="I24" s="46" t="n"/>
      <c r="J24" s="46" t="n"/>
    </row>
    <row r="25" s="17">
      <c r="A25" s="47" t="inlineStr">
        <is>
          <t>1.5 draft</t>
        </is>
      </c>
      <c r="B25" s="47" t="inlineStr">
        <is>
          <t>12 October 2026</t>
        </is>
      </c>
      <c r="C25" s="46" t="n"/>
      <c r="D25" s="47" t="inlineStr">
        <is>
          <t>v3.9.10: source records SRC-STD-DAMA-DMBOK-001 and SRC-STD-ISO-5259-001 added for AIG-AIMS-05 REQ-057 and REQ-058 (voluntary data governance references), status Under review until the owner verifies them. Proposed — for Council confirmation.</t>
        </is>
      </c>
      <c r="E25" s="47" t="inlineStr">
        <is>
          <t>AI Governance Lead</t>
        </is>
      </c>
      <c r="F25" s="46" t="n"/>
      <c r="G25" s="46" t="n"/>
      <c r="H25" s="46" t="n"/>
      <c r="I25" s="46" t="n"/>
      <c r="J25" s="46" t="n"/>
    </row>
    <row r="26">
      <c r="A26" s="46" t="n"/>
      <c r="B26" s="46" t="n"/>
      <c r="C26" s="46" t="n"/>
      <c r="D26" s="46" t="n"/>
      <c r="E26" s="46" t="n"/>
      <c r="F26" s="46" t="n"/>
      <c r="G26" s="46" t="n"/>
      <c r="H26" s="46" t="n"/>
      <c r="I26" s="46" t="n"/>
      <c r="J26" s="46" t="n"/>
    </row>
    <row r="27">
      <c r="A27" s="46" t="n"/>
      <c r="B27" s="46" t="n"/>
      <c r="C27" s="46" t="n"/>
      <c r="D27" s="46" t="n"/>
      <c r="E27" s="46" t="n"/>
      <c r="F27" s="46" t="n"/>
      <c r="G27" s="46" t="n"/>
      <c r="H27" s="46" t="n"/>
      <c r="I27" s="46" t="n"/>
      <c r="J27" s="46" t="n"/>
    </row>
  </sheetData>
  <mergeCells count="4">
    <mergeCell ref="A2:E2"/>
    <mergeCell ref="A1:E1"/>
    <mergeCell ref="A4:E4"/>
    <mergeCell ref="A3:E3"/>
  </mergeCells>
  <pageMargins left="0.7" right="0.7" top="0.75" bottom="0.75" header="0.3" footer="0.3"/>
  <headerFooter>
    <oddHeader>&amp;C&amp;"Arial,Regular"&amp;8 The Council — AI Source Assurance and Traceability Register</oddHeader>
    <oddFooter>&amp;C&amp;"Arial,Regular"&amp;8 AIG-AIMS-13 · v1.5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N106"/>
  <sheetViews>
    <sheetView showGridLines="0" workbookViewId="0">
      <selection activeCell="A1" sqref="A1"/>
    </sheetView>
  </sheetViews>
  <sheetFormatPr baseColWidth="8" defaultColWidth="8.6796875" defaultRowHeight="15"/>
  <cols>
    <col width="10" customWidth="1" style="16" min="1" max="1"/>
    <col width="26" customWidth="1" style="16" min="2" max="2"/>
    <col width="13" customWidth="1" style="16" min="3" max="3"/>
    <col width="26" customWidth="1" style="16" min="4" max="5"/>
    <col width="13" customWidth="1" style="16" min="6" max="6"/>
    <col width="16" customWidth="1" style="16" min="7" max="7"/>
    <col width="22" customWidth="1" style="16" min="8" max="9"/>
    <col width="12" customWidth="1" style="16" min="10" max="11"/>
    <col width="14" customWidth="1" style="16" min="12" max="12"/>
    <col width="26" customWidth="1" style="17" min="13" max="13"/>
    <col width="30" customWidth="1" style="17" min="14" max="14"/>
  </cols>
  <sheetData>
    <row r="1" ht="21.75" customHeight="1" s="17">
      <c r="A1" s="18" t="inlineStr">
        <is>
          <t>The Council — Source Assurance and Traceability Register</t>
        </is>
      </c>
    </row>
    <row r="2" ht="13.5" customHeight="1" s="17">
      <c r="A2" s="19" t="inlineStr">
        <is>
          <t>AIG-AIMS-13 · v1.5 draft · Draft for Council review · OFFICIAL · ISO/IEC 42001:2023</t>
        </is>
      </c>
    </row>
    <row r="3" ht="30" customHeight="1" s="17">
      <c r="A3" s="20" t="inlineStr">
        <is>
          <t>Purpose: one row per authoritative source, traced through to the requirement, the playbook chapter and the artefact or control that satisfies it, with the responsible specialist and verification dates.</t>
        </is>
      </c>
    </row>
    <row r="4" ht="30" customHeight="1" s="17">
      <c r="A4" s="20" t="inlineStr">
        <is>
          <t>Current position: the six existing source records are retained. Proposed versioned entries in rows 13–24 cover legal and framework sources named in AIG-AIMS-05 that were not separately traceable here. New entries are not verified (Last verified is blank and highlighted): owners must validate authoritative text/version, currency, applicability, and verification date before reliance. Licensed standards are identified by edition only; no clause text is reproduced.</t>
        </is>
      </c>
    </row>
    <row r="5" ht="15" customHeight="1" s="17">
      <c r="A5" s="21" t="n"/>
      <c r="B5" s="21" t="n"/>
      <c r="C5" s="21" t="n"/>
      <c r="D5" s="21" t="n"/>
      <c r="E5" s="21" t="n"/>
      <c r="F5" s="21" t="n"/>
      <c r="G5" s="21" t="n"/>
      <c r="H5" s="21" t="n"/>
      <c r="I5" s="21" t="n"/>
      <c r="J5" s="21" t="n"/>
      <c r="K5" s="21" t="n"/>
      <c r="L5" s="21" t="n"/>
    </row>
    <row r="6" ht="30" customHeight="1" s="17">
      <c r="A6" s="27" t="inlineStr">
        <is>
          <t>Source ID</t>
        </is>
      </c>
      <c r="B6" s="27" t="inlineStr">
        <is>
          <t>Source</t>
        </is>
      </c>
      <c r="C6" s="27" t="inlineStr">
        <is>
          <t>Version / date</t>
        </is>
      </c>
      <c r="D6" s="27" t="inlineStr">
        <is>
          <t>Authoritative URL</t>
        </is>
      </c>
      <c r="E6" s="27" t="inlineStr">
        <is>
          <t>Requirement / principle</t>
        </is>
      </c>
      <c r="F6" s="27" t="inlineStr">
        <is>
          <t>Playbook chapter</t>
        </is>
      </c>
      <c r="G6" s="27" t="inlineStr">
        <is>
          <t>Artefact / control</t>
        </is>
      </c>
      <c r="H6" s="27" t="inlineStr">
        <is>
          <t>Applicability trigger</t>
        </is>
      </c>
      <c r="I6" s="27" t="inlineStr">
        <is>
          <t>Responsible specialist</t>
        </is>
      </c>
      <c r="J6" s="27" t="inlineStr">
        <is>
          <t>Last verified</t>
        </is>
      </c>
      <c r="K6" s="27" t="inlineStr">
        <is>
          <t>Next review (quarterly from last verified)</t>
        </is>
      </c>
      <c r="L6" s="27" t="inlineStr">
        <is>
          <t>Status</t>
        </is>
      </c>
      <c r="M6" s="27" t="inlineStr">
        <is>
          <t>Supporting specialist(s)</t>
        </is>
      </c>
      <c r="N6" s="27" t="inlineStr">
        <is>
          <t>Review trigger</t>
        </is>
      </c>
    </row>
    <row r="7" ht="15" customHeight="1" s="17">
      <c r="A7" s="24" t="inlineStr">
        <is>
          <t>SRC-AG-001</t>
        </is>
      </c>
      <c r="B7" s="24" t="inlineStr">
        <is>
          <t>OWASP Agent Control Standard</t>
        </is>
      </c>
      <c r="C7" s="24" t="inlineStr">
        <is>
          <t>1 Sep 2026</t>
        </is>
      </c>
      <c r="D7" s="24" t="inlineStr">
        <is>
          <t>https://genai.owasp.org/resource/agent-control-standard-acs/</t>
        </is>
      </c>
      <c r="E7" s="24" t="inlineStr">
        <is>
          <t>Runtime transparency, inspectability, traceability and control</t>
        </is>
      </c>
      <c r="F7" s="24" t="inlineStr">
        <is>
          <t>Agentic governance / runtime controls</t>
        </is>
      </c>
      <c r="G7" s="24" t="inlineStr">
        <is>
          <t>Runtime Controls; Agentic Action/Decision Record (AIG-AGT-06); ASBOM (AIG-AGT-04)</t>
        </is>
      </c>
      <c r="H7" s="24" t="inlineStr">
        <is>
          <t>All agentic systems requiring runtime enforcement</t>
        </is>
      </c>
      <c r="I7" s="24" t="inlineStr">
        <is>
          <t>AI Governance Lead</t>
        </is>
      </c>
      <c r="J7" s="28" t="n">
        <v>46284</v>
      </c>
      <c r="K7" s="28">
        <f>IF(ISNUMBER(J7),EDATE(J7,3),"")</f>
        <v/>
      </c>
      <c r="L7" s="24" t="inlineStr">
        <is>
          <t>Current</t>
        </is>
      </c>
      <c r="M7" s="24" t="inlineStr">
        <is>
          <t>Cyber Security</t>
        </is>
      </c>
      <c r="N7" s="24" t="inlineStr">
        <is>
          <t>Review on material update</t>
        </is>
      </c>
    </row>
    <row r="8" ht="15" customHeight="1" s="17">
      <c r="A8" s="24" t="inlineStr">
        <is>
          <t>SRC-DP-001</t>
        </is>
      </c>
      <c r="B8" s="24" t="inlineStr">
        <is>
          <t>ICO DUAA summary</t>
        </is>
      </c>
      <c r="C8" s="24" t="inlineStr">
        <is>
          <t>19 Jun 2026</t>
        </is>
      </c>
      <c r="D8" s="24" t="inlineStr">
        <is>
          <t>https://ico.org.uk/about-the-ico/what-we-do/legislation-we-cover/data-use-and-access-act-2025/the-data-use-and-access-act-2025-duaa-summary-of-the-changes/</t>
        </is>
      </c>
      <c r="E8" s="24" t="inlineStr">
        <is>
          <t>Main DUAA data-protection amendments in force from 5 February 2026 (SI 2026/82, including UK GDPR Articles 22A–22D); s.103 complaints duty (DPA 2018 s.164A) from 19 June 2026</t>
        </is>
      </c>
      <c r="F8" s="24" t="inlineStr">
        <is>
          <t>Legal/data protection controls</t>
        </is>
      </c>
      <c r="G8" s="24" t="inlineStr">
        <is>
          <t>DPIA; automated decision-making safeguards; source assurance</t>
        </is>
      </c>
      <c r="H8" s="24" t="inlineStr">
        <is>
          <t>Personal data / automated decision-making</t>
        </is>
      </c>
      <c r="I8" s="24" t="inlineStr">
        <is>
          <t>DPO / Information Governance</t>
        </is>
      </c>
      <c r="J8" s="28" t="n">
        <v>46284</v>
      </c>
      <c r="K8" s="28">
        <f>IF(ISNUMBER(J8),EDATE(J8,3),"")</f>
        <v/>
      </c>
      <c r="L8" s="24" t="inlineStr">
        <is>
          <t>Current</t>
        </is>
      </c>
      <c r="M8" s="24" t="inlineStr">
        <is>
          <t>Legal Services / Monitoring Officer</t>
        </is>
      </c>
      <c r="N8" s="24" t="inlineStr">
        <is>
          <t>On ICO update</t>
        </is>
      </c>
    </row>
    <row r="9" ht="15" customHeight="1" s="17">
      <c r="A9" s="24" t="inlineStr">
        <is>
          <t>SRC-ATRS-001</t>
        </is>
      </c>
      <c r="B9" s="24" t="inlineStr">
        <is>
          <t>ATRS mandatory scope and exemptions</t>
        </is>
      </c>
      <c r="C9" s="24" t="inlineStr">
        <is>
          <t>17 Dec 2024; guidance updated 8 May 2025</t>
        </is>
      </c>
      <c r="D9" s="24" t="inlineStr">
        <is>
          <t>https://www.gov.uk/government/publications/algorithmic-transparency-recording-standard-mandatory-scope-and-exemptions-policy</t>
        </is>
      </c>
      <c r="E9" s="24" t="inlineStr">
        <is>
          <t>Mandatory for central government departments and in-scope arm’s-length bodies; recommended (voluntary) for local authorities</t>
        </is>
      </c>
      <c r="F9" s="24" t="inlineStr">
        <is>
          <t>Transparency control</t>
        </is>
      </c>
      <c r="G9" s="24" t="inlineStr">
        <is>
          <t>ATRS Record Template (AIG-ASS-10); source assurance</t>
        </is>
      </c>
      <c r="H9" s="24" t="inlineStr">
        <is>
          <t>Assess applicability per tool and organisation</t>
        </is>
      </c>
      <c r="I9" s="24" t="inlineStr">
        <is>
          <t>AI Governance Lead</t>
        </is>
      </c>
      <c r="J9" s="28" t="n">
        <v>46284</v>
      </c>
      <c r="K9" s="28">
        <f>IF(ISNUMBER(J9),EDATE(J9,3),"")</f>
        <v/>
      </c>
      <c r="L9" s="24" t="inlineStr">
        <is>
          <t>Current</t>
        </is>
      </c>
      <c r="M9" s="24" t="inlineStr">
        <is>
          <t>Legal Services / Monitoring Officer</t>
        </is>
      </c>
      <c r="N9" s="24" t="inlineStr">
        <is>
          <t>On policy change</t>
        </is>
      </c>
    </row>
    <row r="10" ht="15" customHeight="1" s="17">
      <c r="A10" s="24" t="inlineStr">
        <is>
          <t>SRC-LG-001</t>
        </is>
      </c>
      <c r="B10" s="24" t="inlineStr">
        <is>
          <t>Local Government Act 1972 (including section 101)</t>
        </is>
      </c>
      <c r="C10" s="24" t="inlineStr">
        <is>
          <t>1972 c.70; as amended</t>
        </is>
      </c>
      <c r="D10" s="24" t="inlineStr">
        <is>
          <t>https://www.legislation.gov.uk/ukpga/1972/70/contents</t>
        </is>
      </c>
      <c r="E10" s="24" t="inlineStr">
        <is>
          <t>Local-authority functions and delegation/decision authority</t>
        </is>
      </c>
      <c r="F10" s="24" t="inlineStr">
        <is>
          <t>Governance authority / delegation</t>
        </is>
      </c>
      <c r="G10" s="24" t="inlineStr">
        <is>
          <t>Gate Map; Decision Record; Terms of Reference; Source Assurance</t>
        </is>
      </c>
      <c r="H10" s="24" t="inlineStr">
        <is>
          <t>All Council AI decisions requiring delegated authority</t>
        </is>
      </c>
      <c r="I10" s="24" t="inlineStr">
        <is>
          <t>Legal Services / Monitoring Officer</t>
        </is>
      </c>
      <c r="J10" s="28" t="n">
        <v>46285</v>
      </c>
      <c r="K10" s="28">
        <f>IF(ISNUMBER(J10),EDATE(J10,3),"")</f>
        <v/>
      </c>
      <c r="L10" s="24" t="inlineStr">
        <is>
          <t>Current</t>
        </is>
      </c>
      <c r="M10" s="24" t="n"/>
      <c r="N10" s="24" t="inlineStr">
        <is>
          <t>On amendment; annual</t>
        </is>
      </c>
    </row>
    <row r="11" ht="15" customHeight="1" s="17">
      <c r="A11" s="24" t="inlineStr">
        <is>
          <t>SRC-GOV-001</t>
        </is>
      </c>
      <c r="B11" s="24" t="inlineStr">
        <is>
          <t>Council Constitution and Scheme of Delegation — current approved version (to be supplied)</t>
        </is>
      </c>
      <c r="C11" s="24" t="inlineStr">
        <is>
          <t>Current approved version to be confirmed by the Monitoring Officer</t>
        </is>
      </c>
      <c r="D11" s="24" t="inlineStr">
        <is>
          <t>[Local source URL to be entered by the Monitoring Officer]</t>
        </is>
      </c>
      <c r="E11" s="24" t="inlineStr">
        <is>
          <t>Obtain the current approved Constitution, scheme and exact delegation provision before relying on any decision-authority claim; committee agendas or reports are contextual material only.</t>
        </is>
      </c>
      <c r="F11" s="24" t="inlineStr">
        <is>
          <t>Decision authority / governance bodies</t>
        </is>
      </c>
      <c r="G11" s="24" t="inlineStr">
        <is>
          <t>Terms of Reference; Gate Map; Governance Decision Record; AIMS adoption controls</t>
        </is>
      </c>
      <c r="H11" s="24" t="inlineStr">
        <is>
          <t>Any decision-authority, policy-adoption or delegation claim</t>
        </is>
      </c>
      <c r="I11" s="24" t="inlineStr">
        <is>
          <t>Legal Services / Monitoring Officer</t>
        </is>
      </c>
      <c r="J11" s="28" t="n">
        <v>46285</v>
      </c>
      <c r="K11" s="28">
        <f>IF(ISNUMBER(J11),EDATE(J11,3),"")</f>
        <v/>
      </c>
      <c r="L11" s="24" t="inlineStr">
        <is>
          <t>Gap – no source</t>
        </is>
      </c>
      <c r="M11" s="24" t="inlineStr">
        <is>
          <t>Governance Secretariat</t>
        </is>
      </c>
      <c r="N11" s="24" t="inlineStr">
        <is>
          <t>On constitutional change; annual</t>
        </is>
      </c>
    </row>
    <row r="12" ht="15" customHeight="1" s="17">
      <c r="A12" s="24" t="inlineStr">
        <is>
          <t>SRC-DEV-001</t>
        </is>
      </c>
      <c r="B12" s="24" t="inlineStr">
        <is>
          <t>English Devolution and Community Empowerment Act 2026</t>
        </is>
      </c>
      <c r="C12" s="24" t="inlineStr">
        <is>
          <t>Royal Assent 29 Apr 2026; commencement phased</t>
        </is>
      </c>
      <c r="D12" s="24" t="inlineStr">
        <is>
          <t>https://www.legislation.gov.uk/ukpga/2026/23/notes/division/13/index.htm</t>
        </is>
      </c>
      <c r="E12" s="24" t="inlineStr">
        <is>
          <t>Local-government governance/delegation changes relevant to Council decision structures</t>
        </is>
      </c>
      <c r="F12" s="24" t="inlineStr">
        <is>
          <t>Governance authority / horizon scanning</t>
        </is>
      </c>
      <c r="G12" s="24" t="inlineStr">
        <is>
          <t>Requirements &amp; Change Register; Gate Map; Source Assurance</t>
        </is>
      </c>
      <c r="H12" s="24" t="inlineStr">
        <is>
          <t>Where commencement affects Council governance, delegations or service responsibilities</t>
        </is>
      </c>
      <c r="I12" s="24" t="inlineStr">
        <is>
          <t>Legal Services / Monitoring Officer</t>
        </is>
      </c>
      <c r="J12" s="28" t="n">
        <v>46285</v>
      </c>
      <c r="K12" s="28">
        <f>IF(ISNUMBER(J12),EDATE(J12,3),"")</f>
        <v/>
      </c>
      <c r="L12" s="24" t="inlineStr">
        <is>
          <t>Under review</t>
        </is>
      </c>
      <c r="M12" s="24" t="n"/>
      <c r="N12" s="24" t="inlineStr">
        <is>
          <t>On commencement/update</t>
        </is>
      </c>
    </row>
    <row r="13" ht="15" customHeight="1" s="17">
      <c r="A13" s="24" t="inlineStr">
        <is>
          <t>SRC-LAW-UKGDPR-001</t>
        </is>
      </c>
      <c r="B13" s="24" t="inlineStr">
        <is>
          <t>UK General Data Protection Regulation (UK GDPR)</t>
        </is>
      </c>
      <c r="C13" s="24" t="inlineStr">
        <is>
          <t>Regulation (EU) 2016/679, as amended; current UK text/version to validate</t>
        </is>
      </c>
      <c r="D13" s="38" t="inlineStr">
        <is>
          <t>https://www.legislation.gov.uk/eur/2016/679/contents</t>
        </is>
      </c>
      <c r="E13" s="24" t="inlineStr">
        <is>
          <t>[PROPOSED ENTRY — OWNER VALIDATION REQUIRED] Personal-data processing; applicable provisions as amended</t>
        </is>
      </c>
      <c r="F13" s="24" t="inlineStr">
        <is>
          <t>Data protection / privacy</t>
        </is>
      </c>
      <c r="G13" s="24" t="inlineStr">
        <is>
          <t>DPIA; privacy information; automated decision-making; data subject rights</t>
        </is>
      </c>
      <c r="H13" s="24" t="inlineStr">
        <is>
          <t>Where personal data is processed; provision-specific triggers and current amendments require DPO/Legal validation</t>
        </is>
      </c>
      <c r="I13" s="24" t="inlineStr">
        <is>
          <t>DPO / Information Governance</t>
        </is>
      </c>
      <c r="J13" s="28" t="inlineStr"/>
      <c r="K13" s="28">
        <f>IF(ISNUMBER(J13),EDATE(J13,3),"")</f>
        <v/>
      </c>
      <c r="L13" s="24" t="inlineStr">
        <is>
          <t>Under review</t>
        </is>
      </c>
      <c r="M13" s="24" t="n"/>
      <c r="N13" s="24" t="inlineStr">
        <is>
          <t>Before reliance; on amendment; annual</t>
        </is>
      </c>
    </row>
    <row r="14" ht="15" customHeight="1" s="17">
      <c r="A14" s="24" t="inlineStr">
        <is>
          <t>SRC-LAW-DPA2018-001</t>
        </is>
      </c>
      <c r="B14" s="24" t="inlineStr">
        <is>
          <t>Data Protection Act 2018</t>
        </is>
      </c>
      <c r="C14" s="24" t="inlineStr">
        <is>
          <t>2018 c.12, as amended; current text/version to validate</t>
        </is>
      </c>
      <c r="D14" s="38" t="inlineStr">
        <is>
          <t>https://www.legislation.gov.uk/ukpga/2018/12/contents</t>
        </is>
      </c>
      <c r="E14" s="24" t="inlineStr">
        <is>
          <t>[PROPOSED ENTRY — OWNER VALIDATION REQUIRED] UK data-protection framework and applicable domestic provisions</t>
        </is>
      </c>
      <c r="F14" s="24" t="inlineStr">
        <is>
          <t>Data protection / privacy</t>
        </is>
      </c>
      <c r="G14" s="24" t="inlineStr">
        <is>
          <t>DPIA; lawful processing; rights; records and controls</t>
        </is>
      </c>
      <c r="H14" s="24" t="inlineStr">
        <is>
          <t>Where Council processing engages the Act; provision-specific applicability and amendments require DPO/Legal validation</t>
        </is>
      </c>
      <c r="I14" s="24" t="inlineStr">
        <is>
          <t>DPO / Information Governance</t>
        </is>
      </c>
      <c r="J14" s="28" t="inlineStr"/>
      <c r="K14" s="28">
        <f>IF(ISNUMBER(J14),EDATE(J14,3),"")</f>
        <v/>
      </c>
      <c r="L14" s="24" t="inlineStr">
        <is>
          <t>Under review</t>
        </is>
      </c>
      <c r="M14" s="24" t="inlineStr">
        <is>
          <t>Legal Services / Monitoring Officer</t>
        </is>
      </c>
      <c r="N14" s="24" t="inlineStr">
        <is>
          <t>Before reliance; on amendment; annual</t>
        </is>
      </c>
    </row>
    <row r="15" ht="15" customHeight="1" s="17">
      <c r="A15" s="24" t="inlineStr">
        <is>
          <t>SRC-LAW-DUAA-001</t>
        </is>
      </c>
      <c r="B15" s="24" t="inlineStr">
        <is>
          <t>Data (Use and Access) Act 2025 (DUAA)</t>
        </is>
      </c>
      <c r="C15" s="24" t="inlineStr">
        <is>
          <t>2025 c.18; commencement/amendments and current effects to validate</t>
        </is>
      </c>
      <c r="D15" s="38" t="inlineStr">
        <is>
          <t>https://www.legislation.gov.uk/ukpga/2025/18/contents</t>
        </is>
      </c>
      <c r="E15" s="24" t="inlineStr">
        <is>
          <t>[PROPOSED ENTRY — OWNER VALIDATION REQUIRED] Amendments affecting data protection and related duties</t>
        </is>
      </c>
      <c r="F15" s="24" t="inlineStr">
        <is>
          <t>Data protection / privacy</t>
        </is>
      </c>
      <c r="G15" s="24" t="inlineStr">
        <is>
          <t>Automated decision-making safeguards; complaints; privacy controls; AIG-AIMS-05 REQ-003</t>
        </is>
      </c>
      <c r="H15" s="24" t="inlineStr">
        <is>
          <t>Where relevant provisions are commenced and processing/activities engage them; DPO/Legal to validate current commencement and interaction with UK GDPR/DPA/PECR</t>
        </is>
      </c>
      <c r="I15" s="24" t="inlineStr">
        <is>
          <t>DPO / Information Governance</t>
        </is>
      </c>
      <c r="J15" s="28" t="inlineStr"/>
      <c r="K15" s="28">
        <f>IF(ISNUMBER(J15),EDATE(J15,3),"")</f>
        <v/>
      </c>
      <c r="L15" s="24" t="inlineStr">
        <is>
          <t>Under review</t>
        </is>
      </c>
      <c r="M15" s="24" t="inlineStr">
        <is>
          <t>Legal Services / Monitoring Officer</t>
        </is>
      </c>
      <c r="N15" s="24" t="inlineStr">
        <is>
          <t>Before reliance; on commencement/update; annual</t>
        </is>
      </c>
    </row>
    <row r="16" ht="15" customHeight="1" s="17">
      <c r="A16" s="24" t="inlineStr">
        <is>
          <t>SRC-LAW-EQUALITY-001</t>
        </is>
      </c>
      <c r="B16" s="24" t="inlineStr">
        <is>
          <t>Equality Act 2010</t>
        </is>
      </c>
      <c r="C16" s="24" t="inlineStr">
        <is>
          <t>2010 c.15, as amended; current text/version to validate</t>
        </is>
      </c>
      <c r="D16" s="38" t="inlineStr">
        <is>
          <t>https://www.legislation.gov.uk/ukpga/2010/15/contents</t>
        </is>
      </c>
      <c r="E16" s="24" t="inlineStr">
        <is>
          <t>[PROPOSED ENTRY — OWNER VALIDATION REQUIRED] Equality duties, including applicable duties on public authorities</t>
        </is>
      </c>
      <c r="F16" s="24" t="inlineStr">
        <is>
          <t>Equality / non-discrimination</t>
        </is>
      </c>
      <c r="G16" s="24" t="inlineStr">
        <is>
          <t>Equality impact assessment; accessibility; monitoring and decision records</t>
        </is>
      </c>
      <c r="H16" s="24" t="inlineStr">
        <is>
          <t>Where Council functions or AI-enabled services engage the Act; Equality/Legal to validate duties, protected groups and case-specific application</t>
        </is>
      </c>
      <c r="I16" s="24" t="inlineStr">
        <is>
          <t>Equality / Human Rights / Safeguarding Leads</t>
        </is>
      </c>
      <c r="J16" s="28" t="inlineStr"/>
      <c r="K16" s="28">
        <f>IF(ISNUMBER(J16),EDATE(J16,3),"")</f>
        <v/>
      </c>
      <c r="L16" s="24" t="inlineStr">
        <is>
          <t>Under review</t>
        </is>
      </c>
      <c r="M16" s="24" t="n"/>
      <c r="N16" s="24" t="inlineStr">
        <is>
          <t>Before reliance; on amendment; annual</t>
        </is>
      </c>
    </row>
    <row r="17" ht="15" customHeight="1" s="17">
      <c r="A17" s="24" t="inlineStr">
        <is>
          <t>SRC-LAW-HRA-001</t>
        </is>
      </c>
      <c r="B17" s="24" t="inlineStr">
        <is>
          <t>Human Rights Act 1998</t>
        </is>
      </c>
      <c r="C17" s="24" t="inlineStr">
        <is>
          <t>1998 c.42, as amended; current text/version to validate</t>
        </is>
      </c>
      <c r="D17" s="38" t="inlineStr">
        <is>
          <t>https://www.legislation.gov.uk/ukpga/1998/42/contents</t>
        </is>
      </c>
      <c r="E17" s="24" t="inlineStr">
        <is>
          <t>[PROPOSED ENTRY — OWNER VALIDATION REQUIRED] Human-rights duties relevant to public functions</t>
        </is>
      </c>
      <c r="F17" s="24" t="inlineStr">
        <is>
          <t>Human rights / public law</t>
        </is>
      </c>
      <c r="G17" s="24" t="inlineStr">
        <is>
          <t>Human Rights Assessment; oversight; reasons; review and redress</t>
        </is>
      </c>
      <c r="H17" s="24" t="inlineStr">
        <is>
          <t>Where a public authority function or case-specific rights issue engages the Act; Legal to validate relevant rights and application</t>
        </is>
      </c>
      <c r="I17" s="24" t="inlineStr">
        <is>
          <t>Legal Services / Monitoring Officer</t>
        </is>
      </c>
      <c r="J17" s="28" t="inlineStr"/>
      <c r="K17" s="28">
        <f>IF(ISNUMBER(J17),EDATE(J17,3),"")</f>
        <v/>
      </c>
      <c r="L17" s="24" t="inlineStr">
        <is>
          <t>Under review</t>
        </is>
      </c>
      <c r="M17" s="24" t="n"/>
      <c r="N17" s="24" t="inlineStr">
        <is>
          <t>Before reliance; on amendment; annual</t>
        </is>
      </c>
    </row>
    <row r="18" ht="15" customHeight="1" s="17">
      <c r="A18" s="24" t="inlineStr">
        <is>
          <t>SRC-LAW-PROCUREMENT-ACT-001</t>
        </is>
      </c>
      <c r="B18" s="24" t="inlineStr">
        <is>
          <t>Procurement Act 2023</t>
        </is>
      </c>
      <c r="C18" s="24" t="inlineStr">
        <is>
          <t>2023 c.54; current text, commencement and transitional rules to validate</t>
        </is>
      </c>
      <c r="D18" s="38" t="inlineStr">
        <is>
          <t>https://www.legislation.gov.uk/ukpga/2023/54/contents</t>
        </is>
      </c>
      <c r="E18" s="24" t="inlineStr">
        <is>
          <t>[PROPOSED ENTRY — OWNER VALIDATION REQUIRED] Public procurement obligations</t>
        </is>
      </c>
      <c r="F18" s="24" t="inlineStr">
        <is>
          <t>Procurement / suppliers</t>
        </is>
      </c>
      <c r="G18" s="24" t="inlineStr">
        <is>
          <t>AI procurement gates; due diligence; contract management and supplier controls</t>
        </is>
      </c>
      <c r="H18" s="24" t="inlineStr">
        <is>
          <t>Where procurement is within the Act; Procurement/Legal to validate exclusions, thresholds, procedure and transitional regime for each procurement</t>
        </is>
      </c>
      <c r="I18" s="24" t="inlineStr">
        <is>
          <t>Procurement / Commercial / Contract Owner</t>
        </is>
      </c>
      <c r="J18" s="28" t="inlineStr"/>
      <c r="K18" s="28">
        <f>IF(ISNUMBER(J18),EDATE(J18,3),"")</f>
        <v/>
      </c>
      <c r="L18" s="24" t="inlineStr">
        <is>
          <t>Under review</t>
        </is>
      </c>
      <c r="M18" s="24" t="n"/>
      <c r="N18" s="24" t="inlineStr">
        <is>
          <t>Before reliance; on amendment; annual</t>
        </is>
      </c>
    </row>
    <row r="19" ht="15" customHeight="1" s="17">
      <c r="A19" s="24" t="inlineStr">
        <is>
          <t>SRC-LAW-PROCUREMENT-REGS-001</t>
        </is>
      </c>
      <c r="B19" s="24" t="inlineStr">
        <is>
          <t>Procurement Regulations 2024</t>
        </is>
      </c>
      <c r="C19" s="24" t="inlineStr">
        <is>
          <t>SI 2024/692, as amended; current text/version to validate</t>
        </is>
      </c>
      <c r="D19" s="38" t="inlineStr">
        <is>
          <t>https://www.legislation.gov.uk/uksi/2024/692/contents</t>
        </is>
      </c>
      <c r="E19" s="24" t="inlineStr">
        <is>
          <t>[PROPOSED ENTRY — OWNER VALIDATION REQUIRED] Procedural and information requirements supporting the procurement regime</t>
        </is>
      </c>
      <c r="F19" s="24" t="inlineStr">
        <is>
          <t>Procurement / suppliers</t>
        </is>
      </c>
      <c r="G19" s="24" t="inlineStr">
        <is>
          <t>Procurement records, notices, procedures and AI supplier due diligence</t>
        </is>
      </c>
      <c r="H19" s="24" t="inlineStr">
        <is>
          <t>Where the Regulations apply to a procurement; Procurement/Legal to validate current amendments and transitional rules</t>
        </is>
      </c>
      <c r="I19" s="24" t="inlineStr">
        <is>
          <t>Procurement / Commercial / Contract Owner</t>
        </is>
      </c>
      <c r="J19" s="28" t="inlineStr"/>
      <c r="K19" s="28">
        <f>IF(ISNUMBER(J19),EDATE(J19,3),"")</f>
        <v/>
      </c>
      <c r="L19" s="24" t="inlineStr">
        <is>
          <t>Under review</t>
        </is>
      </c>
      <c r="M19" s="24" t="n"/>
      <c r="N19" s="24" t="inlineStr">
        <is>
          <t>Before reliance; on amendment; annual</t>
        </is>
      </c>
    </row>
    <row r="20" ht="15" customHeight="1" s="17">
      <c r="A20" s="24" t="inlineStr">
        <is>
          <t>SRC-EU-AIA-001</t>
        </is>
      </c>
      <c r="B20" s="24" t="inlineStr">
        <is>
          <t>EU Artificial Intelligence Act — consolidated text</t>
        </is>
      </c>
      <c r="C20" s="24" t="inlineStr">
        <is>
          <t>Regulation (EU) 2024/1689 consolidated to 27 July 2026; current version to validate</t>
        </is>
      </c>
      <c r="D20" s="38" t="inlineStr">
        <is>
          <t>https://eur-lex.europa.eu/legal-content/EN/TXT/HTML?uri=CELEX:02024R1689-20260727</t>
        </is>
      </c>
      <c r="E20" s="24" t="inlineStr">
        <is>
          <t>[PROPOSED ENTRY — OWNER VALIDATION REQUIRED] EU AI Act requirements, including Article 27 and Article 113 timetable</t>
        </is>
      </c>
      <c r="F20" s="24" t="inlineStr">
        <is>
          <t>Conditional EU legal scope</t>
        </is>
      </c>
      <c r="G20" s="24" t="inlineStr">
        <is>
          <t>AIG-AIMS-05 REQ-032; scope/role screening; FRIA design crosswalk AIG-ASS-12</t>
        </is>
      </c>
      <c r="H20" s="24" t="inlineStr">
        <is>
          <t>Only if territorial/material scope, actor role and relevant provisions engage; Legal/DPO to validate for each deployment and date</t>
        </is>
      </c>
      <c r="I20" s="24" t="inlineStr">
        <is>
          <t>Legal Services / Monitoring Officer</t>
        </is>
      </c>
      <c r="J20" s="28" t="inlineStr"/>
      <c r="K20" s="28">
        <f>IF(ISNUMBER(J20),EDATE(J20,3),"")</f>
        <v/>
      </c>
      <c r="L20" s="24" t="inlineStr">
        <is>
          <t>Under review</t>
        </is>
      </c>
      <c r="M20" s="24" t="inlineStr">
        <is>
          <t>AI Governance Lead</t>
        </is>
      </c>
      <c r="N20" s="24" t="inlineStr">
        <is>
          <t>Before reliance; on amendment; each scope review</t>
        </is>
      </c>
    </row>
    <row r="21" ht="15" customHeight="1" s="17">
      <c r="A21" s="24" t="inlineStr">
        <is>
          <t>SRC-EU-AIA-AMEND-001</t>
        </is>
      </c>
      <c r="B21" s="24" t="inlineStr">
        <is>
          <t>Regulation (EU) 2026/1744 amending the EU AI Act</t>
        </is>
      </c>
      <c r="C21" s="24" t="inlineStr">
        <is>
          <t>Enacted 2026; current text and legal effect to validate</t>
        </is>
      </c>
      <c r="D21" s="38" t="inlineStr">
        <is>
          <t>https://eur-lex.europa.eu/legal-content/EN/TXT/HTML/?uri=CELEX:32026R1744</t>
        </is>
      </c>
      <c r="E21" s="24" t="inlineStr">
        <is>
          <t>[PROPOSED ENTRY — OWNER VALIDATION REQUIRED] Amendment to Regulation (EU) 2024/1689, including Article 113 dates</t>
        </is>
      </c>
      <c r="F21" s="24" t="inlineStr">
        <is>
          <t>Conditional EU legal scope</t>
        </is>
      </c>
      <c r="G21" s="24" t="inlineStr">
        <is>
          <t>AIG-AIMS-05 REQ-032 and CHG-002/003; date and transition control</t>
        </is>
      </c>
      <c r="H21" s="24" t="inlineStr">
        <is>
          <t>Only where the EU AI Act applies; Legal to validate amendment effect, consolidated text and any transitional provisions</t>
        </is>
      </c>
      <c r="I21" s="24" t="inlineStr">
        <is>
          <t>Legal Services / Monitoring Officer</t>
        </is>
      </c>
      <c r="J21" s="28" t="inlineStr"/>
      <c r="K21" s="28">
        <f>IF(ISNUMBER(J21),EDATE(J21,3),"")</f>
        <v/>
      </c>
      <c r="L21" s="24" t="inlineStr">
        <is>
          <t>Under review</t>
        </is>
      </c>
      <c r="M21" s="24" t="inlineStr">
        <is>
          <t>AI Governance Lead</t>
        </is>
      </c>
      <c r="N21" s="24" t="inlineStr">
        <is>
          <t>Before reliance; on amendment; each scope review</t>
        </is>
      </c>
    </row>
    <row r="22" ht="15" customHeight="1" s="17">
      <c r="A22" s="24" t="inlineStr">
        <is>
          <t>SRC-STD-ISO42001-001</t>
        </is>
      </c>
      <c r="B22" s="24" t="inlineStr">
        <is>
          <t>ISO/IEC 42001:2023 — Artificial intelligence management systems</t>
        </is>
      </c>
      <c r="C22" s="24" t="inlineStr">
        <is>
          <t>ISO/IEC 42001:2023; edition/currency and licensed text to validate</t>
        </is>
      </c>
      <c r="D22" s="38" t="inlineStr">
        <is>
          <t>https://www.iso.org/standard/81230.html</t>
        </is>
      </c>
      <c r="E22" s="24" t="inlineStr">
        <is>
          <t>[PROPOSED ENTRY — OWNER VALIDATION REQUIRED] Voluntary AIMS requirements if adopted/contracted; alignment reference</t>
        </is>
      </c>
      <c r="F22" s="24" t="inlineStr">
        <is>
          <t>AIMS governance / assurance</t>
        </is>
      </c>
      <c r="G22" s="24" t="inlineStr">
        <is>
          <t>AIG-AIMS-05 REQ-040; AIMS clause crosswalk AIG-AIMS-12</t>
        </is>
      </c>
      <c r="H22" s="24" t="inlineStr">
        <is>
          <t>Voluntary unless formally adopted or contractually required; AI Governance Lead to validate edition, licence and Council adoption status</t>
        </is>
      </c>
      <c r="I22" s="24" t="inlineStr">
        <is>
          <t>AI Governance Lead</t>
        </is>
      </c>
      <c r="J22" s="28" t="inlineStr"/>
      <c r="K22" s="28">
        <f>IF(ISNUMBER(J22),EDATE(J22,3),"")</f>
        <v/>
      </c>
      <c r="L22" s="24" t="inlineStr">
        <is>
          <t>Under review</t>
        </is>
      </c>
      <c r="M22" s="24" t="inlineStr">
        <is>
          <t>Internal Audit / Independent Assurance</t>
        </is>
      </c>
      <c r="N22" s="24" t="inlineStr">
        <is>
          <t>Before reliance; on new edition; annual</t>
        </is>
      </c>
    </row>
    <row r="23" ht="15" customHeight="1" s="17">
      <c r="A23" s="24" t="inlineStr">
        <is>
          <t>SRC-STD-ISO23894-001</t>
        </is>
      </c>
      <c r="B23" s="24" t="inlineStr">
        <is>
          <t>ISO/IEC 23894:2023 — AI guidance on risk management</t>
        </is>
      </c>
      <c r="C23" s="24" t="inlineStr">
        <is>
          <t>ISO/IEC 23894:2023; edition/currency and licensed text to validate</t>
        </is>
      </c>
      <c r="D23" s="38" t="inlineStr">
        <is>
          <t>https://www.iso.org/standard/77304.html</t>
        </is>
      </c>
      <c r="E23" s="24" t="inlineStr">
        <is>
          <t>[PROPOSED ENTRY — OWNER VALIDATION REQUIRED] Voluntary risk-management guidance if adopted/used</t>
        </is>
      </c>
      <c r="F23" s="24" t="inlineStr">
        <is>
          <t>AI risk management</t>
        </is>
      </c>
      <c r="G23" s="24" t="inlineStr">
        <is>
          <t>AIG-AIMS-05 REQ-041; risk assessment and treatment controls</t>
        </is>
      </c>
      <c r="H23" s="24" t="inlineStr">
        <is>
          <t>Voluntary unless formally adopted or contractually required; Corporate Risk/AI Governance to validate edition, licence and intended use</t>
        </is>
      </c>
      <c r="I23" s="24" t="inlineStr">
        <is>
          <t>AI Governance Lead</t>
        </is>
      </c>
      <c r="J23" s="28" t="inlineStr"/>
      <c r="K23" s="28">
        <f>IF(ISNUMBER(J23),EDATE(J23,3),"")</f>
        <v/>
      </c>
      <c r="L23" s="24" t="inlineStr">
        <is>
          <t>Under review</t>
        </is>
      </c>
      <c r="M23" s="24" t="inlineStr">
        <is>
          <t>Corporate risk function</t>
        </is>
      </c>
      <c r="N23" s="24" t="inlineStr">
        <is>
          <t>Before reliance; on new edition; annual</t>
        </is>
      </c>
    </row>
    <row r="24" ht="15" customHeight="1" s="17">
      <c r="A24" s="24" t="inlineStr">
        <is>
          <t>SRC-FW-NIST-AIRM-001</t>
        </is>
      </c>
      <c r="B24" s="24" t="inlineStr">
        <is>
          <t>NIST AI Risk Management Framework (AI RMF 1.0)</t>
        </is>
      </c>
      <c r="C24" s="24" t="inlineStr">
        <is>
          <t>NIST AI 100-1, January 2023; voluntary framework</t>
        </is>
      </c>
      <c r="D24" s="38" t="inlineStr">
        <is>
          <t>https://nvlpubs.nist.gov/nistpubs/ai/NIST.AI.100-1.pdf</t>
        </is>
      </c>
      <c r="E24" s="24" t="inlineStr">
        <is>
          <t>[PROPOSED ENTRY — OWNER VALIDATION REQUIRED] Voluntary AI risk-management framework and alignment reference</t>
        </is>
      </c>
      <c r="F24" s="24" t="inlineStr">
        <is>
          <t>AI governance / risk management</t>
        </is>
      </c>
      <c r="G24" s="24" t="inlineStr">
        <is>
          <t>AIG-AIMS-12 crosswalk; risk and assurance controls</t>
        </is>
      </c>
      <c r="H24" s="24" t="inlineStr">
        <is>
          <t>Voluntary; use as an alignment reference only unless separately adopted; AI Governance Lead to validate current NIST version and mapping</t>
        </is>
      </c>
      <c r="I24" s="24" t="inlineStr">
        <is>
          <t>AI Governance Lead</t>
        </is>
      </c>
      <c r="J24" s="28" t="inlineStr"/>
      <c r="K24" s="28">
        <f>IF(ISNUMBER(J24),EDATE(J24,3),"")</f>
        <v/>
      </c>
      <c r="L24" s="24" t="inlineStr">
        <is>
          <t>Under review</t>
        </is>
      </c>
      <c r="M24" s="24" t="inlineStr">
        <is>
          <t>Corporate risk function</t>
        </is>
      </c>
      <c r="N24" s="24" t="inlineStr">
        <is>
          <t>Before reliance; on NIST update; annual</t>
        </is>
      </c>
    </row>
    <row r="25" ht="15" customHeight="1" s="17">
      <c r="A25" s="24" t="inlineStr">
        <is>
          <t>SRC-LAW-ICO-ADM-CODE-001</t>
        </is>
      </c>
      <c r="B25" s="24" t="inlineStr">
        <is>
          <t>The Data Protection Act 2018 (Code of Practice on Artificial Intelligence and Automated Decision-Making) Regulations 2026, and the ICO statutory code of practice it requires</t>
        </is>
      </c>
      <c r="C25" s="24" t="inlineStr">
        <is>
          <t>SI 2026/425; made 16 Apr 2026; in force 12 May 2026; code not yet issued</t>
        </is>
      </c>
      <c r="D25" s="38" t="inlineStr">
        <is>
          <t>https://www.legislation.gov.uk/uksi/2026/425/made</t>
        </is>
      </c>
      <c r="E25" s="24" t="inlineStr">
        <is>
          <t>[PROPOSED ENTRY — OWNER VALIDATION REQUIRED] The Information Commissioner must prepare a code of practice on processing personal data in developing and using AI and automated decision-making, including children’s data (AIG-AIMS-05 REQ-056, CHG-014)</t>
        </is>
      </c>
      <c r="F25" s="24" t="inlineStr">
        <is>
          <t>Data protection / privacy</t>
        </is>
      </c>
      <c r="G25" s="24" t="inlineStr">
        <is>
          <t>DPIA (AIG-ASS-05 section 5); automated decision-making safeguards; Playbook §4.6.1</t>
        </is>
      </c>
      <c r="H25" s="24" t="inlineStr">
        <is>
          <t>Personal data / automated decision-making / children’s data</t>
        </is>
      </c>
      <c r="I25" s="24" t="inlineStr">
        <is>
          <t>DPO / Information Governance</t>
        </is>
      </c>
      <c r="J25" s="28" t="n"/>
      <c r="K25" s="28">
        <f>IF(ISNUMBER(J25),EDATE(J25,3),"")</f>
        <v/>
      </c>
      <c r="L25" s="24" t="inlineStr">
        <is>
          <t>Horizon-watch</t>
        </is>
      </c>
      <c r="M25" s="24" t="inlineStr">
        <is>
          <t>Legal Services / AI Governance Lead</t>
        </is>
      </c>
      <c r="N25" s="24" t="inlineStr">
        <is>
          <t>Before reliance; on ICO consultation and on publication of the code; annual</t>
        </is>
      </c>
    </row>
    <row r="26" ht="15" customHeight="1" s="17">
      <c r="A26" s="24" t="inlineStr">
        <is>
          <t>SRC-STD-DAMA-DMBOK-001</t>
        </is>
      </c>
      <c r="B26" s="24" t="inlineStr">
        <is>
          <t>DAMA-DMBOK: Data Management Body of Knowledge, 2nd Edition Revised (DAMA International)</t>
        </is>
      </c>
      <c r="C26" s="24" t="inlineStr">
        <is>
          <t>2nd Edition Revised (2024)</t>
        </is>
      </c>
      <c r="D26" s="38" t="inlineStr">
        <is>
          <t>https://dama.org/articles/introducing-the-revised-dama-data-management-body-of-knowledge-2nd-edition</t>
        </is>
      </c>
      <c r="E26" s="24" t="inlineStr">
        <is>
          <t>[PROPOSED ENTRY — OWNER VALIDATION REQUIRED] Voluntary professional framework for data governance: accountable data ownership and stewardship, data quality, metadata and lineage (AIG-AIMS-05 REQ-057)</t>
        </is>
      </c>
      <c r="F26" s="24" t="inlineStr">
        <is>
          <t>Data governance / information management</t>
        </is>
      </c>
      <c r="G26" s="24" t="inlineStr">
        <is>
          <t>AI Register column AA Information asset reference (AIG-INV-04); Data Steward role (AIG-AIMS-04 ROL-20); DPIA and Intake ROPA reference (AIG-ASS-05, AIG-INV-03)</t>
        </is>
      </c>
      <c r="H26" s="24" t="inlineStr">
        <is>
          <t>AI systems that rely on Council data assets</t>
        </is>
      </c>
      <c r="I26" s="24" t="inlineStr">
        <is>
          <t>DPO / Information Governance</t>
        </is>
      </c>
      <c r="J26" s="28" t="n"/>
      <c r="K26" s="28">
        <f>IF(ISNUMBER(J26),EDATE(J26,3),"")</f>
        <v/>
      </c>
      <c r="L26" s="24" t="inlineStr">
        <is>
          <t>Under review</t>
        </is>
      </c>
      <c r="M26" s="24" t="inlineStr">
        <is>
          <t>AI Governance Lead</t>
        </is>
      </c>
      <c r="N26" s="24" t="inlineStr">
        <is>
          <t>Before reliance; on new edition; annual</t>
        </is>
      </c>
    </row>
    <row r="27" ht="15" customHeight="1" s="17">
      <c r="A27" s="24" t="inlineStr">
        <is>
          <t>SRC-STD-ISO-5259-001</t>
        </is>
      </c>
      <c r="B27" s="24" t="inlineStr">
        <is>
          <t>ISO/IEC 5259 series, Artificial intelligence — Data quality for analytics and machine learning (ML)</t>
        </is>
      </c>
      <c r="C27" s="24" t="inlineStr">
        <is>
          <t>ISO/IEC 5259-1:2024 and later parts</t>
        </is>
      </c>
      <c r="D27" s="38" t="inlineStr">
        <is>
          <t>https://www.iso.org/standard/81088.html</t>
        </is>
      </c>
      <c r="E27" s="24" t="inlineStr">
        <is>
          <t>[PROPOSED ENTRY — OWNER VALIDATION REQUIRED] Voluntary international standard for data quality in analytics and ML: terminology, quality measures, management requirements and process framework (AIG-AIMS-05 REQ-058). Licensed standard, identified by edition only</t>
        </is>
      </c>
      <c r="F27" s="24" t="inlineStr">
        <is>
          <t>Data governance / model assurance</t>
        </is>
      </c>
      <c r="G27" s="24" t="inlineStr">
        <is>
          <t>Model Card data and fairness sections (AIG-ASS-09); AI Register column AA (AIG-INV-04); Data Steward role (AIG-AIMS-04 ROL-20)</t>
        </is>
      </c>
      <c r="H27" s="24" t="inlineStr">
        <is>
          <t>AI systems trained, tuned or evaluated on Council data</t>
        </is>
      </c>
      <c r="I27" s="24" t="inlineStr">
        <is>
          <t>DPO / Information Governance</t>
        </is>
      </c>
      <c r="J27" s="28" t="n"/>
      <c r="K27" s="28">
        <f>IF(ISNUMBER(J27),EDATE(J27,3),"")</f>
        <v/>
      </c>
      <c r="L27" s="24" t="inlineStr">
        <is>
          <t>Under review</t>
        </is>
      </c>
      <c r="M27" s="24" t="inlineStr">
        <is>
          <t>AI Governance Lead / Digital and data</t>
        </is>
      </c>
      <c r="N27" s="24" t="inlineStr">
        <is>
          <t>Before reliance; on publication of further parts; annual</t>
        </is>
      </c>
    </row>
    <row r="28" ht="15" customHeight="1" s="17">
      <c r="A28" s="24" t="n"/>
      <c r="B28" s="24" t="n"/>
      <c r="C28" s="24" t="n"/>
      <c r="D28" s="24" t="n"/>
      <c r="E28" s="24" t="n"/>
      <c r="F28" s="24" t="n"/>
      <c r="G28" s="24" t="n"/>
      <c r="H28" s="24" t="n"/>
      <c r="I28" s="24" t="n"/>
      <c r="J28" s="28" t="n"/>
      <c r="K28" s="28">
        <f>IF(ISNUMBER(J28),EDATE(J28,3),"")</f>
        <v/>
      </c>
      <c r="L28" s="24" t="n"/>
      <c r="M28" s="24" t="n"/>
      <c r="N28" s="24" t="n"/>
    </row>
    <row r="29" ht="15" customHeight="1" s="17">
      <c r="A29" s="24" t="n"/>
      <c r="B29" s="24" t="n"/>
      <c r="C29" s="24" t="n"/>
      <c r="D29" s="24" t="n"/>
      <c r="E29" s="24" t="n"/>
      <c r="F29" s="24" t="n"/>
      <c r="G29" s="24" t="n"/>
      <c r="H29" s="24" t="n"/>
      <c r="I29" s="24" t="n"/>
      <c r="J29" s="28" t="n"/>
      <c r="K29" s="28">
        <f>IF(ISNUMBER(J29),EDATE(J29,3),"")</f>
        <v/>
      </c>
      <c r="L29" s="24" t="n"/>
      <c r="M29" s="24" t="n"/>
      <c r="N29" s="24" t="n"/>
    </row>
    <row r="30" ht="15" customHeight="1" s="17">
      <c r="A30" s="24" t="n"/>
      <c r="B30" s="24" t="n"/>
      <c r="C30" s="24" t="n"/>
      <c r="D30" s="24" t="n"/>
      <c r="E30" s="24" t="n"/>
      <c r="F30" s="24" t="n"/>
      <c r="G30" s="24" t="n"/>
      <c r="H30" s="24" t="n"/>
      <c r="I30" s="24" t="n"/>
      <c r="J30" s="28" t="n"/>
      <c r="K30" s="28">
        <f>IF(ISNUMBER(J30),EDATE(J30,3),"")</f>
        <v/>
      </c>
      <c r="L30" s="24" t="n"/>
      <c r="M30" s="24" t="n"/>
      <c r="N30" s="24" t="n"/>
    </row>
    <row r="31" ht="15" customHeight="1" s="17">
      <c r="A31" s="24" t="n"/>
      <c r="B31" s="24" t="n"/>
      <c r="C31" s="24" t="n"/>
      <c r="D31" s="24" t="n"/>
      <c r="E31" s="24" t="n"/>
      <c r="F31" s="24" t="n"/>
      <c r="G31" s="24" t="n"/>
      <c r="H31" s="24" t="n"/>
      <c r="I31" s="24" t="n"/>
      <c r="J31" s="28" t="n"/>
      <c r="K31" s="28">
        <f>IF(ISNUMBER(J31),EDATE(J31,3),"")</f>
        <v/>
      </c>
      <c r="L31" s="24" t="n"/>
      <c r="M31" s="24" t="n"/>
      <c r="N31" s="24" t="n"/>
    </row>
    <row r="32" ht="15" customHeight="1" s="17">
      <c r="A32" s="24" t="n"/>
      <c r="B32" s="24" t="n"/>
      <c r="C32" s="24" t="n"/>
      <c r="D32" s="24" t="n"/>
      <c r="E32" s="24" t="n"/>
      <c r="F32" s="24" t="n"/>
      <c r="G32" s="24" t="n"/>
      <c r="H32" s="24" t="n"/>
      <c r="I32" s="24" t="n"/>
      <c r="J32" s="28" t="n"/>
      <c r="K32" s="28">
        <f>IF(ISNUMBER(J32),EDATE(J32,3),"")</f>
        <v/>
      </c>
      <c r="L32" s="24" t="n"/>
      <c r="M32" s="24" t="n"/>
      <c r="N32" s="24" t="n"/>
    </row>
    <row r="33" ht="15" customHeight="1" s="17">
      <c r="A33" s="24" t="n"/>
      <c r="B33" s="24" t="n"/>
      <c r="C33" s="24" t="n"/>
      <c r="D33" s="24" t="n"/>
      <c r="E33" s="24" t="n"/>
      <c r="F33" s="24" t="n"/>
      <c r="G33" s="24" t="n"/>
      <c r="H33" s="24" t="n"/>
      <c r="I33" s="24" t="n"/>
      <c r="J33" s="28" t="n"/>
      <c r="K33" s="28">
        <f>IF(ISNUMBER(J33),EDATE(J33,3),"")</f>
        <v/>
      </c>
      <c r="L33" s="24" t="n"/>
      <c r="M33" s="24" t="n"/>
      <c r="N33" s="24" t="n"/>
    </row>
    <row r="34" ht="15" customHeight="1" s="17">
      <c r="A34" s="24" t="n"/>
      <c r="B34" s="24" t="n"/>
      <c r="C34" s="24" t="n"/>
      <c r="D34" s="24" t="n"/>
      <c r="E34" s="24" t="n"/>
      <c r="F34" s="24" t="n"/>
      <c r="G34" s="24" t="n"/>
      <c r="H34" s="24" t="n"/>
      <c r="I34" s="24" t="n"/>
      <c r="J34" s="28" t="n"/>
      <c r="K34" s="28">
        <f>IF(ISNUMBER(J34),EDATE(J34,3),"")</f>
        <v/>
      </c>
      <c r="L34" s="24" t="n"/>
      <c r="M34" s="24" t="n"/>
      <c r="N34" s="24" t="n"/>
    </row>
    <row r="35" ht="15" customHeight="1" s="17">
      <c r="A35" s="24" t="n"/>
      <c r="B35" s="24" t="n"/>
      <c r="C35" s="24" t="n"/>
      <c r="D35" s="24" t="n"/>
      <c r="E35" s="24" t="n"/>
      <c r="F35" s="24" t="n"/>
      <c r="G35" s="24" t="n"/>
      <c r="H35" s="24" t="n"/>
      <c r="I35" s="24" t="n"/>
      <c r="J35" s="28" t="n"/>
      <c r="K35" s="28">
        <f>IF(ISNUMBER(J35),EDATE(J35,3),"")</f>
        <v/>
      </c>
      <c r="L35" s="24" t="n"/>
      <c r="M35" s="24" t="n"/>
      <c r="N35" s="24" t="n"/>
    </row>
    <row r="36" ht="15" customHeight="1" s="17">
      <c r="A36" s="24" t="n"/>
      <c r="B36" s="24" t="n"/>
      <c r="C36" s="24" t="n"/>
      <c r="D36" s="24" t="n"/>
      <c r="E36" s="24" t="n"/>
      <c r="F36" s="24" t="n"/>
      <c r="G36" s="24" t="n"/>
      <c r="H36" s="24" t="n"/>
      <c r="I36" s="24" t="n"/>
      <c r="J36" s="28" t="n"/>
      <c r="K36" s="28">
        <f>IF(ISNUMBER(J36),EDATE(J36,3),"")</f>
        <v/>
      </c>
      <c r="L36" s="24" t="n"/>
      <c r="M36" s="24" t="n"/>
      <c r="N36" s="24" t="n"/>
    </row>
    <row r="37" ht="15" customHeight="1" s="17">
      <c r="A37" s="24" t="n"/>
      <c r="B37" s="24" t="n"/>
      <c r="C37" s="24" t="n"/>
      <c r="D37" s="24" t="n"/>
      <c r="E37" s="24" t="n"/>
      <c r="F37" s="24" t="n"/>
      <c r="G37" s="24" t="n"/>
      <c r="H37" s="24" t="n"/>
      <c r="I37" s="24" t="n"/>
      <c r="J37" s="28" t="n"/>
      <c r="K37" s="28">
        <f>IF(ISNUMBER(J37),EDATE(J37,3),"")</f>
        <v/>
      </c>
      <c r="L37" s="24" t="n"/>
      <c r="M37" s="24" t="n"/>
      <c r="N37" s="24" t="n"/>
    </row>
    <row r="38" ht="15" customHeight="1" s="17">
      <c r="A38" s="24" t="n"/>
      <c r="B38" s="24" t="n"/>
      <c r="C38" s="24" t="n"/>
      <c r="D38" s="24" t="n"/>
      <c r="E38" s="24" t="n"/>
      <c r="F38" s="24" t="n"/>
      <c r="G38" s="24" t="n"/>
      <c r="H38" s="24" t="n"/>
      <c r="I38" s="24" t="n"/>
      <c r="J38" s="28" t="n"/>
      <c r="K38" s="28">
        <f>IF(ISNUMBER(J38),EDATE(J38,3),"")</f>
        <v/>
      </c>
      <c r="L38" s="24" t="n"/>
      <c r="M38" s="24" t="n"/>
      <c r="N38" s="24" t="n"/>
    </row>
    <row r="39" ht="15" customHeight="1" s="17">
      <c r="A39" s="24" t="n"/>
      <c r="B39" s="24" t="n"/>
      <c r="C39" s="24" t="n"/>
      <c r="D39" s="24" t="n"/>
      <c r="E39" s="24" t="n"/>
      <c r="F39" s="24" t="n"/>
      <c r="G39" s="24" t="n"/>
      <c r="H39" s="24" t="n"/>
      <c r="I39" s="24" t="n"/>
      <c r="J39" s="28" t="n"/>
      <c r="K39" s="28">
        <f>IF(ISNUMBER(J39),EDATE(J39,3),"")</f>
        <v/>
      </c>
      <c r="L39" s="24" t="n"/>
      <c r="M39" s="24" t="n"/>
      <c r="N39" s="24" t="n"/>
    </row>
    <row r="40" ht="15" customHeight="1" s="17">
      <c r="A40" s="24" t="n"/>
      <c r="B40" s="24" t="n"/>
      <c r="C40" s="24" t="n"/>
      <c r="D40" s="24" t="n"/>
      <c r="E40" s="24" t="n"/>
      <c r="F40" s="24" t="n"/>
      <c r="G40" s="24" t="n"/>
      <c r="H40" s="24" t="n"/>
      <c r="I40" s="24" t="n"/>
      <c r="J40" s="28" t="n"/>
      <c r="K40" s="28">
        <f>IF(ISNUMBER(J40),EDATE(J40,3),"")</f>
        <v/>
      </c>
      <c r="L40" s="24" t="n"/>
      <c r="M40" s="24" t="n"/>
      <c r="N40" s="24" t="n"/>
    </row>
    <row r="41" ht="15" customHeight="1" s="17">
      <c r="A41" s="24" t="n"/>
      <c r="B41" s="24" t="n"/>
      <c r="C41" s="24" t="n"/>
      <c r="D41" s="24" t="n"/>
      <c r="E41" s="24" t="n"/>
      <c r="F41" s="24" t="n"/>
      <c r="G41" s="24" t="n"/>
      <c r="H41" s="24" t="n"/>
      <c r="I41" s="24" t="n"/>
      <c r="J41" s="28" t="n"/>
      <c r="K41" s="28">
        <f>IF(ISNUMBER(J41),EDATE(J41,3),"")</f>
        <v/>
      </c>
      <c r="L41" s="24" t="n"/>
      <c r="M41" s="24" t="n"/>
      <c r="N41" s="24" t="n"/>
    </row>
    <row r="42" ht="15" customHeight="1" s="17">
      <c r="A42" s="24" t="n"/>
      <c r="B42" s="24" t="n"/>
      <c r="C42" s="24" t="n"/>
      <c r="D42" s="24" t="n"/>
      <c r="E42" s="24" t="n"/>
      <c r="F42" s="24" t="n"/>
      <c r="G42" s="24" t="n"/>
      <c r="H42" s="24" t="n"/>
      <c r="I42" s="24" t="n"/>
      <c r="J42" s="28" t="n"/>
      <c r="K42" s="28">
        <f>IF(ISNUMBER(J42),EDATE(J42,3),"")</f>
        <v/>
      </c>
      <c r="L42" s="24" t="n"/>
      <c r="M42" s="24" t="n"/>
      <c r="N42" s="24" t="n"/>
    </row>
    <row r="43" ht="15" customHeight="1" s="17">
      <c r="A43" s="24" t="n"/>
      <c r="B43" s="24" t="n"/>
      <c r="C43" s="24" t="n"/>
      <c r="D43" s="24" t="n"/>
      <c r="E43" s="24" t="n"/>
      <c r="F43" s="24" t="n"/>
      <c r="G43" s="24" t="n"/>
      <c r="H43" s="24" t="n"/>
      <c r="I43" s="24" t="n"/>
      <c r="J43" s="28" t="n"/>
      <c r="K43" s="28">
        <f>IF(ISNUMBER(J43),EDATE(J43,3),"")</f>
        <v/>
      </c>
      <c r="L43" s="24" t="n"/>
      <c r="M43" s="24" t="n"/>
      <c r="N43" s="24" t="n"/>
    </row>
    <row r="44" ht="15" customHeight="1" s="17">
      <c r="A44" s="24" t="n"/>
      <c r="B44" s="24" t="n"/>
      <c r="C44" s="24" t="n"/>
      <c r="D44" s="24" t="n"/>
      <c r="E44" s="24" t="n"/>
      <c r="F44" s="24" t="n"/>
      <c r="G44" s="24" t="n"/>
      <c r="H44" s="24" t="n"/>
      <c r="I44" s="24" t="n"/>
      <c r="J44" s="28" t="n"/>
      <c r="K44" s="28">
        <f>IF(ISNUMBER(J44),EDATE(J44,3),"")</f>
        <v/>
      </c>
      <c r="L44" s="24" t="n"/>
      <c r="M44" s="24" t="n"/>
      <c r="N44" s="24" t="n"/>
    </row>
    <row r="45" ht="15" customHeight="1" s="17">
      <c r="A45" s="24" t="n"/>
      <c r="B45" s="24" t="n"/>
      <c r="C45" s="24" t="n"/>
      <c r="D45" s="24" t="n"/>
      <c r="E45" s="24" t="n"/>
      <c r="F45" s="24" t="n"/>
      <c r="G45" s="24" t="n"/>
      <c r="H45" s="24" t="n"/>
      <c r="I45" s="24" t="n"/>
      <c r="J45" s="28" t="n"/>
      <c r="K45" s="28">
        <f>IF(ISNUMBER(J45),EDATE(J45,3),"")</f>
        <v/>
      </c>
      <c r="L45" s="24" t="n"/>
      <c r="M45" s="24" t="n"/>
      <c r="N45" s="24" t="n"/>
    </row>
    <row r="46" ht="15" customHeight="1" s="17">
      <c r="A46" s="24" t="n"/>
      <c r="B46" s="24" t="n"/>
      <c r="C46" s="24" t="n"/>
      <c r="D46" s="24" t="n"/>
      <c r="E46" s="24" t="n"/>
      <c r="F46" s="24" t="n"/>
      <c r="G46" s="24" t="n"/>
      <c r="H46" s="24" t="n"/>
      <c r="I46" s="24" t="n"/>
      <c r="J46" s="28" t="n"/>
      <c r="K46" s="28">
        <f>IF(ISNUMBER(J46),EDATE(J46,3),"")</f>
        <v/>
      </c>
      <c r="L46" s="24" t="n"/>
      <c r="M46" s="24" t="n"/>
      <c r="N46" s="24" t="n"/>
    </row>
    <row r="47" ht="15" customHeight="1" s="17">
      <c r="A47" s="24" t="n"/>
      <c r="B47" s="24" t="n"/>
      <c r="C47" s="24" t="n"/>
      <c r="D47" s="24" t="n"/>
      <c r="E47" s="24" t="n"/>
      <c r="F47" s="24" t="n"/>
      <c r="G47" s="24" t="n"/>
      <c r="H47" s="24" t="n"/>
      <c r="I47" s="24" t="n"/>
      <c r="J47" s="28" t="n"/>
      <c r="K47" s="28">
        <f>IF(ISNUMBER(J47),EDATE(J47,3),"")</f>
        <v/>
      </c>
      <c r="L47" s="24" t="n"/>
      <c r="M47" s="24" t="n"/>
      <c r="N47" s="24" t="n"/>
    </row>
    <row r="48" ht="15" customHeight="1" s="17">
      <c r="A48" s="24" t="n"/>
      <c r="B48" s="24" t="n"/>
      <c r="C48" s="24" t="n"/>
      <c r="D48" s="24" t="n"/>
      <c r="E48" s="24" t="n"/>
      <c r="F48" s="24" t="n"/>
      <c r="G48" s="24" t="n"/>
      <c r="H48" s="24" t="n"/>
      <c r="I48" s="24" t="n"/>
      <c r="J48" s="28" t="n"/>
      <c r="K48" s="28">
        <f>IF(ISNUMBER(J48),EDATE(J48,3),"")</f>
        <v/>
      </c>
      <c r="L48" s="24" t="n"/>
      <c r="M48" s="24" t="n"/>
      <c r="N48" s="24" t="n"/>
    </row>
    <row r="49" ht="15" customHeight="1" s="17">
      <c r="A49" s="24" t="n"/>
      <c r="B49" s="24" t="n"/>
      <c r="C49" s="24" t="n"/>
      <c r="D49" s="24" t="n"/>
      <c r="E49" s="24" t="n"/>
      <c r="F49" s="24" t="n"/>
      <c r="G49" s="24" t="n"/>
      <c r="H49" s="24" t="n"/>
      <c r="I49" s="24" t="n"/>
      <c r="J49" s="28" t="n"/>
      <c r="K49" s="28">
        <f>IF(ISNUMBER(J49),EDATE(J49,3),"")</f>
        <v/>
      </c>
      <c r="L49" s="24" t="n"/>
      <c r="M49" s="24" t="n"/>
      <c r="N49" s="24" t="n"/>
    </row>
    <row r="50" ht="15" customHeight="1" s="17">
      <c r="A50" s="24" t="n"/>
      <c r="B50" s="24" t="n"/>
      <c r="C50" s="24" t="n"/>
      <c r="D50" s="24" t="n"/>
      <c r="E50" s="24" t="n"/>
      <c r="F50" s="24" t="n"/>
      <c r="G50" s="24" t="n"/>
      <c r="H50" s="24" t="n"/>
      <c r="I50" s="24" t="n"/>
      <c r="J50" s="28" t="n"/>
      <c r="K50" s="28">
        <f>IF(ISNUMBER(J50),EDATE(J50,3),"")</f>
        <v/>
      </c>
      <c r="L50" s="24" t="n"/>
      <c r="M50" s="24" t="n"/>
      <c r="N50" s="24" t="n"/>
    </row>
    <row r="51" ht="15" customHeight="1" s="17">
      <c r="A51" s="24" t="n"/>
      <c r="B51" s="24" t="n"/>
      <c r="C51" s="24" t="n"/>
      <c r="D51" s="24" t="n"/>
      <c r="E51" s="24" t="n"/>
      <c r="F51" s="24" t="n"/>
      <c r="G51" s="24" t="n"/>
      <c r="H51" s="24" t="n"/>
      <c r="I51" s="24" t="n"/>
      <c r="J51" s="28" t="n"/>
      <c r="K51" s="28">
        <f>IF(ISNUMBER(J51),EDATE(J51,3),"")</f>
        <v/>
      </c>
      <c r="L51" s="24" t="n"/>
      <c r="M51" s="24" t="n"/>
      <c r="N51" s="24" t="n"/>
    </row>
    <row r="52" ht="15" customHeight="1" s="17">
      <c r="A52" s="24" t="n"/>
      <c r="B52" s="24" t="n"/>
      <c r="C52" s="24" t="n"/>
      <c r="D52" s="24" t="n"/>
      <c r="E52" s="24" t="n"/>
      <c r="F52" s="24" t="n"/>
      <c r="G52" s="24" t="n"/>
      <c r="H52" s="24" t="n"/>
      <c r="I52" s="24" t="n"/>
      <c r="J52" s="28" t="n"/>
      <c r="K52" s="28">
        <f>IF(ISNUMBER(J52),EDATE(J52,3),"")</f>
        <v/>
      </c>
      <c r="L52" s="24" t="n"/>
      <c r="M52" s="24" t="n"/>
      <c r="N52" s="24" t="n"/>
    </row>
    <row r="53" ht="15" customHeight="1" s="17">
      <c r="A53" s="24" t="n"/>
      <c r="B53" s="24" t="n"/>
      <c r="C53" s="24" t="n"/>
      <c r="D53" s="24" t="n"/>
      <c r="E53" s="24" t="n"/>
      <c r="F53" s="24" t="n"/>
      <c r="G53" s="24" t="n"/>
      <c r="H53" s="24" t="n"/>
      <c r="I53" s="24" t="n"/>
      <c r="J53" s="28" t="n"/>
      <c r="K53" s="28">
        <f>IF(ISNUMBER(J53),EDATE(J53,3),"")</f>
        <v/>
      </c>
      <c r="L53" s="24" t="n"/>
      <c r="M53" s="24" t="n"/>
      <c r="N53" s="24" t="n"/>
    </row>
    <row r="54" ht="15" customHeight="1" s="17">
      <c r="A54" s="24" t="n"/>
      <c r="B54" s="24" t="n"/>
      <c r="C54" s="24" t="n"/>
      <c r="D54" s="24" t="n"/>
      <c r="E54" s="24" t="n"/>
      <c r="F54" s="24" t="n"/>
      <c r="G54" s="24" t="n"/>
      <c r="H54" s="24" t="n"/>
      <c r="I54" s="24" t="n"/>
      <c r="J54" s="28" t="n"/>
      <c r="K54" s="28">
        <f>IF(ISNUMBER(J54),EDATE(J54,3),"")</f>
        <v/>
      </c>
      <c r="L54" s="24" t="n"/>
      <c r="M54" s="24" t="n"/>
      <c r="N54" s="24" t="n"/>
    </row>
    <row r="55" ht="15" customHeight="1" s="17">
      <c r="A55" s="24" t="n"/>
      <c r="B55" s="24" t="n"/>
      <c r="C55" s="24" t="n"/>
      <c r="D55" s="24" t="n"/>
      <c r="E55" s="24" t="n"/>
      <c r="F55" s="24" t="n"/>
      <c r="G55" s="24" t="n"/>
      <c r="H55" s="24" t="n"/>
      <c r="I55" s="24" t="n"/>
      <c r="J55" s="28" t="n"/>
      <c r="K55" s="28">
        <f>IF(ISNUMBER(J55),EDATE(J55,3),"")</f>
        <v/>
      </c>
      <c r="L55" s="24" t="n"/>
      <c r="M55" s="24" t="n"/>
      <c r="N55" s="24" t="n"/>
    </row>
    <row r="56" ht="15" customHeight="1" s="17">
      <c r="A56" s="24" t="n"/>
      <c r="B56" s="24" t="n"/>
      <c r="C56" s="24" t="n"/>
      <c r="D56" s="24" t="n"/>
      <c r="E56" s="24" t="n"/>
      <c r="F56" s="24" t="n"/>
      <c r="G56" s="24" t="n"/>
      <c r="H56" s="24" t="n"/>
      <c r="I56" s="24" t="n"/>
      <c r="J56" s="28" t="n"/>
      <c r="K56" s="28">
        <f>IF(ISNUMBER(J56),EDATE(J56,3),"")</f>
        <v/>
      </c>
      <c r="L56" s="24" t="n"/>
      <c r="M56" s="24" t="n"/>
      <c r="N56" s="24" t="n"/>
    </row>
    <row r="57" ht="15" customHeight="1" s="17">
      <c r="A57" s="24" t="n"/>
      <c r="B57" s="24" t="n"/>
      <c r="C57" s="24" t="n"/>
      <c r="D57" s="24" t="n"/>
      <c r="E57" s="24" t="n"/>
      <c r="F57" s="24" t="n"/>
      <c r="G57" s="24" t="n"/>
      <c r="H57" s="24" t="n"/>
      <c r="I57" s="24" t="n"/>
      <c r="J57" s="28" t="n"/>
      <c r="K57" s="28">
        <f>IF(ISNUMBER(J57),EDATE(J57,3),"")</f>
        <v/>
      </c>
      <c r="L57" s="24" t="n"/>
      <c r="M57" s="24" t="n"/>
      <c r="N57" s="24" t="n"/>
    </row>
    <row r="58" ht="15" customHeight="1" s="17">
      <c r="A58" s="24" t="n"/>
      <c r="B58" s="24" t="n"/>
      <c r="C58" s="24" t="n"/>
      <c r="D58" s="24" t="n"/>
      <c r="E58" s="24" t="n"/>
      <c r="F58" s="24" t="n"/>
      <c r="G58" s="24" t="n"/>
      <c r="H58" s="24" t="n"/>
      <c r="I58" s="24" t="n"/>
      <c r="J58" s="28" t="n"/>
      <c r="K58" s="28">
        <f>IF(ISNUMBER(J58),EDATE(J58,3),"")</f>
        <v/>
      </c>
      <c r="L58" s="24" t="n"/>
      <c r="M58" s="24" t="n"/>
      <c r="N58" s="24" t="n"/>
    </row>
    <row r="59" ht="15" customHeight="1" s="17">
      <c r="A59" s="24" t="n"/>
      <c r="B59" s="24" t="n"/>
      <c r="C59" s="24" t="n"/>
      <c r="D59" s="24" t="n"/>
      <c r="E59" s="24" t="n"/>
      <c r="F59" s="24" t="n"/>
      <c r="G59" s="24" t="n"/>
      <c r="H59" s="24" t="n"/>
      <c r="I59" s="24" t="n"/>
      <c r="J59" s="28" t="n"/>
      <c r="K59" s="28">
        <f>IF(ISNUMBER(J59),EDATE(J59,3),"")</f>
        <v/>
      </c>
      <c r="L59" s="24" t="n"/>
      <c r="M59" s="24" t="n"/>
      <c r="N59" s="24" t="n"/>
    </row>
    <row r="60" ht="15" customHeight="1" s="17">
      <c r="A60" s="24" t="n"/>
      <c r="B60" s="24" t="n"/>
      <c r="C60" s="24" t="n"/>
      <c r="D60" s="24" t="n"/>
      <c r="E60" s="24" t="n"/>
      <c r="F60" s="24" t="n"/>
      <c r="G60" s="24" t="n"/>
      <c r="H60" s="24" t="n"/>
      <c r="I60" s="24" t="n"/>
      <c r="J60" s="28" t="n"/>
      <c r="K60" s="28">
        <f>IF(ISNUMBER(J60),EDATE(J60,3),"")</f>
        <v/>
      </c>
      <c r="L60" s="24" t="n"/>
      <c r="M60" s="24" t="n"/>
      <c r="N60" s="24" t="n"/>
    </row>
    <row r="61" ht="15" customHeight="1" s="17">
      <c r="A61" s="24" t="n"/>
      <c r="B61" s="24" t="n"/>
      <c r="C61" s="24" t="n"/>
      <c r="D61" s="24" t="n"/>
      <c r="E61" s="24" t="n"/>
      <c r="F61" s="24" t="n"/>
      <c r="G61" s="24" t="n"/>
      <c r="H61" s="24" t="n"/>
      <c r="I61" s="24" t="n"/>
      <c r="J61" s="28" t="n"/>
      <c r="K61" s="28">
        <f>IF(ISNUMBER(J61),EDATE(J61,3),"")</f>
        <v/>
      </c>
      <c r="L61" s="24" t="n"/>
      <c r="M61" s="24" t="n"/>
      <c r="N61" s="24" t="n"/>
    </row>
    <row r="62" ht="15" customHeight="1" s="17">
      <c r="A62" s="24" t="n"/>
      <c r="B62" s="24" t="n"/>
      <c r="C62" s="24" t="n"/>
      <c r="D62" s="24" t="n"/>
      <c r="E62" s="24" t="n"/>
      <c r="F62" s="24" t="n"/>
      <c r="G62" s="24" t="n"/>
      <c r="H62" s="24" t="n"/>
      <c r="I62" s="24" t="n"/>
      <c r="J62" s="28" t="n"/>
      <c r="K62" s="28">
        <f>IF(ISNUMBER(J62),EDATE(J62,3),"")</f>
        <v/>
      </c>
      <c r="L62" s="24" t="n"/>
      <c r="M62" s="24" t="n"/>
      <c r="N62" s="24" t="n"/>
    </row>
    <row r="63" ht="15" customHeight="1" s="17">
      <c r="A63" s="24" t="n"/>
      <c r="B63" s="24" t="n"/>
      <c r="C63" s="24" t="n"/>
      <c r="D63" s="24" t="n"/>
      <c r="E63" s="24" t="n"/>
      <c r="F63" s="24" t="n"/>
      <c r="G63" s="24" t="n"/>
      <c r="H63" s="24" t="n"/>
      <c r="I63" s="24" t="n"/>
      <c r="J63" s="28" t="n"/>
      <c r="K63" s="28">
        <f>IF(ISNUMBER(J63),EDATE(J63,3),"")</f>
        <v/>
      </c>
      <c r="L63" s="24" t="n"/>
      <c r="M63" s="24" t="n"/>
      <c r="N63" s="24" t="n"/>
    </row>
    <row r="64" ht="15" customHeight="1" s="17">
      <c r="A64" s="24" t="n"/>
      <c r="B64" s="24" t="n"/>
      <c r="C64" s="24" t="n"/>
      <c r="D64" s="24" t="n"/>
      <c r="E64" s="24" t="n"/>
      <c r="F64" s="24" t="n"/>
      <c r="G64" s="24" t="n"/>
      <c r="H64" s="24" t="n"/>
      <c r="I64" s="24" t="n"/>
      <c r="J64" s="28" t="n"/>
      <c r="K64" s="28">
        <f>IF(ISNUMBER(J64),EDATE(J64,3),"")</f>
        <v/>
      </c>
      <c r="L64" s="24" t="n"/>
      <c r="M64" s="24" t="n"/>
      <c r="N64" s="24" t="n"/>
    </row>
    <row r="65" ht="15" customHeight="1" s="17">
      <c r="A65" s="24" t="n"/>
      <c r="B65" s="24" t="n"/>
      <c r="C65" s="24" t="n"/>
      <c r="D65" s="24" t="n"/>
      <c r="E65" s="24" t="n"/>
      <c r="F65" s="24" t="n"/>
      <c r="G65" s="24" t="n"/>
      <c r="H65" s="24" t="n"/>
      <c r="I65" s="24" t="n"/>
      <c r="J65" s="28" t="n"/>
      <c r="K65" s="28">
        <f>IF(ISNUMBER(J65),EDATE(J65,3),"")</f>
        <v/>
      </c>
      <c r="L65" s="24" t="n"/>
      <c r="M65" s="24" t="n"/>
      <c r="N65" s="24" t="n"/>
    </row>
    <row r="66" ht="15" customHeight="1" s="17">
      <c r="A66" s="24" t="n"/>
      <c r="B66" s="24" t="n"/>
      <c r="C66" s="24" t="n"/>
      <c r="D66" s="24" t="n"/>
      <c r="E66" s="24" t="n"/>
      <c r="F66" s="24" t="n"/>
      <c r="G66" s="24" t="n"/>
      <c r="H66" s="24" t="n"/>
      <c r="I66" s="24" t="n"/>
      <c r="J66" s="28" t="n"/>
      <c r="K66" s="28">
        <f>IF(ISNUMBER(J66),EDATE(J66,3),"")</f>
        <v/>
      </c>
      <c r="L66" s="24" t="n"/>
      <c r="M66" s="24" t="n"/>
      <c r="N66" s="24" t="n"/>
    </row>
    <row r="67" ht="15" customHeight="1" s="17">
      <c r="A67" s="24" t="n"/>
      <c r="B67" s="24" t="n"/>
      <c r="C67" s="24" t="n"/>
      <c r="D67" s="24" t="n"/>
      <c r="E67" s="24" t="n"/>
      <c r="F67" s="24" t="n"/>
      <c r="G67" s="24" t="n"/>
      <c r="H67" s="24" t="n"/>
      <c r="I67" s="24" t="n"/>
      <c r="J67" s="28" t="n"/>
      <c r="K67" s="28">
        <f>IF(ISNUMBER(J67),EDATE(J67,3),"")</f>
        <v/>
      </c>
      <c r="L67" s="24" t="n"/>
      <c r="M67" s="24" t="n"/>
      <c r="N67" s="24" t="n"/>
    </row>
    <row r="68" ht="15" customHeight="1" s="17">
      <c r="A68" s="24" t="n"/>
      <c r="B68" s="24" t="n"/>
      <c r="C68" s="24" t="n"/>
      <c r="D68" s="24" t="n"/>
      <c r="E68" s="24" t="n"/>
      <c r="F68" s="24" t="n"/>
      <c r="G68" s="24" t="n"/>
      <c r="H68" s="24" t="n"/>
      <c r="I68" s="24" t="n"/>
      <c r="J68" s="28" t="n"/>
      <c r="K68" s="28">
        <f>IF(ISNUMBER(J68),EDATE(J68,3),"")</f>
        <v/>
      </c>
      <c r="L68" s="24" t="n"/>
      <c r="M68" s="24" t="n"/>
      <c r="N68" s="24" t="n"/>
    </row>
    <row r="69" ht="15" customHeight="1" s="17">
      <c r="A69" s="24" t="n"/>
      <c r="B69" s="24" t="n"/>
      <c r="C69" s="24" t="n"/>
      <c r="D69" s="24" t="n"/>
      <c r="E69" s="24" t="n"/>
      <c r="F69" s="24" t="n"/>
      <c r="G69" s="24" t="n"/>
      <c r="H69" s="24" t="n"/>
      <c r="I69" s="24" t="n"/>
      <c r="J69" s="28" t="n"/>
      <c r="K69" s="28">
        <f>IF(ISNUMBER(J69),EDATE(J69,3),"")</f>
        <v/>
      </c>
      <c r="L69" s="24" t="n"/>
      <c r="M69" s="24" t="n"/>
      <c r="N69" s="24" t="n"/>
    </row>
    <row r="70" ht="15" customHeight="1" s="17">
      <c r="A70" s="24" t="n"/>
      <c r="B70" s="24" t="n"/>
      <c r="C70" s="24" t="n"/>
      <c r="D70" s="24" t="n"/>
      <c r="E70" s="24" t="n"/>
      <c r="F70" s="24" t="n"/>
      <c r="G70" s="24" t="n"/>
      <c r="H70" s="24" t="n"/>
      <c r="I70" s="24" t="n"/>
      <c r="J70" s="28" t="n"/>
      <c r="K70" s="28">
        <f>IF(ISNUMBER(J70),EDATE(J70,3),"")</f>
        <v/>
      </c>
      <c r="L70" s="24" t="n"/>
      <c r="M70" s="24" t="n"/>
      <c r="N70" s="24" t="n"/>
    </row>
    <row r="71" ht="15" customHeight="1" s="17">
      <c r="A71" s="24" t="n"/>
      <c r="B71" s="24" t="n"/>
      <c r="C71" s="24" t="n"/>
      <c r="D71" s="24" t="n"/>
      <c r="E71" s="24" t="n"/>
      <c r="F71" s="24" t="n"/>
      <c r="G71" s="24" t="n"/>
      <c r="H71" s="24" t="n"/>
      <c r="I71" s="24" t="n"/>
      <c r="J71" s="28" t="n"/>
      <c r="K71" s="28">
        <f>IF(ISNUMBER(J71),EDATE(J71,3),"")</f>
        <v/>
      </c>
      <c r="L71" s="24" t="n"/>
      <c r="M71" s="24" t="n"/>
      <c r="N71" s="24" t="n"/>
    </row>
    <row r="72" ht="15" customHeight="1" s="17">
      <c r="A72" s="24" t="n"/>
      <c r="B72" s="24" t="n"/>
      <c r="C72" s="24" t="n"/>
      <c r="D72" s="24" t="n"/>
      <c r="E72" s="24" t="n"/>
      <c r="F72" s="24" t="n"/>
      <c r="G72" s="24" t="n"/>
      <c r="H72" s="24" t="n"/>
      <c r="I72" s="24" t="n"/>
      <c r="J72" s="28" t="n"/>
      <c r="K72" s="28">
        <f>IF(ISNUMBER(J72),EDATE(J72,3),"")</f>
        <v/>
      </c>
      <c r="L72" s="24" t="n"/>
      <c r="M72" s="24" t="n"/>
      <c r="N72" s="24" t="n"/>
    </row>
    <row r="73" ht="15" customHeight="1" s="17">
      <c r="A73" s="24" t="n"/>
      <c r="B73" s="24" t="n"/>
      <c r="C73" s="24" t="n"/>
      <c r="D73" s="24" t="n"/>
      <c r="E73" s="24" t="n"/>
      <c r="F73" s="24" t="n"/>
      <c r="G73" s="24" t="n"/>
      <c r="H73" s="24" t="n"/>
      <c r="I73" s="24" t="n"/>
      <c r="J73" s="28" t="n"/>
      <c r="K73" s="28">
        <f>IF(ISNUMBER(J73),EDATE(J73,3),"")</f>
        <v/>
      </c>
      <c r="L73" s="24" t="n"/>
      <c r="M73" s="24" t="n"/>
      <c r="N73" s="24" t="n"/>
    </row>
    <row r="74" ht="15" customHeight="1" s="17">
      <c r="A74" s="24" t="n"/>
      <c r="B74" s="24" t="n"/>
      <c r="C74" s="24" t="n"/>
      <c r="D74" s="24" t="n"/>
      <c r="E74" s="24" t="n"/>
      <c r="F74" s="24" t="n"/>
      <c r="G74" s="24" t="n"/>
      <c r="H74" s="24" t="n"/>
      <c r="I74" s="24" t="n"/>
      <c r="J74" s="28" t="n"/>
      <c r="K74" s="28">
        <f>IF(ISNUMBER(J74),EDATE(J74,3),"")</f>
        <v/>
      </c>
      <c r="L74" s="24" t="n"/>
      <c r="M74" s="24" t="n"/>
      <c r="N74" s="24" t="n"/>
    </row>
    <row r="75" ht="15" customHeight="1" s="17">
      <c r="A75" s="24" t="n"/>
      <c r="B75" s="24" t="n"/>
      <c r="C75" s="24" t="n"/>
      <c r="D75" s="24" t="n"/>
      <c r="E75" s="24" t="n"/>
      <c r="F75" s="24" t="n"/>
      <c r="G75" s="24" t="n"/>
      <c r="H75" s="24" t="n"/>
      <c r="I75" s="24" t="n"/>
      <c r="J75" s="28" t="n"/>
      <c r="K75" s="28">
        <f>IF(ISNUMBER(J75),EDATE(J75,3),"")</f>
        <v/>
      </c>
      <c r="L75" s="24" t="n"/>
      <c r="M75" s="24" t="n"/>
      <c r="N75" s="24" t="n"/>
    </row>
    <row r="76" ht="15" customHeight="1" s="17">
      <c r="A76" s="24" t="n"/>
      <c r="B76" s="24" t="n"/>
      <c r="C76" s="24" t="n"/>
      <c r="D76" s="24" t="n"/>
      <c r="E76" s="24" t="n"/>
      <c r="F76" s="24" t="n"/>
      <c r="G76" s="24" t="n"/>
      <c r="H76" s="24" t="n"/>
      <c r="I76" s="24" t="n"/>
      <c r="J76" s="28" t="n"/>
      <c r="K76" s="28">
        <f>IF(ISNUMBER(J76),EDATE(J76,3),"")</f>
        <v/>
      </c>
      <c r="L76" s="24" t="n"/>
      <c r="M76" s="24" t="n"/>
      <c r="N76" s="24" t="n"/>
    </row>
    <row r="77" ht="15" customHeight="1" s="17">
      <c r="A77" s="24" t="n"/>
      <c r="B77" s="24" t="n"/>
      <c r="C77" s="24" t="n"/>
      <c r="D77" s="24" t="n"/>
      <c r="E77" s="24" t="n"/>
      <c r="F77" s="24" t="n"/>
      <c r="G77" s="24" t="n"/>
      <c r="H77" s="24" t="n"/>
      <c r="I77" s="24" t="n"/>
      <c r="J77" s="28" t="n"/>
      <c r="K77" s="28">
        <f>IF(ISNUMBER(J77),EDATE(J77,3),"")</f>
        <v/>
      </c>
      <c r="L77" s="24" t="n"/>
      <c r="M77" s="24" t="n"/>
      <c r="N77" s="24" t="n"/>
    </row>
    <row r="78" ht="15" customHeight="1" s="17">
      <c r="A78" s="24" t="n"/>
      <c r="B78" s="24" t="n"/>
      <c r="C78" s="24" t="n"/>
      <c r="D78" s="24" t="n"/>
      <c r="E78" s="24" t="n"/>
      <c r="F78" s="24" t="n"/>
      <c r="G78" s="24" t="n"/>
      <c r="H78" s="24" t="n"/>
      <c r="I78" s="24" t="n"/>
      <c r="J78" s="28" t="n"/>
      <c r="K78" s="28">
        <f>IF(ISNUMBER(J78),EDATE(J78,3),"")</f>
        <v/>
      </c>
      <c r="L78" s="24" t="n"/>
      <c r="M78" s="24" t="n"/>
      <c r="N78" s="24" t="n"/>
    </row>
    <row r="79" ht="15" customHeight="1" s="17">
      <c r="A79" s="24" t="n"/>
      <c r="B79" s="24" t="n"/>
      <c r="C79" s="24" t="n"/>
      <c r="D79" s="24" t="n"/>
      <c r="E79" s="24" t="n"/>
      <c r="F79" s="24" t="n"/>
      <c r="G79" s="24" t="n"/>
      <c r="H79" s="24" t="n"/>
      <c r="I79" s="24" t="n"/>
      <c r="J79" s="28" t="n"/>
      <c r="K79" s="28">
        <f>IF(ISNUMBER(J79),EDATE(J79,3),"")</f>
        <v/>
      </c>
      <c r="L79" s="24" t="n"/>
      <c r="M79" s="24" t="n"/>
      <c r="N79" s="24" t="n"/>
    </row>
    <row r="80" ht="15" customHeight="1" s="17">
      <c r="A80" s="24" t="n"/>
      <c r="B80" s="24" t="n"/>
      <c r="C80" s="24" t="n"/>
      <c r="D80" s="24" t="n"/>
      <c r="E80" s="24" t="n"/>
      <c r="F80" s="24" t="n"/>
      <c r="G80" s="24" t="n"/>
      <c r="H80" s="24" t="n"/>
      <c r="I80" s="24" t="n"/>
      <c r="J80" s="28" t="n"/>
      <c r="K80" s="28">
        <f>IF(ISNUMBER(J80),EDATE(J80,3),"")</f>
        <v/>
      </c>
      <c r="L80" s="24" t="n"/>
      <c r="M80" s="24" t="n"/>
      <c r="N80" s="24" t="n"/>
    </row>
    <row r="81" ht="15" customHeight="1" s="17">
      <c r="A81" s="24" t="n"/>
      <c r="B81" s="24" t="n"/>
      <c r="C81" s="24" t="n"/>
      <c r="D81" s="24" t="n"/>
      <c r="E81" s="24" t="n"/>
      <c r="F81" s="24" t="n"/>
      <c r="G81" s="24" t="n"/>
      <c r="H81" s="24" t="n"/>
      <c r="I81" s="24" t="n"/>
      <c r="J81" s="28" t="n"/>
      <c r="K81" s="28">
        <f>IF(ISNUMBER(J81),EDATE(J81,3),"")</f>
        <v/>
      </c>
      <c r="L81" s="24" t="n"/>
      <c r="M81" s="24" t="n"/>
      <c r="N81" s="24" t="n"/>
    </row>
    <row r="82" ht="15" customHeight="1" s="17">
      <c r="A82" s="24" t="n"/>
      <c r="B82" s="24" t="n"/>
      <c r="C82" s="24" t="n"/>
      <c r="D82" s="24" t="n"/>
      <c r="E82" s="24" t="n"/>
      <c r="F82" s="24" t="n"/>
      <c r="G82" s="24" t="n"/>
      <c r="H82" s="24" t="n"/>
      <c r="I82" s="24" t="n"/>
      <c r="J82" s="28" t="n"/>
      <c r="K82" s="28">
        <f>IF(ISNUMBER(J82),EDATE(J82,3),"")</f>
        <v/>
      </c>
      <c r="L82" s="24" t="n"/>
      <c r="M82" s="24" t="n"/>
      <c r="N82" s="24" t="n"/>
    </row>
    <row r="83" ht="15" customHeight="1" s="17">
      <c r="A83" s="24" t="n"/>
      <c r="B83" s="24" t="n"/>
      <c r="C83" s="24" t="n"/>
      <c r="D83" s="24" t="n"/>
      <c r="E83" s="24" t="n"/>
      <c r="F83" s="24" t="n"/>
      <c r="G83" s="24" t="n"/>
      <c r="H83" s="24" t="n"/>
      <c r="I83" s="24" t="n"/>
      <c r="J83" s="28" t="n"/>
      <c r="K83" s="28">
        <f>IF(ISNUMBER(J83),EDATE(J83,3),"")</f>
        <v/>
      </c>
      <c r="L83" s="24" t="n"/>
      <c r="M83" s="24" t="n"/>
      <c r="N83" s="24" t="n"/>
    </row>
    <row r="84" ht="15" customHeight="1" s="17">
      <c r="A84" s="24" t="n"/>
      <c r="B84" s="24" t="n"/>
      <c r="C84" s="24" t="n"/>
      <c r="D84" s="24" t="n"/>
      <c r="E84" s="24" t="n"/>
      <c r="F84" s="24" t="n"/>
      <c r="G84" s="24" t="n"/>
      <c r="H84" s="24" t="n"/>
      <c r="I84" s="24" t="n"/>
      <c r="J84" s="28" t="n"/>
      <c r="K84" s="28">
        <f>IF(ISNUMBER(J84),EDATE(J84,3),"")</f>
        <v/>
      </c>
      <c r="L84" s="24" t="n"/>
      <c r="M84" s="24" t="n"/>
      <c r="N84" s="24" t="n"/>
    </row>
    <row r="85" ht="15" customHeight="1" s="17">
      <c r="A85" s="24" t="n"/>
      <c r="B85" s="24" t="n"/>
      <c r="C85" s="24" t="n"/>
      <c r="D85" s="24" t="n"/>
      <c r="E85" s="24" t="n"/>
      <c r="F85" s="24" t="n"/>
      <c r="G85" s="24" t="n"/>
      <c r="H85" s="24" t="n"/>
      <c r="I85" s="24" t="n"/>
      <c r="J85" s="28" t="n"/>
      <c r="K85" s="28">
        <f>IF(ISNUMBER(J85),EDATE(J85,3),"")</f>
        <v/>
      </c>
      <c r="L85" s="24" t="n"/>
      <c r="M85" s="24" t="n"/>
      <c r="N85" s="24" t="n"/>
    </row>
    <row r="86" ht="15" customHeight="1" s="17">
      <c r="A86" s="24" t="n"/>
      <c r="B86" s="24" t="n"/>
      <c r="C86" s="24" t="n"/>
      <c r="D86" s="24" t="n"/>
      <c r="E86" s="24" t="n"/>
      <c r="F86" s="24" t="n"/>
      <c r="G86" s="24" t="n"/>
      <c r="H86" s="24" t="n"/>
      <c r="I86" s="24" t="n"/>
      <c r="J86" s="28" t="n"/>
      <c r="K86" s="28">
        <f>IF(ISNUMBER(J86),EDATE(J86,3),"")</f>
        <v/>
      </c>
      <c r="L86" s="24" t="n"/>
      <c r="M86" s="24" t="n"/>
      <c r="N86" s="24" t="n"/>
    </row>
    <row r="87" ht="15" customHeight="1" s="17">
      <c r="A87" s="24" t="n"/>
      <c r="B87" s="24" t="n"/>
      <c r="C87" s="24" t="n"/>
      <c r="D87" s="24" t="n"/>
      <c r="E87" s="24" t="n"/>
      <c r="F87" s="24" t="n"/>
      <c r="G87" s="24" t="n"/>
      <c r="H87" s="24" t="n"/>
      <c r="I87" s="24" t="n"/>
      <c r="J87" s="28" t="n"/>
      <c r="K87" s="28">
        <f>IF(ISNUMBER(J87),EDATE(J87,3),"")</f>
        <v/>
      </c>
      <c r="L87" s="24" t="n"/>
      <c r="M87" s="24" t="n"/>
      <c r="N87" s="24" t="n"/>
    </row>
    <row r="88" ht="15" customHeight="1" s="17">
      <c r="A88" s="24" t="n"/>
      <c r="B88" s="24" t="n"/>
      <c r="C88" s="24" t="n"/>
      <c r="D88" s="24" t="n"/>
      <c r="E88" s="24" t="n"/>
      <c r="F88" s="24" t="n"/>
      <c r="G88" s="24" t="n"/>
      <c r="H88" s="24" t="n"/>
      <c r="I88" s="24" t="n"/>
      <c r="J88" s="28" t="n"/>
      <c r="K88" s="28">
        <f>IF(ISNUMBER(J88),EDATE(J88,3),"")</f>
        <v/>
      </c>
      <c r="L88" s="24" t="n"/>
      <c r="M88" s="24" t="n"/>
      <c r="N88" s="24" t="n"/>
    </row>
    <row r="89" ht="15" customHeight="1" s="17">
      <c r="A89" s="24" t="n"/>
      <c r="B89" s="24" t="n"/>
      <c r="C89" s="24" t="n"/>
      <c r="D89" s="24" t="n"/>
      <c r="E89" s="24" t="n"/>
      <c r="F89" s="24" t="n"/>
      <c r="G89" s="24" t="n"/>
      <c r="H89" s="24" t="n"/>
      <c r="I89" s="24" t="n"/>
      <c r="J89" s="28" t="n"/>
      <c r="K89" s="28">
        <f>IF(ISNUMBER(J89),EDATE(J89,3),"")</f>
        <v/>
      </c>
      <c r="L89" s="24" t="n"/>
      <c r="M89" s="24" t="n"/>
      <c r="N89" s="24" t="n"/>
    </row>
    <row r="90" ht="15" customHeight="1" s="17">
      <c r="A90" s="24" t="n"/>
      <c r="B90" s="24" t="n"/>
      <c r="C90" s="24" t="n"/>
      <c r="D90" s="24" t="n"/>
      <c r="E90" s="24" t="n"/>
      <c r="F90" s="24" t="n"/>
      <c r="G90" s="24" t="n"/>
      <c r="H90" s="24" t="n"/>
      <c r="I90" s="24" t="n"/>
      <c r="J90" s="28" t="n"/>
      <c r="K90" s="28">
        <f>IF(ISNUMBER(J90),EDATE(J90,3),"")</f>
        <v/>
      </c>
      <c r="L90" s="24" t="n"/>
      <c r="M90" s="24" t="n"/>
      <c r="N90" s="24" t="n"/>
    </row>
    <row r="91" ht="15" customHeight="1" s="17">
      <c r="A91" s="24" t="n"/>
      <c r="B91" s="24" t="n"/>
      <c r="C91" s="24" t="n"/>
      <c r="D91" s="24" t="n"/>
      <c r="E91" s="24" t="n"/>
      <c r="F91" s="24" t="n"/>
      <c r="G91" s="24" t="n"/>
      <c r="H91" s="24" t="n"/>
      <c r="I91" s="24" t="n"/>
      <c r="J91" s="28" t="n"/>
      <c r="K91" s="28">
        <f>IF(ISNUMBER(J91),EDATE(J91,3),"")</f>
        <v/>
      </c>
      <c r="L91" s="24" t="n"/>
      <c r="M91" s="24" t="n"/>
      <c r="N91" s="24" t="n"/>
    </row>
    <row r="92" ht="15" customHeight="1" s="17">
      <c r="A92" s="24" t="n"/>
      <c r="B92" s="24" t="n"/>
      <c r="C92" s="24" t="n"/>
      <c r="D92" s="24" t="n"/>
      <c r="E92" s="24" t="n"/>
      <c r="F92" s="24" t="n"/>
      <c r="G92" s="24" t="n"/>
      <c r="H92" s="24" t="n"/>
      <c r="I92" s="24" t="n"/>
      <c r="J92" s="28" t="n"/>
      <c r="K92" s="28">
        <f>IF(ISNUMBER(J92),EDATE(J92,3),"")</f>
        <v/>
      </c>
      <c r="L92" s="24" t="n"/>
      <c r="M92" s="24" t="n"/>
      <c r="N92" s="24" t="n"/>
    </row>
    <row r="93" ht="15" customHeight="1" s="17">
      <c r="A93" s="24" t="n"/>
      <c r="B93" s="24" t="n"/>
      <c r="C93" s="24" t="n"/>
      <c r="D93" s="24" t="n"/>
      <c r="E93" s="24" t="n"/>
      <c r="F93" s="24" t="n"/>
      <c r="G93" s="24" t="n"/>
      <c r="H93" s="24" t="n"/>
      <c r="I93" s="24" t="n"/>
      <c r="J93" s="28" t="n"/>
      <c r="K93" s="28">
        <f>IF(ISNUMBER(J93),EDATE(J93,3),"")</f>
        <v/>
      </c>
      <c r="L93" s="24" t="n"/>
      <c r="M93" s="24" t="n"/>
      <c r="N93" s="24" t="n"/>
    </row>
    <row r="94" ht="15" customHeight="1" s="17">
      <c r="A94" s="24" t="n"/>
      <c r="B94" s="24" t="n"/>
      <c r="C94" s="24" t="n"/>
      <c r="D94" s="24" t="n"/>
      <c r="E94" s="24" t="n"/>
      <c r="F94" s="24" t="n"/>
      <c r="G94" s="24" t="n"/>
      <c r="H94" s="24" t="n"/>
      <c r="I94" s="24" t="n"/>
      <c r="J94" s="28" t="n"/>
      <c r="K94" s="28">
        <f>IF(ISNUMBER(J94),EDATE(J94,3),"")</f>
        <v/>
      </c>
      <c r="L94" s="24" t="n"/>
      <c r="M94" s="24" t="n"/>
      <c r="N94" s="24" t="n"/>
    </row>
    <row r="95" ht="15" customHeight="1" s="17">
      <c r="A95" s="24" t="n"/>
      <c r="B95" s="24" t="n"/>
      <c r="C95" s="24" t="n"/>
      <c r="D95" s="24" t="n"/>
      <c r="E95" s="24" t="n"/>
      <c r="F95" s="24" t="n"/>
      <c r="G95" s="24" t="n"/>
      <c r="H95" s="24" t="n"/>
      <c r="I95" s="24" t="n"/>
      <c r="J95" s="28" t="n"/>
      <c r="K95" s="28">
        <f>IF(ISNUMBER(J95),EDATE(J95,3),"")</f>
        <v/>
      </c>
      <c r="L95" s="24" t="n"/>
      <c r="M95" s="24" t="n"/>
      <c r="N95" s="24" t="n"/>
    </row>
    <row r="96" ht="15" customHeight="1" s="17">
      <c r="A96" s="24" t="n"/>
      <c r="B96" s="24" t="n"/>
      <c r="C96" s="24" t="n"/>
      <c r="D96" s="24" t="n"/>
      <c r="E96" s="24" t="n"/>
      <c r="F96" s="24" t="n"/>
      <c r="G96" s="24" t="n"/>
      <c r="H96" s="24" t="n"/>
      <c r="I96" s="24" t="n"/>
      <c r="J96" s="28" t="n"/>
      <c r="K96" s="28">
        <f>IF(ISNUMBER(J96),EDATE(J96,3),"")</f>
        <v/>
      </c>
      <c r="L96" s="24" t="n"/>
      <c r="M96" s="24" t="n"/>
      <c r="N96" s="24" t="n"/>
    </row>
    <row r="97" ht="15" customHeight="1" s="17">
      <c r="A97" s="24" t="n"/>
      <c r="B97" s="24" t="n"/>
      <c r="C97" s="24" t="n"/>
      <c r="D97" s="24" t="n"/>
      <c r="E97" s="24" t="n"/>
      <c r="F97" s="24" t="n"/>
      <c r="G97" s="24" t="n"/>
      <c r="H97" s="24" t="n"/>
      <c r="I97" s="24" t="n"/>
      <c r="J97" s="28" t="n"/>
      <c r="K97" s="28">
        <f>IF(ISNUMBER(J97),EDATE(J97,3),"")</f>
        <v/>
      </c>
      <c r="L97" s="24" t="n"/>
      <c r="M97" s="24" t="n"/>
      <c r="N97" s="24" t="n"/>
    </row>
    <row r="98" ht="15" customHeight="1" s="17">
      <c r="A98" s="24" t="n"/>
      <c r="B98" s="24" t="n"/>
      <c r="C98" s="24" t="n"/>
      <c r="D98" s="24" t="n"/>
      <c r="E98" s="24" t="n"/>
      <c r="F98" s="24" t="n"/>
      <c r="G98" s="24" t="n"/>
      <c r="H98" s="24" t="n"/>
      <c r="I98" s="24" t="n"/>
      <c r="J98" s="28" t="n"/>
      <c r="K98" s="28">
        <f>IF(ISNUMBER(J98),EDATE(J98,3),"")</f>
        <v/>
      </c>
      <c r="L98" s="24" t="n"/>
      <c r="M98" s="24" t="n"/>
      <c r="N98" s="24" t="n"/>
    </row>
    <row r="99" ht="15" customHeight="1" s="17">
      <c r="A99" s="24" t="n"/>
      <c r="B99" s="24" t="n"/>
      <c r="C99" s="24" t="n"/>
      <c r="D99" s="24" t="n"/>
      <c r="E99" s="24" t="n"/>
      <c r="F99" s="24" t="n"/>
      <c r="G99" s="24" t="n"/>
      <c r="H99" s="24" t="n"/>
      <c r="I99" s="24" t="n"/>
      <c r="J99" s="28" t="n"/>
      <c r="K99" s="28">
        <f>IF(ISNUMBER(J99),EDATE(J99,3),"")</f>
        <v/>
      </c>
      <c r="L99" s="24" t="n"/>
      <c r="M99" s="24" t="n"/>
      <c r="N99" s="24" t="n"/>
    </row>
    <row r="100" ht="15" customHeight="1" s="17">
      <c r="A100" s="24" t="n"/>
      <c r="B100" s="24" t="n"/>
      <c r="C100" s="24" t="n"/>
      <c r="D100" s="24" t="n"/>
      <c r="E100" s="24" t="n"/>
      <c r="F100" s="24" t="n"/>
      <c r="G100" s="24" t="n"/>
      <c r="H100" s="24" t="n"/>
      <c r="I100" s="24" t="n"/>
      <c r="J100" s="28" t="n"/>
      <c r="K100" s="28">
        <f>IF(ISNUMBER(J100),EDATE(J100,3),"")</f>
        <v/>
      </c>
      <c r="L100" s="24" t="n"/>
      <c r="M100" s="24" t="n"/>
      <c r="N100" s="24" t="n"/>
    </row>
    <row r="101" ht="15" customHeight="1" s="17">
      <c r="A101" s="24" t="n"/>
      <c r="B101" s="24" t="n"/>
      <c r="C101" s="24" t="n"/>
      <c r="D101" s="24" t="n"/>
      <c r="E101" s="24" t="n"/>
      <c r="F101" s="24" t="n"/>
      <c r="G101" s="24" t="n"/>
      <c r="H101" s="24" t="n"/>
      <c r="I101" s="24" t="n"/>
      <c r="J101" s="28" t="n"/>
      <c r="K101" s="28">
        <f>IF(ISNUMBER(J101),EDATE(J101,3),"")</f>
        <v/>
      </c>
      <c r="L101" s="24" t="n"/>
      <c r="M101" s="24" t="n"/>
      <c r="N101" s="24" t="n"/>
    </row>
    <row r="102" ht="15" customHeight="1" s="17">
      <c r="A102" s="24" t="n"/>
      <c r="B102" s="24" t="n"/>
      <c r="C102" s="24" t="n"/>
      <c r="D102" s="24" t="n"/>
      <c r="E102" s="24" t="n"/>
      <c r="F102" s="24" t="n"/>
      <c r="G102" s="24" t="n"/>
      <c r="H102" s="24" t="n"/>
      <c r="I102" s="24" t="n"/>
      <c r="J102" s="28" t="n"/>
      <c r="K102" s="28">
        <f>IF(ISNUMBER(J102),EDATE(J102,3),"")</f>
        <v/>
      </c>
      <c r="L102" s="24" t="n"/>
      <c r="M102" s="24" t="n"/>
      <c r="N102" s="24" t="n"/>
    </row>
    <row r="103" ht="15" customHeight="1" s="17">
      <c r="A103" s="24" t="n"/>
      <c r="B103" s="24" t="n"/>
      <c r="C103" s="24" t="n"/>
      <c r="D103" s="24" t="n"/>
      <c r="E103" s="24" t="n"/>
      <c r="F103" s="24" t="n"/>
      <c r="G103" s="24" t="n"/>
      <c r="H103" s="24" t="n"/>
      <c r="I103" s="24" t="n"/>
      <c r="J103" s="28" t="n"/>
      <c r="K103" s="28">
        <f>IF(ISNUMBER(J103),EDATE(J103,3),"")</f>
        <v/>
      </c>
      <c r="L103" s="24" t="n"/>
      <c r="M103" s="24" t="n"/>
      <c r="N103" s="24" t="n"/>
    </row>
    <row r="104" ht="15" customHeight="1" s="17">
      <c r="A104" s="24" t="n"/>
      <c r="B104" s="24" t="n"/>
      <c r="C104" s="24" t="n"/>
      <c r="D104" s="24" t="n"/>
      <c r="E104" s="24" t="n"/>
      <c r="F104" s="24" t="n"/>
      <c r="G104" s="24" t="n"/>
      <c r="H104" s="24" t="n"/>
      <c r="I104" s="24" t="n"/>
      <c r="J104" s="28" t="n"/>
      <c r="K104" s="28">
        <f>IF(ISNUMBER(J104),EDATE(J104,3),"")</f>
        <v/>
      </c>
      <c r="L104" s="24" t="n"/>
      <c r="M104" s="24" t="n"/>
      <c r="N104" s="24" t="n"/>
    </row>
    <row r="105" ht="15" customHeight="1" s="17">
      <c r="A105" s="24" t="n"/>
      <c r="B105" s="24" t="n"/>
      <c r="C105" s="24" t="n"/>
      <c r="D105" s="24" t="n"/>
      <c r="E105" s="24" t="n"/>
      <c r="F105" s="24" t="n"/>
      <c r="G105" s="24" t="n"/>
      <c r="H105" s="24" t="n"/>
      <c r="I105" s="24" t="n"/>
      <c r="J105" s="28" t="n"/>
      <c r="K105" s="28">
        <f>IF(ISNUMBER(J105),EDATE(J105,3),"")</f>
        <v/>
      </c>
      <c r="L105" s="24" t="n"/>
      <c r="M105" s="24" t="n"/>
      <c r="N105" s="24" t="n"/>
    </row>
    <row r="106" ht="15" customHeight="1" s="17">
      <c r="A106" s="24" t="n"/>
      <c r="B106" s="24" t="n"/>
      <c r="C106" s="24" t="n"/>
      <c r="D106" s="24" t="n"/>
      <c r="E106" s="24" t="n"/>
      <c r="F106" s="24" t="n"/>
      <c r="G106" s="24" t="n"/>
      <c r="H106" s="24" t="n"/>
      <c r="I106" s="24" t="n"/>
      <c r="J106" s="28" t="n"/>
      <c r="K106" s="28">
        <f>IF(ISNUMBER(J106),EDATE(J106,3),"")</f>
        <v/>
      </c>
      <c r="L106" s="24" t="n"/>
      <c r="M106" s="24" t="n"/>
      <c r="N106" s="24" t="n"/>
    </row>
  </sheetData>
  <mergeCells count="4">
    <mergeCell ref="A3:L3"/>
    <mergeCell ref="A2:L2"/>
    <mergeCell ref="A1:L1"/>
    <mergeCell ref="A4:L4"/>
  </mergeCells>
  <conditionalFormatting sqref="K7:K106">
    <cfRule type="expression" priority="1" dxfId="0">
      <formula>AND(ISNUMBER($K7),$K7&lt;TODAY())</formula>
    </cfRule>
  </conditionalFormatting>
  <conditionalFormatting sqref="J7:J106">
    <cfRule type="expression" priority="2" dxfId="1">
      <formula>AND($A7&lt;&gt;"",$J7="")</formula>
    </cfRule>
  </conditionalFormatting>
  <dataValidations count="3">
    <dataValidation sqref="L7:L106" showDropDown="0" showInputMessage="0" showErrorMessage="0" allowBlank="1" type="list" errorStyle="stop" operator="between">
      <formula1>StatusList</formula1>
      <formula2>0</formula2>
    </dataValidation>
    <dataValidation sqref="I7:I106" showDropDown="0" showInputMessage="0" showErrorMessage="0" allowBlank="1" type="list" errorStyle="stop" operator="between">
      <formula1>SpecialistList</formula1>
      <formula2>0</formula2>
    </dataValidation>
    <dataValidation sqref="J7:J106" showDropDown="0" showInputMessage="0" showErrorMessage="1" allowBlank="1" type="date" errorStyle="stop" operator="greaterThan">
      <formula1>DATE(2020,1,1)</formula1>
    </dataValidation>
  </dataValidations>
  <hyperlinks>
    <hyperlink xmlns:r="http://schemas.openxmlformats.org/officeDocument/2006/relationships" ref="D13" r:id="rId1"/>
    <hyperlink xmlns:r="http://schemas.openxmlformats.org/officeDocument/2006/relationships" ref="D14" r:id="rId2"/>
    <hyperlink xmlns:r="http://schemas.openxmlformats.org/officeDocument/2006/relationships" ref="D15" r:id="rId3"/>
    <hyperlink xmlns:r="http://schemas.openxmlformats.org/officeDocument/2006/relationships" ref="D16" r:id="rId4"/>
    <hyperlink xmlns:r="http://schemas.openxmlformats.org/officeDocument/2006/relationships" ref="D17" r:id="rId5"/>
    <hyperlink xmlns:r="http://schemas.openxmlformats.org/officeDocument/2006/relationships" ref="D18" r:id="rId6"/>
    <hyperlink xmlns:r="http://schemas.openxmlformats.org/officeDocument/2006/relationships" ref="D19" r:id="rId7"/>
    <hyperlink xmlns:r="http://schemas.openxmlformats.org/officeDocument/2006/relationships" ref="D20" r:id="rId8"/>
    <hyperlink xmlns:r="http://schemas.openxmlformats.org/officeDocument/2006/relationships" ref="D21" r:id="rId9"/>
    <hyperlink xmlns:r="http://schemas.openxmlformats.org/officeDocument/2006/relationships" ref="D22" r:id="rId10"/>
    <hyperlink xmlns:r="http://schemas.openxmlformats.org/officeDocument/2006/relationships" ref="D23" r:id="rId11"/>
    <hyperlink xmlns:r="http://schemas.openxmlformats.org/officeDocument/2006/relationships" ref="D24" r:id="rId12"/>
  </hyperlinks>
  <pageMargins left="0.7" right="0.7" top="0.75" bottom="0.75" header="0.3" footer="0.3"/>
  <headerFooter>
    <oddHeader>&amp;C&amp;"Arial,Regular"&amp;8 The Council — AI Source Assurance and Traceability Register</oddHeader>
    <oddFooter>&amp;C&amp;"Arial,Regular"&amp;8 AIG-AIMS-13 · v1.5 draft · Draft for Council review · OFFICIAL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C45"/>
  <sheetViews>
    <sheetView showGridLines="0" workbookViewId="0">
      <selection activeCell="A1" sqref="A1"/>
    </sheetView>
  </sheetViews>
  <sheetFormatPr baseColWidth="8" defaultColWidth="8.6796875" defaultRowHeight="15"/>
  <cols>
    <col width="26" customWidth="1" style="16" min="1" max="1"/>
    <col width="60" customWidth="1" style="16" min="2" max="2"/>
    <col width="30" customWidth="1" style="16" min="3" max="3"/>
  </cols>
  <sheetData>
    <row r="1" ht="21.75" customHeight="1" s="17">
      <c r="A1" s="29" t="inlineStr">
        <is>
          <t>AIG-AIMS-13 — Definitions, Controlled Vocabulary and Use Rules</t>
        </is>
      </c>
    </row>
    <row r="2" ht="15" customHeight="1" s="17">
      <c r="A2" s="21" t="n"/>
      <c r="B2" s="21" t="n"/>
      <c r="C2" s="21" t="n"/>
    </row>
    <row r="3" ht="15" customHeight="1" s="17">
      <c r="A3" s="22" t="inlineStr">
        <is>
          <t>Status</t>
        </is>
      </c>
      <c r="B3" s="22" t="inlineStr">
        <is>
          <t>Meaning</t>
        </is>
      </c>
      <c r="C3" s="21" t="n"/>
    </row>
    <row r="4" ht="30" customHeight="1" s="17">
      <c r="A4" s="23" t="inlineStr">
        <is>
          <t>Current</t>
        </is>
      </c>
      <c r="B4" s="24" t="inlineStr">
        <is>
          <t>Source is in force and verified as the latest authoritative version at the last-verified date.</t>
        </is>
      </c>
      <c r="C4" s="21" t="n"/>
    </row>
    <row r="5" ht="30" customHeight="1" s="17">
      <c r="A5" s="23" t="inlineStr">
        <is>
          <t>Under review</t>
        </is>
      </c>
      <c r="B5" s="24" t="inlineStr">
        <is>
          <t>A change is known or expected; the entry is being reassessed and may change.</t>
        </is>
      </c>
      <c r="C5" s="21" t="n"/>
    </row>
    <row r="6" ht="30" customHeight="1" s="17">
      <c r="A6" s="23" t="inlineStr">
        <is>
          <t>Superseded</t>
        </is>
      </c>
      <c r="B6" s="24" t="inlineStr">
        <is>
          <t>Replaced by a newer instrument or version; retained for audit until the successor is verified and mapped.</t>
        </is>
      </c>
      <c r="C6" s="21" t="n"/>
    </row>
    <row r="7" ht="30" customHeight="1" s="17">
      <c r="A7" s="23" t="inlineStr">
        <is>
          <t>Horizon-watch</t>
        </is>
      </c>
      <c r="B7" s="24" t="inlineStr">
        <is>
          <t>Not yet in force or not yet applicable; monitored so it enters control on commencement.</t>
        </is>
      </c>
      <c r="C7" s="21" t="n"/>
    </row>
    <row r="8" ht="30" customHeight="1" s="17">
      <c r="A8" s="23" t="inlineStr">
        <is>
          <t>Gap – no source</t>
        </is>
      </c>
      <c r="B8" s="24" t="inlineStr">
        <is>
          <t>A requirement or principle the framework relies on for which no authoritative monitored source yet exists; a deliberate finding for action.</t>
        </is>
      </c>
      <c r="C8" s="21" t="n"/>
    </row>
    <row r="9" ht="15" customHeight="1" s="17">
      <c r="A9" s="21" t="n"/>
      <c r="B9" s="21" t="n"/>
      <c r="C9" s="21" t="n"/>
    </row>
    <row r="10" ht="15" customHeight="1" s="17">
      <c r="A10" s="26" t="inlineStr">
        <is>
          <t>Responsible specialist — controlled roles (from AIG-AIMS-04)</t>
        </is>
      </c>
      <c r="B10" s="21" t="n"/>
      <c r="C10" s="21" t="n"/>
    </row>
    <row r="11" ht="15" customHeight="1" s="17">
      <c r="A11" s="30" t="inlineStr">
        <is>
          <t>Executive Sponsor</t>
        </is>
      </c>
      <c r="B11" s="21" t="n"/>
      <c r="C11" s="21" t="n"/>
    </row>
    <row r="12" ht="15" customHeight="1" s="17">
      <c r="A12" s="30" t="inlineStr">
        <is>
          <t>AI Assurance Board</t>
        </is>
      </c>
      <c r="B12" s="21" t="n"/>
      <c r="C12" s="21" t="n"/>
    </row>
    <row r="13" ht="15" customHeight="1" s="17">
      <c r="A13" s="30" t="inlineStr">
        <is>
          <t>AI Governance Working Group</t>
        </is>
      </c>
      <c r="B13" s="21" t="n"/>
      <c r="C13" s="21" t="n"/>
    </row>
    <row r="14" ht="15" customHeight="1" s="17">
      <c r="A14" s="30" t="inlineStr">
        <is>
          <t>AI Assurance Board Chair</t>
        </is>
      </c>
      <c r="B14" s="21" t="n"/>
      <c r="C14" s="21" t="n"/>
    </row>
    <row r="15" ht="15" customHeight="1" s="17">
      <c r="A15" s="30" t="inlineStr">
        <is>
          <t>AI Governance Lead</t>
        </is>
      </c>
      <c r="B15" s="21" t="n"/>
      <c r="C15" s="21" t="n"/>
    </row>
    <row r="16" ht="15" customHeight="1" s="17">
      <c r="A16" s="30" t="inlineStr">
        <is>
          <t>Governance Secretariat</t>
        </is>
      </c>
      <c r="B16" s="21" t="n"/>
      <c r="C16" s="21" t="n"/>
    </row>
    <row r="17" ht="15" customHeight="1" s="17">
      <c r="A17" s="30" t="inlineStr">
        <is>
          <t>Service Owner</t>
        </is>
      </c>
      <c r="B17" s="21" t="n"/>
      <c r="C17" s="21" t="n"/>
    </row>
    <row r="18" ht="15" customHeight="1" s="17">
      <c r="A18" s="30" t="inlineStr">
        <is>
          <t>AI System Owner / Operational Lead</t>
        </is>
      </c>
      <c r="B18" s="21" t="n"/>
      <c r="C18" s="21" t="n"/>
    </row>
    <row r="19" ht="15" customHeight="1" s="17">
      <c r="A19" s="30" t="inlineStr">
        <is>
          <t>Product / Technical Delivery Lead</t>
        </is>
      </c>
      <c r="B19" s="21" t="n"/>
      <c r="C19" s="21" t="n"/>
    </row>
    <row r="20" ht="15" customHeight="1" s="17">
      <c r="A20" s="30" t="inlineStr">
        <is>
          <t>Data Owner / Data Governance</t>
        </is>
      </c>
      <c r="B20" s="21" t="n"/>
      <c r="C20" s="21" t="n"/>
    </row>
    <row r="21" ht="15" customHeight="1" s="17">
      <c r="A21" s="30" t="inlineStr">
        <is>
          <t>DPO / Information Governance</t>
        </is>
      </c>
      <c r="B21" s="21" t="n"/>
      <c r="C21" s="21" t="n"/>
    </row>
    <row r="22" ht="15" customHeight="1" s="17">
      <c r="A22" s="30" t="inlineStr">
        <is>
          <t>SIRO / Information Risk</t>
        </is>
      </c>
      <c r="B22" s="21" t="n"/>
      <c r="C22" s="21" t="n"/>
    </row>
    <row r="23" ht="15" customHeight="1" s="17">
      <c r="A23" s="30" t="inlineStr">
        <is>
          <t>Cyber Security</t>
        </is>
      </c>
      <c r="B23" s="21" t="n"/>
      <c r="C23" s="21" t="n"/>
    </row>
    <row r="24" ht="15" customHeight="1" s="17">
      <c r="A24" s="30" t="inlineStr">
        <is>
          <t>Legal Services / Monitoring Officer</t>
        </is>
      </c>
      <c r="B24" s="21" t="n"/>
      <c r="C24" s="21" t="n"/>
    </row>
    <row r="25" ht="15" customHeight="1" s="17">
      <c r="A25" s="30" t="inlineStr">
        <is>
          <t>Procurement / Commercial / Contract Owner</t>
        </is>
      </c>
      <c r="B25" s="21" t="n"/>
      <c r="C25" s="21" t="n"/>
    </row>
    <row r="26" ht="15" customHeight="1" s="17">
      <c r="A26" s="30" t="inlineStr">
        <is>
          <t>Equality / Human Rights / Safeguarding Leads</t>
        </is>
      </c>
      <c r="B26" s="21" t="n"/>
      <c r="C26" s="21" t="n"/>
    </row>
    <row r="27" ht="15" customHeight="1" s="17">
      <c r="A27" s="30" t="inlineStr">
        <is>
          <t>Communications / Engagement / Complaints</t>
        </is>
      </c>
      <c r="B27" s="21" t="n"/>
      <c r="C27" s="21" t="n"/>
    </row>
    <row r="28" ht="15" customHeight="1" s="17">
      <c r="A28" s="30" t="inlineStr">
        <is>
          <t>Internal Audit / Independent Assurance</t>
        </is>
      </c>
      <c r="B28" s="21" t="n"/>
      <c r="C28" s="21" t="n"/>
    </row>
    <row r="29" ht="15" customHeight="1" s="17">
      <c r="A29" s="30" t="inlineStr">
        <is>
          <t>All employees / AI users</t>
        </is>
      </c>
      <c r="B29" s="21" t="n"/>
      <c r="C29" s="21" t="n"/>
    </row>
    <row r="30" ht="15" customHeight="1" s="17">
      <c r="A30" s="21" t="n"/>
      <c r="B30" s="21" t="n"/>
      <c r="C30" s="21" t="n"/>
    </row>
    <row r="31" ht="15" customHeight="1" s="17">
      <c r="A31" s="26" t="inlineStr">
        <is>
          <t>Use rules</t>
        </is>
      </c>
      <c r="B31" s="21" t="n"/>
      <c r="C31" s="21" t="n"/>
    </row>
    <row r="32" ht="27.75" customHeight="1" s="17">
      <c r="A32" s="31" t="inlineStr">
        <is>
          <t>Verify each source against its authoritative URL at every review; record the URL and the version or date seen.</t>
        </is>
      </c>
    </row>
    <row r="33" ht="27.75" customHeight="1" s="17">
      <c r="A33" s="31" t="inlineStr">
        <is>
          <t>A status of Current requires a last-verified date; Next review is calculated quarterly from the last-verified date (Summary quarterly verification cycle); record event triggers in the Review trigger column. Rows with no last-verified date are highlighted and counted as not yet verified.</t>
        </is>
      </c>
    </row>
    <row r="34" ht="27.75" customHeight="1" s="17">
      <c r="A34" s="31" t="inlineStr">
        <is>
          <t>Name the accountable specialist from the controlled role list (AIG-AIMS-04); do not free-type roles.</t>
        </is>
      </c>
    </row>
    <row r="35" ht="27.75" customHeight="1" s="17">
      <c r="A35" s="31" t="inlineStr">
        <is>
          <t>This register complements AIG-AIMS-05, which logs change events and horizon scanning; any automated horizon-scanning tool is an optional input only.</t>
        </is>
      </c>
    </row>
    <row r="36" ht="27.75" customHeight="1" s="17">
      <c r="A36" s="31" t="inlineStr">
        <is>
          <t>It is a traceability and assurance record, not legal advice; applicability decisions rest with the named specialist function.</t>
        </is>
      </c>
    </row>
    <row r="37" ht="27.75" customHeight="1" s="17">
      <c r="A37" s="31" t="inlineStr">
        <is>
          <t>Record a Gap – no source line where the framework relies on something with no monitored authoritative source; treat it as a finding.</t>
        </is>
      </c>
    </row>
    <row r="38" ht="15" customHeight="1" s="17">
      <c r="A38" s="21" t="n"/>
      <c r="B38" s="21" t="n"/>
      <c r="C38" s="21" t="n"/>
    </row>
    <row r="39" ht="15" customHeight="1" s="17">
      <c r="A39" s="21" t="n"/>
      <c r="B39" s="21" t="n"/>
      <c r="C39" s="21" t="n"/>
    </row>
    <row r="40" ht="15" customHeight="1" s="17">
      <c r="A40" s="32" t="inlineStr">
        <is>
          <t>(controlled lists for dropdowns)</t>
        </is>
      </c>
      <c r="B40" s="21" t="n"/>
      <c r="C40" s="21" t="n"/>
    </row>
    <row r="41" ht="15" customHeight="1" s="17">
      <c r="A41" s="21" t="inlineStr">
        <is>
          <t>Current</t>
        </is>
      </c>
      <c r="B41" s="21" t="n"/>
      <c r="C41" s="21" t="n"/>
    </row>
    <row r="42" ht="15" customHeight="1" s="17">
      <c r="A42" s="21" t="inlineStr">
        <is>
          <t>Under review</t>
        </is>
      </c>
      <c r="B42" s="21" t="n"/>
      <c r="C42" s="21" t="n"/>
    </row>
    <row r="43" ht="15" customHeight="1" s="17">
      <c r="A43" s="21" t="inlineStr">
        <is>
          <t>Superseded</t>
        </is>
      </c>
      <c r="B43" s="21" t="n"/>
      <c r="C43" s="21" t="n"/>
    </row>
    <row r="44" ht="15" customHeight="1" s="17">
      <c r="A44" s="21" t="inlineStr">
        <is>
          <t>Horizon-watch</t>
        </is>
      </c>
      <c r="B44" s="21" t="n"/>
      <c r="C44" s="21" t="n"/>
    </row>
    <row r="45" ht="15" customHeight="1" s="17">
      <c r="A45" s="21" t="inlineStr">
        <is>
          <t>Gap – no source</t>
        </is>
      </c>
      <c r="B45" s="21" t="n"/>
      <c r="C45" s="21" t="n"/>
    </row>
  </sheetData>
  <mergeCells count="7">
    <mergeCell ref="A36:C36"/>
    <mergeCell ref="A33:C33"/>
    <mergeCell ref="A1:C1"/>
    <mergeCell ref="A37:C37"/>
    <mergeCell ref="A32:C32"/>
    <mergeCell ref="A34:C34"/>
    <mergeCell ref="A35:C35"/>
  </mergeCells>
  <pageMargins left="0.7" right="0.7" top="0.75" bottom="0.75" header="0.3" footer="0.3"/>
  <headerFooter>
    <oddHeader>&amp;C&amp;"Arial,Regular"&amp;8 The Council — AI Source Assurance and Traceability Register</oddHeader>
    <oddFooter>&amp;C&amp;"Arial,Regular"&amp;8 AIG-AIMS-13 · v1.5 draft · Draft for Council review · OFFICIAL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5" topLeftCell="A6" activePane="bottomLeft" state="frozen"/>
      <selection pane="bottomLeft" activeCell="A1" sqref="A1"/>
    </sheetView>
  </sheetViews>
  <sheetFormatPr baseColWidth="8" defaultRowHeight="15"/>
  <cols>
    <col width="23" customWidth="1" style="17" min="1" max="1"/>
    <col width="40" customWidth="1" style="17" min="2" max="2"/>
    <col width="43" customWidth="1" style="17" min="3" max="3"/>
    <col width="28" customWidth="1" style="17" min="4" max="4"/>
    <col width="62" customWidth="1" style="17" min="5" max="5"/>
    <col width="53" customWidth="1" style="17" min="6" max="6"/>
    <col width="48" customWidth="1" style="17" min="7" max="7"/>
    <col width="55" customWidth="1" style="17" min="8" max="8"/>
  </cols>
  <sheetData>
    <row r="1" ht="25" customHeight="1" s="17">
      <c r="A1" s="33" t="inlineStr">
        <is>
          <t>PROPOSED INTEGRATION CONTRACT — AIG-INV-04 / AIG-DEC-03 / AIG-DEC-04 / AIG-OPS-02</t>
        </is>
      </c>
      <c r="B1" s="33" t="n"/>
      <c r="C1" s="33" t="n"/>
      <c r="D1" s="33" t="n"/>
      <c r="E1" s="33" t="n"/>
      <c r="F1" s="33" t="n"/>
      <c r="G1" s="33" t="n"/>
      <c r="H1" s="33" t="n"/>
    </row>
    <row r="2" ht="31" customHeight="1" s="17">
      <c r="A2" s="34"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c r="B2" s="34" t="n"/>
      <c r="C2" s="34" t="n"/>
      <c r="D2" s="34" t="n"/>
      <c r="E2" s="34" t="n"/>
      <c r="F2" s="34" t="n"/>
      <c r="G2" s="34" t="n"/>
      <c r="H2" s="34" t="n"/>
    </row>
    <row r="3" ht="31" customHeight="1" s="17">
      <c r="A3" s="34" t="inlineStr">
        <is>
          <t>Native evidence index: AIG-INV-04 → Evidence index. Evidence IDs locate native records; they do not replace the underlying artefact, decision or minute.</t>
        </is>
      </c>
      <c r="B3" s="34" t="n"/>
      <c r="C3" s="34" t="n"/>
      <c r="D3" s="34" t="n"/>
      <c r="E3" s="34" t="n"/>
      <c r="F3" s="34" t="n"/>
      <c r="G3" s="34" t="n"/>
      <c r="H3" s="34" t="n"/>
    </row>
    <row r="4" ht="31" customHeight="1" s="17">
      <c r="A4" s="34" t="inlineStr">
        <is>
          <t>Provenance rule: every reused fact/result must carry its source record/sheet and row (or document section/record ID), source version and as-of/snapshot date. Leave unavailable provenance explicitly missing; do not fabricate it.</t>
        </is>
      </c>
      <c r="B4" s="34" t="n"/>
      <c r="C4" s="34" t="n"/>
      <c r="D4" s="34" t="n"/>
      <c r="E4" s="34" t="n"/>
      <c r="F4" s="34" t="n"/>
      <c r="G4" s="34" t="n"/>
      <c r="H4" s="34" t="n"/>
    </row>
    <row r="5" ht="42" customHeight="1" s="17">
      <c r="A5" s="35" t="inlineStr">
        <is>
          <t>Integration relationship</t>
        </is>
      </c>
      <c r="B5" s="35" t="inlineStr">
        <is>
          <t>Native source / artefact</t>
        </is>
      </c>
      <c r="C5" s="35" t="inlineStr">
        <is>
          <t>Native record locator</t>
        </is>
      </c>
      <c r="D5" s="35" t="inlineStr">
        <is>
          <t>Join key(s)</t>
        </is>
      </c>
      <c r="E5" s="35" t="inlineStr">
        <is>
          <t>Proposed integration rule / use</t>
        </is>
      </c>
      <c r="F5" s="35" t="inlineStr">
        <is>
          <t>Required provenance: row, version, as-of</t>
        </is>
      </c>
      <c r="G5" s="35" t="inlineStr">
        <is>
          <t>Blank / zero handling</t>
        </is>
      </c>
      <c r="H5" s="35" t="inlineStr">
        <is>
          <t>Reporting / audit reconciliation</t>
        </is>
      </c>
    </row>
    <row r="6" ht="90" customHeight="1" s="17">
      <c r="A6" s="36" t="inlineStr">
        <is>
          <t>Key/evidence joins</t>
        </is>
      </c>
      <c r="B6" s="36" t="inlineStr">
        <is>
          <t>AIG-INV-04 (AI Register; Evidence index)</t>
        </is>
      </c>
      <c r="C6" s="36" t="inlineStr">
        <is>
          <t>AI Register: AIR-ID; Evidence index: Evidence ID + AIR-ID</t>
        </is>
      </c>
      <c r="D6" s="36" t="inlineStr">
        <is>
          <t>AIR-ID</t>
        </is>
      </c>
      <c r="E6" s="36" t="inlineStr">
        <is>
          <t>Use AIR-ID for all system-level joins; use Evidence ID to point to an indexed evidence record. Do not join on system name.</t>
        </is>
      </c>
      <c r="F6" s="36" t="inlineStr">
        <is>
          <t>Native source row (sheet + row), artefact/record ID, source version, evidence date and source as-of/snapshot date; location/link where permitted.</t>
        </is>
      </c>
      <c r="G6" s="36" t="inlineStr">
        <is>
          <t>Blank means unknown/not supplied/not applicable only when explicitly marked; never coerce blank to 0 or infer an evidence record.</t>
        </is>
      </c>
      <c r="H6" s="36" t="inlineStr">
        <is>
          <t>Reconcile unique AIR-ID and the evidence index reference against the native AIG-INV-04 workbook before relying on it.</t>
        </is>
      </c>
    </row>
    <row r="7" ht="90" customHeight="1" s="17">
      <c r="A7" s="37" t="inlineStr">
        <is>
          <t>Risk assessment</t>
        </is>
      </c>
      <c r="B7" s="37" t="inlineStr">
        <is>
          <t>AIG-ASS-02 Risk Assessment Worksheet</t>
        </is>
      </c>
      <c r="C7" s="37" t="inlineStr">
        <is>
          <t>Risk Assessment + Document Control</t>
        </is>
      </c>
      <c r="D7" s="37" t="inlineStr">
        <is>
          <t>AIR-ID</t>
        </is>
      </c>
      <c r="E7" s="37" t="inlineStr">
        <is>
          <t>Link the current assessment to the system record; retain assessment details and scoring rationale in AIG-ASS-02, not duplicated here.</t>
        </is>
      </c>
      <c r="F7" s="37" t="inlineStr">
        <is>
          <t>AIG-ASS-02 version; worksheet row/section or assessment record identifier; assessment date; source evidence IDs; as-of date for inputs.</t>
        </is>
      </c>
      <c r="G7" s="37" t="inlineStr">
        <is>
          <t>Unanswered risk or score is not zero and must not be treated as a completed assessment.</t>
        </is>
      </c>
      <c r="H7" s="37" t="inlineStr">
        <is>
          <t>Confirm risk inputs and calculated result against the native AIG-ASS-02 record and indexed evidence.</t>
        </is>
      </c>
    </row>
    <row r="8" ht="90" customHeight="1" s="17">
      <c r="A8" s="36" t="inlineStr">
        <is>
          <t>Decision / minutes</t>
        </is>
      </c>
      <c r="B8" s="36" t="inlineStr">
        <is>
          <t>AIG-DEC-03 Governance Decision Record and the native forum minutes</t>
        </is>
      </c>
      <c r="C8" s="36" t="inlineStr">
        <is>
          <t>Decision record ID; meeting/minute reference</t>
        </is>
      </c>
      <c r="D8" s="36" t="inlineStr">
        <is>
          <t>AIR-ID + Decision Record ID; relate to AIG-DEC-04 Event ID where present</t>
        </is>
      </c>
      <c r="E8" s="36" t="inlineStr">
        <is>
          <t>AIG-DEC-03 owns the reasoned decision; minutes remain native records; cross-reference, do not reproduce the decision narrative.</t>
        </is>
      </c>
      <c r="F8" s="36" t="inlineStr">
        <is>
          <t>Decision-record version/ID, meeting/minute reference, record row/section, decision date and as-of date.</t>
        </is>
      </c>
      <c r="G8" s="36" t="inlineStr">
        <is>
          <t>No decision, approver or date is inferred from a paper, plan or empty field.</t>
        </is>
      </c>
      <c r="H8" s="36" t="inlineStr">
        <is>
          <t>Reconcile the decision record and minute reference with delegated authority and corresponding AIG-DEC-04 event.</t>
        </is>
      </c>
    </row>
    <row r="9" ht="90" customHeight="1" s="17">
      <c r="A9" s="37" t="inlineStr">
        <is>
          <t>Gate plan / event / condition</t>
        </is>
      </c>
      <c r="B9" s="37" t="inlineStr">
        <is>
          <t>AIG-DEC-04 AI Governance Gate Log</t>
        </is>
      </c>
      <c r="C9" s="37" t="inlineStr">
        <is>
          <t>Gate Log record; native Event ID, AIR-ID, conditions and due/status fields</t>
        </is>
      </c>
      <c r="D9" s="37" t="inlineStr">
        <is>
          <t>AIR-ID + Event ID; Condition ID if assigned by the Council</t>
        </is>
      </c>
      <c r="E9" s="37" t="inlineStr">
        <is>
          <t>Distinguish proposed/planned gate from dated event; conditions are attached to an event. Do not treat a plan as an approval.</t>
        </is>
      </c>
      <c r="F9" s="37" t="inlineStr">
        <is>
          <t>Native sheet + row, Event ID, Condition reference, AIG-DEC-04 version and as-of/snapshot date.</t>
        </is>
      </c>
      <c r="G9" s="37" t="inlineStr">
        <is>
          <t>Missing date/status remains missing; open, overdue, waived and not applicable are distinct states, not numeric zero.</t>
        </is>
      </c>
      <c r="H9" s="37" t="inlineStr">
        <is>
          <t>Match event, condition, evidence reference and latest recorded decision; investigate inconsistencies.</t>
        </is>
      </c>
    </row>
    <row r="10" ht="90" customHeight="1" s="17">
      <c r="A10" s="36" t="inlineStr">
        <is>
          <t>Live monitoring / review</t>
        </is>
      </c>
      <c r="B10" s="36" t="inlineStr">
        <is>
          <t>AIG-OPS-02 AI Post-Deployment Monitoring and Review Log</t>
        </is>
      </c>
      <c r="C10" s="36" t="inlineStr">
        <is>
          <t>Monitoring Log; Sampling Method; record row</t>
        </is>
      </c>
      <c r="D10" s="36" t="inlineStr">
        <is>
          <t>AIR-ID + monitoring period + metric/review record; Event ID/Condition ref when relevant</t>
        </is>
      </c>
      <c r="E10" s="36" t="inlineStr">
        <is>
          <t>Link observed result and reproducible sample to AIG-OPS-02; threshold breaches trigger documented consideration and, where applicable, AIG-DEC-04 escalation.</t>
        </is>
      </c>
      <c r="F10" s="36" t="inlineStr">
        <is>
          <t>AIG-OPS-02 version, Monitoring Log row, monitoring period, review date, sample source/population and as-of date.</t>
        </is>
      </c>
      <c r="G10" s="36" t="inlineStr">
        <is>
          <t>Blank result/sample/threshold is not zero, compliance or no breach.</t>
        </is>
      </c>
      <c r="H10" s="36" t="inlineStr">
        <is>
          <t>Reproduce sample and compare actual result with the approved threshold; trace breach response to AIG-DEC-03/AIG-DEC-04/AIG-OPS-03/AIG-AIMS-08 as appropriate.</t>
        </is>
      </c>
    </row>
    <row r="11" ht="90" customHeight="1" s="17">
      <c r="A11" s="37" t="inlineStr">
        <is>
          <t>Reporting population</t>
        </is>
      </c>
      <c r="B11" s="37" t="inlineStr">
        <is>
          <t>AIG-INV-04 AI Register and Assessment summary; AIG-DEC-03 and native minutes; AIG-DEC-04 plan/event/condition; AIG-OPS-02</t>
        </is>
      </c>
      <c r="C11" s="37" t="inlineStr">
        <is>
          <t>Source records for each reporting period; native evidence index for evidence pointers</t>
        </is>
      </c>
      <c r="D11" s="37" t="inlineStr">
        <is>
          <t>AIR-ID, Evidence ID, Decision Record ID, Event ID, Condition ref, monitoring period</t>
        </is>
      </c>
      <c r="E11" s="37" t="inlineStr">
        <is>
          <t>Report at the declared snapshot date; show numerator, denominator, exclusions, missing/unknown and not-applicable separately. Report plans versus completed events separately.</t>
        </is>
      </c>
      <c r="F11" s="37" t="inlineStr">
        <is>
          <t>Freeze reporting as-of date; retain the source workbook/document version and source row identifiers for each sampled/aggregated record.</t>
        </is>
      </c>
      <c r="G11" s="37" t="inlineStr">
        <is>
          <t>Do not count blanks as zero or complete; distinguish zero observed from no data and from not applicable.</t>
        </is>
      </c>
      <c r="H11" s="37" t="inlineStr">
        <is>
          <t>Reconcile totals to source populations and document filters, period, exclusions and unresolved links.</t>
        </is>
      </c>
    </row>
    <row r="12" ht="90" customHeight="1" s="17">
      <c r="A12" s="36" t="inlineStr">
        <is>
          <t>Audit sampling</t>
        </is>
      </c>
      <c r="B12" s="36" t="inlineStr">
        <is>
          <t>AIG-AIMS-07 Internal Audit Programme and Procedure; sample sources AIG-INV-04 AI Register/Assessment summary, AIG-DEC-03/minutes, AIG-DEC-04 plan/event/condition, AIG-OPS-02 log</t>
        </is>
      </c>
      <c r="C12" s="36" t="inlineStr">
        <is>
          <t>Auditor-selected native records; evidence index is a locator, not a substitute for evidence</t>
        </is>
      </c>
      <c r="D12" s="36" t="inlineStr">
        <is>
          <t>AIR-ID + each native record key above</t>
        </is>
      </c>
      <c r="E12" s="36" t="inlineStr">
        <is>
          <t>Record sampling frame, population size, inclusion/exclusion criteria, selection method and seed/date where random; inspect source records rather than only summary views.</t>
        </is>
      </c>
      <c r="F12" s="36" t="inlineStr">
        <is>
          <t>Record each sampled native sheet/document and row/record ID, version, source as-of date, retrieval date, criterion tested, and evidence index reference.</t>
        </is>
      </c>
      <c r="G12" s="36" t="inlineStr">
        <is>
          <t>An absent record is a sample finding/gap, not a zero; unknown is not pass.</t>
        </is>
      </c>
      <c r="H12" s="36" t="inlineStr">
        <is>
          <t>Auditor records independent selection, trace-back and reproducibility in the AIG-AIMS-07 audit working papers/findings.</t>
        </is>
      </c>
    </row>
    <row r="13" ht="90" customHeight="1" s="17">
      <c r="A13" s="37" t="inlineStr">
        <is>
          <t>Native evidence index</t>
        </is>
      </c>
      <c r="B13" s="37" t="inlineStr">
        <is>
          <t>AIG-INV-04 Evidence index (native evidence index)</t>
        </is>
      </c>
      <c r="C13" s="37" t="inlineStr">
        <is>
          <t>Evidence ID, AIR-ID, artefact/record ID, version, evidence/decision date, status, location/link, gate/condition reference as present</t>
        </is>
      </c>
      <c r="D13" s="37" t="inlineStr">
        <is>
          <t>Evidence ID + AIR-ID; optionally Event ID / Condition ref</t>
        </is>
      </c>
      <c r="E13" s="37" t="inlineStr">
        <is>
          <t>Use as a pointer to the authoritative artefact, not as the decision itself or a copied evidence store. Preserve its native metadata.</t>
        </is>
      </c>
      <c r="F13" s="37" t="inlineStr">
        <is>
          <t>Capture source row, source workbook version and as-of date alongside index metadata when reporting/auditing.</t>
        </is>
      </c>
      <c r="G13" s="37" t="inlineStr">
        <is>
          <t>Empty index fields signal missing provenance; do not supply invented versions, dates, links or approval.</t>
        </is>
      </c>
      <c r="H13" s="37" t="inlineStr">
        <is>
          <t>Check that linked artefact exists, version matches, is appropriate to the question and has not been superseded.</t>
        </is>
      </c>
    </row>
  </sheetData>
  <autoFilter ref="A5:H13"/>
  <pageMargins left="0.75" right="0.75" top="1" bottom="1" header="0.5" footer="0.5"/>
  <headerFooter>
    <oddHeader>&amp;C&amp;"Arial,Regular"&amp;8 The Council — AI Source Assurance and Traceability Register</oddHeader>
    <oddFooter>&amp;C&amp;"Arial,Regular"&amp;8 AIG-AIMS-13 · v1.5 draft · Draft for Council review · OFFICIAL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1" customWidth="1" style="17" min="1" max="1"/>
    <col width="70" customWidth="1" style="17" min="2" max="2"/>
    <col width="96" customWidth="1" style="17" min="3" max="3"/>
    <col width="84" customWidth="1" style="17" min="4" max="4"/>
    <col width="33" customWidth="1" style="17" min="5" max="5"/>
  </cols>
  <sheetData>
    <row r="1">
      <c r="A1" s="16" t="inlineStr">
        <is>
          <t>PROPOSED QA INDEX — NOT APPROVED. A source reference does not establish applicability or compliance. See AIG-AIMS-05 and AIG-AIMS-13; owners must validate the current source, case-specific scope, control evidence and adopted status.</t>
        </is>
      </c>
    </row>
    <row r="2">
      <c r="A2" s="39" t="inlineStr">
        <is>
          <t>Requirement ID</t>
        </is>
      </c>
      <c r="B2" s="39" t="inlineStr">
        <is>
          <t>Instrument / edition</t>
        </is>
      </c>
      <c r="C2" s="39" t="inlineStr">
        <is>
          <t>Conditional scope / relevance</t>
        </is>
      </c>
      <c r="D2" s="39" t="inlineStr">
        <is>
          <t>Source URL</t>
        </is>
      </c>
      <c r="E2" s="39" t="inlineStr">
        <is>
          <t>Owner validation status</t>
        </is>
      </c>
    </row>
    <row r="3" ht="43" customHeight="1" s="17">
      <c r="A3" s="40" t="inlineStr">
        <is>
          <t>REQ-011</t>
        </is>
      </c>
      <c r="B3" s="40" t="inlineStr">
        <is>
          <t>Section 46 Code of Practice on records management under FOIA</t>
        </is>
      </c>
      <c r="C3" s="40" t="inlineStr">
        <is>
          <t>Screen the statutory code requirement against this artefact's actual use and record evidence/version; see the AIG-AIMS-05 Applicable Requirements entry (REQ-011) for the controlled position.</t>
        </is>
      </c>
      <c r="D3" s="40" t="inlineStr">
        <is>
          <t>https://ico.org.uk/for-organisations/foi/freedom-of-information-and-environmental-information-regulations/section-46-code-of-practice-records-management/</t>
        </is>
      </c>
      <c r="E3" s="40" t="inlineStr">
        <is>
          <t>Specialist validation required</t>
        </is>
      </c>
    </row>
    <row r="4" ht="43" customHeight="1" s="17">
      <c r="A4" s="40" t="inlineStr">
        <is>
          <t>REQ-040</t>
        </is>
      </c>
      <c r="B4" s="40" t="inlineStr">
        <is>
          <t>ISO/IEC 42001:2023 Artificial intelligence management system</t>
        </is>
      </c>
      <c r="C4" s="40" t="inlineStr">
        <is>
          <t>Proposed management-system design mapping; licensed clause review and adoption needed.</t>
        </is>
      </c>
      <c r="D4" s="40" t="inlineStr">
        <is>
          <t>https://www.iso.org/standard/42001</t>
        </is>
      </c>
      <c r="E4" s="40" t="inlineStr">
        <is>
          <t>Specialist validation required</t>
        </is>
      </c>
    </row>
    <row r="5" ht="43" customHeight="1" s="17">
      <c r="A5" s="40" t="inlineStr">
        <is>
          <t>REQ-044</t>
        </is>
      </c>
      <c r="B5" s="40" t="inlineStr">
        <is>
          <t>Council AI Governance Playbook — proposed edition/version and currency to be owner-validated</t>
        </is>
      </c>
      <c r="C5" s="40" t="inlineStr">
        <is>
          <t>Proposed Council suite edition and controlled adoption remain unconfirmed.</t>
        </is>
      </c>
      <c r="D5" s="40" t="inlineStr">
        <is>
          <t>Internal controlled suite — 52 purpose-grouped artefacts (see AIG-GOV-03)</t>
        </is>
      </c>
      <c r="E5" s="40" t="inlineStr">
        <is>
          <t>Specialist validation required</t>
        </is>
      </c>
    </row>
  </sheetData>
  <autoFilter ref="A2:E5"/>
  <pageMargins left="0.75" right="0.75" top="1" bottom="1" header="0.5" footer="0.5"/>
  <headerFooter>
    <oddHeader>&amp;C&amp;"Arial,Regular"&amp;8 The Council — AI Source Assurance and Traceability Register</oddHeader>
    <oddFooter>&amp;C&amp;"Arial,Regular"&amp;8 AIG-AIMS-13 · v1.5 draft · Draft for Council review · OFFICIAL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17" min="1" max="1"/>
    <col width="112" customWidth="1" style="17" min="2" max="2"/>
  </cols>
  <sheetData>
    <row r="1">
      <c r="A1" s="41" t="inlineStr">
        <is>
          <t>AIG-AIMS-13 / PROPOSED THREE-ARTEFACT SOURCE CONTRACT</t>
        </is>
      </c>
    </row>
    <row r="2"/>
    <row r="3" ht="45" customHeight="1" s="17">
      <c r="A3" s="42" t="inlineStr">
        <is>
          <t>Status</t>
        </is>
      </c>
      <c r="B3" s="43" t="inlineStr">
        <is>
          <t>PROPOSED INTEGRATION DESIGN ONLY. This sheet does not amend the artefact's native assessment, decision authority, data or formulas.</t>
        </is>
      </c>
    </row>
    <row r="4" ht="45" customHeight="1" s="17">
      <c r="A4" s="44" t="inlineStr">
        <is>
          <t>Role of this file</t>
        </is>
      </c>
      <c r="B4" s="45" t="inlineStr">
        <is>
          <t>Source assurance: Record source citations and applicability separately. AIG-INV-04 Evidence index holds case pointers; map source refs are relationship evidence, not legal conclusions or gate approvals.</t>
        </is>
      </c>
    </row>
    <row r="5" ht="45" customHeight="1" s="17">
      <c r="A5" s="42" t="inlineStr">
        <is>
          <t>AIG-INV-04 source</t>
        </is>
      </c>
      <c r="B5" s="43" t="inlineStr">
        <is>
          <t>Separate AIG-INV-04 AI Register: official AIR-ID, current position, in-file Assessment summary/Evidence index. Reconcile against authoritative AIG-INV-04 before using a copied value.</t>
        </is>
      </c>
    </row>
    <row r="6" ht="45" customHeight="1" s="17">
      <c r="A6" s="44" t="inlineStr">
        <is>
          <t>AIG-DEC-04 source</t>
        </is>
      </c>
      <c r="B6" s="45" t="inlineStr">
        <is>
          <t>Separate AIG-DEC-04 Gate Log: prospective Gate plan, dated Gate events, event-linked Conditions. A planned gate is not a decision. A decision requires AIG-DEC-03 or approved minutes and proper delegation.</t>
        </is>
      </c>
    </row>
    <row r="7" ht="48" customHeight="1" s="17">
      <c r="A7" s="42" t="inlineStr">
        <is>
          <t>Map source</t>
        </is>
      </c>
      <c r="B7" s="43" t="inlineStr">
        <is>
          <t>Proposed standalone Capabilities and System Map (candidate catalogue ID AIG-INV-05): UC/CAP and component relationship pointers. Edge ID is not an approval or permission; AIG-AGT-04/AIG-AGT-05 remain sources of agent scope/authority.</t>
        </is>
      </c>
    </row>
    <row r="8" ht="48" customHeight="1" s="17">
      <c r="A8" s="44" t="inlineStr">
        <is>
          <t>Data exchange</t>
        </is>
      </c>
      <c r="B8" s="45" t="inlineStr">
        <is>
          <t>Use controlled AIR-ID across files. Where applicable reference exact Event ID, Condition ID, Evidence ID, AG-ID and Edge ID. Record source file/version/as-at with imported or quoted evidence; no live cross-workbook formula is assumed.</t>
        </is>
      </c>
    </row>
    <row r="9" ht="45" customHeight="1" s="17">
      <c r="A9" s="42" t="inlineStr">
        <is>
          <t>Change trigger</t>
        </is>
      </c>
      <c r="B9" s="43" t="inlineStr">
        <is>
          <t>New or expanded system/tool access, or a material model, data, interface, purpose or agent change: log the map change, obtain owner reassessment and escalate to the proper AIG-DEC-04 gate/AIG-DEC-03 decision when required.</t>
        </is>
      </c>
    </row>
    <row r="10" ht="48" customHeight="1" s="17">
      <c r="A10" s="44" t="inlineStr">
        <is>
          <t>Validation before use</t>
        </is>
      </c>
      <c r="B10" s="45"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5" right="0.75" top="1" bottom="1" header="0.5" footer="0.5"/>
  <headerFooter>
    <oddHeader>&amp;C&amp;"Arial,Regular"&amp;8 The Council — AI Source Assurance and Traceability Register</oddHeader>
    <oddFooter>&amp;C&amp;"Arial,Regular"&amp;8 AIG-AIMS-13 · v1.5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AIG-AIMS-13 AI Source Assurance and Traceability Register</dc:title>
  <dc:description xmlns:dc="http://purl.org/dc/elements/1.1/">Draft for Council review. Classification: OFFICIAL.</dc:description>
  <dc:subject xmlns:dc="http://purl.org/dc/elements/1.1/">AIG-AIMS-13 v1.3 — Draft for Council review</dc:subject>
  <dc:language xmlns:dc="http://purl.org/dc/elements/1.1/">en-GB</dc:language>
  <dcterms:created xmlns:dcterms="http://purl.org/dc/terms/" xmlns:xsi="http://www.w3.org/2001/XMLSchema-instance" xsi:type="dcterms:W3CDTF">2026-09-25T15:58:43Z</dcterms:created>
  <dcterms:modified xmlns:dcterms="http://purl.org/dc/terms/" xmlns:xsi="http://www.w3.org/2001/XMLSchema-instance" xsi:type="dcterms:W3CDTF">2026-10-12T11:00:14Z</dcterms:modified>
  <cp:lastModifiedBy>AI Governance Lead</cp:lastModifiedBy>
  <cp:category>OFFICIAL</cp:category>
  <cp:keywords>OFFICIAL; AI governance; AIG-AIMS-13</cp:keywords>
</cp:coreProperties>
</file>