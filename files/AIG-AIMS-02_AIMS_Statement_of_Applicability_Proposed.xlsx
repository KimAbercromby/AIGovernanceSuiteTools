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SoA Register" sheetId="2" state="visible" r:id="rId2"/>
    <sheet xmlns:r="http://schemas.openxmlformats.org/officeDocument/2006/relationships" name="Lists &amp; Guidance" sheetId="3" state="visible" r:id="rId3"/>
    <sheet xmlns:r="http://schemas.openxmlformats.org/officeDocument/2006/relationships" name="INTEGRATION INV-04 DEC-04" sheetId="4" state="visible" r:id="rId4"/>
    <sheet xmlns:r="http://schemas.openxmlformats.org/officeDocument/2006/relationships" name="STANDARDS SCOPE QA" sheetId="5" state="visible" r:id="rId5"/>
    <sheet xmlns:r="http://schemas.openxmlformats.org/officeDocument/2006/relationships" name="MAP &amp; SPLIT CONTRACT" sheetId="6" state="visible" r:id="rId6"/>
  </sheets>
  <definedNames/>
</workbook>
</file>

<file path=xl/styles.xml><?xml version="1.0" encoding="utf-8"?>
<styleSheet xmlns="http://schemas.openxmlformats.org/spreadsheetml/2006/main">
  <numFmts count="1">
    <numFmt numFmtId="164" formatCode="dd/mm/yyyy"/>
  </numFmts>
  <fonts count="24">
    <font>
      <name val="Arial"/>
      <sz val="10"/>
    </font>
    <font>
      <name val="Arial"/>
      <sz val="10"/>
    </font>
    <font>
      <name val="Arial"/>
      <sz val="10"/>
    </font>
    <font>
      <name val="Arial"/>
      <sz val="10"/>
    </font>
    <font>
      <name val="Arial"/>
      <sz val="10"/>
    </font>
    <font>
      <name val="Arial"/>
      <b val="1"/>
      <color rgb="FFFFFFFF"/>
      <sz val="16"/>
    </font>
    <font>
      <name val="Arial"/>
      <i val="1"/>
      <color rgb="FF17212B"/>
      <sz val="10"/>
    </font>
    <font>
      <name val="Arial"/>
      <b val="1"/>
      <color rgb="FFC00000"/>
      <sz val="10"/>
    </font>
    <font>
      <name val="Arial"/>
      <b val="1"/>
      <color rgb="FFFFFFFF"/>
      <sz val="10"/>
    </font>
    <font>
      <name val="Arial"/>
      <b val="1"/>
      <color rgb="FF08233F"/>
      <sz val="9"/>
    </font>
    <font>
      <name val="Arial"/>
      <color rgb="FF17212B"/>
      <sz val="9"/>
    </font>
    <font>
      <name val="Arial"/>
      <b val="1"/>
      <color rgb="FFFFFFFF"/>
      <sz val="9"/>
    </font>
    <font>
      <name val="Arial"/>
      <b val="1"/>
      <color rgb="FF08233F"/>
      <sz val="11"/>
    </font>
    <font>
      <name val="Arial"/>
      <b val="1"/>
      <color rgb="FF7F6000"/>
      <sz val="11"/>
    </font>
    <font>
      <name val="Arial"/>
      <color rgb="FF17212B"/>
      <sz val="10"/>
    </font>
    <font>
      <name val="Arial"/>
      <b val="1"/>
      <color rgb="FF548235"/>
      <sz val="9"/>
    </font>
    <font>
      <name val="Arial"/>
      <b val="1"/>
      <color rgb="FFFFFFFF"/>
      <sz val="15"/>
    </font>
    <font>
      <name val="Aptos Display"/>
      <b val="1"/>
      <color rgb="FFFFFFFF"/>
      <sz val="15"/>
    </font>
    <font>
      <name val="Aptos"/>
      <b val="1"/>
      <color rgb="FF9C0006"/>
      <sz val="10"/>
    </font>
    <font>
      <b val="1"/>
      <color rgb="FFFFFFFF"/>
    </font>
    <font>
      <b val="1"/>
      <color rgb="FF17365D"/>
    </font>
    <font>
      <name val="Aptos Display"/>
      <b val="1"/>
      <color rgb="FF17324F"/>
      <sz val="16"/>
    </font>
    <font>
      <name val="Aptos"/>
      <b val="1"/>
      <color rgb="FF17324F"/>
      <sz val="11"/>
    </font>
    <font>
      <name val="Aptos"/>
      <color rgb="FF17324F"/>
      <sz val="11"/>
    </font>
  </fonts>
  <fills count="17">
    <fill>
      <patternFill/>
    </fill>
    <fill>
      <patternFill patternType="gray125"/>
    </fill>
    <fill>
      <patternFill patternType="solid">
        <fgColor rgb="FF0B2848"/>
      </patternFill>
    </fill>
    <fill>
      <patternFill patternType="solid">
        <fgColor rgb="FFFFF8E1"/>
      </patternFill>
    </fill>
    <fill>
      <patternFill patternType="solid">
        <fgColor rgb="FFFCE4D6"/>
      </patternFill>
    </fill>
    <fill>
      <patternFill patternType="solid">
        <fgColor rgb="FFE9EEF4"/>
      </patternFill>
    </fill>
    <fill>
      <patternFill patternType="solid">
        <fgColor rgb="FFF4F8FC"/>
      </patternFill>
    </fill>
    <fill>
      <patternFill patternType="solid">
        <fgColor rgb="FF17365D"/>
      </patternFill>
    </fill>
    <fill>
      <patternFill patternType="solid">
        <fgColor rgb="FFDCEAF7"/>
      </patternFill>
    </fill>
    <fill>
      <patternFill patternType="solid">
        <fgColor rgb="FFE2F0D9"/>
      </patternFill>
    </fill>
    <fill>
      <patternFill patternType="solid">
        <fgColor rgb="FF17365D"/>
      </patternFill>
    </fill>
    <fill>
      <patternFill patternType="solid">
        <fgColor rgb="FFFCE4D6"/>
      </patternFill>
    </fill>
    <fill>
      <patternFill patternType="solid">
        <fgColor rgb="FF4472C4"/>
      </patternFill>
    </fill>
    <fill>
      <patternFill patternType="solid">
        <fgColor rgb="FFD9EAF7"/>
      </patternFill>
    </fill>
    <fill>
      <patternFill patternType="solid">
        <fgColor rgb="FF17354F"/>
      </patternFill>
    </fill>
    <fill>
      <patternFill patternType="solid">
        <fgColor rgb="FFEAF4F3"/>
      </patternFill>
    </fill>
    <fill>
      <patternFill patternType="solid">
        <fgColor rgb="FFF5F9FA"/>
      </patternFill>
    </fill>
  </fills>
  <borders count="16">
    <border/>
    <border>
      <left style="thin">
        <color rgb="FFB4C7DC"/>
      </left>
      <right style="thin">
        <color rgb="FFB4C7DC"/>
      </right>
      <top style="thin">
        <color rgb="FFB4C7DC"/>
      </top>
      <bottom style="thin">
        <color rgb="FFB4C7DC"/>
      </bottom>
    </border>
    <border>
      <left style="thin">
        <color rgb="FFB4C7DC"/>
      </left>
      <right style="thin">
        <color rgb="FFD9E2F3"/>
      </right>
      <bottom style="thin">
        <color rgb="FFD9E2F3"/>
      </bottom>
    </border>
    <border>
      <left style="thin">
        <color rgb="FFD9E2F3"/>
      </left>
      <right style="thin">
        <color rgb="FFD9E2F3"/>
      </right>
      <bottom style="thin">
        <color rgb="FFD9E2F3"/>
      </bottom>
    </border>
    <border>
      <left style="thin">
        <color rgb="FFD9E2F3"/>
      </left>
      <right style="thin">
        <color rgb="FFB4C7DC"/>
      </right>
      <bottom style="thin">
        <color rgb="FFD9E2F3"/>
      </bottom>
    </border>
    <border>
      <left style="thin">
        <color rgb="FFB4C7DC"/>
      </left>
      <right style="thin">
        <color rgb="FFD9E2F3"/>
      </right>
      <top style="thin">
        <color rgb="FFD9E2F3"/>
      </top>
      <bottom style="thin">
        <color rgb="FFD9E2F3"/>
      </bottom>
    </border>
    <border>
      <left style="thin">
        <color rgb="FFD9E2F3"/>
      </left>
      <right style="thin">
        <color rgb="FFD9E2F3"/>
      </right>
      <top style="thin">
        <color rgb="FFD9E2F3"/>
      </top>
      <bottom style="thin">
        <color rgb="FFD9E2F3"/>
      </bottom>
    </border>
    <border>
      <left style="thin">
        <color rgb="FFD9E2F3"/>
      </left>
      <right style="thin">
        <color rgb="FFB4C7DC"/>
      </right>
      <top style="thin">
        <color rgb="FFD9E2F3"/>
      </top>
      <bottom style="thin">
        <color rgb="FFD9E2F3"/>
      </bottom>
    </border>
    <border>
      <left style="thin">
        <color rgb="FFB4C7DC"/>
      </left>
      <right style="thin">
        <color rgb="FFD9E2F3"/>
      </right>
      <top style="thin">
        <color rgb="FFD9E2F3"/>
      </top>
      <bottom style="thin">
        <color rgb="FFB4C7DC"/>
      </bottom>
    </border>
    <border>
      <left style="thin">
        <color rgb="FFD9E2F3"/>
      </left>
      <right style="thin">
        <color rgb="FFD9E2F3"/>
      </right>
      <top style="thin">
        <color rgb="FFD9E2F3"/>
      </top>
      <bottom style="thin">
        <color rgb="FFB4C7DC"/>
      </bottom>
    </border>
    <border>
      <left style="thin">
        <color rgb="FFD9E2F3"/>
      </left>
      <right style="thin">
        <color rgb="FFB4C7DC"/>
      </right>
      <top style="thin">
        <color rgb="FFD9E2F3"/>
      </top>
      <bottom style="thin">
        <color rgb="FFB4C7DC"/>
      </bottom>
    </border>
    <border>
      <top style="thin">
        <color rgb="FFB4C7DC"/>
      </top>
    </border>
    <border>
      <right style="thin">
        <color rgb="FFB4C7DC"/>
      </right>
      <top style="thin">
        <color rgb="FFB4C7DC"/>
      </top>
    </border>
    <border>
      <top style="thin">
        <color rgb="FFB4C7DC"/>
      </top>
      <bottom style="thin">
        <color rgb="FFB4C7DC"/>
      </bottom>
    </border>
    <border>
      <right style="thin">
        <color rgb="FFB4C7DC"/>
      </right>
      <top style="thin">
        <color rgb="FFB4C7DC"/>
      </top>
      <bottom style="thin">
        <color rgb="FFB4C7DC"/>
      </bottom>
    </border>
    <border>
      <bottom style="thin">
        <color rgb="FFD9E2F3"/>
      </bottom>
    </border>
  </borders>
  <cellStyleXfs count="6">
    <xf numFmtId="0" fontId="4" fillId="0" borderId="0" applyAlignment="1">
      <alignment horizontal="general" vertical="bottom"/>
    </xf>
    <xf numFmtId="43" fontId="4" fillId="0" borderId="0"/>
    <xf numFmtId="41" fontId="4" fillId="0" borderId="0"/>
    <xf numFmtId="44" fontId="4" fillId="0" borderId="0"/>
    <xf numFmtId="42" fontId="4" fillId="0" borderId="0"/>
    <xf numFmtId="9" fontId="4" fillId="0" borderId="0"/>
  </cellStyleXfs>
  <cellXfs count="10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3" borderId="0" applyAlignment="1" pivotButton="0" quotePrefix="0" xfId="0">
      <alignment horizontal="general" vertical="center"/>
    </xf>
    <xf numFmtId="0" fontId="7" fillId="4" borderId="0" applyAlignment="1" pivotButton="0" quotePrefix="0" xfId="0">
      <alignment horizontal="general" vertical="center" wrapText="1"/>
    </xf>
    <xf numFmtId="0" fontId="8" fillId="2" borderId="0" applyAlignment="1" pivotButton="0" quotePrefix="0" xfId="0">
      <alignment horizontal="general" vertical="bottom"/>
    </xf>
    <xf numFmtId="0" fontId="8" fillId="2" borderId="0" applyAlignment="1" pivotButton="0" quotePrefix="0" xfId="0">
      <alignment horizontal="center" vertical="bottom"/>
    </xf>
    <xf numFmtId="0" fontId="9" fillId="5" borderId="1" applyAlignment="1" pivotButton="0" quotePrefix="0" xfId="0">
      <alignment horizontal="general" vertical="bottom" wrapText="1"/>
    </xf>
    <xf numFmtId="0" fontId="10" fillId="6" borderId="1" applyAlignment="1" pivotButton="0" quotePrefix="0" xfId="0">
      <alignment horizontal="general" vertical="bottom" wrapText="1"/>
    </xf>
    <xf numFmtId="0" fontId="11" fillId="7" borderId="0" applyAlignment="1" pivotButton="0" quotePrefix="0" xfId="0">
      <alignment horizontal="general" vertical="bottom"/>
    </xf>
    <xf numFmtId="0" fontId="9" fillId="5" borderId="1" applyAlignment="1" pivotButton="0" quotePrefix="0" xfId="0">
      <alignment horizontal="general" vertical="bottom"/>
    </xf>
    <xf numFmtId="0" fontId="12" fillId="8" borderId="1" applyAlignment="1" pivotButton="0" quotePrefix="0" xfId="0">
      <alignment horizontal="center" vertical="bottom"/>
    </xf>
    <xf numFmtId="9" fontId="13" fillId="3" borderId="1" applyAlignment="1" pivotButton="0" quotePrefix="0" xfId="0">
      <alignment horizontal="center" vertical="bottom"/>
    </xf>
    <xf numFmtId="0" fontId="8" fillId="2" borderId="0" applyAlignment="1" pivotButton="0" quotePrefix="0" xfId="0">
      <alignment horizontal="general" vertical="bottom"/>
    </xf>
    <xf numFmtId="0" fontId="11" fillId="7" borderId="0" applyAlignment="1" pivotButton="0" quotePrefix="0" xfId="0">
      <alignment horizontal="center" vertical="bottom" wrapText="1"/>
    </xf>
    <xf numFmtId="0" fontId="10" fillId="6" borderId="1" applyAlignment="1" pivotButton="0" quotePrefix="0" xfId="0">
      <alignment horizontal="center" vertical="bottom"/>
    </xf>
    <xf numFmtId="0" fontId="10" fillId="3" borderId="1" applyAlignment="1" pivotButton="0" quotePrefix="0" xfId="0">
      <alignment horizontal="general" vertical="center" wrapText="1"/>
    </xf>
    <xf numFmtId="0" fontId="11" fillId="2" borderId="0" applyAlignment="1" pivotButton="0" quotePrefix="0" xfId="0">
      <alignment horizontal="general" vertical="bottom"/>
    </xf>
    <xf numFmtId="0" fontId="11" fillId="2" borderId="0" applyAlignment="1" pivotButton="0" quotePrefix="0" xfId="0">
      <alignment horizontal="general" vertical="bottom"/>
    </xf>
    <xf numFmtId="0" fontId="10" fillId="0" borderId="1" applyAlignment="1" pivotButton="0" quotePrefix="0" xfId="0">
      <alignment horizontal="general" vertical="bottom" wrapText="1"/>
    </xf>
    <xf numFmtId="164" fontId="10" fillId="0" borderId="1" applyAlignment="1" pivotButton="0" quotePrefix="0" xfId="0">
      <alignment horizontal="general" vertical="bottom" wrapText="1"/>
    </xf>
    <xf numFmtId="0" fontId="14" fillId="6" borderId="0" applyAlignment="1" pivotButton="0" quotePrefix="0" xfId="0">
      <alignment horizontal="general" vertical="center" wrapText="1"/>
    </xf>
    <xf numFmtId="0" fontId="11" fillId="2" borderId="1" applyAlignment="1" pivotButton="0" quotePrefix="0" xfId="0">
      <alignment horizontal="center" vertical="center" wrapText="1"/>
    </xf>
    <xf numFmtId="0" fontId="9" fillId="5" borderId="2" applyAlignment="1" pivotButton="0" quotePrefix="0" xfId="0">
      <alignment horizontal="center" vertical="top" wrapText="1"/>
    </xf>
    <xf numFmtId="0" fontId="9" fillId="6" borderId="3" applyAlignment="1" pivotButton="0" quotePrefix="0" xfId="0">
      <alignment horizontal="general" vertical="top" wrapText="1"/>
    </xf>
    <xf numFmtId="0" fontId="10" fillId="0" borderId="3" applyAlignment="1" pivotButton="0" quotePrefix="0" xfId="0">
      <alignment horizontal="general" vertical="top" wrapText="1"/>
    </xf>
    <xf numFmtId="0" fontId="15" fillId="9" borderId="3" applyAlignment="1" pivotButton="0" quotePrefix="0" xfId="0">
      <alignment horizontal="center" vertical="top" wrapText="1"/>
    </xf>
    <xf numFmtId="0" fontId="10" fillId="3" borderId="3" applyAlignment="1" pivotButton="0" quotePrefix="0" xfId="0">
      <alignment horizontal="general" vertical="top" wrapText="1"/>
    </xf>
    <xf numFmtId="164" fontId="10" fillId="3" borderId="3" applyAlignment="1" pivotButton="0" quotePrefix="0" xfId="0">
      <alignment horizontal="general" vertical="top" wrapText="1"/>
    </xf>
    <xf numFmtId="0" fontId="15" fillId="9" borderId="4" applyAlignment="1" pivotButton="0" quotePrefix="0" xfId="0">
      <alignment horizontal="center" vertical="top" wrapText="1"/>
    </xf>
    <xf numFmtId="0" fontId="9" fillId="5" borderId="5" applyAlignment="1" pivotButton="0" quotePrefix="0" xfId="0">
      <alignment horizontal="center" vertical="top" wrapText="1"/>
    </xf>
    <xf numFmtId="0" fontId="9" fillId="6" borderId="6" applyAlignment="1" pivotButton="0" quotePrefix="0" xfId="0">
      <alignment horizontal="general" vertical="top" wrapText="1"/>
    </xf>
    <xf numFmtId="0" fontId="10" fillId="0" borderId="6" applyAlignment="1" pivotButton="0" quotePrefix="0" xfId="0">
      <alignment horizontal="general" vertical="top" wrapText="1"/>
    </xf>
    <xf numFmtId="0" fontId="15" fillId="9" borderId="6" applyAlignment="1" pivotButton="0" quotePrefix="0" xfId="0">
      <alignment horizontal="center" vertical="top" wrapText="1"/>
    </xf>
    <xf numFmtId="0" fontId="10" fillId="3" borderId="6" applyAlignment="1" pivotButton="0" quotePrefix="0" xfId="0">
      <alignment horizontal="general" vertical="top" wrapText="1"/>
    </xf>
    <xf numFmtId="164" fontId="10" fillId="3" borderId="6" applyAlignment="1" pivotButton="0" quotePrefix="0" xfId="0">
      <alignment horizontal="general" vertical="top" wrapText="1"/>
    </xf>
    <xf numFmtId="0" fontId="15" fillId="9" borderId="7" applyAlignment="1" pivotButton="0" quotePrefix="0" xfId="0">
      <alignment horizontal="center" vertical="top" wrapText="1"/>
    </xf>
    <xf numFmtId="0" fontId="9" fillId="5" borderId="8" applyAlignment="1" pivotButton="0" quotePrefix="0" xfId="0">
      <alignment horizontal="center" vertical="top" wrapText="1"/>
    </xf>
    <xf numFmtId="0" fontId="9" fillId="6" borderId="9" applyAlignment="1" pivotButton="0" quotePrefix="0" xfId="0">
      <alignment horizontal="general" vertical="top" wrapText="1"/>
    </xf>
    <xf numFmtId="0" fontId="10" fillId="0" borderId="9" applyAlignment="1" pivotButton="0" quotePrefix="0" xfId="0">
      <alignment horizontal="general" vertical="top" wrapText="1"/>
    </xf>
    <xf numFmtId="0" fontId="15" fillId="9" borderId="9" applyAlignment="1" pivotButton="0" quotePrefix="0" xfId="0">
      <alignment horizontal="center" vertical="top" wrapText="1"/>
    </xf>
    <xf numFmtId="0" fontId="10" fillId="3" borderId="9" applyAlignment="1" pivotButton="0" quotePrefix="0" xfId="0">
      <alignment horizontal="general" vertical="top" wrapText="1"/>
    </xf>
    <xf numFmtId="164" fontId="10" fillId="3" borderId="9" applyAlignment="1" pivotButton="0" quotePrefix="0" xfId="0">
      <alignment horizontal="general" vertical="top" wrapText="1"/>
    </xf>
    <xf numFmtId="0" fontId="15" fillId="9" borderId="10" applyAlignment="1" pivotButton="0" quotePrefix="0" xfId="0">
      <alignment horizontal="center" vertical="top" wrapText="1"/>
    </xf>
    <xf numFmtId="0" fontId="16" fillId="2" borderId="0" applyAlignment="1" pivotButton="0" quotePrefix="0" xfId="0">
      <alignment horizontal="general" vertical="bottom"/>
    </xf>
    <xf numFmtId="0" fontId="10" fillId="6" borderId="0" applyAlignment="1" pivotButton="0" quotePrefix="0" xfId="0">
      <alignment horizontal="general" vertical="center"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3" borderId="0" applyAlignment="1" pivotButton="0" quotePrefix="0" xfId="0">
      <alignment horizontal="general" vertical="center"/>
    </xf>
    <xf numFmtId="0" fontId="7" fillId="4" borderId="0" applyAlignment="1" pivotButton="0" quotePrefix="0" xfId="0">
      <alignment horizontal="general" vertical="center" wrapText="1"/>
    </xf>
    <xf numFmtId="0" fontId="8" fillId="2" borderId="0" applyAlignment="1" pivotButton="0" quotePrefix="0" xfId="0">
      <alignment horizontal="general" vertical="bottom"/>
    </xf>
    <xf numFmtId="0" fontId="8" fillId="2" borderId="0" applyAlignment="1" pivotButton="0" quotePrefix="0" xfId="0">
      <alignment horizontal="center" vertical="bottom"/>
    </xf>
    <xf numFmtId="0" fontId="9" fillId="5" borderId="1" applyAlignment="1" pivotButton="0" quotePrefix="0" xfId="0">
      <alignment horizontal="general" vertical="bottom" wrapText="1"/>
    </xf>
    <xf numFmtId="0" fontId="10" fillId="6" borderId="1" applyAlignment="1" pivotButton="0" quotePrefix="0" xfId="0">
      <alignment horizontal="general" vertical="bottom" wrapText="1"/>
    </xf>
    <xf numFmtId="0" fontId="11" fillId="7" borderId="0" applyAlignment="1" pivotButton="0" quotePrefix="0" xfId="0">
      <alignment horizontal="general" vertical="bottom"/>
    </xf>
    <xf numFmtId="0" fontId="9" fillId="5" borderId="1" applyAlignment="1" pivotButton="0" quotePrefix="0" xfId="0">
      <alignment horizontal="general" vertical="bottom"/>
    </xf>
    <xf numFmtId="0" fontId="12" fillId="8" borderId="1" applyAlignment="1" pivotButton="0" quotePrefix="0" xfId="0">
      <alignment horizontal="center" vertical="bottom"/>
    </xf>
    <xf numFmtId="9" fontId="13" fillId="3" borderId="1" applyAlignment="1" pivotButton="0" quotePrefix="0" xfId="0">
      <alignment horizontal="center" vertical="bottom"/>
    </xf>
    <xf numFmtId="0" fontId="11" fillId="7" borderId="0" applyAlignment="1" pivotButton="0" quotePrefix="0" xfId="0">
      <alignment horizontal="center" vertical="bottom" wrapText="1"/>
    </xf>
    <xf numFmtId="0" fontId="10" fillId="6" borderId="1" applyAlignment="1" pivotButton="0" quotePrefix="0" xfId="0">
      <alignment horizontal="center" vertical="bottom"/>
    </xf>
    <xf numFmtId="0" fontId="10" fillId="3" borderId="1" applyAlignment="1" pivotButton="0" quotePrefix="0" xfId="0">
      <alignment horizontal="general" vertical="center" wrapText="1"/>
    </xf>
    <xf numFmtId="0" fontId="0" fillId="0" borderId="13" pivotButton="0" quotePrefix="0" xfId="0"/>
    <xf numFmtId="0" fontId="0" fillId="0" borderId="14" pivotButton="0" quotePrefix="0" xfId="0"/>
    <xf numFmtId="0" fontId="11" fillId="2" borderId="0" applyAlignment="1" pivotButton="0" quotePrefix="0" xfId="0">
      <alignment horizontal="general" vertical="bottom"/>
    </xf>
    <xf numFmtId="0" fontId="10" fillId="0" borderId="1" applyAlignment="1" pivotButton="0" quotePrefix="0" xfId="0">
      <alignment horizontal="general" vertical="bottom" wrapText="1"/>
    </xf>
    <xf numFmtId="164" fontId="10" fillId="0" borderId="1" applyAlignment="1" pivotButton="0" quotePrefix="0" xfId="0">
      <alignment horizontal="general" vertical="bottom" wrapText="1"/>
    </xf>
    <xf numFmtId="0" fontId="14" fillId="6" borderId="0" applyAlignment="1" pivotButton="0" quotePrefix="0" xfId="0">
      <alignment horizontal="general" vertical="center" wrapText="1"/>
    </xf>
    <xf numFmtId="0" fontId="11" fillId="2" borderId="1" applyAlignment="1" pivotButton="0" quotePrefix="0" xfId="0">
      <alignment horizontal="center" vertical="center" wrapText="1"/>
    </xf>
    <xf numFmtId="0" fontId="9" fillId="5" borderId="2" applyAlignment="1" pivotButton="0" quotePrefix="0" xfId="0">
      <alignment horizontal="center" vertical="top" wrapText="1"/>
    </xf>
    <xf numFmtId="0" fontId="9" fillId="6" borderId="3" applyAlignment="1" pivotButton="0" quotePrefix="0" xfId="0">
      <alignment horizontal="general" vertical="top" wrapText="1"/>
    </xf>
    <xf numFmtId="0" fontId="10" fillId="0" borderId="3" applyAlignment="1" pivotButton="0" quotePrefix="0" xfId="0">
      <alignment horizontal="general" vertical="top" wrapText="1"/>
    </xf>
    <xf numFmtId="0" fontId="15" fillId="9" borderId="3" applyAlignment="1" pivotButton="0" quotePrefix="0" xfId="0">
      <alignment horizontal="center" vertical="top" wrapText="1"/>
    </xf>
    <xf numFmtId="0" fontId="10" fillId="3" borderId="3" applyAlignment="1" pivotButton="0" quotePrefix="0" xfId="0">
      <alignment horizontal="general" vertical="top" wrapText="1"/>
    </xf>
    <xf numFmtId="164" fontId="10" fillId="3" borderId="3" applyAlignment="1" pivotButton="0" quotePrefix="0" xfId="0">
      <alignment horizontal="general" vertical="top" wrapText="1"/>
    </xf>
    <xf numFmtId="0" fontId="15" fillId="9" borderId="4" applyAlignment="1" pivotButton="0" quotePrefix="0" xfId="0">
      <alignment horizontal="center" vertical="top" wrapText="1"/>
    </xf>
    <xf numFmtId="0" fontId="9" fillId="5" borderId="5" applyAlignment="1" pivotButton="0" quotePrefix="0" xfId="0">
      <alignment horizontal="center" vertical="top" wrapText="1"/>
    </xf>
    <xf numFmtId="0" fontId="9" fillId="6" borderId="6" applyAlignment="1" pivotButton="0" quotePrefix="0" xfId="0">
      <alignment horizontal="general" vertical="top" wrapText="1"/>
    </xf>
    <xf numFmtId="0" fontId="10" fillId="0" borderId="6" applyAlignment="1" pivotButton="0" quotePrefix="0" xfId="0">
      <alignment horizontal="general" vertical="top" wrapText="1"/>
    </xf>
    <xf numFmtId="0" fontId="15" fillId="9" borderId="6" applyAlignment="1" pivotButton="0" quotePrefix="0" xfId="0">
      <alignment horizontal="center" vertical="top" wrapText="1"/>
    </xf>
    <xf numFmtId="0" fontId="10" fillId="3" borderId="6" applyAlignment="1" pivotButton="0" quotePrefix="0" xfId="0">
      <alignment horizontal="general" vertical="top" wrapText="1"/>
    </xf>
    <xf numFmtId="164" fontId="10" fillId="3" borderId="6" applyAlignment="1" pivotButton="0" quotePrefix="0" xfId="0">
      <alignment horizontal="general" vertical="top" wrapText="1"/>
    </xf>
    <xf numFmtId="0" fontId="15" fillId="9" borderId="7" applyAlignment="1" pivotButton="0" quotePrefix="0" xfId="0">
      <alignment horizontal="center" vertical="top" wrapText="1"/>
    </xf>
    <xf numFmtId="0" fontId="9" fillId="5" borderId="8" applyAlignment="1" pivotButton="0" quotePrefix="0" xfId="0">
      <alignment horizontal="center" vertical="top" wrapText="1"/>
    </xf>
    <xf numFmtId="0" fontId="9" fillId="6" borderId="9" applyAlignment="1" pivotButton="0" quotePrefix="0" xfId="0">
      <alignment horizontal="general" vertical="top" wrapText="1"/>
    </xf>
    <xf numFmtId="0" fontId="10" fillId="0" borderId="9" applyAlignment="1" pivotButton="0" quotePrefix="0" xfId="0">
      <alignment horizontal="general" vertical="top" wrapText="1"/>
    </xf>
    <xf numFmtId="0" fontId="15" fillId="9" borderId="9" applyAlignment="1" pivotButton="0" quotePrefix="0" xfId="0">
      <alignment horizontal="center" vertical="top" wrapText="1"/>
    </xf>
    <xf numFmtId="0" fontId="10" fillId="3" borderId="9" applyAlignment="1" pivotButton="0" quotePrefix="0" xfId="0">
      <alignment horizontal="general" vertical="top" wrapText="1"/>
    </xf>
    <xf numFmtId="164" fontId="10" fillId="3" borderId="9" applyAlignment="1" pivotButton="0" quotePrefix="0" xfId="0">
      <alignment horizontal="general" vertical="top" wrapText="1"/>
    </xf>
    <xf numFmtId="0" fontId="15" fillId="9" borderId="10" applyAlignment="1" pivotButton="0" quotePrefix="0" xfId="0">
      <alignment horizontal="center" vertical="top" wrapText="1"/>
    </xf>
    <xf numFmtId="0" fontId="16" fillId="2" borderId="0" applyAlignment="1" pivotButton="0" quotePrefix="0" xfId="0">
      <alignment horizontal="general" vertical="bottom"/>
    </xf>
    <xf numFmtId="0" fontId="10" fillId="6" borderId="0" applyAlignment="1" pivotButton="0" quotePrefix="0" xfId="0">
      <alignment horizontal="general" vertical="center" wrapText="1"/>
    </xf>
    <xf numFmtId="0" fontId="17" fillId="10" borderId="0" applyAlignment="1" pivotButton="0" quotePrefix="0" xfId="0">
      <alignment vertical="center" wrapText="1"/>
    </xf>
    <xf numFmtId="0" fontId="18" fillId="11" borderId="0" applyAlignment="1" pivotButton="0" quotePrefix="0" xfId="0">
      <alignment vertical="top" wrapText="1"/>
    </xf>
    <xf numFmtId="0" fontId="19" fillId="12" borderId="0" applyAlignment="1" pivotButton="0" quotePrefix="0" xfId="0">
      <alignment vertical="center" wrapText="1"/>
    </xf>
    <xf numFmtId="0" fontId="20" fillId="13" borderId="15" applyAlignment="1" pivotButton="0" quotePrefix="0" xfId="0">
      <alignment vertical="top" wrapText="1"/>
    </xf>
    <xf numFmtId="0" fontId="0" fillId="0" borderId="15" applyAlignment="1" pivotButton="0" quotePrefix="0" xfId="0">
      <alignment vertical="top" wrapText="1"/>
    </xf>
    <xf numFmtId="0" fontId="19" fillId="14" borderId="0" pivotButton="0" quotePrefix="0" xfId="0"/>
    <xf numFmtId="0" fontId="0" fillId="0" borderId="0" applyAlignment="1" pivotButton="0" quotePrefix="0" xfId="0">
      <alignment vertical="top" wrapText="1"/>
    </xf>
    <xf numFmtId="0" fontId="21" fillId="0" borderId="0" pivotButton="0" quotePrefix="0" xfId="0"/>
    <xf numFmtId="0" fontId="22" fillId="15" borderId="0" applyAlignment="1" pivotButton="0" quotePrefix="0" xfId="0">
      <alignment vertical="top" wrapText="1"/>
    </xf>
    <xf numFmtId="0" fontId="23" fillId="15" borderId="0" applyAlignment="1" pivotButton="0" quotePrefix="0" xfId="0">
      <alignment vertical="top" wrapText="1"/>
    </xf>
    <xf numFmtId="0" fontId="22" fillId="16" borderId="0" applyAlignment="1" pivotButton="0" quotePrefix="0" xfId="0">
      <alignment vertical="top" wrapText="1"/>
    </xf>
    <xf numFmtId="0" fontId="23" fillId="16" borderId="0" applyAlignment="1" pivotButton="0" quotePrefix="0" xfId="0">
      <alignment vertical="top" wrapText="1"/>
    </xf>
    <xf numFmtId="0" fontId="4" fillId="0" borderId="0" pivotButton="0" quotePrefix="0" xfId="0"/>
  </cellXfs>
  <cellStyles count="6">
    <cellStyle name="Normal" xfId="0"/>
    <cellStyle name="Comma" xfId="1"/>
    <cellStyle name="Comma [0]" xfId="2"/>
    <cellStyle name="Currency" xfId="3"/>
    <cellStyle name="Currency [0]" xfId="4"/>
    <cellStyle name="Percent" xfId="5"/>
  </cellStyles>
  <dxfs count="24">
    <dxf>
      <fill>
        <patternFill>
          <bgColor rgb="FF0B2848"/>
        </patternFill>
      </fill>
    </dxf>
    <dxf>
      <fill>
        <patternFill>
          <bgColor rgb="FFE9EEF4"/>
        </patternFill>
      </fill>
    </dxf>
    <dxf>
      <fill>
        <patternFill>
          <bgColor rgb="FF08233F"/>
        </patternFill>
      </fill>
    </dxf>
    <dxf>
      <fill>
        <patternFill>
          <bgColor rgb="FFFFFFFF"/>
        </patternFill>
      </fill>
    </dxf>
    <dxf>
      <fill>
        <patternFill>
          <bgColor rgb="FFF4F8FC"/>
        </patternFill>
      </fill>
    </dxf>
    <dxf>
      <fill>
        <patternFill>
          <bgColor rgb="FF000000"/>
        </patternFill>
      </fill>
    </dxf>
    <dxf>
      <fill>
        <patternFill>
          <bgColor rgb="FF17212B"/>
        </patternFill>
      </fill>
    </dxf>
    <dxf>
      <fill>
        <patternFill>
          <bgColor rgb="FFE2F0D9"/>
        </patternFill>
      </fill>
    </dxf>
    <dxf>
      <fill>
        <patternFill>
          <bgColor rgb="FF548235"/>
        </patternFill>
      </fill>
    </dxf>
    <dxf>
      <fill>
        <patternFill>
          <bgColor rgb="FFDCEAF7"/>
        </patternFill>
      </fill>
    </dxf>
    <dxf>
      <fill>
        <patternFill>
          <bgColor rgb="FFFFF2CC"/>
        </patternFill>
      </fill>
    </dxf>
    <dxf>
      <fill>
        <patternFill>
          <bgColor rgb="FF7F6000"/>
        </patternFill>
      </fill>
    </dxf>
    <dxf>
      <fill>
        <patternFill>
          <bgColor rgb="FFFFF8E1"/>
        </patternFill>
      </fill>
    </dxf>
    <dxf>
      <font>
        <b val="1"/>
        <color rgb="FF7F6000"/>
      </font>
      <fill>
        <patternFill>
          <bgColor rgb="FFFFF2CC"/>
        </patternFill>
      </fill>
    </dxf>
    <dxf>
      <font>
        <b val="1"/>
        <color rgb="FF5B6573"/>
      </font>
      <fill>
        <patternFill>
          <bgColor rgb="FFE9EEF4"/>
        </patternFill>
      </fill>
    </dxf>
    <dxf>
      <font>
        <b val="1"/>
        <color rgb="FF08233F"/>
      </font>
      <fill>
        <patternFill>
          <bgColor rgb="FFDCEAF7"/>
        </patternFill>
      </fill>
    </dxf>
    <dxf>
      <font>
        <b val="1"/>
        <color rgb="FF17365D"/>
      </font>
      <fill>
        <patternFill>
          <bgColor rgb="FFE4DFEC"/>
        </patternFill>
      </fill>
    </dxf>
    <dxf>
      <font>
        <b val="1"/>
        <color rgb="FF17365D"/>
      </font>
      <fill>
        <patternFill>
          <bgColor rgb="FFDCEAF7"/>
        </patternFill>
      </fill>
    </dxf>
    <dxf>
      <font>
        <b val="1"/>
        <color rgb="FF548235"/>
      </font>
      <fill>
        <patternFill>
          <bgColor rgb="FFE2F0D9"/>
        </patternFill>
      </fill>
    </dxf>
    <dxf>
      <font>
        <b val="1"/>
        <color rgb="FFFFFFFF"/>
      </font>
      <fill>
        <patternFill>
          <bgColor rgb="FF548235"/>
        </patternFill>
      </fill>
    </dxf>
    <dxf>
      <font>
        <b val="1"/>
        <color rgb="FFC00000"/>
      </font>
      <fill>
        <patternFill>
          <bgColor rgb="FFFCE4D6"/>
        </patternFill>
      </fill>
    </dxf>
    <dxf/>
    <dxf/>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4C7DC"/>
      <rgbColor rgb="FF808080"/>
      <rgbColor rgb="FF9999FF"/>
      <rgbColor rgb="FF993366"/>
      <rgbColor rgb="FFFFF8E1"/>
      <rgbColor rgb="FFDC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9EEF4"/>
      <rgbColor rgb="FFE2F0D9"/>
      <rgbColor rgb="FFFFF2CC"/>
      <rgbColor rgb="FFE4DFEC"/>
      <rgbColor rgb="FFF4F8FC"/>
      <rgbColor rgb="FFCC99FF"/>
      <rgbColor rgb="FFFCE4D6"/>
      <rgbColor rgb="FF3366FF"/>
      <rgbColor rgb="FF33CCCC"/>
      <rgbColor rgb="FF99CC00"/>
      <rgbColor rgb="FFFFCC00"/>
      <rgbColor rgb="FFFF9900"/>
      <rgbColor rgb="FFFF6600"/>
      <rgbColor rgb="FF5B6573"/>
      <rgbColor rgb="FF969696"/>
      <rgbColor rgb="FF17365D"/>
      <rgbColor rgb="FF548235"/>
      <rgbColor rgb="FF08233F"/>
      <rgbColor rgb="FF0B2848"/>
      <rgbColor rgb="FF993300"/>
      <rgbColor rgb="FF993366"/>
      <rgbColor rgb="FF333399"/>
      <rgbColor rgb="FF1721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oARegisterTable" displayName="SoARegisterTable" ref="A6:N44" headerRowCount="1" totalsRowCount="0" totalsRowShown="0">
  <autoFilter ref="A6:N44"/>
  <tableColumns count="14">
    <tableColumn id="1" name="Control ID"/>
    <tableColumn id="2" name="Domain"/>
    <tableColumn id="3" name="Control title"/>
    <tableColumn id="4" name="Applicability"/>
    <tableColumn id="5" name="Applicability justification"/>
    <tableColumn id="6" name="Implementation status"/>
    <tableColumn id="7" name="Proposed control owner (role)"/>
    <tableColumn id="8" name="Existing suite design evidence"/>
    <tableColumn id="9" name="Live evidence / action still required"/>
    <tableColumn id="10" name="Evidence location"/>
    <tableColumn id="11" name="Target date"/>
    <tableColumn id="12" name="Last reviewed"/>
    <tableColumn id="13" name="Effectiveness"/>
    <tableColumn id="14" name="Decision QA"/>
  </tableColumns>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ColWidth="9.47265625" defaultRowHeight="15"/>
  <cols>
    <col width="37.36999893188477" customWidth="1" style="46" min="1" max="2"/>
    <col width="13.73999977111816" customWidth="1" style="46" min="3" max="3"/>
    <col width="34.06999969482422" customWidth="1" style="46" min="4" max="4"/>
    <col width="19.79000091552734" customWidth="1" style="46" min="5" max="8"/>
  </cols>
  <sheetData>
    <row r="1" ht="30" customHeight="1" s="47">
      <c r="A1" s="48" t="inlineStr">
        <is>
          <t>The Council — AIMS Statement of Applicability</t>
        </is>
      </c>
    </row>
    <row r="2" ht="21.75" customHeight="1" s="47">
      <c r="A2" s="49" t="inlineStr">
        <is>
          <t>Controlled design position for ISO/IEC 42001:2023 Annex A · AIG-AIMS-02 · v1.2 draft</t>
        </is>
      </c>
    </row>
    <row r="3"/>
    <row r="4" ht="33.75" customHeight="1" s="47">
      <c r="A4" s="50" t="inlineStr">
        <is>
          <t>Status statement: the 38 controls are mapped to the current suite, but no control is represented as approved, implemented, evidenced or effective until the Council has operated and verified it.</t>
        </is>
      </c>
    </row>
    <row r="5"/>
    <row r="6" ht="21.75" customHeight="1" s="47">
      <c r="A6" s="51" t="inlineStr">
        <is>
          <t>Document control</t>
        </is>
      </c>
      <c r="B6" s="51" t="inlineStr">
        <is>
          <t>Controlled value</t>
        </is>
      </c>
      <c r="D6" s="52" t="inlineStr">
        <is>
          <t>Current readiness summary</t>
        </is>
      </c>
    </row>
    <row r="7" ht="21.75" customHeight="1" s="47">
      <c r="A7" s="53" t="inlineStr">
        <is>
          <t>Document ID</t>
        </is>
      </c>
      <c r="B7" s="54" t="inlineStr">
        <is>
          <t>AIG-AIMS-02</t>
        </is>
      </c>
      <c r="D7" s="55" t="inlineStr">
        <is>
          <t>Measure</t>
        </is>
      </c>
      <c r="E7" s="55" t="inlineStr">
        <is>
          <t>Result</t>
        </is>
      </c>
    </row>
    <row r="8" ht="24" customHeight="1" s="47">
      <c r="A8" s="53" t="inlineStr">
        <is>
          <t>Version</t>
        </is>
      </c>
      <c r="B8" s="54" t="inlineStr">
        <is>
          <t>1.2 draft</t>
        </is>
      </c>
      <c r="D8" s="56" t="inlineStr">
        <is>
          <t>Total Annex A controls</t>
        </is>
      </c>
      <c r="E8" s="57">
        <f>COUNTA('SoA Register'!$A$7:$A$44)</f>
        <v/>
      </c>
    </row>
    <row r="9" ht="24" customHeight="1" s="47">
      <c r="A9" s="53" t="inlineStr">
        <is>
          <t>Status</t>
        </is>
      </c>
      <c r="B9" s="54" t="inlineStr">
        <is>
          <t>Draft for Council review</t>
        </is>
      </c>
      <c r="D9" s="56" t="inlineStr">
        <is>
          <t>Applicable</t>
        </is>
      </c>
      <c r="E9" s="57">
        <f>COUNTIF('SoA Register'!$D$7:$D$44,"Applicable")</f>
        <v/>
      </c>
    </row>
    <row r="10" ht="24" customHeight="1" s="47">
      <c r="A10" s="53" t="inlineStr">
        <is>
          <t>Document owner</t>
        </is>
      </c>
      <c r="B10" s="54" t="inlineStr">
        <is>
          <t>AI Governance Lead</t>
        </is>
      </c>
      <c r="D10" s="56" t="inlineStr">
        <is>
          <t>To be determined</t>
        </is>
      </c>
      <c r="E10" s="57">
        <f>COUNTIF('SoA Register'!$D$7:$D$44,"To be determined")</f>
        <v/>
      </c>
    </row>
    <row r="11" ht="24" customHeight="1" s="47">
      <c r="A11" s="53" t="inlineStr">
        <is>
          <t>Approving authority</t>
        </is>
      </c>
      <c r="B11" s="54" t="inlineStr">
        <is>
          <t>To be confirmed under Council delegations</t>
        </is>
      </c>
      <c r="D11" s="56" t="inlineStr">
        <is>
          <t>Design mapped (applicable)</t>
        </is>
      </c>
      <c r="E11" s="57">
        <f>COUNTIFS('SoA Register'!$F$7:$F$44,"Designed - partial",'SoA Register'!$D$7:$D$44,"Applicable")+COUNTIFS('SoA Register'!$F$7:$F$44,"Designed - draft",'SoA Register'!$D$7:$D$44,"Applicable")+COUNTIFS('SoA Register'!$F$7:$F$44,"Approved",'SoA Register'!$D$7:$D$44,"Applicable")+COUNTIFS('SoA Register'!$F$7:$F$44,"Implemented",'SoA Register'!$D$7:$D$44,"Applicable")+COUNTIFS('SoA Register'!$F$7:$F$44,"Evidenced",'SoA Register'!$D$7:$D$44,"Applicable")+COUNTIFS('SoA Register'!$F$7:$F$44,"Effective",'SoA Register'!$D$7:$D$44,"Applicable")</f>
        <v/>
      </c>
    </row>
    <row r="12" ht="24" customHeight="1" s="47">
      <c r="A12" s="53" t="inlineStr">
        <is>
          <t>Effective date</t>
        </is>
      </c>
      <c r="B12" s="54" t="inlineStr">
        <is>
          <t>Pending formal approval</t>
        </is>
      </c>
      <c r="D12" s="56" t="inlineStr">
        <is>
          <t>Implemented or beyond (applicable)</t>
        </is>
      </c>
      <c r="E12" s="57">
        <f>COUNTIFS('SoA Register'!$F$7:$F$44,"Implemented",'SoA Register'!$D$7:$D$44,"Applicable")+COUNTIFS('SoA Register'!$F$7:$F$44,"Evidenced",'SoA Register'!$D$7:$D$44,"Applicable")+COUNTIFS('SoA Register'!$F$7:$F$44,"Effective",'SoA Register'!$D$7:$D$44,"Applicable")</f>
        <v/>
      </c>
    </row>
    <row r="13" ht="24" customHeight="1" s="47">
      <c r="A13" s="53" t="inlineStr">
        <is>
          <t>Review frequency</t>
        </is>
      </c>
      <c r="B13" s="54" t="inlineStr">
        <is>
          <t>At least annually and on material change</t>
        </is>
      </c>
      <c r="D13" s="56" t="inlineStr">
        <is>
          <t>Evidence-ready (applicable)</t>
        </is>
      </c>
      <c r="E13" s="57">
        <f>COUNTIFS('SoA Register'!$F$7:$F$44,"Evidenced",'SoA Register'!$D$7:$D$44,"Applicable")+COUNTIFS('SoA Register'!$F$7:$F$44,"Effective",'SoA Register'!$D$7:$D$44,"Applicable")</f>
        <v/>
      </c>
    </row>
    <row r="14" ht="24" customHeight="1" s="47">
      <c r="A14" s="53" t="inlineStr">
        <is>
          <t>Classification</t>
        </is>
      </c>
      <c r="B14" s="54" t="inlineStr">
        <is>
          <t>OFFICIAL</t>
        </is>
      </c>
      <c r="D14" s="56" t="inlineStr">
        <is>
          <t>Decision QA complete</t>
        </is>
      </c>
      <c r="E14" s="57">
        <f>COUNTIF('SoA Register'!$N$7:$N$44,"Complete")</f>
        <v/>
      </c>
    </row>
    <row r="15" ht="24" customHeight="1" s="47">
      <c r="D15" s="56" t="inlineStr">
        <is>
          <t>Operational implementation</t>
        </is>
      </c>
      <c r="E15" s="58">
        <f>IF(E9=0,0,E12/E9)</f>
        <v/>
      </c>
    </row>
    <row r="16"/>
    <row r="17" ht="21.75" customHeight="1" s="47">
      <c r="A17" s="51" t="inlineStr">
        <is>
          <t>Annex A domain position</t>
        </is>
      </c>
    </row>
    <row r="18" ht="30" customHeight="1" s="47">
      <c r="A18" s="59" t="inlineStr">
        <is>
          <t>Domain</t>
        </is>
      </c>
      <c r="B18" s="59" t="inlineStr">
        <is>
          <t>Controls</t>
        </is>
      </c>
      <c r="C18" s="59" t="inlineStr">
        <is>
          <t>Applicable</t>
        </is>
      </c>
      <c r="D18" s="59" t="inlineStr">
        <is>
          <t>Design mapped</t>
        </is>
      </c>
      <c r="E18" s="59" t="inlineStr">
        <is>
          <t>Implemented+</t>
        </is>
      </c>
      <c r="F18" s="59" t="inlineStr">
        <is>
          <t>Evidence-ready</t>
        </is>
      </c>
    </row>
    <row r="19" ht="24" customHeight="1" s="47">
      <c r="A19" s="56" t="inlineStr">
        <is>
          <t>A.2 Policies related to AI</t>
        </is>
      </c>
      <c r="B19" s="60">
        <f>COUNTIF('SoA Register'!$B$7:$B$44,A19)</f>
        <v/>
      </c>
      <c r="C19" s="60">
        <f>COUNTIFS('SoA Register'!$B$7:$B$44,A19,'SoA Register'!$D$7:$D$44,"Applicable")</f>
        <v/>
      </c>
      <c r="D19" s="60">
        <f>COUNTIFS('SoA Register'!$B$7:$B$44,A19,'SoA Register'!$F$7:$F$44,"Designed - partial",'SoA Register'!$D$7:$D$44,"Applicable")+COUNTIFS('SoA Register'!$B$7:$B$44,A19,'SoA Register'!$F$7:$F$44,"Designed - draft",'SoA Register'!$D$7:$D$44,"Applicable")+COUNTIFS('SoA Register'!$B$7:$B$44,A19,'SoA Register'!$F$7:$F$44,"Approved",'SoA Register'!$D$7:$D$44,"Applicable")+COUNTIFS('SoA Register'!$B$7:$B$44,A19,'SoA Register'!$F$7:$F$44,"Implemented",'SoA Register'!$D$7:$D$44,"Applicable")+COUNTIFS('SoA Register'!$B$7:$B$44,A19,'SoA Register'!$F$7:$F$44,"Evidenced",'SoA Register'!$D$7:$D$44,"Applicable")+COUNTIFS('SoA Register'!$B$7:$B$44,A19,'SoA Register'!$F$7:$F$44,"Effective",'SoA Register'!$D$7:$D$44,"Applicable")</f>
        <v/>
      </c>
      <c r="E19" s="60">
        <f>COUNTIFS('SoA Register'!$B$7:$B$44,A19,'SoA Register'!$F$7:$F$44,"Implemented",'SoA Register'!$D$7:$D$44,"Applicable")+COUNTIFS('SoA Register'!$B$7:$B$44,A19,'SoA Register'!$F$7:$F$44,"Evidenced",'SoA Register'!$D$7:$D$44,"Applicable")+COUNTIFS('SoA Register'!$B$7:$B$44,A19,'SoA Register'!$F$7:$F$44,"Effective",'SoA Register'!$D$7:$D$44,"Applicable")</f>
        <v/>
      </c>
      <c r="F19" s="60">
        <f>COUNTIFS('SoA Register'!$B$7:$B$44,A19,'SoA Register'!$F$7:$F$44,"Evidenced",'SoA Register'!$D$7:$D$44,"Applicable")+COUNTIFS('SoA Register'!$B$7:$B$44,A19,'SoA Register'!$F$7:$F$44,"Effective",'SoA Register'!$D$7:$D$44,"Applicable")</f>
        <v/>
      </c>
    </row>
    <row r="20" ht="24" customHeight="1" s="47">
      <c r="A20" s="56" t="inlineStr">
        <is>
          <t>A.3 Internal organisation</t>
        </is>
      </c>
      <c r="B20" s="60">
        <f>COUNTIF('SoA Register'!$B$7:$B$44,A20)</f>
        <v/>
      </c>
      <c r="C20" s="60">
        <f>COUNTIFS('SoA Register'!$B$7:$B$44,A20,'SoA Register'!$D$7:$D$44,"Applicable")</f>
        <v/>
      </c>
      <c r="D20" s="60">
        <f>COUNTIFS('SoA Register'!$B$7:$B$44,A20,'SoA Register'!$F$7:$F$44,"Designed - partial",'SoA Register'!$D$7:$D$44,"Applicable")+COUNTIFS('SoA Register'!$B$7:$B$44,A20,'SoA Register'!$F$7:$F$44,"Designed - draft",'SoA Register'!$D$7:$D$44,"Applicable")+COUNTIFS('SoA Register'!$B$7:$B$44,A20,'SoA Register'!$F$7:$F$44,"Approved",'SoA Register'!$D$7:$D$44,"Applicable")+COUNTIFS('SoA Register'!$B$7:$B$44,A20,'SoA Register'!$F$7:$F$44,"Implemented",'SoA Register'!$D$7:$D$44,"Applicable")+COUNTIFS('SoA Register'!$B$7:$B$44,A20,'SoA Register'!$F$7:$F$44,"Evidenced",'SoA Register'!$D$7:$D$44,"Applicable")+COUNTIFS('SoA Register'!$B$7:$B$44,A20,'SoA Register'!$F$7:$F$44,"Effective",'SoA Register'!$D$7:$D$44,"Applicable")</f>
        <v/>
      </c>
      <c r="E20" s="60">
        <f>COUNTIFS('SoA Register'!$B$7:$B$44,A20,'SoA Register'!$F$7:$F$44,"Implemented",'SoA Register'!$D$7:$D$44,"Applicable")+COUNTIFS('SoA Register'!$B$7:$B$44,A20,'SoA Register'!$F$7:$F$44,"Evidenced",'SoA Register'!$D$7:$D$44,"Applicable")+COUNTIFS('SoA Register'!$B$7:$B$44,A20,'SoA Register'!$F$7:$F$44,"Effective",'SoA Register'!$D$7:$D$44,"Applicable")</f>
        <v/>
      </c>
      <c r="F20" s="60">
        <f>COUNTIFS('SoA Register'!$B$7:$B$44,A20,'SoA Register'!$F$7:$F$44,"Evidenced",'SoA Register'!$D$7:$D$44,"Applicable")+COUNTIFS('SoA Register'!$B$7:$B$44,A20,'SoA Register'!$F$7:$F$44,"Effective",'SoA Register'!$D$7:$D$44,"Applicable")</f>
        <v/>
      </c>
    </row>
    <row r="21" ht="24" customHeight="1" s="47">
      <c r="A21" s="56" t="inlineStr">
        <is>
          <t>A.4 Resources for AI systems</t>
        </is>
      </c>
      <c r="B21" s="60">
        <f>COUNTIF('SoA Register'!$B$7:$B$44,A21)</f>
        <v/>
      </c>
      <c r="C21" s="60">
        <f>COUNTIFS('SoA Register'!$B$7:$B$44,A21,'SoA Register'!$D$7:$D$44,"Applicable")</f>
        <v/>
      </c>
      <c r="D21" s="60">
        <f>COUNTIFS('SoA Register'!$B$7:$B$44,A21,'SoA Register'!$F$7:$F$44,"Designed - partial",'SoA Register'!$D$7:$D$44,"Applicable")+COUNTIFS('SoA Register'!$B$7:$B$44,A21,'SoA Register'!$F$7:$F$44,"Designed - draft",'SoA Register'!$D$7:$D$44,"Applicable")+COUNTIFS('SoA Register'!$B$7:$B$44,A21,'SoA Register'!$F$7:$F$44,"Approved",'SoA Register'!$D$7:$D$44,"Applicable")+COUNTIFS('SoA Register'!$B$7:$B$44,A21,'SoA Register'!$F$7:$F$44,"Implemented",'SoA Register'!$D$7:$D$44,"Applicable")+COUNTIFS('SoA Register'!$B$7:$B$44,A21,'SoA Register'!$F$7:$F$44,"Evidenced",'SoA Register'!$D$7:$D$44,"Applicable")+COUNTIFS('SoA Register'!$B$7:$B$44,A21,'SoA Register'!$F$7:$F$44,"Effective",'SoA Register'!$D$7:$D$44,"Applicable")</f>
        <v/>
      </c>
      <c r="E21" s="60">
        <f>COUNTIFS('SoA Register'!$B$7:$B$44,A21,'SoA Register'!$F$7:$F$44,"Implemented",'SoA Register'!$D$7:$D$44,"Applicable")+COUNTIFS('SoA Register'!$B$7:$B$44,A21,'SoA Register'!$F$7:$F$44,"Evidenced",'SoA Register'!$D$7:$D$44,"Applicable")+COUNTIFS('SoA Register'!$B$7:$B$44,A21,'SoA Register'!$F$7:$F$44,"Effective",'SoA Register'!$D$7:$D$44,"Applicable")</f>
        <v/>
      </c>
      <c r="F21" s="60">
        <f>COUNTIFS('SoA Register'!$B$7:$B$44,A21,'SoA Register'!$F$7:$F$44,"Evidenced",'SoA Register'!$D$7:$D$44,"Applicable")+COUNTIFS('SoA Register'!$B$7:$B$44,A21,'SoA Register'!$F$7:$F$44,"Effective",'SoA Register'!$D$7:$D$44,"Applicable")</f>
        <v/>
      </c>
    </row>
    <row r="22" ht="24" customHeight="1" s="47">
      <c r="A22" s="56" t="inlineStr">
        <is>
          <t>A.5 Assessing impacts of AI systems</t>
        </is>
      </c>
      <c r="B22" s="60">
        <f>COUNTIF('SoA Register'!$B$7:$B$44,A22)</f>
        <v/>
      </c>
      <c r="C22" s="60">
        <f>COUNTIFS('SoA Register'!$B$7:$B$44,A22,'SoA Register'!$D$7:$D$44,"Applicable")</f>
        <v/>
      </c>
      <c r="D22" s="60">
        <f>COUNTIFS('SoA Register'!$B$7:$B$44,A22,'SoA Register'!$F$7:$F$44,"Designed - partial",'SoA Register'!$D$7:$D$44,"Applicable")+COUNTIFS('SoA Register'!$B$7:$B$44,A22,'SoA Register'!$F$7:$F$44,"Designed - draft",'SoA Register'!$D$7:$D$44,"Applicable")+COUNTIFS('SoA Register'!$B$7:$B$44,A22,'SoA Register'!$F$7:$F$44,"Approved",'SoA Register'!$D$7:$D$44,"Applicable")+COUNTIFS('SoA Register'!$B$7:$B$44,A22,'SoA Register'!$F$7:$F$44,"Implemented",'SoA Register'!$D$7:$D$44,"Applicable")+COUNTIFS('SoA Register'!$B$7:$B$44,A22,'SoA Register'!$F$7:$F$44,"Evidenced",'SoA Register'!$D$7:$D$44,"Applicable")+COUNTIFS('SoA Register'!$B$7:$B$44,A22,'SoA Register'!$F$7:$F$44,"Effective",'SoA Register'!$D$7:$D$44,"Applicable")</f>
        <v/>
      </c>
      <c r="E22" s="60">
        <f>COUNTIFS('SoA Register'!$B$7:$B$44,A22,'SoA Register'!$F$7:$F$44,"Implemented",'SoA Register'!$D$7:$D$44,"Applicable")+COUNTIFS('SoA Register'!$B$7:$B$44,A22,'SoA Register'!$F$7:$F$44,"Evidenced",'SoA Register'!$D$7:$D$44,"Applicable")+COUNTIFS('SoA Register'!$B$7:$B$44,A22,'SoA Register'!$F$7:$F$44,"Effective",'SoA Register'!$D$7:$D$44,"Applicable")</f>
        <v/>
      </c>
      <c r="F22" s="60">
        <f>COUNTIFS('SoA Register'!$B$7:$B$44,A22,'SoA Register'!$F$7:$F$44,"Evidenced",'SoA Register'!$D$7:$D$44,"Applicable")+COUNTIFS('SoA Register'!$B$7:$B$44,A22,'SoA Register'!$F$7:$F$44,"Effective",'SoA Register'!$D$7:$D$44,"Applicable")</f>
        <v/>
      </c>
    </row>
    <row r="23" ht="24" customHeight="1" s="47">
      <c r="A23" s="56" t="inlineStr">
        <is>
          <t>A.6 AI system life cycle</t>
        </is>
      </c>
      <c r="B23" s="60">
        <f>COUNTIF('SoA Register'!$B$7:$B$44,A23)</f>
        <v/>
      </c>
      <c r="C23" s="60">
        <f>COUNTIFS('SoA Register'!$B$7:$B$44,A23,'SoA Register'!$D$7:$D$44,"Applicable")</f>
        <v/>
      </c>
      <c r="D23" s="60">
        <f>COUNTIFS('SoA Register'!$B$7:$B$44,A23,'SoA Register'!$F$7:$F$44,"Designed - partial",'SoA Register'!$D$7:$D$44,"Applicable")+COUNTIFS('SoA Register'!$B$7:$B$44,A23,'SoA Register'!$F$7:$F$44,"Designed - draft",'SoA Register'!$D$7:$D$44,"Applicable")+COUNTIFS('SoA Register'!$B$7:$B$44,A23,'SoA Register'!$F$7:$F$44,"Approved",'SoA Register'!$D$7:$D$44,"Applicable")+COUNTIFS('SoA Register'!$B$7:$B$44,A23,'SoA Register'!$F$7:$F$44,"Implemented",'SoA Register'!$D$7:$D$44,"Applicable")+COUNTIFS('SoA Register'!$B$7:$B$44,A23,'SoA Register'!$F$7:$F$44,"Evidenced",'SoA Register'!$D$7:$D$44,"Applicable")+COUNTIFS('SoA Register'!$B$7:$B$44,A23,'SoA Register'!$F$7:$F$44,"Effective",'SoA Register'!$D$7:$D$44,"Applicable")</f>
        <v/>
      </c>
      <c r="E23" s="60">
        <f>COUNTIFS('SoA Register'!$B$7:$B$44,A23,'SoA Register'!$F$7:$F$44,"Implemented",'SoA Register'!$D$7:$D$44,"Applicable")+COUNTIFS('SoA Register'!$B$7:$B$44,A23,'SoA Register'!$F$7:$F$44,"Evidenced",'SoA Register'!$D$7:$D$44,"Applicable")+COUNTIFS('SoA Register'!$B$7:$B$44,A23,'SoA Register'!$F$7:$F$44,"Effective",'SoA Register'!$D$7:$D$44,"Applicable")</f>
        <v/>
      </c>
      <c r="F23" s="60">
        <f>COUNTIFS('SoA Register'!$B$7:$B$44,A23,'SoA Register'!$F$7:$F$44,"Evidenced",'SoA Register'!$D$7:$D$44,"Applicable")+COUNTIFS('SoA Register'!$B$7:$B$44,A23,'SoA Register'!$F$7:$F$44,"Effective",'SoA Register'!$D$7:$D$44,"Applicable")</f>
        <v/>
      </c>
    </row>
    <row r="24" ht="24" customHeight="1" s="47">
      <c r="A24" s="56" t="inlineStr">
        <is>
          <t>A.7 Data for AI systems</t>
        </is>
      </c>
      <c r="B24" s="60">
        <f>COUNTIF('SoA Register'!$B$7:$B$44,A24)</f>
        <v/>
      </c>
      <c r="C24" s="60">
        <f>COUNTIFS('SoA Register'!$B$7:$B$44,A24,'SoA Register'!$D$7:$D$44,"Applicable")</f>
        <v/>
      </c>
      <c r="D24" s="60">
        <f>COUNTIFS('SoA Register'!$B$7:$B$44,A24,'SoA Register'!$F$7:$F$44,"Designed - partial",'SoA Register'!$D$7:$D$44,"Applicable")+COUNTIFS('SoA Register'!$B$7:$B$44,A24,'SoA Register'!$F$7:$F$44,"Designed - draft",'SoA Register'!$D$7:$D$44,"Applicable")+COUNTIFS('SoA Register'!$B$7:$B$44,A24,'SoA Register'!$F$7:$F$44,"Approved",'SoA Register'!$D$7:$D$44,"Applicable")+COUNTIFS('SoA Register'!$B$7:$B$44,A24,'SoA Register'!$F$7:$F$44,"Implemented",'SoA Register'!$D$7:$D$44,"Applicable")+COUNTIFS('SoA Register'!$B$7:$B$44,A24,'SoA Register'!$F$7:$F$44,"Evidenced",'SoA Register'!$D$7:$D$44,"Applicable")+COUNTIFS('SoA Register'!$B$7:$B$44,A24,'SoA Register'!$F$7:$F$44,"Effective",'SoA Register'!$D$7:$D$44,"Applicable")</f>
        <v/>
      </c>
      <c r="E24" s="60">
        <f>COUNTIFS('SoA Register'!$B$7:$B$44,A24,'SoA Register'!$F$7:$F$44,"Implemented",'SoA Register'!$D$7:$D$44,"Applicable")+COUNTIFS('SoA Register'!$B$7:$B$44,A24,'SoA Register'!$F$7:$F$44,"Evidenced",'SoA Register'!$D$7:$D$44,"Applicable")+COUNTIFS('SoA Register'!$B$7:$B$44,A24,'SoA Register'!$F$7:$F$44,"Effective",'SoA Register'!$D$7:$D$44,"Applicable")</f>
        <v/>
      </c>
      <c r="F24" s="60">
        <f>COUNTIFS('SoA Register'!$B$7:$B$44,A24,'SoA Register'!$F$7:$F$44,"Evidenced",'SoA Register'!$D$7:$D$44,"Applicable")+COUNTIFS('SoA Register'!$B$7:$B$44,A24,'SoA Register'!$F$7:$F$44,"Effective",'SoA Register'!$D$7:$D$44,"Applicable")</f>
        <v/>
      </c>
    </row>
    <row r="25" ht="24" customHeight="1" s="47">
      <c r="A25" s="56" t="inlineStr">
        <is>
          <t>A.8 Information for interested parties</t>
        </is>
      </c>
      <c r="B25" s="60">
        <f>COUNTIF('SoA Register'!$B$7:$B$44,A25)</f>
        <v/>
      </c>
      <c r="C25" s="60">
        <f>COUNTIFS('SoA Register'!$B$7:$B$44,A25,'SoA Register'!$D$7:$D$44,"Applicable")</f>
        <v/>
      </c>
      <c r="D25" s="60">
        <f>COUNTIFS('SoA Register'!$B$7:$B$44,A25,'SoA Register'!$F$7:$F$44,"Designed - partial",'SoA Register'!$D$7:$D$44,"Applicable")+COUNTIFS('SoA Register'!$B$7:$B$44,A25,'SoA Register'!$F$7:$F$44,"Designed - draft",'SoA Register'!$D$7:$D$44,"Applicable")+COUNTIFS('SoA Register'!$B$7:$B$44,A25,'SoA Register'!$F$7:$F$44,"Approved",'SoA Register'!$D$7:$D$44,"Applicable")+COUNTIFS('SoA Register'!$B$7:$B$44,A25,'SoA Register'!$F$7:$F$44,"Implemented",'SoA Register'!$D$7:$D$44,"Applicable")+COUNTIFS('SoA Register'!$B$7:$B$44,A25,'SoA Register'!$F$7:$F$44,"Evidenced",'SoA Register'!$D$7:$D$44,"Applicable")+COUNTIFS('SoA Register'!$B$7:$B$44,A25,'SoA Register'!$F$7:$F$44,"Effective",'SoA Register'!$D$7:$D$44,"Applicable")</f>
        <v/>
      </c>
      <c r="E25" s="60">
        <f>COUNTIFS('SoA Register'!$B$7:$B$44,A25,'SoA Register'!$F$7:$F$44,"Implemented",'SoA Register'!$D$7:$D$44,"Applicable")+COUNTIFS('SoA Register'!$B$7:$B$44,A25,'SoA Register'!$F$7:$F$44,"Evidenced",'SoA Register'!$D$7:$D$44,"Applicable")+COUNTIFS('SoA Register'!$B$7:$B$44,A25,'SoA Register'!$F$7:$F$44,"Effective",'SoA Register'!$D$7:$D$44,"Applicable")</f>
        <v/>
      </c>
      <c r="F25" s="60">
        <f>COUNTIFS('SoA Register'!$B$7:$B$44,A25,'SoA Register'!$F$7:$F$44,"Evidenced",'SoA Register'!$D$7:$D$44,"Applicable")+COUNTIFS('SoA Register'!$B$7:$B$44,A25,'SoA Register'!$F$7:$F$44,"Effective",'SoA Register'!$D$7:$D$44,"Applicable")</f>
        <v/>
      </c>
    </row>
    <row r="26" ht="24" customHeight="1" s="47">
      <c r="A26" s="56" t="inlineStr">
        <is>
          <t>A.9 Use of AI systems</t>
        </is>
      </c>
      <c r="B26" s="60">
        <f>COUNTIF('SoA Register'!$B$7:$B$44,A26)</f>
        <v/>
      </c>
      <c r="C26" s="60">
        <f>COUNTIFS('SoA Register'!$B$7:$B$44,A26,'SoA Register'!$D$7:$D$44,"Applicable")</f>
        <v/>
      </c>
      <c r="D26" s="60">
        <f>COUNTIFS('SoA Register'!$B$7:$B$44,A26,'SoA Register'!$F$7:$F$44,"Designed - partial",'SoA Register'!$D$7:$D$44,"Applicable")+COUNTIFS('SoA Register'!$B$7:$B$44,A26,'SoA Register'!$F$7:$F$44,"Designed - draft",'SoA Register'!$D$7:$D$44,"Applicable")+COUNTIFS('SoA Register'!$B$7:$B$44,A26,'SoA Register'!$F$7:$F$44,"Approved",'SoA Register'!$D$7:$D$44,"Applicable")+COUNTIFS('SoA Register'!$B$7:$B$44,A26,'SoA Register'!$F$7:$F$44,"Implemented",'SoA Register'!$D$7:$D$44,"Applicable")+COUNTIFS('SoA Register'!$B$7:$B$44,A26,'SoA Register'!$F$7:$F$44,"Evidenced",'SoA Register'!$D$7:$D$44,"Applicable")+COUNTIFS('SoA Register'!$B$7:$B$44,A26,'SoA Register'!$F$7:$F$44,"Effective",'SoA Register'!$D$7:$D$44,"Applicable")</f>
        <v/>
      </c>
      <c r="E26" s="60">
        <f>COUNTIFS('SoA Register'!$B$7:$B$44,A26,'SoA Register'!$F$7:$F$44,"Implemented",'SoA Register'!$D$7:$D$44,"Applicable")+COUNTIFS('SoA Register'!$B$7:$B$44,A26,'SoA Register'!$F$7:$F$44,"Evidenced",'SoA Register'!$D$7:$D$44,"Applicable")+COUNTIFS('SoA Register'!$B$7:$B$44,A26,'SoA Register'!$F$7:$F$44,"Effective",'SoA Register'!$D$7:$D$44,"Applicable")</f>
        <v/>
      </c>
      <c r="F26" s="60">
        <f>COUNTIFS('SoA Register'!$B$7:$B$44,A26,'SoA Register'!$F$7:$F$44,"Evidenced",'SoA Register'!$D$7:$D$44,"Applicable")+COUNTIFS('SoA Register'!$B$7:$B$44,A26,'SoA Register'!$F$7:$F$44,"Effective",'SoA Register'!$D$7:$D$44,"Applicable")</f>
        <v/>
      </c>
    </row>
    <row r="27" ht="24" customHeight="1" s="47">
      <c r="A27" s="56" t="inlineStr">
        <is>
          <t>A.10 Third-party and customer relationships</t>
        </is>
      </c>
      <c r="B27" s="60">
        <f>COUNTIF('SoA Register'!$B$7:$B$44,A27)</f>
        <v/>
      </c>
      <c r="C27" s="60">
        <f>COUNTIFS('SoA Register'!$B$7:$B$44,A27,'SoA Register'!$D$7:$D$44,"Applicable")</f>
        <v/>
      </c>
      <c r="D27" s="60">
        <f>COUNTIFS('SoA Register'!$B$7:$B$44,A27,'SoA Register'!$F$7:$F$44,"Designed - partial",'SoA Register'!$D$7:$D$44,"Applicable")+COUNTIFS('SoA Register'!$B$7:$B$44,A27,'SoA Register'!$F$7:$F$44,"Designed - draft",'SoA Register'!$D$7:$D$44,"Applicable")+COUNTIFS('SoA Register'!$B$7:$B$44,A27,'SoA Register'!$F$7:$F$44,"Approved",'SoA Register'!$D$7:$D$44,"Applicable")+COUNTIFS('SoA Register'!$B$7:$B$44,A27,'SoA Register'!$F$7:$F$44,"Implemented",'SoA Register'!$D$7:$D$44,"Applicable")+COUNTIFS('SoA Register'!$B$7:$B$44,A27,'SoA Register'!$F$7:$F$44,"Evidenced",'SoA Register'!$D$7:$D$44,"Applicable")+COUNTIFS('SoA Register'!$B$7:$B$44,A27,'SoA Register'!$F$7:$F$44,"Effective",'SoA Register'!$D$7:$D$44,"Applicable")</f>
        <v/>
      </c>
      <c r="E27" s="60">
        <f>COUNTIFS('SoA Register'!$B$7:$B$44,A27,'SoA Register'!$F$7:$F$44,"Implemented",'SoA Register'!$D$7:$D$44,"Applicable")+COUNTIFS('SoA Register'!$B$7:$B$44,A27,'SoA Register'!$F$7:$F$44,"Evidenced",'SoA Register'!$D$7:$D$44,"Applicable")+COUNTIFS('SoA Register'!$B$7:$B$44,A27,'SoA Register'!$F$7:$F$44,"Effective",'SoA Register'!$D$7:$D$44,"Applicable")</f>
        <v/>
      </c>
      <c r="F27" s="60">
        <f>COUNTIFS('SoA Register'!$B$7:$B$44,A27,'SoA Register'!$F$7:$F$44,"Evidenced",'SoA Register'!$D$7:$D$44,"Applicable")+COUNTIFS('SoA Register'!$B$7:$B$44,A27,'SoA Register'!$F$7:$F$44,"Effective",'SoA Register'!$D$7:$D$44,"Applicable")</f>
        <v/>
      </c>
    </row>
    <row r="28"/>
    <row r="29" ht="21.75" customHeight="1" s="47">
      <c r="A29" s="51" t="inlineStr">
        <is>
          <t>Adoption actions</t>
        </is>
      </c>
    </row>
    <row r="30" ht="25.5" customHeight="1" s="47">
      <c r="A30" s="61" t="inlineStr">
        <is>
          <t>1. Validate every control decision and working title against the Council’s licensed copy of ISO/IEC 42001:2023.</t>
        </is>
      </c>
      <c r="B30" s="62" t="n"/>
      <c r="C30" s="62" t="n"/>
      <c r="D30" s="62" t="n"/>
      <c r="E30" s="62" t="n"/>
      <c r="F30" s="62" t="n"/>
      <c r="G30" s="62" t="n"/>
      <c r="H30" s="63" t="n"/>
    </row>
    <row r="31" ht="25.5" customHeight="1" s="47">
      <c r="A31" s="61" t="inlineStr">
        <is>
          <t>2. Confirm owners, approving authority and any justified exclusions.</t>
        </is>
      </c>
      <c r="B31" s="62" t="n"/>
      <c r="C31" s="62" t="n"/>
      <c r="D31" s="62" t="n"/>
      <c r="E31" s="62" t="n"/>
      <c r="F31" s="62" t="n"/>
      <c r="G31" s="62" t="n"/>
      <c r="H31" s="63" t="n"/>
    </row>
    <row r="32" ht="25.5" customHeight="1" s="47">
      <c r="A32" s="61" t="inlineStr">
        <is>
          <t>3. Approve the SoA together with the AIMS scope, policy, risk treatment and objectives.</t>
        </is>
      </c>
      <c r="B32" s="62" t="n"/>
      <c r="C32" s="62" t="n"/>
      <c r="D32" s="62" t="n"/>
      <c r="E32" s="62" t="n"/>
      <c r="F32" s="62" t="n"/>
      <c r="G32" s="62" t="n"/>
      <c r="H32" s="63" t="n"/>
    </row>
    <row r="33" ht="25.5" customHeight="1" s="47">
      <c r="A33" s="61" t="inlineStr">
        <is>
          <t>4. Populate evidence locations as controls are operated; do not advance a status without evidence.</t>
        </is>
      </c>
      <c r="B33" s="62" t="n"/>
      <c r="C33" s="62" t="n"/>
      <c r="D33" s="62" t="n"/>
      <c r="E33" s="62" t="n"/>
      <c r="F33" s="62" t="n"/>
      <c r="G33" s="62" t="n"/>
      <c r="H33" s="63" t="n"/>
    </row>
    <row r="34" ht="25.5" customHeight="1" s="47">
      <c r="A34" s="61" t="inlineStr">
        <is>
          <t>5. Review the SoA after risk assessment, material change, internal audit and management review.</t>
        </is>
      </c>
      <c r="B34" s="62" t="n"/>
      <c r="C34" s="62" t="n"/>
      <c r="D34" s="62" t="n"/>
      <c r="E34" s="62" t="n"/>
      <c r="F34" s="62" t="n"/>
      <c r="G34" s="62" t="n"/>
      <c r="H34" s="63" t="n"/>
    </row>
    <row r="35"/>
    <row r="36" ht="15" customHeight="1" s="47">
      <c r="A36" s="64" t="inlineStr">
        <is>
          <t>Version</t>
        </is>
      </c>
      <c r="B36" s="64" t="inlineStr">
        <is>
          <t>Date</t>
        </is>
      </c>
      <c r="C36" s="64" t="inlineStr">
        <is>
          <t>Change</t>
        </is>
      </c>
      <c r="H36" s="64" t="inlineStr">
        <is>
          <t>Author / owner</t>
        </is>
      </c>
    </row>
    <row r="37" ht="33.75" customHeight="1" s="47">
      <c r="A37" s="65" t="inlineStr">
        <is>
          <t>1.0 draft</t>
        </is>
      </c>
      <c r="B37" s="66" t="n">
        <v>46240</v>
      </c>
      <c r="C37" s="65" t="inlineStr">
        <is>
          <t>Initial ISO/IEC 42001 Annex A Statement of Applicability mapped to the AI Governance Playbook (AIG-GOV-02) and AIG-AIMS-01.</t>
        </is>
      </c>
      <c r="D37" s="62" t="n"/>
      <c r="E37" s="62" t="n"/>
      <c r="F37" s="62" t="n"/>
      <c r="G37" s="63" t="n"/>
      <c r="H37" s="65" t="inlineStr">
        <is>
          <t>AI Governance Lead</t>
        </is>
      </c>
    </row>
    <row r="38" s="47">
      <c r="A38" s="0" t="inlineStr">
        <is>
          <t>1.1 draft</t>
        </is>
      </c>
      <c r="B38" s="0" t="inlineStr">
        <is>
          <t>28 September 2026</t>
        </is>
      </c>
      <c r="C38" s="0" t="inlineStr">
        <is>
          <t>Make effectiveness colours match exact controlled statuses.</t>
        </is>
      </c>
    </row>
    <row r="39">
      <c r="A39" s="46" t="inlineStr">
        <is>
          <t>1.2 draft</t>
        </is>
      </c>
      <c r="B39" s="46" t="inlineStr">
        <is>
          <t>29 September 2026</t>
        </is>
      </c>
      <c r="C39" s="46" t="inlineStr">
        <is>
          <t>QA remediation — applied findings QA-218, QA-220, QA-238, QA-240, QA-241, QA-251, QA-253, QA-289, QA-291 (see QA change log).</t>
        </is>
      </c>
      <c r="H39" s="104" t="inlineStr">
        <is>
          <t>AI Governance Lead</t>
        </is>
      </c>
    </row>
  </sheetData>
  <mergeCells count="14">
    <mergeCell ref="A4:H4"/>
    <mergeCell ref="D6:E6"/>
    <mergeCell ref="A30:H30"/>
    <mergeCell ref="A29:H29"/>
    <mergeCell ref="A2:H2"/>
    <mergeCell ref="A33:H33"/>
    <mergeCell ref="A17:F17"/>
    <mergeCell ref="C36:G36"/>
    <mergeCell ref="C37:G37"/>
    <mergeCell ref="A1:H1"/>
    <mergeCell ref="C39:G39"/>
    <mergeCell ref="A32:H32"/>
    <mergeCell ref="A31:H31"/>
    <mergeCell ref="A34:H34"/>
  </mergeCells>
  <pageMargins left="0.7" right="0.7" top="0.75" bottom="0.75" header="0.3" footer="0.3"/>
  <headerFooter>
    <oddHeader>&amp;C&amp;"Arial,Regular"&amp;8 The Council — AIMS Statement of Applicability</oddHeader>
    <oddFooter>&amp;C&amp;"Arial,Regular"&amp;8 AIG-AIMS-02 · v1.2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Q44"/>
  <sheetViews>
    <sheetView showGridLines="0" workbookViewId="0">
      <selection activeCell="A1" sqref="A1"/>
    </sheetView>
  </sheetViews>
  <sheetFormatPr baseColWidth="8" defaultColWidth="9.47265625" defaultRowHeight="15"/>
  <cols>
    <col width="13.1899995803833" customWidth="1" style="46" min="1" max="1"/>
    <col width="32.97000122070312" customWidth="1" style="46" min="2" max="2"/>
    <col width="41.7599983215332" customWidth="1" style="46" min="3" max="3"/>
    <col width="17.59000015258789" customWidth="1" style="46" min="4" max="4"/>
    <col width="52.7599983215332" customWidth="1" style="46" min="5" max="5"/>
    <col width="20.8799991607666" customWidth="1" style="46" min="6" max="6"/>
    <col width="32.97000122070312" customWidth="1" style="46" min="7" max="7"/>
    <col width="59.34999847412109" customWidth="1" style="46" min="8" max="8"/>
    <col width="63.75" customWidth="1" style="46" min="9" max="9"/>
    <col width="32.97000122070312" customWidth="1" style="46" min="10" max="10"/>
    <col width="14.28999996185303" customWidth="1" style="46" min="11" max="12"/>
    <col width="19.79000091552734" customWidth="1" style="46" min="13" max="14"/>
    <col width="24" customWidth="1" style="47" min="15" max="15"/>
    <col width="14" customWidth="1" style="47" min="16" max="16"/>
    <col width="28" customWidth="1" style="47" min="17" max="17"/>
  </cols>
  <sheetData>
    <row r="1" ht="30" customHeight="1" s="47">
      <c r="A1" s="48" t="inlineStr">
        <is>
          <t>The Council — AIMS Statement of Applicability</t>
        </is>
      </c>
    </row>
    <row r="2" ht="21.75" customHeight="1" s="47">
      <c r="A2" s="49" t="inlineStr">
        <is>
          <t>AIG-AIMS-02  ·  v1.2 draft  ·  Draft for Council review  ·  OFFICIAL  ·  ISO/IEC 42001:2023 Annex A</t>
        </is>
      </c>
    </row>
    <row r="3" ht="24.75" customHeight="1" s="47">
      <c r="A3" s="67" t="inlineStr">
        <is>
          <t>Purpose: record the applicability decision, justification, implementation position, owner and evidence route for all 38 Annex A controls.</t>
        </is>
      </c>
    </row>
    <row r="4" ht="24.75" customHeight="1" s="47">
      <c r="A4" s="50" t="inlineStr">
        <is>
          <t>Current position: all decisions are proposed. The suite provides design evidence only until formally approved, operated and supported by live records.</t>
        </is>
      </c>
    </row>
    <row r="5"/>
    <row r="6" ht="33.75" customHeight="1" s="47">
      <c r="A6" s="68" t="inlineStr">
        <is>
          <t>Control ID</t>
        </is>
      </c>
      <c r="B6" s="68" t="inlineStr">
        <is>
          <t>Domain</t>
        </is>
      </c>
      <c r="C6" s="68" t="inlineStr">
        <is>
          <t>Control title</t>
        </is>
      </c>
      <c r="D6" s="68" t="inlineStr">
        <is>
          <t>Applicability</t>
        </is>
      </c>
      <c r="E6" s="68" t="inlineStr">
        <is>
          <t>Applicability justification</t>
        </is>
      </c>
      <c r="F6" s="68" t="inlineStr">
        <is>
          <t>Implementation status</t>
        </is>
      </c>
      <c r="G6" s="68" t="inlineStr">
        <is>
          <t>Proposed control owner (role)</t>
        </is>
      </c>
      <c r="H6" s="68" t="inlineStr">
        <is>
          <t>Existing suite design evidence</t>
        </is>
      </c>
      <c r="I6" s="68" t="inlineStr">
        <is>
          <t>Live evidence / action still required</t>
        </is>
      </c>
      <c r="J6" s="68" t="inlineStr">
        <is>
          <t>Evidence location</t>
        </is>
      </c>
      <c r="K6" s="68" t="inlineStr">
        <is>
          <t>Target date</t>
        </is>
      </c>
      <c r="L6" s="68" t="inlineStr">
        <is>
          <t>Last reviewed</t>
        </is>
      </c>
      <c r="M6" s="68" t="inlineStr">
        <is>
          <t>Effectiveness</t>
        </is>
      </c>
      <c r="N6" s="68" t="inlineStr">
        <is>
          <t>Decision QA</t>
        </is>
      </c>
      <c r="O6" s="68" t="inlineStr">
        <is>
          <t>Exclusion approver (role / forum)</t>
        </is>
      </c>
      <c r="P6" s="68" t="inlineStr">
        <is>
          <t>Exclusion approval date</t>
        </is>
      </c>
      <c r="Q6" s="68" t="inlineStr">
        <is>
          <t>Exclusion review trigger</t>
        </is>
      </c>
    </row>
    <row r="7" ht="57.75" customHeight="1" s="47">
      <c r="A7" s="69" t="inlineStr">
        <is>
          <t>A.2.2</t>
        </is>
      </c>
      <c r="B7" s="70" t="inlineStr">
        <is>
          <t>A.2 Policies related to AI</t>
        </is>
      </c>
      <c r="C7" s="71" t="inlineStr">
        <is>
          <t>AI policy</t>
        </is>
      </c>
      <c r="D7" s="72" t="inlineStr">
        <is>
          <t>Applicable</t>
        </is>
      </c>
      <c r="E7" s="71" t="inlineStr">
        <is>
          <t>The proposed AIMS covers Council development, procurement and use of AI and therefore requires an approved policy framework.</t>
        </is>
      </c>
      <c r="F7" s="71" t="inlineStr">
        <is>
          <t>Designed - draft</t>
        </is>
      </c>
      <c r="G7" s="71" t="inlineStr">
        <is>
          <t>Executive Sponsor / AI Governance Lead</t>
        </is>
      </c>
      <c r="H7" s="71" t="inlineStr">
        <is>
          <t>AIG-GOV-02 §§5.2-5.3; AIG-ASS-03; AIG-AIMS-01 §§1-2.</t>
        </is>
      </c>
      <c r="I7" s="71" t="inlineStr">
        <is>
          <t>Formally approve the policy, confirm leadership commitment and retain approval, communication and review evidence.</t>
        </is>
      </c>
      <c r="J7" s="73" t="n"/>
      <c r="K7" s="74" t="n"/>
      <c r="L7" s="74" t="n"/>
      <c r="M7" s="73" t="inlineStr">
        <is>
          <t>Not assessed</t>
        </is>
      </c>
      <c r="N7" s="75">
        <f>IF(D7="Not applicable",IF(AND(E7&lt;&gt;"",O7&lt;&gt;"",P7&lt;&gt;"",Q7&lt;&gt;""),IF(F7="Not applicable","Complete","Status conflict: excluded control shows a status"),"Exclusion justification/approval missing"),IF(AND(D7="Applicable",F7="Not applicable"),"Status conflict: applicable control marked Not applicable",IF(AND(D7="Applicable",E7&lt;&gt;"",F7&lt;&gt;"",G7&lt;&gt;"",H7&lt;&gt;"",I7&lt;&gt;""),"Complete","Incomplete")))</f>
        <v/>
      </c>
      <c r="O7" s="74" t="n"/>
      <c r="P7" s="74" t="n"/>
      <c r="Q7" s="74" t="n"/>
    </row>
    <row r="8" ht="57.75" customHeight="1" s="47">
      <c r="A8" s="76" t="inlineStr">
        <is>
          <t>A.2.3</t>
        </is>
      </c>
      <c r="B8" s="77" t="inlineStr">
        <is>
          <t>A.2 Policies related to AI</t>
        </is>
      </c>
      <c r="C8" s="78" t="inlineStr">
        <is>
          <t>Alignment with other organisational policies</t>
        </is>
      </c>
      <c r="D8" s="79" t="inlineStr">
        <is>
          <t>Applicable</t>
        </is>
      </c>
      <c r="E8" s="78" t="inlineStr">
        <is>
          <t>AI governance must operate consistently with Council data, security, procurement, HR, equality, legal and risk policies.</t>
        </is>
      </c>
      <c r="F8" s="78" t="inlineStr">
        <is>
          <t>Designed - partial</t>
        </is>
      </c>
      <c r="G8" s="78" t="inlineStr">
        <is>
          <t>AI Governance Lead / Corporate Policy Owners</t>
        </is>
      </c>
      <c r="H8" s="78" t="inlineStr">
        <is>
          <t>AIG-GOV-02 §§5.2 and 5.4-5.11; AIG-GOV-03; AIG-AIMS-01 §§6, 8-9.</t>
        </is>
      </c>
      <c r="I8" s="78" t="inlineStr">
        <is>
          <t>Complete and approve a cross-policy alignment review, record conflicts and track amendments to affected corporate policies.</t>
        </is>
      </c>
      <c r="J8" s="80" t="n"/>
      <c r="K8" s="81" t="n"/>
      <c r="L8" s="81" t="n"/>
      <c r="M8" s="80" t="inlineStr">
        <is>
          <t>Not assessed</t>
        </is>
      </c>
      <c r="N8" s="82">
        <f>IF(D8="Not applicable",IF(AND(E8&lt;&gt;"",O8&lt;&gt;"",P8&lt;&gt;"",Q8&lt;&gt;""),IF(F8="Not applicable","Complete","Status conflict: excluded control shows a status"),"Exclusion justification/approval missing"),IF(AND(D8="Applicable",F8="Not applicable"),"Status conflict: applicable control marked Not applicable",IF(AND(D8="Applicable",E8&lt;&gt;"",F8&lt;&gt;"",G8&lt;&gt;"",H8&lt;&gt;"",I8&lt;&gt;""),"Complete","Incomplete")))</f>
        <v/>
      </c>
      <c r="O8" s="81" t="n"/>
      <c r="P8" s="81" t="n"/>
      <c r="Q8" s="81" t="n"/>
    </row>
    <row r="9" ht="57.75" customHeight="1" s="47">
      <c r="A9" s="76" t="inlineStr">
        <is>
          <t>A.2.4</t>
        </is>
      </c>
      <c r="B9" s="77" t="inlineStr">
        <is>
          <t>A.2 Policies related to AI</t>
        </is>
      </c>
      <c r="C9" s="78" t="inlineStr">
        <is>
          <t>Review of the AI policy</t>
        </is>
      </c>
      <c r="D9" s="79" t="inlineStr">
        <is>
          <t>Applicable</t>
        </is>
      </c>
      <c r="E9" s="78" t="inlineStr">
        <is>
          <t>The AI policy must remain suitable as Council services, technology, law, risks and interested-party needs change.</t>
        </is>
      </c>
      <c r="F9" s="78" t="inlineStr">
        <is>
          <t>Designed - partial</t>
        </is>
      </c>
      <c r="G9" s="78" t="inlineStr">
        <is>
          <t>AI Assurance Board / AI Governance Lead</t>
        </is>
      </c>
      <c r="H9" s="78" t="inlineStr">
        <is>
          <t>AIG-GOV-02 §§6 and 7.7; AIG-OPS-05; AIG-AIMS-01 §10.</t>
        </is>
      </c>
      <c r="I9" s="78" t="inlineStr">
        <is>
          <t>Approve the review cadence and triggers, conduct the first review and retain minutes, decisions, changes and effectiveness evidence.</t>
        </is>
      </c>
      <c r="J9" s="80" t="n"/>
      <c r="K9" s="81" t="n"/>
      <c r="L9" s="81" t="n"/>
      <c r="M9" s="80" t="inlineStr">
        <is>
          <t>Not assessed</t>
        </is>
      </c>
      <c r="N9" s="82">
        <f>IF(D9="Not applicable",IF(AND(E9&lt;&gt;"",O9&lt;&gt;"",P9&lt;&gt;"",Q9&lt;&gt;""),IF(F9="Not applicable","Complete","Status conflict: excluded control shows a status"),"Exclusion justification/approval missing"),IF(AND(D9="Applicable",F9="Not applicable"),"Status conflict: applicable control marked Not applicable",IF(AND(D9="Applicable",E9&lt;&gt;"",F9&lt;&gt;"",G9&lt;&gt;"",H9&lt;&gt;"",I9&lt;&gt;""),"Complete","Incomplete")))</f>
        <v/>
      </c>
      <c r="O9" s="81" t="n"/>
      <c r="P9" s="81" t="n"/>
      <c r="Q9" s="81" t="n"/>
    </row>
    <row r="10" ht="57.75" customHeight="1" s="47">
      <c r="A10" s="76" t="inlineStr">
        <is>
          <t>A.3.2</t>
        </is>
      </c>
      <c r="B10" s="77" t="inlineStr">
        <is>
          <t>A.3 Internal organisation</t>
        </is>
      </c>
      <c r="C10" s="78" t="inlineStr">
        <is>
          <t>AI roles and responsibilities</t>
        </is>
      </c>
      <c r="D10" s="79" t="inlineStr">
        <is>
          <t>Applicable</t>
        </is>
      </c>
      <c r="E10" s="78" t="inlineStr">
        <is>
          <t>Council-wide AI activity requires explicit accountability across governance, service, technical and specialist-control functions.</t>
        </is>
      </c>
      <c r="F10" s="78" t="inlineStr">
        <is>
          <t>Designed - draft</t>
        </is>
      </c>
      <c r="G10" s="78" t="inlineStr">
        <is>
          <t>Executive Sponsor / AI Governance Lead</t>
        </is>
      </c>
      <c r="H10" s="78" t="inlineStr">
        <is>
          <t>AIG-GOV-02 §§3.4-3.6; AIG-DEC-03; AIG-GOV-06; AIG-AIMS-01 §§4 and 11.</t>
        </is>
      </c>
      <c r="I10" s="78" t="inlineStr">
        <is>
          <t>Approve roles, memberships, delegations, deputies and RACI interfaces; retain appointment and competence evidence.</t>
        </is>
      </c>
      <c r="J10" s="80" t="n"/>
      <c r="K10" s="81" t="n"/>
      <c r="L10" s="81" t="n"/>
      <c r="M10" s="80" t="inlineStr">
        <is>
          <t>Not assessed</t>
        </is>
      </c>
      <c r="N10" s="82">
        <f>IF(D10="Not applicable",IF(AND(E10&lt;&gt;"",O10&lt;&gt;"",P10&lt;&gt;"",Q10&lt;&gt;""),IF(F10="Not applicable","Complete","Status conflict: excluded control shows a status"),"Exclusion justification/approval missing"),IF(AND(D10="Applicable",F10="Not applicable"),"Status conflict: applicable control marked Not applicable",IF(AND(D10="Applicable",E10&lt;&gt;"",F10&lt;&gt;"",G10&lt;&gt;"",H10&lt;&gt;"",I10&lt;&gt;""),"Complete","Incomplete")))</f>
        <v/>
      </c>
      <c r="O10" s="81" t="n"/>
      <c r="P10" s="81" t="n"/>
      <c r="Q10" s="81" t="n"/>
    </row>
    <row r="11" ht="57.75" customHeight="1" s="47">
      <c r="A11" s="76" t="inlineStr">
        <is>
          <t>A.3.3</t>
        </is>
      </c>
      <c r="B11" s="77" t="inlineStr">
        <is>
          <t>A.3 Internal organisation</t>
        </is>
      </c>
      <c r="C11" s="78" t="inlineStr">
        <is>
          <t>Reporting of concerns</t>
        </is>
      </c>
      <c r="D11" s="79" t="inlineStr">
        <is>
          <t>Applicable</t>
        </is>
      </c>
      <c r="E11" s="78" t="inlineStr">
        <is>
          <t>Staff, suppliers, residents and other affected parties need safe routes to raise concerns about Council AI activity.</t>
        </is>
      </c>
      <c r="F11" s="78" t="inlineStr">
        <is>
          <t>Designed - partial</t>
        </is>
      </c>
      <c r="G11" s="78" t="inlineStr">
        <is>
          <t>AI Governance Lead / Relevant Reporting Owner</t>
        </is>
      </c>
      <c r="H11" s="78" t="inlineStr">
        <is>
          <t>AIG-GOV-02 §§5.4 and 6.8; AIG-INV-01; AIG-OPS-03; AIG-GOV-06 §7.</t>
        </is>
      </c>
      <c r="I11" s="78" t="inlineStr">
        <is>
          <t>Define confidential and, where appropriate, anonymous concern routes; align with whistleblowing, complaints and safeguarding processes; test escalation.</t>
        </is>
      </c>
      <c r="J11" s="80" t="n"/>
      <c r="K11" s="81" t="n"/>
      <c r="L11" s="81" t="n"/>
      <c r="M11" s="80" t="inlineStr">
        <is>
          <t>Not assessed</t>
        </is>
      </c>
      <c r="N11" s="82">
        <f>IF(D11="Not applicable",IF(AND(E11&lt;&gt;"",O11&lt;&gt;"",P11&lt;&gt;"",Q11&lt;&gt;""),IF(F11="Not applicable","Complete","Status conflict: excluded control shows a status"),"Exclusion justification/approval missing"),IF(AND(D11="Applicable",F11="Not applicable"),"Status conflict: applicable control marked Not applicable",IF(AND(D11="Applicable",E11&lt;&gt;"",F11&lt;&gt;"",G11&lt;&gt;"",H11&lt;&gt;"",I11&lt;&gt;""),"Complete","Incomplete")))</f>
        <v/>
      </c>
      <c r="O11" s="81" t="n"/>
      <c r="P11" s="81" t="n"/>
      <c r="Q11" s="81" t="n"/>
    </row>
    <row r="12" ht="57.75" customHeight="1" s="47">
      <c r="A12" s="76" t="inlineStr">
        <is>
          <t>A.4.2</t>
        </is>
      </c>
      <c r="B12" s="77" t="inlineStr">
        <is>
          <t>A.4 Resources for AI systems</t>
        </is>
      </c>
      <c r="C12" s="78" t="inlineStr">
        <is>
          <t>Resource documentation</t>
        </is>
      </c>
      <c r="D12" s="79" t="inlineStr">
        <is>
          <t>Applicable</t>
        </is>
      </c>
      <c r="E12" s="78" t="inlineStr">
        <is>
          <t>Effective risk and lifecycle management depends on knowing the resources each in-scope AI system relies upon.</t>
        </is>
      </c>
      <c r="F12" s="78" t="inlineStr">
        <is>
          <t>Designed - partial</t>
        </is>
      </c>
      <c r="G12" s="78" t="inlineStr">
        <is>
          <t>Service Owner / AI Technical Lead</t>
        </is>
      </c>
      <c r="H12" s="78" t="inlineStr">
        <is>
          <t>AIG-INV-03; AIG-INV-04; AIG-ASS-09; AIG-OPS-01.</t>
        </is>
      </c>
      <c r="I12" s="78" t="inlineStr">
        <is>
          <t>Create and maintain a system-level resource inventory covering data, tools, compute, people, facilities, suppliers and dependencies.</t>
        </is>
      </c>
      <c r="J12" s="80" t="n"/>
      <c r="K12" s="81" t="n"/>
      <c r="L12" s="81" t="n"/>
      <c r="M12" s="80" t="inlineStr">
        <is>
          <t>Not assessed</t>
        </is>
      </c>
      <c r="N12" s="82">
        <f>IF(D12="Not applicable",IF(AND(E12&lt;&gt;"",O12&lt;&gt;"",P12&lt;&gt;"",Q12&lt;&gt;""),IF(F12="Not applicable","Complete","Status conflict: excluded control shows a status"),"Exclusion justification/approval missing"),IF(AND(D12="Applicable",F12="Not applicable"),"Status conflict: applicable control marked Not applicable",IF(AND(D12="Applicable",E12&lt;&gt;"",F12&lt;&gt;"",G12&lt;&gt;"",H12&lt;&gt;"",I12&lt;&gt;""),"Complete","Incomplete")))</f>
        <v/>
      </c>
      <c r="O12" s="81" t="n"/>
      <c r="P12" s="81" t="n"/>
      <c r="Q12" s="81" t="n"/>
    </row>
    <row r="13" ht="57.75" customHeight="1" s="47">
      <c r="A13" s="76" t="inlineStr">
        <is>
          <t>A.4.3</t>
        </is>
      </c>
      <c r="B13" s="77" t="inlineStr">
        <is>
          <t>A.4 Resources for AI systems</t>
        </is>
      </c>
      <c r="C13" s="78" t="inlineStr">
        <is>
          <t>Data resources</t>
        </is>
      </c>
      <c r="D13" s="79" t="inlineStr">
        <is>
          <t>Applicable</t>
        </is>
      </c>
      <c r="E13" s="78" t="inlineStr">
        <is>
          <t>In-scope systems may depend on Council, resident, staff, supplier and public datasets with material quality and rights risks.</t>
        </is>
      </c>
      <c r="F13" s="78" t="inlineStr">
        <is>
          <t>Designed - partial</t>
        </is>
      </c>
      <c r="G13" s="78" t="inlineStr">
        <is>
          <t>Data Owner / Service Owner</t>
        </is>
      </c>
      <c r="H13" s="78" t="inlineStr">
        <is>
          <t>AIG-INV-03; AIG-ASS-02; AIG-ASS-05; AIG-ASS-09; AIG-ASS-11.</t>
        </is>
      </c>
      <c r="I13" s="78" t="inlineStr">
        <is>
          <t>Populate dataset inventories with purpose, category, owner, provenance, quality, rights, retention, sensitivity, bias and change information.</t>
        </is>
      </c>
      <c r="J13" s="80" t="n"/>
      <c r="K13" s="81" t="n"/>
      <c r="L13" s="81" t="n"/>
      <c r="M13" s="80" t="inlineStr">
        <is>
          <t>Not assessed</t>
        </is>
      </c>
      <c r="N13" s="82">
        <f>IF(D13="Not applicable",IF(AND(E13&lt;&gt;"",O13&lt;&gt;"",P13&lt;&gt;"",Q13&lt;&gt;""),IF(F13="Not applicable","Complete","Status conflict: excluded control shows a status"),"Exclusion justification/approval missing"),IF(AND(D13="Applicable",F13="Not applicable"),"Status conflict: applicable control marked Not applicable",IF(AND(D13="Applicable",E13&lt;&gt;"",F13&lt;&gt;"",G13&lt;&gt;"",H13&lt;&gt;"",I13&lt;&gt;""),"Complete","Incomplete")))</f>
        <v/>
      </c>
      <c r="O13" s="81" t="n"/>
      <c r="P13" s="81" t="n"/>
      <c r="Q13" s="81" t="n"/>
    </row>
    <row r="14" ht="57.75" customHeight="1" s="47">
      <c r="A14" s="76" t="inlineStr">
        <is>
          <t>A.4.4</t>
        </is>
      </c>
      <c r="B14" s="77" t="inlineStr">
        <is>
          <t>A.4 Resources for AI systems</t>
        </is>
      </c>
      <c r="C14" s="78" t="inlineStr">
        <is>
          <t>Tooling resources</t>
        </is>
      </c>
      <c r="D14" s="79" t="inlineStr">
        <is>
          <t>Applicable</t>
        </is>
      </c>
      <c r="E14" s="78" t="inlineStr">
        <is>
          <t>Models, libraries, platforms, evaluation tools and integration components can affect security, reproducibility and performance.</t>
        </is>
      </c>
      <c r="F14" s="78" t="inlineStr">
        <is>
          <t>Designed - partial</t>
        </is>
      </c>
      <c r="G14" s="78" t="inlineStr">
        <is>
          <t>AI Technical Lead / Service Owner</t>
        </is>
      </c>
      <c r="H14" s="78" t="inlineStr">
        <is>
          <t>AIG-ASS-08; AIG-ASS-09; AIG-ASS-11.</t>
        </is>
      </c>
      <c r="I14" s="78" t="inlineStr">
        <is>
          <t>Record versions, owners, licensing, support, evaluation methods, dependencies, vulnerabilities and approved changes for tooling resources.</t>
        </is>
      </c>
      <c r="J14" s="80" t="n"/>
      <c r="K14" s="81" t="n"/>
      <c r="L14" s="81" t="n"/>
      <c r="M14" s="80" t="inlineStr">
        <is>
          <t>Not assessed</t>
        </is>
      </c>
      <c r="N14" s="82">
        <f>IF(D14="Not applicable",IF(AND(E14&lt;&gt;"",O14&lt;&gt;"",P14&lt;&gt;"",Q14&lt;&gt;""),IF(F14="Not applicable","Complete","Status conflict: excluded control shows a status"),"Exclusion justification/approval missing"),IF(AND(D14="Applicable",F14="Not applicable"),"Status conflict: applicable control marked Not applicable",IF(AND(D14="Applicable",E14&lt;&gt;"",F14&lt;&gt;"",G14&lt;&gt;"",H14&lt;&gt;"",I14&lt;&gt;""),"Complete","Incomplete")))</f>
        <v/>
      </c>
      <c r="O14" s="81" t="n"/>
      <c r="P14" s="81" t="n"/>
      <c r="Q14" s="81" t="n"/>
    </row>
    <row r="15" ht="57.75" customHeight="1" s="47">
      <c r="A15" s="76" t="inlineStr">
        <is>
          <t>A.4.5</t>
        </is>
      </c>
      <c r="B15" s="77" t="inlineStr">
        <is>
          <t>A.4 Resources for AI systems</t>
        </is>
      </c>
      <c r="C15" s="78" t="inlineStr">
        <is>
          <t>System and computing resources</t>
        </is>
      </c>
      <c r="D15" s="79" t="inlineStr">
        <is>
          <t>Applicable</t>
        </is>
      </c>
      <c r="E15" s="78" t="inlineStr">
        <is>
          <t>Hosting, compute, storage, networks and capacity constraints affect resilience, security and AI system performance.</t>
        </is>
      </c>
      <c r="F15" s="78" t="inlineStr">
        <is>
          <t>Designed - partial</t>
        </is>
      </c>
      <c r="G15" s="78" t="inlineStr">
        <is>
          <t>Technology Owner / Security Lead</t>
        </is>
      </c>
      <c r="H15" s="78" t="inlineStr">
        <is>
          <t>AIG-ASS-08; AIG-ASS-09; AIG-ASS-11; AIG-OPS-01.</t>
        </is>
      </c>
      <c r="I15" s="78" t="inlineStr">
        <is>
          <t>Maintain architecture, environment, capacity, resilience, hosting, access and material environmental-impact evidence for each system.</t>
        </is>
      </c>
      <c r="J15" s="80" t="n"/>
      <c r="K15" s="81" t="n"/>
      <c r="L15" s="81" t="n"/>
      <c r="M15" s="80" t="inlineStr">
        <is>
          <t>Not assessed</t>
        </is>
      </c>
      <c r="N15" s="82">
        <f>IF(D15="Not applicable",IF(AND(E15&lt;&gt;"",O15&lt;&gt;"",P15&lt;&gt;"",Q15&lt;&gt;""),IF(F15="Not applicable","Complete","Status conflict: excluded control shows a status"),"Exclusion justification/approval missing"),IF(AND(D15="Applicable",F15="Not applicable"),"Status conflict: applicable control marked Not applicable",IF(AND(D15="Applicable",E15&lt;&gt;"",F15&lt;&gt;"",G15&lt;&gt;"",H15&lt;&gt;"",I15&lt;&gt;""),"Complete","Incomplete")))</f>
        <v/>
      </c>
      <c r="O15" s="81" t="n"/>
      <c r="P15" s="81" t="n"/>
      <c r="Q15" s="81" t="n"/>
    </row>
    <row r="16" ht="57.75" customHeight="1" s="47">
      <c r="A16" s="76" t="inlineStr">
        <is>
          <t>A.4.6</t>
        </is>
      </c>
      <c r="B16" s="77" t="inlineStr">
        <is>
          <t>A.4 Resources for AI systems</t>
        </is>
      </c>
      <c r="C16" s="78" t="inlineStr">
        <is>
          <t>Human resources</t>
        </is>
      </c>
      <c r="D16" s="79" t="inlineStr">
        <is>
          <t>Applicable</t>
        </is>
      </c>
      <c r="E16" s="78" t="inlineStr">
        <is>
          <t>Council AI governance and operation depend on competent service, technical, oversight, assurance and supplier personnel.</t>
        </is>
      </c>
      <c r="F16" s="78" t="inlineStr">
        <is>
          <t>Designed - partial</t>
        </is>
      </c>
      <c r="G16" s="78" t="inlineStr">
        <is>
          <t>Service Owner / AI Governance Lead</t>
        </is>
      </c>
      <c r="H16" s="78" t="inlineStr">
        <is>
          <t>AIG-GOV-02 §§3.5 and 7; AIG-INV-03; AIG-GOV-06; AIG-OPS-01.</t>
        </is>
      </c>
      <c r="I16" s="78" t="inlineStr">
        <is>
          <t>Complete role-to-competence mapping, resource planning, training records, effectiveness checks, succession and specialist-capacity arrangements.</t>
        </is>
      </c>
      <c r="J16" s="80" t="n"/>
      <c r="K16" s="81" t="n"/>
      <c r="L16" s="81" t="n"/>
      <c r="M16" s="80" t="inlineStr">
        <is>
          <t>Not assessed</t>
        </is>
      </c>
      <c r="N16" s="82">
        <f>IF(D16="Not applicable",IF(AND(E16&lt;&gt;"",O16&lt;&gt;"",P16&lt;&gt;"",Q16&lt;&gt;""),IF(F16="Not applicable","Complete","Status conflict: excluded control shows a status"),"Exclusion justification/approval missing"),IF(AND(D16="Applicable",F16="Not applicable"),"Status conflict: applicable control marked Not applicable",IF(AND(D16="Applicable",E16&lt;&gt;"",F16&lt;&gt;"",G16&lt;&gt;"",H16&lt;&gt;"",I16&lt;&gt;""),"Complete","Incomplete")))</f>
        <v/>
      </c>
      <c r="O16" s="81" t="n"/>
      <c r="P16" s="81" t="n"/>
      <c r="Q16" s="81" t="n"/>
    </row>
    <row r="17" ht="57.75" customHeight="1" s="47">
      <c r="A17" s="76" t="inlineStr">
        <is>
          <t>A.5.2</t>
        </is>
      </c>
      <c r="B17" s="77" t="inlineStr">
        <is>
          <t>A.5 Assessing impacts of AI systems</t>
        </is>
      </c>
      <c r="C17" s="78" t="inlineStr">
        <is>
          <t>AI system impact assessment process</t>
        </is>
      </c>
      <c r="D17" s="79" t="inlineStr">
        <is>
          <t>Applicable</t>
        </is>
      </c>
      <c r="E17" s="78" t="inlineStr">
        <is>
          <t>Council AI may affect individuals, groups, services and wider society and requires a repeatable impact-assessment process.</t>
        </is>
      </c>
      <c r="F17" s="78" t="inlineStr">
        <is>
          <t>Designed - draft</t>
        </is>
      </c>
      <c r="G17" s="78" t="inlineStr">
        <is>
          <t>AI Governance Lead / Service Owner</t>
        </is>
      </c>
      <c r="H17" s="78" t="inlineStr">
        <is>
          <t>AIG-GOV-02 Chapter 4; AIG-ASS-01; AIG-ASS-02; AIG-ASS-04 to AIG-ASS-07.</t>
        </is>
      </c>
      <c r="I17" s="78" t="inlineStr">
        <is>
          <t>Approve assessment triggers, roles, methods, sign-off and reassessment criteria; complete assessments for live pilot systems.</t>
        </is>
      </c>
      <c r="J17" s="80" t="n"/>
      <c r="K17" s="81" t="n"/>
      <c r="L17" s="81" t="n"/>
      <c r="M17" s="80" t="inlineStr">
        <is>
          <t>Not assessed</t>
        </is>
      </c>
      <c r="N17" s="82">
        <f>IF(D17="Not applicable",IF(AND(E17&lt;&gt;"",O17&lt;&gt;"",P17&lt;&gt;"",Q17&lt;&gt;""),IF(F17="Not applicable","Complete","Status conflict: excluded control shows a status"),"Exclusion justification/approval missing"),IF(AND(D17="Applicable",F17="Not applicable"),"Status conflict: applicable control marked Not applicable",IF(AND(D17="Applicable",E17&lt;&gt;"",F17&lt;&gt;"",G17&lt;&gt;"",H17&lt;&gt;"",I17&lt;&gt;""),"Complete","Incomplete")))</f>
        <v/>
      </c>
      <c r="O17" s="81" t="n"/>
      <c r="P17" s="81" t="n"/>
      <c r="Q17" s="81" t="n"/>
    </row>
    <row r="18" ht="57.75" customHeight="1" s="47">
      <c r="A18" s="76" t="inlineStr">
        <is>
          <t>A.5.3</t>
        </is>
      </c>
      <c r="B18" s="77" t="inlineStr">
        <is>
          <t>A.5 Assessing impacts of AI systems</t>
        </is>
      </c>
      <c r="C18" s="78" t="inlineStr">
        <is>
          <t>Documentation of AI system impact assessments</t>
        </is>
      </c>
      <c r="D18" s="79" t="inlineStr">
        <is>
          <t>Applicable</t>
        </is>
      </c>
      <c r="E18" s="78" t="inlineStr">
        <is>
          <t>Impact decisions and mitigations must remain traceable through approval, operation, change, incident review and audit.</t>
        </is>
      </c>
      <c r="F18" s="78" t="inlineStr">
        <is>
          <t>Designed - draft</t>
        </is>
      </c>
      <c r="G18" s="78" t="inlineStr">
        <is>
          <t>Service Owner / AI Governance Lead</t>
        </is>
      </c>
      <c r="H18" s="78" t="inlineStr">
        <is>
          <t>AIG-INV-04; AIG-ASS-04 to AIG-ASS-07; AIG-DEC-03; AIG-OPS-01.</t>
        </is>
      </c>
      <c r="I18" s="78" t="inlineStr">
        <is>
          <t>Complete, approve, version and retain real impact assessments with evidence links, action closure and residual-risk acceptance.</t>
        </is>
      </c>
      <c r="J18" s="80" t="n"/>
      <c r="K18" s="81" t="n"/>
      <c r="L18" s="81" t="n"/>
      <c r="M18" s="80" t="inlineStr">
        <is>
          <t>Not assessed</t>
        </is>
      </c>
      <c r="N18" s="82">
        <f>IF(D18="Not applicable",IF(AND(E18&lt;&gt;"",O18&lt;&gt;"",P18&lt;&gt;"",Q18&lt;&gt;""),IF(F18="Not applicable","Complete","Status conflict: excluded control shows a status"),"Exclusion justification/approval missing"),IF(AND(D18="Applicable",F18="Not applicable"),"Status conflict: applicable control marked Not applicable",IF(AND(D18="Applicable",E18&lt;&gt;"",F18&lt;&gt;"",G18&lt;&gt;"",H18&lt;&gt;"",I18&lt;&gt;""),"Complete","Incomplete")))</f>
        <v/>
      </c>
      <c r="O18" s="81" t="n"/>
      <c r="P18" s="81" t="n"/>
      <c r="Q18" s="81" t="n"/>
    </row>
    <row r="19" ht="57.75" customHeight="1" s="47">
      <c r="A19" s="76" t="inlineStr">
        <is>
          <t>A.5.4</t>
        </is>
      </c>
      <c r="B19" s="77" t="inlineStr">
        <is>
          <t>A.5 Assessing impacts of AI systems</t>
        </is>
      </c>
      <c r="C19" s="78" t="inlineStr">
        <is>
          <t>Assessing AI system impact on individuals or groups of individuals</t>
        </is>
      </c>
      <c r="D19" s="79" t="inlineStr">
        <is>
          <t>Applicable</t>
        </is>
      </c>
      <c r="E19" s="78" t="inlineStr">
        <is>
          <t>Council services may affect residents, workers and groups with protected or vulnerable characteristics.</t>
        </is>
      </c>
      <c r="F19" s="78" t="inlineStr">
        <is>
          <t>Designed - draft</t>
        </is>
      </c>
      <c r="G19" s="78" t="inlineStr">
        <is>
          <t>Service Owner / DPO / Equality and Human Rights Leads</t>
        </is>
      </c>
      <c r="H19" s="78" t="inlineStr">
        <is>
          <t>AIG-ASS-04; AIG-ASS-05; AIG-ASS-06; AIG-ASS-07; AIG-DEC-03.</t>
        </is>
      </c>
      <c r="I19" s="78" t="inlineStr">
        <is>
          <t>Apply the templates to real systems, document affected groups and engagement, and verify mitigations and redress in operation.</t>
        </is>
      </c>
      <c r="J19" s="80" t="n"/>
      <c r="K19" s="81" t="n"/>
      <c r="L19" s="81" t="n"/>
      <c r="M19" s="80" t="inlineStr">
        <is>
          <t>Not assessed</t>
        </is>
      </c>
      <c r="N19" s="82">
        <f>IF(D19="Not applicable",IF(AND(E19&lt;&gt;"",O19&lt;&gt;"",P19&lt;&gt;"",Q19&lt;&gt;""),IF(F19="Not applicable","Complete","Status conflict: excluded control shows a status"),"Exclusion justification/approval missing"),IF(AND(D19="Applicable",F19="Not applicable"),"Status conflict: applicable control marked Not applicable",IF(AND(D19="Applicable",E19&lt;&gt;"",F19&lt;&gt;"",G19&lt;&gt;"",H19&lt;&gt;"",I19&lt;&gt;""),"Complete","Incomplete")))</f>
        <v/>
      </c>
      <c r="O19" s="81" t="n"/>
      <c r="P19" s="81" t="n"/>
      <c r="Q19" s="81" t="n"/>
    </row>
    <row r="20" ht="57.75" customHeight="1" s="47">
      <c r="A20" s="76" t="inlineStr">
        <is>
          <t>A.5.5</t>
        </is>
      </c>
      <c r="B20" s="77" t="inlineStr">
        <is>
          <t>A.5 Assessing impacts of AI systems</t>
        </is>
      </c>
      <c r="C20" s="78" t="inlineStr">
        <is>
          <t>Assessing societal impacts of AI systems</t>
        </is>
      </c>
      <c r="D20" s="79" t="inlineStr">
        <is>
          <t>Applicable</t>
        </is>
      </c>
      <c r="E20" s="78" t="inlineStr">
        <is>
          <t>Local-authority AI can create community, democratic, environmental, workforce and public-trust effects beyond direct users.</t>
        </is>
      </c>
      <c r="F20" s="78" t="inlineStr">
        <is>
          <t>Designed - partial</t>
        </is>
      </c>
      <c r="G20" s="78" t="inlineStr">
        <is>
          <t>Service Owner / AI Governance Lead</t>
        </is>
      </c>
      <c r="H20" s="78" t="inlineStr">
        <is>
          <t>AIG-GOV-02 §§2.3, 4.4 and 5.3; AIG-ASS-04; AIG-ASS-07; AIG-ASS-10.</t>
        </is>
      </c>
      <c r="I20" s="78" t="inlineStr">
        <is>
          <t>Strengthen the societal-impact method, including collective, environmental, economic, democratic, misuse and long-term dependency effects.</t>
        </is>
      </c>
      <c r="J20" s="80" t="n"/>
      <c r="K20" s="81" t="n"/>
      <c r="L20" s="81" t="n"/>
      <c r="M20" s="80" t="inlineStr">
        <is>
          <t>Not assessed</t>
        </is>
      </c>
      <c r="N20" s="82">
        <f>IF(D20="Not applicable",IF(AND(E20&lt;&gt;"",O20&lt;&gt;"",P20&lt;&gt;"",Q20&lt;&gt;""),IF(F20="Not applicable","Complete","Status conflict: excluded control shows a status"),"Exclusion justification/approval missing"),IF(AND(D20="Applicable",F20="Not applicable"),"Status conflict: applicable control marked Not applicable",IF(AND(D20="Applicable",E20&lt;&gt;"",F20&lt;&gt;"",G20&lt;&gt;"",H20&lt;&gt;"",I20&lt;&gt;""),"Complete","Incomplete")))</f>
        <v/>
      </c>
      <c r="O20" s="81" t="n"/>
      <c r="P20" s="81" t="n"/>
      <c r="Q20" s="81" t="n"/>
    </row>
    <row r="21" ht="57.75" customHeight="1" s="47">
      <c r="A21" s="76" t="inlineStr">
        <is>
          <t>A.6.1.2</t>
        </is>
      </c>
      <c r="B21" s="77" t="inlineStr">
        <is>
          <t>A.6 AI system life cycle</t>
        </is>
      </c>
      <c r="C21" s="78" t="inlineStr">
        <is>
          <t>Objectives for responsible development of AI system</t>
        </is>
      </c>
      <c r="D21" s="79" t="inlineStr">
        <is>
          <t>Applicable</t>
        </is>
      </c>
      <c r="E21" s="78" t="inlineStr">
        <is>
          <t>The scope includes Council development and material configuration, requiring explicit responsible-development objectives.</t>
        </is>
      </c>
      <c r="F21" s="78" t="inlineStr">
        <is>
          <t>Designed - partial</t>
        </is>
      </c>
      <c r="G21" s="78" t="inlineStr">
        <is>
          <t>Service Owner / Product Owner / AI Technical Lead</t>
        </is>
      </c>
      <c r="H21" s="78" t="inlineStr">
        <is>
          <t>AIG-GOV-02 §§5.3 and 7.7; AIG-ASS-02; AIG-ASS-04; AIG-DEC-03.</t>
        </is>
      </c>
      <c r="I21" s="78" t="inlineStr">
        <is>
          <t>Define measurable system-level development objectives, acceptance thresholds, owners and evaluation methods linked to AIMS objectives.</t>
        </is>
      </c>
      <c r="J21" s="80" t="n"/>
      <c r="K21" s="81" t="n"/>
      <c r="L21" s="81" t="n"/>
      <c r="M21" s="80" t="inlineStr">
        <is>
          <t>Not assessed</t>
        </is>
      </c>
      <c r="N21" s="82">
        <f>IF(D21="Not applicable",IF(AND(E21&lt;&gt;"",O21&lt;&gt;"",P21&lt;&gt;"",Q21&lt;&gt;""),IF(F21="Not applicable","Complete","Status conflict: excluded control shows a status"),"Exclusion justification/approval missing"),IF(AND(D21="Applicable",F21="Not applicable"),"Status conflict: applicable control marked Not applicable",IF(AND(D21="Applicable",E21&lt;&gt;"",F21&lt;&gt;"",G21&lt;&gt;"",H21&lt;&gt;"",I21&lt;&gt;""),"Complete","Incomplete")))</f>
        <v/>
      </c>
      <c r="O21" s="81" t="n"/>
      <c r="P21" s="81" t="n"/>
      <c r="Q21" s="81" t="n"/>
    </row>
    <row r="22" ht="57.75" customHeight="1" s="47">
      <c r="A22" s="76" t="inlineStr">
        <is>
          <t>A.6.1.3</t>
        </is>
      </c>
      <c r="B22" s="77" t="inlineStr">
        <is>
          <t>A.6 AI system life cycle</t>
        </is>
      </c>
      <c r="C22" s="78" t="inlineStr">
        <is>
          <t>Processes for responsible AI system design and development</t>
        </is>
      </c>
      <c r="D22" s="79" t="inlineStr">
        <is>
          <t>Applicable</t>
        </is>
      </c>
      <c r="E22" s="78" t="inlineStr">
        <is>
          <t>A repeatable design and development process is necessary where Council teams build, integrate or materially configure AI.</t>
        </is>
      </c>
      <c r="F22" s="78" t="inlineStr">
        <is>
          <t>Designed - draft</t>
        </is>
      </c>
      <c r="G22" s="78" t="inlineStr">
        <is>
          <t>Product Owner / AI Technical Lead / AI Governance Lead</t>
        </is>
      </c>
      <c r="H22" s="78" t="inlineStr">
        <is>
          <t>AIG-GOV-02 §§3.7 and Chapters 4-5; AIG-ASS-03; AIG-ASS-09; AIG-OPS-01.</t>
        </is>
      </c>
      <c r="I22" s="78" t="inlineStr">
        <is>
          <t>Adopt the lifecycle process in delivery methods and retain stage-gate, design-review, change-control and engagement records.</t>
        </is>
      </c>
      <c r="J22" s="80" t="n"/>
      <c r="K22" s="81" t="n"/>
      <c r="L22" s="81" t="n"/>
      <c r="M22" s="80" t="inlineStr">
        <is>
          <t>Not assessed</t>
        </is>
      </c>
      <c r="N22" s="82">
        <f>IF(D22="Not applicable",IF(AND(E22&lt;&gt;"",O22&lt;&gt;"",P22&lt;&gt;"",Q22&lt;&gt;""),IF(F22="Not applicable","Complete","Status conflict: excluded control shows a status"),"Exclusion justification/approval missing"),IF(AND(D22="Applicable",F22="Not applicable"),"Status conflict: applicable control marked Not applicable",IF(AND(D22="Applicable",E22&lt;&gt;"",F22&lt;&gt;"",G22&lt;&gt;"",H22&lt;&gt;"",I22&lt;&gt;""),"Complete","Incomplete")))</f>
        <v/>
      </c>
      <c r="O22" s="81" t="n"/>
      <c r="P22" s="81" t="n"/>
      <c r="Q22" s="81" t="n"/>
    </row>
    <row r="23" ht="57.75" customHeight="1" s="47">
      <c r="A23" s="76" t="inlineStr">
        <is>
          <t>A.6.2.2</t>
        </is>
      </c>
      <c r="B23" s="77" t="inlineStr">
        <is>
          <t>A.6 AI system life cycle</t>
        </is>
      </c>
      <c r="C23" s="78" t="inlineStr">
        <is>
          <t>AI system requirements and specification</t>
        </is>
      </c>
      <c r="D23" s="79" t="inlineStr">
        <is>
          <t>Applicable</t>
        </is>
      </c>
      <c r="E23" s="78" t="inlineStr">
        <is>
          <t>Functional, non-functional, legal, risk and responsible-AI requirements must be defined before procurement or build.</t>
        </is>
      </c>
      <c r="F23" s="78" t="inlineStr">
        <is>
          <t>Designed - partial</t>
        </is>
      </c>
      <c r="G23" s="78" t="inlineStr">
        <is>
          <t>Product Owner / Service Owner</t>
        </is>
      </c>
      <c r="H23" s="78" t="inlineStr">
        <is>
          <t>AIG-INV-03; AIG-ASS-02; AIG-ASS-09; AIG-DEC-03; AIG-OPS-01.</t>
        </is>
      </c>
      <c r="I23" s="78" t="inlineStr">
        <is>
          <t>Introduce controlled requirements and traceability records covering intended use, constraints, safeguards, performance and approval criteria.</t>
        </is>
      </c>
      <c r="J23" s="80" t="n"/>
      <c r="K23" s="81" t="n"/>
      <c r="L23" s="81" t="n"/>
      <c r="M23" s="80" t="inlineStr">
        <is>
          <t>Not assessed</t>
        </is>
      </c>
      <c r="N23" s="82">
        <f>IF(D23="Not applicable",IF(AND(E23&lt;&gt;"",O23&lt;&gt;"",P23&lt;&gt;"",Q23&lt;&gt;""),IF(F23="Not applicable","Complete","Status conflict: excluded control shows a status"),"Exclusion justification/approval missing"),IF(AND(D23="Applicable",F23="Not applicable"),"Status conflict: applicable control marked Not applicable",IF(AND(D23="Applicable",E23&lt;&gt;"",F23&lt;&gt;"",G23&lt;&gt;"",H23&lt;&gt;"",I23&lt;&gt;""),"Complete","Incomplete")))</f>
        <v/>
      </c>
      <c r="O23" s="81" t="n"/>
      <c r="P23" s="81" t="n"/>
      <c r="Q23" s="81" t="n"/>
    </row>
    <row r="24" ht="57.75" customHeight="1" s="47">
      <c r="A24" s="76" t="inlineStr">
        <is>
          <t>A.6.2.3</t>
        </is>
      </c>
      <c r="B24" s="77" t="inlineStr">
        <is>
          <t>A.6 AI system life cycle</t>
        </is>
      </c>
      <c r="C24" s="78" t="inlineStr">
        <is>
          <t>Documentation of AI system design and development</t>
        </is>
      </c>
      <c r="D24" s="79" t="inlineStr">
        <is>
          <t>Applicable</t>
        </is>
      </c>
      <c r="E24" s="78" t="inlineStr">
        <is>
          <t>Design choices, assumptions, components and changes must be explainable and traceable for assurance and incident investigation.</t>
        </is>
      </c>
      <c r="F24" s="78" t="inlineStr">
        <is>
          <t>Designed - partial</t>
        </is>
      </c>
      <c r="G24" s="78" t="inlineStr">
        <is>
          <t>AI Technical Lead / Product Owner</t>
        </is>
      </c>
      <c r="H24" s="78" t="inlineStr">
        <is>
          <t>AIG-ASS-02; AIG-ASS-09; AIG-DEC-03; AIG-ASS-11.</t>
        </is>
      </c>
      <c r="I24" s="78" t="inlineStr">
        <is>
          <t>Retain design records, architecture, data assumptions, component versions, interfaces, decisions, tests and controlled changes for real systems.</t>
        </is>
      </c>
      <c r="J24" s="80" t="n"/>
      <c r="K24" s="81" t="n"/>
      <c r="L24" s="81" t="n"/>
      <c r="M24" s="80" t="inlineStr">
        <is>
          <t>Not assessed</t>
        </is>
      </c>
      <c r="N24" s="82">
        <f>IF(D24="Not applicable",IF(AND(E24&lt;&gt;"",O24&lt;&gt;"",P24&lt;&gt;"",Q24&lt;&gt;""),IF(F24="Not applicable","Complete","Status conflict: excluded control shows a status"),"Exclusion justification/approval missing"),IF(AND(D24="Applicable",F24="Not applicable"),"Status conflict: applicable control marked Not applicable",IF(AND(D24="Applicable",E24&lt;&gt;"",F24&lt;&gt;"",G24&lt;&gt;"",H24&lt;&gt;"",I24&lt;&gt;""),"Complete","Incomplete")))</f>
        <v/>
      </c>
      <c r="O24" s="81" t="n"/>
      <c r="P24" s="81" t="n"/>
      <c r="Q24" s="81" t="n"/>
    </row>
    <row r="25" ht="57.75" customHeight="1" s="47">
      <c r="A25" s="76" t="inlineStr">
        <is>
          <t>A.6.2.4</t>
        </is>
      </c>
      <c r="B25" s="77" t="inlineStr">
        <is>
          <t>A.6 AI system life cycle</t>
        </is>
      </c>
      <c r="C25" s="78" t="inlineStr">
        <is>
          <t>AI system verification and validation</t>
        </is>
      </c>
      <c r="D25" s="79" t="inlineStr">
        <is>
          <t>Applicable</t>
        </is>
      </c>
      <c r="E25" s="78" t="inlineStr">
        <is>
          <t>AI systems require evidence that requirements are met and that performance is acceptable in the intended Council context.</t>
        </is>
      </c>
      <c r="F25" s="78" t="inlineStr">
        <is>
          <t>Designed - partial</t>
        </is>
      </c>
      <c r="G25" s="78" t="inlineStr">
        <is>
          <t>AI Technical Lead / Service Owner / Independent Reviewer</t>
        </is>
      </c>
      <c r="H25" s="78" t="inlineStr">
        <is>
          <t>AIG-ASS-02; AIG-ASS-03; AIG-ASS-09; AIG-ASS-11; AIG-OPS-01.</t>
        </is>
      </c>
      <c r="I25" s="78" t="inlineStr">
        <is>
          <t>Define test methods, independence, datasets, thresholds, fairness and robustness criteria, acceptance, defects and retest evidence.</t>
        </is>
      </c>
      <c r="J25" s="80" t="n"/>
      <c r="K25" s="81" t="n"/>
      <c r="L25" s="81" t="n"/>
      <c r="M25" s="80" t="inlineStr">
        <is>
          <t>Not assessed</t>
        </is>
      </c>
      <c r="N25" s="82">
        <f>IF(D25="Not applicable",IF(AND(E25&lt;&gt;"",O25&lt;&gt;"",P25&lt;&gt;"",Q25&lt;&gt;""),IF(F25="Not applicable","Complete","Status conflict: excluded control shows a status"),"Exclusion justification/approval missing"),IF(AND(D25="Applicable",F25="Not applicable"),"Status conflict: applicable control marked Not applicable",IF(AND(D25="Applicable",E25&lt;&gt;"",F25&lt;&gt;"",G25&lt;&gt;"",H25&lt;&gt;"",I25&lt;&gt;""),"Complete","Incomplete")))</f>
        <v/>
      </c>
      <c r="O25" s="81" t="n"/>
      <c r="P25" s="81" t="n"/>
      <c r="Q25" s="81" t="n"/>
    </row>
    <row r="26" ht="57.75" customHeight="1" s="47">
      <c r="A26" s="76" t="inlineStr">
        <is>
          <t>A.6.2.5</t>
        </is>
      </c>
      <c r="B26" s="77" t="inlineStr">
        <is>
          <t>A.6 AI system life cycle</t>
        </is>
      </c>
      <c r="C26" s="78" t="inlineStr">
        <is>
          <t>AI system deployment</t>
        </is>
      </c>
      <c r="D26" s="79" t="inlineStr">
        <is>
          <t>Applicable</t>
        </is>
      </c>
      <c r="E26" s="78" t="inlineStr">
        <is>
          <t>Approved AI must move into service through controlled readiness, sign-off, monitoring and rollback arrangements.</t>
        </is>
      </c>
      <c r="F26" s="78" t="inlineStr">
        <is>
          <t>Designed - draft</t>
        </is>
      </c>
      <c r="G26" s="78" t="inlineStr">
        <is>
          <t>Service Owner / AI Governance Lead / Technology Owner</t>
        </is>
      </c>
      <c r="H26" s="78" t="inlineStr">
        <is>
          <t>AIG-INV-04; AIG-DEC-03; AIG-GOV-06; AIG-OPS-01.</t>
        </is>
      </c>
      <c r="I26" s="78" t="inlineStr">
        <is>
          <t>Complete AIG-OPS-01 for real deployments and retain go/no-go, segregation, release, rollback, condition-closure and active-status evidence.</t>
        </is>
      </c>
      <c r="J26" s="80" t="n"/>
      <c r="K26" s="81" t="n"/>
      <c r="L26" s="81" t="n"/>
      <c r="M26" s="80" t="inlineStr">
        <is>
          <t>Not assessed</t>
        </is>
      </c>
      <c r="N26" s="82">
        <f>IF(D26="Not applicable",IF(AND(E26&lt;&gt;"",O26&lt;&gt;"",P26&lt;&gt;"",Q26&lt;&gt;""),IF(F26="Not applicable","Complete","Status conflict: excluded control shows a status"),"Exclusion justification/approval missing"),IF(AND(D26="Applicable",F26="Not applicable"),"Status conflict: applicable control marked Not applicable",IF(AND(D26="Applicable",E26&lt;&gt;"",F26&lt;&gt;"",G26&lt;&gt;"",H26&lt;&gt;"",I26&lt;&gt;""),"Complete","Incomplete")))</f>
        <v/>
      </c>
      <c r="O26" s="81" t="n"/>
      <c r="P26" s="81" t="n"/>
      <c r="Q26" s="81" t="n"/>
    </row>
    <row r="27" ht="57.75" customHeight="1" s="47">
      <c r="A27" s="76" t="inlineStr">
        <is>
          <t>A.6.2.6</t>
        </is>
      </c>
      <c r="B27" s="77" t="inlineStr">
        <is>
          <t>A.6 AI system life cycle</t>
        </is>
      </c>
      <c r="C27" s="78" t="inlineStr">
        <is>
          <t>AI system operation and monitoring</t>
        </is>
      </c>
      <c r="D27" s="79" t="inlineStr">
        <is>
          <t>Applicable</t>
        </is>
      </c>
      <c r="E27" s="78" t="inlineStr">
        <is>
          <t>Operational AI must remain within intended use and approved performance, risk and oversight conditions.</t>
        </is>
      </c>
      <c r="F27" s="78" t="inlineStr">
        <is>
          <t>Designed - draft</t>
        </is>
      </c>
      <c r="G27" s="78" t="inlineStr">
        <is>
          <t>Service Owner / System Owner</t>
        </is>
      </c>
      <c r="H27" s="78" t="inlineStr">
        <is>
          <t>AIG-GOV-02 Chapter 6; AIG-INV-04; AIG-OPS-05; AIG-OPS-06; AIG-OPS-01.</t>
        </is>
      </c>
      <c r="I27" s="78" t="inlineStr">
        <is>
          <t>Operate monitoring plans with thresholds, owners, drift/change triggers, user support, action records and periodic effectiveness results.</t>
        </is>
      </c>
      <c r="J27" s="80" t="n"/>
      <c r="K27" s="81" t="n"/>
      <c r="L27" s="81" t="n"/>
      <c r="M27" s="80" t="inlineStr">
        <is>
          <t>Not assessed</t>
        </is>
      </c>
      <c r="N27" s="82">
        <f>IF(D27="Not applicable",IF(AND(E27&lt;&gt;"",O27&lt;&gt;"",P27&lt;&gt;"",Q27&lt;&gt;""),IF(F27="Not applicable","Complete","Status conflict: excluded control shows a status"),"Exclusion justification/approval missing"),IF(AND(D27="Applicable",F27="Not applicable"),"Status conflict: applicable control marked Not applicable",IF(AND(D27="Applicable",E27&lt;&gt;"",F27&lt;&gt;"",G27&lt;&gt;"",H27&lt;&gt;"",I27&lt;&gt;""),"Complete","Incomplete")))</f>
        <v/>
      </c>
      <c r="O27" s="81" t="n"/>
      <c r="P27" s="81" t="n"/>
      <c r="Q27" s="81" t="n"/>
    </row>
    <row r="28" ht="57.75" customHeight="1" s="47">
      <c r="A28" s="76" t="inlineStr">
        <is>
          <t>A.6.2.7</t>
        </is>
      </c>
      <c r="B28" s="77" t="inlineStr">
        <is>
          <t>A.6 AI system life cycle</t>
        </is>
      </c>
      <c r="C28" s="78" t="inlineStr">
        <is>
          <t>AI system technical documentation</t>
        </is>
      </c>
      <c r="D28" s="79" t="inlineStr">
        <is>
          <t>Applicable</t>
        </is>
      </c>
      <c r="E28" s="78" t="inlineStr">
        <is>
          <t>Users, operators, assurance functions and suppliers require maintained technical information appropriate to their roles.</t>
        </is>
      </c>
      <c r="F28" s="78" t="inlineStr">
        <is>
          <t>Designed - partial</t>
        </is>
      </c>
      <c r="G28" s="78" t="inlineStr">
        <is>
          <t>AI Technical Lead / Service Owner</t>
        </is>
      </c>
      <c r="H28" s="78" t="inlineStr">
        <is>
          <t>AIG-ASS-08; AIG-ASS-09; AIG-ASS-11; AIG-OPS-01.</t>
        </is>
      </c>
      <c r="I28" s="78" t="inlineStr">
        <is>
          <t>Define the technical-documentation minimum, audience, ownership, versioning, access and update triggers; populate for live systems.</t>
        </is>
      </c>
      <c r="J28" s="80" t="n"/>
      <c r="K28" s="81" t="n"/>
      <c r="L28" s="81" t="n"/>
      <c r="M28" s="80" t="inlineStr">
        <is>
          <t>Not assessed</t>
        </is>
      </c>
      <c r="N28" s="82">
        <f>IF(D28="Not applicable",IF(AND(E28&lt;&gt;"",O28&lt;&gt;"",P28&lt;&gt;"",Q28&lt;&gt;""),IF(F28="Not applicable","Complete","Status conflict: excluded control shows a status"),"Exclusion justification/approval missing"),IF(AND(D28="Applicable",F28="Not applicable"),"Status conflict: applicable control marked Not applicable",IF(AND(D28="Applicable",E28&lt;&gt;"",F28&lt;&gt;"",G28&lt;&gt;"",H28&lt;&gt;"",I28&lt;&gt;""),"Complete","Incomplete")))</f>
        <v/>
      </c>
      <c r="O28" s="81" t="n"/>
      <c r="P28" s="81" t="n"/>
      <c r="Q28" s="81" t="n"/>
    </row>
    <row r="29" ht="57.75" customHeight="1" s="47">
      <c r="A29" s="76" t="inlineStr">
        <is>
          <t>A.6.2.8</t>
        </is>
      </c>
      <c r="B29" s="77" t="inlineStr">
        <is>
          <t>A.6 AI system life cycle</t>
        </is>
      </c>
      <c r="C29" s="78" t="inlineStr">
        <is>
          <t>AI system recording of event logs</t>
        </is>
      </c>
      <c r="D29" s="79" t="inlineStr">
        <is>
          <t>Applicable</t>
        </is>
      </c>
      <c r="E29" s="78" t="inlineStr">
        <is>
          <t>Event records support monitoring, traceability, security, investigation, complaints and evidence of human oversight.</t>
        </is>
      </c>
      <c r="F29" s="78" t="inlineStr">
        <is>
          <t>Designed - partial</t>
        </is>
      </c>
      <c r="G29" s="78" t="inlineStr">
        <is>
          <t>System Owner / Security Lead / Service Owner</t>
        </is>
      </c>
      <c r="H29" s="78" t="inlineStr">
        <is>
          <t>AIG-ASS-09; AIG-OPS-03; AIG-ASS-11; AIG-OPS-01.</t>
        </is>
      </c>
      <c r="I29" s="78" t="inlineStr">
        <is>
          <t>Define events, log content, access, retention, integrity, review and privacy requirements and demonstrate working logs for relevant systems.</t>
        </is>
      </c>
      <c r="J29" s="80" t="n"/>
      <c r="K29" s="81" t="n"/>
      <c r="L29" s="81" t="n"/>
      <c r="M29" s="80" t="inlineStr">
        <is>
          <t>Not assessed</t>
        </is>
      </c>
      <c r="N29" s="82">
        <f>IF(D29="Not applicable",IF(AND(E29&lt;&gt;"",O29&lt;&gt;"",P29&lt;&gt;"",Q29&lt;&gt;""),IF(F29="Not applicable","Complete","Status conflict: excluded control shows a status"),"Exclusion justification/approval missing"),IF(AND(D29="Applicable",F29="Not applicable"),"Status conflict: applicable control marked Not applicable",IF(AND(D29="Applicable",E29&lt;&gt;"",F29&lt;&gt;"",G29&lt;&gt;"",H29&lt;&gt;"",I29&lt;&gt;""),"Complete","Incomplete")))</f>
        <v/>
      </c>
      <c r="O29" s="81" t="n"/>
      <c r="P29" s="81" t="n"/>
      <c r="Q29" s="81" t="n"/>
    </row>
    <row r="30" ht="57.75" customHeight="1" s="47">
      <c r="A30" s="76" t="inlineStr">
        <is>
          <t>A.7.2</t>
        </is>
      </c>
      <c r="B30" s="77" t="inlineStr">
        <is>
          <t>A.7 Data for AI systems</t>
        </is>
      </c>
      <c r="C30" s="78" t="inlineStr">
        <is>
          <t>Data for development and enhancement of AI system</t>
        </is>
      </c>
      <c r="D30" s="79" t="inlineStr">
        <is>
          <t>Applicable</t>
        </is>
      </c>
      <c r="E30" s="78" t="inlineStr">
        <is>
          <t>AI development, configuration and continuous improvement may depend on data whose fitness and governance affect outcomes.</t>
        </is>
      </c>
      <c r="F30" s="78" t="inlineStr">
        <is>
          <t>Designed - partial</t>
        </is>
      </c>
      <c r="G30" s="78" t="inlineStr">
        <is>
          <t>Data Owner / AI Technical Lead</t>
        </is>
      </c>
      <c r="H30" s="78" t="inlineStr">
        <is>
          <t>AIG-GOV-02 §§5.6 and Appendix A; AIG-ASS-02; AIG-ASS-05; AIG-ASS-09.</t>
        </is>
      </c>
      <c r="I30" s="78" t="inlineStr">
        <is>
          <t>Adopt system-level data-management plans covering selection, use, protection, representativeness, change and enhancement data.</t>
        </is>
      </c>
      <c r="J30" s="80" t="n"/>
      <c r="K30" s="81" t="n"/>
      <c r="L30" s="81" t="n"/>
      <c r="M30" s="80" t="inlineStr">
        <is>
          <t>Not assessed</t>
        </is>
      </c>
      <c r="N30" s="82">
        <f>IF(D30="Not applicable",IF(AND(E30&lt;&gt;"",O30&lt;&gt;"",P30&lt;&gt;"",Q30&lt;&gt;""),IF(F30="Not applicable","Complete","Status conflict: excluded control shows a status"),"Exclusion justification/approval missing"),IF(AND(D30="Applicable",F30="Not applicable"),"Status conflict: applicable control marked Not applicable",IF(AND(D30="Applicable",E30&lt;&gt;"",F30&lt;&gt;"",G30&lt;&gt;"",H30&lt;&gt;"",I30&lt;&gt;""),"Complete","Incomplete")))</f>
        <v/>
      </c>
      <c r="O30" s="81" t="n"/>
      <c r="P30" s="81" t="n"/>
      <c r="Q30" s="81" t="n"/>
    </row>
    <row r="31" ht="57.75" customHeight="1" s="47">
      <c r="A31" s="76" t="inlineStr">
        <is>
          <t>A.7.3</t>
        </is>
      </c>
      <c r="B31" s="77" t="inlineStr">
        <is>
          <t>A.7 Data for AI systems</t>
        </is>
      </c>
      <c r="C31" s="78" t="inlineStr">
        <is>
          <t>Acquisition of data</t>
        </is>
      </c>
      <c r="D31" s="79" t="inlineStr">
        <is>
          <t>Applicable</t>
        </is>
      </c>
      <c r="E31" s="78" t="inlineStr">
        <is>
          <t>Council and supplier data acquisition creates rights, provenance, quality, bias, security and contractual considerations.</t>
        </is>
      </c>
      <c r="F31" s="78" t="inlineStr">
        <is>
          <t>Designed - partial</t>
        </is>
      </c>
      <c r="G31" s="78" t="inlineStr">
        <is>
          <t>Data Owner / Procurement / Service Owner</t>
        </is>
      </c>
      <c r="H31" s="78" t="inlineStr">
        <is>
          <t>AIG-INV-03; AIG-ASS-05; AIG-ASS-08; AIG-ASS-09.</t>
        </is>
      </c>
      <c r="I31" s="78" t="inlineStr">
        <is>
          <t>Document acquisition source, authority, terms, purpose, selection, metadata, known limitations and supplier evidence for each dataset.</t>
        </is>
      </c>
      <c r="J31" s="80" t="n"/>
      <c r="K31" s="81" t="n"/>
      <c r="L31" s="81" t="n"/>
      <c r="M31" s="80" t="inlineStr">
        <is>
          <t>Not assessed</t>
        </is>
      </c>
      <c r="N31" s="82">
        <f>IF(D31="Not applicable",IF(AND(E31&lt;&gt;"",O31&lt;&gt;"",P31&lt;&gt;"",Q31&lt;&gt;""),IF(F31="Not applicable","Complete","Status conflict: excluded control shows a status"),"Exclusion justification/approval missing"),IF(AND(D31="Applicable",F31="Not applicable"),"Status conflict: applicable control marked Not applicable",IF(AND(D31="Applicable",E31&lt;&gt;"",F31&lt;&gt;"",G31&lt;&gt;"",H31&lt;&gt;"",I31&lt;&gt;""),"Complete","Incomplete")))</f>
        <v/>
      </c>
      <c r="O31" s="81" t="n"/>
      <c r="P31" s="81" t="n"/>
      <c r="Q31" s="81" t="n"/>
    </row>
    <row r="32" ht="57.75" customHeight="1" s="47">
      <c r="A32" s="76" t="inlineStr">
        <is>
          <t>A.7.4</t>
        </is>
      </c>
      <c r="B32" s="77" t="inlineStr">
        <is>
          <t>A.7 Data for AI systems</t>
        </is>
      </c>
      <c r="C32" s="78" t="inlineStr">
        <is>
          <t>Quality of data for AI systems</t>
        </is>
      </c>
      <c r="D32" s="79" t="inlineStr">
        <is>
          <t>Applicable</t>
        </is>
      </c>
      <c r="E32" s="78" t="inlineStr">
        <is>
          <t>Poor, incomplete, outdated or unrepresentative data could lead to unfair or unreliable Council service outcomes.</t>
        </is>
      </c>
      <c r="F32" s="78" t="inlineStr">
        <is>
          <t>Designed - partial</t>
        </is>
      </c>
      <c r="G32" s="78" t="inlineStr">
        <is>
          <t>Data Owner / Service Owner</t>
        </is>
      </c>
      <c r="H32" s="78" t="inlineStr">
        <is>
          <t>AIG-ASS-02; AIG-ASS-04; AIG-ASS-05; AIG-ASS-09; AIG-ASS-11.</t>
        </is>
      </c>
      <c r="I32" s="78" t="inlineStr">
        <is>
          <t>Set measurable quality and representativeness criteria, test them, record exceptions and monitor production-data change and impact.</t>
        </is>
      </c>
      <c r="J32" s="80" t="n"/>
      <c r="K32" s="81" t="n"/>
      <c r="L32" s="81" t="n"/>
      <c r="M32" s="80" t="inlineStr">
        <is>
          <t>Not assessed</t>
        </is>
      </c>
      <c r="N32" s="82">
        <f>IF(D32="Not applicable",IF(AND(E32&lt;&gt;"",O32&lt;&gt;"",P32&lt;&gt;"",Q32&lt;&gt;""),IF(F32="Not applicable","Complete","Status conflict: excluded control shows a status"),"Exclusion justification/approval missing"),IF(AND(D32="Applicable",F32="Not applicable"),"Status conflict: applicable control marked Not applicable",IF(AND(D32="Applicable",E32&lt;&gt;"",F32&lt;&gt;"",G32&lt;&gt;"",H32&lt;&gt;"",I32&lt;&gt;""),"Complete","Incomplete")))</f>
        <v/>
      </c>
      <c r="O32" s="81" t="n"/>
      <c r="P32" s="81" t="n"/>
      <c r="Q32" s="81" t="n"/>
    </row>
    <row r="33" ht="57.75" customHeight="1" s="47">
      <c r="A33" s="76" t="inlineStr">
        <is>
          <t>A.7.5</t>
        </is>
      </c>
      <c r="B33" s="77" t="inlineStr">
        <is>
          <t>A.7 Data for AI systems</t>
        </is>
      </c>
      <c r="C33" s="78" t="inlineStr">
        <is>
          <t>Data provenance</t>
        </is>
      </c>
      <c r="D33" s="79" t="inlineStr">
        <is>
          <t>Applicable</t>
        </is>
      </c>
      <c r="E33" s="78" t="inlineStr">
        <is>
          <t>Traceable data origin and transformations are necessary for legal assurance, reproducibility, bias review and incident response.</t>
        </is>
      </c>
      <c r="F33" s="78" t="inlineStr">
        <is>
          <t>Designed - partial</t>
        </is>
      </c>
      <c r="G33" s="78" t="inlineStr">
        <is>
          <t>Data Owner / AI Technical Lead</t>
        </is>
      </c>
      <c r="H33" s="78" t="inlineStr">
        <is>
          <t>AIG-ASS-05; AIG-ASS-08; AIG-ASS-09.</t>
        </is>
      </c>
      <c r="I33" s="78" t="inlineStr">
        <is>
          <t>Maintain lineage from acquisition through preparation, transfer, version, use and retirement with evidence references and owners.</t>
        </is>
      </c>
      <c r="J33" s="80" t="n"/>
      <c r="K33" s="81" t="n"/>
      <c r="L33" s="81" t="n"/>
      <c r="M33" s="80" t="inlineStr">
        <is>
          <t>Not assessed</t>
        </is>
      </c>
      <c r="N33" s="82">
        <f>IF(D33="Not applicable",IF(AND(E33&lt;&gt;"",O33&lt;&gt;"",P33&lt;&gt;"",Q33&lt;&gt;""),IF(F33="Not applicable","Complete","Status conflict: excluded control shows a status"),"Exclusion justification/approval missing"),IF(AND(D33="Applicable",F33="Not applicable"),"Status conflict: applicable control marked Not applicable",IF(AND(D33="Applicable",E33&lt;&gt;"",F33&lt;&gt;"",G33&lt;&gt;"",H33&lt;&gt;"",I33&lt;&gt;""),"Complete","Incomplete")))</f>
        <v/>
      </c>
      <c r="O33" s="81" t="n"/>
      <c r="P33" s="81" t="n"/>
      <c r="Q33" s="81" t="n"/>
    </row>
    <row r="34" ht="57.75" customHeight="1" s="47">
      <c r="A34" s="76" t="inlineStr">
        <is>
          <t>A.7.6</t>
        </is>
      </c>
      <c r="B34" s="77" t="inlineStr">
        <is>
          <t>A.7 Data for AI systems</t>
        </is>
      </c>
      <c r="C34" s="78" t="inlineStr">
        <is>
          <t>Data preparation</t>
        </is>
      </c>
      <c r="D34" s="79" t="inlineStr">
        <is>
          <t>Applicable</t>
        </is>
      </c>
      <c r="E34" s="78" t="inlineStr">
        <is>
          <t>Cleaning, labelling, transformation, augmentation and feature preparation can materially affect AI performance and fairness.</t>
        </is>
      </c>
      <c r="F34" s="78" t="inlineStr">
        <is>
          <t>Designed - partial</t>
        </is>
      </c>
      <c r="G34" s="78" t="inlineStr">
        <is>
          <t>Data Owner / AI Technical Lead</t>
        </is>
      </c>
      <c r="H34" s="78" t="inlineStr">
        <is>
          <t>AIG-ASS-02; AIG-ASS-09; AIG-ASS-11.</t>
        </is>
      </c>
      <c r="I34" s="78" t="inlineStr">
        <is>
          <t>Define permitted preparation methods, validation and approval; retain code, versions, rationale, quality checks and reproducibility evidence.</t>
        </is>
      </c>
      <c r="J34" s="80" t="n"/>
      <c r="K34" s="81" t="n"/>
      <c r="L34" s="81" t="n"/>
      <c r="M34" s="80" t="inlineStr">
        <is>
          <t>Not assessed</t>
        </is>
      </c>
      <c r="N34" s="82">
        <f>IF(D34="Not applicable",IF(AND(E34&lt;&gt;"",O34&lt;&gt;"",P34&lt;&gt;"",Q34&lt;&gt;""),IF(F34="Not applicable","Complete","Status conflict: excluded control shows a status"),"Exclusion justification/approval missing"),IF(AND(D34="Applicable",F34="Not applicable"),"Status conflict: applicable control marked Not applicable",IF(AND(D34="Applicable",E34&lt;&gt;"",F34&lt;&gt;"",G34&lt;&gt;"",H34&lt;&gt;"",I34&lt;&gt;""),"Complete","Incomplete")))</f>
        <v/>
      </c>
      <c r="O34" s="81" t="n"/>
      <c r="P34" s="81" t="n"/>
      <c r="Q34" s="81" t="n"/>
    </row>
    <row r="35" ht="57.75" customHeight="1" s="47">
      <c r="A35" s="76" t="inlineStr">
        <is>
          <t>A.8.2</t>
        </is>
      </c>
      <c r="B35" s="77" t="inlineStr">
        <is>
          <t>A.8 Information for interested parties</t>
        </is>
      </c>
      <c r="C35" s="78" t="inlineStr">
        <is>
          <t>System documentation and information for users</t>
        </is>
      </c>
      <c r="D35" s="79" t="inlineStr">
        <is>
          <t>Applicable</t>
        </is>
      </c>
      <c r="E35" s="78" t="inlineStr">
        <is>
          <t>Council staff and residents require accessible information to use or interact with AI safely and understand its limits.</t>
        </is>
      </c>
      <c r="F35" s="78" t="inlineStr">
        <is>
          <t>Designed - draft</t>
        </is>
      </c>
      <c r="G35" s="78" t="inlineStr">
        <is>
          <t>Service Owner / Product Owner / Communications</t>
        </is>
      </c>
      <c r="H35" s="78" t="inlineStr">
        <is>
          <t>AIG-INV-01; AIG-ASS-09; AIG-ASS-10; AIG-OPS-01.</t>
        </is>
      </c>
      <c r="I35" s="78" t="inlineStr">
        <is>
          <t>Produce, user-test, publish and maintain audience-appropriate instructions, limitations, oversight, accessibility and support information.</t>
        </is>
      </c>
      <c r="J35" s="80" t="n"/>
      <c r="K35" s="81" t="n"/>
      <c r="L35" s="81" t="n"/>
      <c r="M35" s="80" t="inlineStr">
        <is>
          <t>Not assessed</t>
        </is>
      </c>
      <c r="N35" s="82">
        <f>IF(D35="Not applicable",IF(AND(E35&lt;&gt;"",O35&lt;&gt;"",P35&lt;&gt;"",Q35&lt;&gt;""),IF(F35="Not applicable","Complete","Status conflict: excluded control shows a status"),"Exclusion justification/approval missing"),IF(AND(D35="Applicable",F35="Not applicable"),"Status conflict: applicable control marked Not applicable",IF(AND(D35="Applicable",E35&lt;&gt;"",F35&lt;&gt;"",G35&lt;&gt;"",H35&lt;&gt;"",I35&lt;&gt;""),"Complete","Incomplete")))</f>
        <v/>
      </c>
      <c r="O35" s="81" t="n"/>
      <c r="P35" s="81" t="n"/>
      <c r="Q35" s="81" t="n"/>
    </row>
    <row r="36" ht="57.75" customHeight="1" s="47">
      <c r="A36" s="76" t="inlineStr">
        <is>
          <t>A.8.3</t>
        </is>
      </c>
      <c r="B36" s="77" t="inlineStr">
        <is>
          <t>A.8 Information for interested parties</t>
        </is>
      </c>
      <c r="C36" s="78" t="inlineStr">
        <is>
          <t>External reporting</t>
        </is>
      </c>
      <c r="D36" s="79" t="inlineStr">
        <is>
          <t>Applicable</t>
        </is>
      </c>
      <c r="E36" s="78" t="inlineStr">
        <is>
          <t>Affected people and external stakeholders need routes to report concerns, adverse effects, complaints and unintended outcomes.</t>
        </is>
      </c>
      <c r="F36" s="78" t="inlineStr">
        <is>
          <t>Designed - partial</t>
        </is>
      </c>
      <c r="G36" s="78" t="inlineStr">
        <is>
          <t>Service Owner / Complaints Owner / AI Governance Lead</t>
        </is>
      </c>
      <c r="H36" s="78" t="inlineStr">
        <is>
          <t>AIG-ASS-10; AIG-OPS-05; AIG-OPS-03; AIG-AIMS-01 §7.</t>
        </is>
      </c>
      <c r="I36" s="78" t="inlineStr">
        <is>
          <t>Define public reporting routes, accessibility, triage, investigation, acknowledgement, response targets, learning and record linkage.</t>
        </is>
      </c>
      <c r="J36" s="80" t="n"/>
      <c r="K36" s="81" t="n"/>
      <c r="L36" s="81" t="n"/>
      <c r="M36" s="80" t="inlineStr">
        <is>
          <t>Not assessed</t>
        </is>
      </c>
      <c r="N36" s="82">
        <f>IF(D36="Not applicable",IF(AND(E36&lt;&gt;"",O36&lt;&gt;"",P36&lt;&gt;"",Q36&lt;&gt;""),IF(F36="Not applicable","Complete","Status conflict: excluded control shows a status"),"Exclusion justification/approval missing"),IF(AND(D36="Applicable",F36="Not applicable"),"Status conflict: applicable control marked Not applicable",IF(AND(D36="Applicable",E36&lt;&gt;"",F36&lt;&gt;"",G36&lt;&gt;"",H36&lt;&gt;"",I36&lt;&gt;""),"Complete","Incomplete")))</f>
        <v/>
      </c>
      <c r="O36" s="81" t="n"/>
      <c r="P36" s="81" t="n"/>
      <c r="Q36" s="81" t="n"/>
    </row>
    <row r="37" ht="57.75" customHeight="1" s="47">
      <c r="A37" s="76" t="inlineStr">
        <is>
          <t>A.8.4</t>
        </is>
      </c>
      <c r="B37" s="77" t="inlineStr">
        <is>
          <t>A.8 Information for interested parties</t>
        </is>
      </c>
      <c r="C37" s="78" t="inlineStr">
        <is>
          <t>Communication of incidents</t>
        </is>
      </c>
      <c r="D37" s="79" t="inlineStr">
        <is>
          <t>Applicable</t>
        </is>
      </c>
      <c r="E37" s="78" t="inlineStr">
        <is>
          <t>AI incidents may require timely, accurate communication to residents, users, partners, leadership or competent authorities.</t>
        </is>
      </c>
      <c r="F37" s="78" t="inlineStr">
        <is>
          <t>Designed - partial</t>
        </is>
      </c>
      <c r="G37" s="78" t="inlineStr">
        <is>
          <t>Incident Lead / Service Owner / Communications</t>
        </is>
      </c>
      <c r="H37" s="78" t="inlineStr">
        <is>
          <t>AIG-GOV-02 §6.8; AIG-OPS-03; AIG-GOV-06 §7; AIG-OPS-01.</t>
        </is>
      </c>
      <c r="I37" s="78" t="inlineStr">
        <is>
          <t>Approve an incident-communication plan covering decisions, audiences, channels, timeframes, accessibility, legal review and evidence.</t>
        </is>
      </c>
      <c r="J37" s="80" t="n"/>
      <c r="K37" s="81" t="n"/>
      <c r="L37" s="81" t="n"/>
      <c r="M37" s="80" t="inlineStr">
        <is>
          <t>Not assessed</t>
        </is>
      </c>
      <c r="N37" s="82">
        <f>IF(D37="Not applicable",IF(AND(E37&lt;&gt;"",O37&lt;&gt;"",P37&lt;&gt;"",Q37&lt;&gt;""),IF(F37="Not applicable","Complete","Status conflict: excluded control shows a status"),"Exclusion justification/approval missing"),IF(AND(D37="Applicable",F37="Not applicable"),"Status conflict: applicable control marked Not applicable",IF(AND(D37="Applicable",E37&lt;&gt;"",F37&lt;&gt;"",G37&lt;&gt;"",H37&lt;&gt;"",I37&lt;&gt;""),"Complete","Incomplete")))</f>
        <v/>
      </c>
      <c r="O37" s="81" t="n"/>
      <c r="P37" s="81" t="n"/>
      <c r="Q37" s="81" t="n"/>
    </row>
    <row r="38" ht="57.75" customHeight="1" s="47">
      <c r="A38" s="76" t="inlineStr">
        <is>
          <t>A.8.5</t>
        </is>
      </c>
      <c r="B38" s="77" t="inlineStr">
        <is>
          <t>A.8 Information for interested parties</t>
        </is>
      </c>
      <c r="C38" s="78" t="inlineStr">
        <is>
          <t>Information for interested parties</t>
        </is>
      </c>
      <c r="D38" s="79" t="inlineStr">
        <is>
          <t>Applicable</t>
        </is>
      </c>
      <c r="E38" s="78" t="inlineStr">
        <is>
          <t>The Council has transparency, contractual, governance and public-accountability obligations for in-scope AI systems.</t>
        </is>
      </c>
      <c r="F38" s="78" t="inlineStr">
        <is>
          <t>Designed - partial</t>
        </is>
      </c>
      <c r="G38" s="78" t="inlineStr">
        <is>
          <t>AI Governance Lead / Service Owner / Communications</t>
        </is>
      </c>
      <c r="H38" s="78" t="inlineStr">
        <is>
          <t>AIG-ASS-10; AIG-OPS-05; AIG-AIMS-01 §§7-8.</t>
        </is>
      </c>
      <c r="I38" s="78" t="inlineStr">
        <is>
          <t>Validate reporting obligations by interested party, owner, content, timing, channel, restriction, evidence and review date.</t>
        </is>
      </c>
      <c r="J38" s="80" t="n"/>
      <c r="K38" s="81" t="n"/>
      <c r="L38" s="81" t="n"/>
      <c r="M38" s="80" t="inlineStr">
        <is>
          <t>Not assessed</t>
        </is>
      </c>
      <c r="N38" s="82">
        <f>IF(D38="Not applicable",IF(AND(E38&lt;&gt;"",O38&lt;&gt;"",P38&lt;&gt;"",Q38&lt;&gt;""),IF(F38="Not applicable","Complete","Status conflict: excluded control shows a status"),"Exclusion justification/approval missing"),IF(AND(D38="Applicable",F38="Not applicable"),"Status conflict: applicable control marked Not applicable",IF(AND(D38="Applicable",E38&lt;&gt;"",F38&lt;&gt;"",G38&lt;&gt;"",H38&lt;&gt;"",I38&lt;&gt;""),"Complete","Incomplete")))</f>
        <v/>
      </c>
      <c r="O38" s="81" t="n"/>
      <c r="P38" s="81" t="n"/>
      <c r="Q38" s="81" t="n"/>
    </row>
    <row r="39" ht="57.75" customHeight="1" s="47">
      <c r="A39" s="76" t="inlineStr">
        <is>
          <t>A.9.2</t>
        </is>
      </c>
      <c r="B39" s="77" t="inlineStr">
        <is>
          <t>A.9 Use of AI systems</t>
        </is>
      </c>
      <c r="C39" s="78" t="inlineStr">
        <is>
          <t>Processes for responsible use of AI systems</t>
        </is>
      </c>
      <c r="D39" s="79" t="inlineStr">
        <is>
          <t>Applicable</t>
        </is>
      </c>
      <c r="E39" s="78" t="inlineStr">
        <is>
          <t>Council personnel and suppliers require clear operational processes for safe, lawful and accountable AI use.</t>
        </is>
      </c>
      <c r="F39" s="78" t="inlineStr">
        <is>
          <t>Designed - draft</t>
        </is>
      </c>
      <c r="G39" s="78" t="inlineStr">
        <is>
          <t>Service Owner / AI Governance Lead</t>
        </is>
      </c>
      <c r="H39" s="78" t="inlineStr">
        <is>
          <t>AIG-GOV-02 §§5.3-5.4; AIG-INV-01; AIG-ASS-03; AIG-OPS-01.</t>
        </is>
      </c>
      <c r="I39" s="78" t="inlineStr">
        <is>
          <t>Adopt operational procedures, deliver role-based training and retain supervision, exception, pause and enforcement evidence.</t>
        </is>
      </c>
      <c r="J39" s="80" t="n"/>
      <c r="K39" s="81" t="n"/>
      <c r="L39" s="81" t="n"/>
      <c r="M39" s="80" t="inlineStr">
        <is>
          <t>Not assessed</t>
        </is>
      </c>
      <c r="N39" s="82">
        <f>IF(D39="Not applicable",IF(AND(E39&lt;&gt;"",O39&lt;&gt;"",P39&lt;&gt;"",Q39&lt;&gt;""),IF(F39="Not applicable","Complete","Status conflict: excluded control shows a status"),"Exclusion justification/approval missing"),IF(AND(D39="Applicable",F39="Not applicable"),"Status conflict: applicable control marked Not applicable",IF(AND(D39="Applicable",E39&lt;&gt;"",F39&lt;&gt;"",G39&lt;&gt;"",H39&lt;&gt;"",I39&lt;&gt;""),"Complete","Incomplete")))</f>
        <v/>
      </c>
      <c r="O39" s="81" t="n"/>
      <c r="P39" s="81" t="n"/>
      <c r="Q39" s="81" t="n"/>
    </row>
    <row r="40" ht="57.75" customHeight="1" s="47">
      <c r="A40" s="76" t="inlineStr">
        <is>
          <t>A.9.3</t>
        </is>
      </c>
      <c r="B40" s="77" t="inlineStr">
        <is>
          <t>A.9 Use of AI systems</t>
        </is>
      </c>
      <c r="C40" s="78" t="inlineStr">
        <is>
          <t>Objectives for responsible use of AI system</t>
        </is>
      </c>
      <c r="D40" s="79" t="inlineStr">
        <is>
          <t>Applicable</t>
        </is>
      </c>
      <c r="E40" s="78" t="inlineStr">
        <is>
          <t>Responsible-use principles must be translated into measurable expectations for each operational AI context.</t>
        </is>
      </c>
      <c r="F40" s="78" t="inlineStr">
        <is>
          <t>Designed - partial</t>
        </is>
      </c>
      <c r="G40" s="78" t="inlineStr">
        <is>
          <t>Service Owner / AI Governance Lead</t>
        </is>
      </c>
      <c r="H40" s="78" t="inlineStr">
        <is>
          <t>AIG-GOV-02 §§3.11 and 5.3; AIG-ASS-02; AIG-ASS-04; AIG-OPS-01.</t>
        </is>
      </c>
      <c r="I40" s="78" t="inlineStr">
        <is>
          <t>Set measurable responsible-use objectives, thresholds and evaluation methods and link results to AIMS objectives and governance review.</t>
        </is>
      </c>
      <c r="J40" s="80" t="n"/>
      <c r="K40" s="81" t="n"/>
      <c r="L40" s="81" t="n"/>
      <c r="M40" s="80" t="inlineStr">
        <is>
          <t>Not assessed</t>
        </is>
      </c>
      <c r="N40" s="82">
        <f>IF(D40="Not applicable",IF(AND(E40&lt;&gt;"",O40&lt;&gt;"",P40&lt;&gt;"",Q40&lt;&gt;""),IF(F40="Not applicable","Complete","Status conflict: excluded control shows a status"),"Exclusion justification/approval missing"),IF(AND(D40="Applicable",F40="Not applicable"),"Status conflict: applicable control marked Not applicable",IF(AND(D40="Applicable",E40&lt;&gt;"",F40&lt;&gt;"",G40&lt;&gt;"",H40&lt;&gt;"",I40&lt;&gt;""),"Complete","Incomplete")))</f>
        <v/>
      </c>
      <c r="O40" s="81" t="n"/>
      <c r="P40" s="81" t="n"/>
      <c r="Q40" s="81" t="n"/>
    </row>
    <row r="41" ht="57.75" customHeight="1" s="47">
      <c r="A41" s="76" t="inlineStr">
        <is>
          <t>A.9.4</t>
        </is>
      </c>
      <c r="B41" s="77" t="inlineStr">
        <is>
          <t>A.9 Use of AI systems</t>
        </is>
      </c>
      <c r="C41" s="78" t="inlineStr">
        <is>
          <t>Intended use of the AI system</t>
        </is>
      </c>
      <c r="D41" s="79" t="inlineStr">
        <is>
          <t>Applicable</t>
        </is>
      </c>
      <c r="E41" s="78" t="inlineStr">
        <is>
          <t>Use outside an approved purpose, population or environment may create new risks and require reassessment.</t>
        </is>
      </c>
      <c r="F41" s="78" t="inlineStr">
        <is>
          <t>Designed - draft</t>
        </is>
      </c>
      <c r="G41" s="78" t="inlineStr">
        <is>
          <t>Service Owner / System Owner</t>
        </is>
      </c>
      <c r="H41" s="78" t="inlineStr">
        <is>
          <t>AIG-INV-03; AIG-INV-04; AIG-ASS-09; AIG-DEC-03; AIG-OPS-01.</t>
        </is>
      </c>
      <c r="I41" s="78" t="inlineStr">
        <is>
          <t>Confirm intended-use statements, user controls and monitoring; detect scope creep and trigger material-change review and reapproval.</t>
        </is>
      </c>
      <c r="J41" s="80" t="n"/>
      <c r="K41" s="81" t="n"/>
      <c r="L41" s="81" t="n"/>
      <c r="M41" s="80" t="inlineStr">
        <is>
          <t>Not assessed</t>
        </is>
      </c>
      <c r="N41" s="82">
        <f>IF(D41="Not applicable",IF(AND(E41&lt;&gt;"",O41&lt;&gt;"",P41&lt;&gt;"",Q41&lt;&gt;""),IF(F41="Not applicable","Complete","Status conflict: excluded control shows a status"),"Exclusion justification/approval missing"),IF(AND(D41="Applicable",F41="Not applicable"),"Status conflict: applicable control marked Not applicable",IF(AND(D41="Applicable",E41&lt;&gt;"",F41&lt;&gt;"",G41&lt;&gt;"",H41&lt;&gt;"",I41&lt;&gt;""),"Complete","Incomplete")))</f>
        <v/>
      </c>
      <c r="O41" s="81" t="n"/>
      <c r="P41" s="81" t="n"/>
      <c r="Q41" s="81" t="n"/>
    </row>
    <row r="42" ht="57.75" customHeight="1" s="47">
      <c r="A42" s="76" t="inlineStr">
        <is>
          <t>A.10.2</t>
        </is>
      </c>
      <c r="B42" s="77" t="inlineStr">
        <is>
          <t>A.10 Third-party and customer relationships</t>
        </is>
      </c>
      <c r="C42" s="78" t="inlineStr">
        <is>
          <t>Allocation of responsibilities</t>
        </is>
      </c>
      <c r="D42" s="79" t="inlineStr">
        <is>
          <t>Applicable</t>
        </is>
      </c>
      <c r="E42" s="78" t="inlineStr">
        <is>
          <t>Council AI delivery may involve suppliers, partners, shared services and service recipients with interdependent responsibilities.</t>
        </is>
      </c>
      <c r="F42" s="78" t="inlineStr">
        <is>
          <t>Designed - draft</t>
        </is>
      </c>
      <c r="G42" s="78" t="inlineStr">
        <is>
          <t>Service Owner / Procurement / Legal Services</t>
        </is>
      </c>
      <c r="H42" s="78" t="inlineStr">
        <is>
          <t>AIG-ASS-08; AIG-DEC-03; AIG-GOV-06; AIG-OPS-01; AIG-AIMS-01 §4.</t>
        </is>
      </c>
      <c r="I42" s="78" t="inlineStr">
        <is>
          <t>Record and approve lifecycle responsibilities, escalation, evidence, incident, change, data, monitoring, communication and exit obligations.</t>
        </is>
      </c>
      <c r="J42" s="80" t="n"/>
      <c r="K42" s="81" t="n"/>
      <c r="L42" s="81" t="n"/>
      <c r="M42" s="80" t="inlineStr">
        <is>
          <t>Not assessed</t>
        </is>
      </c>
      <c r="N42" s="82">
        <f>IF(D42="Not applicable",IF(AND(E42&lt;&gt;"",O42&lt;&gt;"",P42&lt;&gt;"",Q42&lt;&gt;""),IF(F42="Not applicable","Complete","Status conflict: excluded control shows a status"),"Exclusion justification/approval missing"),IF(AND(D42="Applicable",F42="Not applicable"),"Status conflict: applicable control marked Not applicable",IF(AND(D42="Applicable",E42&lt;&gt;"",F42&lt;&gt;"",G42&lt;&gt;"",H42&lt;&gt;"",I42&lt;&gt;""),"Complete","Incomplete")))</f>
        <v/>
      </c>
      <c r="O42" s="81" t="n"/>
      <c r="P42" s="81" t="n"/>
      <c r="Q42" s="81" t="n"/>
    </row>
    <row r="43" ht="57.75" customHeight="1" s="47">
      <c r="A43" s="76" t="inlineStr">
        <is>
          <t>A.10.3</t>
        </is>
      </c>
      <c r="B43" s="77" t="inlineStr">
        <is>
          <t>A.10 Third-party and customer relationships</t>
        </is>
      </c>
      <c r="C43" s="78" t="inlineStr">
        <is>
          <t>Suppliers</t>
        </is>
      </c>
      <c r="D43" s="79" t="inlineStr">
        <is>
          <t>Applicable</t>
        </is>
      </c>
      <c r="E43" s="78" t="inlineStr">
        <is>
          <t>The Council may rely on suppliers for models, data, platforms, hosting, assurance, changes and incident remediation.</t>
        </is>
      </c>
      <c r="F43" s="78" t="inlineStr">
        <is>
          <t>Designed - draft</t>
        </is>
      </c>
      <c r="G43" s="78" t="inlineStr">
        <is>
          <t>Procurement / Service Owner / Security Lead</t>
        </is>
      </c>
      <c r="H43" s="78" t="inlineStr">
        <is>
          <t>AIG-ASS-08; AIG-ASS-11; AIG-OPS-01.</t>
        </is>
      </c>
      <c r="I43" s="78" t="inlineStr">
        <is>
          <t>Apply due diligence and contract controls to real procurements; monitor evidence, material changes, incidents, performance and exit readiness.</t>
        </is>
      </c>
      <c r="J43" s="80" t="n"/>
      <c r="K43" s="81" t="n"/>
      <c r="L43" s="81" t="n"/>
      <c r="M43" s="80" t="inlineStr">
        <is>
          <t>Not assessed</t>
        </is>
      </c>
      <c r="N43" s="82">
        <f>IF(D43="Not applicable",IF(AND(E43&lt;&gt;"",O43&lt;&gt;"",P43&lt;&gt;"",Q43&lt;&gt;""),IF(F43="Not applicable","Complete","Status conflict: excluded control shows a status"),"Exclusion justification/approval missing"),IF(AND(D43="Applicable",F43="Not applicable"),"Status conflict: applicable control marked Not applicable",IF(AND(D43="Applicable",E43&lt;&gt;"",F43&lt;&gt;"",G43&lt;&gt;"",H43&lt;&gt;"",I43&lt;&gt;""),"Complete","Incomplete")))</f>
        <v/>
      </c>
      <c r="O43" s="81" t="n"/>
      <c r="P43" s="81" t="n"/>
      <c r="Q43" s="81" t="n"/>
    </row>
    <row r="44" ht="57.75" customHeight="1" s="47">
      <c r="A44" s="83" t="inlineStr">
        <is>
          <t>A.10.4</t>
        </is>
      </c>
      <c r="B44" s="84" t="inlineStr">
        <is>
          <t>A.10 Third-party and customer relationships</t>
        </is>
      </c>
      <c r="C44" s="85" t="inlineStr">
        <is>
          <t>Customers</t>
        </is>
      </c>
      <c r="D44" s="86" t="inlineStr">
        <is>
          <t>Applicable</t>
        </is>
      </c>
      <c r="E44" s="85" t="inlineStr">
        <is>
          <t>For this public-sector AIMS, the concept includes recipients of Council-provided AI-enabled services and relevant partner organisations.</t>
        </is>
      </c>
      <c r="F44" s="85" t="inlineStr">
        <is>
          <t>Designed - partial</t>
        </is>
      </c>
      <c r="G44" s="85" t="inlineStr">
        <is>
          <t>Service Owner / Legal Services / Communications</t>
        </is>
      </c>
      <c r="H44" s="85" t="inlineStr">
        <is>
          <t>AIG-ASS-08; AIG-ASS-10; AIG-OPS-05; AIG-AIMS-01 §§4 and 7.</t>
        </is>
      </c>
      <c r="I44" s="85" t="inlineStr">
        <is>
          <t>Confirm the Council-specific interpretation, identify applicable recipient obligations and evidence how they affect provision and use decisions.</t>
        </is>
      </c>
      <c r="J44" s="87" t="n"/>
      <c r="K44" s="88" t="n"/>
      <c r="L44" s="88" t="n"/>
      <c r="M44" s="87" t="inlineStr">
        <is>
          <t>Not assessed</t>
        </is>
      </c>
      <c r="N44" s="89">
        <f>IF(D44="Not applicable",IF(AND(E44&lt;&gt;"",O44&lt;&gt;"",P44&lt;&gt;"",Q44&lt;&gt;""),IF(F44="Not applicable","Complete","Status conflict: excluded control shows a status"),"Exclusion justification/approval missing"),IF(AND(D44="Applicable",F44="Not applicable"),"Status conflict: applicable control marked Not applicable",IF(AND(D44="Applicable",E44&lt;&gt;"",F44&lt;&gt;"",G44&lt;&gt;"",H44&lt;&gt;"",I44&lt;&gt;""),"Complete","Incomplete")))</f>
        <v/>
      </c>
      <c r="O44" s="88" t="n"/>
      <c r="P44" s="88" t="n"/>
      <c r="Q44" s="88" t="n"/>
    </row>
  </sheetData>
  <mergeCells count="4">
    <mergeCell ref="A4:N4"/>
    <mergeCell ref="A3:N3"/>
    <mergeCell ref="A2:N2"/>
    <mergeCell ref="A1:N1"/>
  </mergeCells>
  <conditionalFormatting sqref="D7:D44">
    <cfRule type="containsText" rank="0" priority="2" equalAverage="0" operator="containsText" aboveAverage="0" dxfId="13" text="To be determined" percent="0" bottom="0">
      <formula>NOT(ISERROR(SEARCH("To be determined",D7)))</formula>
    </cfRule>
    <cfRule type="containsText" rank="0" priority="3" equalAverage="0" operator="containsText" aboveAverage="0" dxfId="14" text="Not applicable" percent="0" bottom="0">
      <formula>NOT(ISERROR(SEARCH("Not applicable",D7)))</formula>
    </cfRule>
  </conditionalFormatting>
  <conditionalFormatting sqref="F7:F44">
    <cfRule type="containsText" rank="0" priority="4" equalAverage="0" operator="containsText" aboveAverage="0" dxfId="13" text="Designed - partial" percent="0" bottom="0">
      <formula>NOT(ISERROR(SEARCH("Designed - partial",F7)))</formula>
    </cfRule>
    <cfRule type="containsText" rank="0" priority="5" equalAverage="0" operator="containsText" aboveAverage="0" dxfId="15" text="Designed - draft" percent="0" bottom="0">
      <formula>NOT(ISERROR(SEARCH("Designed - draft",F7)))</formula>
    </cfRule>
    <cfRule type="containsText" rank="0" priority="6" equalAverage="0" operator="containsText" aboveAverage="0" dxfId="16" text="Approved" percent="0" bottom="0">
      <formula>NOT(ISERROR(SEARCH("Approved",F7)))</formula>
    </cfRule>
    <cfRule type="containsText" rank="0" priority="7" equalAverage="0" operator="containsText" aboveAverage="0" dxfId="17" text="Implemented" percent="0" bottom="0">
      <formula>NOT(ISERROR(SEARCH("Implemented",F7)))</formula>
    </cfRule>
    <cfRule type="containsText" rank="0" priority="8" equalAverage="0" operator="containsText" aboveAverage="0" dxfId="18" text="Evidenced" percent="0" bottom="0">
      <formula>NOT(ISERROR(SEARCH("Evidenced",F7)))</formula>
    </cfRule>
    <cfRule type="containsText" rank="0" priority="9" equalAverage="0" operator="containsText" aboveAverage="0" dxfId="19" text="Effective" percent="0" bottom="0">
      <formula>NOT(ISERROR(SEARCH("Effective",F7)))</formula>
    </cfRule>
  </conditionalFormatting>
  <conditionalFormatting sqref="N7:N44">
    <cfRule type="containsText" rank="0" priority="10" equalAverage="0" operator="containsText" aboveAverage="0" dxfId="20" text="Incomplete" percent="0" bottom="0">
      <formula>NOT(ISERROR(SEARCH("Incomplete",N7)))</formula>
    </cfRule>
    <cfRule type="containsText" rank="0" priority="11" equalAverage="0" operator="containsText" aboveAverage="0" dxfId="20" text="missing" percent="0" bottom="0">
      <formula>NOT(ISERROR(SEARCH("missing",N7)))</formula>
    </cfRule>
    <cfRule type="containsText" rank="0" priority="11" equalAverage="0" operator="containsText" aboveAverage="0" dxfId="20" text="missing" percent="0" bottom="0">
      <formula>NOT(ISERROR(SEARCH("conflict",N7)))</formula>
    </cfRule>
  </conditionalFormatting>
  <conditionalFormatting sqref="M7:M44">
    <cfRule type="expression" priority="12" dxfId="21">
      <formula>$M7="Ineffective"</formula>
    </cfRule>
    <cfRule type="expression" priority="13" dxfId="22">
      <formula>$M7="Partially effective"</formula>
    </cfRule>
    <cfRule type="expression" priority="14" dxfId="23">
      <formula>$M7="Effective"</formula>
    </cfRule>
  </conditionalFormatting>
  <dataValidations count="4">
    <dataValidation sqref="D7:D44" showDropDown="0" showInputMessage="0" showErrorMessage="0" allowBlank="0" type="list" errorStyle="stop" operator="between">
      <formula1>"Applicable,Not applicable,To be determined"</formula1>
      <formula2>0</formula2>
    </dataValidation>
    <dataValidation sqref="F7:F44" showDropDown="0" showInputMessage="0" showErrorMessage="0" allowBlank="0" type="list" errorStyle="stop" operator="between">
      <formula1>"Not assessed,Designed - partial,Designed - draft,Approved,Implemented,Evidenced,Effective,Not applicable"</formula1>
      <formula2>0</formula2>
    </dataValidation>
    <dataValidation sqref="M7:M44" showDropDown="0" showInputMessage="0" showErrorMessage="0" allowBlank="0" type="list" errorStyle="stop" operator="between">
      <formula1>"Not assessed,Ineffective,Partially effective,Effective"</formula1>
      <formula2>0</formula2>
    </dataValidation>
    <dataValidation sqref="P7:P44" showDropDown="0" showInputMessage="0" showErrorMessage="1" allowBlank="1" type="date" operator="greaterThan">
      <formula1>DATE(2020,1,1)</formula1>
    </dataValidation>
  </dataValidations>
  <pageMargins left="0.7" right="0.7" top="0.75" bottom="0.75" header="0.3" footer="0.3"/>
  <headerFooter>
    <oddHeader>&amp;C&amp;"Arial,Regular"&amp;8 The Council — AIMS Statement of Applicability</oddHeader>
    <oddFooter>&amp;C&amp;"Arial,Regular"&amp;8 AIG-AIMS-02 · v1.2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ColWidth="9.47265625" defaultRowHeight="15"/>
  <cols>
    <col width="21.97999954223633" customWidth="1" style="46" min="1" max="1"/>
    <col width="46.15999984741211" customWidth="1" style="46" min="2" max="2"/>
    <col width="4.400000095367432" customWidth="1" style="46" min="3" max="3"/>
    <col width="24.18000030517578" customWidth="1" style="46" min="4" max="4"/>
    <col width="57.15000152587891" customWidth="1" style="46" min="5" max="5"/>
    <col width="4.400000095367432" customWidth="1" style="46" min="6" max="6"/>
    <col width="24.18000030517578" customWidth="1" style="46" min="7" max="7"/>
    <col width="46.15999984741211" customWidth="1" style="46" min="8" max="8"/>
  </cols>
  <sheetData>
    <row r="1" ht="30" customHeight="1" s="47">
      <c r="A1" s="90" t="inlineStr">
        <is>
          <t>AIG-AIMS-02 — Lists, Status Definitions and Use Guidance</t>
        </is>
      </c>
    </row>
    <row r="2"/>
    <row r="3" ht="21.75" customHeight="1" s="47">
      <c r="A3" s="64" t="inlineStr">
        <is>
          <t>Applicability</t>
        </is>
      </c>
      <c r="B3" s="64" t="inlineStr">
        <is>
          <t>Meaning</t>
        </is>
      </c>
      <c r="D3" s="64" t="inlineStr">
        <is>
          <t>Implementation status</t>
        </is>
      </c>
      <c r="E3" s="64" t="inlineStr">
        <is>
          <t>Evidence threshold</t>
        </is>
      </c>
      <c r="G3" s="64" t="inlineStr">
        <is>
          <t>Effectiveness</t>
        </is>
      </c>
      <c r="H3" s="64" t="inlineStr">
        <is>
          <t>Meaning</t>
        </is>
      </c>
    </row>
    <row r="4" ht="33.75" customHeight="1" s="47">
      <c r="A4" s="53" t="inlineStr">
        <is>
          <t>Applicable</t>
        </is>
      </c>
      <c r="B4" s="65" t="inlineStr">
        <is>
          <t>Control is included in the AIMS risk-treatment design.</t>
        </is>
      </c>
      <c r="D4" s="53" t="inlineStr">
        <is>
          <t>Not assessed</t>
        </is>
      </c>
      <c r="E4" s="65" t="inlineStr">
        <is>
          <t>No reliable assessment has been completed.</t>
        </is>
      </c>
      <c r="G4" s="53" t="inlineStr">
        <is>
          <t>Not assessed</t>
        </is>
      </c>
      <c r="H4" s="65" t="inlineStr">
        <is>
          <t>No effectiveness conclusion.</t>
        </is>
      </c>
    </row>
    <row r="5" ht="33.75" customHeight="1" s="47">
      <c r="A5" s="53" t="inlineStr">
        <is>
          <t>Not applicable</t>
        </is>
      </c>
      <c r="B5" s="65" t="inlineStr">
        <is>
          <t>Control is excluded with a documented, approved and reviewable justification.</t>
        </is>
      </c>
      <c r="D5" s="53" t="inlineStr">
        <is>
          <t>Designed - partial</t>
        </is>
      </c>
      <c r="E5" s="65" t="inlineStr">
        <is>
          <t>Some design content exists, but coverage or control mechanics are incomplete.</t>
        </is>
      </c>
      <c r="G5" s="53" t="inlineStr">
        <is>
          <t>Ineffective</t>
        </is>
      </c>
      <c r="H5" s="65" t="inlineStr">
        <is>
          <t>Control does not achieve its intended outcome.</t>
        </is>
      </c>
    </row>
    <row r="6" ht="33.75" customHeight="1" s="47">
      <c r="A6" s="53" t="inlineStr">
        <is>
          <t>To be determined</t>
        </is>
      </c>
      <c r="B6" s="65" t="inlineStr">
        <is>
          <t>Decision is awaiting scope, risk, legal, technical or governance evidence.</t>
        </is>
      </c>
      <c r="D6" s="53" t="inlineStr">
        <is>
          <t>Designed - draft</t>
        </is>
      </c>
      <c r="E6" s="65" t="inlineStr">
        <is>
          <t>The control is designed in controlled draft documentation but is not approved or operational.</t>
        </is>
      </c>
      <c r="G6" s="53" t="inlineStr">
        <is>
          <t>Partially effective</t>
        </is>
      </c>
      <c r="H6" s="65" t="inlineStr">
        <is>
          <t>Control works only in part or inconsistently.</t>
        </is>
      </c>
    </row>
    <row r="7" ht="33.75" customHeight="1" s="47">
      <c r="D7" s="53" t="inlineStr">
        <is>
          <t>Approved</t>
        </is>
      </c>
      <c r="E7" s="65" t="inlineStr">
        <is>
          <t>An authorised body has approved the control and its owner/resources.</t>
        </is>
      </c>
      <c r="G7" s="53" t="inlineStr">
        <is>
          <t>Effective</t>
        </is>
      </c>
      <c r="H7" s="65" t="inlineStr">
        <is>
          <t>Evidence supports the intended outcome.</t>
        </is>
      </c>
    </row>
    <row r="8" ht="33.75" customHeight="1" s="47">
      <c r="D8" s="53" t="inlineStr">
        <is>
          <t>Implemented</t>
        </is>
      </c>
      <c r="E8" s="65" t="inlineStr">
        <is>
          <t>The control is operating in the AIMS scope.</t>
        </is>
      </c>
    </row>
    <row r="9" ht="33.75" customHeight="1" s="47">
      <c r="D9" s="53" t="inlineStr">
        <is>
          <t>Evidenced</t>
        </is>
      </c>
      <c r="E9" s="65" t="inlineStr">
        <is>
          <t>Records demonstrate implementation over a suitable period or event cycle.</t>
        </is>
      </c>
    </row>
    <row r="10" ht="33.75" customHeight="1" s="47">
      <c r="D10" s="53" t="inlineStr">
        <is>
          <t>Effective</t>
        </is>
      </c>
      <c r="E10" s="65" t="inlineStr">
        <is>
          <t>Monitoring, audit or review demonstrates the control achieves its intended outcome.</t>
        </is>
      </c>
    </row>
    <row r="11" ht="33.75" customHeight="1" s="47">
      <c r="D11" s="53" t="inlineStr">
        <is>
          <t>Not applicable</t>
        </is>
      </c>
      <c r="E11" s="65" t="inlineStr">
        <is>
          <t>The control is excluded through the approved applicability decision.</t>
        </is>
      </c>
    </row>
    <row r="12"/>
    <row r="13"/>
    <row r="14" ht="21.75" customHeight="1" s="47">
      <c r="A14" s="51" t="inlineStr">
        <is>
          <t>Decision and evidence rules</t>
        </is>
      </c>
    </row>
    <row r="15" ht="30.75" customHeight="1" s="47">
      <c r="A15" s="91" t="inlineStr">
        <is>
          <t>• Applicability is determined from the approved AIMS scope, AI risks, impact assessment and applicable requirements; it is not a generic tick-box decision.</t>
        </is>
      </c>
    </row>
    <row r="16" ht="30.75" customHeight="1" s="47">
      <c r="A16" s="91" t="inlineStr">
        <is>
          <t>• A Not applicable decision requires a specific justification, named approver, date and review trigger (SoA Register columns E and O to Q); Decision QA flags any missing element or a status that conflicts with the applicability decision.</t>
        </is>
      </c>
    </row>
    <row r="17" ht="30.75" customHeight="1" s="47">
      <c r="A17" s="91" t="inlineStr">
        <is>
          <t>• Existing suite references show design coverage only. They are not proof that a control is approved, implemented or effective.</t>
        </is>
      </c>
    </row>
    <row r="18" ht="30.75" customHeight="1" s="47">
      <c r="A18" s="91" t="inlineStr">
        <is>
          <t>• Evidence locations should point to controlled records, not merely repeat a document title.</t>
        </is>
      </c>
    </row>
    <row r="19" ht="30.75" customHeight="1" s="47">
      <c r="A19" s="91" t="inlineStr">
        <is>
          <t>• Status should advance only when the stated evidence threshold is met and can be sampled by an auditor.</t>
        </is>
      </c>
    </row>
    <row r="20" ht="30.75" customHeight="1" s="47">
      <c r="A20" s="91" t="inlineStr">
        <is>
          <t>• Changes to scope, risk, systems, suppliers, law, incidents or audit findings may require SoA reassessment.</t>
        </is>
      </c>
    </row>
    <row r="21"/>
    <row r="22" ht="21.75" customHeight="1" s="47">
      <c r="A22" s="51" t="inlineStr">
        <is>
          <t>Source and controlled-use note</t>
        </is>
      </c>
    </row>
    <row r="23" ht="30" customHeight="1" s="47">
      <c r="A23" s="61" t="inlineStr">
        <is>
          <t>Standard baseline: ISO/IEC 42001:2023, Information technology — Artificial intelligence — Management system.</t>
        </is>
      </c>
      <c r="B23" s="62" t="n"/>
      <c r="C23" s="62" t="n"/>
      <c r="D23" s="62" t="n"/>
      <c r="E23" s="62" t="n"/>
      <c r="F23" s="62" t="n"/>
      <c r="G23" s="62" t="n"/>
      <c r="H23" s="63" t="n"/>
    </row>
    <row r="24" ht="30" customHeight="1" s="47">
      <c r="A24" s="61" t="inlineStr">
        <is>
          <t>Official standard page: https://www.iso.org/standard/42001</t>
        </is>
      </c>
      <c r="B24" s="62" t="n"/>
      <c r="C24" s="62" t="n"/>
      <c r="D24" s="62" t="n"/>
      <c r="E24" s="62" t="n"/>
      <c r="F24" s="62" t="n"/>
      <c r="G24" s="62" t="n"/>
      <c r="H24" s="63" t="n"/>
    </row>
    <row r="25" ht="30" customHeight="1" s="47">
      <c r="A25" s="61" t="inlineStr">
        <is>
          <t>Control identifiers and titles are provided as a working implementation reference. Before formal adoption or certification use, the Council shall validate them and all decisions against its licensed copy of the standard.</t>
        </is>
      </c>
      <c r="B25" s="62" t="n"/>
      <c r="C25" s="62" t="n"/>
      <c r="D25" s="62" t="n"/>
      <c r="E25" s="62" t="n"/>
      <c r="F25" s="62" t="n"/>
      <c r="G25" s="62" t="n"/>
      <c r="H25" s="63" t="n"/>
    </row>
    <row r="26" ht="30" customHeight="1" s="47">
      <c r="A26" s="61" t="inlineStr">
        <is>
          <t>Council design sources: AI Governance Playbook (AIG-GOV-02, current controlled version per AIG-GOV-03) and the controlled AIG-* artefacts listed in the Artefact Index (AIG-GOV-03).</t>
        </is>
      </c>
      <c r="B26" s="62" t="n"/>
      <c r="C26" s="62" t="n"/>
      <c r="D26" s="62" t="n"/>
      <c r="E26" s="62" t="n"/>
      <c r="F26" s="62" t="n"/>
      <c r="G26" s="62" t="n"/>
      <c r="H26" s="63" t="n"/>
    </row>
  </sheetData>
  <mergeCells count="13">
    <mergeCell ref="A18:H18"/>
    <mergeCell ref="A26:H26"/>
    <mergeCell ref="A15:H15"/>
    <mergeCell ref="A25:H25"/>
    <mergeCell ref="A20:H20"/>
    <mergeCell ref="A24:H24"/>
    <mergeCell ref="A16:H16"/>
    <mergeCell ref="A19:H19"/>
    <mergeCell ref="A14:H14"/>
    <mergeCell ref="A1:H1"/>
    <mergeCell ref="A23:H23"/>
    <mergeCell ref="A22:H22"/>
    <mergeCell ref="A17:H17"/>
  </mergeCells>
  <pageMargins left="0.7" right="0.7" top="0.75" bottom="0.75" header="0.3" footer="0.3"/>
  <headerFooter>
    <oddHeader>&amp;C&amp;"Arial,Regular"&amp;8 The Council — AIMS Statement of Applicability</oddHeader>
    <oddFooter>&amp;C&amp;"Arial,Regular"&amp;8 AIG-AIMS-02 · v1.2 draft · Draft for Council review · OFFICIAL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1"/>
  <sheetViews>
    <sheetView showGridLines="0" workbookViewId="0">
      <pane ySplit="4" topLeftCell="A5" activePane="bottomLeft" state="frozen"/>
      <selection activeCell="A1" sqref="A1"/>
    </sheetView>
  </sheetViews>
  <sheetFormatPr baseColWidth="8" defaultRowHeight="15"/>
  <cols>
    <col width="30" customWidth="1" style="47" min="1" max="1"/>
    <col width="112" customWidth="1" style="47" min="2" max="2"/>
  </cols>
  <sheetData>
    <row r="1" ht="30" customHeight="1" s="47">
      <c r="A1" s="92" t="inlineStr">
        <is>
          <t>AIG-AIMS-02 — PROPOSED AIG-INV-04/AIG-DEC-04 INTEGRATION NOTES</t>
        </is>
      </c>
    </row>
    <row r="2" ht="36" customHeight="1" s="47">
      <c r="A2" s="93"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row r="4">
      <c r="A4" s="94" t="inlineStr">
        <is>
          <t>Review topic</t>
        </is>
      </c>
      <c r="B4" s="94" t="inlineStr">
        <is>
          <t>Targeted proposed integration note</t>
        </is>
      </c>
    </row>
    <row r="5" ht="51" customHeight="1" s="47">
      <c r="A5" s="95" t="inlineStr">
        <is>
          <t>Status / boundary</t>
        </is>
      </c>
      <c r="B5" s="96" t="inlineStr">
        <is>
          <t>This sheet is an additive proposed crosswalk only. Keep every existing SoA control ID, applicability choice, justification, status, owner and evidence/action cell unchanged; this annex does not approve or operate an Annex A control.</t>
        </is>
      </c>
    </row>
    <row r="6" ht="51" customHeight="1" s="47">
      <c r="A6" s="95" t="inlineStr">
        <is>
          <t>System-level relationship</t>
        </is>
      </c>
      <c r="B6" s="96" t="inlineStr">
        <is>
          <t>Treat the SoA as an AIMS-level control-treatment decision, not a second system register. Where a control applies to an individual system, use its permanent AIR-ID as the join to proposed AIG-INV-04 AI Register and its Assessment summary; do not copy system facts or control evidence into the SoA.</t>
        </is>
      </c>
    </row>
    <row r="7" ht="68" customHeight="1" s="47">
      <c r="A7" s="95" t="inlineStr">
        <is>
          <t>AIG-INV-04 current-state join</t>
        </is>
      </c>
      <c r="B7" s="96" t="inlineStr">
        <is>
          <t>Use AIG-INV-04 AI Register for the proposed system identity, Service Owner, purpose/boundary, lifecycle stage, approval and operational state. Assessment summary carries current assessment summary and pointers to assessment evidence. Keep the existing AIG-AIMS-02 control owner and licensed-standard validation responsibility distinct from the system Service Owner.</t>
        </is>
      </c>
    </row>
    <row r="8" ht="85" customHeight="1" s="47">
      <c r="A8" s="95" t="inlineStr">
        <is>
          <t>AIG-DEC-04 plan / event / condition join</t>
        </is>
      </c>
      <c r="B8" s="96" t="inlineStr">
        <is>
          <t>For a system-specific gate, use the AIG-DEC-04 Gate plan for planned forum/requirement (Plan ID + AIR-ID), Gate events for dated events (Event ID + AIR-ID), and Conditions for each condition (Condition ID parented to Event ID). Link to the substantive decision in AIG-DEC-03/native minutes and to evidence metadata in the AIG-INV-04 Evidence index; do not treat a plan, event identifier, generic reference, or SoA design mapping as control implementation evidence.</t>
        </is>
      </c>
    </row>
    <row r="9" ht="68" customHeight="1" s="47">
      <c r="A9" s="95" t="inlineStr">
        <is>
          <t>Treatment / evidence linkage</t>
        </is>
      </c>
      <c r="B9" s="96" t="inlineStr">
        <is>
          <t>Where an Annex A control is selected for treatment, retain its control ID, reason, responsible role, applicable requirement, system AIR-ID where relevant, and versioned Evidence ID/location in the authoritative control/evidence record. A source artefact citation identifies a candidate design route only; verification must establish that the named, current control is implemented for that AIR-ID.</t>
        </is>
      </c>
    </row>
    <row r="10" ht="68" customHeight="1" s="47">
      <c r="A10" s="95" t="inlineStr">
        <is>
          <t>Exceptions / change</t>
        </is>
      </c>
      <c r="B10" s="96" t="inlineStr">
        <is>
          <t>If system facts, risk, purpose, supplier, data, autonomy, control coverage or applicable requirement change, retain the AIG-INV-04 Register change log entry and reassess. A governance decision or changed/waived condition belongs to its real AIG-DEC-04 event and authorised AIG-DEC-03/native record; never overwrite history or infer waiver authority from a status field.</t>
        </is>
      </c>
    </row>
    <row r="11" ht="68" customHeight="1" s="47">
      <c r="A11" s="95" t="inlineStr">
        <is>
          <t>Open adoption checks</t>
        </is>
      </c>
      <c r="B11" s="96" t="inlineStr">
        <is>
          <t>Council reviewers must validate all 38 control titles and mappings against the licensed ISO/IEC 42001:2023, confirm the scope and accountable authority, approve applicability/justifications and control owners, define evidence locations, and agree the authorised AIG-INV-04/AIG-DEC-04 migration and crosswalk rules before making implementation or conformity claims.</t>
        </is>
      </c>
    </row>
  </sheetData>
  <mergeCells count="2">
    <mergeCell ref="A2:B2"/>
    <mergeCell ref="A1:B1"/>
  </mergeCells>
  <pageMargins left="0.7" right="0.7" top="0.75" bottom="0.75" header="0.3" footer="0.3"/>
  <headerFooter>
    <oddHeader>&amp;C&amp;"Arial,Regular"&amp;8 The Council — AIMS Statement of Applicability</oddHeader>
    <oddFooter>&amp;C&amp;"Arial,Regular"&amp;8 AIG-AIMS-02 · v1.2 draft · Draft for Council review · OFFICIAL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7"/>
  <sheetViews>
    <sheetView workbookViewId="0">
      <pane xSplit="1" ySplit="2" topLeftCell="B3" activePane="bottomRight" state="frozen"/>
      <selection activeCell="A1" sqref="A1"/>
    </sheetView>
  </sheetViews>
  <sheetFormatPr baseColWidth="8" defaultRowHeight="15"/>
  <cols>
    <col width="21" customWidth="1" style="47" min="1" max="1"/>
    <col width="70" customWidth="1" style="47" min="2" max="2"/>
    <col width="96" customWidth="1" style="47" min="3" max="3"/>
    <col width="84" customWidth="1" style="47" min="4" max="4"/>
    <col width="33" customWidth="1" style="47" min="5" max="5"/>
  </cols>
  <sheetData>
    <row r="1">
      <c r="A1" s="0" t="inlineStr">
        <is>
          <t>PROPOSED QA INDEX — NOT APPROVED. A source reference does not establish applicability or compliance. See AIG-AIMS-05 and AIG-AIMS-13; owners must validate the current source, case-specific scope, control evidence and adopted status.</t>
        </is>
      </c>
    </row>
    <row r="2">
      <c r="A2" s="97" t="inlineStr">
        <is>
          <t>Requirement ID</t>
        </is>
      </c>
      <c r="B2" s="97" t="inlineStr">
        <is>
          <t>Instrument / edition</t>
        </is>
      </c>
      <c r="C2" s="97" t="inlineStr">
        <is>
          <t>Conditional scope / relevance</t>
        </is>
      </c>
      <c r="D2" s="97" t="inlineStr">
        <is>
          <t>Source URL</t>
        </is>
      </c>
      <c r="E2" s="97" t="inlineStr">
        <is>
          <t>Owner validation status</t>
        </is>
      </c>
    </row>
    <row r="3" ht="43" customHeight="1" s="47">
      <c r="A3" s="98" t="inlineStr">
        <is>
          <t>REQ-040</t>
        </is>
      </c>
      <c r="B3" s="98" t="inlineStr">
        <is>
          <t>ISO/IEC 42001:2023 Artificial intelligence management system</t>
        </is>
      </c>
      <c r="C3" s="98" t="inlineStr">
        <is>
          <t>Proposed management-system design mapping; licensed clause review and adoption needed.</t>
        </is>
      </c>
      <c r="D3" s="98" t="inlineStr">
        <is>
          <t>https://www.iso.org/standard/42001</t>
        </is>
      </c>
      <c r="E3" s="98" t="inlineStr">
        <is>
          <t>Specialist validation required</t>
        </is>
      </c>
    </row>
    <row r="4" ht="43" customHeight="1" s="47">
      <c r="A4" s="98" t="inlineStr">
        <is>
          <t>REQ-041</t>
        </is>
      </c>
      <c r="B4" s="98" t="inlineStr">
        <is>
          <t>ISO/IEC 23894:2023 AI — Guidance on risk management</t>
        </is>
      </c>
      <c r="C4" s="98" t="inlineStr">
        <is>
          <t>Voluntary risk-management guidance; proposed alignment, not statutory conformity.</t>
        </is>
      </c>
      <c r="D4" s="98" t="inlineStr">
        <is>
          <t>https://www.iso.org/standard/77304.html</t>
        </is>
      </c>
      <c r="E4" s="98" t="inlineStr">
        <is>
          <t>Specialist validation required</t>
        </is>
      </c>
    </row>
    <row r="5" ht="43" customHeight="1" s="47">
      <c r="A5" s="98" t="inlineStr">
        <is>
          <t>REQ-042</t>
        </is>
      </c>
      <c r="B5" s="98" t="inlineStr">
        <is>
          <t>ISO/IEC 42005:2025 AI system impact assessment</t>
        </is>
      </c>
      <c r="C5" s="98" t="inlineStr">
        <is>
          <t>Guidance for AI impact-assessment design; validate edition and selected use.</t>
        </is>
      </c>
      <c r="D5" s="98" t="inlineStr">
        <is>
          <t>https://www.iso.org/standard/42005</t>
        </is>
      </c>
      <c r="E5" s="98" t="inlineStr">
        <is>
          <t>Specialist validation required</t>
        </is>
      </c>
    </row>
    <row r="6" ht="43" customHeight="1" s="47">
      <c r="A6" s="98" t="inlineStr">
        <is>
          <t>REQ-043</t>
        </is>
      </c>
      <c r="B6" s="98" t="inlineStr">
        <is>
          <t>ISO/IEC 42006:2025 requirements for bodies providing audit and certification of AIMS</t>
        </is>
      </c>
      <c r="C6" s="98" t="inlineStr">
        <is>
          <t>Certification-body standard, not an automatic Council operational requirement.</t>
        </is>
      </c>
      <c r="D6" s="98" t="inlineStr">
        <is>
          <t>https://www.iso.org/standard/42006</t>
        </is>
      </c>
      <c r="E6" s="98" t="inlineStr">
        <is>
          <t>Specialist validation required</t>
        </is>
      </c>
    </row>
    <row r="7" ht="43" customHeight="1" s="47">
      <c r="A7" s="98" t="inlineStr">
        <is>
          <t>NIST-AI-100-1</t>
        </is>
      </c>
      <c r="B7" s="98" t="inlineStr">
        <is>
          <t>NIST AI Risk Management Framework 1.0 (NIST AI 100-1, January 2023)</t>
        </is>
      </c>
      <c r="C7" s="98" t="inlineStr">
        <is>
          <t>Voluntary alignment reference; not certification or statutory conformity</t>
        </is>
      </c>
      <c r="D7" s="98" t="inlineStr">
        <is>
          <t>https://www.nist.gov/publications/artificial-intelligence-risk-management-framework-ai-rmf-10</t>
        </is>
      </c>
      <c r="E7" s="98" t="inlineStr">
        <is>
          <t>Voluntary alignment reference; not certification or statutory conformity</t>
        </is>
      </c>
    </row>
  </sheetData>
  <pageMargins left="0.7" right="0.7" top="0.75" bottom="0.75" header="0.3" footer="0.3"/>
  <headerFooter>
    <oddHeader>&amp;C&amp;"Arial,Regular"&amp;8 The Council — AIMS Statement of Applicability</oddHeader>
    <oddFooter>&amp;C&amp;"Arial,Regular"&amp;8 AIG-AIMS-02 · v1.2 draft · Draft for Council review · OFFICIAL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47" min="1" max="1"/>
    <col width="112" customWidth="1" style="47" min="2" max="2"/>
  </cols>
  <sheetData>
    <row r="1">
      <c r="A1" s="99" t="inlineStr">
        <is>
          <t>AIG-AIMS-02 / PROPOSED THREE-ARTEFACT SOURCE CONTRACT</t>
        </is>
      </c>
    </row>
    <row r="2"/>
    <row r="3" ht="45" customHeight="1" s="47">
      <c r="A3" s="100" t="inlineStr">
        <is>
          <t>Status</t>
        </is>
      </c>
      <c r="B3" s="101" t="inlineStr">
        <is>
          <t>PROPOSED INTEGRATION DESIGN ONLY. This sheet does not amend the artefact's native assessment, decision authority, data or formulas.</t>
        </is>
      </c>
    </row>
    <row r="4" ht="48" customHeight="1" s="47">
      <c r="A4" s="102" t="inlineStr">
        <is>
          <t>Role of this file</t>
        </is>
      </c>
      <c r="B4" s="103" t="inlineStr">
        <is>
          <t>Control applicability: A control design mapping is not evidence of implementation. Use exact AIR-ID and evidence/decision pointers when case-specific, with AIG-INV-04 current state and separate AIG-DEC-04 decision-event sources.</t>
        </is>
      </c>
    </row>
    <row r="5" ht="45" customHeight="1" s="47">
      <c r="A5" s="100" t="inlineStr">
        <is>
          <t>AIG-INV-04 source</t>
        </is>
      </c>
      <c r="B5" s="101" t="inlineStr">
        <is>
          <t>Separate AIG-INV-04 AI Register: official AIR-ID, current position, in-file Assessment summary/Evidence index. Reconcile against authoritative AIG-INV-04 before using a copied value.</t>
        </is>
      </c>
    </row>
    <row r="6" ht="45" customHeight="1" s="47">
      <c r="A6" s="102" t="inlineStr">
        <is>
          <t>AIG-DEC-04 source</t>
        </is>
      </c>
      <c r="B6" s="103" t="inlineStr">
        <is>
          <t>Separate AIG-DEC-04 Gate Log: prospective Gate plan, dated Gate events, event-linked Conditions. A planned gate is not a decision. A decision requires AIG-DEC-03 or approved minutes and proper delegation.</t>
        </is>
      </c>
    </row>
    <row r="7" ht="48" customHeight="1" s="47">
      <c r="A7" s="100" t="inlineStr">
        <is>
          <t>Map source</t>
        </is>
      </c>
      <c r="B7" s="101" t="inlineStr">
        <is>
          <t>Proposed standalone Capabilities and System Map (candidate catalogue ID AIG-INV-05): UC/CAP and component relationship pointers. Edge ID is not an approval or permission; AIG-AGT-04/AIG-AGT-05 remain sources of agent scope/authority.</t>
        </is>
      </c>
    </row>
    <row r="8" ht="48" customHeight="1" s="47">
      <c r="A8" s="102" t="inlineStr">
        <is>
          <t>Data exchange</t>
        </is>
      </c>
      <c r="B8" s="103" t="inlineStr">
        <is>
          <t>Use controlled AIR-ID across files. Where applicable reference exact Event ID, Condition ID, Evidence ID, AG-ID and Edge ID. Record source file/version/as-at with imported or quoted evidence; no live cross-workbook formula is assumed.</t>
        </is>
      </c>
    </row>
    <row r="9" ht="45" customHeight="1" s="47">
      <c r="A9" s="100" t="inlineStr">
        <is>
          <t>Change trigger</t>
        </is>
      </c>
      <c r="B9" s="101" t="inlineStr">
        <is>
          <t>New or expanded system/tool access, or a material model, data, interface, purpose or agent change: log the map change, obtain owner reassessment and escalate to the proper AIG-DEC-04 gate/AIG-DEC-03 decision when required.</t>
        </is>
      </c>
    </row>
    <row r="10" ht="48" customHeight="1" s="47">
      <c r="A10" s="102" t="inlineStr">
        <is>
          <t>Validation before use</t>
        </is>
      </c>
      <c r="B10" s="103"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headerFooter>
    <oddHeader>&amp;C&amp;"Arial,Regular"&amp;8 The Council — AIMS Statement of Applicability</oddHeader>
    <oddFooter>&amp;C&amp;"Arial,Regular"&amp;8 AIG-AIMS-02 · v1.2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AIG-AIMS-02 AIMS Statement of Applicability</dc:title>
  <dc:description xmlns:dc="http://purl.org/dc/elements/1.1/">Draft for Council review. Classification: OFFICIAL.</dc:description>
  <dc:subject xmlns:dc="http://purl.org/dc/elements/1.1/">AIG-AIMS-02 v1.2 — Draft for Council review</dc:subject>
  <dcterms:created xmlns:dcterms="http://purl.org/dc/terms/" xmlns:xsi="http://www.w3.org/2001/XMLSchema-instance" xsi:type="dcterms:W3CDTF">2026-09-29T17:50:09Z</dcterms:created>
  <dcterms:modified xmlns:dcterms="http://purl.org/dc/terms/" xmlns:xsi="http://www.w3.org/2001/XMLSchema-instance" xsi:type="dcterms:W3CDTF">2026-09-29T20:57:33Z</dcterms:modified>
  <cp:lastModifiedBy>AI Governance Lead</cp:lastModifiedBy>
  <cp:category>OFFICIAL</cp:category>
  <cp:keywords>OFFICIAL; AI governance; AIG-AIMS-02</cp:keywords>
</cp:coreProperties>
</file>