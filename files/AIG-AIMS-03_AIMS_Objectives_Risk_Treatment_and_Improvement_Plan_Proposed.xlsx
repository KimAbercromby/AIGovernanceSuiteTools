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AIMS Objectives" sheetId="2" state="visible" r:id="rId2"/>
    <sheet xmlns:r="http://schemas.openxmlformats.org/officeDocument/2006/relationships" name="Risk Treatment" sheetId="3" state="visible" r:id="rId3"/>
    <sheet xmlns:r="http://schemas.openxmlformats.org/officeDocument/2006/relationships" name="Opportunities" sheetId="4" state="visible" r:id="rId4"/>
    <sheet xmlns:r="http://schemas.openxmlformats.org/officeDocument/2006/relationships" name="Improvement Plan" sheetId="5" state="visible" r:id="rId5"/>
    <sheet xmlns:r="http://schemas.openxmlformats.org/officeDocument/2006/relationships" name="Lists &amp; Guidance" sheetId="6" state="visible" r:id="rId6"/>
    <sheet xmlns:r="http://schemas.openxmlformats.org/officeDocument/2006/relationships" name="INTEGRATION INV-04 DEC-04" sheetId="7" state="visible" r:id="rId7"/>
    <sheet xmlns:r="http://schemas.openxmlformats.org/officeDocument/2006/relationships" name="STANDARDS SCOPE QA" sheetId="8" state="visible" r:id="rId8"/>
    <sheet xmlns:r="http://schemas.openxmlformats.org/officeDocument/2006/relationships" name="MAP &amp; SPLIT CONTRACT" sheetId="9" state="visible" r:id="rId9"/>
  </sheets>
  <definedNames/>
</workbook>
</file>

<file path=xl/styles.xml><?xml version="1.0" encoding="utf-8"?>
<styleSheet xmlns="http://schemas.openxmlformats.org/spreadsheetml/2006/main">
  <numFmts count="2">
    <numFmt numFmtId="164" formatCode="dd/mm/yyyy"/>
    <numFmt numFmtId="165" formatCode="0.0"/>
  </numFmts>
  <fonts count="22">
    <font>
      <name val="Arial"/>
      <sz val="10"/>
    </font>
    <font>
      <name val="Arial"/>
      <sz val="10"/>
    </font>
    <font>
      <name val="Arial"/>
      <sz val="10"/>
    </font>
    <font>
      <name val="Arial"/>
      <sz val="10"/>
    </font>
    <font>
      <name val="Arial"/>
      <sz val="10"/>
    </font>
    <font>
      <name val="Arial"/>
      <b val="1"/>
      <color rgb="FFFFFFFF"/>
      <sz val="16"/>
    </font>
    <font>
      <name val="Arial"/>
      <i val="1"/>
      <color rgb="FF17212B"/>
      <sz val="9"/>
    </font>
    <font>
      <name val="Arial"/>
      <color rgb="FF17212B"/>
      <sz val="9"/>
    </font>
    <font>
      <name val="Arial"/>
      <b val="1"/>
      <color rgb="FFC00000"/>
      <sz val="9"/>
    </font>
    <font>
      <name val="Arial"/>
      <b val="1"/>
      <color rgb="FFFFFFFF"/>
      <sz val="10"/>
    </font>
    <font>
      <name val="Arial"/>
      <b val="1"/>
      <color rgb="FF08233F"/>
      <sz val="9"/>
    </font>
    <font>
      <name val="Arial"/>
      <b val="1"/>
      <color rgb="FFFFFFFF"/>
      <sz val="9"/>
    </font>
    <font>
      <name val="Arial"/>
      <b val="1"/>
      <color rgb="FF08233F"/>
      <sz val="11"/>
    </font>
    <font>
      <name val="Arial"/>
      <b val="1"/>
      <color rgb="FF08233F"/>
      <sz val="10"/>
    </font>
    <font>
      <name val="Arial"/>
      <b val="1"/>
      <color rgb="FFFFFFFF"/>
      <sz val="15"/>
    </font>
    <font>
      <name val="Aptos Display"/>
      <b val="1"/>
      <color rgb="FFFFFFFF"/>
      <sz val="15"/>
    </font>
    <font>
      <name val="Aptos"/>
      <b val="1"/>
      <color rgb="FF9C0006"/>
      <sz val="10"/>
    </font>
    <font>
      <b val="1"/>
      <color rgb="FFFFFFFF"/>
    </font>
    <font>
      <b val="1"/>
      <color rgb="FF17365D"/>
    </font>
    <font>
      <name val="Aptos Display"/>
      <b val="1"/>
      <color rgb="FF17324F"/>
      <sz val="16"/>
    </font>
    <font>
      <name val="Aptos"/>
      <b val="1"/>
      <color rgb="FF17324F"/>
      <sz val="11"/>
    </font>
    <font>
      <name val="Aptos"/>
      <color rgb="FF17324F"/>
      <sz val="11"/>
    </font>
  </fonts>
  <fills count="17">
    <fill>
      <patternFill/>
    </fill>
    <fill>
      <patternFill patternType="gray125"/>
    </fill>
    <fill>
      <patternFill patternType="solid">
        <fgColor rgb="FF0B2848"/>
      </patternFill>
    </fill>
    <fill>
      <patternFill patternType="solid">
        <fgColor rgb="FFFFF8E1"/>
      </patternFill>
    </fill>
    <fill>
      <patternFill patternType="solid">
        <fgColor rgb="FFF4F8FC"/>
      </patternFill>
    </fill>
    <fill>
      <patternFill patternType="solid">
        <fgColor rgb="FFFCE4D6"/>
      </patternFill>
    </fill>
    <fill>
      <patternFill patternType="solid">
        <fgColor rgb="FFE9EEF4"/>
      </patternFill>
    </fill>
    <fill>
      <patternFill patternType="solid">
        <fgColor rgb="FF1F436B"/>
      </patternFill>
    </fill>
    <fill>
      <patternFill patternType="solid">
        <fgColor rgb="FFD9EAF7"/>
      </patternFill>
    </fill>
    <fill>
      <patternFill patternType="solid">
        <fgColor rgb="FFE2F0D9"/>
      </patternFill>
    </fill>
    <fill>
      <patternFill patternType="solid">
        <fgColor rgb="FF17365D"/>
      </patternFill>
    </fill>
    <fill>
      <patternFill patternType="solid">
        <fgColor rgb="FFFCE4D6"/>
      </patternFill>
    </fill>
    <fill>
      <patternFill patternType="solid">
        <fgColor rgb="FF4472C4"/>
      </patternFill>
    </fill>
    <fill>
      <patternFill patternType="solid">
        <fgColor rgb="FFD9EAF7"/>
      </patternFill>
    </fill>
    <fill>
      <patternFill patternType="solid">
        <fgColor rgb="FF17354F"/>
      </patternFill>
    </fill>
    <fill>
      <patternFill patternType="solid">
        <fgColor rgb="FFEAF4F3"/>
      </patternFill>
    </fill>
    <fill>
      <patternFill patternType="solid">
        <fgColor rgb="FFF5F9FA"/>
      </patternFill>
    </fill>
  </fills>
  <borders count="8">
    <border/>
    <border>
      <left style="thin">
        <color rgb="FFB4C7DC"/>
      </left>
      <right style="thin">
        <color rgb="FFB4C7DC"/>
      </right>
      <top style="thin">
        <color rgb="FFB4C7DC"/>
      </top>
      <bottom style="thin">
        <color rgb="FFB4C7DC"/>
      </bottom>
    </border>
    <border>
      <left style="thin">
        <color rgb="FFD9E2F3"/>
      </left>
      <right style="thin">
        <color rgb="FFD9E2F3"/>
      </right>
      <top style="thin">
        <color rgb="FFD9E2F3"/>
      </top>
      <bottom style="thin">
        <color rgb="FFD9E2F3"/>
      </bottom>
    </border>
    <border>
      <top style="thin">
        <color rgb="FFB4C7DC"/>
      </top>
    </border>
    <border>
      <right style="thin">
        <color rgb="FFB4C7DC"/>
      </right>
      <top style="thin">
        <color rgb="FFB4C7DC"/>
      </top>
    </border>
    <border>
      <top style="thin">
        <color rgb="FFB4C7DC"/>
      </top>
      <bottom style="thin">
        <color rgb="FFB4C7DC"/>
      </bottom>
    </border>
    <border>
      <right style="thin">
        <color rgb="FFB4C7DC"/>
      </right>
      <top style="thin">
        <color rgb="FFB4C7DC"/>
      </top>
      <bottom style="thin">
        <color rgb="FFB4C7DC"/>
      </bottom>
    </border>
    <border>
      <bottom style="thin">
        <color rgb="FFD9E2F3"/>
      </bottom>
    </border>
  </borders>
  <cellStyleXfs count="6">
    <xf numFmtId="0" fontId="4" fillId="0" borderId="0" applyAlignment="1">
      <alignment horizontal="general" vertical="bottom"/>
    </xf>
    <xf numFmtId="43" fontId="4" fillId="0" borderId="0"/>
    <xf numFmtId="41" fontId="4" fillId="0" borderId="0"/>
    <xf numFmtId="44" fontId="4" fillId="0" borderId="0"/>
    <xf numFmtId="42" fontId="4" fillId="0" borderId="0"/>
    <xf numFmtId="9" fontId="4" fillId="0" borderId="0"/>
  </cellStyleXfs>
  <cellXfs count="9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3" borderId="0" applyAlignment="1" pivotButton="0" quotePrefix="0" xfId="0">
      <alignment horizontal="general" vertical="center"/>
    </xf>
    <xf numFmtId="0" fontId="7" fillId="4" borderId="0" applyAlignment="1" pivotButton="0" quotePrefix="0" xfId="0">
      <alignment horizontal="general" vertical="center"/>
    </xf>
    <xf numFmtId="0" fontId="8" fillId="5" borderId="0" applyAlignment="1" pivotButton="0" quotePrefix="0" xfId="0">
      <alignment horizontal="general" vertical="center" wrapText="1"/>
    </xf>
    <xf numFmtId="0" fontId="9" fillId="2" borderId="0" applyAlignment="1" pivotButton="0" quotePrefix="0" xfId="0">
      <alignment horizontal="general" vertical="bottom"/>
    </xf>
    <xf numFmtId="0" fontId="9" fillId="2" borderId="0" applyAlignment="1" pivotButton="0" quotePrefix="0" xfId="0">
      <alignment horizontal="center" vertical="bottom"/>
    </xf>
    <xf numFmtId="0" fontId="10" fillId="6" borderId="1" applyAlignment="1" pivotButton="0" quotePrefix="0" xfId="0">
      <alignment horizontal="general" vertical="bottom" wrapText="1"/>
    </xf>
    <xf numFmtId="0" fontId="7" fillId="4" borderId="1" applyAlignment="1" pivotButton="0" quotePrefix="0" xfId="0">
      <alignment horizontal="general" vertical="bottom" wrapText="1"/>
    </xf>
    <xf numFmtId="0" fontId="11" fillId="7" borderId="0" applyAlignment="1" pivotButton="0" quotePrefix="0" xfId="0">
      <alignment horizontal="general" vertical="bottom"/>
    </xf>
    <xf numFmtId="0" fontId="10" fillId="6" borderId="1" applyAlignment="1" pivotButton="0" quotePrefix="0" xfId="0">
      <alignment horizontal="general" vertical="bottom"/>
    </xf>
    <xf numFmtId="0" fontId="12" fillId="8" borderId="1" applyAlignment="1" pivotButton="0" quotePrefix="0" xfId="0">
      <alignment horizontal="center" vertical="bottom"/>
    </xf>
    <xf numFmtId="9" fontId="12" fillId="8" borderId="1" applyAlignment="1" pivotButton="0" quotePrefix="0" xfId="0">
      <alignment horizontal="center" vertical="bottom"/>
    </xf>
    <xf numFmtId="0" fontId="13" fillId="4" borderId="1" applyAlignment="1" pivotButton="0" quotePrefix="0" xfId="0">
      <alignment horizontal="center" vertical="bottom"/>
    </xf>
    <xf numFmtId="0" fontId="9" fillId="2" borderId="0" applyAlignment="1" pivotButton="0" quotePrefix="0" xfId="0">
      <alignment horizontal="general" vertical="bottom"/>
    </xf>
    <xf numFmtId="0" fontId="7" fillId="3" borderId="1" applyAlignment="1" pivotButton="0" quotePrefix="0" xfId="0">
      <alignment horizontal="general" vertical="center" wrapText="1"/>
    </xf>
    <xf numFmtId="0" fontId="11" fillId="2"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wrapText="1"/>
    </xf>
    <xf numFmtId="164" fontId="7" fillId="0" borderId="1" applyAlignment="1" pivotButton="0" quotePrefix="0" xfId="0">
      <alignment horizontal="general" vertical="bottom" wrapText="1"/>
    </xf>
    <xf numFmtId="0" fontId="11" fillId="2" borderId="1" applyAlignment="1" pivotButton="0" quotePrefix="0" xfId="0">
      <alignment horizontal="center" vertical="center" wrapText="1"/>
    </xf>
    <xf numFmtId="0" fontId="10" fillId="6" borderId="2" applyAlignment="1" pivotButton="0" quotePrefix="0" xfId="0">
      <alignment horizontal="center" vertical="top" wrapText="1"/>
    </xf>
    <xf numFmtId="0" fontId="7" fillId="0" borderId="2" applyAlignment="1" pivotButton="0" quotePrefix="0" xfId="0">
      <alignment horizontal="general" vertical="top" wrapText="1"/>
    </xf>
    <xf numFmtId="164" fontId="7" fillId="3" borderId="2" applyAlignment="1" pivotButton="0" quotePrefix="0" xfId="0">
      <alignment horizontal="general" vertical="top" wrapText="1"/>
    </xf>
    <xf numFmtId="0" fontId="7" fillId="3" borderId="2" applyAlignment="1" pivotButton="0" quotePrefix="0" xfId="0">
      <alignment horizontal="general" vertical="top" wrapText="1"/>
    </xf>
    <xf numFmtId="9" fontId="7" fillId="3" borderId="2" applyAlignment="1" pivotButton="0" quotePrefix="0" xfId="0">
      <alignment horizontal="general" vertical="top" wrapText="1"/>
    </xf>
    <xf numFmtId="0" fontId="14" fillId="2" borderId="0" applyAlignment="1" pivotButton="0" quotePrefix="0" xfId="0">
      <alignment horizontal="general" vertical="bottom"/>
    </xf>
    <xf numFmtId="0" fontId="11" fillId="7" borderId="1" applyAlignment="1" pivotButton="0" quotePrefix="0" xfId="0">
      <alignment horizontal="center" vertical="center"/>
    </xf>
    <xf numFmtId="0" fontId="7" fillId="9" borderId="1" applyAlignment="1" pivotButton="0" quotePrefix="0" xfId="0">
      <alignment horizontal="general" vertical="bottom"/>
    </xf>
    <xf numFmtId="0" fontId="7" fillId="0" borderId="1" applyAlignment="1" pivotButton="0" quotePrefix="0" xfId="0">
      <alignment horizontal="general" vertical="bottom"/>
    </xf>
    <xf numFmtId="0" fontId="7" fillId="0" borderId="1" applyAlignment="1" pivotButton="0" quotePrefix="0" xfId="0">
      <alignment horizontal="center" vertical="center"/>
    </xf>
    <xf numFmtId="0" fontId="7" fillId="3" borderId="1" applyAlignment="1" pivotButton="0" quotePrefix="0" xfId="0">
      <alignment horizontal="general" vertical="bottom"/>
    </xf>
    <xf numFmtId="0" fontId="7" fillId="5" borderId="1" applyAlignment="1" pivotButton="0" quotePrefix="0" xfId="0">
      <alignment horizontal="general" vertical="bottom"/>
    </xf>
    <xf numFmtId="0" fontId="10" fillId="6" borderId="1" applyAlignment="1" pivotButton="0" quotePrefix="0" xfId="0">
      <alignment horizontal="center" vertical="center" wrapText="1"/>
    </xf>
    <xf numFmtId="0" fontId="10" fillId="4" borderId="1" applyAlignment="1" pivotButton="0" quotePrefix="0" xfId="0">
      <alignment horizontal="general" vertical="center" wrapText="1"/>
    </xf>
    <xf numFmtId="0" fontId="7" fillId="0" borderId="1" applyAlignment="1" pivotButton="0" quotePrefix="0" xfId="0">
      <alignment horizontal="general" vertical="center" wrapText="1"/>
    </xf>
    <xf numFmtId="0" fontId="7" fillId="4" borderId="1" applyAlignment="1" pivotButton="0" quotePrefix="0" xfId="0">
      <alignment horizontal="general" vertical="center"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3" borderId="0" applyAlignment="1" pivotButton="0" quotePrefix="0" xfId="0">
      <alignment horizontal="general" vertical="center"/>
    </xf>
    <xf numFmtId="0" fontId="7" fillId="4" borderId="0" applyAlignment="1" pivotButton="0" quotePrefix="0" xfId="0">
      <alignment horizontal="general" vertical="center"/>
    </xf>
    <xf numFmtId="0" fontId="8" fillId="5" borderId="0" applyAlignment="1" pivotButton="0" quotePrefix="0" xfId="0">
      <alignment horizontal="general" vertical="center" wrapText="1"/>
    </xf>
    <xf numFmtId="0" fontId="9" fillId="2" borderId="0" applyAlignment="1" pivotButton="0" quotePrefix="0" xfId="0">
      <alignment horizontal="general" vertical="bottom"/>
    </xf>
    <xf numFmtId="0" fontId="9" fillId="2" borderId="0" applyAlignment="1" pivotButton="0" quotePrefix="0" xfId="0">
      <alignment horizontal="center" vertical="bottom"/>
    </xf>
    <xf numFmtId="0" fontId="10" fillId="6" borderId="1" applyAlignment="1" pivotButton="0" quotePrefix="0" xfId="0">
      <alignment horizontal="general" vertical="bottom" wrapText="1"/>
    </xf>
    <xf numFmtId="0" fontId="7" fillId="4" borderId="1" applyAlignment="1" pivotButton="0" quotePrefix="0" xfId="0">
      <alignment horizontal="general" vertical="bottom" wrapText="1"/>
    </xf>
    <xf numFmtId="0" fontId="11" fillId="7" borderId="0" applyAlignment="1" pivotButton="0" quotePrefix="0" xfId="0">
      <alignment horizontal="general" vertical="bottom"/>
    </xf>
    <xf numFmtId="0" fontId="10" fillId="6" borderId="1" applyAlignment="1" pivotButton="0" quotePrefix="0" xfId="0">
      <alignment horizontal="general" vertical="bottom"/>
    </xf>
    <xf numFmtId="0" fontId="12" fillId="8" borderId="1" applyAlignment="1" pivotButton="0" quotePrefix="0" xfId="0">
      <alignment horizontal="center" vertical="bottom"/>
    </xf>
    <xf numFmtId="9" fontId="12" fillId="8" borderId="1" applyAlignment="1" pivotButton="0" quotePrefix="0" xfId="0">
      <alignment horizontal="center" vertical="bottom"/>
    </xf>
    <xf numFmtId="0" fontId="13" fillId="4" borderId="1" applyAlignment="1" pivotButton="0" quotePrefix="0" xfId="0">
      <alignment horizontal="center" vertical="bottom"/>
    </xf>
    <xf numFmtId="0" fontId="7" fillId="3" borderId="1" applyAlignment="1" pivotButton="0" quotePrefix="0" xfId="0">
      <alignment horizontal="general" vertical="center" wrapText="1"/>
    </xf>
    <xf numFmtId="0" fontId="0" fillId="0" borderId="5" pivotButton="0" quotePrefix="0" xfId="0"/>
    <xf numFmtId="0" fontId="0" fillId="0" borderId="6" pivotButton="0" quotePrefix="0" xfId="0"/>
    <xf numFmtId="0" fontId="11" fillId="2" borderId="0" applyAlignment="1" pivotButton="0" quotePrefix="0" xfId="0">
      <alignment horizontal="general" vertical="bottom"/>
    </xf>
    <xf numFmtId="0" fontId="7" fillId="0" borderId="1" applyAlignment="1" pivotButton="0" quotePrefix="0" xfId="0">
      <alignment horizontal="general" vertical="bottom" wrapText="1"/>
    </xf>
    <xf numFmtId="164" fontId="7" fillId="0" borderId="1" applyAlignment="1" pivotButton="0" quotePrefix="0" xfId="0">
      <alignment horizontal="general" vertical="bottom" wrapText="1"/>
    </xf>
    <xf numFmtId="0" fontId="11" fillId="2" borderId="1" applyAlignment="1" pivotButton="0" quotePrefix="0" xfId="0">
      <alignment horizontal="center" vertical="center" wrapText="1"/>
    </xf>
    <xf numFmtId="0" fontId="10" fillId="6" borderId="2" applyAlignment="1" pivotButton="0" quotePrefix="0" xfId="0">
      <alignment horizontal="center" vertical="top" wrapText="1"/>
    </xf>
    <xf numFmtId="0" fontId="7" fillId="0" borderId="2" applyAlignment="1" pivotButton="0" quotePrefix="0" xfId="0">
      <alignment horizontal="general" vertical="top" wrapText="1"/>
    </xf>
    <xf numFmtId="164" fontId="7" fillId="3" borderId="2" applyAlignment="1" pivotButton="0" quotePrefix="0" xfId="0">
      <alignment horizontal="general" vertical="top" wrapText="1"/>
    </xf>
    <xf numFmtId="0" fontId="7" fillId="3" borderId="2" applyAlignment="1" pivotButton="0" quotePrefix="0" xfId="0">
      <alignment horizontal="general" vertical="top" wrapText="1"/>
    </xf>
    <xf numFmtId="9" fontId="7" fillId="3" borderId="2" applyAlignment="1" pivotButton="0" quotePrefix="0" xfId="0">
      <alignment horizontal="general" vertical="top" wrapText="1"/>
    </xf>
    <xf numFmtId="0" fontId="14" fillId="2" borderId="0" applyAlignment="1" pivotButton="0" quotePrefix="0" xfId="0">
      <alignment horizontal="general" vertical="bottom"/>
    </xf>
    <xf numFmtId="0" fontId="11" fillId="7" borderId="1" applyAlignment="1" pivotButton="0" quotePrefix="0" xfId="0">
      <alignment horizontal="center" vertical="center"/>
    </xf>
    <xf numFmtId="0" fontId="7" fillId="9" borderId="1" applyAlignment="1" pivotButton="0" quotePrefix="0" xfId="0">
      <alignment horizontal="general" vertical="bottom"/>
    </xf>
    <xf numFmtId="0" fontId="7" fillId="0" borderId="1" applyAlignment="1" pivotButton="0" quotePrefix="0" xfId="0">
      <alignment horizontal="general" vertical="bottom"/>
    </xf>
    <xf numFmtId="0" fontId="7" fillId="0" borderId="1" applyAlignment="1" pivotButton="0" quotePrefix="0" xfId="0">
      <alignment horizontal="center" vertical="center"/>
    </xf>
    <xf numFmtId="0" fontId="7" fillId="3" borderId="1" applyAlignment="1" pivotButton="0" quotePrefix="0" xfId="0">
      <alignment horizontal="general" vertical="bottom"/>
    </xf>
    <xf numFmtId="0" fontId="7" fillId="5" borderId="1" applyAlignment="1" pivotButton="0" quotePrefix="0" xfId="0">
      <alignment horizontal="general" vertical="bottom"/>
    </xf>
    <xf numFmtId="0" fontId="10" fillId="6" borderId="1" applyAlignment="1" pivotButton="0" quotePrefix="0" xfId="0">
      <alignment horizontal="center" vertical="center" wrapText="1"/>
    </xf>
    <xf numFmtId="0" fontId="10" fillId="4" borderId="1" applyAlignment="1" pivotButton="0" quotePrefix="0" xfId="0">
      <alignment horizontal="general" vertical="center" wrapText="1"/>
    </xf>
    <xf numFmtId="0" fontId="7" fillId="0" borderId="1" applyAlignment="1" pivotButton="0" quotePrefix="0" xfId="0">
      <alignment horizontal="general" vertical="center" wrapText="1"/>
    </xf>
    <xf numFmtId="0" fontId="7" fillId="4" borderId="1" applyAlignment="1" pivotButton="0" quotePrefix="0" xfId="0">
      <alignment horizontal="general" vertical="center" wrapText="1"/>
    </xf>
    <xf numFmtId="0" fontId="15" fillId="10" borderId="0" applyAlignment="1" pivotButton="0" quotePrefix="0" xfId="0">
      <alignment vertical="center" wrapText="1"/>
    </xf>
    <xf numFmtId="0" fontId="16" fillId="11" borderId="0" applyAlignment="1" pivotButton="0" quotePrefix="0" xfId="0">
      <alignment vertical="top" wrapText="1"/>
    </xf>
    <xf numFmtId="0" fontId="17" fillId="12" borderId="0" applyAlignment="1" pivotButton="0" quotePrefix="0" xfId="0">
      <alignment vertical="center" wrapText="1"/>
    </xf>
    <xf numFmtId="0" fontId="18" fillId="13" borderId="7" applyAlignment="1" pivotButton="0" quotePrefix="0" xfId="0">
      <alignment vertical="top" wrapText="1"/>
    </xf>
    <xf numFmtId="0" fontId="0" fillId="0" borderId="7" applyAlignment="1" pivotButton="0" quotePrefix="0" xfId="0">
      <alignment vertical="top" wrapText="1"/>
    </xf>
    <xf numFmtId="0" fontId="17" fillId="14" borderId="0" pivotButton="0" quotePrefix="0" xfId="0"/>
    <xf numFmtId="0" fontId="0" fillId="0" borderId="0" applyAlignment="1" pivotButton="0" quotePrefix="0" xfId="0">
      <alignment vertical="top" wrapText="1"/>
    </xf>
    <xf numFmtId="0" fontId="19" fillId="0" borderId="0" pivotButton="0" quotePrefix="0" xfId="0"/>
    <xf numFmtId="0" fontId="20" fillId="15" borderId="0" applyAlignment="1" pivotButton="0" quotePrefix="0" xfId="0">
      <alignment vertical="top" wrapText="1"/>
    </xf>
    <xf numFmtId="0" fontId="21" fillId="15" borderId="0" applyAlignment="1" pivotButton="0" quotePrefix="0" xfId="0">
      <alignment vertical="top" wrapText="1"/>
    </xf>
    <xf numFmtId="0" fontId="20" fillId="16" borderId="0" applyAlignment="1" pivotButton="0" quotePrefix="0" xfId="0">
      <alignment vertical="top" wrapText="1"/>
    </xf>
    <xf numFmtId="0" fontId="21" fillId="16" borderId="0" applyAlignment="1" pivotButton="0" quotePrefix="0" xfId="0">
      <alignment vertical="top" wrapText="1"/>
    </xf>
    <xf numFmtId="0" fontId="4" fillId="0" borderId="0" pivotButton="0" quotePrefix="0" xfId="0"/>
    <xf numFmtId="165" fontId="7" fillId="3" borderId="2" applyAlignment="1" pivotButton="0" quotePrefix="0" xfId="0">
      <alignment horizontal="general" vertical="top" wrapText="1"/>
    </xf>
    <xf numFmtId="165" fontId="7" fillId="0" borderId="2"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dxfs count="23">
    <dxf>
      <fill>
        <patternFill>
          <bgColor rgb="FF0B2848"/>
        </patternFill>
      </fill>
    </dxf>
    <dxf>
      <fill>
        <patternFill>
          <bgColor rgb="FFE9EEF4"/>
        </patternFill>
      </fill>
    </dxf>
    <dxf>
      <fill>
        <patternFill>
          <bgColor rgb="FF08233F"/>
        </patternFill>
      </fill>
    </dxf>
    <dxf>
      <fill>
        <patternFill>
          <bgColor rgb="FFFFFFFF"/>
        </patternFill>
      </fill>
    </dxf>
    <dxf>
      <fill>
        <patternFill>
          <bgColor rgb="FF000000"/>
        </patternFill>
      </fill>
    </dxf>
    <dxf>
      <fill>
        <patternFill>
          <bgColor rgb="FF17212B"/>
        </patternFill>
      </fill>
    </dxf>
    <dxf>
      <fill>
        <patternFill>
          <bgColor rgb="FFFFF8E1"/>
        </patternFill>
      </fill>
    </dxf>
    <dxf>
      <fill>
        <patternFill>
          <bgColor rgb="FFE2F0D9"/>
        </patternFill>
      </fill>
    </dxf>
    <dxf>
      <fill>
        <patternFill>
          <bgColor rgb="FF548235"/>
        </patternFill>
      </fill>
    </dxf>
    <dxf>
      <font>
        <b val="1"/>
        <color rgb="FFC00000"/>
      </font>
      <fill>
        <patternFill>
          <bgColor rgb="FFFCE4D6"/>
        </patternFill>
      </fill>
    </dxf>
    <dxf>
      <font>
        <b val="1"/>
        <color rgb="FF548235"/>
      </font>
      <fill>
        <patternFill>
          <bgColor rgb="FFE2F0D9"/>
        </patternFill>
      </fill>
    </dxf>
    <dxf>
      <font>
        <b val="1"/>
        <color rgb="FF08233F"/>
      </font>
      <fill>
        <patternFill>
          <bgColor rgb="FFD9EAF7"/>
        </patternFill>
      </fill>
    </dxf>
    <dxf>
      <fill>
        <patternFill>
          <bgColor rgb="FFFCE4D6"/>
        </patternFill>
      </fill>
    </dxf>
    <dxf>
      <fill>
        <patternFill>
          <bgColor rgb="FFBF7A00"/>
        </patternFill>
      </fill>
    </dxf>
    <dxf>
      <fill>
        <patternFill>
          <bgColor rgb="FFC00000"/>
        </patternFill>
      </fill>
    </dxf>
    <dxf>
      <font>
        <b val="1"/>
        <color rgb="FFBF7A00"/>
      </font>
      <fill>
        <patternFill>
          <bgColor rgb="FFFCE4D6"/>
        </patternFill>
      </fill>
    </dxf>
    <dxf>
      <font>
        <b val="1"/>
        <color rgb="FFBF7A00"/>
      </font>
      <fill>
        <patternFill>
          <bgColor rgb="FFFFF2CC"/>
        </patternFill>
      </fill>
    </dxf>
    <dxf>
      <fill>
        <patternFill>
          <bgColor rgb="FFFFF2CC"/>
        </patternFill>
      </fill>
    </dxf>
    <dxf/>
    <dxf/>
    <dxf/>
    <dxf>
      <fill>
        <patternFill patternType="solid">
          <fgColor rgb="FFDDEBF7"/>
        </patternFill>
      </fill>
    </dxf>
    <dxf>
      <fill>
        <patternFill patternType="solid">
          <fgColor rgb="FFE7E6E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4C7DC"/>
      <rgbColor rgb="FF808080"/>
      <rgbColor rgb="FF9999FF"/>
      <rgbColor rgb="FF993366"/>
      <rgbColor rgb="FFFFF8E1"/>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9EEF4"/>
      <rgbColor rgb="FFE2F0D9"/>
      <rgbColor rgb="FFFFF2CC"/>
      <rgbColor rgb="FFF4F8FC"/>
      <rgbColor rgb="FFFF99CC"/>
      <rgbColor rgb="FFCC99FF"/>
      <rgbColor rgb="FFFCE4D6"/>
      <rgbColor rgb="FF3366FF"/>
      <rgbColor rgb="FF33CCCC"/>
      <rgbColor rgb="FF99CC00"/>
      <rgbColor rgb="FFFFCC00"/>
      <rgbColor rgb="FFFF9900"/>
      <rgbColor rgb="FFBF7A00"/>
      <rgbColor rgb="FF666699"/>
      <rgbColor rgb="FF969696"/>
      <rgbColor rgb="FF0B2848"/>
      <rgbColor rgb="FF339966"/>
      <rgbColor rgb="FF08233F"/>
      <rgbColor rgb="FF333300"/>
      <rgbColor rgb="FF993300"/>
      <rgbColor rgb="FF993366"/>
      <rgbColor rgb="FF1F436B"/>
      <rgbColor rgb="FF1721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AIMSObjectivesTable" displayName="AIMSObjectivesTable" ref="A6:S14" headerRowCount="1" totalsRowCount="0" totalsRowShown="0">
  <tableColumns count="19">
    <tableColumn id="1" name="Objective ID"/>
    <tableColumn id="2" name="Objective statement"/>
    <tableColumn id="3" name="Intended outcome"/>
    <tableColumn id="4" name="ISO / SoA links"/>
    <tableColumn id="5" name="Related AIMS risks"/>
    <tableColumn id="6" name="Measure"/>
    <tableColumn id="7" name="Baseline"/>
    <tableColumn id="8" name="Proposed target"/>
    <tableColumn id="9" name="Target date"/>
    <tableColumn id="10" name="Proposed owner"/>
    <tableColumn id="11" name="Supporting roles"/>
    <tableColumn id="12" name="Review cadence"/>
    <tableColumn id="13" name="Evidence source"/>
    <tableColumn id="14" name="Status"/>
    <tableColumn id="15" name="Current performance"/>
    <tableColumn id="16" name="Progress %"/>
    <tableColumn id="17" name="Last reviewed"/>
    <tableColumn id="18" name="Decision / next action"/>
    <tableColumn id="19" name="Record QA"/>
  </tableColumns>
</table>
</file>

<file path=xl/tables/table2.xml><?xml version="1.0" encoding="utf-8"?>
<table xmlns="http://schemas.openxmlformats.org/spreadsheetml/2006/main" id="2" name="RiskTreatmentTable" displayName="RiskTreatmentTable" ref="A6:X21" headerRowCount="1" totalsRowCount="0" totalsRowShown="0">
  <tableColumns count="24">
    <tableColumn id="1" name="Risk ID"/>
    <tableColumn id="2" name="Risk scenario"/>
    <tableColumn id="3" name="Cause / current gap"/>
    <tableColumn id="4" name="Potential consequence"/>
    <tableColumn id="5" name="Source"/>
    <tableColumn id="6" name="ISO / Annex A links"/>
    <tableColumn id="7" name="Inherent likelihood"/>
    <tableColumn id="8" name="Inherent impact"/>
    <tableColumn id="9" name="Inherent score"/>
    <tableColumn id="10" name="Inherent rating"/>
    <tableColumn id="11" name="Treatment option"/>
    <tableColumn id="12" name="Treatment / control action"/>
    <tableColumn id="13" name="Proposed owner"/>
    <tableColumn id="14" name="Status"/>
    <tableColumn id="15" name="Target date"/>
    <tableColumn id="16" name="Residual likelihood"/>
    <tableColumn id="17" name="Residual impact"/>
    <tableColumn id="18" name="Residual score"/>
    <tableColumn id="19" name="Residual rating"/>
    <tableColumn id="20" name="Related objective(s)"/>
    <tableColumn id="21" name="SoA control links"/>
    <tableColumn id="22" name="Evidence / record"/>
    <tableColumn id="23" name="Review trigger"/>
    <tableColumn id="24" name="Record QA"/>
  </tableColumns>
</table>
</file>

<file path=xl/tables/table3.xml><?xml version="1.0" encoding="utf-8"?>
<table xmlns="http://schemas.openxmlformats.org/spreadsheetml/2006/main" id="3" name="OpportunitiesTable" displayName="OpportunitiesTable" ref="A6:M11" headerRowCount="1" totalsRowCount="0" totalsRowShown="0">
  <tableColumns count="13">
    <tableColumn id="1" name="Opportunity ID"/>
    <tableColumn id="2" name="Opportunity"/>
    <tableColumn id="3" name="Expected benefit"/>
    <tableColumn id="4" name="Enablement / action"/>
    <tableColumn id="5" name="Related objective(s)"/>
    <tableColumn id="6" name="ISO / SoA links"/>
    <tableColumn id="7" name="Proposed owner"/>
    <tableColumn id="8" name="Priority"/>
    <tableColumn id="9" name="Status"/>
    <tableColumn id="10" name="Target date"/>
    <tableColumn id="11" name="Evidence / indicator"/>
    <tableColumn id="12" name="Review trigger"/>
    <tableColumn id="13" name="Record QA"/>
  </tableColumns>
</table>
</file>

<file path=xl/tables/table4.xml><?xml version="1.0" encoding="utf-8"?>
<table xmlns="http://schemas.openxmlformats.org/spreadsheetml/2006/main" id="4" name="ImprovementPlanTable" displayName="ImprovementPlanTable" ref="A6:T22" headerRowCount="1" totalsRowCount="0" totalsRowShown="0">
  <tableColumns count="20">
    <tableColumn id="1" name="Action ID"/>
    <tableColumn id="2" name="Improvement / implementation action"/>
    <tableColumn id="3" name="Rationale / source"/>
    <tableColumn id="4" name="Related risk(s)"/>
    <tableColumn id="5" name="Related objective(s)"/>
    <tableColumn id="6" name="ISO / SoA links"/>
    <tableColumn id="7" name="Acceptance criteria / evidence"/>
    <tableColumn id="8" name="Proposed owner"/>
    <tableColumn id="9" name="Supporting roles"/>
    <tableColumn id="10" name="Priority"/>
    <tableColumn id="11" name="Status"/>
    <tableColumn id="12" name="Planned start"/>
    <tableColumn id="13" name="Target completion"/>
    <tableColumn id="14" name="Progress %"/>
    <tableColumn id="15" name="Dependency"/>
    <tableColumn id="16" name="Evidence location"/>
    <tableColumn id="17" name="Closure validation"/>
    <tableColumn id="18" name="Last reviewed"/>
    <tableColumn id="19" name="RAG"/>
    <tableColumn id="20" name="Record QA"/>
  </tableColumns>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ColWidth="9.47265625" defaultRowHeight="15"/>
  <cols>
    <col width="36.27000045776367" customWidth="1" style="38" min="1" max="1"/>
    <col width="34.06999969482422" customWidth="1" style="38" min="2" max="2"/>
    <col width="4.400000095367432" customWidth="1" style="38" min="3" max="3"/>
    <col width="29.65999984741211" customWidth="1" style="38" min="4" max="4"/>
    <col width="17.59000015258789" customWidth="1" style="38" min="5" max="5"/>
    <col width="4.400000095367432" customWidth="1" style="38" min="6" max="6"/>
    <col width="30.77000045776367" customWidth="1" style="38" min="7" max="7"/>
    <col width="17.59000015258789" customWidth="1" style="38" min="8" max="8"/>
  </cols>
  <sheetData>
    <row r="1" ht="31.5" customHeight="1" s="39">
      <c r="A1" s="40" t="inlineStr">
        <is>
          <t>The Council — AIMS Objectives, Risk Treatment and Improvement Plan</t>
        </is>
      </c>
    </row>
    <row r="2" ht="21.75" customHeight="1" s="39">
      <c r="A2" s="41" t="inlineStr">
        <is>
          <t>AIG-AIMS-03  ·  v1.2 draft  ·  Draft for Council review  ·  OFFICIAL  ·  ISO/IEC 42001:2023</t>
        </is>
      </c>
    </row>
    <row r="3" ht="24" customHeight="1" s="39">
      <c r="A3" s="42" t="inlineStr">
        <is>
          <t>Purpose: translate the proposed AIMS scope and control design into measurable objectives, treated risks, opportunities and controlled implementation actions.</t>
        </is>
      </c>
    </row>
    <row r="4" ht="27.75" customHeight="1" s="39">
      <c r="A4" s="43" t="inlineStr">
        <is>
          <t>Status statement: all objectives, risk scores, treatments, opportunities and improvement actions are proposed starting positions. The Council must validate and approve owners, resources, baselines, targets, dates and risk decisions before use.</t>
        </is>
      </c>
    </row>
    <row r="6" ht="15" customHeight="1" s="39">
      <c r="A6" s="44" t="inlineStr">
        <is>
          <t>Document control</t>
        </is>
      </c>
      <c r="B6" s="44" t="inlineStr">
        <is>
          <t>Controlled value</t>
        </is>
      </c>
      <c r="D6" s="45" t="inlineStr">
        <is>
          <t>Objective readiness</t>
        </is>
      </c>
      <c r="G6" s="45" t="inlineStr">
        <is>
          <t>Risk and improvement readiness</t>
        </is>
      </c>
    </row>
    <row r="7" ht="21.75" customHeight="1" s="39">
      <c r="A7" s="46" t="inlineStr">
        <is>
          <t>Document ID</t>
        </is>
      </c>
      <c r="B7" s="47" t="inlineStr">
        <is>
          <t>AIG-AIMS-03</t>
        </is>
      </c>
      <c r="D7" s="48" t="inlineStr">
        <is>
          <t>Measure</t>
        </is>
      </c>
      <c r="E7" s="48" t="inlineStr">
        <is>
          <t>Result</t>
        </is>
      </c>
      <c r="G7" s="48" t="inlineStr">
        <is>
          <t>Measure</t>
        </is>
      </c>
      <c r="H7" s="48" t="inlineStr">
        <is>
          <t>Result</t>
        </is>
      </c>
    </row>
    <row r="8" ht="24" customHeight="1" s="39">
      <c r="A8" s="46" t="inlineStr">
        <is>
          <t>Version</t>
        </is>
      </c>
      <c r="B8" s="47" t="inlineStr">
        <is>
          <t>1.2 draft</t>
        </is>
      </c>
      <c r="D8" s="49" t="inlineStr">
        <is>
          <t>Proposed objectives</t>
        </is>
      </c>
      <c r="E8" s="50">
        <f>COUNTA('AIMS Objectives'!$A$7:$A$14)</f>
        <v/>
      </c>
      <c r="G8" s="49" t="inlineStr">
        <is>
          <t>AIMS-level risks</t>
        </is>
      </c>
      <c r="H8" s="50">
        <f>COUNTA('Risk Treatment'!$A$7:$A$21)</f>
        <v/>
      </c>
    </row>
    <row r="9" ht="24" customHeight="1" s="39">
      <c r="A9" s="46" t="inlineStr">
        <is>
          <t>Status</t>
        </is>
      </c>
      <c r="B9" s="47" t="inlineStr">
        <is>
          <t>Draft for Council review</t>
        </is>
      </c>
      <c r="D9" s="49" t="inlineStr">
        <is>
          <t>Approved / active</t>
        </is>
      </c>
      <c r="E9" s="50">
        <f>COUNTIF('AIMS Objectives'!$N$7:$N$14,"Approved")+COUNTIF('AIMS Objectives'!$N$7:$N$14,"Active")+COUNTIF('AIMS Objectives'!$N$7:$N$14,"Achieved")</f>
        <v/>
      </c>
      <c r="G9" s="49" t="inlineStr">
        <is>
          <t>Critical / high inherent</t>
        </is>
      </c>
      <c r="H9" s="50">
        <f>COUNTIF('Risk Treatment'!$J$7:$J$21,"Critical")+COUNTIF('Risk Treatment'!$J$7:$J$21,"High")</f>
        <v/>
      </c>
    </row>
    <row r="10" ht="24" customHeight="1" s="39">
      <c r="A10" s="46" t="inlineStr">
        <is>
          <t>Document owner</t>
        </is>
      </c>
      <c r="B10" s="47" t="inlineStr">
        <is>
          <t>AI Governance Lead</t>
        </is>
      </c>
      <c r="D10" s="49" t="inlineStr">
        <is>
          <t>At risk</t>
        </is>
      </c>
      <c r="E10" s="50">
        <f>COUNTIF('AIMS Objectives'!$N$7:$N$14,"At risk")</f>
        <v/>
      </c>
      <c r="G10" s="49" t="inlineStr">
        <is>
          <t>Residual ratings complete</t>
        </is>
      </c>
      <c r="H10" s="50">
        <f>COUNT('Risk Treatment'!$R$7:$R$21)</f>
        <v/>
      </c>
    </row>
    <row r="11" ht="24" customHeight="1" s="39">
      <c r="A11" s="46" t="inlineStr">
        <is>
          <t>Approving authority</t>
        </is>
      </c>
      <c r="B11" s="47" t="inlineStr">
        <is>
          <t>To be confirmed under Council delegations</t>
        </is>
      </c>
      <c r="D11" s="49" t="inlineStr">
        <is>
          <t>Average progress</t>
        </is>
      </c>
      <c r="E11" s="51">
        <f>AVERAGE('AIMS Objectives'!$P$7:$P$14)</f>
        <v/>
      </c>
      <c r="G11" s="49" t="inlineStr">
        <is>
          <t>Risk QA complete</t>
        </is>
      </c>
      <c r="H11" s="50">
        <f>COUNTIF('Risk Treatment'!$X$7:$X$21,"Complete")</f>
        <v/>
      </c>
    </row>
    <row r="12" ht="24" customHeight="1" s="39">
      <c r="A12" s="46" t="inlineStr">
        <is>
          <t>Effective date</t>
        </is>
      </c>
      <c r="B12" s="47" t="inlineStr">
        <is>
          <t>Pending formal approval</t>
        </is>
      </c>
      <c r="D12" s="49" t="inlineStr">
        <is>
          <t>Objectives with target dates</t>
        </is>
      </c>
      <c r="E12" s="50">
        <f>COUNT('AIMS Objectives'!$I$7:$I$14)</f>
        <v/>
      </c>
      <c r="G12" s="49" t="inlineStr">
        <is>
          <t>Opportunities</t>
        </is>
      </c>
      <c r="H12" s="50">
        <f>COUNTA(Opportunities!$A$7:$A$11)</f>
        <v/>
      </c>
    </row>
    <row r="13" ht="24" customHeight="1" s="39">
      <c r="A13" s="46" t="inlineStr">
        <is>
          <t>Review frequency</t>
        </is>
      </c>
      <c r="B13" s="47" t="inlineStr">
        <is>
          <t>Monthly during implementation; at least quarterly thereafter</t>
        </is>
      </c>
      <c r="D13" s="49" t="inlineStr">
        <is>
          <t>Last reviews recorded</t>
        </is>
      </c>
      <c r="E13" s="50">
        <f>COUNT('AIMS Objectives'!$Q$7:$Q$14)</f>
        <v/>
      </c>
      <c r="G13" s="49" t="inlineStr">
        <is>
          <t>Improvement actions</t>
        </is>
      </c>
      <c r="H13" s="50">
        <f>COUNTA('Improvement Plan'!$A$7:$A$23)</f>
        <v/>
      </c>
    </row>
    <row r="14" ht="24" customHeight="1" s="39">
      <c r="A14" s="46" t="inlineStr">
        <is>
          <t>Source position</t>
        </is>
      </c>
      <c r="B14" s="47" t="inlineStr">
        <is>
          <t>AIG-AIMS-01, AIG-AIMS-02 and AI Governance Playbook (AIG-GOV-02, current controlled version per AIG-GOV-03)</t>
        </is>
      </c>
      <c r="D14" s="49" t="inlineStr">
        <is>
          <t>Objective QA complete</t>
        </is>
      </c>
      <c r="E14" s="50">
        <f>COUNTIF('AIMS Objectives'!$S$7:$S$14,"Complete")</f>
        <v/>
      </c>
      <c r="G14" s="49" t="inlineStr">
        <is>
          <t>Actions complete</t>
        </is>
      </c>
      <c r="H14" s="50">
        <f>COUNTIF('Improvement Plan'!$K$7:$K$23,"Complete")</f>
        <v/>
      </c>
    </row>
    <row r="15" ht="24" customHeight="1" s="39">
      <c r="A15" s="46" t="inlineStr">
        <is>
          <t>Classification</t>
        </is>
      </c>
      <c r="B15" s="47" t="inlineStr">
        <is>
          <t>OFFICIAL</t>
        </is>
      </c>
      <c r="G15" s="49" t="inlineStr">
        <is>
          <t>Action QA complete</t>
        </is>
      </c>
      <c r="H15" s="50">
        <f>COUNTIF('Improvement Plan'!$T$7:$T$23,"Complete")</f>
        <v/>
      </c>
    </row>
    <row r="17" ht="15" customHeight="1" s="39">
      <c r="A17" s="45" t="inlineStr">
        <is>
          <t>Inherent risk profile</t>
        </is>
      </c>
      <c r="D17" s="45" t="inlineStr">
        <is>
          <t>Objective status</t>
        </is>
      </c>
      <c r="G17" s="45" t="inlineStr">
        <is>
          <t>Improvement status</t>
        </is>
      </c>
    </row>
    <row r="18" ht="21.75" customHeight="1" s="39">
      <c r="A18" s="49" t="inlineStr">
        <is>
          <t>Critical</t>
        </is>
      </c>
      <c r="B18" s="52">
        <f>COUNTIF('Risk Treatment'!$J$7:$J$21,A18)</f>
        <v/>
      </c>
      <c r="D18" s="49" t="inlineStr">
        <is>
          <t>Draft</t>
        </is>
      </c>
      <c r="E18" s="52">
        <f>COUNTIF('AIMS Objectives'!$N$7:$N$14,D18)</f>
        <v/>
      </c>
      <c r="G18" s="49" t="inlineStr">
        <is>
          <t>Not started</t>
        </is>
      </c>
      <c r="H18" s="52">
        <f>COUNTIF('Improvement Plan'!$K$7:$K$23,G18)</f>
        <v/>
      </c>
    </row>
    <row r="19" ht="21.75" customHeight="1" s="39">
      <c r="A19" s="49" t="inlineStr">
        <is>
          <t>High</t>
        </is>
      </c>
      <c r="B19" s="52">
        <f>COUNTIF('Risk Treatment'!$J$7:$J$21,A19)</f>
        <v/>
      </c>
      <c r="D19" s="49" t="inlineStr">
        <is>
          <t>Approved</t>
        </is>
      </c>
      <c r="E19" s="52">
        <f>COUNTIF('AIMS Objectives'!$N$7:$N$14,D19)</f>
        <v/>
      </c>
      <c r="G19" s="49" t="inlineStr">
        <is>
          <t>Planned</t>
        </is>
      </c>
      <c r="H19" s="52">
        <f>COUNTIF('Improvement Plan'!$K$7:$K$23,G19)</f>
        <v/>
      </c>
    </row>
    <row r="20" ht="21.75" customHeight="1" s="39">
      <c r="A20" s="49" t="inlineStr">
        <is>
          <t>Medium</t>
        </is>
      </c>
      <c r="B20" s="52">
        <f>COUNTIF('Risk Treatment'!$J$7:$J$21,A20)</f>
        <v/>
      </c>
      <c r="D20" s="49" t="inlineStr">
        <is>
          <t>Active</t>
        </is>
      </c>
      <c r="E20" s="52">
        <f>COUNTIF('AIMS Objectives'!$N$7:$N$14,D20)</f>
        <v/>
      </c>
      <c r="G20" s="49" t="inlineStr">
        <is>
          <t>In progress</t>
        </is>
      </c>
      <c r="H20" s="52">
        <f>COUNTIF('Improvement Plan'!$K$7:$K$23,G20)</f>
        <v/>
      </c>
    </row>
    <row r="21" ht="21.75" customHeight="1" s="39">
      <c r="A21" s="49" t="inlineStr">
        <is>
          <t>Low</t>
        </is>
      </c>
      <c r="B21" s="52">
        <f>COUNTIF('Risk Treatment'!$J$7:$J$21,A21)</f>
        <v/>
      </c>
      <c r="D21" s="49" t="inlineStr">
        <is>
          <t>At risk</t>
        </is>
      </c>
      <c r="E21" s="52">
        <f>COUNTIF('AIMS Objectives'!$N$7:$N$14,D21)</f>
        <v/>
      </c>
      <c r="G21" s="49" t="inlineStr">
        <is>
          <t>Blocked</t>
        </is>
      </c>
      <c r="H21" s="52">
        <f>COUNTIF('Improvement Plan'!$K$7:$K$23,G21)</f>
        <v/>
      </c>
    </row>
    <row r="22" ht="21.75" customHeight="1" s="39">
      <c r="D22" s="49" t="inlineStr">
        <is>
          <t>Achieved</t>
        </is>
      </c>
      <c r="E22" s="52">
        <f>COUNTIF('AIMS Objectives'!$N$7:$N$14,D22)</f>
        <v/>
      </c>
      <c r="G22" s="49" t="inlineStr">
        <is>
          <t>Complete</t>
        </is>
      </c>
      <c r="H22" s="52">
        <f>COUNTIF('Improvement Plan'!$K$7:$K$23,G22)</f>
        <v/>
      </c>
    </row>
    <row r="23" ht="21.75" customHeight="1" s="39">
      <c r="D23" s="49" t="inlineStr">
        <is>
          <t>Paused</t>
        </is>
      </c>
      <c r="E23" s="52">
        <f>COUNTIF('AIMS Objectives'!$N$7:$N$14,D23)</f>
        <v/>
      </c>
      <c r="G23" s="49" t="inlineStr">
        <is>
          <t>Cancelled</t>
        </is>
      </c>
      <c r="H23" s="52">
        <f>COUNTIF('Improvement Plan'!$K$7:$K$23,G23)</f>
        <v/>
      </c>
    </row>
    <row r="24" ht="21.75" customHeight="1" s="39">
      <c r="D24" s="49" t="inlineStr">
        <is>
          <t>Closed</t>
        </is>
      </c>
      <c r="E24" s="52">
        <f>COUNTIF('AIMS Objectives'!$N$7:$N$14,D24)</f>
        <v/>
      </c>
    </row>
    <row r="26" ht="15" customHeight="1" s="39">
      <c r="A26" s="44" t="inlineStr">
        <is>
          <t>Recommended adoption sequence</t>
        </is>
      </c>
    </row>
    <row r="27" ht="24.75" customHeight="1" s="39">
      <c r="A27" s="53" t="inlineStr">
        <is>
          <t>1. Confirm accountable ownership, approval authority and the proposed AIMS scope (AIG-AIMS-01).</t>
        </is>
      </c>
      <c r="B27" s="54" t="n"/>
      <c r="C27" s="54" t="n"/>
      <c r="D27" s="54" t="n"/>
      <c r="E27" s="54" t="n"/>
      <c r="F27" s="54" t="n"/>
      <c r="G27" s="54" t="n"/>
      <c r="H27" s="55" t="n"/>
    </row>
    <row r="28" ht="24.75" customHeight="1" s="39">
      <c r="A28" s="53" t="inlineStr">
        <is>
          <t>2. Validate the 38 Annex A decisions against the Council’s licensed standard and approve AIG-AIMS-02.</t>
        </is>
      </c>
      <c r="B28" s="54" t="n"/>
      <c r="C28" s="54" t="n"/>
      <c r="D28" s="54" t="n"/>
      <c r="E28" s="54" t="n"/>
      <c r="F28" s="54" t="n"/>
      <c r="G28" s="54" t="n"/>
      <c r="H28" s="55" t="n"/>
    </row>
    <row r="29" ht="24.75" customHeight="1" s="39">
      <c r="A29" s="53" t="inlineStr">
        <is>
          <t>3. Approve policy, objectives, risk criteria, risk acceptance and the implementation programme.</t>
        </is>
      </c>
      <c r="B29" s="54" t="n"/>
      <c r="C29" s="54" t="n"/>
      <c r="D29" s="54" t="n"/>
      <c r="E29" s="54" t="n"/>
      <c r="F29" s="54" t="n"/>
      <c r="G29" s="54" t="n"/>
      <c r="H29" s="55" t="n"/>
    </row>
    <row r="30" ht="24.75" customHeight="1" s="39">
      <c r="A30" s="53" t="inlineStr">
        <is>
          <t>4. Establish roles, competence, applicable requirements, inventory completeness and controlled evidence arrangements.</t>
        </is>
      </c>
      <c r="B30" s="54" t="n"/>
      <c r="C30" s="54" t="n"/>
      <c r="D30" s="54" t="n"/>
      <c r="E30" s="54" t="n"/>
      <c r="F30" s="54" t="n"/>
      <c r="G30" s="54" t="n"/>
      <c r="H30" s="55" t="n"/>
    </row>
    <row r="31" ht="24.75" customHeight="1" s="39">
      <c r="A31" s="53" t="inlineStr">
        <is>
          <t>5. Pilot the full lifecycle, supplier controls and monitoring on representative real AI systems.</t>
        </is>
      </c>
      <c r="B31" s="54" t="n"/>
      <c r="C31" s="54" t="n"/>
      <c r="D31" s="54" t="n"/>
      <c r="E31" s="54" t="n"/>
      <c r="F31" s="54" t="n"/>
      <c r="G31" s="54" t="n"/>
      <c r="H31" s="55" t="n"/>
    </row>
    <row r="32" ht="24.75" customHeight="1" s="39">
      <c r="A32" s="53" t="inlineStr">
        <is>
          <t>6. Exercise incident and corrective-action processes, then conduct the first internal audit.</t>
        </is>
      </c>
      <c r="B32" s="54" t="n"/>
      <c r="C32" s="54" t="n"/>
      <c r="D32" s="54" t="n"/>
      <c r="E32" s="54" t="n"/>
      <c r="F32" s="54" t="n"/>
      <c r="G32" s="54" t="n"/>
      <c r="H32" s="55" t="n"/>
    </row>
    <row r="33" ht="24.75" customHeight="1" s="39">
      <c r="A33" s="53" t="inlineStr">
        <is>
          <t>7. Complete management review; update objectives, risks, SoA and improvement priorities from evidence.</t>
        </is>
      </c>
      <c r="B33" s="54" t="n"/>
      <c r="C33" s="54" t="n"/>
      <c r="D33" s="54" t="n"/>
      <c r="E33" s="54" t="n"/>
      <c r="F33" s="54" t="n"/>
      <c r="G33" s="54" t="n"/>
      <c r="H33" s="55" t="n"/>
    </row>
    <row r="35" ht="15" customHeight="1" s="39">
      <c r="A35" s="56" t="inlineStr">
        <is>
          <t>Version</t>
        </is>
      </c>
      <c r="B35" s="56" t="inlineStr">
        <is>
          <t>Date</t>
        </is>
      </c>
      <c r="C35" s="56" t="inlineStr">
        <is>
          <t>Change</t>
        </is>
      </c>
      <c r="G35" s="56" t="inlineStr">
        <is>
          <t>Author / owner</t>
        </is>
      </c>
    </row>
    <row r="36" ht="36" customHeight="1" s="39">
      <c r="A36" s="57" t="inlineStr">
        <is>
          <t>1.0 draft</t>
        </is>
      </c>
      <c r="B36" s="58" t="n">
        <v>46241</v>
      </c>
      <c r="C36" s="57" t="inlineStr">
        <is>
          <t>Initial AIMS objectives, risk treatment, opportunities and improvement plan mapped to the AI Governance Playbook (AIG-GOV-02), AIG-AIMS-01 and AIG-AIMS-02.</t>
        </is>
      </c>
      <c r="D36" s="54" t="n"/>
      <c r="E36" s="54" t="n"/>
      <c r="F36" s="55" t="n"/>
      <c r="G36" s="57" t="inlineStr">
        <is>
          <t>AI Governance Lead</t>
        </is>
      </c>
      <c r="H36" s="55" t="n"/>
    </row>
    <row r="37" s="39">
      <c r="A37" s="0" t="inlineStr">
        <is>
          <t>1.1 draft</t>
        </is>
      </c>
      <c r="B37" s="0" t="inlineStr">
        <is>
          <t>28 September 2026</t>
        </is>
      </c>
      <c r="C37" s="0" t="inlineStr">
        <is>
          <t>Correct risk-tier boundaries, residual-rating thresholds and objective QA colours.</t>
        </is>
      </c>
    </row>
    <row r="38">
      <c r="A38" s="38" t="inlineStr">
        <is>
          <t>1.2 draft</t>
        </is>
      </c>
      <c r="B38" s="38" t="inlineStr">
        <is>
          <t>29 September 2026</t>
        </is>
      </c>
      <c r="C38" s="38" t="inlineStr">
        <is>
          <t>QA remediation — applied findings QA-074, QA-214, QA-218, QA-220, QA-238, QA-240, QA-241, QA-243, QA-251, QA-254, QA-281, QA-284, QA-291 (see QA change log). Residual scoring now uses the Playbook §4.4.3 control-effectiveness factor.</t>
        </is>
      </c>
      <c r="D38" s="88" t="n"/>
      <c r="E38" s="88" t="n"/>
      <c r="F38" s="88" t="n"/>
      <c r="G38" s="88" t="inlineStr">
        <is>
          <t>AI Governance Lead</t>
        </is>
      </c>
      <c r="H38" s="88" t="n"/>
    </row>
  </sheetData>
  <mergeCells count="21">
    <mergeCell ref="A30:H30"/>
    <mergeCell ref="G36:H36"/>
    <mergeCell ref="A1:H1"/>
    <mergeCell ref="G17:H17"/>
    <mergeCell ref="D6:E6"/>
    <mergeCell ref="G6:H6"/>
    <mergeCell ref="D17:E17"/>
    <mergeCell ref="A27:H27"/>
    <mergeCell ref="A3:H3"/>
    <mergeCell ref="A26:H26"/>
    <mergeCell ref="C35:F35"/>
    <mergeCell ref="A2:H2"/>
    <mergeCell ref="A33:H33"/>
    <mergeCell ref="A17:B17"/>
    <mergeCell ref="A32:H32"/>
    <mergeCell ref="G35:H35"/>
    <mergeCell ref="A4:H4"/>
    <mergeCell ref="A29:H29"/>
    <mergeCell ref="A28:H28"/>
    <mergeCell ref="A31:H31"/>
    <mergeCell ref="C36:F36"/>
  </mergeCells>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14"/>
  <sheetViews>
    <sheetView showGridLines="0" workbookViewId="0">
      <selection activeCell="A1" sqref="A1"/>
    </sheetView>
  </sheetViews>
  <sheetFormatPr baseColWidth="8" defaultColWidth="9.47265625" defaultRowHeight="15"/>
  <cols>
    <col width="13.1899995803833" customWidth="1" style="38" min="1" max="1"/>
    <col width="36.27000045776367" customWidth="1" style="38" min="2" max="2"/>
    <col width="41.7599983215332" customWidth="1" style="38" min="3" max="3"/>
    <col width="25.28000068664551" customWidth="1" style="38" min="4" max="4"/>
    <col width="17.59000015258789" customWidth="1" style="38" min="5" max="5"/>
    <col width="41.7599983215332" customWidth="1" style="38" min="6" max="6"/>
    <col width="30.77000045776367" customWidth="1" style="38" min="7" max="7"/>
    <col width="41.7599983215332" customWidth="1" style="38" min="8" max="8"/>
    <col width="14.28999996185303" customWidth="1" style="38" min="9" max="9"/>
    <col width="26.3799991607666" customWidth="1" style="38" min="10" max="10"/>
    <col width="32.97000122070312" customWidth="1" style="38" min="11" max="11"/>
    <col width="26.3799991607666" customWidth="1" style="38" min="12" max="12"/>
    <col width="37.36999893188477" customWidth="1" style="38" min="13" max="13"/>
    <col width="16.48999977111816" customWidth="1" style="38" min="14" max="14"/>
    <col width="25.28000068664551" customWidth="1" style="38" min="15" max="15"/>
    <col width="13.1899995803833" customWidth="1" style="38" min="16" max="16"/>
    <col width="14.28999996185303" customWidth="1" style="38" min="17" max="17"/>
    <col width="37.36999893188477" customWidth="1" style="38" min="18" max="18"/>
    <col width="17.59000015258789" customWidth="1" style="38" min="19" max="19"/>
  </cols>
  <sheetData>
    <row r="1" ht="31.5" customHeight="1" s="39">
      <c r="A1" s="40" t="inlineStr">
        <is>
          <t>The Council — AIMS Objectives Register</t>
        </is>
      </c>
    </row>
    <row r="2" ht="21.75" customHeight="1" s="39">
      <c r="A2" s="41" t="inlineStr">
        <is>
          <t>AIG-AIMS-03  ·  v1.2 draft  ·  Draft for Council review  ·  OFFICIAL</t>
        </is>
      </c>
    </row>
    <row r="3" ht="24" customHeight="1" s="39">
      <c r="A3" s="42" t="inlineStr">
        <is>
          <t>Purpose: define proposed measurable AIMS objectives, owners, evidence, review arrangements and progress.</t>
        </is>
      </c>
    </row>
    <row r="4" ht="27.75" customHeight="1" s="39">
      <c r="A4" s="43" t="inlineStr">
        <is>
          <t>Current position: the eight entries are draft management-system objectives. Baselines, targets, dates, resources and approval must be validated before they become Council commitments.</t>
        </is>
      </c>
    </row>
    <row r="6" ht="42" customHeight="1" s="39">
      <c r="A6" s="59" t="inlineStr">
        <is>
          <t>Objective ID</t>
        </is>
      </c>
      <c r="B6" s="59" t="inlineStr">
        <is>
          <t>Objective statement</t>
        </is>
      </c>
      <c r="C6" s="59" t="inlineStr">
        <is>
          <t>Intended outcome</t>
        </is>
      </c>
      <c r="D6" s="59" t="inlineStr">
        <is>
          <t>ISO / SoA links</t>
        </is>
      </c>
      <c r="E6" s="59" t="inlineStr">
        <is>
          <t>Related AIMS risks</t>
        </is>
      </c>
      <c r="F6" s="59" t="inlineStr">
        <is>
          <t>Measure</t>
        </is>
      </c>
      <c r="G6" s="59" t="inlineStr">
        <is>
          <t>Baseline</t>
        </is>
      </c>
      <c r="H6" s="59" t="inlineStr">
        <is>
          <t>Proposed target</t>
        </is>
      </c>
      <c r="I6" s="59" t="inlineStr">
        <is>
          <t>Target date</t>
        </is>
      </c>
      <c r="J6" s="59" t="inlineStr">
        <is>
          <t>Proposed owner</t>
        </is>
      </c>
      <c r="K6" s="59" t="inlineStr">
        <is>
          <t>Supporting roles</t>
        </is>
      </c>
      <c r="L6" s="59" t="inlineStr">
        <is>
          <t>Review cadence</t>
        </is>
      </c>
      <c r="M6" s="59" t="inlineStr">
        <is>
          <t>Evidence source</t>
        </is>
      </c>
      <c r="N6" s="59" t="inlineStr">
        <is>
          <t>Status</t>
        </is>
      </c>
      <c r="O6" s="59" t="inlineStr">
        <is>
          <t>Current performance</t>
        </is>
      </c>
      <c r="P6" s="59" t="inlineStr">
        <is>
          <t>Progress %</t>
        </is>
      </c>
      <c r="Q6" s="59" t="inlineStr">
        <is>
          <t>Last reviewed</t>
        </is>
      </c>
      <c r="R6" s="59" t="inlineStr">
        <is>
          <t>Decision / next action</t>
        </is>
      </c>
      <c r="S6" s="59" t="inlineStr">
        <is>
          <t>Record QA</t>
        </is>
      </c>
    </row>
    <row r="7" ht="32.25" customHeight="1" s="39">
      <c r="A7" s="60" t="inlineStr">
        <is>
          <t>OBJ-01</t>
        </is>
      </c>
      <c r="B7" s="61" t="inlineStr">
        <is>
          <t>Maintain a complete and current inventory of in-scope AI activity.</t>
        </is>
      </c>
      <c r="C7" s="61" t="inlineStr">
        <is>
          <t>Leadership has reliable visibility of every Council AI use, its owner, lifecycle status and governance tier.</t>
        </is>
      </c>
      <c r="D7" s="61" t="inlineStr">
        <is>
          <t>ISO 6.2; A.4.2; A.8.5; A.9.2</t>
        </is>
      </c>
      <c r="E7" s="61" t="inlineStr">
        <is>
          <t>R-02, R-03</t>
        </is>
      </c>
      <c r="F7" s="61" t="inlineStr">
        <is>
          <t>Percentage of known in-scope AI systems with a valid AI Register ID, accountable owner, AGPI tier, lifecycle status and review date.</t>
        </is>
      </c>
      <c r="G7" s="61" t="inlineStr">
        <is>
          <t>Not established — inventory completeness review required.</t>
        </is>
      </c>
      <c r="H7" s="61" t="inlineStr">
        <is>
          <t>Proposed: 100% of known in-scope systems complete; quarterly completeness checks and documented shadow-AI follow-up.</t>
        </is>
      </c>
      <c r="I7" s="62" t="n"/>
      <c r="J7" s="61" t="inlineStr">
        <is>
          <t>AI Governance Lead</t>
        </is>
      </c>
      <c r="K7" s="61" t="inlineStr">
        <is>
          <t>Service Owners; Digital; Data; Procurement; Security; Internal Audit</t>
        </is>
      </c>
      <c r="L7" s="61" t="inlineStr">
        <is>
          <t>Monthly during implementation; quarterly when established</t>
        </is>
      </c>
      <c r="M7" s="61" t="inlineStr">
        <is>
          <t>AIG-INV-04 AI Register; AIG-OPS-06 Dashboard; completeness-review records</t>
        </is>
      </c>
      <c r="N7" s="63" t="inlineStr">
        <is>
          <t>Draft</t>
        </is>
      </c>
      <c r="O7" s="63" t="inlineStr">
        <is>
          <t>Not measured</t>
        </is>
      </c>
      <c r="P7" s="64" t="n">
        <v>0</v>
      </c>
      <c r="Q7" s="62" t="n"/>
      <c r="R7" s="61" t="inlineStr">
        <is>
          <t>Approve the metric definition, data owner, completeness-testing method and target date.</t>
        </is>
      </c>
      <c r="S7" s="61">
        <f>IF(AND(A7&lt;&gt;"",B7&lt;&gt;"",C7&lt;&gt;"",D7&lt;&gt;"",E7&lt;&gt;"",F7&lt;&gt;"",G7&lt;&gt;"",H7&lt;&gt;"",J7&lt;&gt;"",L7&lt;&gt;"",M7&lt;&gt;"",N7&lt;&gt;"",R7&lt;&gt;""),IF(OR(N7="Draft",I7&lt;&gt;""),"Complete","Target date missing"),"Incomplete")</f>
        <v/>
      </c>
    </row>
    <row r="8" ht="32.25" customHeight="1" s="39">
      <c r="A8" s="60" t="inlineStr">
        <is>
          <t>OBJ-02</t>
        </is>
      </c>
      <c r="B8" s="61" t="inlineStr">
        <is>
          <t>Apply proportionate governance and approval before AI deployment or material change.</t>
        </is>
      </c>
      <c r="C8" s="61" t="inlineStr">
        <is>
          <t>AI systems progress through traceable, risk-tiered decisions with conditions closed before operational use.</t>
        </is>
      </c>
      <c r="D8" s="61" t="inlineStr">
        <is>
          <t>ISO 6.2, 8.1; A.5.2-A.5.5; A.6.2.2-A.6.2.6; A.9.2</t>
        </is>
      </c>
      <c r="E8" s="61" t="inlineStr">
        <is>
          <t>R-01, R-03, R-04</t>
        </is>
      </c>
      <c r="F8" s="61" t="inlineStr">
        <is>
          <t>Percentage of high/critical cases with complete required assessments, authorised decision record and no open critical go-live condition.</t>
        </is>
      </c>
      <c r="G8" s="61" t="inlineStr">
        <is>
          <t>Not established — live case baseline required.</t>
        </is>
      </c>
      <c r="H8" s="61" t="inlineStr">
        <is>
          <t>Proposed: 100% before go-live or material change; zero operational systems with an unresolved critical approval condition.</t>
        </is>
      </c>
      <c r="I8" s="62" t="n"/>
      <c r="J8" s="61" t="inlineStr">
        <is>
          <t>AI Governance Lead / Service Owner</t>
        </is>
      </c>
      <c r="K8" s="61" t="inlineStr">
        <is>
          <t>Governance bodies; Legal; DPO; Equality; Security; Procurement</t>
        </is>
      </c>
      <c r="L8" s="61" t="inlineStr">
        <is>
          <t>At every decision gate; monthly portfolio review</t>
        </is>
      </c>
      <c r="M8" s="61" t="inlineStr">
        <is>
          <t>AIG-INV-03, AIG-INV-04, AIG-ASS-01, AIG-ASS-02, AIG-ASS-03, AIG-ASS-04, AIG-ASS-05, AIG-ASS-06, AIG-ASS-07, AIG-ASS-08, AIG-ASS-09, AIG-ASS-10 and AIG-DEC-03; AIG-GOV-06; AIG-OPS-01; governance minutes</t>
        </is>
      </c>
      <c r="N8" s="63" t="inlineStr">
        <is>
          <t>Draft</t>
        </is>
      </c>
      <c r="O8" s="63" t="inlineStr">
        <is>
          <t>Not measured</t>
        </is>
      </c>
      <c r="P8" s="64" t="n">
        <v>0</v>
      </c>
      <c r="Q8" s="62" t="n"/>
      <c r="R8" s="61" t="inlineStr">
        <is>
          <t>Validate the decision thresholds, exception route, approval authority and reporting frequency.</t>
        </is>
      </c>
      <c r="S8" s="61">
        <f>IF(AND(A8&lt;&gt;"",B8&lt;&gt;"",C8&lt;&gt;"",D8&lt;&gt;"",E8&lt;&gt;"",F8&lt;&gt;"",G8&lt;&gt;"",H8&lt;&gt;"",J8&lt;&gt;"",L8&lt;&gt;"",M8&lt;&gt;"",N8&lt;&gt;"",R8&lt;&gt;""),IF(OR(N8="Draft",I8&lt;&gt;""),"Complete","Target date missing"),"Incomplete")</f>
        <v/>
      </c>
    </row>
    <row r="9" ht="42.75" customHeight="1" s="39">
      <c r="A9" s="60" t="inlineStr">
        <is>
          <t>OBJ-03</t>
        </is>
      </c>
      <c r="B9" s="61" t="inlineStr">
        <is>
          <t>Identify and manage impacts on residents, staff, communities and protected or vulnerable groups.</t>
        </is>
      </c>
      <c r="C9" s="61" t="inlineStr">
        <is>
          <t>Material privacy, equality, human-rights, safeguarding and societal impacts are assessed and treated before approval and monitored in use.</t>
        </is>
      </c>
      <c r="D9" s="61" t="inlineStr">
        <is>
          <t>ISO 6.2; A.5.2-A.5.5; A.8.2-A.8.5</t>
        </is>
      </c>
      <c r="E9" s="61" t="inlineStr">
        <is>
          <t>R-06, R-07, R-08, R-13</t>
        </is>
      </c>
      <c r="F9" s="61" t="inlineStr">
        <is>
          <t>Percentage of cases triggering DPIA, Equality Impact Assessment, Human Rights Assessment or Responsible AI Assessment completed, approved and linked to the AI Register.</t>
        </is>
      </c>
      <c r="G9" s="61" t="inlineStr">
        <is>
          <t>Not established — assessment population and baseline required.</t>
        </is>
      </c>
      <c r="H9" s="61" t="inlineStr">
        <is>
          <t>Proposed: 100% of triggered assessments completed before approval; all material actions assigned and tracked to closure.</t>
        </is>
      </c>
      <c r="I9" s="62" t="n"/>
      <c r="J9" s="61" t="inlineStr">
        <is>
          <t>Service Owner / AI Governance Lead</t>
        </is>
      </c>
      <c r="K9" s="61" t="inlineStr">
        <is>
          <t>DPO; Equality and Human Rights Leads; Legal; Safeguarding; Communications</t>
        </is>
      </c>
      <c r="L9" s="61" t="inlineStr">
        <is>
          <t>At intake, before approval and on material change</t>
        </is>
      </c>
      <c r="M9" s="61" t="inlineStr">
        <is>
          <t>AIG-ASS-04 to AIG-ASS-07; AIG-DEC-03; AIG-OPS-05; action records</t>
        </is>
      </c>
      <c r="N9" s="63" t="inlineStr">
        <is>
          <t>Draft</t>
        </is>
      </c>
      <c r="O9" s="63" t="inlineStr">
        <is>
          <t>Not measured</t>
        </is>
      </c>
      <c r="P9" s="64" t="n">
        <v>0</v>
      </c>
      <c r="Q9" s="62" t="n"/>
      <c r="R9" s="61" t="inlineStr">
        <is>
          <t>Confirm assessment triggers, specialist sign-off rules, action ownership and evidence retention.</t>
        </is>
      </c>
      <c r="S9" s="61">
        <f>IF(AND(A9&lt;&gt;"",B9&lt;&gt;"",C9&lt;&gt;"",D9&lt;&gt;"",E9&lt;&gt;"",F9&lt;&gt;"",G9&lt;&gt;"",H9&lt;&gt;"",J9&lt;&gt;"",L9&lt;&gt;"",M9&lt;&gt;"",N9&lt;&gt;"",R9&lt;&gt;""),IF(OR(N9="Draft",I9&lt;&gt;""),"Complete","Target date missing"),"Incomplete")</f>
        <v/>
      </c>
    </row>
    <row r="10" ht="42.75" customHeight="1" s="39">
      <c r="A10" s="60" t="inlineStr">
        <is>
          <t>OBJ-04</t>
        </is>
      </c>
      <c r="B10" s="61" t="inlineStr">
        <is>
          <t>Assure data, technical, security and operational readiness for production AI.</t>
        </is>
      </c>
      <c r="C10" s="61" t="inlineStr">
        <is>
          <t>AI systems operate within approved data, performance, resilience, security and change-control parameters.</t>
        </is>
      </c>
      <c r="D10" s="61" t="inlineStr">
        <is>
          <t>ISO 6.2, 8.1; A.4.2-A.4.6; A.6.2.2-A.6.2.8; A.7.2-A.7.6</t>
        </is>
      </c>
      <c r="E10" s="61" t="inlineStr">
        <is>
          <t>R-07, R-10, R-11, R-15</t>
        </is>
      </c>
      <c r="F10" s="61" t="inlineStr">
        <is>
          <t>Percentage of production systems with approved data controls, verification/validation, security review, deployment plan, monitoring thresholds and rollback or exit arrangements.</t>
        </is>
      </c>
      <c r="G10" s="61" t="inlineStr">
        <is>
          <t>Not established — production-system baseline required.</t>
        </is>
      </c>
      <c r="H10" s="61" t="inlineStr">
        <is>
          <t>Proposed: 100% of production systems meet the applicable readiness set; zero unresolved critical security or validation finding at go-live.</t>
        </is>
      </c>
      <c r="I10" s="62" t="n"/>
      <c r="J10" s="61" t="inlineStr">
        <is>
          <t>Service Owner / AI Technical Lead</t>
        </is>
      </c>
      <c r="K10" s="61" t="inlineStr">
        <is>
          <t>Data Owner; Security; Architecture; Information Governance; Supplier Owner</t>
        </is>
      </c>
      <c r="L10" s="61" t="inlineStr">
        <is>
          <t>Before go-live; monthly or risk-based operational review</t>
        </is>
      </c>
      <c r="M10" s="61" t="inlineStr">
        <is>
          <t>AIG-ASS-02; AIG-ASS-09; AIG-ASS-11; AIG-OPS-01; test and monitoring evidence</t>
        </is>
      </c>
      <c r="N10" s="63" t="inlineStr">
        <is>
          <t>Draft</t>
        </is>
      </c>
      <c r="O10" s="63" t="inlineStr">
        <is>
          <t>Not measured</t>
        </is>
      </c>
      <c r="P10" s="64" t="n">
        <v>0</v>
      </c>
      <c r="Q10" s="62" t="n"/>
      <c r="R10" s="61" t="inlineStr">
        <is>
          <t>Agree the minimum readiness set by risk tier and establish evidence owners for each live system.</t>
        </is>
      </c>
      <c r="S10" s="61">
        <f>IF(AND(A10&lt;&gt;"",B10&lt;&gt;"",C10&lt;&gt;"",D10&lt;&gt;"",E10&lt;&gt;"",F10&lt;&gt;"",G10&lt;&gt;"",H10&lt;&gt;"",J10&lt;&gt;"",L10&lt;&gt;"",M10&lt;&gt;"",N10&lt;&gt;"",R10&lt;&gt;""),IF(OR(N10="Draft",I10&lt;&gt;""),"Complete","Target date missing"),"Incomplete")</f>
        <v/>
      </c>
    </row>
    <row r="11" ht="32.25" customHeight="1" s="39">
      <c r="A11" s="60" t="inlineStr">
        <is>
          <t>OBJ-05</t>
        </is>
      </c>
      <c r="B11" s="61" t="inlineStr">
        <is>
          <t>Provide effective human oversight, transparency, challenge and redress.</t>
        </is>
      </c>
      <c r="C11" s="61" t="inlineStr">
        <is>
          <t>People affected by Council AI can understand relevant use, obtain appropriate human consideration and raise concerns safely.</t>
        </is>
      </c>
      <c r="D11" s="61" t="inlineStr">
        <is>
          <t>ISO 6.2; A.5.4; A.8.2-A.8.5; A.9.2-A.9.4</t>
        </is>
      </c>
      <c r="E11" s="61" t="inlineStr">
        <is>
          <t>R-08, R-12</t>
        </is>
      </c>
      <c r="F11" s="61" t="inlineStr">
        <is>
          <t>Percentage of applicable systems with tested human-oversight and override arrangements, accessible user information, complaint routes and response monitoring.</t>
        </is>
      </c>
      <c r="G11" s="61" t="inlineStr">
        <is>
          <t>Not established — applicability and baseline review required.</t>
        </is>
      </c>
      <c r="H11" s="61" t="inlineStr">
        <is>
          <t>Proposed: 100% of applicable systems; all material complaints and oversight failures investigated and actioned within approved timescales.</t>
        </is>
      </c>
      <c r="I11" s="62" t="n"/>
      <c r="J11" s="61" t="inlineStr">
        <is>
          <t>Service Owner / Communications</t>
        </is>
      </c>
      <c r="K11" s="61" t="inlineStr">
        <is>
          <t>AI Governance Lead; Complaints; Legal; Equality; Frontline Teams</t>
        </is>
      </c>
      <c r="L11" s="61" t="inlineStr">
        <is>
          <t>Before go-live; quarterly and after material complaint or incident</t>
        </is>
      </c>
      <c r="M11" s="61" t="inlineStr">
        <is>
          <t>AIG-ASS-09; AIG-ASS-10; AIG-OPS-05; AIG-OPS-03; user testing and complaint records</t>
        </is>
      </c>
      <c r="N11" s="63" t="inlineStr">
        <is>
          <t>Draft</t>
        </is>
      </c>
      <c r="O11" s="63" t="inlineStr">
        <is>
          <t>Not measured</t>
        </is>
      </c>
      <c r="P11" s="64" t="n">
        <v>0</v>
      </c>
      <c r="Q11" s="62" t="n"/>
      <c r="R11" s="61" t="inlineStr">
        <is>
          <t>Define applicability, accessibility standards, service-response times and oversight-effectiveness measures.</t>
        </is>
      </c>
      <c r="S11" s="61">
        <f>IF(AND(A11&lt;&gt;"",B11&lt;&gt;"",C11&lt;&gt;"",D11&lt;&gt;"",E11&lt;&gt;"",F11&lt;&gt;"",G11&lt;&gt;"",H11&lt;&gt;"",J11&lt;&gt;"",L11&lt;&gt;"",M11&lt;&gt;"",N11&lt;&gt;"",R11&lt;&gt;""),IF(OR(N11="Draft",I11&lt;&gt;""),"Complete","Target date missing"),"Incomplete")</f>
        <v/>
      </c>
    </row>
    <row r="12" ht="42.75" customHeight="1" s="39">
      <c r="A12" s="60" t="inlineStr">
        <is>
          <t>OBJ-06</t>
        </is>
      </c>
      <c r="B12" s="61" t="inlineStr">
        <is>
          <t>Control AI supplier, partner and shared-service dependencies.</t>
        </is>
      </c>
      <c r="C12" s="61" t="inlineStr">
        <is>
          <t>Third-party AI responsibilities, evidence, change, incident, resilience and exit obligations are understood and enforceable.</t>
        </is>
      </c>
      <c r="D12" s="61" t="inlineStr">
        <is>
          <t>ISO 6.2; A.10.2-A.10.4</t>
        </is>
      </c>
      <c r="E12" s="61" t="inlineStr">
        <is>
          <t>R-09, R-10, R-15</t>
        </is>
      </c>
      <c r="F12" s="61" t="inlineStr">
        <is>
          <t>Percentage of material AI suppliers with completed due diligence, approved contractual controls, evidence access, change notification, incident support and exit plan.</t>
        </is>
      </c>
      <c r="G12" s="61" t="inlineStr">
        <is>
          <t>Not established — contract and supplier baseline required.</t>
        </is>
      </c>
      <c r="H12" s="61" t="inlineStr">
        <is>
          <t>Proposed: 100% before contract, renewal or material change; all critical supplier gaps resolved or formally accepted.</t>
        </is>
      </c>
      <c r="I12" s="62" t="n"/>
      <c r="J12" s="61" t="inlineStr">
        <is>
          <t>Procurement / Service Owner</t>
        </is>
      </c>
      <c r="K12" s="61" t="inlineStr">
        <is>
          <t>Legal; Security; DPO; AI Governance Lead; Commercial and Contract Owners</t>
        </is>
      </c>
      <c r="L12" s="61" t="inlineStr">
        <is>
          <t>At procurement, renewal and material supplier change; quarterly portfolio review</t>
        </is>
      </c>
      <c r="M12" s="61" t="inlineStr">
        <is>
          <t>AIG-ASS-08; AIG-ASS-11; contracts; supplier review and assurance records</t>
        </is>
      </c>
      <c r="N12" s="63" t="inlineStr">
        <is>
          <t>Draft</t>
        </is>
      </c>
      <c r="O12" s="63" t="inlineStr">
        <is>
          <t>Not measured</t>
        </is>
      </c>
      <c r="P12" s="64" t="n">
        <v>0</v>
      </c>
      <c r="Q12" s="62" t="n"/>
      <c r="R12" s="61" t="inlineStr">
        <is>
          <t>Confirm the material-supplier population, mandatory clauses, acceptance authority and assurance cadence.</t>
        </is>
      </c>
      <c r="S12" s="61">
        <f>IF(AND(A12&lt;&gt;"",B12&lt;&gt;"",C12&lt;&gt;"",D12&lt;&gt;"",E12&lt;&gt;"",F12&lt;&gt;"",G12&lt;&gt;"",H12&lt;&gt;"",J12&lt;&gt;"",L12&lt;&gt;"",M12&lt;&gt;"",N12&lt;&gt;"",R12&lt;&gt;""),IF(OR(N12="Draft",I12&lt;&gt;""),"Complete","Target date missing"),"Incomplete")</f>
        <v/>
      </c>
    </row>
    <row r="13" ht="42.75" customHeight="1" s="39">
      <c r="A13" s="60" t="inlineStr">
        <is>
          <t>OBJ-07</t>
        </is>
      </c>
      <c r="B13" s="61" t="inlineStr">
        <is>
          <t>Detect, respond to and learn from AI incidents, concerns, performance deterioration and control failures.</t>
        </is>
      </c>
      <c r="C13" s="61" t="inlineStr">
        <is>
          <t>Potential harm is contained promptly and recurring causes drive corrective action and control improvement.</t>
        </is>
      </c>
      <c r="D13" s="61" t="inlineStr">
        <is>
          <t>ISO 6.2, 9.1, 10.1-10.2; A.3.3; A.6.2.6-A.6.2.8; A.8.3-A.8.4</t>
        </is>
      </c>
      <c r="E13" s="61" t="inlineStr">
        <is>
          <t>R-11, R-12, R-14</t>
        </is>
      </c>
      <c r="F13" s="61" t="inlineStr">
        <is>
          <t>Percentage of AI incidents and material control exceptions triaged within approved timescale, root-caused where required and closed with effectiveness evidence.</t>
        </is>
      </c>
      <c r="G13" s="61" t="inlineStr">
        <is>
          <t>Not established — incident taxonomy and baseline required.</t>
        </is>
      </c>
      <c r="H13" s="61" t="inlineStr">
        <is>
          <t>Proposed: 100% triaged within approved severity timescales; 100% material corrective actions tracked to verified closure.</t>
        </is>
      </c>
      <c r="I13" s="62" t="n"/>
      <c r="J13" s="61" t="inlineStr">
        <is>
          <t>Incident Lead / AI Governance Lead</t>
        </is>
      </c>
      <c r="K13" s="61" t="inlineStr">
        <is>
          <t>Service Owners; Security; DPO; Legal; Complaints; Communications</t>
        </is>
      </c>
      <c r="L13" s="61" t="inlineStr">
        <is>
          <t>Per incident; monthly trend review; quarterly governance review</t>
        </is>
      </c>
      <c r="M13" s="61" t="inlineStr">
        <is>
          <t>AIG-OPS-05; AIG-OPS-06; AIG-OPS-03; incident, action and lessons-learned records</t>
        </is>
      </c>
      <c r="N13" s="63" t="inlineStr">
        <is>
          <t>Draft</t>
        </is>
      </c>
      <c r="O13" s="63" t="inlineStr">
        <is>
          <t>Not measured</t>
        </is>
      </c>
      <c r="P13" s="64" t="n">
        <v>0</v>
      </c>
      <c r="Q13" s="62" t="n"/>
      <c r="R13" s="61" t="inlineStr">
        <is>
          <t>Align severity, notification, escalation, investigation and effectiveness criteria with Council incident processes.</t>
        </is>
      </c>
      <c r="S13" s="61">
        <f>IF(AND(A13&lt;&gt;"",B13&lt;&gt;"",C13&lt;&gt;"",D13&lt;&gt;"",E13&lt;&gt;"",F13&lt;&gt;"",G13&lt;&gt;"",H13&lt;&gt;"",J13&lt;&gt;"",L13&lt;&gt;"",M13&lt;&gt;"",N13&lt;&gt;"",R13&lt;&gt;""),IF(OR(N13="Draft",I13&lt;&gt;""),"Complete","Target date missing"),"Incomplete")</f>
        <v/>
      </c>
    </row>
    <row r="14" ht="42.75" customHeight="1" s="39">
      <c r="A14" s="60" t="inlineStr">
        <is>
          <t>OBJ-08</t>
        </is>
      </c>
      <c r="B14" s="61" t="inlineStr">
        <is>
          <t>Establish an effective, competent and continually improving AIMS.</t>
        </is>
      </c>
      <c r="C14" s="61" t="inlineStr">
        <is>
          <t>The management system is approved, resourced, audited, reviewed and improved on evidence rather than policy intent alone.</t>
        </is>
      </c>
      <c r="D14" s="61" t="inlineStr">
        <is>
          <t>ISO 5-10; A.2.2-A.2.4; A.3.2; A.4.6</t>
        </is>
      </c>
      <c r="E14" s="61" t="inlineStr">
        <is>
          <t>R-01, R-04, R-05, R-13, R-14</t>
        </is>
      </c>
      <c r="F14" s="61" t="inlineStr">
        <is>
          <t>Completion of approved AIMS programme, role-based competence, internal audit, management review and improvement actions by agreed dates.</t>
        </is>
      </c>
      <c r="G14" s="61" t="inlineStr">
        <is>
          <t>Design suite exists; operational baseline and effectiveness evidence not established.</t>
        </is>
      </c>
      <c r="H14" s="61" t="inlineStr">
        <is>
          <t>Proposed: all governance roles appointed and trained; annual internal audit and management review completed; 100% critical/high actions closed by target or formally escalated.</t>
        </is>
      </c>
      <c r="I14" s="62" t="n"/>
      <c r="J14" s="61" t="inlineStr">
        <is>
          <t>Executive Sponsor / AI Governance Lead</t>
        </is>
      </c>
      <c r="K14" s="61" t="inlineStr">
        <is>
          <t>AI Assurance Board; Internal Audit; HR/L&amp;D; Legal; Risk; all control owners</t>
        </is>
      </c>
      <c r="L14" s="61" t="inlineStr">
        <is>
          <t>Monthly implementation review; at least annual audit and management review</t>
        </is>
      </c>
      <c r="M14" s="61" t="inlineStr">
        <is>
          <t>AIG-GOV-02; AIG-OPS-05; AIG-OPS-06; AIG-GOV-06; AIG-AIMS-01 to AIG-AIMS-03; audit and review records</t>
        </is>
      </c>
      <c r="N14" s="63" t="inlineStr">
        <is>
          <t>Draft</t>
        </is>
      </c>
      <c r="O14" s="63" t="inlineStr">
        <is>
          <t>Not measured</t>
        </is>
      </c>
      <c r="P14" s="64" t="n">
        <v>0</v>
      </c>
      <c r="Q14" s="62" t="n"/>
      <c r="R14" s="61" t="inlineStr">
        <is>
          <t>Approve the AIMS programme, resources, competence plan, audit programme and management-review calendar.</t>
        </is>
      </c>
      <c r="S14" s="61">
        <f>IF(AND(A14&lt;&gt;"",B14&lt;&gt;"",C14&lt;&gt;"",D14&lt;&gt;"",E14&lt;&gt;"",F14&lt;&gt;"",G14&lt;&gt;"",H14&lt;&gt;"",J14&lt;&gt;"",L14&lt;&gt;"",M14&lt;&gt;"",N14&lt;&gt;"",R14&lt;&gt;""),IF(OR(N14="Draft",I14&lt;&gt;""),"Complete","Target date missing"),"Incomplete")</f>
        <v/>
      </c>
    </row>
  </sheetData>
  <mergeCells count="4">
    <mergeCell ref="A4:S4"/>
    <mergeCell ref="A3:S3"/>
    <mergeCell ref="A2:S2"/>
    <mergeCell ref="A1:S1"/>
  </mergeCells>
  <conditionalFormatting sqref="N7:N14">
    <cfRule type="containsText" rank="0" priority="2" equalAverage="0" operator="containsText" aboveAverage="0" dxfId="9" text="At risk" percent="0" bottom="0">
      <formula>NOT(ISERROR(SEARCH("At risk",N7)))</formula>
    </cfRule>
    <cfRule type="containsText" rank="0" priority="3" equalAverage="0" operator="containsText" aboveAverage="0" dxfId="10" text="Achieved" percent="0" bottom="0">
      <formula>NOT(ISERROR(SEARCH("Achieved",N7)))</formula>
    </cfRule>
    <cfRule type="containsText" rank="0" priority="4" equalAverage="0" operator="containsText" aboveAverage="0" dxfId="11" text="Active" percent="0" bottom="0">
      <formula>NOT(ISERROR(SEARCH("Active",N7)))</formula>
    </cfRule>
  </conditionalFormatting>
  <conditionalFormatting sqref="P7:P14">
    <cfRule type="dataBar" priority="5">
      <dataBar minLength="10" maxLength="90" showValue="1">
        <cfvo type="min" val="0"/>
        <cfvo type="max" val="0"/>
        <color rgb="FF5B9BD5"/>
      </dataBar>
    </cfRule>
  </conditionalFormatting>
  <conditionalFormatting sqref="S7:S14">
    <cfRule type="expression" priority="6" dxfId="18">
      <formula>$S7="Complete"</formula>
    </cfRule>
    <cfRule type="expression" priority="7" dxfId="19">
      <formula>$S7="Incomplete"</formula>
    </cfRule>
    <cfRule type="expression" priority="8" dxfId="20">
      <formula>$S7="Target date missing"</formula>
    </cfRule>
  </conditionalFormatting>
  <dataValidations count="2">
    <dataValidation sqref="N7:N14" showDropDown="0" showInputMessage="0" showErrorMessage="0" allowBlank="0" type="list" errorStyle="stop" operator="between">
      <formula1>"Draft,Approved,Active,At risk,Achieved,Paused,Closed"</formula1>
      <formula2>0</formula2>
    </dataValidation>
    <dataValidation sqref="P7:P14" showDropDown="0" showInputMessage="0" showErrorMessage="0" allowBlank="0" type="decimal" errorStyle="stop" operator="between">
      <formula1>0</formula1>
      <formula2>1</formula2>
    </dataValidation>
  </dataValidations>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ColWidth="9.47265625" defaultRowHeight="15"/>
  <cols>
    <col width="12.09000015258789" customWidth="1" style="38" min="1" max="1"/>
    <col width="37.36999893188477" customWidth="1" style="38" min="2" max="2"/>
    <col width="35.16999816894531" customWidth="1" style="38" min="3" max="3"/>
    <col width="37.36999893188477" customWidth="1" style="38" min="4" max="4"/>
    <col width="31.8799991607666" customWidth="1" style="38" min="5" max="5"/>
    <col width="25.28000068664551" customWidth="1" style="38" min="6" max="6"/>
    <col width="14.28999996185303" customWidth="1" style="38" min="7" max="7"/>
    <col width="13.1899995803833" customWidth="1" style="38" min="8" max="9"/>
    <col width="15.39000034332275" customWidth="1" style="38" min="10" max="10"/>
    <col width="17.59000015258789" customWidth="1" style="38" min="11" max="11"/>
    <col width="43.97999954223633" customWidth="1" style="38" min="12" max="12"/>
    <col width="27.47999954223633" customWidth="1" style="38" min="13" max="13"/>
    <col width="19.79000091552734" customWidth="1" style="38" min="14" max="14"/>
    <col width="14.28999996185303" customWidth="1" style="38" min="15" max="16"/>
    <col width="13.1899995803833" customWidth="1" style="38" min="17" max="18"/>
    <col width="15.39000034332275" customWidth="1" style="38" min="19" max="19"/>
    <col width="19.79000091552734" customWidth="1" style="38" min="20" max="20"/>
    <col width="25.28000068664551" customWidth="1" style="38" min="21" max="21"/>
    <col width="32.97000122070312" customWidth="1" style="38" min="22" max="23"/>
    <col width="16.48999977111816" customWidth="1" style="38" min="24" max="24"/>
  </cols>
  <sheetData>
    <row r="1" ht="31.5" customHeight="1" s="39">
      <c r="A1" s="40" t="inlineStr">
        <is>
          <t>The Council — AIMS Risk Treatment Plan</t>
        </is>
      </c>
    </row>
    <row r="2" ht="21.75" customHeight="1" s="39">
      <c r="A2" s="41" t="inlineStr">
        <is>
          <t>AIG-AIMS-03  ·  v1.2 draft  ·  Draft for Council review  ·  OFFICIAL</t>
        </is>
      </c>
    </row>
    <row r="3" ht="24" customHeight="1" s="39">
      <c r="A3" s="42" t="inlineStr">
        <is>
          <t>Purpose: maintain AIMS-level risks, provisional inherent assessment, proposed treatment, ownership, evidence and residual-risk review.</t>
        </is>
      </c>
    </row>
    <row r="4" ht="27.75" customHeight="1" s="39">
      <c r="A4" s="43" t="inlineStr">
        <is>
          <t>Current position: scores and treatments are a desk-review starting point only. Validate them in a Council risk workshop and do not enter a control-effectiveness (CE) score until treatment implementation and evidence have been reviewed. Residual score = inherent score × CE factor (CE ÷ 5), per Playbook §4.4.3; the effective tier stays at the inherent tier until controls are evidenced, and a reduction from High or Critical also needs independent verification.</t>
        </is>
      </c>
    </row>
    <row r="6" ht="42" customHeight="1" s="39">
      <c r="A6" s="59" t="inlineStr">
        <is>
          <t>Risk ID</t>
        </is>
      </c>
      <c r="B6" s="59" t="inlineStr">
        <is>
          <t>Risk scenario</t>
        </is>
      </c>
      <c r="C6" s="59" t="inlineStr">
        <is>
          <t>Cause / current gap</t>
        </is>
      </c>
      <c r="D6" s="59" t="inlineStr">
        <is>
          <t>Potential consequence</t>
        </is>
      </c>
      <c r="E6" s="59" t="inlineStr">
        <is>
          <t>Source</t>
        </is>
      </c>
      <c r="F6" s="59" t="inlineStr">
        <is>
          <t>ISO / Annex A links</t>
        </is>
      </c>
      <c r="G6" s="59" t="inlineStr">
        <is>
          <t>Inherent likelihood</t>
        </is>
      </c>
      <c r="H6" s="59" t="inlineStr">
        <is>
          <t>Inherent impact</t>
        </is>
      </c>
      <c r="I6" s="59" t="inlineStr">
        <is>
          <t>Inherent score</t>
        </is>
      </c>
      <c r="J6" s="59" t="inlineStr">
        <is>
          <t>Inherent rating</t>
        </is>
      </c>
      <c r="K6" s="59" t="inlineStr">
        <is>
          <t>Treatment option</t>
        </is>
      </c>
      <c r="L6" s="59" t="inlineStr">
        <is>
          <t>Treatment / control action</t>
        </is>
      </c>
      <c r="M6" s="59" t="inlineStr">
        <is>
          <t>Proposed owner</t>
        </is>
      </c>
      <c r="N6" s="59" t="inlineStr">
        <is>
          <t>Status</t>
        </is>
      </c>
      <c r="O6" s="59" t="inlineStr">
        <is>
          <t>Target date</t>
        </is>
      </c>
      <c r="P6" s="59" t="inlineStr">
        <is>
          <t>Control effectiveness (CE 1-5; 1 very strong, 5 ineffective)</t>
        </is>
      </c>
      <c r="Q6" s="59" t="inlineStr">
        <is>
          <t>CE factor (CE ÷ 5)</t>
        </is>
      </c>
      <c r="R6" s="59" t="inlineStr">
        <is>
          <t>Residual score</t>
        </is>
      </c>
      <c r="S6" s="59" t="inlineStr">
        <is>
          <t>Residual rating</t>
        </is>
      </c>
      <c r="T6" s="59" t="inlineStr">
        <is>
          <t>Related objective(s)</t>
        </is>
      </c>
      <c r="U6" s="59" t="inlineStr">
        <is>
          <t>SoA control links</t>
        </is>
      </c>
      <c r="V6" s="59" t="inlineStr">
        <is>
          <t>Evidence / record</t>
        </is>
      </c>
      <c r="W6" s="59" t="inlineStr">
        <is>
          <t>Review trigger</t>
        </is>
      </c>
      <c r="X6" s="59" t="inlineStr">
        <is>
          <t>Record QA</t>
        </is>
      </c>
    </row>
    <row r="7" ht="32.25" customHeight="1" s="39">
      <c r="A7" s="60" t="inlineStr">
        <is>
          <t>R-01</t>
        </is>
      </c>
      <c r="B7" s="61" t="inlineStr">
        <is>
          <t>The AIMS remains unapproved or is treated as operational before formal adoption.</t>
        </is>
      </c>
      <c r="C7" s="61" t="inlineStr">
        <is>
          <t>Scope, policy, authority, objectives and control decisions are still draft.</t>
        </is>
      </c>
      <c r="D7" s="61" t="inlineStr">
        <is>
          <t>Unclear accountability, inconsistent decisions, unsupported conformity claims and inability to demonstrate effective governance.</t>
        </is>
      </c>
      <c r="E7" s="61" t="inlineStr">
        <is>
          <t>Suite QA; AIG-AIMS-01 and AIG-AIMS-02 draft status</t>
        </is>
      </c>
      <c r="F7" s="61" t="inlineStr">
        <is>
          <t>ISO 4.4, 5.1-5.3, 6.2; A.2.2-A.2.4</t>
        </is>
      </c>
      <c r="G7" s="63" t="n">
        <v>4</v>
      </c>
      <c r="H7" s="63" t="n">
        <v>5</v>
      </c>
      <c r="I7" s="61">
        <f>IF(OR(G7="",H7=""),"",G7*H7)</f>
        <v/>
      </c>
      <c r="J7" s="61">
        <f>IF(I7="","",IF(I7&gt;=16,"Critical",IF(I7&gt;=11,"High",IF(I7&gt;=6,"Medium","Low"))))</f>
        <v/>
      </c>
      <c r="K7" s="63" t="inlineStr">
        <is>
          <t>Modify</t>
        </is>
      </c>
      <c r="L7" s="61" t="inlineStr">
        <is>
          <t>Confirm adopting authority and accountable owner; approve scope, policy, objectives, risk criteria and SoA; communicate effective date and transition plan.</t>
        </is>
      </c>
      <c r="M7" s="61" t="inlineStr">
        <is>
          <t>Executive Sponsor / AI Governance Lead</t>
        </is>
      </c>
      <c r="N7" s="63" t="inlineStr">
        <is>
          <t>Treatment planned</t>
        </is>
      </c>
      <c r="O7" s="62" t="n"/>
      <c r="P7" s="63" t="n"/>
      <c r="Q7" s="89">
        <f>IF(P7="","",P7/5)</f>
        <v/>
      </c>
      <c r="R7" s="90">
        <f>IF(OR(I7="",Q7=""),"",I7*Q7)</f>
        <v/>
      </c>
      <c r="S7" s="61">
        <f>IF(R7="","",IF(R7&gt;15,"Critical",IF(R7&gt;10,"High",IF(R7&gt;5,"Medium","Low"))))</f>
        <v/>
      </c>
      <c r="T7" s="61" t="inlineStr">
        <is>
          <t>OBJ-02, OBJ-08</t>
        </is>
      </c>
      <c r="U7" s="61" t="inlineStr">
        <is>
          <t>A.2.2-A.2.4; A.3.2</t>
        </is>
      </c>
      <c r="V7" s="63" t="inlineStr">
        <is>
          <t>Approval, communication and controlled-document records</t>
        </is>
      </c>
      <c r="W7" s="61" t="inlineStr">
        <is>
          <t>Change in leadership, delegations, scope or certification intent</t>
        </is>
      </c>
      <c r="X7" s="61">
        <f>IF(AND(A7&lt;&gt;"",B7&lt;&gt;"",C7&lt;&gt;"",D7&lt;&gt;"",E7&lt;&gt;"",F7&lt;&gt;"",G7&lt;&gt;"",H7&lt;&gt;"",K7&lt;&gt;"",L7&lt;&gt;"",M7&lt;&gt;"",N7&lt;&gt;"",T7&lt;&gt;"",U7&lt;&gt;"",W7&lt;&gt;""),"Complete","Incomplete")</f>
        <v/>
      </c>
    </row>
    <row r="8" ht="42.75" customHeight="1" s="39">
      <c r="A8" s="60" t="inlineStr">
        <is>
          <t>R-02</t>
        </is>
      </c>
      <c r="B8" s="61" t="inlineStr">
        <is>
          <t>AI activity is omitted from the inventory, including embedded, pilot, supplier or shadow AI.</t>
        </is>
      </c>
      <c r="C8" s="61" t="inlineStr">
        <is>
          <t>Distributed ownership and inconsistent discovery, registration and procurement triggers.</t>
        </is>
      </c>
      <c r="D8" s="61" t="inlineStr">
        <is>
          <t>Unassessed systems may process data or affect services without ownership, controls, monitoring or approval.</t>
        </is>
      </c>
      <c r="E8" s="61" t="inlineStr">
        <is>
          <t>AIG-AIMS-01 internal context; inventory completeness not evidenced</t>
        </is>
      </c>
      <c r="F8" s="61" t="inlineStr">
        <is>
          <t>ISO 4.1, 6.1, 8.1; A.4.2; A.9.2</t>
        </is>
      </c>
      <c r="G8" s="63" t="n">
        <v>4</v>
      </c>
      <c r="H8" s="63" t="n">
        <v>5</v>
      </c>
      <c r="I8" s="61">
        <f>IF(OR(G8="",H8=""),"",G8*H8)</f>
        <v/>
      </c>
      <c r="J8" s="61">
        <f>IF(I8="","",IF(I8&gt;=16,"Critical",IF(I8&gt;=11,"High",IF(I8&gt;=6,"Medium","Low"))))</f>
        <v/>
      </c>
      <c r="K8" s="63" t="inlineStr">
        <is>
          <t>Modify</t>
        </is>
      </c>
      <c r="L8" s="61" t="inlineStr">
        <is>
          <t>Run a Council-wide inventory baseline and shadow-AI campaign; integrate registration triggers into procurement, digital delivery, security and data processes; test completeness periodically.</t>
        </is>
      </c>
      <c r="M8" s="61" t="inlineStr">
        <is>
          <t>AI Governance Lead / Service Owners</t>
        </is>
      </c>
      <c r="N8" s="63" t="inlineStr">
        <is>
          <t>Treatment planned</t>
        </is>
      </c>
      <c r="O8" s="62" t="n"/>
      <c r="P8" s="63" t="n"/>
      <c r="Q8" s="89">
        <f>IF(P8="","",P8/5)</f>
        <v/>
      </c>
      <c r="R8" s="90">
        <f>IF(OR(I8="",Q8=""),"",I8*Q8)</f>
        <v/>
      </c>
      <c r="S8" s="61">
        <f>IF(R8="","",IF(R8&gt;15,"Critical",IF(R8&gt;10,"High",IF(R8&gt;5,"Medium","Low"))))</f>
        <v/>
      </c>
      <c r="T8" s="61" t="inlineStr">
        <is>
          <t>OBJ-01</t>
        </is>
      </c>
      <c r="U8" s="61" t="inlineStr">
        <is>
          <t>A.4.2; A.8.5; A.9.2</t>
        </is>
      </c>
      <c r="V8" s="63" t="inlineStr">
        <is>
          <t>AI Register, discovery results, reconciliation and exception records</t>
        </is>
      </c>
      <c r="W8" s="61" t="inlineStr">
        <is>
          <t>New service, procurement, embedded feature or audit finding</t>
        </is>
      </c>
      <c r="X8" s="61">
        <f>IF(AND(A8&lt;&gt;"",B8&lt;&gt;"",C8&lt;&gt;"",D8&lt;&gt;"",E8&lt;&gt;"",F8&lt;&gt;"",G8&lt;&gt;"",H8&lt;&gt;"",K8&lt;&gt;"",L8&lt;&gt;"",M8&lt;&gt;"",N8&lt;&gt;"",T8&lt;&gt;"",U8&lt;&gt;"",W8&lt;&gt;""),"Complete","Incomplete")</f>
        <v/>
      </c>
    </row>
    <row r="9" ht="32.25" customHeight="1" s="39">
      <c r="A9" s="60" t="inlineStr">
        <is>
          <t>R-03</t>
        </is>
      </c>
      <c r="B9" s="61" t="inlineStr">
        <is>
          <t>Governance evidence and decisions become fragmented across boards, tools and lifecycle stages.</t>
        </is>
      </c>
      <c r="C9" s="61" t="inlineStr">
        <is>
          <t>Multiple approval interfaces and inconsistent use of a single AI Register ID and evidence links.</t>
        </is>
      </c>
      <c r="D9" s="61" t="inlineStr">
        <is>
          <t>Conditions, actions or material facts may be lost, duplicated or contradicted, allowing premature deployment or weak auditability.</t>
        </is>
      </c>
      <c r="E9" s="61" t="inlineStr">
        <is>
          <t>AIG-AIMS-01 distributed ownership/evidence context</t>
        </is>
      </c>
      <c r="F9" s="61" t="inlineStr">
        <is>
          <t>ISO 7.5, 8.1, 9.1; A.6.2.3; A.8.5</t>
        </is>
      </c>
      <c r="G9" s="63" t="n">
        <v>4</v>
      </c>
      <c r="H9" s="63" t="n">
        <v>4</v>
      </c>
      <c r="I9" s="61">
        <f>IF(OR(G9="",H9=""),"",G9*H9)</f>
        <v/>
      </c>
      <c r="J9" s="61">
        <f>IF(I9="","",IF(I9&gt;=16,"Critical",IF(I9&gt;=11,"High",IF(I9&gt;=6,"Medium","Low"))))</f>
        <v/>
      </c>
      <c r="K9" s="63" t="inlineStr">
        <is>
          <t>Modify</t>
        </is>
      </c>
      <c r="L9" s="61" t="inlineStr">
        <is>
          <t>Mandate one AI Register ID, controlled decision record and evidence index across all gates; define hand-offs, action closure and register-update accountability.</t>
        </is>
      </c>
      <c r="M9" s="61" t="inlineStr">
        <is>
          <t>AI Governance Lead / Governance Secretariat</t>
        </is>
      </c>
      <c r="N9" s="63" t="inlineStr">
        <is>
          <t>Treatment planned</t>
        </is>
      </c>
      <c r="O9" s="62" t="n"/>
      <c r="P9" s="63" t="n"/>
      <c r="Q9" s="89">
        <f>IF(P9="","",P9/5)</f>
        <v/>
      </c>
      <c r="R9" s="90">
        <f>IF(OR(I9="",Q9=""),"",I9*Q9)</f>
        <v/>
      </c>
      <c r="S9" s="61">
        <f>IF(R9="","",IF(R9&gt;15,"Critical",IF(R9&gt;10,"High",IF(R9&gt;5,"Medium","Low"))))</f>
        <v/>
      </c>
      <c r="T9" s="61" t="inlineStr">
        <is>
          <t>OBJ-01, OBJ-02</t>
        </is>
      </c>
      <c r="U9" s="61" t="inlineStr">
        <is>
          <t>A.3.2; A.6.2.3; A.8.5</t>
        </is>
      </c>
      <c r="V9" s="63" t="inlineStr">
        <is>
          <t>Register audit trail, decision records, minutes and evidence links</t>
        </is>
      </c>
      <c r="W9" s="61" t="inlineStr">
        <is>
          <t>Any gate transfer, ownership change, material condition or audit exception</t>
        </is>
      </c>
      <c r="X9" s="61">
        <f>IF(AND(A9&lt;&gt;"",B9&lt;&gt;"",C9&lt;&gt;"",D9&lt;&gt;"",E9&lt;&gt;"",F9&lt;&gt;"",G9&lt;&gt;"",H9&lt;&gt;"",K9&lt;&gt;"",L9&lt;&gt;"",M9&lt;&gt;"",N9&lt;&gt;"",T9&lt;&gt;"",U9&lt;&gt;"",W9&lt;&gt;""),"Complete","Incomplete")</f>
        <v/>
      </c>
    </row>
    <row r="10" ht="32.25" customHeight="1" s="39">
      <c r="A10" s="60" t="inlineStr">
        <is>
          <t>R-04</t>
        </is>
      </c>
      <c r="B10" s="61" t="inlineStr">
        <is>
          <t>Roles, delegations or approval authorities are unclear or conflict with Council governance.</t>
        </is>
      </c>
      <c r="C10" s="61" t="inlineStr">
        <is>
          <t>Proposed governance bodies and responsibilities have not been formally appointed and aligned to delegations.</t>
        </is>
      </c>
      <c r="D10" s="61" t="inlineStr">
        <is>
          <t>Decisions may lack authority; specialist accountability may be bypassed; escalation and ownership may fail.</t>
        </is>
      </c>
      <c r="E10" s="61" t="inlineStr">
        <is>
          <t>AIG-GOV-06 and AIG-AIMS-01 adoption decisions pending</t>
        </is>
      </c>
      <c r="F10" s="61" t="inlineStr">
        <is>
          <t>ISO 5.3, 7.1; A.3.2</t>
        </is>
      </c>
      <c r="G10" s="63" t="n">
        <v>3</v>
      </c>
      <c r="H10" s="63" t="n">
        <v>5</v>
      </c>
      <c r="I10" s="61">
        <f>IF(OR(G10="",H10=""),"",G10*H10)</f>
        <v/>
      </c>
      <c r="J10" s="61">
        <f>IF(I10="","",IF(I10&gt;=16,"Critical",IF(I10&gt;=11,"High",IF(I10&gt;=6,"Medium","Low"))))</f>
        <v/>
      </c>
      <c r="K10" s="63" t="inlineStr">
        <is>
          <t>Modify</t>
        </is>
      </c>
      <c r="L10" s="61" t="inlineStr">
        <is>
          <t>Approve Terms of Reference, delegations, membership, deputies, conflicts process and RACI interfaces; retain appointment and decision-authority evidence.</t>
        </is>
      </c>
      <c r="M10" s="61" t="inlineStr">
        <is>
          <t>Executive Sponsor / Monitoring Officer</t>
        </is>
      </c>
      <c r="N10" s="63" t="inlineStr">
        <is>
          <t>Treatment planned</t>
        </is>
      </c>
      <c r="O10" s="62" t="n"/>
      <c r="P10" s="63" t="n"/>
      <c r="Q10" s="89">
        <f>IF(P10="","",P10/5)</f>
        <v/>
      </c>
      <c r="R10" s="90">
        <f>IF(OR(I10="",Q10=""),"",I10*Q10)</f>
        <v/>
      </c>
      <c r="S10" s="61">
        <f>IF(R10="","",IF(R10&gt;15,"Critical",IF(R10&gt;10,"High",IF(R10&gt;5,"Medium","Low"))))</f>
        <v/>
      </c>
      <c r="T10" s="61" t="inlineStr">
        <is>
          <t>OBJ-02, OBJ-08</t>
        </is>
      </c>
      <c r="U10" s="61" t="inlineStr">
        <is>
          <t>A.3.2; A.10.2</t>
        </is>
      </c>
      <c r="V10" s="63" t="inlineStr">
        <is>
          <t>Approved governance documents, appointments and delegations</t>
        </is>
      </c>
      <c r="W10" s="61" t="inlineStr">
        <is>
          <t>Organisational restructure, delegation change or disputed decision</t>
        </is>
      </c>
      <c r="X10" s="61">
        <f>IF(AND(A10&lt;&gt;"",B10&lt;&gt;"",C10&lt;&gt;"",D10&lt;&gt;"",E10&lt;&gt;"",F10&lt;&gt;"",G10&lt;&gt;"",H10&lt;&gt;"",K10&lt;&gt;"",L10&lt;&gt;"",M10&lt;&gt;"",N10&lt;&gt;"",T10&lt;&gt;"",U10&lt;&gt;"",W10&lt;&gt;""),"Complete","Incomplete")</f>
        <v/>
      </c>
    </row>
    <row r="11" ht="32.25" customHeight="1" s="39">
      <c r="A11" s="60" t="inlineStr">
        <is>
          <t>R-05</t>
        </is>
      </c>
      <c r="B11" s="61" t="inlineStr">
        <is>
          <t>Insufficient competence or capacity causes inconsistent AI governance and control operation.</t>
        </is>
      </c>
      <c r="C11" s="61" t="inlineStr">
        <is>
          <t>Variable AI literacy and limited specialist capacity across services and assurance functions.</t>
        </is>
      </c>
      <c r="D11" s="61" t="inlineStr">
        <is>
          <t>Risk signals may be missed, documentation may be poor and governance may create delay or unsafe shortcuts.</t>
        </is>
      </c>
      <c r="E11" s="61" t="inlineStr">
        <is>
          <t>AIG-AIMS-01 capability and capacity issue</t>
        </is>
      </c>
      <c r="F11" s="61" t="inlineStr">
        <is>
          <t>ISO 7.1-7.3; A.4.6</t>
        </is>
      </c>
      <c r="G11" s="63" t="n">
        <v>4</v>
      </c>
      <c r="H11" s="63" t="n">
        <v>4</v>
      </c>
      <c r="I11" s="61">
        <f>IF(OR(G11="",H11=""),"",G11*H11)</f>
        <v/>
      </c>
      <c r="J11" s="61">
        <f>IF(I11="","",IF(I11&gt;=16,"Critical",IF(I11&gt;=11,"High",IF(I11&gt;=6,"Medium","Low"))))</f>
        <v/>
      </c>
      <c r="K11" s="63" t="inlineStr">
        <is>
          <t>Modify</t>
        </is>
      </c>
      <c r="L11" s="61" t="inlineStr">
        <is>
          <t>Complete role-to-competence mapping, resource plan, role-based training and effectiveness checks; establish specialist escalation and succession arrangements.</t>
        </is>
      </c>
      <c r="M11" s="61" t="inlineStr">
        <is>
          <t>AI Governance Lead / HR-L&amp;D</t>
        </is>
      </c>
      <c r="N11" s="63" t="inlineStr">
        <is>
          <t>Treatment planned</t>
        </is>
      </c>
      <c r="O11" s="62" t="n"/>
      <c r="P11" s="63" t="n"/>
      <c r="Q11" s="89">
        <f>IF(P11="","",P11/5)</f>
        <v/>
      </c>
      <c r="R11" s="90">
        <f>IF(OR(I11="",Q11=""),"",I11*Q11)</f>
        <v/>
      </c>
      <c r="S11" s="61">
        <f>IF(R11="","",IF(R11&gt;15,"Critical",IF(R11&gt;10,"High",IF(R11&gt;5,"Medium","Low"))))</f>
        <v/>
      </c>
      <c r="T11" s="61" t="inlineStr">
        <is>
          <t>OBJ-08</t>
        </is>
      </c>
      <c r="U11" s="61" t="inlineStr">
        <is>
          <t>A.3.2; A.4.6</t>
        </is>
      </c>
      <c r="V11" s="63" t="inlineStr">
        <is>
          <t>Competence matrix, training records, assessments and resource decisions</t>
        </is>
      </c>
      <c r="W11" s="61" t="inlineStr">
        <is>
          <t>New role, control failure, audit finding or material workload change</t>
        </is>
      </c>
      <c r="X11" s="61">
        <f>IF(AND(A11&lt;&gt;"",B11&lt;&gt;"",C11&lt;&gt;"",D11&lt;&gt;"",E11&lt;&gt;"",F11&lt;&gt;"",G11&lt;&gt;"",H11&lt;&gt;"",K11&lt;&gt;"",L11&lt;&gt;"",M11&lt;&gt;"",N11&lt;&gt;"",T11&lt;&gt;"",U11&lt;&gt;"",W11&lt;&gt;""),"Complete","Incomplete")</f>
        <v/>
      </c>
    </row>
    <row r="12" ht="42.75" customHeight="1" s="39">
      <c r="A12" s="60" t="inlineStr">
        <is>
          <t>R-06</t>
        </is>
      </c>
      <c r="B12" s="61" t="inlineStr">
        <is>
          <t>Material impacts on people or communities are not identified or treated before use.</t>
        </is>
      </c>
      <c r="C12" s="61" t="inlineStr">
        <is>
          <t>Impact assessment triggers, participation and specialist reviews are not consistently applied to live cases.</t>
        </is>
      </c>
      <c r="D12" s="61" t="inlineStr">
        <is>
          <t>Unfair, unlawful, inaccessible or harmful outcomes and weakened public trust or legal defensibility.</t>
        </is>
      </c>
      <c r="E12" s="61" t="inlineStr">
        <is>
          <t>AIG-ASS-04 to AIG-ASS-07 are controlled templates; live application not yet evidenced</t>
        </is>
      </c>
      <c r="F12" s="61" t="inlineStr">
        <is>
          <t>ISO 6.1, 8.1; A.5.2-A.5.5</t>
        </is>
      </c>
      <c r="G12" s="63" t="n">
        <v>3</v>
      </c>
      <c r="H12" s="63" t="n">
        <v>5</v>
      </c>
      <c r="I12" s="61">
        <f>IF(OR(G12="",H12=""),"",G12*H12)</f>
        <v/>
      </c>
      <c r="J12" s="61">
        <f>IF(I12="","",IF(I12&gt;=16,"Critical",IF(I12&gt;=11,"High",IF(I12&gt;=6,"Medium","Low"))))</f>
        <v/>
      </c>
      <c r="K12" s="63" t="inlineStr">
        <is>
          <t>Modify</t>
        </is>
      </c>
      <c r="L12" s="61" t="inlineStr">
        <is>
          <t>Validate assessment triggers; complete and approve assessments for priority systems; engage affected groups proportionately; track mitigations and residual-risk acceptance.</t>
        </is>
      </c>
      <c r="M12" s="61" t="inlineStr">
        <is>
          <t>Service Owner / AI Governance Lead</t>
        </is>
      </c>
      <c r="N12" s="63" t="inlineStr">
        <is>
          <t>Treatment planned</t>
        </is>
      </c>
      <c r="O12" s="62" t="n"/>
      <c r="P12" s="63" t="n"/>
      <c r="Q12" s="89">
        <f>IF(P12="","",P12/5)</f>
        <v/>
      </c>
      <c r="R12" s="90">
        <f>IF(OR(I12="",Q12=""),"",I12*Q12)</f>
        <v/>
      </c>
      <c r="S12" s="61">
        <f>IF(R12="","",IF(R12&gt;15,"Critical",IF(R12&gt;10,"High",IF(R12&gt;5,"Medium","Low"))))</f>
        <v/>
      </c>
      <c r="T12" s="61" t="inlineStr">
        <is>
          <t>OBJ-03</t>
        </is>
      </c>
      <c r="U12" s="61" t="inlineStr">
        <is>
          <t>A.5.2-A.5.5; A.8.3-A.8.5</t>
        </is>
      </c>
      <c r="V12" s="63" t="inlineStr">
        <is>
          <t>Approved assessments, engagement, decisions and action closure</t>
        </is>
      </c>
      <c r="W12" s="61" t="inlineStr">
        <is>
          <t>New affected group, complaint, material change or adverse outcome</t>
        </is>
      </c>
      <c r="X12" s="61">
        <f>IF(AND(A12&lt;&gt;"",B12&lt;&gt;"",C12&lt;&gt;"",D12&lt;&gt;"",E12&lt;&gt;"",F12&lt;&gt;"",G12&lt;&gt;"",H12&lt;&gt;"",K12&lt;&gt;"",L12&lt;&gt;"",M12&lt;&gt;"",N12&lt;&gt;"",T12&lt;&gt;"",U12&lt;&gt;"",W12&lt;&gt;""),"Complete","Incomplete")</f>
        <v/>
      </c>
    </row>
    <row r="13" ht="42.75" customHeight="1" s="39">
      <c r="A13" s="60" t="inlineStr">
        <is>
          <t>R-07</t>
        </is>
      </c>
      <c r="B13" s="61" t="inlineStr">
        <is>
          <t>Poor data quality, provenance, representativeness or preparation undermines AI outcomes.</t>
        </is>
      </c>
      <c r="C13" s="61" t="inlineStr">
        <is>
          <t>System-level data controls and evidence have not been validated across live systems.</t>
        </is>
      </c>
      <c r="D13" s="61" t="inlineStr">
        <is>
          <t>Inaccurate, biased or unreliable outputs; inability to reproduce decisions or investigate incidents.</t>
        </is>
      </c>
      <c r="E13" s="61" t="inlineStr">
        <is>
          <t>AIG-ASS-02, AIG-ASS-05 and AIG-ASS-09 design controls; operational evidence required</t>
        </is>
      </c>
      <c r="F13" s="61" t="inlineStr">
        <is>
          <t>ISO 6.1, 8.1; A.7.2-A.7.6</t>
        </is>
      </c>
      <c r="G13" s="63" t="n">
        <v>4</v>
      </c>
      <c r="H13" s="63" t="n">
        <v>4</v>
      </c>
      <c r="I13" s="61">
        <f>IF(OR(G13="",H13=""),"",G13*H13)</f>
        <v/>
      </c>
      <c r="J13" s="61">
        <f>IF(I13="","",IF(I13&gt;=16,"Critical",IF(I13&gt;=11,"High",IF(I13&gt;=6,"Medium","Low"))))</f>
        <v/>
      </c>
      <c r="K13" s="63" t="inlineStr">
        <is>
          <t>Modify</t>
        </is>
      </c>
      <c r="L13" s="61" t="inlineStr">
        <is>
          <t>Create dataset inventories and data-management plans; set measurable quality and representativeness criteria; retain provenance, preparation, approval and monitoring evidence.</t>
        </is>
      </c>
      <c r="M13" s="61" t="inlineStr">
        <is>
          <t>Data Owner / Service Owner</t>
        </is>
      </c>
      <c r="N13" s="63" t="inlineStr">
        <is>
          <t>Treatment planned</t>
        </is>
      </c>
      <c r="O13" s="62" t="n"/>
      <c r="P13" s="63" t="n"/>
      <c r="Q13" s="89">
        <f>IF(P13="","",P13/5)</f>
        <v/>
      </c>
      <c r="R13" s="90">
        <f>IF(OR(I13="",Q13=""),"",I13*Q13)</f>
        <v/>
      </c>
      <c r="S13" s="61">
        <f>IF(R13="","",IF(R13&gt;15,"Critical",IF(R13&gt;10,"High",IF(R13&gt;5,"Medium","Low"))))</f>
        <v/>
      </c>
      <c r="T13" s="61" t="inlineStr">
        <is>
          <t>OBJ-03, OBJ-04</t>
        </is>
      </c>
      <c r="U13" s="61" t="inlineStr">
        <is>
          <t>A.4.3; A.7.2-A.7.6</t>
        </is>
      </c>
      <c r="V13" s="63" t="inlineStr">
        <is>
          <t>Dataset records, tests, lineage, exceptions and monitoring</t>
        </is>
      </c>
      <c r="W13" s="61" t="inlineStr">
        <is>
          <t>Dataset, purpose, population, supplier or preparation change</t>
        </is>
      </c>
      <c r="X13" s="61">
        <f>IF(AND(A13&lt;&gt;"",B13&lt;&gt;"",C13&lt;&gt;"",D13&lt;&gt;"",E13&lt;&gt;"",F13&lt;&gt;"",G13&lt;&gt;"",H13&lt;&gt;"",K13&lt;&gt;"",L13&lt;&gt;"",M13&lt;&gt;"",N13&lt;&gt;"",T13&lt;&gt;"",U13&lt;&gt;"",W13&lt;&gt;""),"Complete","Incomplete")</f>
        <v/>
      </c>
    </row>
    <row r="14" ht="32.25" customHeight="1" s="39">
      <c r="A14" s="60" t="inlineStr">
        <is>
          <t>R-08</t>
        </is>
      </c>
      <c r="B14" s="61" t="inlineStr">
        <is>
          <t>Human oversight, transparency, challenge or redress is ineffective.</t>
        </is>
      </c>
      <c r="C14" s="61" t="inlineStr">
        <is>
          <t>Oversight design, instructions and public information may be generic or untested.</t>
        </is>
      </c>
      <c r="D14" s="61" t="inlineStr">
        <is>
          <t>People may be unable to understand, contest or correct AI-supported decisions; harmful automation bias may persist.</t>
        </is>
      </c>
      <c r="E14" s="61" t="inlineStr">
        <is>
          <t>AIG-ASS-09, AIG-ASS-10 and AIG-OPS-03 require live validation</t>
        </is>
      </c>
      <c r="F14" s="61" t="inlineStr">
        <is>
          <t>ISO 6.1, 8.1; A.5.4; A.8.2-A.8.5; A.9.2-A.9.4</t>
        </is>
      </c>
      <c r="G14" s="63" t="n">
        <v>3</v>
      </c>
      <c r="H14" s="63" t="n">
        <v>5</v>
      </c>
      <c r="I14" s="61">
        <f>IF(OR(G14="",H14=""),"",G14*H14)</f>
        <v/>
      </c>
      <c r="J14" s="61">
        <f>IF(I14="","",IF(I14&gt;=16,"Critical",IF(I14&gt;=11,"High",IF(I14&gt;=6,"Medium","Low"))))</f>
        <v/>
      </c>
      <c r="K14" s="63" t="inlineStr">
        <is>
          <t>Modify</t>
        </is>
      </c>
      <c r="L14" s="61" t="inlineStr">
        <is>
          <t>Define and test oversight, pause/override and escalation; publish accessible information; integrate complaints and redress; monitor oversight use and effectiveness.</t>
        </is>
      </c>
      <c r="M14" s="61" t="inlineStr">
        <is>
          <t>Service Owner / Communications</t>
        </is>
      </c>
      <c r="N14" s="63" t="inlineStr">
        <is>
          <t>Treatment planned</t>
        </is>
      </c>
      <c r="O14" s="62" t="n"/>
      <c r="P14" s="63" t="n"/>
      <c r="Q14" s="89">
        <f>IF(P14="","",P14/5)</f>
        <v/>
      </c>
      <c r="R14" s="90">
        <f>IF(OR(I14="",Q14=""),"",I14*Q14)</f>
        <v/>
      </c>
      <c r="S14" s="61">
        <f>IF(R14="","",IF(R14&gt;15,"Critical",IF(R14&gt;10,"High",IF(R14&gt;5,"Medium","Low"))))</f>
        <v/>
      </c>
      <c r="T14" s="61" t="inlineStr">
        <is>
          <t>OBJ-03, OBJ-05</t>
        </is>
      </c>
      <c r="U14" s="61" t="inlineStr">
        <is>
          <t>A.5.4; A.8.2-A.8.5; A.9.2-A.9.4</t>
        </is>
      </c>
      <c r="V14" s="63" t="inlineStr">
        <is>
          <t>User tests, oversight logs, complaints, decisions and corrections</t>
        </is>
      </c>
      <c r="W14" s="61" t="inlineStr">
        <is>
          <t>Complaint, override failure, user research or material service change</t>
        </is>
      </c>
      <c r="X14" s="61">
        <f>IF(AND(A14&lt;&gt;"",B14&lt;&gt;"",C14&lt;&gt;"",D14&lt;&gt;"",E14&lt;&gt;"",F14&lt;&gt;"",G14&lt;&gt;"",H14&lt;&gt;"",K14&lt;&gt;"",L14&lt;&gt;"",M14&lt;&gt;"",N14&lt;&gt;"",T14&lt;&gt;"",U14&lt;&gt;"",W14&lt;&gt;""),"Complete","Incomplete")</f>
        <v/>
      </c>
    </row>
    <row r="15" ht="42.75" customHeight="1" s="39">
      <c r="A15" s="60" t="inlineStr">
        <is>
          <t>R-09</t>
        </is>
      </c>
      <c r="B15" s="61" t="inlineStr">
        <is>
          <t>Supplier or partner dependencies are accepted without sufficient assurance or enforceable obligations.</t>
        </is>
      </c>
      <c r="C15" s="61" t="inlineStr">
        <is>
          <t>Due diligence, contracts and evidence access have not been tested consistently on material live suppliers.</t>
        </is>
      </c>
      <c r="D15" s="61" t="inlineStr">
        <is>
          <t>Hidden model/data risks, unnotified change, delayed incident support, lock-in or ineffective exit.</t>
        </is>
      </c>
      <c r="E15" s="61" t="inlineStr">
        <is>
          <t>AIG-ASS-08 and AIG-ASS-11 design controls; supplier baseline required</t>
        </is>
      </c>
      <c r="F15" s="61" t="inlineStr">
        <is>
          <t>ISO 6.1, 8.1; A.10.2-A.10.4</t>
        </is>
      </c>
      <c r="G15" s="63" t="n">
        <v>4</v>
      </c>
      <c r="H15" s="63" t="n">
        <v>4</v>
      </c>
      <c r="I15" s="61">
        <f>IF(OR(G15="",H15=""),"",G15*H15)</f>
        <v/>
      </c>
      <c r="J15" s="61">
        <f>IF(I15="","",IF(I15&gt;=16,"Critical",IF(I15&gt;=11,"High",IF(I15&gt;=6,"Medium","Low"))))</f>
        <v/>
      </c>
      <c r="K15" s="63" t="inlineStr">
        <is>
          <t>Modify</t>
        </is>
      </c>
      <c r="L15" s="61" t="inlineStr">
        <is>
          <t>Baseline material suppliers; apply due diligence and mandatory contract controls; set review cadence, evidence rights, change/incident notification, resilience and exit obligations.</t>
        </is>
      </c>
      <c r="M15" s="61" t="inlineStr">
        <is>
          <t>Procurement / Service Owner</t>
        </is>
      </c>
      <c r="N15" s="63" t="inlineStr">
        <is>
          <t>Treatment planned</t>
        </is>
      </c>
      <c r="O15" s="62" t="n"/>
      <c r="P15" s="63" t="n"/>
      <c r="Q15" s="89">
        <f>IF(P15="","",P15/5)</f>
        <v/>
      </c>
      <c r="R15" s="90">
        <f>IF(OR(I15="",Q15=""),"",I15*Q15)</f>
        <v/>
      </c>
      <c r="S15" s="61">
        <f>IF(R15="","",IF(R15&gt;15,"Critical",IF(R15&gt;10,"High",IF(R15&gt;5,"Medium","Low"))))</f>
        <v/>
      </c>
      <c r="T15" s="61" t="inlineStr">
        <is>
          <t>OBJ-06</t>
        </is>
      </c>
      <c r="U15" s="61" t="inlineStr">
        <is>
          <t>A.10.2-A.10.4; A.4.4-A.4.5</t>
        </is>
      </c>
      <c r="V15" s="63" t="inlineStr">
        <is>
          <t>Due diligence, contracts, assurance reviews and exit tests</t>
        </is>
      </c>
      <c r="W15" s="61" t="inlineStr">
        <is>
          <t>Procurement, renewal, supplier change, incident or performance failure</t>
        </is>
      </c>
      <c r="X15" s="61">
        <f>IF(AND(A15&lt;&gt;"",B15&lt;&gt;"",C15&lt;&gt;"",D15&lt;&gt;"",E15&lt;&gt;"",F15&lt;&gt;"",G15&lt;&gt;"",H15&lt;&gt;"",K15&lt;&gt;"",L15&lt;&gt;"",M15&lt;&gt;"",N15&lt;&gt;"",T15&lt;&gt;"",U15&lt;&gt;"",W15&lt;&gt;""),"Complete","Incomplete")</f>
        <v/>
      </c>
    </row>
    <row r="16" ht="32.25" customHeight="1" s="39">
      <c r="A16" s="60" t="inlineStr">
        <is>
          <t>R-10</t>
        </is>
      </c>
      <c r="B16" s="61" t="inlineStr">
        <is>
          <t>AI security, privacy or misuse controls are inadequate for the system and threat context.</t>
        </is>
      </c>
      <c r="C16" s="61" t="inlineStr">
        <is>
          <t>AI-specific threat modelling, access, logging and supplier controls are not evidenced for all priority systems.</t>
        </is>
      </c>
      <c r="D16" s="61" t="inlineStr">
        <is>
          <t>Data leakage, manipulation, unauthorised use, service disruption, compromised outputs or regulatory breach.</t>
        </is>
      </c>
      <c r="E16" s="61" t="inlineStr">
        <is>
          <t>AIG-ASS-11 controlled checklist; live security evidence required</t>
        </is>
      </c>
      <c r="F16" s="61" t="inlineStr">
        <is>
          <t>ISO 6.1, 8.1; A.4.4-A.4.5; A.6.2.4-A.6.2.8</t>
        </is>
      </c>
      <c r="G16" s="63" t="n">
        <v>3</v>
      </c>
      <c r="H16" s="63" t="n">
        <v>5</v>
      </c>
      <c r="I16" s="61">
        <f>IF(OR(G16="",H16=""),"",G16*H16)</f>
        <v/>
      </c>
      <c r="J16" s="61">
        <f>IF(I16="","",IF(I16&gt;=16,"Critical",IF(I16&gt;=11,"High",IF(I16&gt;=6,"Medium","Low"))))</f>
        <v/>
      </c>
      <c r="K16" s="63" t="inlineStr">
        <is>
          <t>Modify</t>
        </is>
      </c>
      <c r="L16" s="61" t="inlineStr">
        <is>
          <t>Perform risk-tiered security and privacy reviews; define technical controls, abuse testing, logging, vulnerability handling and go-live closure criteria.</t>
        </is>
      </c>
      <c r="M16" s="61" t="inlineStr">
        <is>
          <t>Security Lead / Service Owner</t>
        </is>
      </c>
      <c r="N16" s="63" t="inlineStr">
        <is>
          <t>Treatment planned</t>
        </is>
      </c>
      <c r="O16" s="62" t="n"/>
      <c r="P16" s="63" t="n"/>
      <c r="Q16" s="89">
        <f>IF(P16="","",P16/5)</f>
        <v/>
      </c>
      <c r="R16" s="90">
        <f>IF(OR(I16="",Q16=""),"",I16*Q16)</f>
        <v/>
      </c>
      <c r="S16" s="61">
        <f>IF(R16="","",IF(R16&gt;15,"Critical",IF(R16&gt;10,"High",IF(R16&gt;5,"Medium","Low"))))</f>
        <v/>
      </c>
      <c r="T16" s="61" t="inlineStr">
        <is>
          <t>OBJ-04, OBJ-06</t>
        </is>
      </c>
      <c r="U16" s="61" t="inlineStr">
        <is>
          <t>A.4.4-A.4.5; A.6.2.4-A.6.2.8; A.10.3</t>
        </is>
      </c>
      <c r="V16" s="63" t="inlineStr">
        <is>
          <t>Threat model, test results, security decision and monitoring</t>
        </is>
      </c>
      <c r="W16" s="61" t="inlineStr">
        <is>
          <t>Threat, vulnerability, architecture, model or hosting change</t>
        </is>
      </c>
      <c r="X16" s="61">
        <f>IF(AND(A16&lt;&gt;"",B16&lt;&gt;"",C16&lt;&gt;"",D16&lt;&gt;"",E16&lt;&gt;"",F16&lt;&gt;"",G16&lt;&gt;"",H16&lt;&gt;"",K16&lt;&gt;"",L16&lt;&gt;"",M16&lt;&gt;"",N16&lt;&gt;"",T16&lt;&gt;"",U16&lt;&gt;"",W16&lt;&gt;""),"Complete","Incomplete")</f>
        <v/>
      </c>
    </row>
    <row r="17" ht="32.25" customHeight="1" s="39">
      <c r="A17" s="60" t="inlineStr">
        <is>
          <t>R-11</t>
        </is>
      </c>
      <c r="B17" s="61" t="inlineStr">
        <is>
          <t>Performance deterioration, drift or material change is not detected and reassessed.</t>
        </is>
      </c>
      <c r="C17" s="61" t="inlineStr">
        <is>
          <t>Operational thresholds, ownership and material-change triggers are not yet operating across the portfolio.</t>
        </is>
      </c>
      <c r="D17" s="61" t="inlineStr">
        <is>
          <t>Systems may remain in use outside approved performance, risk, purpose or data conditions.</t>
        </is>
      </c>
      <c r="E17" s="61" t="inlineStr">
        <is>
          <t>AIG-OPS-05, AIG-OPS-06 and AIG-OPS-01 require live monitoring records</t>
        </is>
      </c>
      <c r="F17" s="61" t="inlineStr">
        <is>
          <t>ISO 8.1, 9.1; A.6.2.6-A.6.2.8</t>
        </is>
      </c>
      <c r="G17" s="63" t="n">
        <v>4</v>
      </c>
      <c r="H17" s="63" t="n">
        <v>4</v>
      </c>
      <c r="I17" s="61">
        <f>IF(OR(G17="",H17=""),"",G17*H17)</f>
        <v/>
      </c>
      <c r="J17" s="61">
        <f>IF(I17="","",IF(I17&gt;=16,"Critical",IF(I17&gt;=11,"High",IF(I17&gt;=6,"Medium","Low"))))</f>
        <v/>
      </c>
      <c r="K17" s="63" t="inlineStr">
        <is>
          <t>Modify</t>
        </is>
      </c>
      <c r="L17" s="61" t="inlineStr">
        <is>
          <t>Approve system monitoring plans and thresholds; assign review owners; connect alerts and material changes to pause, investigation, reapproval and register update.</t>
        </is>
      </c>
      <c r="M17" s="61" t="inlineStr">
        <is>
          <t>System Owner / Service Owner</t>
        </is>
      </c>
      <c r="N17" s="63" t="inlineStr">
        <is>
          <t>Treatment planned</t>
        </is>
      </c>
      <c r="O17" s="62" t="n"/>
      <c r="P17" s="63" t="n"/>
      <c r="Q17" s="89">
        <f>IF(P17="","",P17/5)</f>
        <v/>
      </c>
      <c r="R17" s="90">
        <f>IF(OR(I17="",Q17=""),"",I17*Q17)</f>
        <v/>
      </c>
      <c r="S17" s="61">
        <f>IF(R17="","",IF(R17&gt;15,"Critical",IF(R17&gt;10,"High",IF(R17&gt;5,"Medium","Low"))))</f>
        <v/>
      </c>
      <c r="T17" s="61" t="inlineStr">
        <is>
          <t>OBJ-04, OBJ-07</t>
        </is>
      </c>
      <c r="U17" s="61" t="inlineStr">
        <is>
          <t>A.6.2.6-A.6.2.8; A.8.4</t>
        </is>
      </c>
      <c r="V17" s="63" t="inlineStr">
        <is>
          <t>Monitoring logs, alerts, reviews, changes and reapproval</t>
        </is>
      </c>
      <c r="W17" s="61" t="inlineStr">
        <is>
          <t>Threshold breach, drift, supplier update or scope change</t>
        </is>
      </c>
      <c r="X17" s="61">
        <f>IF(AND(A17&lt;&gt;"",B17&lt;&gt;"",C17&lt;&gt;"",D17&lt;&gt;"",E17&lt;&gt;"",F17&lt;&gt;"",G17&lt;&gt;"",H17&lt;&gt;"",K17&lt;&gt;"",L17&lt;&gt;"",M17&lt;&gt;"",N17&lt;&gt;"",T17&lt;&gt;"",U17&lt;&gt;"",W17&lt;&gt;""),"Complete","Incomplete")</f>
        <v/>
      </c>
    </row>
    <row r="18" ht="42.75" customHeight="1" s="39">
      <c r="A18" s="60" t="inlineStr">
        <is>
          <t>R-12</t>
        </is>
      </c>
      <c r="B18" s="61" t="inlineStr">
        <is>
          <t>AI incidents, complaints or concerns are not escalated, investigated or converted into corrective action.</t>
        </is>
      </c>
      <c r="C18" s="61" t="inlineStr">
        <is>
          <t>Reporting routes and incident workflow have not been exercised end to end.</t>
        </is>
      </c>
      <c r="D18" s="61" t="inlineStr">
        <is>
          <t>Continuing harm, missed notification, repeated failures and loss of trust or learning.</t>
        </is>
      </c>
      <c r="E18" s="61" t="inlineStr">
        <is>
          <t>AIG-OPS-03 design form; exercise and live records required</t>
        </is>
      </c>
      <c r="F18" s="61" t="inlineStr">
        <is>
          <t>ISO 7.4, 10.1-10.2; A.3.3; A.8.3-A.8.4</t>
        </is>
      </c>
      <c r="G18" s="63" t="n">
        <v>3</v>
      </c>
      <c r="H18" s="63" t="n">
        <v>5</v>
      </c>
      <c r="I18" s="61">
        <f>IF(OR(G18="",H18=""),"",G18*H18)</f>
        <v/>
      </c>
      <c r="J18" s="61">
        <f>IF(I18="","",IF(I18&gt;=16,"Critical",IF(I18&gt;=11,"High",IF(I18&gt;=6,"Medium","Low"))))</f>
        <v/>
      </c>
      <c r="K18" s="63" t="inlineStr">
        <is>
          <t>Modify</t>
        </is>
      </c>
      <c r="L18" s="61" t="inlineStr">
        <is>
          <t>Align incident taxonomy and routes; run a tabletop exercise; confirm authority, communications and notifications; track root cause, corrective action and effectiveness.</t>
        </is>
      </c>
      <c r="M18" s="61" t="inlineStr">
        <is>
          <t>Incident Lead / AI Governance Lead</t>
        </is>
      </c>
      <c r="N18" s="63" t="inlineStr">
        <is>
          <t>Treatment planned</t>
        </is>
      </c>
      <c r="O18" s="62" t="n"/>
      <c r="P18" s="63" t="n"/>
      <c r="Q18" s="89">
        <f>IF(P18="","",P18/5)</f>
        <v/>
      </c>
      <c r="R18" s="90">
        <f>IF(OR(I18="",Q18=""),"",I18*Q18)</f>
        <v/>
      </c>
      <c r="S18" s="61">
        <f>IF(R18="","",IF(R18&gt;15,"Critical",IF(R18&gt;10,"High",IF(R18&gt;5,"Medium","Low"))))</f>
        <v/>
      </c>
      <c r="T18" s="61" t="inlineStr">
        <is>
          <t>OBJ-05, OBJ-07</t>
        </is>
      </c>
      <c r="U18" s="61" t="inlineStr">
        <is>
          <t>A.3.3; A.8.3-A.8.4</t>
        </is>
      </c>
      <c r="V18" s="63" t="inlineStr">
        <is>
          <t>Exercise report, incident records, actions and effectiveness checks</t>
        </is>
      </c>
      <c r="W18" s="61" t="inlineStr">
        <is>
          <t>Incident, complaint, near miss, control failure or external report</t>
        </is>
      </c>
      <c r="X18" s="61">
        <f>IF(AND(A18&lt;&gt;"",B18&lt;&gt;"",C18&lt;&gt;"",D18&lt;&gt;"",E18&lt;&gt;"",F18&lt;&gt;"",G18&lt;&gt;"",H18&lt;&gt;"",K18&lt;&gt;"",L18&lt;&gt;"",M18&lt;&gt;"",N18&lt;&gt;"",T18&lt;&gt;"",U18&lt;&gt;"",W18&lt;&gt;""),"Complete","Incomplete")</f>
        <v/>
      </c>
    </row>
    <row r="19" ht="32.25" customHeight="1" s="39">
      <c r="A19" s="60" t="inlineStr">
        <is>
          <t>R-13</t>
        </is>
      </c>
      <c r="B19" s="61" t="inlineStr">
        <is>
          <t>Applicable legal, regulatory, contractual or Council requirements are incomplete or outdated.</t>
        </is>
      </c>
      <c r="C19" s="61" t="inlineStr">
        <is>
          <t>No single validated AIMS obligations and change record has yet been evidenced.</t>
        </is>
      </c>
      <c r="D19" s="61" t="inlineStr">
        <is>
          <t>Controls and decisions may rely on obsolete or incomplete requirements, creating non-compliance or rework.</t>
        </is>
      </c>
      <c r="E19" s="61" t="inlineStr">
        <is>
          <t>AIG-AIMS-01 section 8 requires a controlled requirements record</t>
        </is>
      </c>
      <c r="F19" s="61" t="inlineStr">
        <is>
          <t>ISO 4.2, 6.1, 9.1; A.2.3; A.8.5</t>
        </is>
      </c>
      <c r="G19" s="63" t="n">
        <v>3</v>
      </c>
      <c r="H19" s="63" t="n">
        <v>5</v>
      </c>
      <c r="I19" s="61">
        <f>IF(OR(G19="",H19=""),"",G19*H19)</f>
        <v/>
      </c>
      <c r="J19" s="61">
        <f>IF(I19="","",IF(I19&gt;=16,"Critical",IF(I19&gt;=11,"High",IF(I19&gt;=6,"Medium","Low"))))</f>
        <v/>
      </c>
      <c r="K19" s="63" t="inlineStr">
        <is>
          <t>Modify</t>
        </is>
      </c>
      <c r="L19" s="61" t="inlineStr">
        <is>
          <t>Establish the AIMS applicable-requirements register with authoritative owners, sources, applicability, affected controls, review dates and change assessment.</t>
        </is>
      </c>
      <c r="M19" s="61" t="inlineStr">
        <is>
          <t>Legal Services / AI Governance Lead</t>
        </is>
      </c>
      <c r="N19" s="63" t="inlineStr">
        <is>
          <t>Treatment planned</t>
        </is>
      </c>
      <c r="O19" s="62" t="n"/>
      <c r="P19" s="63" t="n"/>
      <c r="Q19" s="89">
        <f>IF(P19="","",P19/5)</f>
        <v/>
      </c>
      <c r="R19" s="90">
        <f>IF(OR(I19="",Q19=""),"",I19*Q19)</f>
        <v/>
      </c>
      <c r="S19" s="61">
        <f>IF(R19="","",IF(R19&gt;15,"Critical",IF(R19&gt;10,"High",IF(R19&gt;5,"Medium","Low"))))</f>
        <v/>
      </c>
      <c r="T19" s="61" t="inlineStr">
        <is>
          <t>OBJ-03, OBJ-08</t>
        </is>
      </c>
      <c r="U19" s="61" t="inlineStr">
        <is>
          <t>A.2.3; A.8.5; A.10.2-A.10.4</t>
        </is>
      </c>
      <c r="V19" s="63" t="inlineStr">
        <is>
          <t>Requirements register, legal review and change records</t>
        </is>
      </c>
      <c r="W19" s="61" t="inlineStr">
        <is>
          <t>Legal, regulatory, policy, contract or service change</t>
        </is>
      </c>
      <c r="X19" s="61">
        <f>IF(AND(A19&lt;&gt;"",B19&lt;&gt;"",C19&lt;&gt;"",D19&lt;&gt;"",E19&lt;&gt;"",F19&lt;&gt;"",G19&lt;&gt;"",H19&lt;&gt;"",K19&lt;&gt;"",L19&lt;&gt;"",M19&lt;&gt;"",N19&lt;&gt;"",T19&lt;&gt;"",U19&lt;&gt;"",W19&lt;&gt;""),"Complete","Incomplete")</f>
        <v/>
      </c>
    </row>
    <row r="20" ht="32.25" customHeight="1" s="39">
      <c r="A20" s="60" t="inlineStr">
        <is>
          <t>R-14</t>
        </is>
      </c>
      <c r="B20" s="61" t="inlineStr">
        <is>
          <t>The Council cannot demonstrate AIMS effectiveness because internal audit and management review are not operating.</t>
        </is>
      </c>
      <c r="C20" s="61" t="inlineStr">
        <is>
          <t>Current evidence is primarily controlled design documentation rather than sampled operational records.</t>
        </is>
      </c>
      <c r="D20" s="61" t="inlineStr">
        <is>
          <t>Weak assurance, recurring gaps and unsupported certification or leadership claims.</t>
        </is>
      </c>
      <c r="E20" s="61" t="inlineStr">
        <is>
          <t>AIG-AIMS-02 shows zero controls implemented/evidenced/effective</t>
        </is>
      </c>
      <c r="F20" s="61" t="inlineStr">
        <is>
          <t>ISO 9.1-9.3, 10.1-10.2</t>
        </is>
      </c>
      <c r="G20" s="63" t="n">
        <v>4</v>
      </c>
      <c r="H20" s="63" t="n">
        <v>4</v>
      </c>
      <c r="I20" s="61">
        <f>IF(OR(G20="",H20=""),"",G20*H20)</f>
        <v/>
      </c>
      <c r="J20" s="61">
        <f>IF(I20="","",IF(I20&gt;=16,"Critical",IF(I20&gt;=11,"High",IF(I20&gt;=6,"Medium","Low"))))</f>
        <v/>
      </c>
      <c r="K20" s="63" t="inlineStr">
        <is>
          <t>Modify</t>
        </is>
      </c>
      <c r="L20" s="61" t="inlineStr">
        <is>
          <t>Approve audit and management-review programmes; define evidence thresholds; conduct the first cycle; track findings, corrective actions and effectiveness.</t>
        </is>
      </c>
      <c r="M20" s="61" t="inlineStr">
        <is>
          <t>AI Assurance Board / Internal Audit</t>
        </is>
      </c>
      <c r="N20" s="63" t="inlineStr">
        <is>
          <t>Treatment planned</t>
        </is>
      </c>
      <c r="O20" s="62" t="n"/>
      <c r="P20" s="63" t="n"/>
      <c r="Q20" s="89">
        <f>IF(P20="","",P20/5)</f>
        <v/>
      </c>
      <c r="R20" s="90">
        <f>IF(OR(I20="",Q20=""),"",I20*Q20)</f>
        <v/>
      </c>
      <c r="S20" s="61">
        <f>IF(R20="","",IF(R20&gt;15,"Critical",IF(R20&gt;10,"High",IF(R20&gt;5,"Medium","Low"))))</f>
        <v/>
      </c>
      <c r="T20" s="61" t="inlineStr">
        <is>
          <t>OBJ-07, OBJ-08</t>
        </is>
      </c>
      <c r="U20" s="61" t="inlineStr">
        <is>
          <t>A.2.4; A.5.3; A.6.2.3</t>
        </is>
      </c>
      <c r="V20" s="63" t="inlineStr">
        <is>
          <t>Audit reports, management review, actions and verified closure</t>
        </is>
      </c>
      <c r="W20" s="61" t="inlineStr">
        <is>
          <t>Audit plan, management review, major incident or recurring finding</t>
        </is>
      </c>
      <c r="X20" s="61">
        <f>IF(AND(A20&lt;&gt;"",B20&lt;&gt;"",C20&lt;&gt;"",D20&lt;&gt;"",E20&lt;&gt;"",F20&lt;&gt;"",G20&lt;&gt;"",H20&lt;&gt;"",K20&lt;&gt;"",L20&lt;&gt;"",M20&lt;&gt;"",N20&lt;&gt;"",T20&lt;&gt;"",U20&lt;&gt;"",W20&lt;&gt;""),"Complete","Incomplete")</f>
        <v/>
      </c>
    </row>
    <row r="21" ht="32.25" customHeight="1" s="39">
      <c r="A21" s="60" t="inlineStr">
        <is>
          <t>R-15</t>
        </is>
      </c>
      <c r="B21" s="61" t="inlineStr">
        <is>
          <t>AI systems or supplier dependencies are retired or exited without controlled records, continuity or data handling.</t>
        </is>
      </c>
      <c r="C21" s="61" t="inlineStr">
        <is>
          <t>Retirement, archival, replacement and supplier-exit controls are not evidenced across real systems.</t>
        </is>
      </c>
      <c r="D21" s="61" t="inlineStr">
        <is>
          <t>Service disruption, retained access/data, lost audit trail, unmanaged dependency or re-emergence of retired use.</t>
        </is>
      </c>
      <c r="E21" s="61" t="inlineStr">
        <is>
          <t>AIG-OPS-01 deployment and live-control design; exit evidence required</t>
        </is>
      </c>
      <c r="F21" s="61" t="inlineStr">
        <is>
          <t>ISO 8.1; A.4.2-A.4.5; A.6.2.3; A.10.2-A.10.3</t>
        </is>
      </c>
      <c r="G21" s="63" t="n">
        <v>3</v>
      </c>
      <c r="H21" s="63" t="n">
        <v>4</v>
      </c>
      <c r="I21" s="61">
        <f>IF(OR(G21="",H21=""),"",G21*H21)</f>
        <v/>
      </c>
      <c r="J21" s="61">
        <f>IF(I21="","",IF(I21&gt;=16,"Critical",IF(I21&gt;=11,"High",IF(I21&gt;=6,"Medium","Low"))))</f>
        <v/>
      </c>
      <c r="K21" s="63" t="inlineStr">
        <is>
          <t>Modify</t>
        </is>
      </c>
      <c r="L21" s="61" t="inlineStr">
        <is>
          <t>Define decommissioning and exit criteria; revoke access, manage data/records, update the AI Register, validate replacement/continuity and retain closure evidence.</t>
        </is>
      </c>
      <c r="M21" s="61" t="inlineStr">
        <is>
          <t>Service Owner / Technology Owner</t>
        </is>
      </c>
      <c r="N21" s="63" t="inlineStr">
        <is>
          <t>Treatment planned</t>
        </is>
      </c>
      <c r="O21" s="62" t="n"/>
      <c r="P21" s="63" t="n"/>
      <c r="Q21" s="89">
        <f>IF(P21="","",P21/5)</f>
        <v/>
      </c>
      <c r="R21" s="90">
        <f>IF(OR(I21="",Q21=""),"",I21*Q21)</f>
        <v/>
      </c>
      <c r="S21" s="61">
        <f>IF(R21="","",IF(R21&gt;15,"Critical",IF(R21&gt;10,"High",IF(R21&gt;5,"Medium","Low"))))</f>
        <v/>
      </c>
      <c r="T21" s="61" t="inlineStr">
        <is>
          <t>OBJ-04, OBJ-06</t>
        </is>
      </c>
      <c r="U21" s="61" t="inlineStr">
        <is>
          <t>A.4.2-A.4.5; A.6.2.3; A.10.2-A.10.3</t>
        </is>
      </c>
      <c r="V21" s="63" t="inlineStr">
        <is>
          <t>Retirement plan, access/data closure, register and contract records</t>
        </is>
      </c>
      <c r="W21" s="61" t="inlineStr">
        <is>
          <t>Retirement decision, supplier exit, replacement or service transfer</t>
        </is>
      </c>
      <c r="X21" s="61">
        <f>IF(AND(A21&lt;&gt;"",B21&lt;&gt;"",C21&lt;&gt;"",D21&lt;&gt;"",E21&lt;&gt;"",F21&lt;&gt;"",G21&lt;&gt;"",H21&lt;&gt;"",K21&lt;&gt;"",L21&lt;&gt;"",M21&lt;&gt;"",N21&lt;&gt;"",T21&lt;&gt;"",U21&lt;&gt;"",W21&lt;&gt;""),"Complete","Incomplete")</f>
        <v/>
      </c>
    </row>
  </sheetData>
  <mergeCells count="4">
    <mergeCell ref="A3:X3"/>
    <mergeCell ref="A2:X2"/>
    <mergeCell ref="A1:X1"/>
    <mergeCell ref="A4:X4"/>
  </mergeCells>
  <conditionalFormatting sqref="J7:J21">
    <cfRule type="containsText" rank="0" priority="2" equalAverage="0" operator="containsText" aboveAverage="0" dxfId="9" text="Critical" percent="0" bottom="0">
      <formula>NOT(ISERROR(SEARCH("Critical",J7)))</formula>
    </cfRule>
    <cfRule type="containsText" rank="0" priority="3" equalAverage="0" operator="containsText" aboveAverage="0" dxfId="15" text="High" percent="0" bottom="0">
      <formula>NOT(ISERROR(SEARCH("High",J7)))</formula>
    </cfRule>
    <cfRule type="containsText" rank="0" priority="4" equalAverage="0" operator="containsText" aboveAverage="0" dxfId="16" text="Medium" percent="0" bottom="0">
      <formula>NOT(ISERROR(SEARCH("Medium",J7)))</formula>
    </cfRule>
    <cfRule type="containsText" rank="0" priority="5" equalAverage="0" operator="containsText" aboveAverage="0" dxfId="10" text="Low" percent="0" bottom="0">
      <formula>NOT(ISERROR(SEARCH("Low",J7)))</formula>
    </cfRule>
  </conditionalFormatting>
  <conditionalFormatting sqref="S7:S21">
    <cfRule type="containsText" rank="0" priority="6" equalAverage="0" operator="containsText" aboveAverage="0" dxfId="9" text="Critical" percent="0" bottom="0">
      <formula>NOT(ISERROR(SEARCH("Critical",S7)))</formula>
    </cfRule>
    <cfRule type="containsText" rank="0" priority="7" equalAverage="0" operator="containsText" aboveAverage="0" dxfId="15" text="High" percent="0" bottom="0">
      <formula>NOT(ISERROR(SEARCH("High",S7)))</formula>
    </cfRule>
    <cfRule type="containsText" rank="0" priority="8" equalAverage="0" operator="containsText" aboveAverage="0" dxfId="16" text="Medium" percent="0" bottom="0">
      <formula>NOT(ISERROR(SEARCH("Medium",S7)))</formula>
    </cfRule>
    <cfRule type="containsText" rank="0" priority="9" equalAverage="0" operator="containsText" aboveAverage="0" dxfId="10" text="Low" percent="0" bottom="0">
      <formula>NOT(ISERROR(SEARCH("Low",S7)))</formula>
    </cfRule>
  </conditionalFormatting>
  <conditionalFormatting sqref="X7:X21">
    <cfRule type="containsText" rank="0" priority="10" equalAverage="0" operator="containsText" aboveAverage="0" dxfId="10" text="Complete" percent="0" bottom="0">
      <formula>NOT(ISERROR(SEARCH("Complete",X7)))</formula>
    </cfRule>
  </conditionalFormatting>
  <dataValidations count="3">
    <dataValidation sqref="G7:H21 P7:P21" showDropDown="0" showInputMessage="0" showErrorMessage="0" allowBlank="0" type="whole" errorStyle="stop" operator="between">
      <formula1>1</formula1>
      <formula2>5</formula2>
    </dataValidation>
    <dataValidation sqref="K7:K21" showDropDown="0" showInputMessage="0" showErrorMessage="0" allowBlank="0" type="list" errorStyle="stop" operator="between">
      <formula1>"Avoid,Modify,Share / transfer,Retain / accept,Pursue opportunity"</formula1>
      <formula2>0</formula2>
    </dataValidation>
    <dataValidation sqref="N7:N21" showDropDown="0" showInputMessage="0" showErrorMessage="0" allowBlank="0" type="list" errorStyle="stop" operator="between">
      <formula1>"Draft assessment,Open,Treatment planned,In progress,Accepted,Monitoring,Closed"</formula1>
      <formula2>0</formula2>
    </dataValidation>
  </dataValidations>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ColWidth="9.47265625" defaultRowHeight="15"/>
  <cols>
    <col width="15.39000034332275" customWidth="1" style="38" min="1" max="1"/>
    <col width="41.7599983215332" customWidth="1" style="38" min="2" max="2"/>
    <col width="37.36999893188477" customWidth="1" style="38" min="3" max="3"/>
    <col width="46.15999984741211" customWidth="1" style="38" min="4" max="4"/>
    <col width="21.97999954223633" customWidth="1" style="38" min="5" max="5"/>
    <col width="25.28000068664551" customWidth="1" style="38" min="6" max="6"/>
    <col width="27.47999954223633" customWidth="1" style="38" min="7" max="7"/>
    <col width="14.28999996185303" customWidth="1" style="38" min="8" max="8"/>
    <col width="17.59000015258789" customWidth="1" style="38" min="9" max="9"/>
    <col width="14.28999996185303" customWidth="1" style="38" min="10" max="10"/>
    <col width="35.16999816894531" customWidth="1" style="38" min="11" max="11"/>
    <col width="30.77000045776367" customWidth="1" style="38" min="12" max="12"/>
    <col width="16.48999977111816" customWidth="1" style="38" min="13" max="13"/>
  </cols>
  <sheetData>
    <row r="1" ht="31.5" customHeight="1" s="39">
      <c r="A1" s="40" t="inlineStr">
        <is>
          <t>The Council — AIMS Opportunities Register</t>
        </is>
      </c>
    </row>
    <row r="2" ht="21.75" customHeight="1" s="39">
      <c r="A2" s="41" t="inlineStr">
        <is>
          <t>AIG-AIMS-03  ·  v1.2 draft  ·  Draft for Council review  ·  OFFICIAL</t>
        </is>
      </c>
    </row>
    <row r="3" ht="24" customHeight="1" s="39">
      <c r="A3" s="42" t="inlineStr">
        <is>
          <t>Purpose: record opportunities that can improve AIMS effectiveness, efficiency, integration and public value.</t>
        </is>
      </c>
    </row>
    <row r="4" ht="27.75" customHeight="1" s="39">
      <c r="A4" s="43" t="inlineStr">
        <is>
          <t>Current position: these opportunities are proposed for evaluation. Benefits, resources, owners and dates must be approved before commitment.</t>
        </is>
      </c>
    </row>
    <row r="6" ht="42" customHeight="1" s="39">
      <c r="A6" s="59" t="inlineStr">
        <is>
          <t>Opportunity ID</t>
        </is>
      </c>
      <c r="B6" s="59" t="inlineStr">
        <is>
          <t>Opportunity</t>
        </is>
      </c>
      <c r="C6" s="59" t="inlineStr">
        <is>
          <t>Expected benefit</t>
        </is>
      </c>
      <c r="D6" s="59" t="inlineStr">
        <is>
          <t>Enablement / action</t>
        </is>
      </c>
      <c r="E6" s="59" t="inlineStr">
        <is>
          <t>Related objective(s)</t>
        </is>
      </c>
      <c r="F6" s="59" t="inlineStr">
        <is>
          <t>ISO / SoA links</t>
        </is>
      </c>
      <c r="G6" s="59" t="inlineStr">
        <is>
          <t>Proposed owner</t>
        </is>
      </c>
      <c r="H6" s="59" t="inlineStr">
        <is>
          <t>Priority</t>
        </is>
      </c>
      <c r="I6" s="59" t="inlineStr">
        <is>
          <t>Status</t>
        </is>
      </c>
      <c r="J6" s="59" t="inlineStr">
        <is>
          <t>Target date</t>
        </is>
      </c>
      <c r="K6" s="59" t="inlineStr">
        <is>
          <t>Evidence / indicator</t>
        </is>
      </c>
      <c r="L6" s="59" t="inlineStr">
        <is>
          <t>Review trigger</t>
        </is>
      </c>
      <c r="M6" s="59" t="inlineStr">
        <is>
          <t>Record QA</t>
        </is>
      </c>
    </row>
    <row r="7" ht="32.25" customHeight="1" s="39">
      <c r="A7" s="60" t="inlineStr">
        <is>
          <t>OPP-01</t>
        </is>
      </c>
      <c r="B7" s="61" t="inlineStr">
        <is>
          <t>Use one AI Register ID as the continuous governance thread across every lifecycle stage and board.</t>
        </is>
      </c>
      <c r="C7" s="61" t="inlineStr">
        <is>
          <t>Less fragmentation, faster evidence retrieval, clearer ownership and safer hand-offs.</t>
        </is>
      </c>
      <c r="D7" s="61" t="inlineStr">
        <is>
          <t>Mandate the identifier in intake, assessments, contracts, decision records, deployment, monitoring, incidents and reporting; test completeness.</t>
        </is>
      </c>
      <c r="E7" s="61" t="inlineStr">
        <is>
          <t>OBJ-01, OBJ-02</t>
        </is>
      </c>
      <c r="F7" s="61" t="inlineStr">
        <is>
          <t>ISO 6.1, 7.5, 8.1</t>
        </is>
      </c>
      <c r="G7" s="61" t="inlineStr">
        <is>
          <t>AI Governance Lead</t>
        </is>
      </c>
      <c r="H7" s="63" t="inlineStr">
        <is>
          <t>High</t>
        </is>
      </c>
      <c r="I7" s="63" t="inlineStr">
        <is>
          <t>Proposed</t>
        </is>
      </c>
      <c r="J7" s="62" t="n"/>
      <c r="K7" s="61" t="inlineStr">
        <is>
          <t>Cross-artefact linkage rate; missing-link exceptions; audit retrieval time</t>
        </is>
      </c>
      <c r="L7" s="61" t="inlineStr">
        <is>
          <t>Pilot completion, register change or governance-interface review</t>
        </is>
      </c>
      <c r="M7" s="61">
        <f>IF(AND(A7&lt;&gt;"",B7&lt;&gt;"",C7&lt;&gt;"",D7&lt;&gt;"",E7&lt;&gt;"",F7&lt;&gt;"",G7&lt;&gt;"",H7&lt;&gt;"",I7&lt;&gt;"",K7&lt;&gt;"",L7&lt;&gt;""),"Complete","Incomplete")</f>
        <v/>
      </c>
    </row>
    <row r="8" ht="32.25" customHeight="1" s="39">
      <c r="A8" s="60" t="inlineStr">
        <is>
          <t>OPP-02</t>
        </is>
      </c>
      <c r="B8" s="61" t="inlineStr">
        <is>
          <t>Integrate AIMS controls into existing digital, data, procurement, security, legal and service-management processes.</t>
        </is>
      </c>
      <c r="C8" s="61" t="inlineStr">
        <is>
          <t>Reduced duplication, earlier specialist involvement and a governance route that teams can use in practice.</t>
        </is>
      </c>
      <c r="D8" s="61" t="inlineStr">
        <is>
          <t>Map control triggers and hand-offs into existing methods, gates and systems; retain specialist authority and measure cycle time and rework.</t>
        </is>
      </c>
      <c r="E8" s="61" t="inlineStr">
        <is>
          <t>OBJ-02, OBJ-08</t>
        </is>
      </c>
      <c r="F8" s="61" t="inlineStr">
        <is>
          <t>ISO 4.4, 8.1</t>
        </is>
      </c>
      <c r="G8" s="61" t="inlineStr">
        <is>
          <t>Executive Sponsor / AI Governance Lead</t>
        </is>
      </c>
      <c r="H8" s="63" t="inlineStr">
        <is>
          <t>High</t>
        </is>
      </c>
      <c r="I8" s="63" t="inlineStr">
        <is>
          <t>Proposed</t>
        </is>
      </c>
      <c r="J8" s="62" t="n"/>
      <c r="K8" s="61" t="inlineStr">
        <is>
          <t>Process integration map; cycle time; late-review exceptions; stakeholder feedback</t>
        </is>
      </c>
      <c r="L8" s="61" t="inlineStr">
        <is>
          <t>Process redesign, audit finding or repeated delay</t>
        </is>
      </c>
      <c r="M8" s="61">
        <f>IF(AND(A8&lt;&gt;"",B8&lt;&gt;"",C8&lt;&gt;"",D8&lt;&gt;"",E8&lt;&gt;"",F8&lt;&gt;"",G8&lt;&gt;"",H8&lt;&gt;"",I8&lt;&gt;"",K8&lt;&gt;"",L8&lt;&gt;""),"Complete","Incomplete")</f>
        <v/>
      </c>
    </row>
    <row r="9" ht="32.25" customHeight="1" s="39">
      <c r="A9" s="60" t="inlineStr">
        <is>
          <t>OPP-03</t>
        </is>
      </c>
      <c r="B9" s="61" t="inlineStr">
        <is>
          <t>Turn the AI Register and dashboard into an evidence-led portfolio view.</t>
        </is>
      </c>
      <c r="C9" s="61" t="inlineStr">
        <is>
          <t>Earlier identification of systemic risk, trends, capacity constraints and improvement priorities.</t>
        </is>
      </c>
      <c r="D9" s="61" t="inlineStr">
        <is>
          <t>Define data-quality rules and automated or controlled feeds for risk, status, incidents, actions, assurance, training and benefits.</t>
        </is>
      </c>
      <c r="E9" s="61" t="inlineStr">
        <is>
          <t>OBJ-01, OBJ-07, OBJ-08</t>
        </is>
      </c>
      <c r="F9" s="61" t="inlineStr">
        <is>
          <t>ISO 9.1-9.3</t>
        </is>
      </c>
      <c r="G9" s="61" t="inlineStr">
        <is>
          <t>AI Governance Lead / Data Owner</t>
        </is>
      </c>
      <c r="H9" s="63" t="inlineStr">
        <is>
          <t>Medium</t>
        </is>
      </c>
      <c r="I9" s="63" t="inlineStr">
        <is>
          <t>Proposed</t>
        </is>
      </c>
      <c r="J9" s="62" t="n"/>
      <c r="K9" s="61" t="inlineStr">
        <is>
          <t>Dashboard completeness, timeliness, exception rate and decisions supported</t>
        </is>
      </c>
      <c r="L9" s="61" t="inlineStr">
        <is>
          <t>Reporting cycle, data-quality failure or management review</t>
        </is>
      </c>
      <c r="M9" s="61">
        <f>IF(AND(A9&lt;&gt;"",B9&lt;&gt;"",C9&lt;&gt;"",D9&lt;&gt;"",E9&lt;&gt;"",F9&lt;&gt;"",G9&lt;&gt;"",H9&lt;&gt;"",I9&lt;&gt;"",K9&lt;&gt;"",L9&lt;&gt;""),"Complete","Incomplete")</f>
        <v/>
      </c>
    </row>
    <row r="10" ht="32.25" customHeight="1" s="39">
      <c r="A10" s="60" t="inlineStr">
        <is>
          <t>OPP-04</t>
        </is>
      </c>
      <c r="B10" s="61" t="inlineStr">
        <is>
          <t>Create reusable supplier assurance patterns and evidence requirements.</t>
        </is>
      </c>
      <c r="C10" s="61" t="inlineStr">
        <is>
          <t>More consistent procurement decisions, stronger leverage, less duplicated review and better exit readiness.</t>
        </is>
      </c>
      <c r="D10" s="61" t="inlineStr">
        <is>
          <t>Develop risk-tiered clauses, evidence packs, review cadence and exception routes using AIG-ASS-08 and AIG-ASS-11; pilot on material procurements.</t>
        </is>
      </c>
      <c r="E10" s="61" t="inlineStr">
        <is>
          <t>OBJ-06</t>
        </is>
      </c>
      <c r="F10" s="61" t="inlineStr">
        <is>
          <t>ISO 8.1; A.10.2-A.10.4</t>
        </is>
      </c>
      <c r="G10" s="61" t="inlineStr">
        <is>
          <t>Procurement / Legal Services</t>
        </is>
      </c>
      <c r="H10" s="63" t="inlineStr">
        <is>
          <t>High</t>
        </is>
      </c>
      <c r="I10" s="63" t="inlineStr">
        <is>
          <t>Proposed</t>
        </is>
      </c>
      <c r="J10" s="62" t="n"/>
      <c r="K10" s="61" t="inlineStr">
        <is>
          <t>Supplier review completion, clause exceptions, assurance findings and renewal outcomes</t>
        </is>
      </c>
      <c r="L10" s="61" t="inlineStr">
        <is>
          <t>Procurement pipeline, renewal, material supplier change or incident</t>
        </is>
      </c>
      <c r="M10" s="61">
        <f>IF(AND(A10&lt;&gt;"",B10&lt;&gt;"",C10&lt;&gt;"",D10&lt;&gt;"",E10&lt;&gt;"",F10&lt;&gt;"",G10&lt;&gt;"",H10&lt;&gt;"",I10&lt;&gt;"",K10&lt;&gt;"",L10&lt;&gt;""),"Complete","Incomplete")</f>
        <v/>
      </c>
    </row>
    <row r="11" ht="32.25" customHeight="1" s="39">
      <c r="A11" s="60" t="inlineStr">
        <is>
          <t>OPP-05</t>
        </is>
      </c>
      <c r="B11" s="61" t="inlineStr">
        <is>
          <t>Use transparent governance and accessible engagement to strengthen resident and staff trust.</t>
        </is>
      </c>
      <c r="C11" s="61" t="inlineStr">
        <is>
          <t>Better service design, earlier discovery of unintended impacts and more defensible public decisions.</t>
        </is>
      </c>
      <c r="D11" s="61" t="inlineStr">
        <is>
          <t>Build user research, affected-group engagement, transparency and feedback into high-impact cases and monitor resulting changes.</t>
        </is>
      </c>
      <c r="E11" s="61" t="inlineStr">
        <is>
          <t>OBJ-03, OBJ-05</t>
        </is>
      </c>
      <c r="F11" s="61" t="inlineStr">
        <is>
          <t>ISO 4.2, 6.1, 9.1; A.5.4; A.8.2-A.8.5</t>
        </is>
      </c>
      <c r="G11" s="61" t="inlineStr">
        <is>
          <t>Service Owner / Communications</t>
        </is>
      </c>
      <c r="H11" s="63" t="inlineStr">
        <is>
          <t>Medium</t>
        </is>
      </c>
      <c r="I11" s="63" t="inlineStr">
        <is>
          <t>Proposed</t>
        </is>
      </c>
      <c r="J11" s="62" t="n"/>
      <c r="K11" s="61" t="inlineStr">
        <is>
          <t>Engagement coverage, accessibility findings, complaints, trust feedback and design changes</t>
        </is>
      </c>
      <c r="L11" s="61" t="inlineStr">
        <is>
          <t>New high-impact case, complaint trend or public-interest concern</t>
        </is>
      </c>
      <c r="M11" s="61">
        <f>IF(AND(A11&lt;&gt;"",B11&lt;&gt;"",C11&lt;&gt;"",D11&lt;&gt;"",E11&lt;&gt;"",F11&lt;&gt;"",G11&lt;&gt;"",H11&lt;&gt;"",I11&lt;&gt;"",K11&lt;&gt;"",L11&lt;&gt;""),"Complete","Incomplete")</f>
        <v/>
      </c>
    </row>
  </sheetData>
  <mergeCells count="4">
    <mergeCell ref="A4:M4"/>
    <mergeCell ref="A3:M3"/>
    <mergeCell ref="A2:M2"/>
    <mergeCell ref="A1:M1"/>
  </mergeCells>
  <conditionalFormatting sqref="H7:H11">
    <cfRule type="containsText" rank="0" priority="2" equalAverage="0" operator="containsText" aboveAverage="0" dxfId="15" text="High" percent="0" bottom="0">
      <formula>NOT(ISERROR(SEARCH("High",H7)))</formula>
    </cfRule>
    <cfRule type="containsText" rank="0" priority="3" equalAverage="0" operator="containsText" aboveAverage="0" dxfId="16" text="Medium" percent="0" bottom="0">
      <formula>NOT(ISERROR(SEARCH("Medium",H7)))</formula>
    </cfRule>
  </conditionalFormatting>
  <conditionalFormatting sqref="I7:I11">
    <cfRule type="containsText" rank="0" priority="4" equalAverage="0" operator="containsText" aboveAverage="0" dxfId="10" text="Realised" percent="0" bottom="0">
      <formula>NOT(ISERROR(SEARCH("Realised",I7)))</formula>
    </cfRule>
  </conditionalFormatting>
  <conditionalFormatting sqref="M7:M11">
    <cfRule type="containsText" rank="0" priority="5" equalAverage="0" operator="containsText" aboveAverage="0" dxfId="10" text="Complete" percent="0" bottom="0">
      <formula>NOT(ISERROR(SEARCH("Complete",M7)))</formula>
    </cfRule>
  </conditionalFormatting>
  <dataValidations count="2">
    <dataValidation sqref="H7:H11" showDropDown="0" showInputMessage="0" showErrorMessage="0" allowBlank="0" type="list" errorStyle="stop" operator="between">
      <formula1>"Critical,High,Medium,Low"</formula1>
      <formula2>0</formula2>
    </dataValidation>
    <dataValidation sqref="I7:I11" showDropDown="0" showInputMessage="0" showErrorMessage="0" allowBlank="0" type="list" errorStyle="stop" operator="between">
      <formula1>"Proposed,Approved,In progress,Realised,Paused,Closed"</formula1>
      <formula2>0</formula2>
    </dataValidation>
  </dataValidations>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23"/>
  <sheetViews>
    <sheetView showGridLines="0" workbookViewId="0">
      <selection activeCell="A1" sqref="A1"/>
    </sheetView>
  </sheetViews>
  <sheetFormatPr baseColWidth="8" defaultColWidth="9.47265625" defaultRowHeight="15"/>
  <cols>
    <col width="12.09000015258789" customWidth="1" style="38" min="1" max="1"/>
    <col width="41.7599983215332" customWidth="1" style="38" min="2" max="2"/>
    <col width="35.16999816894531" customWidth="1" style="38" min="3" max="3"/>
    <col width="18.68000030517578" customWidth="1" style="38" min="4" max="4"/>
    <col width="20.8799991607666" customWidth="1" style="38" min="5" max="5"/>
    <col width="25.28000068664551" customWidth="1" style="38" min="6" max="6"/>
    <col width="43.97999954223633" customWidth="1" style="38" min="7" max="7"/>
    <col width="27.47999954223633" customWidth="1" style="38" min="8" max="8"/>
    <col width="31.8799991607666" customWidth="1" style="38" min="9" max="9"/>
    <col width="14.28999996185303" customWidth="1" style="38" min="10" max="10"/>
    <col width="17.59000015258789" customWidth="1" style="38" min="11" max="11"/>
    <col width="14.28999996185303" customWidth="1" style="38" min="12" max="12"/>
    <col width="15.39000034332275" customWidth="1" style="38" min="13" max="13"/>
    <col width="13.1899995803833" customWidth="1" style="38" min="14" max="14"/>
    <col width="32.97000122070312" customWidth="1" style="38" min="15" max="15"/>
    <col width="27.47999954223633" customWidth="1" style="38" min="16" max="17"/>
    <col width="14.28999996185303" customWidth="1" style="38" min="18" max="18"/>
    <col width="12.09000015258789" customWidth="1" style="38" min="19" max="19"/>
    <col width="19.79000091552734" customWidth="1" style="38" min="20" max="20"/>
  </cols>
  <sheetData>
    <row r="1" ht="31.5" customHeight="1" s="39">
      <c r="A1" s="40" t="inlineStr">
        <is>
          <t>The Council — AIMS Improvement and Implementation Plan</t>
        </is>
      </c>
    </row>
    <row r="2" ht="21.75" customHeight="1" s="39">
      <c r="A2" s="41" t="inlineStr">
        <is>
          <t>AIG-AIMS-03  ·  v1.2 draft  ·  Draft for Council review  ·  OFFICIAL</t>
        </is>
      </c>
    </row>
    <row r="3" ht="24" customHeight="1" s="39">
      <c r="A3" s="42" t="inlineStr">
        <is>
          <t>Purpose: control the actions required to move the AIMS from documented design to approved, operating and evidenced practice.</t>
        </is>
      </c>
    </row>
    <row r="4" ht="27.75" customHeight="1" s="39">
      <c r="A4" s="43" t="inlineStr">
        <is>
          <t>Current position: all actions are proposed; none has started (IMP-17 is planned). Council governance must confirm sequencing, owners, resources, target dates, dependencies and acceptance evidence.</t>
        </is>
      </c>
    </row>
    <row r="6" ht="42" customHeight="1" s="39">
      <c r="A6" s="59" t="inlineStr">
        <is>
          <t>Action ID</t>
        </is>
      </c>
      <c r="B6" s="59" t="inlineStr">
        <is>
          <t>Improvement / implementation action</t>
        </is>
      </c>
      <c r="C6" s="59" t="inlineStr">
        <is>
          <t>Rationale / source</t>
        </is>
      </c>
      <c r="D6" s="59" t="inlineStr">
        <is>
          <t>Related risk(s)</t>
        </is>
      </c>
      <c r="E6" s="59" t="inlineStr">
        <is>
          <t>Related objective(s)</t>
        </is>
      </c>
      <c r="F6" s="59" t="inlineStr">
        <is>
          <t>ISO / SoA links</t>
        </is>
      </c>
      <c r="G6" s="59" t="inlineStr">
        <is>
          <t>Acceptance criteria / evidence</t>
        </is>
      </c>
      <c r="H6" s="59" t="inlineStr">
        <is>
          <t>Proposed owner</t>
        </is>
      </c>
      <c r="I6" s="59" t="inlineStr">
        <is>
          <t>Supporting roles</t>
        </is>
      </c>
      <c r="J6" s="59" t="inlineStr">
        <is>
          <t>Priority</t>
        </is>
      </c>
      <c r="K6" s="59" t="inlineStr">
        <is>
          <t>Status</t>
        </is>
      </c>
      <c r="L6" s="59" t="inlineStr">
        <is>
          <t>Planned start</t>
        </is>
      </c>
      <c r="M6" s="59" t="inlineStr">
        <is>
          <t>Target completion</t>
        </is>
      </c>
      <c r="N6" s="59" t="inlineStr">
        <is>
          <t>Progress %</t>
        </is>
      </c>
      <c r="O6" s="59" t="inlineStr">
        <is>
          <t>Dependency</t>
        </is>
      </c>
      <c r="P6" s="59" t="inlineStr">
        <is>
          <t>Evidence location</t>
        </is>
      </c>
      <c r="Q6" s="59" t="inlineStr">
        <is>
          <t>Closure validation</t>
        </is>
      </c>
      <c r="R6" s="59" t="inlineStr">
        <is>
          <t>Last reviewed</t>
        </is>
      </c>
      <c r="S6" s="59" t="inlineStr">
        <is>
          <t>RAG</t>
        </is>
      </c>
      <c r="T6" s="59" t="inlineStr">
        <is>
          <t>Record QA</t>
        </is>
      </c>
    </row>
    <row r="7" ht="32.25" customHeight="1" s="39">
      <c r="A7" s="60" t="inlineStr">
        <is>
          <t>IMP-01</t>
        </is>
      </c>
      <c r="B7" s="61" t="inlineStr">
        <is>
          <t>Confirm the senior accountable owner, adopting authority and formal AIMS scope.</t>
        </is>
      </c>
      <c r="C7" s="61" t="inlineStr">
        <is>
          <t>AIG-AIMS-01 adoption decisions remain pending.</t>
        </is>
      </c>
      <c r="D7" s="61" t="inlineStr">
        <is>
          <t>R-01, R-04</t>
        </is>
      </c>
      <c r="E7" s="61" t="inlineStr">
        <is>
          <t>OBJ-08</t>
        </is>
      </c>
      <c r="F7" s="61" t="inlineStr">
        <is>
          <t>ISO 4.3-4.4, 5.1-5.3</t>
        </is>
      </c>
      <c r="G7" s="61" t="inlineStr">
        <is>
          <t>Approved AIG-AIMS-01; named accountable owner; approval evidence; effective date and communicated boundary.</t>
        </is>
      </c>
      <c r="H7" s="61" t="inlineStr">
        <is>
          <t>Executive Sponsor</t>
        </is>
      </c>
      <c r="I7" s="61" t="inlineStr">
        <is>
          <t>AI Governance Lead; Monitoring Officer; Legal</t>
        </is>
      </c>
      <c r="J7" s="63" t="inlineStr">
        <is>
          <t>Critical</t>
        </is>
      </c>
      <c r="K7" s="63" t="inlineStr">
        <is>
          <t>Not started</t>
        </is>
      </c>
      <c r="L7" s="62" t="n"/>
      <c r="M7" s="62" t="n"/>
      <c r="N7" s="64" t="n">
        <v>0</v>
      </c>
      <c r="O7" s="61" t="inlineStr">
        <is>
          <t>Council delegations and governance route confirmed</t>
        </is>
      </c>
      <c r="P7" s="63" t="n"/>
      <c r="Q7" s="63" t="n"/>
      <c r="R7" s="62" t="n"/>
      <c r="S7" s="61">
        <f>IF(A7="","",IF(K7="Cancelled","Grey",IF(K7="Complete",IF(T7="Complete","Green","Amber"),IF(OR(K7="Blocked",AND(ISNUMBER(M7),M7&lt;TODAY())),"Red",IF(OR(K7="In progress",AND(ISNUMBER(M7),M7-TODAY()&lt;=30)),"Amber",IF(K7="Planned","Blue","Grey"))))))</f>
        <v/>
      </c>
      <c r="T7" s="61">
        <f>IF(AND(A7&lt;&gt;"",B7&lt;&gt;"",C7&lt;&gt;"",D7&lt;&gt;"",E7&lt;&gt;"",F7&lt;&gt;"",G7&lt;&gt;"",H7&lt;&gt;"",J7&lt;&gt;"",K7&lt;&gt;"",O7&lt;&gt;""),IF(K7="Complete",IF(AND(P7&lt;&gt;"",Q7&lt;&gt;""),"Complete","Closure evidence missing"),IF(OR(K7="Not started",M7&lt;&gt;""),"Complete","Target date missing")),"Incomplete")</f>
        <v/>
      </c>
    </row>
    <row r="8" ht="32.25" customHeight="1" s="39">
      <c r="A8" s="60" t="inlineStr">
        <is>
          <t>IMP-02</t>
        </is>
      </c>
      <c r="B8" s="61" t="inlineStr">
        <is>
          <t>Validate and approve all Statement of Applicability decisions.</t>
        </is>
      </c>
      <c r="C8" s="61" t="inlineStr">
        <is>
          <t>AIG-AIMS-02 contains 38 proposed applicable controls but no operational evidence.</t>
        </is>
      </c>
      <c r="D8" s="61" t="inlineStr">
        <is>
          <t>R-01, R-14</t>
        </is>
      </c>
      <c r="E8" s="61" t="inlineStr">
        <is>
          <t>OBJ-08</t>
        </is>
      </c>
      <c r="F8" s="61" t="inlineStr">
        <is>
          <t>ISO 6.1; Annex A</t>
        </is>
      </c>
      <c r="G8" s="61" t="inlineStr">
        <is>
          <t>Licensed-standard validation; approved applicability and owners; justified exclusions if any; controlled approval record.</t>
        </is>
      </c>
      <c r="H8" s="61" t="inlineStr">
        <is>
          <t>AI Governance Lead</t>
        </is>
      </c>
      <c r="I8" s="61" t="inlineStr">
        <is>
          <t>Control Owners; Legal; Internal Audit</t>
        </is>
      </c>
      <c r="J8" s="63" t="inlineStr">
        <is>
          <t>Critical</t>
        </is>
      </c>
      <c r="K8" s="63" t="inlineStr">
        <is>
          <t>Not started</t>
        </is>
      </c>
      <c r="L8" s="62" t="n"/>
      <c r="M8" s="62" t="n"/>
      <c r="N8" s="64" t="n">
        <v>0</v>
      </c>
      <c r="O8" s="61" t="inlineStr">
        <is>
          <t>IMP-01 and approved risk criteria</t>
        </is>
      </c>
      <c r="P8" s="63" t="n"/>
      <c r="Q8" s="63" t="n"/>
      <c r="R8" s="62" t="n"/>
      <c r="S8" s="61">
        <f>IF(A8="","",IF(K8="Cancelled","Grey",IF(K8="Complete",IF(T8="Complete","Green","Amber"),IF(OR(K8="Blocked",AND(ISNUMBER(M8),M8&lt;TODAY())),"Red",IF(OR(K8="In progress",AND(ISNUMBER(M8),M8-TODAY()&lt;=30)),"Amber",IF(K8="Planned","Blue","Grey"))))))</f>
        <v/>
      </c>
      <c r="T8" s="61">
        <f>IF(AND(A8&lt;&gt;"",B8&lt;&gt;"",C8&lt;&gt;"",D8&lt;&gt;"",E8&lt;&gt;"",F8&lt;&gt;"",G8&lt;&gt;"",H8&lt;&gt;"",J8&lt;&gt;"",K8&lt;&gt;"",O8&lt;&gt;""),IF(K8="Complete",IF(AND(P8&lt;&gt;"",Q8&lt;&gt;""),"Complete","Closure evidence missing"),IF(OR(K8="Not started",M8&lt;&gt;""),"Complete","Target date missing")),"Incomplete")</f>
        <v/>
      </c>
    </row>
    <row r="9" ht="32.25" customHeight="1" s="39">
      <c r="A9" s="60" t="inlineStr">
        <is>
          <t>IMP-03</t>
        </is>
      </c>
      <c r="B9" s="61" t="inlineStr">
        <is>
          <t>Approve the AI policy, AIMS objectives, risk criteria and acceptance authority.</t>
        </is>
      </c>
      <c r="C9" s="61" t="inlineStr">
        <is>
          <t>Policy and measurable management-system objectives require leadership approval and resources.</t>
        </is>
      </c>
      <c r="D9" s="61" t="inlineStr">
        <is>
          <t>R-01, R-04</t>
        </is>
      </c>
      <c r="E9" s="61" t="inlineStr">
        <is>
          <t>OBJ-01 to OBJ-08</t>
        </is>
      </c>
      <c r="F9" s="61" t="inlineStr">
        <is>
          <t>ISO 5.2, 6.1-6.2</t>
        </is>
      </c>
      <c r="G9" s="61" t="inlineStr">
        <is>
          <t>Approved policy and objectives; baselines, targets, owners, dates, reporting cadence and risk-acceptance authority recorded.</t>
        </is>
      </c>
      <c r="H9" s="61" t="inlineStr">
        <is>
          <t>Executive Sponsor / AI Assurance Board</t>
        </is>
      </c>
      <c r="I9" s="61" t="inlineStr">
        <is>
          <t>AI Governance Lead; Risk; Finance; Service Owners</t>
        </is>
      </c>
      <c r="J9" s="63" t="inlineStr">
        <is>
          <t>Critical</t>
        </is>
      </c>
      <c r="K9" s="63" t="inlineStr">
        <is>
          <t>Not started</t>
        </is>
      </c>
      <c r="L9" s="62" t="n"/>
      <c r="M9" s="62" t="n"/>
      <c r="N9" s="64" t="n">
        <v>0</v>
      </c>
      <c r="O9" s="61" t="inlineStr">
        <is>
          <t>IMP-01; strategic and resource decisions</t>
        </is>
      </c>
      <c r="P9" s="63" t="n"/>
      <c r="Q9" s="63" t="n"/>
      <c r="R9" s="62" t="n"/>
      <c r="S9" s="61">
        <f>IF(A9="","",IF(K9="Cancelled","Grey",IF(K9="Complete",IF(T9="Complete","Green","Amber"),IF(OR(K9="Blocked",AND(ISNUMBER(M9),M9&lt;TODAY())),"Red",IF(OR(K9="In progress",AND(ISNUMBER(M9),M9-TODAY()&lt;=30)),"Amber",IF(K9="Planned","Blue","Grey"))))))</f>
        <v/>
      </c>
      <c r="T9" s="61">
        <f>IF(AND(A9&lt;&gt;"",B9&lt;&gt;"",C9&lt;&gt;"",D9&lt;&gt;"",E9&lt;&gt;"",F9&lt;&gt;"",G9&lt;&gt;"",H9&lt;&gt;"",J9&lt;&gt;"",K9&lt;&gt;"",O9&lt;&gt;""),IF(K9="Complete",IF(AND(P9&lt;&gt;"",Q9&lt;&gt;""),"Complete","Closure evidence missing"),IF(OR(K9="Not started",M9&lt;&gt;""),"Complete","Target date missing")),"Incomplete")</f>
        <v/>
      </c>
    </row>
    <row r="10" ht="32.25" customHeight="1" s="39">
      <c r="A10" s="60" t="inlineStr">
        <is>
          <t>IMP-04</t>
        </is>
      </c>
      <c r="B10" s="61" t="inlineStr">
        <is>
          <t>Establish the controlled AIMS applicable-requirements and change register.</t>
        </is>
      </c>
      <c r="C10" s="61" t="inlineStr">
        <is>
          <t>AIG-AIMS-01 requires a validated obligations record.</t>
        </is>
      </c>
      <c r="D10" s="61" t="inlineStr">
        <is>
          <t>R-13</t>
        </is>
      </c>
      <c r="E10" s="61" t="inlineStr">
        <is>
          <t>OBJ-03, OBJ-08</t>
        </is>
      </c>
      <c r="F10" s="61" t="inlineStr">
        <is>
          <t>ISO 4.2, 6.1, 9.1; A.2.3</t>
        </is>
      </c>
      <c r="G10" s="61" t="inlineStr">
        <is>
          <t>Requirements have authoritative source, owner, applicability, affected process/control, review date, change status and evidence.</t>
        </is>
      </c>
      <c r="H10" s="61" t="inlineStr">
        <is>
          <t>Legal Services / AI Governance Lead</t>
        </is>
      </c>
      <c r="I10" s="61" t="inlineStr">
        <is>
          <t>DPO; IG; Equality; Procurement; Security</t>
        </is>
      </c>
      <c r="J10" s="63" t="inlineStr">
        <is>
          <t>High</t>
        </is>
      </c>
      <c r="K10" s="63" t="inlineStr">
        <is>
          <t>Not started</t>
        </is>
      </c>
      <c r="L10" s="62" t="n"/>
      <c r="M10" s="62" t="n"/>
      <c r="N10" s="64" t="n">
        <v>0</v>
      </c>
      <c r="O10" s="61" t="inlineStr">
        <is>
          <t>IMP-01 and confirmed scope</t>
        </is>
      </c>
      <c r="P10" s="63" t="n"/>
      <c r="Q10" s="63" t="n"/>
      <c r="R10" s="62" t="n"/>
      <c r="S10" s="61">
        <f>IF(A10="","",IF(K10="Cancelled","Grey",IF(K10="Complete",IF(T10="Complete","Green","Amber"),IF(OR(K10="Blocked",AND(ISNUMBER(M10),M10&lt;TODAY())),"Red",IF(OR(K10="In progress",AND(ISNUMBER(M10),M10-TODAY()&lt;=30)),"Amber",IF(K10="Planned","Blue","Grey"))))))</f>
        <v/>
      </c>
      <c r="T10" s="61">
        <f>IF(AND(A10&lt;&gt;"",B10&lt;&gt;"",C10&lt;&gt;"",D10&lt;&gt;"",E10&lt;&gt;"",F10&lt;&gt;"",G10&lt;&gt;"",H10&lt;&gt;"",J10&lt;&gt;"",K10&lt;&gt;"",O10&lt;&gt;""),IF(K10="Complete",IF(AND(P10&lt;&gt;"",Q10&lt;&gt;""),"Complete","Closure evidence missing"),IF(OR(K10="Not started",M10&lt;&gt;""),"Complete","Target date missing")),"Incomplete")</f>
        <v/>
      </c>
    </row>
    <row r="11" ht="32.25" customHeight="1" s="39">
      <c r="A11" s="60" t="inlineStr">
        <is>
          <t>IMP-05</t>
        </is>
      </c>
      <c r="B11" s="61" t="inlineStr">
        <is>
          <t>Approve governance Terms of Reference, delegations, RACI and competence/resource plan.</t>
        </is>
      </c>
      <c r="C11" s="61" t="inlineStr">
        <is>
          <t>Proposed governance bodies and roles need formal authority and capability.</t>
        </is>
      </c>
      <c r="D11" s="61" t="inlineStr">
        <is>
          <t>R-04, R-05</t>
        </is>
      </c>
      <c r="E11" s="61" t="inlineStr">
        <is>
          <t>OBJ-02, OBJ-08</t>
        </is>
      </c>
      <c r="F11" s="61" t="inlineStr">
        <is>
          <t>ISO 5.3, 7.1-7.3; A.3.2; A.4.6</t>
        </is>
      </c>
      <c r="G11" s="61" t="inlineStr">
        <is>
          <t>Approved roles, membership, deputies, conflicts, delegations and escalation; competence matrix and resourcing decisions retained.</t>
        </is>
      </c>
      <c r="H11" s="61" t="inlineStr">
        <is>
          <t>Executive Sponsor / AI Governance Lead</t>
        </is>
      </c>
      <c r="I11" s="61" t="inlineStr">
        <is>
          <t>HR-L&amp;D; Monitoring Officer; Governance Bodies</t>
        </is>
      </c>
      <c r="J11" s="63" t="inlineStr">
        <is>
          <t>Critical</t>
        </is>
      </c>
      <c r="K11" s="63" t="inlineStr">
        <is>
          <t>Not started</t>
        </is>
      </c>
      <c r="L11" s="62" t="n"/>
      <c r="M11" s="62" t="n"/>
      <c r="N11" s="64" t="n">
        <v>0</v>
      </c>
      <c r="O11" s="61" t="inlineStr">
        <is>
          <t>IMP-01 and organisational design</t>
        </is>
      </c>
      <c r="P11" s="63" t="n"/>
      <c r="Q11" s="63" t="n"/>
      <c r="R11" s="62" t="n"/>
      <c r="S11" s="61">
        <f>IF(A11="","",IF(K11="Cancelled","Grey",IF(K11="Complete",IF(T11="Complete","Green","Amber"),IF(OR(K11="Blocked",AND(ISNUMBER(M11),M11&lt;TODAY())),"Red",IF(OR(K11="In progress",AND(ISNUMBER(M11),M11-TODAY()&lt;=30)),"Amber",IF(K11="Planned","Blue","Grey"))))))</f>
        <v/>
      </c>
      <c r="T11" s="61">
        <f>IF(AND(A11&lt;&gt;"",B11&lt;&gt;"",C11&lt;&gt;"",D11&lt;&gt;"",E11&lt;&gt;"",F11&lt;&gt;"",G11&lt;&gt;"",H11&lt;&gt;"",J11&lt;&gt;"",K11&lt;&gt;"",O11&lt;&gt;""),IF(K11="Complete",IF(AND(P11&lt;&gt;"",Q11&lt;&gt;""),"Complete","Closure evidence missing"),IF(OR(K11="Not started",M11&lt;&gt;""),"Complete","Target date missing")),"Incomplete")</f>
        <v/>
      </c>
    </row>
    <row r="12" ht="32.25" customHeight="1" s="39">
      <c r="A12" s="60" t="inlineStr">
        <is>
          <t>IMP-06</t>
        </is>
      </c>
      <c r="B12" s="61" t="inlineStr">
        <is>
          <t>Complete an AI inventory baseline and shadow-AI discovery campaign.</t>
        </is>
      </c>
      <c r="C12" s="61" t="inlineStr">
        <is>
          <t>Inventory completeness has not been evidenced.</t>
        </is>
      </c>
      <c r="D12" s="61" t="inlineStr">
        <is>
          <t>R-02, R-03</t>
        </is>
      </c>
      <c r="E12" s="61" t="inlineStr">
        <is>
          <t>OBJ-01</t>
        </is>
      </c>
      <c r="F12" s="61" t="inlineStr">
        <is>
          <t>ISO 6.1, 8.1; A.4.2; A.9.2</t>
        </is>
      </c>
      <c r="G12" s="61" t="inlineStr">
        <is>
          <t>Directorate attestations, procurement and technology reconciliations, discovered cases registered/contained, completeness result and actions approved.</t>
        </is>
      </c>
      <c r="H12" s="61" t="inlineStr">
        <is>
          <t>AI Governance Lead</t>
        </is>
      </c>
      <c r="I12" s="61" t="inlineStr">
        <is>
          <t>Service Owners; Digital; Procurement; Security; Data</t>
        </is>
      </c>
      <c r="J12" s="63" t="inlineStr">
        <is>
          <t>Critical</t>
        </is>
      </c>
      <c r="K12" s="63" t="inlineStr">
        <is>
          <t>Not started</t>
        </is>
      </c>
      <c r="L12" s="62" t="n"/>
      <c r="M12" s="62" t="n"/>
      <c r="N12" s="64" t="n">
        <v>0</v>
      </c>
      <c r="O12" s="61" t="inlineStr">
        <is>
          <t>IMP-05 roles and communications</t>
        </is>
      </c>
      <c r="P12" s="63" t="n"/>
      <c r="Q12" s="63" t="n"/>
      <c r="R12" s="62" t="n"/>
      <c r="S12" s="61">
        <f>IF(A12="","",IF(K12="Cancelled","Grey",IF(K12="Complete",IF(T12="Complete","Green","Amber"),IF(OR(K12="Blocked",AND(ISNUMBER(M12),M12&lt;TODAY())),"Red",IF(OR(K12="In progress",AND(ISNUMBER(M12),M12-TODAY()&lt;=30)),"Amber",IF(K12="Planned","Blue","Grey"))))))</f>
        <v/>
      </c>
      <c r="T12" s="61">
        <f>IF(AND(A12&lt;&gt;"",B12&lt;&gt;"",C12&lt;&gt;"",D12&lt;&gt;"",E12&lt;&gt;"",F12&lt;&gt;"",G12&lt;&gt;"",H12&lt;&gt;"",J12&lt;&gt;"",K12&lt;&gt;"",O12&lt;&gt;""),IF(K12="Complete",IF(AND(P12&lt;&gt;"",Q12&lt;&gt;""),"Complete","Closure evidence missing"),IF(OR(K12="Not started",M12&lt;&gt;""),"Complete","Target date missing")),"Incomplete")</f>
        <v/>
      </c>
    </row>
    <row r="13" ht="32.25" customHeight="1" s="39">
      <c r="A13" s="60" t="inlineStr">
        <is>
          <t>IMP-07</t>
        </is>
      </c>
      <c r="B13" s="61" t="inlineStr">
        <is>
          <t>Pilot the complete governance lifecycle on representative real AI cases.</t>
        </is>
      </c>
      <c r="C13" s="61" t="inlineStr">
        <is>
          <t>Controlled templates require operational validation and process learning.</t>
        </is>
      </c>
      <c r="D13" s="61" t="inlineStr">
        <is>
          <t>R-03, R-06, R-10</t>
        </is>
      </c>
      <c r="E13" s="61" t="inlineStr">
        <is>
          <t>OBJ-02, OBJ-03, OBJ-04</t>
        </is>
      </c>
      <c r="F13" s="61" t="inlineStr">
        <is>
          <t>ISO 8.1; Annex A lifecycle controls</t>
        </is>
      </c>
      <c r="G13" s="61" t="inlineStr">
        <is>
          <t>At least three cases spanning different risk tiers follow intake through decision and live/closure status; timing, rework, gaps and user feedback recorded.</t>
        </is>
      </c>
      <c r="H13" s="61" t="inlineStr">
        <is>
          <t>AI Governance Lead / Service Owners</t>
        </is>
      </c>
      <c r="I13" s="61" t="inlineStr">
        <is>
          <t>All applicable control functions and governance bodies</t>
        </is>
      </c>
      <c r="J13" s="63" t="inlineStr">
        <is>
          <t>High</t>
        </is>
      </c>
      <c r="K13" s="63" t="inlineStr">
        <is>
          <t>Not started</t>
        </is>
      </c>
      <c r="L13" s="62" t="n"/>
      <c r="M13" s="62" t="n"/>
      <c r="N13" s="64" t="n">
        <v>0</v>
      </c>
      <c r="O13" s="61" t="inlineStr">
        <is>
          <t>IMP-03 to IMP-06; suitable live cases</t>
        </is>
      </c>
      <c r="P13" s="63" t="n"/>
      <c r="Q13" s="63" t="n"/>
      <c r="R13" s="62" t="n"/>
      <c r="S13" s="61">
        <f>IF(A13="","",IF(K13="Cancelled","Grey",IF(K13="Complete",IF(T13="Complete","Green","Amber"),IF(OR(K13="Blocked",AND(ISNUMBER(M13),M13&lt;TODAY())),"Red",IF(OR(K13="In progress",AND(ISNUMBER(M13),M13-TODAY()&lt;=30)),"Amber",IF(K13="Planned","Blue","Grey"))))))</f>
        <v/>
      </c>
      <c r="T13" s="61">
        <f>IF(AND(A13&lt;&gt;"",B13&lt;&gt;"",C13&lt;&gt;"",D13&lt;&gt;"",E13&lt;&gt;"",F13&lt;&gt;"",G13&lt;&gt;"",H13&lt;&gt;"",J13&lt;&gt;"",K13&lt;&gt;"",O13&lt;&gt;""),IF(K13="Complete",IF(AND(P13&lt;&gt;"",Q13&lt;&gt;""),"Complete","Closure evidence missing"),IF(OR(K13="Not started",M13&lt;&gt;""),"Complete","Target date missing")),"Incomplete")</f>
        <v/>
      </c>
    </row>
    <row r="14" ht="32.25" customHeight="1" s="39">
      <c r="A14" s="60" t="inlineStr">
        <is>
          <t>IMP-08</t>
        </is>
      </c>
      <c r="B14" s="61" t="inlineStr">
        <is>
          <t>Implement a controlled AIMS evidence repository, document-control and retention structure.</t>
        </is>
      </c>
      <c r="C14" s="61" t="inlineStr">
        <is>
          <t>Design documents exist, but live evidence locations and retention controls are not populated.</t>
        </is>
      </c>
      <c r="D14" s="61" t="inlineStr">
        <is>
          <t>R-03, R-14, R-15</t>
        </is>
      </c>
      <c r="E14" s="61" t="inlineStr">
        <is>
          <t>OBJ-01, OBJ-08</t>
        </is>
      </c>
      <c r="F14" s="61" t="inlineStr">
        <is>
          <t>ISO 7.5, 9.1-9.3, 10.2</t>
        </is>
      </c>
      <c r="G14" s="61" t="inlineStr">
        <is>
          <t>Approved taxonomy, access, versioning, retention, disposal and evidence-index rules; sampled records retrievable by AI Register ID and control.</t>
        </is>
      </c>
      <c r="H14" s="61" t="inlineStr">
        <is>
          <t>AI Governance Lead / Information Governance</t>
        </is>
      </c>
      <c r="I14" s="61" t="inlineStr">
        <is>
          <t>Records Management; Security; Control Owners</t>
        </is>
      </c>
      <c r="J14" s="63" t="inlineStr">
        <is>
          <t>High</t>
        </is>
      </c>
      <c r="K14" s="63" t="inlineStr">
        <is>
          <t>Not started</t>
        </is>
      </c>
      <c r="L14" s="62" t="n"/>
      <c r="M14" s="62" t="n"/>
      <c r="N14" s="64" t="n">
        <v>0</v>
      </c>
      <c r="O14" s="61" t="inlineStr">
        <is>
          <t>IMP-01 and corporate records requirements</t>
        </is>
      </c>
      <c r="P14" s="63" t="n"/>
      <c r="Q14" s="63" t="n"/>
      <c r="R14" s="62" t="n"/>
      <c r="S14" s="61">
        <f>IF(A14="","",IF(K14="Cancelled","Grey",IF(K14="Complete",IF(T14="Complete","Green","Amber"),IF(OR(K14="Blocked",AND(ISNUMBER(M14),M14&lt;TODAY())),"Red",IF(OR(K14="In progress",AND(ISNUMBER(M14),M14-TODAY()&lt;=30)),"Amber",IF(K14="Planned","Blue","Grey"))))))</f>
        <v/>
      </c>
      <c r="T14" s="61">
        <f>IF(AND(A14&lt;&gt;"",B14&lt;&gt;"",C14&lt;&gt;"",D14&lt;&gt;"",E14&lt;&gt;"",F14&lt;&gt;"",G14&lt;&gt;"",H14&lt;&gt;"",J14&lt;&gt;"",K14&lt;&gt;"",O14&lt;&gt;""),IF(K14="Complete",IF(AND(P14&lt;&gt;"",Q14&lt;&gt;""),"Complete","Closure evidence missing"),IF(OR(K14="Not started",M14&lt;&gt;""),"Complete","Target date missing")),"Incomplete")</f>
        <v/>
      </c>
    </row>
    <row r="15" ht="32.25" customHeight="1" s="39">
      <c r="A15" s="60" t="inlineStr">
        <is>
          <t>IMP-09</t>
        </is>
      </c>
      <c r="B15" s="61" t="inlineStr">
        <is>
          <t>Deliver role-based AI governance training and verify competence.</t>
        </is>
      </c>
      <c r="C15" s="61" t="inlineStr">
        <is>
          <t>Capability and capacity are material implementation risks.</t>
        </is>
      </c>
      <c r="D15" s="61" t="inlineStr">
        <is>
          <t>R-05</t>
        </is>
      </c>
      <c r="E15" s="61" t="inlineStr">
        <is>
          <t>OBJ-08</t>
        </is>
      </c>
      <c r="F15" s="61" t="inlineStr">
        <is>
          <t>ISO 7.2-7.3; A.4.6</t>
        </is>
      </c>
      <c r="G15" s="61" t="inlineStr">
        <is>
          <t>Target populations and competencies defined; training completed; assessment/effectiveness results and remedial actions retained.</t>
        </is>
      </c>
      <c r="H15" s="61" t="inlineStr">
        <is>
          <t>AI Governance Lead / HR-L&amp;D</t>
        </is>
      </c>
      <c r="I15" s="61" t="inlineStr">
        <is>
          <t>Service Owners; Specialist Control Functions</t>
        </is>
      </c>
      <c r="J15" s="63" t="inlineStr">
        <is>
          <t>High</t>
        </is>
      </c>
      <c r="K15" s="63" t="inlineStr">
        <is>
          <t>Not started</t>
        </is>
      </c>
      <c r="L15" s="62" t="n"/>
      <c r="M15" s="62" t="n"/>
      <c r="N15" s="64" t="n">
        <v>0</v>
      </c>
      <c r="O15" s="61" t="inlineStr">
        <is>
          <t>IMP-05 competence matrix and resource plan</t>
        </is>
      </c>
      <c r="P15" s="63" t="n"/>
      <c r="Q15" s="63" t="n"/>
      <c r="R15" s="62" t="n"/>
      <c r="S15" s="61">
        <f>IF(A15="","",IF(K15="Cancelled","Grey",IF(K15="Complete",IF(T15="Complete","Green","Amber"),IF(OR(K15="Blocked",AND(ISNUMBER(M15),M15&lt;TODAY())),"Red",IF(OR(K15="In progress",AND(ISNUMBER(M15),M15-TODAY()&lt;=30)),"Amber",IF(K15="Planned","Blue","Grey"))))))</f>
        <v/>
      </c>
      <c r="T15" s="61">
        <f>IF(AND(A15&lt;&gt;"",B15&lt;&gt;"",C15&lt;&gt;"",D15&lt;&gt;"",E15&lt;&gt;"",F15&lt;&gt;"",G15&lt;&gt;"",H15&lt;&gt;"",J15&lt;&gt;"",K15&lt;&gt;"",O15&lt;&gt;""),IF(K15="Complete",IF(AND(P15&lt;&gt;"",Q15&lt;&gt;""),"Complete","Closure evidence missing"),IF(OR(K15="Not started",M15&lt;&gt;""),"Complete","Target date missing")),"Incomplete")</f>
        <v/>
      </c>
    </row>
    <row r="16" ht="32.25" customHeight="1" s="39">
      <c r="A16" s="60" t="inlineStr">
        <is>
          <t>IMP-10</t>
        </is>
      </c>
      <c r="B16" s="61" t="inlineStr">
        <is>
          <t>Apply supplier due diligence and contract controls to material live procurements or renewals.</t>
        </is>
      </c>
      <c r="C16" s="61" t="inlineStr">
        <is>
          <t>Supplier controls need operational proof and refinement.</t>
        </is>
      </c>
      <c r="D16" s="61" t="inlineStr">
        <is>
          <t>R-09, R-10, R-15</t>
        </is>
      </c>
      <c r="E16" s="61" t="inlineStr">
        <is>
          <t>OBJ-06</t>
        </is>
      </c>
      <c r="F16" s="61" t="inlineStr">
        <is>
          <t>ISO 8.1; A.10.2-A.10.4</t>
        </is>
      </c>
      <c r="G16" s="61" t="inlineStr">
        <is>
          <t>At least two material supplier cases evidence due diligence, risk-tiered terms, exceptions, assurance rights, change/incident duties and exit arrangements.</t>
        </is>
      </c>
      <c r="H16" s="61" t="inlineStr">
        <is>
          <t>Procurement / Service Owners</t>
        </is>
      </c>
      <c r="I16" s="61" t="inlineStr">
        <is>
          <t>Legal; Security; DPO; AI Governance Lead</t>
        </is>
      </c>
      <c r="J16" s="63" t="inlineStr">
        <is>
          <t>High</t>
        </is>
      </c>
      <c r="K16" s="63" t="inlineStr">
        <is>
          <t>Not started</t>
        </is>
      </c>
      <c r="L16" s="62" t="n"/>
      <c r="M16" s="62" t="n"/>
      <c r="N16" s="64" t="n">
        <v>0</v>
      </c>
      <c r="O16" s="61" t="inlineStr">
        <is>
          <t>Procurement pipeline and IMP-04 requirements</t>
        </is>
      </c>
      <c r="P16" s="63" t="n"/>
      <c r="Q16" s="63" t="n"/>
      <c r="R16" s="62" t="n"/>
      <c r="S16" s="61">
        <f>IF(A16="","",IF(K16="Cancelled","Grey",IF(K16="Complete",IF(T16="Complete","Green","Amber"),IF(OR(K16="Blocked",AND(ISNUMBER(M16),M16&lt;TODAY())),"Red",IF(OR(K16="In progress",AND(ISNUMBER(M16),M16-TODAY()&lt;=30)),"Amber",IF(K16="Planned","Blue","Grey"))))))</f>
        <v/>
      </c>
      <c r="T16" s="61">
        <f>IF(AND(A16&lt;&gt;"",B16&lt;&gt;"",C16&lt;&gt;"",D16&lt;&gt;"",E16&lt;&gt;"",F16&lt;&gt;"",G16&lt;&gt;"",H16&lt;&gt;"",J16&lt;&gt;"",K16&lt;&gt;"",O16&lt;&gt;""),IF(K16="Complete",IF(AND(P16&lt;&gt;"",Q16&lt;&gt;""),"Complete","Closure evidence missing"),IF(OR(K16="Not started",M16&lt;&gt;""),"Complete","Target date missing")),"Incomplete")</f>
        <v/>
      </c>
    </row>
    <row r="17" ht="32.25" customHeight="1" s="39">
      <c r="A17" s="60" t="inlineStr">
        <is>
          <t>IMP-11</t>
        </is>
      </c>
      <c r="B17" s="61" t="inlineStr">
        <is>
          <t>Complete live impact, data, security and technical assurance for priority systems.</t>
        </is>
      </c>
      <c r="C17" s="61" t="inlineStr">
        <is>
          <t>System-level evidence is needed to move controls beyond designed status.</t>
        </is>
      </c>
      <c r="D17" s="61" t="inlineStr">
        <is>
          <t>R-06, R-07, R-08, R-10</t>
        </is>
      </c>
      <c r="E17" s="61" t="inlineStr">
        <is>
          <t>OBJ-03, OBJ-04, OBJ-05</t>
        </is>
      </c>
      <c r="F17" s="61" t="inlineStr">
        <is>
          <t>ISO 8.1; A.5-A.9</t>
        </is>
      </c>
      <c r="G17" s="61" t="inlineStr">
        <is>
          <t>Priority systems have approved assessments, data plans, test results, security decisions, oversight/transparency controls and action closure.</t>
        </is>
      </c>
      <c r="H17" s="61" t="inlineStr">
        <is>
          <t>Service Owners</t>
        </is>
      </c>
      <c r="I17" s="61" t="inlineStr">
        <is>
          <t>DPO; Equality; Human Rights; Data; Security; Technical Reviewers</t>
        </is>
      </c>
      <c r="J17" s="63" t="inlineStr">
        <is>
          <t>High</t>
        </is>
      </c>
      <c r="K17" s="63" t="inlineStr">
        <is>
          <t>Not started</t>
        </is>
      </c>
      <c r="L17" s="62" t="n"/>
      <c r="M17" s="62" t="n"/>
      <c r="N17" s="64" t="n">
        <v>0</v>
      </c>
      <c r="O17" s="61" t="inlineStr">
        <is>
          <t>IMP-06 inventory and risk prioritisation</t>
        </is>
      </c>
      <c r="P17" s="63" t="n"/>
      <c r="Q17" s="63" t="n"/>
      <c r="R17" s="62" t="n"/>
      <c r="S17" s="61">
        <f>IF(A17="","",IF(K17="Cancelled","Grey",IF(K17="Complete",IF(T17="Complete","Green","Amber"),IF(OR(K17="Blocked",AND(ISNUMBER(M17),M17&lt;TODAY())),"Red",IF(OR(K17="In progress",AND(ISNUMBER(M17),M17-TODAY()&lt;=30)),"Amber",IF(K17="Planned","Blue","Grey"))))))</f>
        <v/>
      </c>
      <c r="T17" s="61">
        <f>IF(AND(A17&lt;&gt;"",B17&lt;&gt;"",C17&lt;&gt;"",D17&lt;&gt;"",E17&lt;&gt;"",F17&lt;&gt;"",G17&lt;&gt;"",H17&lt;&gt;"",J17&lt;&gt;"",K17&lt;&gt;"",O17&lt;&gt;""),IF(K17="Complete",IF(AND(P17&lt;&gt;"",Q17&lt;&gt;""),"Complete","Closure evidence missing"),IF(OR(K17="Not started",M17&lt;&gt;""),"Complete","Target date missing")),"Incomplete")</f>
        <v/>
      </c>
    </row>
    <row r="18" ht="32.25" customHeight="1" s="39">
      <c r="A18" s="60" t="inlineStr">
        <is>
          <t>IMP-12</t>
        </is>
      </c>
      <c r="B18" s="61" t="inlineStr">
        <is>
          <t>Establish operational monitoring plans and AI dashboard data-quality rules.</t>
        </is>
      </c>
      <c r="C18" s="61" t="inlineStr">
        <is>
          <t>Monitoring and dashboard artefacts require owners, thresholds and reliable live data.</t>
        </is>
      </c>
      <c r="D18" s="61" t="inlineStr">
        <is>
          <t>R-11, R-14</t>
        </is>
      </c>
      <c r="E18" s="61" t="inlineStr">
        <is>
          <t>OBJ-01, OBJ-04, OBJ-07</t>
        </is>
      </c>
      <c r="F18" s="61" t="inlineStr">
        <is>
          <t>ISO 9.1; A.6.2.6-A.6.2.8</t>
        </is>
      </c>
      <c r="G18" s="61" t="inlineStr">
        <is>
          <t>Live systems have approved measures, thresholds, owners, review cadence and change triggers; dashboard fields reconcile to source evidence.</t>
        </is>
      </c>
      <c r="H18" s="61" t="inlineStr">
        <is>
          <t>AI Governance Lead / System Owners</t>
        </is>
      </c>
      <c r="I18" s="61" t="inlineStr">
        <is>
          <t>Data Owner; Service Managers; Assurance Functions</t>
        </is>
      </c>
      <c r="J18" s="63" t="inlineStr">
        <is>
          <t>High</t>
        </is>
      </c>
      <c r="K18" s="63" t="inlineStr">
        <is>
          <t>Not started</t>
        </is>
      </c>
      <c r="L18" s="62" t="n"/>
      <c r="M18" s="62" t="n"/>
      <c r="N18" s="64" t="n">
        <v>0</v>
      </c>
      <c r="O18" s="61" t="inlineStr">
        <is>
          <t>IMP-06 inventory and IMP-11 system assurance</t>
        </is>
      </c>
      <c r="P18" s="63" t="n"/>
      <c r="Q18" s="63" t="n"/>
      <c r="R18" s="62" t="n"/>
      <c r="S18" s="61">
        <f>IF(A18="","",IF(K18="Cancelled","Grey",IF(K18="Complete",IF(T18="Complete","Green","Amber"),IF(OR(K18="Blocked",AND(ISNUMBER(M18),M18&lt;TODAY())),"Red",IF(OR(K18="In progress",AND(ISNUMBER(M18),M18-TODAY()&lt;=30)),"Amber",IF(K18="Planned","Blue","Grey"))))))</f>
        <v/>
      </c>
      <c r="T18" s="61">
        <f>IF(AND(A18&lt;&gt;"",B18&lt;&gt;"",C18&lt;&gt;"",D18&lt;&gt;"",E18&lt;&gt;"",F18&lt;&gt;"",G18&lt;&gt;"",H18&lt;&gt;"",J18&lt;&gt;"",K18&lt;&gt;"",O18&lt;&gt;""),IF(K18="Complete",IF(AND(P18&lt;&gt;"",Q18&lt;&gt;""),"Complete","Closure evidence missing"),IF(OR(K18="Not started",M18&lt;&gt;""),"Complete","Target date missing")),"Incomplete")</f>
        <v/>
      </c>
    </row>
    <row r="19" ht="32.25" customHeight="1" s="39">
      <c r="A19" s="60" t="inlineStr">
        <is>
          <t>IMP-13</t>
        </is>
      </c>
      <c r="B19" s="61" t="inlineStr">
        <is>
          <t>Exercise AI incident, concern, complaint, escalation and corrective-action processes.</t>
        </is>
      </c>
      <c r="C19" s="61" t="inlineStr">
        <is>
          <t>The incident form and routes require end-to-end testing.</t>
        </is>
      </c>
      <c r="D19" s="61" t="inlineStr">
        <is>
          <t>R-08, R-12</t>
        </is>
      </c>
      <c r="E19" s="61" t="inlineStr">
        <is>
          <t>OBJ-05, OBJ-07</t>
        </is>
      </c>
      <c r="F19" s="61" t="inlineStr">
        <is>
          <t>ISO 7.4, 10.2; A.3.3; A.8.3-A.8.4</t>
        </is>
      </c>
      <c r="G19" s="61" t="inlineStr">
        <is>
          <t>Tabletop exercise completed; roles, notification, communications, evidence, root cause, action and effectiveness gaps assigned and closed.</t>
        </is>
      </c>
      <c r="H19" s="61" t="inlineStr">
        <is>
          <t>Incident Lead / AI Governance Lead</t>
        </is>
      </c>
      <c r="I19" s="61" t="inlineStr">
        <is>
          <t>Security; DPO; Legal; Complaints; Communications; Service Owners</t>
        </is>
      </c>
      <c r="J19" s="63" t="inlineStr">
        <is>
          <t>High</t>
        </is>
      </c>
      <c r="K19" s="63" t="inlineStr">
        <is>
          <t>Not started</t>
        </is>
      </c>
      <c r="L19" s="62" t="n"/>
      <c r="M19" s="62" t="n"/>
      <c r="N19" s="64" t="n">
        <v>0</v>
      </c>
      <c r="O19" s="61" t="inlineStr">
        <is>
          <t>IMP-05 roles and corporate incident interfaces</t>
        </is>
      </c>
      <c r="P19" s="63" t="n"/>
      <c r="Q19" s="63" t="n"/>
      <c r="R19" s="62" t="n"/>
      <c r="S19" s="61">
        <f>IF(A19="","",IF(K19="Cancelled","Grey",IF(K19="Complete",IF(T19="Complete","Green","Amber"),IF(OR(K19="Blocked",AND(ISNUMBER(M19),M19&lt;TODAY())),"Red",IF(OR(K19="In progress",AND(ISNUMBER(M19),M19-TODAY()&lt;=30)),"Amber",IF(K19="Planned","Blue","Grey"))))))</f>
        <v/>
      </c>
      <c r="T19" s="61">
        <f>IF(AND(A19&lt;&gt;"",B19&lt;&gt;"",C19&lt;&gt;"",D19&lt;&gt;"",E19&lt;&gt;"",F19&lt;&gt;"",G19&lt;&gt;"",H19&lt;&gt;"",J19&lt;&gt;"",K19&lt;&gt;"",O19&lt;&gt;""),IF(K19="Complete",IF(AND(P19&lt;&gt;"",Q19&lt;&gt;""),"Complete","Closure evidence missing"),IF(OR(K19="Not started",M19&lt;&gt;""),"Complete","Target date missing")),"Incomplete")</f>
        <v/>
      </c>
    </row>
    <row r="20" ht="32.25" customHeight="1" s="39">
      <c r="A20" s="60" t="inlineStr">
        <is>
          <t>IMP-14</t>
        </is>
      </c>
      <c r="B20" s="61" t="inlineStr">
        <is>
          <t>Approve the AIMS internal audit programme and conduct the first audit.</t>
        </is>
      </c>
      <c r="C20" s="61" t="inlineStr">
        <is>
          <t>No evidence yet demonstrates independent sampling of AIMS operation.</t>
        </is>
      </c>
      <c r="D20" s="61" t="inlineStr">
        <is>
          <t>R-14</t>
        </is>
      </c>
      <c r="E20" s="61" t="inlineStr">
        <is>
          <t>OBJ-08</t>
        </is>
      </c>
      <c r="F20" s="61" t="inlineStr">
        <is>
          <t>ISO 9.2</t>
        </is>
      </c>
      <c r="G20" s="61" t="inlineStr">
        <is>
          <t>Risk-based audit programme, competence and independence confirmed; first audit completed; findings owned, dated and tracked.</t>
        </is>
      </c>
      <c r="H20" s="61" t="inlineStr">
        <is>
          <t>Head of Internal Audit</t>
        </is>
      </c>
      <c r="I20" s="61" t="inlineStr">
        <is>
          <t>AI Governance Lead; Control Owners</t>
        </is>
      </c>
      <c r="J20" s="63" t="inlineStr">
        <is>
          <t>High</t>
        </is>
      </c>
      <c r="K20" s="63" t="inlineStr">
        <is>
          <t>Not started</t>
        </is>
      </c>
      <c r="L20" s="62" t="n"/>
      <c r="M20" s="62" t="n"/>
      <c r="N20" s="64" t="n">
        <v>0</v>
      </c>
      <c r="O20" s="61" t="inlineStr">
        <is>
          <t>Sufficient operating evidence from IMP-07 to IMP-13</t>
        </is>
      </c>
      <c r="P20" s="63" t="n"/>
      <c r="Q20" s="63" t="n"/>
      <c r="R20" s="62" t="n"/>
      <c r="S20" s="61">
        <f>IF(A20="","",IF(K20="Cancelled","Grey",IF(K20="Complete",IF(T20="Complete","Green","Amber"),IF(OR(K20="Blocked",AND(ISNUMBER(M20),M20&lt;TODAY())),"Red",IF(OR(K20="In progress",AND(ISNUMBER(M20),M20-TODAY()&lt;=30)),"Amber",IF(K20="Planned","Blue","Grey"))))))</f>
        <v/>
      </c>
      <c r="T20" s="61">
        <f>IF(AND(A20&lt;&gt;"",B20&lt;&gt;"",C20&lt;&gt;"",D20&lt;&gt;"",E20&lt;&gt;"",F20&lt;&gt;"",G20&lt;&gt;"",H20&lt;&gt;"",J20&lt;&gt;"",K20&lt;&gt;"",O20&lt;&gt;""),IF(K20="Complete",IF(AND(P20&lt;&gt;"",Q20&lt;&gt;""),"Complete","Closure evidence missing"),IF(OR(K20="Not started",M20&lt;&gt;""),"Complete","Target date missing")),"Incomplete")</f>
        <v/>
      </c>
    </row>
    <row r="21" ht="32.25" customHeight="1" s="39">
      <c r="A21" s="60" t="inlineStr">
        <is>
          <t>IMP-15</t>
        </is>
      </c>
      <c r="B21" s="61" t="inlineStr">
        <is>
          <t>Conduct the first formal AIMS management review and approve the improvement backlog.</t>
        </is>
      </c>
      <c r="C21" s="61" t="inlineStr">
        <is>
          <t>Leadership review is required to evaluate suitability, adequacy and effectiveness.</t>
        </is>
      </c>
      <c r="D21" s="61" t="inlineStr">
        <is>
          <t>R-01, R-14</t>
        </is>
      </c>
      <c r="E21" s="61" t="inlineStr">
        <is>
          <t>OBJ-08</t>
        </is>
      </c>
      <c r="F21" s="61" t="inlineStr">
        <is>
          <t>ISO 9.3, 10.1-10.2</t>
        </is>
      </c>
      <c r="G21" s="61" t="inlineStr">
        <is>
          <t>Required inputs reviewed; decisions on resources, risks, objectives, scope, SoA and improvements recorded; actions tracked.</t>
        </is>
      </c>
      <c r="H21" s="61" t="inlineStr">
        <is>
          <t>Executive Sponsor / AI Assurance Board</t>
        </is>
      </c>
      <c r="I21" s="61" t="inlineStr">
        <is>
          <t>AI Governance Lead; Internal Audit; Control Owners</t>
        </is>
      </c>
      <c r="J21" s="63" t="inlineStr">
        <is>
          <t>Critical</t>
        </is>
      </c>
      <c r="K21" s="63" t="inlineStr">
        <is>
          <t>Not started</t>
        </is>
      </c>
      <c r="L21" s="62" t="n"/>
      <c r="M21" s="62" t="n"/>
      <c r="N21" s="64" t="n">
        <v>0</v>
      </c>
      <c r="O21" s="61" t="inlineStr">
        <is>
          <t>IMP-14 audit and objective/performance evidence</t>
        </is>
      </c>
      <c r="P21" s="63" t="n"/>
      <c r="Q21" s="63" t="n"/>
      <c r="R21" s="62" t="n"/>
      <c r="S21" s="61">
        <f>IF(A21="","",IF(K21="Cancelled","Grey",IF(K21="Complete",IF(T21="Complete","Green","Amber"),IF(OR(K21="Blocked",AND(ISNUMBER(M21),M21&lt;TODAY())),"Red",IF(OR(K21="In progress",AND(ISNUMBER(M21),M21-TODAY()&lt;=30)),"Amber",IF(K21="Planned","Blue","Grey"))))))</f>
        <v/>
      </c>
      <c r="T21" s="61">
        <f>IF(AND(A21&lt;&gt;"",B21&lt;&gt;"",C21&lt;&gt;"",D21&lt;&gt;"",E21&lt;&gt;"",F21&lt;&gt;"",G21&lt;&gt;"",H21&lt;&gt;"",J21&lt;&gt;"",K21&lt;&gt;"",O21&lt;&gt;""),IF(K21="Complete",IF(AND(P21&lt;&gt;"",Q21&lt;&gt;""),"Complete","Closure evidence missing"),IF(OR(K21="Not started",M21&lt;&gt;""),"Complete","Target date missing")),"Incomplete")</f>
        <v/>
      </c>
    </row>
    <row r="22" ht="32.25" customHeight="1" s="39">
      <c r="A22" s="60" t="inlineStr">
        <is>
          <t>IMP-16</t>
        </is>
      </c>
      <c r="B22" s="61" t="inlineStr">
        <is>
          <t>Validate controlled retirement, decommissioning, archival and supplier-exit arrangements.</t>
        </is>
      </c>
      <c r="C22" s="61" t="inlineStr">
        <is>
          <t>Lifecycle closure controls need evidence from real or simulated cases.</t>
        </is>
      </c>
      <c r="D22" s="61" t="inlineStr">
        <is>
          <t>R-15</t>
        </is>
      </c>
      <c r="E22" s="61" t="inlineStr">
        <is>
          <t>OBJ-04, OBJ-06</t>
        </is>
      </c>
      <c r="F22" s="61" t="inlineStr">
        <is>
          <t>ISO 8.1; A.4.2-A.4.5; A.6.2.3; A.10.2-A.10.3</t>
        </is>
      </c>
      <c r="G22" s="61" t="inlineStr">
        <is>
          <t>At least one retirement or exit test confirms decision, continuity, access revocation, data/records treatment, contract closure and AI Register status.</t>
        </is>
      </c>
      <c r="H22" s="61" t="inlineStr">
        <is>
          <t>Service Owner / Technology Owner</t>
        </is>
      </c>
      <c r="I22" s="61" t="inlineStr">
        <is>
          <t>Procurement; IG; Security; Data; AI Governance Lead</t>
        </is>
      </c>
      <c r="J22" s="63" t="inlineStr">
        <is>
          <t>Medium</t>
        </is>
      </c>
      <c r="K22" s="63" t="inlineStr">
        <is>
          <t>Not started</t>
        </is>
      </c>
      <c r="L22" s="62" t="n"/>
      <c r="M22" s="62" t="n"/>
      <c r="N22" s="64" t="n">
        <v>0</v>
      </c>
      <c r="O22" s="61" t="inlineStr">
        <is>
          <t>Suitable system or controlled simulation</t>
        </is>
      </c>
      <c r="P22" s="63" t="n"/>
      <c r="Q22" s="63" t="n"/>
      <c r="R22" s="62" t="n"/>
      <c r="S22" s="61">
        <f>IF(A22="","",IF(K22="Cancelled","Grey",IF(K22="Complete",IF(T22="Complete","Green","Amber"),IF(OR(K22="Blocked",AND(ISNUMBER(M22),M22&lt;TODAY())),"Red",IF(OR(K22="In progress",AND(ISNUMBER(M22),M22-TODAY()&lt;=30)),"Amber",IF(K22="Planned","Blue","Grey"))))))</f>
        <v/>
      </c>
      <c r="T22" s="61">
        <f>IF(AND(A22&lt;&gt;"",B22&lt;&gt;"",C22&lt;&gt;"",D22&lt;&gt;"",E22&lt;&gt;"",F22&lt;&gt;"",G22&lt;&gt;"",H22&lt;&gt;"",J22&lt;&gt;"",K22&lt;&gt;"",O22&lt;&gt;""),IF(K22="Complete",IF(AND(P22&lt;&gt;"",Q22&lt;&gt;""),"Complete","Closure evidence missing"),IF(OR(K22="Not started",M22&lt;&gt;""),"Complete","Target date missing")),"Incomplete")</f>
        <v/>
      </c>
    </row>
    <row r="23" ht="32.25" customHeight="1" s="39">
      <c r="A23" s="60" t="inlineStr">
        <is>
          <t>IMP-17</t>
        </is>
      </c>
      <c r="B23" s="61" t="inlineStr">
        <is>
          <t>Societal impact assessment (ISO/IEC 42001 A.5.5): add a societal-impact prompt to the Responsible AI Assessment (AIG-ASS-04) and assess societal impacts for priority AI uses.</t>
        </is>
      </c>
      <c r="C23" s="61" t="inlineStr">
        <is>
          <t>AIG-AIMS-11 known limitation: societal impacts (A.5.5) are not yet assessed explicitly for each use.</t>
        </is>
      </c>
      <c r="D23" s="61" t="inlineStr">
        <is>
          <t>R-06</t>
        </is>
      </c>
      <c r="E23" s="61" t="inlineStr">
        <is>
          <t>OBJ-03</t>
        </is>
      </c>
      <c r="F23" s="61" t="inlineStr">
        <is>
          <t>ISO 6.1.4, 8.4; A.5.5</t>
        </is>
      </c>
      <c r="G23" s="61" t="inlineStr">
        <is>
          <t>Societal-impact prompt approved in AIG-ASS-04; priority uses assessed for societal impacts with outcomes and treatment recorded; A.5.5 entry in AIG-AIMS-02 updated.</t>
        </is>
      </c>
      <c r="H23" s="61" t="inlineStr">
        <is>
          <t>AI Governance Lead</t>
        </is>
      </c>
      <c r="I23" s="61" t="inlineStr">
        <is>
          <t>Service Owners; Equality; Human Rights; Legal; Communities</t>
        </is>
      </c>
      <c r="J23" s="63" t="inlineStr">
        <is>
          <t>Medium</t>
        </is>
      </c>
      <c r="K23" s="63" t="inlineStr">
        <is>
          <t>Planned</t>
        </is>
      </c>
      <c r="L23" s="62" t="n">
        <v>46391</v>
      </c>
      <c r="M23" s="62" t="n">
        <v>46477</v>
      </c>
      <c r="N23" s="64" t="n">
        <v>0</v>
      </c>
      <c r="O23" s="61" t="inlineStr">
        <is>
          <t>IMP-11 system assurance; AIG-AIMS-11 coverage mapping</t>
        </is>
      </c>
      <c r="P23" s="63" t="n"/>
      <c r="Q23" s="63" t="n"/>
      <c r="R23" s="62" t="n"/>
      <c r="S23" s="61">
        <f>IF(A23="","",IF(K23="Cancelled","Grey",IF(K23="Complete",IF(T23="Complete","Green","Amber"),IF(OR(K23="Blocked",AND(ISNUMBER(M23),M23&lt;TODAY())),"Red",IF(OR(K23="In progress",AND(ISNUMBER(M23),M23-TODAY()&lt;=30)),"Amber",IF(K23="Planned","Blue","Grey"))))))</f>
        <v/>
      </c>
      <c r="T23" s="61">
        <f>IF(AND(A23&lt;&gt;"",B23&lt;&gt;"",C23&lt;&gt;"",D23&lt;&gt;"",E23&lt;&gt;"",F23&lt;&gt;"",G23&lt;&gt;"",H23&lt;&gt;"",J23&lt;&gt;"",K23&lt;&gt;"",O23&lt;&gt;""),IF(K23="Complete",IF(AND(P23&lt;&gt;"",Q23&lt;&gt;""),"Complete","Closure evidence missing"),IF(OR(K23="Not started",M23&lt;&gt;""),"Complete","Target date missing")),"Incomplete")</f>
        <v/>
      </c>
    </row>
  </sheetData>
  <mergeCells count="4">
    <mergeCell ref="A1:T1"/>
    <mergeCell ref="A4:T4"/>
    <mergeCell ref="A3:T3"/>
    <mergeCell ref="A2:T2"/>
  </mergeCells>
  <conditionalFormatting sqref="J7:J23">
    <cfRule type="containsText" rank="0" priority="2" equalAverage="0" operator="containsText" aboveAverage="0" dxfId="9" text="Critical" percent="0" bottom="0">
      <formula>NOT(ISERROR(SEARCH("Critical",J7)))</formula>
    </cfRule>
    <cfRule type="containsText" rank="0" priority="3" equalAverage="0" operator="containsText" aboveAverage="0" dxfId="15" text="High" percent="0" bottom="0">
      <formula>NOT(ISERROR(SEARCH("High",J7)))</formula>
    </cfRule>
  </conditionalFormatting>
  <conditionalFormatting sqref="K7:K23">
    <cfRule type="containsText" rank="0" priority="4" equalAverage="0" operator="containsText" aboveAverage="0" dxfId="9" text="Blocked" percent="0" bottom="0">
      <formula>NOT(ISERROR(SEARCH("Blocked",K7)))</formula>
    </cfRule>
    <cfRule type="containsText" rank="0" priority="5" equalAverage="0" operator="containsText" aboveAverage="0" dxfId="10" text="Complete" percent="0" bottom="0">
      <formula>NOT(ISERROR(SEARCH("Complete",K7)))</formula>
    </cfRule>
  </conditionalFormatting>
  <conditionalFormatting sqref="N7:N23">
    <cfRule type="dataBar" priority="6">
      <dataBar minLength="10" maxLength="90" showValue="1">
        <cfvo type="min" val="0"/>
        <cfvo type="max" val="0"/>
        <color rgb="FF5B9BD5"/>
      </dataBar>
    </cfRule>
  </conditionalFormatting>
  <conditionalFormatting sqref="S7:S23">
    <cfRule type="containsText" rank="0" priority="7" equalAverage="0" operator="containsText" aboveAverage="0" dxfId="9" text="Red" percent="0" bottom="0">
      <formula>NOT(ISERROR(SEARCH("Red",S7)))</formula>
    </cfRule>
    <cfRule type="containsText" rank="0" priority="8" equalAverage="0" operator="containsText" aboveAverage="0" dxfId="16" text="Amber" percent="0" bottom="0">
      <formula>NOT(ISERROR(SEARCH("Amber",S7)))</formula>
    </cfRule>
    <cfRule type="containsText" rank="0" priority="9" equalAverage="0" operator="containsText" aboveAverage="0" dxfId="10" text="Green" percent="0" bottom="0">
      <formula>NOT(ISERROR(SEARCH("Green",S7)))</formula>
    </cfRule>
    <cfRule type="expression" priority="10" dxfId="21">
      <formula>EXACT(S7,"Blue")</formula>
    </cfRule>
    <cfRule type="expression" priority="11" dxfId="22">
      <formula>EXACT(S7,"Grey")</formula>
    </cfRule>
  </conditionalFormatting>
  <conditionalFormatting sqref="T7:T23">
    <cfRule type="containsText" rank="0" priority="10" equalAverage="0" operator="containsText" aboveAverage="0" dxfId="10" text="Complete" percent="0" bottom="0">
      <formula>NOT(ISERROR(SEARCH("Complete",T7)))</formula>
    </cfRule>
  </conditionalFormatting>
  <dataValidations count="3">
    <dataValidation sqref="N7:N23" showDropDown="0" showInputMessage="0" showErrorMessage="0" allowBlank="0" type="decimal" errorStyle="stop" operator="between">
      <formula1>0</formula1>
      <formula2>1</formula2>
    </dataValidation>
    <dataValidation sqref="J7:J23" showDropDown="0" showInputMessage="0" showErrorMessage="0" allowBlank="0" type="list" errorStyle="stop" operator="between">
      <formula1>"Critical,High,Medium,Low"</formula1>
      <formula2>0</formula2>
    </dataValidation>
    <dataValidation sqref="K7:K23" showDropDown="0" showInputMessage="0" showErrorMessage="0" allowBlank="0" type="list" errorStyle="stop" operator="between">
      <formula1>"Not started,Planned,In progress,Blocked,Complete,Cancelled"</formula1>
      <formula2>0</formula2>
    </dataValidation>
  </dataValidations>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8"/>
  <sheetViews>
    <sheetView showGridLines="0" workbookViewId="0">
      <selection activeCell="A1" sqref="A1"/>
    </sheetView>
  </sheetViews>
  <sheetFormatPr baseColWidth="8" defaultColWidth="9.47265625" defaultRowHeight="15"/>
  <cols>
    <col width="15.39000034332275" customWidth="1" style="38" min="1" max="1"/>
    <col width="34.06999969482422" customWidth="1" style="38" min="2" max="2"/>
    <col width="5.510000228881836" customWidth="1" style="38" min="3" max="3"/>
    <col width="16.48999977111816" customWidth="1" style="38" min="4" max="4"/>
    <col width="34.06999969482422" customWidth="1" style="38" min="5" max="5"/>
    <col width="5.510000228881836" customWidth="1" style="38" min="6" max="6"/>
    <col width="17.59000015258789" customWidth="1" style="38" min="7" max="7"/>
    <col width="34.06999969482422" customWidth="1" style="38" min="8" max="8"/>
  </cols>
  <sheetData>
    <row r="1" ht="31.5" customHeight="1" s="39">
      <c r="A1" s="65" t="inlineStr">
        <is>
          <t>AIG-AIMS-03 — Status Definitions, Risk Matrix and Use Guidance</t>
        </is>
      </c>
    </row>
    <row r="3" ht="15" customHeight="1" s="39">
      <c r="A3" s="56" t="inlineStr">
        <is>
          <t>Objective status</t>
        </is>
      </c>
      <c r="B3" s="56" t="inlineStr">
        <is>
          <t>Meaning</t>
        </is>
      </c>
      <c r="D3" s="56" t="inlineStr">
        <is>
          <t>Risk status</t>
        </is>
      </c>
      <c r="E3" s="56" t="inlineStr">
        <is>
          <t>Meaning</t>
        </is>
      </c>
      <c r="G3" s="56" t="inlineStr">
        <is>
          <t>Action status</t>
        </is>
      </c>
      <c r="H3" s="56" t="inlineStr">
        <is>
          <t>Meaning</t>
        </is>
      </c>
    </row>
    <row r="4" ht="27.75" customHeight="1" s="39">
      <c r="A4" s="46" t="inlineStr">
        <is>
          <t>Draft</t>
        </is>
      </c>
      <c r="B4" s="57" t="inlineStr">
        <is>
          <t>Proposed objective; not yet approved as a Council commitment.</t>
        </is>
      </c>
      <c r="D4" s="46" t="inlineStr">
        <is>
          <t>Draft assessment</t>
        </is>
      </c>
      <c r="E4" s="57" t="inlineStr">
        <is>
          <t>Risk description or scoring awaits validation.</t>
        </is>
      </c>
      <c r="G4" s="46" t="inlineStr">
        <is>
          <t>Not started</t>
        </is>
      </c>
      <c r="H4" s="57" t="inlineStr">
        <is>
          <t>Action is proposed and not authorised or scheduled.</t>
        </is>
      </c>
    </row>
    <row r="5" ht="27.75" customHeight="1" s="39">
      <c r="A5" s="46" t="inlineStr">
        <is>
          <t>Approved</t>
        </is>
      </c>
      <c r="B5" s="57" t="inlineStr">
        <is>
          <t>Objective, owner, measure, baseline, target, resources and date are authorised.</t>
        </is>
      </c>
      <c r="D5" s="46" t="inlineStr">
        <is>
          <t>Open</t>
        </is>
      </c>
      <c r="E5" s="57" t="inlineStr">
        <is>
          <t>Risk is confirmed and requires a decision or treatment.</t>
        </is>
      </c>
      <c r="G5" s="46" t="inlineStr">
        <is>
          <t>Planned</t>
        </is>
      </c>
      <c r="H5" s="57" t="inlineStr">
        <is>
          <t>Owner and target date are confirmed.</t>
        </is>
      </c>
    </row>
    <row r="6" ht="27.75" customHeight="1" s="39">
      <c r="A6" s="46" t="inlineStr">
        <is>
          <t>Active</t>
        </is>
      </c>
      <c r="B6" s="57" t="inlineStr">
        <is>
          <t>The objective is being pursued and monitored.</t>
        </is>
      </c>
      <c r="D6" s="46" t="inlineStr">
        <is>
          <t>Treatment planned</t>
        </is>
      </c>
      <c r="E6" s="57" t="inlineStr">
        <is>
          <t>Treatment is selected but not yet operating.</t>
        </is>
      </c>
      <c r="G6" s="46" t="inlineStr">
        <is>
          <t>In progress</t>
        </is>
      </c>
      <c r="H6" s="57" t="inlineStr">
        <is>
          <t>Work is actively under way.</t>
        </is>
      </c>
    </row>
    <row r="7" ht="27.75" customHeight="1" s="39">
      <c r="A7" s="46" t="inlineStr">
        <is>
          <t>At risk</t>
        </is>
      </c>
      <c r="B7" s="57" t="inlineStr">
        <is>
          <t>Evidence indicates the target may not be met without intervention.</t>
        </is>
      </c>
      <c r="D7" s="46" t="inlineStr">
        <is>
          <t>In progress</t>
        </is>
      </c>
      <c r="E7" s="57" t="inlineStr">
        <is>
          <t>Treatment action is under way.</t>
        </is>
      </c>
      <c r="G7" s="46" t="inlineStr">
        <is>
          <t>Blocked</t>
        </is>
      </c>
      <c r="H7" s="57" t="inlineStr">
        <is>
          <t>A dependency or decision prevents progress and requires escalation.</t>
        </is>
      </c>
    </row>
    <row r="8" ht="27.75" customHeight="1" s="39">
      <c r="A8" s="46" t="inlineStr">
        <is>
          <t>Achieved</t>
        </is>
      </c>
      <c r="B8" s="57" t="inlineStr">
        <is>
          <t>The target is met and supporting evidence has been reviewed.</t>
        </is>
      </c>
      <c r="D8" s="46" t="inlineStr">
        <is>
          <t>Accepted</t>
        </is>
      </c>
      <c r="E8" s="57" t="inlineStr">
        <is>
          <t>Authorised risk owner has accepted residual risk with review conditions.</t>
        </is>
      </c>
      <c r="G8" s="46" t="inlineStr">
        <is>
          <t>Complete</t>
        </is>
      </c>
      <c r="H8" s="57" t="inlineStr">
        <is>
          <t>Acceptance criteria, evidence and independent closure validation are complete.</t>
        </is>
      </c>
    </row>
    <row r="9" ht="27.75" customHeight="1" s="39">
      <c r="A9" s="46" t="inlineStr">
        <is>
          <t>Paused</t>
        </is>
      </c>
      <c r="B9" s="57" t="inlineStr">
        <is>
          <t>Progress is formally paused with reason, authority and review date.</t>
        </is>
      </c>
      <c r="D9" s="46" t="inlineStr">
        <is>
          <t>Monitoring</t>
        </is>
      </c>
      <c r="E9" s="57" t="inlineStr">
        <is>
          <t>Treatment is operating and residual risk/effectiveness is under review.</t>
        </is>
      </c>
      <c r="G9" s="46" t="inlineStr">
        <is>
          <t>Cancelled</t>
        </is>
      </c>
      <c r="H9" s="57" t="inlineStr">
        <is>
          <t>Action is withdrawn through an authorised, recorded decision.</t>
        </is>
      </c>
    </row>
    <row r="10" ht="27.75" customHeight="1" s="39">
      <c r="A10" s="46" t="inlineStr">
        <is>
          <t>Closed</t>
        </is>
      </c>
      <c r="B10" s="57" t="inlineStr">
        <is>
          <t>Objective is retired or replaced through an approved decision.</t>
        </is>
      </c>
      <c r="D10" s="46" t="inlineStr">
        <is>
          <t>Closed</t>
        </is>
      </c>
      <c r="E10" s="57" t="inlineStr">
        <is>
          <t>Risk no longer applies or is controlled within approved criteria, with evidence.</t>
        </is>
      </c>
    </row>
    <row r="12" ht="15" customHeight="1" s="39">
      <c r="A12" s="44" t="inlineStr">
        <is>
          <t>Risk scoring matrix — likelihood × impact</t>
        </is>
      </c>
      <c r="G12" s="56" t="inlineStr">
        <is>
          <t>Rating</t>
        </is>
      </c>
      <c r="H12" s="56" t="inlineStr">
        <is>
          <t>Score</t>
        </is>
      </c>
    </row>
    <row r="13" ht="24" customHeight="1" s="39">
      <c r="A13" s="66" t="inlineStr">
        <is>
          <t>Likelihood / Impact</t>
        </is>
      </c>
      <c r="B13" s="66" t="n">
        <v>1</v>
      </c>
      <c r="C13" s="66" t="n">
        <v>2</v>
      </c>
      <c r="D13" s="66" t="n">
        <v>3</v>
      </c>
      <c r="E13" s="66" t="n">
        <v>4</v>
      </c>
      <c r="F13" s="66" t="n">
        <v>5</v>
      </c>
      <c r="G13" s="67" t="inlineStr">
        <is>
          <t>Low</t>
        </is>
      </c>
      <c r="H13" s="68" t="inlineStr">
        <is>
          <t>1-5</t>
        </is>
      </c>
    </row>
    <row r="14" ht="24" customHeight="1" s="39">
      <c r="A14" s="66" t="n">
        <v>1</v>
      </c>
      <c r="B14" s="69" t="n">
        <v>1</v>
      </c>
      <c r="C14" s="69" t="n">
        <v>2</v>
      </c>
      <c r="D14" s="69" t="n">
        <v>3</v>
      </c>
      <c r="E14" s="69" t="n">
        <v>4</v>
      </c>
      <c r="F14" s="69" t="n">
        <v>5</v>
      </c>
      <c r="G14" s="70" t="inlineStr">
        <is>
          <t>Medium</t>
        </is>
      </c>
      <c r="H14" s="68" t="inlineStr">
        <is>
          <t>6-10</t>
        </is>
      </c>
    </row>
    <row r="15" ht="24" customHeight="1" s="39">
      <c r="A15" s="66" t="n">
        <v>2</v>
      </c>
      <c r="B15" s="69" t="n">
        <v>2</v>
      </c>
      <c r="C15" s="69" t="n">
        <v>4</v>
      </c>
      <c r="D15" s="69" t="n">
        <v>6</v>
      </c>
      <c r="E15" s="69" t="n">
        <v>8</v>
      </c>
      <c r="F15" s="69" t="n">
        <v>10</v>
      </c>
      <c r="G15" s="71" t="inlineStr">
        <is>
          <t>High</t>
        </is>
      </c>
      <c r="H15" s="68" t="inlineStr">
        <is>
          <t>11-15</t>
        </is>
      </c>
    </row>
    <row r="16" ht="24" customHeight="1" s="39">
      <c r="A16" s="66" t="n">
        <v>3</v>
      </c>
      <c r="B16" s="69" t="n">
        <v>3</v>
      </c>
      <c r="C16" s="69" t="n">
        <v>6</v>
      </c>
      <c r="D16" s="69" t="n">
        <v>9</v>
      </c>
      <c r="E16" s="69" t="n">
        <v>12</v>
      </c>
      <c r="F16" s="69" t="n">
        <v>15</v>
      </c>
      <c r="G16" s="71" t="inlineStr">
        <is>
          <t>Critical</t>
        </is>
      </c>
      <c r="H16" s="68" t="inlineStr">
        <is>
          <t>16-25</t>
        </is>
      </c>
    </row>
    <row r="17" ht="24" customHeight="1" s="39">
      <c r="A17" s="66" t="n">
        <v>4</v>
      </c>
      <c r="B17" s="69" t="n">
        <v>4</v>
      </c>
      <c r="C17" s="69" t="n">
        <v>8</v>
      </c>
      <c r="D17" s="69" t="n">
        <v>12</v>
      </c>
      <c r="E17" s="69" t="n">
        <v>16</v>
      </c>
      <c r="F17" s="69" t="n">
        <v>20</v>
      </c>
    </row>
    <row r="18" ht="24" customHeight="1" s="39">
      <c r="A18" s="66" t="n">
        <v>5</v>
      </c>
      <c r="B18" s="69" t="n">
        <v>5</v>
      </c>
      <c r="C18" s="69" t="n">
        <v>10</v>
      </c>
      <c r="D18" s="69" t="n">
        <v>15</v>
      </c>
      <c r="E18" s="69" t="n">
        <v>20</v>
      </c>
      <c r="F18" s="69" t="n">
        <v>25</v>
      </c>
    </row>
    <row r="20" ht="15" customHeight="1" s="39">
      <c r="A20" s="56" t="inlineStr">
        <is>
          <t>Likelihood scale</t>
        </is>
      </c>
    </row>
    <row r="21" ht="27" customHeight="1" s="39">
      <c r="A21" s="72" t="n">
        <v>1</v>
      </c>
      <c r="B21" s="73" t="inlineStr">
        <is>
          <t>Rare</t>
        </is>
      </c>
      <c r="C21" s="74" t="inlineStr">
        <is>
          <t>Unlikely except in exceptional circumstances — Council to validate criteria.</t>
        </is>
      </c>
      <c r="D21" s="54" t="n"/>
      <c r="E21" s="54" t="n"/>
      <c r="F21" s="54" t="n"/>
      <c r="G21" s="54" t="n"/>
      <c r="H21" s="55" t="n"/>
    </row>
    <row r="22" ht="27" customHeight="1" s="39">
      <c r="A22" s="72" t="n">
        <v>2</v>
      </c>
      <c r="B22" s="73" t="inlineStr">
        <is>
          <t>Unlikely</t>
        </is>
      </c>
      <c r="C22" s="74" t="inlineStr">
        <is>
          <t>Could occur but is not expected — Council to validate criteria.</t>
        </is>
      </c>
      <c r="D22" s="54" t="n"/>
      <c r="E22" s="54" t="n"/>
      <c r="F22" s="54" t="n"/>
      <c r="G22" s="54" t="n"/>
      <c r="H22" s="55" t="n"/>
    </row>
    <row r="23" ht="27" customHeight="1" s="39">
      <c r="A23" s="72" t="n">
        <v>3</v>
      </c>
      <c r="B23" s="73" t="inlineStr">
        <is>
          <t>Possible</t>
        </is>
      </c>
      <c r="C23" s="74" t="inlineStr">
        <is>
          <t>Might occur during the planning horizon — Council to validate criteria.</t>
        </is>
      </c>
      <c r="D23" s="54" t="n"/>
      <c r="E23" s="54" t="n"/>
      <c r="F23" s="54" t="n"/>
      <c r="G23" s="54" t="n"/>
      <c r="H23" s="55" t="n"/>
    </row>
    <row r="24" ht="27" customHeight="1" s="39">
      <c r="A24" s="72" t="n">
        <v>4</v>
      </c>
      <c r="B24" s="73" t="inlineStr">
        <is>
          <t>Likely</t>
        </is>
      </c>
      <c r="C24" s="74" t="inlineStr">
        <is>
          <t>Expected to occur in several circumstances — Council to validate criteria.</t>
        </is>
      </c>
      <c r="D24" s="54" t="n"/>
      <c r="E24" s="54" t="n"/>
      <c r="F24" s="54" t="n"/>
      <c r="G24" s="54" t="n"/>
      <c r="H24" s="55" t="n"/>
    </row>
    <row r="25" ht="27" customHeight="1" s="39">
      <c r="A25" s="72" t="n">
        <v>5</v>
      </c>
      <c r="B25" s="73" t="inlineStr">
        <is>
          <t>Almost certain</t>
        </is>
      </c>
      <c r="C25" s="74" t="inlineStr">
        <is>
          <t>Expected frequently or already evident — Council to validate criteria.</t>
        </is>
      </c>
      <c r="D25" s="54" t="n"/>
      <c r="E25" s="54" t="n"/>
      <c r="F25" s="54" t="n"/>
      <c r="G25" s="54" t="n"/>
      <c r="H25" s="55" t="n"/>
    </row>
    <row r="27" ht="15" customHeight="1" s="39">
      <c r="A27" s="56" t="inlineStr">
        <is>
          <t>Impact scale</t>
        </is>
      </c>
    </row>
    <row r="28" ht="27" customHeight="1" s="39">
      <c r="A28" s="72" t="n">
        <v>1</v>
      </c>
      <c r="B28" s="73" t="inlineStr">
        <is>
          <t>Minimal</t>
        </is>
      </c>
      <c r="C28" s="74" t="inlineStr">
        <is>
          <t>Limited effect; routine local correction — Council to validate criteria.</t>
        </is>
      </c>
      <c r="D28" s="54" t="n"/>
      <c r="E28" s="54" t="n"/>
      <c r="F28" s="54" t="n"/>
      <c r="G28" s="54" t="n"/>
      <c r="H28" s="55" t="n"/>
    </row>
    <row r="29" ht="27" customHeight="1" s="39">
      <c r="A29" s="72" t="n">
        <v>2</v>
      </c>
      <c r="B29" s="73" t="inlineStr">
        <is>
          <t>Minor</t>
        </is>
      </c>
      <c r="C29" s="74" t="inlineStr">
        <is>
          <t>Contained disruption or reversible limited impact — Council to validate criteria.</t>
        </is>
      </c>
      <c r="D29" s="54" t="n"/>
      <c r="E29" s="54" t="n"/>
      <c r="F29" s="54" t="n"/>
      <c r="G29" s="54" t="n"/>
      <c r="H29" s="55" t="n"/>
    </row>
    <row r="30" ht="27" customHeight="1" s="39">
      <c r="A30" s="72" t="n">
        <v>3</v>
      </c>
      <c r="B30" s="73" t="inlineStr">
        <is>
          <t>Moderate</t>
        </is>
      </c>
      <c r="C30" s="74" t="inlineStr">
        <is>
          <t>Material service, legal, financial or trust impact — Council to validate criteria.</t>
        </is>
      </c>
      <c r="D30" s="54" t="n"/>
      <c r="E30" s="54" t="n"/>
      <c r="F30" s="54" t="n"/>
      <c r="G30" s="54" t="n"/>
      <c r="H30" s="55" t="n"/>
    </row>
    <row r="31" ht="27" customHeight="1" s="39">
      <c r="A31" s="72" t="n">
        <v>4</v>
      </c>
      <c r="B31" s="73" t="inlineStr">
        <is>
          <t>Major</t>
        </is>
      </c>
      <c r="C31" s="74" t="inlineStr">
        <is>
          <t>Serious or widespread impact requiring senior response — Council to validate criteria.</t>
        </is>
      </c>
      <c r="D31" s="54" t="n"/>
      <c r="E31" s="54" t="n"/>
      <c r="F31" s="54" t="n"/>
      <c r="G31" s="54" t="n"/>
      <c r="H31" s="55" t="n"/>
    </row>
    <row r="32" ht="27" customHeight="1" s="39">
      <c r="A32" s="72" t="n">
        <v>5</v>
      </c>
      <c r="B32" s="73" t="inlineStr">
        <is>
          <t>Severe</t>
        </is>
      </c>
      <c r="C32" s="74" t="inlineStr">
        <is>
          <t>Potential grave, systemic or irreversible harm — Council to validate criteria.</t>
        </is>
      </c>
      <c r="D32" s="54" t="n"/>
      <c r="E32" s="54" t="n"/>
      <c r="F32" s="54" t="n"/>
      <c r="G32" s="54" t="n"/>
      <c r="H32" s="55" t="n"/>
    </row>
    <row r="34" ht="15" customHeight="1" s="39">
      <c r="A34" s="44" t="inlineStr">
        <is>
          <t>Decision and evidence rules</t>
        </is>
      </c>
    </row>
    <row r="35" ht="27" customHeight="1" s="39">
      <c r="A35" s="75" t="inlineStr">
        <is>
          <t>• This workbook is an AIMS-level control document; system-specific risks remain in AIG-ASS-02 and link back through the AI Register ID.</t>
        </is>
      </c>
      <c r="B35" s="54" t="n"/>
      <c r="C35" s="54" t="n"/>
      <c r="D35" s="54" t="n"/>
      <c r="E35" s="54" t="n"/>
      <c r="F35" s="54" t="n"/>
      <c r="G35" s="54" t="n"/>
      <c r="H35" s="55" t="n"/>
    </row>
    <row r="36" ht="27" customHeight="1" s="39">
      <c r="A36" s="75" t="inlineStr">
        <is>
          <t>• Objective approval requires a baseline, target, owner, resources, target date, monitoring method and evidence source.</t>
        </is>
      </c>
      <c r="B36" s="54" t="n"/>
      <c r="C36" s="54" t="n"/>
      <c r="D36" s="54" t="n"/>
      <c r="E36" s="54" t="n"/>
      <c r="F36" s="54" t="n"/>
      <c r="G36" s="54" t="n"/>
      <c r="H36" s="55" t="n"/>
    </row>
    <row r="37" ht="27" customHeight="1" s="39">
      <c r="A37" s="75" t="inlineStr">
        <is>
          <t>• Inherent scores are provisional desk-review judgements. Validate them against the Council’s adopted corporate risk criteria.</t>
        </is>
      </c>
      <c r="B37" s="54" t="n"/>
      <c r="C37" s="54" t="n"/>
      <c r="D37" s="54" t="n"/>
      <c r="E37" s="54" t="n"/>
      <c r="F37" s="54" t="n"/>
      <c r="G37" s="54" t="n"/>
      <c r="H37" s="55" t="n"/>
    </row>
    <row r="38" ht="27" customHeight="1" s="39">
      <c r="A38" s="75" t="inlineStr">
        <is>
          <t>• Do not enter a control-effectiveness score until treatment is implemented and evidence has been reviewed. Residual score = inherent score × CE factor (CE 1–5 ÷ 5), as in Playbook §4.4.3; residual bands use the same thresholds (Low ≤5, Medium &gt;5–10, High &gt;10–15, Critical &gt;15) and the effective tier stays at the inherent tier until controls are evidenced; acceptance requires authorised ownership and review conditions.</t>
        </is>
      </c>
      <c r="B38" s="54" t="n"/>
      <c r="C38" s="54" t="n"/>
      <c r="D38" s="54" t="n"/>
      <c r="E38" s="54" t="n"/>
      <c r="F38" s="54" t="n"/>
      <c r="G38" s="54" t="n"/>
      <c r="H38" s="55" t="n"/>
    </row>
    <row r="39" ht="27" customHeight="1" s="39">
      <c r="A39" s="75" t="inlineStr">
        <is>
          <t>• A treatment or improvement action is complete only when acceptance criteria, evidence and closure validation are recorded.</t>
        </is>
      </c>
      <c r="B39" s="54" t="n"/>
      <c r="C39" s="54" t="n"/>
      <c r="D39" s="54" t="n"/>
      <c r="E39" s="54" t="n"/>
      <c r="F39" s="54" t="n"/>
      <c r="G39" s="54" t="n"/>
      <c r="H39" s="55" t="n"/>
    </row>
    <row r="40" ht="27" customHeight="1" s="39">
      <c r="A40" s="75" t="inlineStr">
        <is>
          <t>• Update objectives, risks and actions after incidents, complaints, audit findings, management review, material change or new requirements.</t>
        </is>
      </c>
      <c r="B40" s="54" t="n"/>
      <c r="C40" s="54" t="n"/>
      <c r="D40" s="54" t="n"/>
      <c r="E40" s="54" t="n"/>
      <c r="F40" s="54" t="n"/>
      <c r="G40" s="54" t="n"/>
      <c r="H40" s="55" t="n"/>
    </row>
    <row r="41" ht="27" customHeight="1" s="39">
      <c r="A41" s="75" t="inlineStr">
        <is>
          <t>• AIG-AIMS-02 references show control design coverage only; they do not prove implementation or effectiveness.</t>
        </is>
      </c>
      <c r="B41" s="54" t="n"/>
      <c r="C41" s="54" t="n"/>
      <c r="D41" s="54" t="n"/>
      <c r="E41" s="54" t="n"/>
      <c r="F41" s="54" t="n"/>
      <c r="G41" s="54" t="n"/>
      <c r="H41" s="55" t="n"/>
    </row>
    <row r="42" ht="27" customHeight="1" s="39">
      <c r="A42" s="75" t="inlineStr">
        <is>
          <t>• Validate all ISO clause and control references against the Council’s licensed copy before formal adoption or certification use.</t>
        </is>
      </c>
      <c r="B42" s="54" t="n"/>
      <c r="C42" s="54" t="n"/>
      <c r="D42" s="54" t="n"/>
      <c r="E42" s="54" t="n"/>
      <c r="F42" s="54" t="n"/>
      <c r="G42" s="54" t="n"/>
      <c r="H42" s="55" t="n"/>
    </row>
    <row r="43">
      <c r="A43" s="75" t="inlineStr">
        <is>
          <t>• Improvement Plan RAG: Red = Blocked, or past target date and not Complete/Cancelled; Amber = In progress, due within 30 days, or Complete without closure evidence; Green = Complete with Record QA complete; Blue = Planned; Grey = Not started or Cancelled.</t>
        </is>
      </c>
      <c r="B43" s="54" t="n"/>
      <c r="C43" s="54" t="n"/>
      <c r="D43" s="54" t="n"/>
      <c r="E43" s="54" t="n"/>
      <c r="F43" s="54" t="n"/>
      <c r="G43" s="54" t="n"/>
      <c r="H43" s="55" t="n"/>
    </row>
    <row r="44" ht="15" customHeight="1" s="39">
      <c r="A44" s="44" t="inlineStr">
        <is>
          <t>Source and controlled-use note</t>
        </is>
      </c>
    </row>
    <row r="45" ht="27" customHeight="1" s="39">
      <c r="A45" s="53" t="inlineStr">
        <is>
          <t>Standard baseline: ISO/IEC 42001:2023, Information technology — Artificial intelligence — Management system.</t>
        </is>
      </c>
      <c r="B45" s="54" t="n"/>
      <c r="C45" s="54" t="n"/>
      <c r="D45" s="54" t="n"/>
      <c r="E45" s="54" t="n"/>
      <c r="F45" s="54" t="n"/>
      <c r="G45" s="54" t="n"/>
      <c r="H45" s="55" t="n"/>
    </row>
    <row r="46" ht="27" customHeight="1" s="39">
      <c r="A46" s="53" t="inlineStr">
        <is>
          <t>Official standard page: https://www.iso.org/standard/42001</t>
        </is>
      </c>
      <c r="B46" s="54" t="n"/>
      <c r="C46" s="54" t="n"/>
      <c r="D46" s="54" t="n"/>
      <c r="E46" s="54" t="n"/>
      <c r="F46" s="54" t="n"/>
      <c r="G46" s="54" t="n"/>
      <c r="H46" s="55" t="n"/>
    </row>
    <row r="47" ht="27" customHeight="1" s="39">
      <c r="A47" s="53" t="inlineStr">
        <is>
          <t>Council design sources: AI Governance Playbook (AIG-GOV-02, current controlled version per AIG-GOV-03); AIG-AIMS-01 AIMS Scope, Context and Interested Parties; AIG-AIMS-02 Statement of Applicability; the controlled AIG-* artefacts listed in the Artefact Index (AIG-GOV-03).</t>
        </is>
      </c>
      <c r="B47" s="54" t="n"/>
      <c r="C47" s="54" t="n"/>
      <c r="D47" s="54" t="n"/>
      <c r="E47" s="54" t="n"/>
      <c r="F47" s="54" t="n"/>
      <c r="G47" s="54" t="n"/>
      <c r="H47" s="55" t="n"/>
    </row>
    <row r="48" ht="27" customHeight="1" s="39">
      <c r="A48" s="53" t="inlineStr">
        <is>
          <t>Control status: draft for Council review. Nothing in this workbook authorises deployment, accepts risk or establishes conformity.</t>
        </is>
      </c>
      <c r="B48" s="54" t="n"/>
      <c r="C48" s="54" t="n"/>
      <c r="D48" s="54" t="n"/>
      <c r="E48" s="54" t="n"/>
      <c r="F48" s="54" t="n"/>
      <c r="G48" s="54" t="n"/>
      <c r="H48" s="55" t="n"/>
    </row>
  </sheetData>
  <mergeCells count="29">
    <mergeCell ref="C25:H25"/>
    <mergeCell ref="A48:H48"/>
    <mergeCell ref="A39:H39"/>
    <mergeCell ref="C22:H22"/>
    <mergeCell ref="C31:H31"/>
    <mergeCell ref="A36:H36"/>
    <mergeCell ref="A12:F12"/>
    <mergeCell ref="A45:H45"/>
    <mergeCell ref="A1:H1"/>
    <mergeCell ref="C21:H21"/>
    <mergeCell ref="C23:H23"/>
    <mergeCell ref="A41:H41"/>
    <mergeCell ref="A46:H46"/>
    <mergeCell ref="A37:H37"/>
    <mergeCell ref="A27:H27"/>
    <mergeCell ref="C32:H32"/>
    <mergeCell ref="C28:H28"/>
    <mergeCell ref="A42:H42"/>
    <mergeCell ref="A47:H47"/>
    <mergeCell ref="C30:H30"/>
    <mergeCell ref="C24:H24"/>
    <mergeCell ref="A35:H35"/>
    <mergeCell ref="A34:H34"/>
    <mergeCell ref="A20:H20"/>
    <mergeCell ref="A38:H38"/>
    <mergeCell ref="A43:H43"/>
    <mergeCell ref="A44:H44"/>
    <mergeCell ref="C29:H29"/>
    <mergeCell ref="A40:H40"/>
  </mergeCells>
  <conditionalFormatting sqref="B14:F18">
    <cfRule type="colorScale" priority="2">
      <colorScale>
        <cfvo type="min" val="0"/>
        <cfvo type="percentile" val="50"/>
        <cfvo type="max" val="0"/>
        <color rgb="FFE2F0D9"/>
        <color rgb="FFFFF2CC"/>
        <color rgb="FFFCE4D6"/>
      </colorScale>
    </cfRule>
  </conditionalFormatting>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B15"/>
  <sheetViews>
    <sheetView showGridLines="0" workbookViewId="0">
      <pane ySplit="4" topLeftCell="A5" activePane="bottomLeft" state="frozen"/>
      <selection activeCell="A1" sqref="A1"/>
    </sheetView>
  </sheetViews>
  <sheetFormatPr baseColWidth="8" defaultRowHeight="15"/>
  <cols>
    <col width="30" customWidth="1" style="39" min="1" max="1"/>
    <col width="112" customWidth="1" style="39" min="2" max="2"/>
  </cols>
  <sheetData>
    <row r="1" ht="30" customHeight="1" s="39">
      <c r="A1" s="76" t="inlineStr">
        <is>
          <t>AIG-AIMS-03 — PROPOSED AIG-INV-04/AIG-DEC-04 INTEGRATION NOTES</t>
        </is>
      </c>
    </row>
    <row r="2" ht="36" customHeight="1" s="39">
      <c r="A2" s="77"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4">
      <c r="A4" s="78" t="inlineStr">
        <is>
          <t>Review topic</t>
        </is>
      </c>
      <c r="B4" s="78" t="inlineStr">
        <is>
          <t>Targeted proposed integration note</t>
        </is>
      </c>
    </row>
    <row r="5" ht="68" customHeight="1" s="39">
      <c r="A5" s="79" t="inlineStr">
        <is>
          <t>Status / measurement rule</t>
        </is>
      </c>
      <c r="B5" s="80" t="inlineStr">
        <is>
          <t>All OBJ, risk, opportunity and improvement entries remain proposed. Do not populate baseline, actual progress, residual rating, acceptance, target, resource commitment or closure from the proposed AIG-INV-04/AIG-DEC-04 design or from example data; agree measurement definitions, denominators, owner, period, target and approval first.</t>
        </is>
      </c>
    </row>
    <row r="6" ht="85" customHeight="1" s="39">
      <c r="A6" s="79" t="inlineStr">
        <is>
          <t>OBJ-01 inventory completeness</t>
        </is>
      </c>
      <c r="B6" s="80" t="inlineStr">
        <is>
          <t>For the approved scope, reconcile known in-scope activity to permanent AIR-IDs in proposed AIG-INV-04 AI Register and discovery/mapping sources. Measure missing, duplicate, ownerless or stale records against a defined discovery population; do not count only an approved-tools-only view, which intentionally excludes non-approved lifecycle items. Keep any inventory review evidence in the AIG-INV-04 Evidence index by Evidence ID and AIR-ID.</t>
        </is>
      </c>
    </row>
    <row r="7" ht="85" customHeight="1" s="39">
      <c r="A7" s="79" t="inlineStr">
        <is>
          <t>OBJ-02 approval / gate discipline</t>
        </is>
      </c>
      <c r="B7" s="80" t="inlineStr">
        <is>
          <t>Keep scheduled gates distinct from actual decisions: AIG-DEC-04 Gate plan is a plan; AIG-DEC-04 Gate events records dated events; AIG-DEC-04 Conditions tracks per-event conditions. Link each final decision to AIG-DEC-03 or the authorised native minutes and Evidence ID. Reconcile actual approval/outcome to AIG-INV-04 current Governance Approval Status and Operational Status; a plan, proposed event, incomplete condition, or green structural QA is not approval or permission to operate.</t>
        </is>
      </c>
    </row>
    <row r="8" ht="85" customHeight="1" s="39">
      <c r="A8" s="79" t="inlineStr">
        <is>
          <t>OBJ-03 impact assessment coverage</t>
        </is>
      </c>
      <c r="B8" s="80" t="inlineStr">
        <is>
          <t>Use the AIR-ID to connect applicability/assessment references in the AIG-INV-04 Assessment summary to the underlying DPIA/EIA/HRA/Responsible AI records and the evidence index. Record which assessments are triggered, completed/reviewed, and actions resolved; only a substantive specialist decision/evidence establishes completion. Material scope or impact change should have a dated governance event/reassessment trail.</t>
        </is>
      </c>
    </row>
    <row r="9" ht="68" customHeight="1" s="39">
      <c r="A9" s="79" t="inlineStr">
        <is>
          <t>OBJ-04 production readiness / live operation</t>
        </is>
      </c>
      <c r="B9" s="80" t="inlineStr">
        <is>
          <t>Join the current system and owner through AIR-ID; cite the relevant deployment decision/conditions (AIG-DEC-04 Event ID, Condition IDs, AIG-DEC-03) and AIG-OPS-02 monitoring evidence. Use actual monitored values and dated evidence in their source record. A readiness pointer, design reference or blank monitoring flag is not proof of operation.</t>
        </is>
      </c>
    </row>
    <row r="10" ht="68" customHeight="1" s="39">
      <c r="A10" s="79" t="inlineStr">
        <is>
          <t>OBJ-05 oversight / transparency / redress</t>
        </is>
      </c>
      <c r="B10" s="80" t="inlineStr">
        <is>
          <t>Where applicable, link AIR-ID to the actual oversight/transparency/complaint evidence, and to dated AIG-DEC-04 decisions/events where approval, changed conditions, pause or resumption occurred. Keep individual complaint/person data in approved source systems; the join stores only necessary IDs and evidence pointers.</t>
        </is>
      </c>
    </row>
    <row r="11" ht="68" customHeight="1" s="39">
      <c r="A11" s="79" t="inlineStr">
        <is>
          <t>OBJ-06 suppliers / dependencies</t>
        </is>
      </c>
      <c r="B11" s="80" t="inlineStr">
        <is>
          <t>Tie each supplier/partner obligation and due-diligence evidence to AIR-ID using evidence metadata (AIG-INV-04 Evidence index); record material release/contract changes in the appropriate source change record and any actual AIG-DEC-04 gate event. Generic supplier templates or an unpopulated reference are not an implemented contract control.</t>
        </is>
      </c>
    </row>
    <row r="12" ht="68" customHeight="1" s="39">
      <c r="A12" s="79" t="inlineStr">
        <is>
          <t>OBJ-07 incidents / exceptions / learning</t>
        </is>
      </c>
      <c r="B12" s="80" t="inlineStr">
        <is>
          <t>Link a system-specific issue to AIR-ID and its actual incident/monitoring evidence (including AIG-OPS-03/AIG-OPS-02); when it is an AIMS nonconformity, track correction, cause and effectiveness separately in AIG-AIMS-08 and reference any AIG-DEC-04 event/condition. AIMS-wide issues may have no AIR-ID. Do not create or assert incident history.</t>
        </is>
      </c>
    </row>
    <row r="13" ht="68" customHeight="1" s="39">
      <c r="A13" s="79" t="inlineStr">
        <is>
          <t>OBJ-08 and AIMS-wide actions</t>
        </is>
      </c>
      <c r="B13" s="80" t="inlineStr">
        <is>
          <t>Keep management-system objectives, resourcing, audit, review and improvement actions at AIMS level where they are not attributable to one system. Where a measure aggregates cases, define the frozen source population and as-at date, reconcile to AIR-IDs, and retain the underlying approved evidence; AIG-INV-04/AIG-DEC-04 are proposed joins, not live portfolio data.</t>
        </is>
      </c>
    </row>
    <row r="14" ht="85" customHeight="1" s="39">
      <c r="A14" s="79" t="inlineStr">
        <is>
          <t>Risk / opportunity / improvement registers</t>
        </is>
      </c>
      <c r="B14" s="80" t="inlineStr">
        <is>
          <t>Preserve each risk ID, inherent/residual assessment, treatment, acceptance authority and improvement action in its authoritative AIMS record. Link system-specific risks/actions to AIR-ID and evidence references; link gate conditions only where an authorised decision created a condition. Do not collapse AIMS-level risk into system fields or confuse correcting a one-off issue with corrective action.</t>
        </is>
      </c>
    </row>
    <row r="15" ht="68" customHeight="1" s="39">
      <c r="A15" s="79" t="inlineStr">
        <is>
          <t>Review and reconciliation</t>
        </is>
      </c>
      <c r="B15" s="80" t="inlineStr">
        <is>
          <t>At the approved review cadence reconcile objectives and actions with AIG-INV-04 identity/state, actual AIG-DEC-04 event and condition history, evidence-index pointers, AIG-OPS-02 monitoring, AIG-AIMS-07 audit, AIG-AIMS-08 CAPA and AIG-AIMS-09 management-review actions. Resolve orphan IDs, mismatched current states, overdue accepted conditions and superseded/missing evidence through an authorised, documented change.</t>
        </is>
      </c>
    </row>
  </sheetData>
  <mergeCells count="2">
    <mergeCell ref="A2:B2"/>
    <mergeCell ref="A1:B1"/>
  </mergeCells>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E5"/>
  <sheetViews>
    <sheetView workbookViewId="0">
      <pane xSplit="1" ySplit="2" topLeftCell="B3" activePane="bottomRight" state="frozen"/>
      <selection activeCell="A1" sqref="A1"/>
    </sheetView>
  </sheetViews>
  <sheetFormatPr baseColWidth="8" defaultRowHeight="15"/>
  <cols>
    <col width="21" customWidth="1" style="39" min="1" max="1"/>
    <col width="70" customWidth="1" style="39" min="2" max="2"/>
    <col width="96" customWidth="1" style="39" min="3" max="3"/>
    <col width="84" customWidth="1" style="39" min="4" max="4"/>
    <col width="33" customWidth="1" style="39" min="5" max="5"/>
  </cols>
  <sheetData>
    <row r="1">
      <c r="A1" s="0" t="inlineStr">
        <is>
          <t>PROPOSED QA INDEX — NOT APPROVED. A source reference does not establish applicability or compliance. See AIG-AIMS-05 and AIG-AIMS-13; owners must validate the current source, case-specific scope, control evidence and adopted status.</t>
        </is>
      </c>
    </row>
    <row r="2">
      <c r="A2" s="81" t="inlineStr">
        <is>
          <t>Requirement ID</t>
        </is>
      </c>
      <c r="B2" s="81" t="inlineStr">
        <is>
          <t>Instrument / edition</t>
        </is>
      </c>
      <c r="C2" s="81" t="inlineStr">
        <is>
          <t>Conditional scope / relevance</t>
        </is>
      </c>
      <c r="D2" s="81" t="inlineStr">
        <is>
          <t>Source URL</t>
        </is>
      </c>
      <c r="E2" s="81" t="inlineStr">
        <is>
          <t>Owner validation status</t>
        </is>
      </c>
    </row>
    <row r="3" ht="43" customHeight="1" s="39">
      <c r="A3" s="82" t="inlineStr">
        <is>
          <t>REQ-014</t>
        </is>
      </c>
      <c r="B3" s="82" t="inlineStr">
        <is>
          <t>Local Government Act 1999 (Best Value Duty) and 2024 statutory guidance</t>
        </is>
      </c>
      <c r="C3" s="82" t="inlineStr">
        <is>
          <t>Screen the legislation and statutory guidance requirement against this artefact's actual use and record evidence/version; see the AIG-AIMS-05 Applicable Requirements entry (REQ-014) for the controlled position.</t>
        </is>
      </c>
      <c r="D3" s="82" t="inlineStr">
        <is>
          <t>https://www.gov.uk/government/publications/best-value-standards-and-intervention-a-statutory-guide-for-best-value-authorities</t>
        </is>
      </c>
      <c r="E3" s="82" t="inlineStr">
        <is>
          <t>Specialist validation required</t>
        </is>
      </c>
    </row>
    <row r="4" ht="43" customHeight="1" s="39">
      <c r="A4" s="82" t="inlineStr">
        <is>
          <t>REQ-040</t>
        </is>
      </c>
      <c r="B4" s="82" t="inlineStr">
        <is>
          <t>ISO/IEC 42001:2023 Artificial intelligence management system</t>
        </is>
      </c>
      <c r="C4" s="82" t="inlineStr">
        <is>
          <t>Proposed management-system design mapping; licensed clause review and adoption needed.</t>
        </is>
      </c>
      <c r="D4" s="82" t="inlineStr">
        <is>
          <t>https://www.iso.org/standard/42001</t>
        </is>
      </c>
      <c r="E4" s="82" t="inlineStr">
        <is>
          <t>Specialist validation required</t>
        </is>
      </c>
    </row>
    <row r="5" ht="43" customHeight="1" s="39">
      <c r="A5" s="82" t="inlineStr">
        <is>
          <t>REQ-041</t>
        </is>
      </c>
      <c r="B5" s="82" t="inlineStr">
        <is>
          <t>ISO/IEC 23894:2023 AI — Guidance on risk management</t>
        </is>
      </c>
      <c r="C5" s="82" t="inlineStr">
        <is>
          <t>Voluntary risk-management guidance; proposed alignment, not statutory conformity.</t>
        </is>
      </c>
      <c r="D5" s="82" t="inlineStr">
        <is>
          <t>https://www.iso.org/standard/77304.html</t>
        </is>
      </c>
      <c r="E5" s="82" t="inlineStr">
        <is>
          <t>Specialist validation required</t>
        </is>
      </c>
    </row>
  </sheetData>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39" min="1" max="1"/>
    <col width="112" customWidth="1" style="39" min="2" max="2"/>
  </cols>
  <sheetData>
    <row r="1">
      <c r="A1" s="83" t="inlineStr">
        <is>
          <t>AIG-AIMS-03 / PROPOSED THREE-ARTEFACT SOURCE CONTRACT</t>
        </is>
      </c>
    </row>
    <row r="3" ht="45" customHeight="1" s="39">
      <c r="A3" s="84" t="inlineStr">
        <is>
          <t>Status</t>
        </is>
      </c>
      <c r="B3" s="85" t="inlineStr">
        <is>
          <t>PROPOSED INTEGRATION DESIGN ONLY. This sheet does not amend the artefact's native assessment, decision authority, data or formulas.</t>
        </is>
      </c>
    </row>
    <row r="4" ht="48" customHeight="1" s="39">
      <c r="A4" s="86" t="inlineStr">
        <is>
          <t>Role of this file</t>
        </is>
      </c>
      <c r="B4" s="87" t="inlineStr">
        <is>
          <t>Objectives and treatment: Use official AIR-ID for system-specific actions, an AIG-DEC-04 Event/Condition ID for gate actions, and a map Edge ID only for relationship-change questions. Do not treat closure of a map gap as risk acceptance.</t>
        </is>
      </c>
    </row>
    <row r="5" ht="45" customHeight="1" s="39">
      <c r="A5" s="84" t="inlineStr">
        <is>
          <t>AIG-INV-04 source</t>
        </is>
      </c>
      <c r="B5" s="85" t="inlineStr">
        <is>
          <t>Separate AIG-INV-04 AI Register: official AIR-ID, current position, in-file Assessment summary/Evidence index. Reconcile against authoritative AIG-INV-04 before using a copied value.</t>
        </is>
      </c>
    </row>
    <row r="6" ht="45" customHeight="1" s="39">
      <c r="A6" s="86" t="inlineStr">
        <is>
          <t>AIG-DEC-04 source</t>
        </is>
      </c>
      <c r="B6" s="87" t="inlineStr">
        <is>
          <t>Separate AIG-DEC-04 Gate Log: prospective Gate plan, dated Gate events, event-linked Conditions. A planned gate is not a decision. A decision requires AIG-DEC-03 or approved minutes and proper delegation.</t>
        </is>
      </c>
    </row>
    <row r="7" ht="48" customHeight="1" s="39">
      <c r="A7" s="84" t="inlineStr">
        <is>
          <t>Map source</t>
        </is>
      </c>
      <c r="B7" s="85" t="inlineStr">
        <is>
          <t>Proposed standalone Capabilities and System Map (candidate catalogue ID AIG-INV-05): UC/CAP and component relationship pointers. Edge ID is not an approval or permission; AIG-AGT-04/AIG-AGT-05 remain sources of agent scope/authority.</t>
        </is>
      </c>
    </row>
    <row r="8" ht="48" customHeight="1" s="39">
      <c r="A8" s="86" t="inlineStr">
        <is>
          <t>Data exchange</t>
        </is>
      </c>
      <c r="B8" s="87" t="inlineStr">
        <is>
          <t>Use controlled AIR-ID across files. Where applicable reference exact Event ID, Condition ID, Evidence ID, AG-ID and Edge ID. Record source file/version/as-at with imported or quoted evidence; no live cross-workbook formula is assumed.</t>
        </is>
      </c>
    </row>
    <row r="9" ht="45" customHeight="1" s="39">
      <c r="A9" s="84" t="inlineStr">
        <is>
          <t>Change trigger</t>
        </is>
      </c>
      <c r="B9" s="85" t="inlineStr">
        <is>
          <t>New or expanded system/tool access, or a material model, data, interface, purpose or agent change: log the map change, obtain owner reassessment and escalate to the proper AIG-DEC-04 gate/AIG-DEC-03 decision when required.</t>
        </is>
      </c>
    </row>
    <row r="10" ht="48" customHeight="1" s="39">
      <c r="A10" s="86" t="inlineStr">
        <is>
          <t>Validation before use</t>
        </is>
      </c>
      <c r="B10" s="87"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headerFooter>
    <oddHeader>&amp;C&amp;"Arial,Regular"&amp;8 The Council — AIMS Objectives, Risk Treatment and Improvement Plan</oddHeader>
    <oddFooter>&amp;C&amp;"Arial,Regular"&amp;8 AIG-AIMS-03 · v1.2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AIG-AIMS-03 AIMS Objectives, Risk Treatment and Improvement Plan</dc:title>
  <dc:description xmlns:dc="http://purl.org/dc/elements/1.1/">Draft for Council review. Classification: OFFICIAL.</dc:description>
  <dc:subject xmlns:dc="http://purl.org/dc/elements/1.1/">AIG-AIMS-03 v1.2 — Draft for Council review</dc:subject>
  <dcterms:created xmlns:dcterms="http://purl.org/dc/terms/" xmlns:xsi="http://www.w3.org/2001/XMLSchema-instance" xsi:type="dcterms:W3CDTF">2026-09-29T17:50:10Z</dcterms:created>
  <dcterms:modified xmlns:dcterms="http://purl.org/dc/terms/" xmlns:xsi="http://www.w3.org/2001/XMLSchema-instance" xsi:type="dcterms:W3CDTF">2026-09-29T20:58:57Z</dcterms:modified>
  <cp:lastModifiedBy>AI Governance Lead</cp:lastModifiedBy>
  <cp:category>OFFICIAL</cp:category>
  <cp:keywords>OFFICIAL; AI governance; AIG-AIMS-03</cp:keywords>
</cp:coreProperties>
</file>