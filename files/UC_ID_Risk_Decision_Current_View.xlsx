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C Risk and Decision View" sheetId="1" state="visible" r:id="rId1"/>
    <sheet xmlns:r="http://schemas.openxmlformats.org/officeDocument/2006/relationships" name="Document Control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dd mmm yyyy"/>
  </numFmts>
  <fonts count="17">
    <font>
      <name val="Aptos"/>
      <color rgb="FF000000"/>
      <sz val="11"/>
    </font>
    <font>
      <name val="Play"/>
      <b val="1"/>
      <color rgb="FFFFFFFF"/>
      <sz val="15"/>
    </font>
    <font>
      <name val="Aptos"/>
      <i val="1"/>
      <color rgb="FF7F1D1D"/>
      <sz val="10"/>
    </font>
    <font>
      <name val="Aptos"/>
      <color theme="1"/>
      <sz val="11"/>
    </font>
    <font>
      <name val="Play"/>
      <b val="1"/>
      <color rgb="FFFFFFFF"/>
      <sz val="12"/>
    </font>
    <font>
      <name val="Play"/>
      <b val="1"/>
      <color rgb="FFFFFFFF"/>
      <sz val="10"/>
    </font>
    <font>
      <name val="Arial"/>
      <b val="1"/>
      <color rgb="FFFFFFFF"/>
      <sz val="12"/>
    </font>
    <font>
      <name val="Arial"/>
      <color rgb="FF000000"/>
      <sz val="11"/>
    </font>
    <font>
      <name val="Arial"/>
      <i val="1"/>
      <color rgb="FF7F1D1D"/>
      <sz val="10"/>
    </font>
    <font>
      <name val="Arial"/>
      <b val="1"/>
      <color rgb="FFFFFFFF"/>
      <sz val="10"/>
    </font>
    <font>
      <name val="Arial"/>
      <color theme="1"/>
      <sz val="11"/>
    </font>
    <font>
      <name val="Arial"/>
      <b val="1"/>
      <color rgb="FFFFFFFF"/>
      <sz val="16"/>
    </font>
    <font>
      <name val="Arial"/>
      <i val="1"/>
      <color rgb="FF222222"/>
      <sz val="9"/>
    </font>
    <font>
      <name val="Arial"/>
      <b val="1"/>
      <color rgb="FFFFFFFF"/>
      <sz val="9"/>
    </font>
    <font>
      <name val="Arial"/>
      <b val="1"/>
      <color rgb="FF0A2342"/>
      <sz val="9"/>
    </font>
    <font>
      <name val="Arial"/>
      <color rgb="FF222222"/>
      <sz val="9"/>
    </font>
    <font>
      <name val="Arial"/>
      <b val="1"/>
      <color rgb="FF0A2342"/>
      <sz val="11"/>
    </font>
  </fonts>
  <fills count="9">
    <fill>
      <patternFill/>
    </fill>
    <fill>
      <patternFill patternType="lightGray"/>
    </fill>
    <fill>
      <patternFill patternType="solid">
        <fgColor rgb="FF17365D"/>
      </patternFill>
    </fill>
    <fill>
      <patternFill patternType="solid">
        <fgColor rgb="FFFFE699"/>
      </patternFill>
    </fill>
    <fill>
      <patternFill patternType="solid">
        <fgColor rgb="FFD9EAF7"/>
      </patternFill>
    </fill>
    <fill>
      <patternFill patternType="solid">
        <fgColor rgb="FF0B2848"/>
      </patternFill>
    </fill>
    <fill>
      <patternFill patternType="solid">
        <fgColor rgb="FFFFF4CC"/>
      </patternFill>
    </fill>
    <fill>
      <patternFill patternType="solid">
        <fgColor rgb="FFEEF1F5"/>
      </patternFill>
    </fill>
    <fill>
      <patternFill patternType="solid">
        <fgColor rgb="FFFFFFFF"/>
      </patternFill>
    </fill>
  </fills>
  <borders count="7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C9D0D8"/>
      </left>
      <right style="thin">
        <color rgb="FFC9D0D8"/>
      </right>
      <top style="thin">
        <color rgb="FFC9D0D8"/>
      </top>
      <bottom style="thin">
        <color rgb="FFC9D0D8"/>
      </bottom>
    </border>
    <border>
      <top style="thin">
        <color rgb="FFC9D0D8"/>
      </top>
    </border>
    <border>
      <right style="thin">
        <color rgb="FFC9D0D8"/>
      </right>
      <top style="thin">
        <color rgb="FFC9D0D8"/>
      </top>
    </border>
    <border>
      <top style="thin">
        <color rgb="FFC9D0D8"/>
      </top>
      <bottom style="thin">
        <color rgb="FFC9D0D8"/>
      </bottom>
    </border>
    <border>
      <right style="thin">
        <color rgb="FFC9D0D8"/>
      </right>
      <top style="thin">
        <color rgb="FFC9D0D8"/>
      </top>
      <bottom style="thin">
        <color rgb="FFC9D0D8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/>
    </xf>
    <xf numFmtId="0" fontId="7" fillId="0" borderId="0" applyAlignment="1" pivotButton="0" quotePrefix="0" xfId="0">
      <alignment vertical="bottom"/>
    </xf>
    <xf numFmtId="0" fontId="8" fillId="3" borderId="1" applyAlignment="1" pivotButton="0" quotePrefix="0" xfId="0">
      <alignment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0" fillId="0" borderId="0" pivotButton="0" quotePrefix="0" xfId="0"/>
    <xf numFmtId="164" fontId="10" fillId="4" borderId="1" applyAlignment="1" pivotButton="0" quotePrefix="0" xfId="0">
      <alignment vertical="top" wrapText="1"/>
    </xf>
    <xf numFmtId="0" fontId="11" fillId="5" borderId="0" applyAlignment="1" pivotButton="0" quotePrefix="0" xfId="0">
      <alignment horizontal="general" vertical="center"/>
    </xf>
    <xf numFmtId="0" fontId="12" fillId="6" borderId="0" applyAlignment="1" pivotButton="0" quotePrefix="0" xfId="0">
      <alignment horizontal="general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general" vertical="top" wrapText="1"/>
    </xf>
    <xf numFmtId="0" fontId="15" fillId="8" borderId="2" applyAlignment="1" pivotButton="0" quotePrefix="0" xfId="0">
      <alignment horizontal="general" vertical="top" wrapText="1"/>
    </xf>
    <xf numFmtId="0" fontId="0" fillId="0" borderId="5" pivotButton="0" quotePrefix="0" xfId="0"/>
    <xf numFmtId="0" fontId="0" fillId="0" borderId="6" pivotButton="0" quotePrefix="0" xfId="0"/>
    <xf numFmtId="0" fontId="16" fillId="7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3"/>
  <sheetViews>
    <sheetView workbookViewId="0">
      <pane ySplit="3" topLeftCell="A4" activePane="bottomLeft" state="frozen"/>
      <selection activeCell="A1" sqref="A1"/>
    </sheetView>
  </sheetViews>
  <sheetFormatPr baseColWidth="8" defaultColWidth="12.63000011444092" defaultRowHeight="15"/>
  <cols>
    <col width="39.38000106811523" customWidth="1" style="14" min="1" max="1"/>
    <col width="15" customWidth="1" style="14" min="2" max="2"/>
    <col width="30" customWidth="1" style="14" min="3" max="3"/>
    <col width="24" customWidth="1" style="14" min="4" max="4"/>
    <col width="23" customWidth="1" style="14" min="5" max="5"/>
    <col width="22" customWidth="1" style="14" min="6" max="6"/>
    <col width="32" customWidth="1" style="14" min="7" max="7"/>
    <col width="28" customWidth="1" style="14" min="8" max="8"/>
    <col width="35" customWidth="1" style="14" min="9" max="10"/>
    <col width="30" customWidth="1" style="14" min="11" max="11"/>
    <col width="45" customWidth="1" style="14" min="12" max="12"/>
    <col width="22" customWidth="1" style="14" min="13" max="13"/>
    <col width="34" customWidth="1" style="14" min="14" max="14"/>
    <col width="40" customWidth="1" style="14" min="15" max="15"/>
    <col width="28" customWidth="1" style="14" min="16" max="16"/>
    <col width="20" customWidth="1" style="14" min="17" max="17"/>
    <col width="23" customWidth="1" style="14" min="18" max="18"/>
    <col width="36" customWidth="1" style="14" min="19" max="19"/>
    <col width="30" customWidth="1" style="14" min="20" max="20"/>
    <col width="28" customWidth="1" style="14" min="21" max="21"/>
    <col width="22" customWidth="1" style="14" min="22" max="22"/>
    <col width="46" customWidth="1" style="14" min="23" max="23"/>
  </cols>
  <sheetData>
    <row r="1" ht="27" customHeight="1" s="14">
      <c r="A1" s="8" t="inlineStr">
        <is>
          <t>USE-CASE RISK AND DELEGATED DECISION CURRENT VIEW — MANUAL, SOURCE-RECONCILED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8" t="inlineStr">
        <is>
          <t>As-at date for derived position →</t>
        </is>
      </c>
      <c r="W1" s="15" t="n"/>
    </row>
    <row r="2" ht="42" customHeight="1" s="14">
      <c r="A2" s="10" t="inlineStr">
        <is>
          <t>One row per UC-ID (duplicates are flagged as a conflict). AIR-ID identifies the system only. No automatic cross-workbook synchronisation. Verify each source document, delegation, scope, conditions, dated gate event and monitoring. A missing, unknown, conflicting, pending or suspended position is never approved. The derived position uses the As-at date in W1, not today's date, so a snapshot can be reproduced.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60" customHeight="1" s="14">
      <c r="A3" s="11" t="inlineStr">
        <is>
          <t>UC-ID</t>
        </is>
      </c>
      <c r="B3" s="11" t="inlineStr">
        <is>
          <t>AIR-ID</t>
        </is>
      </c>
      <c r="C3" s="11" t="inlineStr">
        <is>
          <t>Outcome / workflow</t>
        </is>
      </c>
      <c r="D3" s="11" t="inlineStr">
        <is>
          <t>Service Owner</t>
        </is>
      </c>
      <c r="E3" s="11" t="inlineStr">
        <is>
          <t>AGPI priority (UC-specific)</t>
        </is>
      </c>
      <c r="F3" s="11" t="inlineStr">
        <is>
          <t>Risk tier (UC-specific)</t>
        </is>
      </c>
      <c r="G3" s="11" t="inlineStr">
        <is>
          <t>Assessment ref(s) / as-at</t>
        </is>
      </c>
      <c r="H3" s="11" t="inlineStr">
        <is>
          <t>Decision outcome (source)</t>
        </is>
      </c>
      <c r="I3" s="11" t="inlineStr">
        <is>
          <t>Delegated authority / decision ref</t>
        </is>
      </c>
      <c r="J3" s="11" t="inlineStr">
        <is>
          <t>AIG-DEC-03 / approved minutes ref</t>
        </is>
      </c>
      <c r="K3" s="11" t="inlineStr">
        <is>
          <t>Decision scope (UC-ID specific / Shared system baseline)</t>
        </is>
      </c>
      <c r="L3" s="11" t="inlineStr">
        <is>
          <t>Permitted purpose, users, data, actions and exclusions</t>
        </is>
      </c>
      <c r="M3" s="11" t="inlineStr">
        <is>
          <t>Condition ID(s)</t>
        </is>
      </c>
      <c r="N3" s="11" t="inlineStr">
        <is>
          <t>Condition closure / waiver evidence ref</t>
        </is>
      </c>
      <c r="O3" s="11" t="inlineStr">
        <is>
          <t>Condition state (None / Open / Closed-verified / Accepted-open / Waived / Unknown)</t>
        </is>
      </c>
      <c r="P3" s="11" t="inlineStr">
        <is>
          <t>AIG-DEC-04 dated Decision Event ID</t>
        </is>
      </c>
      <c r="Q3" s="11" t="inlineStr">
        <is>
          <t>Decision effective date</t>
        </is>
      </c>
      <c r="R3" s="11" t="inlineStr">
        <is>
          <t>Expiry / next review date</t>
        </is>
      </c>
      <c r="S3" s="11" t="inlineStr">
        <is>
          <t>AIG-OPS-02 use-specific monitoring ref / as-at</t>
        </is>
      </c>
      <c r="T3" s="11" t="inlineStr">
        <is>
          <t>Independent checker / date</t>
        </is>
      </c>
      <c r="U3" s="11" t="inlineStr">
        <is>
          <t>Reconciliation (Verified / Unverified / Conflict)</t>
        </is>
      </c>
      <c r="V3" s="11" t="inlineStr">
        <is>
          <t>AIG-DEC-04 Decision event date</t>
        </is>
      </c>
      <c r="W3" s="11" t="inlineStr">
        <is>
          <t>Derived position (prompt only; not authority)</t>
        </is>
      </c>
    </row>
    <row r="4" ht="24" customHeight="1" s="1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3">
        <f>IF(COUNTA(A4:V4)=0,"",IF(A4="","UC-ID MISSING",IF(COUNTIF($A$4:$A$203,A4)&gt;1,"DUPLICATE UC-ID — CONFLICT",IF(OR(B4="",C4="",D4="",E4="",F4="",G4="",H4="",I4="",J4="",K4="",L4="",O4="",P4="",Q4="",R4="",S4="",T4="",U4="",V4=""),"EVIDENCE INCOMPLETE",IF(OR(ISNA(MATCH(F4,{"Critical","High","Medium","Low"},0)),ISNA(MATCH(E4,{"Priority 1 – Critical","Priority 2 – High","Priority 3 – Standard","Priority 4 – Routine","Priority 5 – Observe","Governance Investigation Required"},0))),"TIER / PRIORITY NOT RECOGNISED",IF(U4&lt;&gt;"Verified","UNVERIFIED / CONFLICT",IF(K4&lt;&gt;"UC-ID specific","NOT UC-SCOPED",IF(OR(NOT(ISNUMBER(Q4)),NOT(ISNUMBER(R4)),NOT(ISNUMBER(V4)),NOT(ISNUMBER($W$1))),"DATES NOT VERIFIED",IF(OR(Q4&gt;R4,V4&gt;Q4),"INVALID DATE RANGE",IF(Q4&gt;$W$1,"NOT YET EFFECTIVE",IF(R4&lt;$W$1,"EXPIRED / REVIEW DUE",IF(R4-Q4&gt;IF(F4="Critical",31,IF(F4="High",92,366)),"REVIEW INTERVAL EXCEEDS TIER CADENCE",IF(OR(H4="Pending",H4="Deferred",H4="Rejected",H4="Suspended",H4="Retired",H4="Unknown"),"NOT APPROVED / STATUS NOT CURRENT",IF(H4="Approved with conditions",IF(OR(M4="",N4="",O4="Open",O4="Unknown",O4="None"),"CONDITIONAL — CONDITIONS NOT VERIFIED","CONDITIONAL — NEVER COUNT AS UNCONDITIONAL APPROVAL"),IF(H4="Approved",IF(OR(O4&lt;&gt;"None",M4&lt;&gt;"",N4&lt;&gt;""),"CONDITION / OUTCOME CONFLICT","SOURCE-RECONCILED USE-SPECIFIC APPROVAL — CONFIRM SOURCE"),"NOT APPROVED / OUTCOME NOT RECOGNISED")))))))))))))))</f>
        <v/>
      </c>
    </row>
    <row r="5" ht="24" customHeight="1" s="14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3">
        <f>IF(COUNTA(A5:V5)=0,"",IF(A5="","UC-ID MISSING",IF(COUNTIF($A$4:$A$203,A5)&gt;1,"DUPLICATE UC-ID — CONFLICT",IF(OR(B5="",C5="",D5="",E5="",F5="",G5="",H5="",I5="",J5="",K5="",L5="",O5="",P5="",Q5="",R5="",S5="",T5="",U5="",V5=""),"EVIDENCE INCOMPLETE",IF(OR(ISNA(MATCH(F5,{"Critical","High","Medium","Low"},0)),ISNA(MATCH(E5,{"Priority 1 – Critical","Priority 2 – High","Priority 3 – Standard","Priority 4 – Routine","Priority 5 – Observe","Governance Investigation Required"},0))),"TIER / PRIORITY NOT RECOGNISED",IF(U5&lt;&gt;"Verified","UNVERIFIED / CONFLICT",IF(K5&lt;&gt;"UC-ID specific","NOT UC-SCOPED",IF(OR(NOT(ISNUMBER(Q5)),NOT(ISNUMBER(R5)),NOT(ISNUMBER(V5)),NOT(ISNUMBER($W$1))),"DATES NOT VERIFIED",IF(OR(Q5&gt;R5,V5&gt;Q5),"INVALID DATE RANGE",IF(Q5&gt;$W$1,"NOT YET EFFECTIVE",IF(R5&lt;$W$1,"EXPIRED / REVIEW DUE",IF(R5-Q5&gt;IF(F5="Critical",31,IF(F5="High",92,366)),"REVIEW INTERVAL EXCEEDS TIER CADENCE",IF(OR(H5="Pending",H5="Deferred",H5="Rejected",H5="Suspended",H5="Retired",H5="Unknown"),"NOT APPROVED / STATUS NOT CURRENT",IF(H5="Approved with conditions",IF(OR(M5="",N5="",O5="Open",O5="Unknown",O5="None"),"CONDITIONAL — CONDITIONS NOT VERIFIED","CONDITIONAL — NEVER COUNT AS UNCONDITIONAL APPROVAL"),IF(H5="Approved",IF(OR(O5&lt;&gt;"None",M5&lt;&gt;"",N5&lt;&gt;""),"CONDITION / OUTCOME CONFLICT","SOURCE-RECONCILED USE-SPECIFIC APPROVAL — CONFIRM SOURCE"),"NOT APPROVED / OUTCOME NOT RECOGNISED")))))))))))))))</f>
        <v/>
      </c>
    </row>
    <row r="6" ht="24" customHeight="1" s="14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3">
        <f>IF(COUNTA(A6:V6)=0,"",IF(A6="","UC-ID MISSING",IF(COUNTIF($A$4:$A$203,A6)&gt;1,"DUPLICATE UC-ID — CONFLICT",IF(OR(B6="",C6="",D6="",E6="",F6="",G6="",H6="",I6="",J6="",K6="",L6="",O6="",P6="",Q6="",R6="",S6="",T6="",U6="",V6=""),"EVIDENCE INCOMPLETE",IF(OR(ISNA(MATCH(F6,{"Critical","High","Medium","Low"},0)),ISNA(MATCH(E6,{"Priority 1 – Critical","Priority 2 – High","Priority 3 – Standard","Priority 4 – Routine","Priority 5 – Observe","Governance Investigation Required"},0))),"TIER / PRIORITY NOT RECOGNISED",IF(U6&lt;&gt;"Verified","UNVERIFIED / CONFLICT",IF(K6&lt;&gt;"UC-ID specific","NOT UC-SCOPED",IF(OR(NOT(ISNUMBER(Q6)),NOT(ISNUMBER(R6)),NOT(ISNUMBER(V6)),NOT(ISNUMBER($W$1))),"DATES NOT VERIFIED",IF(OR(Q6&gt;R6,V6&gt;Q6),"INVALID DATE RANGE",IF(Q6&gt;$W$1,"NOT YET EFFECTIVE",IF(R6&lt;$W$1,"EXPIRED / REVIEW DUE",IF(R6-Q6&gt;IF(F6="Critical",31,IF(F6="High",92,366)),"REVIEW INTERVAL EXCEEDS TIER CADENCE",IF(OR(H6="Pending",H6="Deferred",H6="Rejected",H6="Suspended",H6="Retired",H6="Unknown"),"NOT APPROVED / STATUS NOT CURRENT",IF(H6="Approved with conditions",IF(OR(M6="",N6="",O6="Open",O6="Unknown",O6="None"),"CONDITIONAL — CONDITIONS NOT VERIFIED","CONDITIONAL — NEVER COUNT AS UNCONDITIONAL APPROVAL"),IF(H6="Approved",IF(OR(O6&lt;&gt;"None",M6&lt;&gt;"",N6&lt;&gt;""),"CONDITION / OUTCOME CONFLICT","SOURCE-RECONCILED USE-SPECIFIC APPROVAL — CONFIRM SOURCE"),"NOT APPROVED / OUTCOME NOT RECOGNISED")))))))))))))))</f>
        <v/>
      </c>
    </row>
    <row r="7" ht="24" customHeight="1" s="14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3">
        <f>IF(COUNTA(A7:V7)=0,"",IF(A7="","UC-ID MISSING",IF(COUNTIF($A$4:$A$203,A7)&gt;1,"DUPLICATE UC-ID — CONFLICT",IF(OR(B7="",C7="",D7="",E7="",F7="",G7="",H7="",I7="",J7="",K7="",L7="",O7="",P7="",Q7="",R7="",S7="",T7="",U7="",V7=""),"EVIDENCE INCOMPLETE",IF(OR(ISNA(MATCH(F7,{"Critical","High","Medium","Low"},0)),ISNA(MATCH(E7,{"Priority 1 – Critical","Priority 2 – High","Priority 3 – Standard","Priority 4 – Routine","Priority 5 – Observe","Governance Investigation Required"},0))),"TIER / PRIORITY NOT RECOGNISED",IF(U7&lt;&gt;"Verified","UNVERIFIED / CONFLICT",IF(K7&lt;&gt;"UC-ID specific","NOT UC-SCOPED",IF(OR(NOT(ISNUMBER(Q7)),NOT(ISNUMBER(R7)),NOT(ISNUMBER(V7)),NOT(ISNUMBER($W$1))),"DATES NOT VERIFIED",IF(OR(Q7&gt;R7,V7&gt;Q7),"INVALID DATE RANGE",IF(Q7&gt;$W$1,"NOT YET EFFECTIVE",IF(R7&lt;$W$1,"EXPIRED / REVIEW DUE",IF(R7-Q7&gt;IF(F7="Critical",31,IF(F7="High",92,366)),"REVIEW INTERVAL EXCEEDS TIER CADENCE",IF(OR(H7="Pending",H7="Deferred",H7="Rejected",H7="Suspended",H7="Retired",H7="Unknown"),"NOT APPROVED / STATUS NOT CURRENT",IF(H7="Approved with conditions",IF(OR(M7="",N7="",O7="Open",O7="Unknown",O7="None"),"CONDITIONAL — CONDITIONS NOT VERIFIED","CONDITIONAL — NEVER COUNT AS UNCONDITIONAL APPROVAL"),IF(H7="Approved",IF(OR(O7&lt;&gt;"None",M7&lt;&gt;"",N7&lt;&gt;""),"CONDITION / OUTCOME CONFLICT","SOURCE-RECONCILED USE-SPECIFIC APPROVAL — CONFIRM SOURCE"),"NOT APPROVED / OUTCOME NOT RECOGNISED")))))))))))))))</f>
        <v/>
      </c>
    </row>
    <row r="8" ht="24" customHeight="1" s="14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3">
        <f>IF(COUNTA(A8:V8)=0,"",IF(A8="","UC-ID MISSING",IF(COUNTIF($A$4:$A$203,A8)&gt;1,"DUPLICATE UC-ID — CONFLICT",IF(OR(B8="",C8="",D8="",E8="",F8="",G8="",H8="",I8="",J8="",K8="",L8="",O8="",P8="",Q8="",R8="",S8="",T8="",U8="",V8=""),"EVIDENCE INCOMPLETE",IF(OR(ISNA(MATCH(F8,{"Critical","High","Medium","Low"},0)),ISNA(MATCH(E8,{"Priority 1 – Critical","Priority 2 – High","Priority 3 – Standard","Priority 4 – Routine","Priority 5 – Observe","Governance Investigation Required"},0))),"TIER / PRIORITY NOT RECOGNISED",IF(U8&lt;&gt;"Verified","UNVERIFIED / CONFLICT",IF(K8&lt;&gt;"UC-ID specific","NOT UC-SCOPED",IF(OR(NOT(ISNUMBER(Q8)),NOT(ISNUMBER(R8)),NOT(ISNUMBER(V8)),NOT(ISNUMBER($W$1))),"DATES NOT VERIFIED",IF(OR(Q8&gt;R8,V8&gt;Q8),"INVALID DATE RANGE",IF(Q8&gt;$W$1,"NOT YET EFFECTIVE",IF(R8&lt;$W$1,"EXPIRED / REVIEW DUE",IF(R8-Q8&gt;IF(F8="Critical",31,IF(F8="High",92,366)),"REVIEW INTERVAL EXCEEDS TIER CADENCE",IF(OR(H8="Pending",H8="Deferred",H8="Rejected",H8="Suspended",H8="Retired",H8="Unknown"),"NOT APPROVED / STATUS NOT CURRENT",IF(H8="Approved with conditions",IF(OR(M8="",N8="",O8="Open",O8="Unknown",O8="None"),"CONDITIONAL — CONDITIONS NOT VERIFIED","CONDITIONAL — NEVER COUNT AS UNCONDITIONAL APPROVAL"),IF(H8="Approved",IF(OR(O8&lt;&gt;"None",M8&lt;&gt;"",N8&lt;&gt;""),"CONDITION / OUTCOME CONFLICT","SOURCE-RECONCILED USE-SPECIFIC APPROVAL — CONFIRM SOURCE"),"NOT APPROVED / OUTCOME NOT RECOGNISED")))))))))))))))</f>
        <v/>
      </c>
    </row>
    <row r="9" ht="24" customHeight="1" s="14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3">
        <f>IF(COUNTA(A9:V9)=0,"",IF(A9="","UC-ID MISSING",IF(COUNTIF($A$4:$A$203,A9)&gt;1,"DUPLICATE UC-ID — CONFLICT",IF(OR(B9="",C9="",D9="",E9="",F9="",G9="",H9="",I9="",J9="",K9="",L9="",O9="",P9="",Q9="",R9="",S9="",T9="",U9="",V9=""),"EVIDENCE INCOMPLETE",IF(OR(ISNA(MATCH(F9,{"Critical","High","Medium","Low"},0)),ISNA(MATCH(E9,{"Priority 1 – Critical","Priority 2 – High","Priority 3 – Standard","Priority 4 – Routine","Priority 5 – Observe","Governance Investigation Required"},0))),"TIER / PRIORITY NOT RECOGNISED",IF(U9&lt;&gt;"Verified","UNVERIFIED / CONFLICT",IF(K9&lt;&gt;"UC-ID specific","NOT UC-SCOPED",IF(OR(NOT(ISNUMBER(Q9)),NOT(ISNUMBER(R9)),NOT(ISNUMBER(V9)),NOT(ISNUMBER($W$1))),"DATES NOT VERIFIED",IF(OR(Q9&gt;R9,V9&gt;Q9),"INVALID DATE RANGE",IF(Q9&gt;$W$1,"NOT YET EFFECTIVE",IF(R9&lt;$W$1,"EXPIRED / REVIEW DUE",IF(R9-Q9&gt;IF(F9="Critical",31,IF(F9="High",92,366)),"REVIEW INTERVAL EXCEEDS TIER CADENCE",IF(OR(H9="Pending",H9="Deferred",H9="Rejected",H9="Suspended",H9="Retired",H9="Unknown"),"NOT APPROVED / STATUS NOT CURRENT",IF(H9="Approved with conditions",IF(OR(M9="",N9="",O9="Open",O9="Unknown",O9="None"),"CONDITIONAL — CONDITIONS NOT VERIFIED","CONDITIONAL — NEVER COUNT AS UNCONDITIONAL APPROVAL"),IF(H9="Approved",IF(OR(O9&lt;&gt;"None",M9&lt;&gt;"",N9&lt;&gt;""),"CONDITION / OUTCOME CONFLICT","SOURCE-RECONCILED USE-SPECIFIC APPROVAL — CONFIRM SOURCE"),"NOT APPROVED / OUTCOME NOT RECOGNISED")))))))))))))))</f>
        <v/>
      </c>
    </row>
    <row r="10" ht="24" customHeight="1" s="14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3">
        <f>IF(COUNTA(A10:V10)=0,"",IF(A10="","UC-ID MISSING",IF(COUNTIF($A$4:$A$203,A10)&gt;1,"DUPLICATE UC-ID — CONFLICT",IF(OR(B10="",C10="",D10="",E10="",F10="",G10="",H10="",I10="",J10="",K10="",L10="",O10="",P10="",Q10="",R10="",S10="",T10="",U10="",V10=""),"EVIDENCE INCOMPLETE",IF(OR(ISNA(MATCH(F10,{"Critical","High","Medium","Low"},0)),ISNA(MATCH(E10,{"Priority 1 – Critical","Priority 2 – High","Priority 3 – Standard","Priority 4 – Routine","Priority 5 – Observe","Governance Investigation Required"},0))),"TIER / PRIORITY NOT RECOGNISED",IF(U10&lt;&gt;"Verified","UNVERIFIED / CONFLICT",IF(K10&lt;&gt;"UC-ID specific","NOT UC-SCOPED",IF(OR(NOT(ISNUMBER(Q10)),NOT(ISNUMBER(R10)),NOT(ISNUMBER(V10)),NOT(ISNUMBER($W$1))),"DATES NOT VERIFIED",IF(OR(Q10&gt;R10,V10&gt;Q10),"INVALID DATE RANGE",IF(Q10&gt;$W$1,"NOT YET EFFECTIVE",IF(R10&lt;$W$1,"EXPIRED / REVIEW DUE",IF(R10-Q10&gt;IF(F10="Critical",31,IF(F10="High",92,366)),"REVIEW INTERVAL EXCEEDS TIER CADENCE",IF(OR(H10="Pending",H10="Deferred",H10="Rejected",H10="Suspended",H10="Retired",H10="Unknown"),"NOT APPROVED / STATUS NOT CURRENT",IF(H10="Approved with conditions",IF(OR(M10="",N10="",O10="Open",O10="Unknown",O10="None"),"CONDITIONAL — CONDITIONS NOT VERIFIED","CONDITIONAL — NEVER COUNT AS UNCONDITIONAL APPROVAL"),IF(H10="Approved",IF(OR(O10&lt;&gt;"None",M10&lt;&gt;"",N10&lt;&gt;""),"CONDITION / OUTCOME CONFLICT","SOURCE-RECONCILED USE-SPECIFIC APPROVAL — CONFIRM SOURCE"),"NOT APPROVED / OUTCOME NOT RECOGNISED")))))))))))))))</f>
        <v/>
      </c>
    </row>
    <row r="11" ht="24" customHeight="1" s="14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3">
        <f>IF(COUNTA(A11:V11)=0,"",IF(A11="","UC-ID MISSING",IF(COUNTIF($A$4:$A$203,A11)&gt;1,"DUPLICATE UC-ID — CONFLICT",IF(OR(B11="",C11="",D11="",E11="",F11="",G11="",H11="",I11="",J11="",K11="",L11="",O11="",P11="",Q11="",R11="",S11="",T11="",U11="",V11=""),"EVIDENCE INCOMPLETE",IF(OR(ISNA(MATCH(F11,{"Critical","High","Medium","Low"},0)),ISNA(MATCH(E11,{"Priority 1 – Critical","Priority 2 – High","Priority 3 – Standard","Priority 4 – Routine","Priority 5 – Observe","Governance Investigation Required"},0))),"TIER / PRIORITY NOT RECOGNISED",IF(U11&lt;&gt;"Verified","UNVERIFIED / CONFLICT",IF(K11&lt;&gt;"UC-ID specific","NOT UC-SCOPED",IF(OR(NOT(ISNUMBER(Q11)),NOT(ISNUMBER(R11)),NOT(ISNUMBER(V11)),NOT(ISNUMBER($W$1))),"DATES NOT VERIFIED",IF(OR(Q11&gt;R11,V11&gt;Q11),"INVALID DATE RANGE",IF(Q11&gt;$W$1,"NOT YET EFFECTIVE",IF(R11&lt;$W$1,"EXPIRED / REVIEW DUE",IF(R11-Q11&gt;IF(F11="Critical",31,IF(F11="High",92,366)),"REVIEW INTERVAL EXCEEDS TIER CADENCE",IF(OR(H11="Pending",H11="Deferred",H11="Rejected",H11="Suspended",H11="Retired",H11="Unknown"),"NOT APPROVED / STATUS NOT CURRENT",IF(H11="Approved with conditions",IF(OR(M11="",N11="",O11="Open",O11="Unknown",O11="None"),"CONDITIONAL — CONDITIONS NOT VERIFIED","CONDITIONAL — NEVER COUNT AS UNCONDITIONAL APPROVAL"),IF(H11="Approved",IF(OR(O11&lt;&gt;"None",M11&lt;&gt;"",N11&lt;&gt;""),"CONDITION / OUTCOME CONFLICT","SOURCE-RECONCILED USE-SPECIFIC APPROVAL — CONFIRM SOURCE"),"NOT APPROVED / OUTCOME NOT RECOGNISED")))))))))))))))</f>
        <v/>
      </c>
    </row>
    <row r="12" ht="24" customHeight="1" s="14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3">
        <f>IF(COUNTA(A12:V12)=0,"",IF(A12="","UC-ID MISSING",IF(COUNTIF($A$4:$A$203,A12)&gt;1,"DUPLICATE UC-ID — CONFLICT",IF(OR(B12="",C12="",D12="",E12="",F12="",G12="",H12="",I12="",J12="",K12="",L12="",O12="",P12="",Q12="",R12="",S12="",T12="",U12="",V12=""),"EVIDENCE INCOMPLETE",IF(OR(ISNA(MATCH(F12,{"Critical","High","Medium","Low"},0)),ISNA(MATCH(E12,{"Priority 1 – Critical","Priority 2 – High","Priority 3 – Standard","Priority 4 – Routine","Priority 5 – Observe","Governance Investigation Required"},0))),"TIER / PRIORITY NOT RECOGNISED",IF(U12&lt;&gt;"Verified","UNVERIFIED / CONFLICT",IF(K12&lt;&gt;"UC-ID specific","NOT UC-SCOPED",IF(OR(NOT(ISNUMBER(Q12)),NOT(ISNUMBER(R12)),NOT(ISNUMBER(V12)),NOT(ISNUMBER($W$1))),"DATES NOT VERIFIED",IF(OR(Q12&gt;R12,V12&gt;Q12),"INVALID DATE RANGE",IF(Q12&gt;$W$1,"NOT YET EFFECTIVE",IF(R12&lt;$W$1,"EXPIRED / REVIEW DUE",IF(R12-Q12&gt;IF(F12="Critical",31,IF(F12="High",92,366)),"REVIEW INTERVAL EXCEEDS TIER CADENCE",IF(OR(H12="Pending",H12="Deferred",H12="Rejected",H12="Suspended",H12="Retired",H12="Unknown"),"NOT APPROVED / STATUS NOT CURRENT",IF(H12="Approved with conditions",IF(OR(M12="",N12="",O12="Open",O12="Unknown",O12="None"),"CONDITIONAL — CONDITIONS NOT VERIFIED","CONDITIONAL — NEVER COUNT AS UNCONDITIONAL APPROVAL"),IF(H12="Approved",IF(OR(O12&lt;&gt;"None",M12&lt;&gt;"",N12&lt;&gt;""),"CONDITION / OUTCOME CONFLICT","SOURCE-RECONCILED USE-SPECIFIC APPROVAL — CONFIRM SOURCE"),"NOT APPROVED / OUTCOME NOT RECOGNISED")))))))))))))))</f>
        <v/>
      </c>
    </row>
    <row r="13" ht="24" customHeight="1" s="14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3">
        <f>IF(COUNTA(A13:V13)=0,"",IF(A13="","UC-ID MISSING",IF(COUNTIF($A$4:$A$203,A13)&gt;1,"DUPLICATE UC-ID — CONFLICT",IF(OR(B13="",C13="",D13="",E13="",F13="",G13="",H13="",I13="",J13="",K13="",L13="",O13="",P13="",Q13="",R13="",S13="",T13="",U13="",V13=""),"EVIDENCE INCOMPLETE",IF(OR(ISNA(MATCH(F13,{"Critical","High","Medium","Low"},0)),ISNA(MATCH(E13,{"Priority 1 – Critical","Priority 2 – High","Priority 3 – Standard","Priority 4 – Routine","Priority 5 – Observe","Governance Investigation Required"},0))),"TIER / PRIORITY NOT RECOGNISED",IF(U13&lt;&gt;"Verified","UNVERIFIED / CONFLICT",IF(K13&lt;&gt;"UC-ID specific","NOT UC-SCOPED",IF(OR(NOT(ISNUMBER(Q13)),NOT(ISNUMBER(R13)),NOT(ISNUMBER(V13)),NOT(ISNUMBER($W$1))),"DATES NOT VERIFIED",IF(OR(Q13&gt;R13,V13&gt;Q13),"INVALID DATE RANGE",IF(Q13&gt;$W$1,"NOT YET EFFECTIVE",IF(R13&lt;$W$1,"EXPIRED / REVIEW DUE",IF(R13-Q13&gt;IF(F13="Critical",31,IF(F13="High",92,366)),"REVIEW INTERVAL EXCEEDS TIER CADENCE",IF(OR(H13="Pending",H13="Deferred",H13="Rejected",H13="Suspended",H13="Retired",H13="Unknown"),"NOT APPROVED / STATUS NOT CURRENT",IF(H13="Approved with conditions",IF(OR(M13="",N13="",O13="Open",O13="Unknown",O13="None"),"CONDITIONAL — CONDITIONS NOT VERIFIED","CONDITIONAL — NEVER COUNT AS UNCONDITIONAL APPROVAL"),IF(H13="Approved",IF(OR(O13&lt;&gt;"None",M13&lt;&gt;"",N13&lt;&gt;""),"CONDITION / OUTCOME CONFLICT","SOURCE-RECONCILED USE-SPECIFIC APPROVAL — CONFIRM SOURCE"),"NOT APPROVED / OUTCOME NOT RECOGNISED")))))))))))))))</f>
        <v/>
      </c>
    </row>
    <row r="14" ht="24" customHeight="1" s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3">
        <f>IF(COUNTA(A14:V14)=0,"",IF(A14="","UC-ID MISSING",IF(COUNTIF($A$4:$A$203,A14)&gt;1,"DUPLICATE UC-ID — CONFLICT",IF(OR(B14="",C14="",D14="",E14="",F14="",G14="",H14="",I14="",J14="",K14="",L14="",O14="",P14="",Q14="",R14="",S14="",T14="",U14="",V14=""),"EVIDENCE INCOMPLETE",IF(OR(ISNA(MATCH(F14,{"Critical","High","Medium","Low"},0)),ISNA(MATCH(E14,{"Priority 1 – Critical","Priority 2 – High","Priority 3 – Standard","Priority 4 – Routine","Priority 5 – Observe","Governance Investigation Required"},0))),"TIER / PRIORITY NOT RECOGNISED",IF(U14&lt;&gt;"Verified","UNVERIFIED / CONFLICT",IF(K14&lt;&gt;"UC-ID specific","NOT UC-SCOPED",IF(OR(NOT(ISNUMBER(Q14)),NOT(ISNUMBER(R14)),NOT(ISNUMBER(V14)),NOT(ISNUMBER($W$1))),"DATES NOT VERIFIED",IF(OR(Q14&gt;R14,V14&gt;Q14),"INVALID DATE RANGE",IF(Q14&gt;$W$1,"NOT YET EFFECTIVE",IF(R14&lt;$W$1,"EXPIRED / REVIEW DUE",IF(R14-Q14&gt;IF(F14="Critical",31,IF(F14="High",92,366)),"REVIEW INTERVAL EXCEEDS TIER CADENCE",IF(OR(H14="Pending",H14="Deferred",H14="Rejected",H14="Suspended",H14="Retired",H14="Unknown"),"NOT APPROVED / STATUS NOT CURRENT",IF(H14="Approved with conditions",IF(OR(M14="",N14="",O14="Open",O14="Unknown",O14="None"),"CONDITIONAL — CONDITIONS NOT VERIFIED","CONDITIONAL — NEVER COUNT AS UNCONDITIONAL APPROVAL"),IF(H14="Approved",IF(OR(O14&lt;&gt;"None",M14&lt;&gt;"",N14&lt;&gt;""),"CONDITION / OUTCOME CONFLICT","SOURCE-RECONCILED USE-SPECIFIC APPROVAL — CONFIRM SOURCE"),"NOT APPROVED / OUTCOME NOT RECOGNISED")))))))))))))))</f>
        <v/>
      </c>
    </row>
    <row r="15" ht="24" customHeight="1" s="14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3">
        <f>IF(COUNTA(A15:V15)=0,"",IF(A15="","UC-ID MISSING",IF(COUNTIF($A$4:$A$203,A15)&gt;1,"DUPLICATE UC-ID — CONFLICT",IF(OR(B15="",C15="",D15="",E15="",F15="",G15="",H15="",I15="",J15="",K15="",L15="",O15="",P15="",Q15="",R15="",S15="",T15="",U15="",V15=""),"EVIDENCE INCOMPLETE",IF(OR(ISNA(MATCH(F15,{"Critical","High","Medium","Low"},0)),ISNA(MATCH(E15,{"Priority 1 – Critical","Priority 2 – High","Priority 3 – Standard","Priority 4 – Routine","Priority 5 – Observe","Governance Investigation Required"},0))),"TIER / PRIORITY NOT RECOGNISED",IF(U15&lt;&gt;"Verified","UNVERIFIED / CONFLICT",IF(K15&lt;&gt;"UC-ID specific","NOT UC-SCOPED",IF(OR(NOT(ISNUMBER(Q15)),NOT(ISNUMBER(R15)),NOT(ISNUMBER(V15)),NOT(ISNUMBER($W$1))),"DATES NOT VERIFIED",IF(OR(Q15&gt;R15,V15&gt;Q15),"INVALID DATE RANGE",IF(Q15&gt;$W$1,"NOT YET EFFECTIVE",IF(R15&lt;$W$1,"EXPIRED / REVIEW DUE",IF(R15-Q15&gt;IF(F15="Critical",31,IF(F15="High",92,366)),"REVIEW INTERVAL EXCEEDS TIER CADENCE",IF(OR(H15="Pending",H15="Deferred",H15="Rejected",H15="Suspended",H15="Retired",H15="Unknown"),"NOT APPROVED / STATUS NOT CURRENT",IF(H15="Approved with conditions",IF(OR(M15="",N15="",O15="Open",O15="Unknown",O15="None"),"CONDITIONAL — CONDITIONS NOT VERIFIED","CONDITIONAL — NEVER COUNT AS UNCONDITIONAL APPROVAL"),IF(H15="Approved",IF(OR(O15&lt;&gt;"None",M15&lt;&gt;"",N15&lt;&gt;""),"CONDITION / OUTCOME CONFLICT","SOURCE-RECONCILED USE-SPECIFIC APPROVAL — CONFIRM SOURCE"),"NOT APPROVED / OUTCOME NOT RECOGNISED")))))))))))))))</f>
        <v/>
      </c>
    </row>
    <row r="16" ht="24" customHeight="1" s="14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3">
        <f>IF(COUNTA(A16:V16)=0,"",IF(A16="","UC-ID MISSING",IF(COUNTIF($A$4:$A$203,A16)&gt;1,"DUPLICATE UC-ID — CONFLICT",IF(OR(B16="",C16="",D16="",E16="",F16="",G16="",H16="",I16="",J16="",K16="",L16="",O16="",P16="",Q16="",R16="",S16="",T16="",U16="",V16=""),"EVIDENCE INCOMPLETE",IF(OR(ISNA(MATCH(F16,{"Critical","High","Medium","Low"},0)),ISNA(MATCH(E16,{"Priority 1 – Critical","Priority 2 – High","Priority 3 – Standard","Priority 4 – Routine","Priority 5 – Observe","Governance Investigation Required"},0))),"TIER / PRIORITY NOT RECOGNISED",IF(U16&lt;&gt;"Verified","UNVERIFIED / CONFLICT",IF(K16&lt;&gt;"UC-ID specific","NOT UC-SCOPED",IF(OR(NOT(ISNUMBER(Q16)),NOT(ISNUMBER(R16)),NOT(ISNUMBER(V16)),NOT(ISNUMBER($W$1))),"DATES NOT VERIFIED",IF(OR(Q16&gt;R16,V16&gt;Q16),"INVALID DATE RANGE",IF(Q16&gt;$W$1,"NOT YET EFFECTIVE",IF(R16&lt;$W$1,"EXPIRED / REVIEW DUE",IF(R16-Q16&gt;IF(F16="Critical",31,IF(F16="High",92,366)),"REVIEW INTERVAL EXCEEDS TIER CADENCE",IF(OR(H16="Pending",H16="Deferred",H16="Rejected",H16="Suspended",H16="Retired",H16="Unknown"),"NOT APPROVED / STATUS NOT CURRENT",IF(H16="Approved with conditions",IF(OR(M16="",N16="",O16="Open",O16="Unknown",O16="None"),"CONDITIONAL — CONDITIONS NOT VERIFIED","CONDITIONAL — NEVER COUNT AS UNCONDITIONAL APPROVAL"),IF(H16="Approved",IF(OR(O16&lt;&gt;"None",M16&lt;&gt;"",N16&lt;&gt;""),"CONDITION / OUTCOME CONFLICT","SOURCE-RECONCILED USE-SPECIFIC APPROVAL — CONFIRM SOURCE"),"NOT APPROVED / OUTCOME NOT RECOGNISED")))))))))))))))</f>
        <v/>
      </c>
    </row>
    <row r="17" ht="24" customHeight="1" s="14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3">
        <f>IF(COUNTA(A17:V17)=0,"",IF(A17="","UC-ID MISSING",IF(COUNTIF($A$4:$A$203,A17)&gt;1,"DUPLICATE UC-ID — CONFLICT",IF(OR(B17="",C17="",D17="",E17="",F17="",G17="",H17="",I17="",J17="",K17="",L17="",O17="",P17="",Q17="",R17="",S17="",T17="",U17="",V17=""),"EVIDENCE INCOMPLETE",IF(OR(ISNA(MATCH(F17,{"Critical","High","Medium","Low"},0)),ISNA(MATCH(E17,{"Priority 1 – Critical","Priority 2 – High","Priority 3 – Standard","Priority 4 – Routine","Priority 5 – Observe","Governance Investigation Required"},0))),"TIER / PRIORITY NOT RECOGNISED",IF(U17&lt;&gt;"Verified","UNVERIFIED / CONFLICT",IF(K17&lt;&gt;"UC-ID specific","NOT UC-SCOPED",IF(OR(NOT(ISNUMBER(Q17)),NOT(ISNUMBER(R17)),NOT(ISNUMBER(V17)),NOT(ISNUMBER($W$1))),"DATES NOT VERIFIED",IF(OR(Q17&gt;R17,V17&gt;Q17),"INVALID DATE RANGE",IF(Q17&gt;$W$1,"NOT YET EFFECTIVE",IF(R17&lt;$W$1,"EXPIRED / REVIEW DUE",IF(R17-Q17&gt;IF(F17="Critical",31,IF(F17="High",92,366)),"REVIEW INTERVAL EXCEEDS TIER CADENCE",IF(OR(H17="Pending",H17="Deferred",H17="Rejected",H17="Suspended",H17="Retired",H17="Unknown"),"NOT APPROVED / STATUS NOT CURRENT",IF(H17="Approved with conditions",IF(OR(M17="",N17="",O17="Open",O17="Unknown",O17="None"),"CONDITIONAL — CONDITIONS NOT VERIFIED","CONDITIONAL — NEVER COUNT AS UNCONDITIONAL APPROVAL"),IF(H17="Approved",IF(OR(O17&lt;&gt;"None",M17&lt;&gt;"",N17&lt;&gt;""),"CONDITION / OUTCOME CONFLICT","SOURCE-RECONCILED USE-SPECIFIC APPROVAL — CONFIRM SOURCE"),"NOT APPROVED / OUTCOME NOT RECOGNISED")))))))))))))))</f>
        <v/>
      </c>
    </row>
    <row r="18" ht="24" customHeight="1" s="14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3">
        <f>IF(COUNTA(A18:V18)=0,"",IF(A18="","UC-ID MISSING",IF(COUNTIF($A$4:$A$203,A18)&gt;1,"DUPLICATE UC-ID — CONFLICT",IF(OR(B18="",C18="",D18="",E18="",F18="",G18="",H18="",I18="",J18="",K18="",L18="",O18="",P18="",Q18="",R18="",S18="",T18="",U18="",V18=""),"EVIDENCE INCOMPLETE",IF(OR(ISNA(MATCH(F18,{"Critical","High","Medium","Low"},0)),ISNA(MATCH(E18,{"Priority 1 – Critical","Priority 2 – High","Priority 3 – Standard","Priority 4 – Routine","Priority 5 – Observe","Governance Investigation Required"},0))),"TIER / PRIORITY NOT RECOGNISED",IF(U18&lt;&gt;"Verified","UNVERIFIED / CONFLICT",IF(K18&lt;&gt;"UC-ID specific","NOT UC-SCOPED",IF(OR(NOT(ISNUMBER(Q18)),NOT(ISNUMBER(R18)),NOT(ISNUMBER(V18)),NOT(ISNUMBER($W$1))),"DATES NOT VERIFIED",IF(OR(Q18&gt;R18,V18&gt;Q18),"INVALID DATE RANGE",IF(Q18&gt;$W$1,"NOT YET EFFECTIVE",IF(R18&lt;$W$1,"EXPIRED / REVIEW DUE",IF(R18-Q18&gt;IF(F18="Critical",31,IF(F18="High",92,366)),"REVIEW INTERVAL EXCEEDS TIER CADENCE",IF(OR(H18="Pending",H18="Deferred",H18="Rejected",H18="Suspended",H18="Retired",H18="Unknown"),"NOT APPROVED / STATUS NOT CURRENT",IF(H18="Approved with conditions",IF(OR(M18="",N18="",O18="Open",O18="Unknown",O18="None"),"CONDITIONAL — CONDITIONS NOT VERIFIED","CONDITIONAL — NEVER COUNT AS UNCONDITIONAL APPROVAL"),IF(H18="Approved",IF(OR(O18&lt;&gt;"None",M18&lt;&gt;"",N18&lt;&gt;""),"CONDITION / OUTCOME CONFLICT","SOURCE-RECONCILED USE-SPECIFIC APPROVAL — CONFIRM SOURCE"),"NOT APPROVED / OUTCOME NOT RECOGNISED")))))))))))))))</f>
        <v/>
      </c>
    </row>
    <row r="19" ht="24" customHeight="1" s="14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3">
        <f>IF(COUNTA(A19:V19)=0,"",IF(A19="","UC-ID MISSING",IF(COUNTIF($A$4:$A$203,A19)&gt;1,"DUPLICATE UC-ID — CONFLICT",IF(OR(B19="",C19="",D19="",E19="",F19="",G19="",H19="",I19="",J19="",K19="",L19="",O19="",P19="",Q19="",R19="",S19="",T19="",U19="",V19=""),"EVIDENCE INCOMPLETE",IF(OR(ISNA(MATCH(F19,{"Critical","High","Medium","Low"},0)),ISNA(MATCH(E19,{"Priority 1 – Critical","Priority 2 – High","Priority 3 – Standard","Priority 4 – Routine","Priority 5 – Observe","Governance Investigation Required"},0))),"TIER / PRIORITY NOT RECOGNISED",IF(U19&lt;&gt;"Verified","UNVERIFIED / CONFLICT",IF(K19&lt;&gt;"UC-ID specific","NOT UC-SCOPED",IF(OR(NOT(ISNUMBER(Q19)),NOT(ISNUMBER(R19)),NOT(ISNUMBER(V19)),NOT(ISNUMBER($W$1))),"DATES NOT VERIFIED",IF(OR(Q19&gt;R19,V19&gt;Q19),"INVALID DATE RANGE",IF(Q19&gt;$W$1,"NOT YET EFFECTIVE",IF(R19&lt;$W$1,"EXPIRED / REVIEW DUE",IF(R19-Q19&gt;IF(F19="Critical",31,IF(F19="High",92,366)),"REVIEW INTERVAL EXCEEDS TIER CADENCE",IF(OR(H19="Pending",H19="Deferred",H19="Rejected",H19="Suspended",H19="Retired",H19="Unknown"),"NOT APPROVED / STATUS NOT CURRENT",IF(H19="Approved with conditions",IF(OR(M19="",N19="",O19="Open",O19="Unknown",O19="None"),"CONDITIONAL — CONDITIONS NOT VERIFIED","CONDITIONAL — NEVER COUNT AS UNCONDITIONAL APPROVAL"),IF(H19="Approved",IF(OR(O19&lt;&gt;"None",M19&lt;&gt;"",N19&lt;&gt;""),"CONDITION / OUTCOME CONFLICT","SOURCE-RECONCILED USE-SPECIFIC APPROVAL — CONFIRM SOURCE"),"NOT APPROVED / OUTCOME NOT RECOGNISED")))))))))))))))</f>
        <v/>
      </c>
    </row>
    <row r="20" ht="24" customHeight="1" s="14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3">
        <f>IF(COUNTA(A20:V20)=0,"",IF(A20="","UC-ID MISSING",IF(COUNTIF($A$4:$A$203,A20)&gt;1,"DUPLICATE UC-ID — CONFLICT",IF(OR(B20="",C20="",D20="",E20="",F20="",G20="",H20="",I20="",J20="",K20="",L20="",O20="",P20="",Q20="",R20="",S20="",T20="",U20="",V20=""),"EVIDENCE INCOMPLETE",IF(OR(ISNA(MATCH(F20,{"Critical","High","Medium","Low"},0)),ISNA(MATCH(E20,{"Priority 1 – Critical","Priority 2 – High","Priority 3 – Standard","Priority 4 – Routine","Priority 5 – Observe","Governance Investigation Required"},0))),"TIER / PRIORITY NOT RECOGNISED",IF(U20&lt;&gt;"Verified","UNVERIFIED / CONFLICT",IF(K20&lt;&gt;"UC-ID specific","NOT UC-SCOPED",IF(OR(NOT(ISNUMBER(Q20)),NOT(ISNUMBER(R20)),NOT(ISNUMBER(V20)),NOT(ISNUMBER($W$1))),"DATES NOT VERIFIED",IF(OR(Q20&gt;R20,V20&gt;Q20),"INVALID DATE RANGE",IF(Q20&gt;$W$1,"NOT YET EFFECTIVE",IF(R20&lt;$W$1,"EXPIRED / REVIEW DUE",IF(R20-Q20&gt;IF(F20="Critical",31,IF(F20="High",92,366)),"REVIEW INTERVAL EXCEEDS TIER CADENCE",IF(OR(H20="Pending",H20="Deferred",H20="Rejected",H20="Suspended",H20="Retired",H20="Unknown"),"NOT APPROVED / STATUS NOT CURRENT",IF(H20="Approved with conditions",IF(OR(M20="",N20="",O20="Open",O20="Unknown",O20="None"),"CONDITIONAL — CONDITIONS NOT VERIFIED","CONDITIONAL — NEVER COUNT AS UNCONDITIONAL APPROVAL"),IF(H20="Approved",IF(OR(O20&lt;&gt;"None",M20&lt;&gt;"",N20&lt;&gt;""),"CONDITION / OUTCOME CONFLICT","SOURCE-RECONCILED USE-SPECIFIC APPROVAL — CONFIRM SOURCE"),"NOT APPROVED / OUTCOME NOT RECOGNISED")))))))))))))))</f>
        <v/>
      </c>
    </row>
    <row r="21" ht="24" customHeight="1" s="14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3">
        <f>IF(COUNTA(A21:V21)=0,"",IF(A21="","UC-ID MISSING",IF(COUNTIF($A$4:$A$203,A21)&gt;1,"DUPLICATE UC-ID — CONFLICT",IF(OR(B21="",C21="",D21="",E21="",F21="",G21="",H21="",I21="",J21="",K21="",L21="",O21="",P21="",Q21="",R21="",S21="",T21="",U21="",V21=""),"EVIDENCE INCOMPLETE",IF(OR(ISNA(MATCH(F21,{"Critical","High","Medium","Low"},0)),ISNA(MATCH(E21,{"Priority 1 – Critical","Priority 2 – High","Priority 3 – Standard","Priority 4 – Routine","Priority 5 – Observe","Governance Investigation Required"},0))),"TIER / PRIORITY NOT RECOGNISED",IF(U21&lt;&gt;"Verified","UNVERIFIED / CONFLICT",IF(K21&lt;&gt;"UC-ID specific","NOT UC-SCOPED",IF(OR(NOT(ISNUMBER(Q21)),NOT(ISNUMBER(R21)),NOT(ISNUMBER(V21)),NOT(ISNUMBER($W$1))),"DATES NOT VERIFIED",IF(OR(Q21&gt;R21,V21&gt;Q21),"INVALID DATE RANGE",IF(Q21&gt;$W$1,"NOT YET EFFECTIVE",IF(R21&lt;$W$1,"EXPIRED / REVIEW DUE",IF(R21-Q21&gt;IF(F21="Critical",31,IF(F21="High",92,366)),"REVIEW INTERVAL EXCEEDS TIER CADENCE",IF(OR(H21="Pending",H21="Deferred",H21="Rejected",H21="Suspended",H21="Retired",H21="Unknown"),"NOT APPROVED / STATUS NOT CURRENT",IF(H21="Approved with conditions",IF(OR(M21="",N21="",O21="Open",O21="Unknown",O21="None"),"CONDITIONAL — CONDITIONS NOT VERIFIED","CONDITIONAL — NEVER COUNT AS UNCONDITIONAL APPROVAL"),IF(H21="Approved",IF(OR(O21&lt;&gt;"None",M21&lt;&gt;"",N21&lt;&gt;""),"CONDITION / OUTCOME CONFLICT","SOURCE-RECONCILED USE-SPECIFIC APPROVAL — CONFIRM SOURCE"),"NOT APPROVED / OUTCOME NOT RECOGNISED")))))))))))))))</f>
        <v/>
      </c>
    </row>
    <row r="22" ht="24" customHeight="1" s="14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3">
        <f>IF(COUNTA(A22:V22)=0,"",IF(A22="","UC-ID MISSING",IF(COUNTIF($A$4:$A$203,A22)&gt;1,"DUPLICATE UC-ID — CONFLICT",IF(OR(B22="",C22="",D22="",E22="",F22="",G22="",H22="",I22="",J22="",K22="",L22="",O22="",P22="",Q22="",R22="",S22="",T22="",U22="",V22=""),"EVIDENCE INCOMPLETE",IF(OR(ISNA(MATCH(F22,{"Critical","High","Medium","Low"},0)),ISNA(MATCH(E22,{"Priority 1 – Critical","Priority 2 – High","Priority 3 – Standard","Priority 4 – Routine","Priority 5 – Observe","Governance Investigation Required"},0))),"TIER / PRIORITY NOT RECOGNISED",IF(U22&lt;&gt;"Verified","UNVERIFIED / CONFLICT",IF(K22&lt;&gt;"UC-ID specific","NOT UC-SCOPED",IF(OR(NOT(ISNUMBER(Q22)),NOT(ISNUMBER(R22)),NOT(ISNUMBER(V22)),NOT(ISNUMBER($W$1))),"DATES NOT VERIFIED",IF(OR(Q22&gt;R22,V22&gt;Q22),"INVALID DATE RANGE",IF(Q22&gt;$W$1,"NOT YET EFFECTIVE",IF(R22&lt;$W$1,"EXPIRED / REVIEW DUE",IF(R22-Q22&gt;IF(F22="Critical",31,IF(F22="High",92,366)),"REVIEW INTERVAL EXCEEDS TIER CADENCE",IF(OR(H22="Pending",H22="Deferred",H22="Rejected",H22="Suspended",H22="Retired",H22="Unknown"),"NOT APPROVED / STATUS NOT CURRENT",IF(H22="Approved with conditions",IF(OR(M22="",N22="",O22="Open",O22="Unknown",O22="None"),"CONDITIONAL — CONDITIONS NOT VERIFIED","CONDITIONAL — NEVER COUNT AS UNCONDITIONAL APPROVAL"),IF(H22="Approved",IF(OR(O22&lt;&gt;"None",M22&lt;&gt;"",N22&lt;&gt;""),"CONDITION / OUTCOME CONFLICT","SOURCE-RECONCILED USE-SPECIFIC APPROVAL — CONFIRM SOURCE"),"NOT APPROVED / OUTCOME NOT RECOGNISED")))))))))))))))</f>
        <v/>
      </c>
    </row>
    <row r="23" ht="24" customHeight="1" s="14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3">
        <f>IF(COUNTA(A23:V23)=0,"",IF(A23="","UC-ID MISSING",IF(COUNTIF($A$4:$A$203,A23)&gt;1,"DUPLICATE UC-ID — CONFLICT",IF(OR(B23="",C23="",D23="",E23="",F23="",G23="",H23="",I23="",J23="",K23="",L23="",O23="",P23="",Q23="",R23="",S23="",T23="",U23="",V23=""),"EVIDENCE INCOMPLETE",IF(OR(ISNA(MATCH(F23,{"Critical","High","Medium","Low"},0)),ISNA(MATCH(E23,{"Priority 1 – Critical","Priority 2 – High","Priority 3 – Standard","Priority 4 – Routine","Priority 5 – Observe","Governance Investigation Required"},0))),"TIER / PRIORITY NOT RECOGNISED",IF(U23&lt;&gt;"Verified","UNVERIFIED / CONFLICT",IF(K23&lt;&gt;"UC-ID specific","NOT UC-SCOPED",IF(OR(NOT(ISNUMBER(Q23)),NOT(ISNUMBER(R23)),NOT(ISNUMBER(V23)),NOT(ISNUMBER($W$1))),"DATES NOT VERIFIED",IF(OR(Q23&gt;R23,V23&gt;Q23),"INVALID DATE RANGE",IF(Q23&gt;$W$1,"NOT YET EFFECTIVE",IF(R23&lt;$W$1,"EXPIRED / REVIEW DUE",IF(R23-Q23&gt;IF(F23="Critical",31,IF(F23="High",92,366)),"REVIEW INTERVAL EXCEEDS TIER CADENCE",IF(OR(H23="Pending",H23="Deferred",H23="Rejected",H23="Suspended",H23="Retired",H23="Unknown"),"NOT APPROVED / STATUS NOT CURRENT",IF(H23="Approved with conditions",IF(OR(M23="",N23="",O23="Open",O23="Unknown",O23="None"),"CONDITIONAL — CONDITIONS NOT VERIFIED","CONDITIONAL — NEVER COUNT AS UNCONDITIONAL APPROVAL"),IF(H23="Approved",IF(OR(O23&lt;&gt;"None",M23&lt;&gt;"",N23&lt;&gt;""),"CONDITION / OUTCOME CONFLICT","SOURCE-RECONCILED USE-SPECIFIC APPROVAL — CONFIRM SOURCE"),"NOT APPROVED / OUTCOME NOT RECOGNISED")))))))))))))))</f>
        <v/>
      </c>
    </row>
    <row r="24" ht="24" customHeight="1" s="1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3">
        <f>IF(COUNTA(A24:V24)=0,"",IF(A24="","UC-ID MISSING",IF(COUNTIF($A$4:$A$203,A24)&gt;1,"DUPLICATE UC-ID — CONFLICT",IF(OR(B24="",C24="",D24="",E24="",F24="",G24="",H24="",I24="",J24="",K24="",L24="",O24="",P24="",Q24="",R24="",S24="",T24="",U24="",V24=""),"EVIDENCE INCOMPLETE",IF(OR(ISNA(MATCH(F24,{"Critical","High","Medium","Low"},0)),ISNA(MATCH(E24,{"Priority 1 – Critical","Priority 2 – High","Priority 3 – Standard","Priority 4 – Routine","Priority 5 – Observe","Governance Investigation Required"},0))),"TIER / PRIORITY NOT RECOGNISED",IF(U24&lt;&gt;"Verified","UNVERIFIED / CONFLICT",IF(K24&lt;&gt;"UC-ID specific","NOT UC-SCOPED",IF(OR(NOT(ISNUMBER(Q24)),NOT(ISNUMBER(R24)),NOT(ISNUMBER(V24)),NOT(ISNUMBER($W$1))),"DATES NOT VERIFIED",IF(OR(Q24&gt;R24,V24&gt;Q24),"INVALID DATE RANGE",IF(Q24&gt;$W$1,"NOT YET EFFECTIVE",IF(R24&lt;$W$1,"EXPIRED / REVIEW DUE",IF(R24-Q24&gt;IF(F24="Critical",31,IF(F24="High",92,366)),"REVIEW INTERVAL EXCEEDS TIER CADENCE",IF(OR(H24="Pending",H24="Deferred",H24="Rejected",H24="Suspended",H24="Retired",H24="Unknown"),"NOT APPROVED / STATUS NOT CURRENT",IF(H24="Approved with conditions",IF(OR(M24="",N24="",O24="Open",O24="Unknown",O24="None"),"CONDITIONAL — CONDITIONS NOT VERIFIED","CONDITIONAL — NEVER COUNT AS UNCONDITIONAL APPROVAL"),IF(H24="Approved",IF(OR(O24&lt;&gt;"None",M24&lt;&gt;"",N24&lt;&gt;""),"CONDITION / OUTCOME CONFLICT","SOURCE-RECONCILED USE-SPECIFIC APPROVAL — CONFIRM SOURCE"),"NOT APPROVED / OUTCOME NOT RECOGNISED")))))))))))))))</f>
        <v/>
      </c>
    </row>
    <row r="25" ht="24" customHeight="1" s="14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3">
        <f>IF(COUNTA(A25:V25)=0,"",IF(A25="","UC-ID MISSING",IF(COUNTIF($A$4:$A$203,A25)&gt;1,"DUPLICATE UC-ID — CONFLICT",IF(OR(B25="",C25="",D25="",E25="",F25="",G25="",H25="",I25="",J25="",K25="",L25="",O25="",P25="",Q25="",R25="",S25="",T25="",U25="",V25=""),"EVIDENCE INCOMPLETE",IF(OR(ISNA(MATCH(F25,{"Critical","High","Medium","Low"},0)),ISNA(MATCH(E25,{"Priority 1 – Critical","Priority 2 – High","Priority 3 – Standard","Priority 4 – Routine","Priority 5 – Observe","Governance Investigation Required"},0))),"TIER / PRIORITY NOT RECOGNISED",IF(U25&lt;&gt;"Verified","UNVERIFIED / CONFLICT",IF(K25&lt;&gt;"UC-ID specific","NOT UC-SCOPED",IF(OR(NOT(ISNUMBER(Q25)),NOT(ISNUMBER(R25)),NOT(ISNUMBER(V25)),NOT(ISNUMBER($W$1))),"DATES NOT VERIFIED",IF(OR(Q25&gt;R25,V25&gt;Q25),"INVALID DATE RANGE",IF(Q25&gt;$W$1,"NOT YET EFFECTIVE",IF(R25&lt;$W$1,"EXPIRED / REVIEW DUE",IF(R25-Q25&gt;IF(F25="Critical",31,IF(F25="High",92,366)),"REVIEW INTERVAL EXCEEDS TIER CADENCE",IF(OR(H25="Pending",H25="Deferred",H25="Rejected",H25="Suspended",H25="Retired",H25="Unknown"),"NOT APPROVED / STATUS NOT CURRENT",IF(H25="Approved with conditions",IF(OR(M25="",N25="",O25="Open",O25="Unknown",O25="None"),"CONDITIONAL — CONDITIONS NOT VERIFIED","CONDITIONAL — NEVER COUNT AS UNCONDITIONAL APPROVAL"),IF(H25="Approved",IF(OR(O25&lt;&gt;"None",M25&lt;&gt;"",N25&lt;&gt;""),"CONDITION / OUTCOME CONFLICT","SOURCE-RECONCILED USE-SPECIFIC APPROVAL — CONFIRM SOURCE"),"NOT APPROVED / OUTCOME NOT RECOGNISED")))))))))))))))</f>
        <v/>
      </c>
    </row>
    <row r="26" ht="24" customHeight="1" s="14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3">
        <f>IF(COUNTA(A26:V26)=0,"",IF(A26="","UC-ID MISSING",IF(COUNTIF($A$4:$A$203,A26)&gt;1,"DUPLICATE UC-ID — CONFLICT",IF(OR(B26="",C26="",D26="",E26="",F26="",G26="",H26="",I26="",J26="",K26="",L26="",O26="",P26="",Q26="",R26="",S26="",T26="",U26="",V26=""),"EVIDENCE INCOMPLETE",IF(OR(ISNA(MATCH(F26,{"Critical","High","Medium","Low"},0)),ISNA(MATCH(E26,{"Priority 1 – Critical","Priority 2 – High","Priority 3 – Standard","Priority 4 – Routine","Priority 5 – Observe","Governance Investigation Required"},0))),"TIER / PRIORITY NOT RECOGNISED",IF(U26&lt;&gt;"Verified","UNVERIFIED / CONFLICT",IF(K26&lt;&gt;"UC-ID specific","NOT UC-SCOPED",IF(OR(NOT(ISNUMBER(Q26)),NOT(ISNUMBER(R26)),NOT(ISNUMBER(V26)),NOT(ISNUMBER($W$1))),"DATES NOT VERIFIED",IF(OR(Q26&gt;R26,V26&gt;Q26),"INVALID DATE RANGE",IF(Q26&gt;$W$1,"NOT YET EFFECTIVE",IF(R26&lt;$W$1,"EXPIRED / REVIEW DUE",IF(R26-Q26&gt;IF(F26="Critical",31,IF(F26="High",92,366)),"REVIEW INTERVAL EXCEEDS TIER CADENCE",IF(OR(H26="Pending",H26="Deferred",H26="Rejected",H26="Suspended",H26="Retired",H26="Unknown"),"NOT APPROVED / STATUS NOT CURRENT",IF(H26="Approved with conditions",IF(OR(M26="",N26="",O26="Open",O26="Unknown",O26="None"),"CONDITIONAL — CONDITIONS NOT VERIFIED","CONDITIONAL — NEVER COUNT AS UNCONDITIONAL APPROVAL"),IF(H26="Approved",IF(OR(O26&lt;&gt;"None",M26&lt;&gt;"",N26&lt;&gt;""),"CONDITION / OUTCOME CONFLICT","SOURCE-RECONCILED USE-SPECIFIC APPROVAL — CONFIRM SOURCE"),"NOT APPROVED / OUTCOME NOT RECOGNISED")))))))))))))))</f>
        <v/>
      </c>
    </row>
    <row r="27" ht="24" customHeight="1" s="14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3">
        <f>IF(COUNTA(A27:V27)=0,"",IF(A27="","UC-ID MISSING",IF(COUNTIF($A$4:$A$203,A27)&gt;1,"DUPLICATE UC-ID — CONFLICT",IF(OR(B27="",C27="",D27="",E27="",F27="",G27="",H27="",I27="",J27="",K27="",L27="",O27="",P27="",Q27="",R27="",S27="",T27="",U27="",V27=""),"EVIDENCE INCOMPLETE",IF(OR(ISNA(MATCH(F27,{"Critical","High","Medium","Low"},0)),ISNA(MATCH(E27,{"Priority 1 – Critical","Priority 2 – High","Priority 3 – Standard","Priority 4 – Routine","Priority 5 – Observe","Governance Investigation Required"},0))),"TIER / PRIORITY NOT RECOGNISED",IF(U27&lt;&gt;"Verified","UNVERIFIED / CONFLICT",IF(K27&lt;&gt;"UC-ID specific","NOT UC-SCOPED",IF(OR(NOT(ISNUMBER(Q27)),NOT(ISNUMBER(R27)),NOT(ISNUMBER(V27)),NOT(ISNUMBER($W$1))),"DATES NOT VERIFIED",IF(OR(Q27&gt;R27,V27&gt;Q27),"INVALID DATE RANGE",IF(Q27&gt;$W$1,"NOT YET EFFECTIVE",IF(R27&lt;$W$1,"EXPIRED / REVIEW DUE",IF(R27-Q27&gt;IF(F27="Critical",31,IF(F27="High",92,366)),"REVIEW INTERVAL EXCEEDS TIER CADENCE",IF(OR(H27="Pending",H27="Deferred",H27="Rejected",H27="Suspended",H27="Retired",H27="Unknown"),"NOT APPROVED / STATUS NOT CURRENT",IF(H27="Approved with conditions",IF(OR(M27="",N27="",O27="Open",O27="Unknown",O27="None"),"CONDITIONAL — CONDITIONS NOT VERIFIED","CONDITIONAL — NEVER COUNT AS UNCONDITIONAL APPROVAL"),IF(H27="Approved",IF(OR(O27&lt;&gt;"None",M27&lt;&gt;"",N27&lt;&gt;""),"CONDITION / OUTCOME CONFLICT","SOURCE-RECONCILED USE-SPECIFIC APPROVAL — CONFIRM SOURCE"),"NOT APPROVED / OUTCOME NOT RECOGNISED")))))))))))))))</f>
        <v/>
      </c>
    </row>
    <row r="28" ht="24" customHeight="1" s="14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3">
        <f>IF(COUNTA(A28:V28)=0,"",IF(A28="","UC-ID MISSING",IF(COUNTIF($A$4:$A$203,A28)&gt;1,"DUPLICATE UC-ID — CONFLICT",IF(OR(B28="",C28="",D28="",E28="",F28="",G28="",H28="",I28="",J28="",K28="",L28="",O28="",P28="",Q28="",R28="",S28="",T28="",U28="",V28=""),"EVIDENCE INCOMPLETE",IF(OR(ISNA(MATCH(F28,{"Critical","High","Medium","Low"},0)),ISNA(MATCH(E28,{"Priority 1 – Critical","Priority 2 – High","Priority 3 – Standard","Priority 4 – Routine","Priority 5 – Observe","Governance Investigation Required"},0))),"TIER / PRIORITY NOT RECOGNISED",IF(U28&lt;&gt;"Verified","UNVERIFIED / CONFLICT",IF(K28&lt;&gt;"UC-ID specific","NOT UC-SCOPED",IF(OR(NOT(ISNUMBER(Q28)),NOT(ISNUMBER(R28)),NOT(ISNUMBER(V28)),NOT(ISNUMBER($W$1))),"DATES NOT VERIFIED",IF(OR(Q28&gt;R28,V28&gt;Q28),"INVALID DATE RANGE",IF(Q28&gt;$W$1,"NOT YET EFFECTIVE",IF(R28&lt;$W$1,"EXPIRED / REVIEW DUE",IF(R28-Q28&gt;IF(F28="Critical",31,IF(F28="High",92,366)),"REVIEW INTERVAL EXCEEDS TIER CADENCE",IF(OR(H28="Pending",H28="Deferred",H28="Rejected",H28="Suspended",H28="Retired",H28="Unknown"),"NOT APPROVED / STATUS NOT CURRENT",IF(H28="Approved with conditions",IF(OR(M28="",N28="",O28="Open",O28="Unknown",O28="None"),"CONDITIONAL — CONDITIONS NOT VERIFIED","CONDITIONAL — NEVER COUNT AS UNCONDITIONAL APPROVAL"),IF(H28="Approved",IF(OR(O28&lt;&gt;"None",M28&lt;&gt;"",N28&lt;&gt;""),"CONDITION / OUTCOME CONFLICT","SOURCE-RECONCILED USE-SPECIFIC APPROVAL — CONFIRM SOURCE"),"NOT APPROVED / OUTCOME NOT RECOGNISED")))))))))))))))</f>
        <v/>
      </c>
    </row>
    <row r="29" ht="24" customHeight="1" s="14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3">
        <f>IF(COUNTA(A29:V29)=0,"",IF(A29="","UC-ID MISSING",IF(COUNTIF($A$4:$A$203,A29)&gt;1,"DUPLICATE UC-ID — CONFLICT",IF(OR(B29="",C29="",D29="",E29="",F29="",G29="",H29="",I29="",J29="",K29="",L29="",O29="",P29="",Q29="",R29="",S29="",T29="",U29="",V29=""),"EVIDENCE INCOMPLETE",IF(OR(ISNA(MATCH(F29,{"Critical","High","Medium","Low"},0)),ISNA(MATCH(E29,{"Priority 1 – Critical","Priority 2 – High","Priority 3 – Standard","Priority 4 – Routine","Priority 5 – Observe","Governance Investigation Required"},0))),"TIER / PRIORITY NOT RECOGNISED",IF(U29&lt;&gt;"Verified","UNVERIFIED / CONFLICT",IF(K29&lt;&gt;"UC-ID specific","NOT UC-SCOPED",IF(OR(NOT(ISNUMBER(Q29)),NOT(ISNUMBER(R29)),NOT(ISNUMBER(V29)),NOT(ISNUMBER($W$1))),"DATES NOT VERIFIED",IF(OR(Q29&gt;R29,V29&gt;Q29),"INVALID DATE RANGE",IF(Q29&gt;$W$1,"NOT YET EFFECTIVE",IF(R29&lt;$W$1,"EXPIRED / REVIEW DUE",IF(R29-Q29&gt;IF(F29="Critical",31,IF(F29="High",92,366)),"REVIEW INTERVAL EXCEEDS TIER CADENCE",IF(OR(H29="Pending",H29="Deferred",H29="Rejected",H29="Suspended",H29="Retired",H29="Unknown"),"NOT APPROVED / STATUS NOT CURRENT",IF(H29="Approved with conditions",IF(OR(M29="",N29="",O29="Open",O29="Unknown",O29="None"),"CONDITIONAL — CONDITIONS NOT VERIFIED","CONDITIONAL — NEVER COUNT AS UNCONDITIONAL APPROVAL"),IF(H29="Approved",IF(OR(O29&lt;&gt;"None",M29&lt;&gt;"",N29&lt;&gt;""),"CONDITION / OUTCOME CONFLICT","SOURCE-RECONCILED USE-SPECIFIC APPROVAL — CONFIRM SOURCE"),"NOT APPROVED / OUTCOME NOT RECOGNISED")))))))))))))))</f>
        <v/>
      </c>
    </row>
    <row r="30" ht="24" customHeight="1" s="14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3">
        <f>IF(COUNTA(A30:V30)=0,"",IF(A30="","UC-ID MISSING",IF(COUNTIF($A$4:$A$203,A30)&gt;1,"DUPLICATE UC-ID — CONFLICT",IF(OR(B30="",C30="",D30="",E30="",F30="",G30="",H30="",I30="",J30="",K30="",L30="",O30="",P30="",Q30="",R30="",S30="",T30="",U30="",V30=""),"EVIDENCE INCOMPLETE",IF(OR(ISNA(MATCH(F30,{"Critical","High","Medium","Low"},0)),ISNA(MATCH(E30,{"Priority 1 – Critical","Priority 2 – High","Priority 3 – Standard","Priority 4 – Routine","Priority 5 – Observe","Governance Investigation Required"},0))),"TIER / PRIORITY NOT RECOGNISED",IF(U30&lt;&gt;"Verified","UNVERIFIED / CONFLICT",IF(K30&lt;&gt;"UC-ID specific","NOT UC-SCOPED",IF(OR(NOT(ISNUMBER(Q30)),NOT(ISNUMBER(R30)),NOT(ISNUMBER(V30)),NOT(ISNUMBER($W$1))),"DATES NOT VERIFIED",IF(OR(Q30&gt;R30,V30&gt;Q30),"INVALID DATE RANGE",IF(Q30&gt;$W$1,"NOT YET EFFECTIVE",IF(R30&lt;$W$1,"EXPIRED / REVIEW DUE",IF(R30-Q30&gt;IF(F30="Critical",31,IF(F30="High",92,366)),"REVIEW INTERVAL EXCEEDS TIER CADENCE",IF(OR(H30="Pending",H30="Deferred",H30="Rejected",H30="Suspended",H30="Retired",H30="Unknown"),"NOT APPROVED / STATUS NOT CURRENT",IF(H30="Approved with conditions",IF(OR(M30="",N30="",O30="Open",O30="Unknown",O30="None"),"CONDITIONAL — CONDITIONS NOT VERIFIED","CONDITIONAL — NEVER COUNT AS UNCONDITIONAL APPROVAL"),IF(H30="Approved",IF(OR(O30&lt;&gt;"None",M30&lt;&gt;"",N30&lt;&gt;""),"CONDITION / OUTCOME CONFLICT","SOURCE-RECONCILED USE-SPECIFIC APPROVAL — CONFIRM SOURCE"),"NOT APPROVED / OUTCOME NOT RECOGNISED")))))))))))))))</f>
        <v/>
      </c>
    </row>
    <row r="31" ht="24" customHeight="1" s="14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3">
        <f>IF(COUNTA(A31:V31)=0,"",IF(A31="","UC-ID MISSING",IF(COUNTIF($A$4:$A$203,A31)&gt;1,"DUPLICATE UC-ID — CONFLICT",IF(OR(B31="",C31="",D31="",E31="",F31="",G31="",H31="",I31="",J31="",K31="",L31="",O31="",P31="",Q31="",R31="",S31="",T31="",U31="",V31=""),"EVIDENCE INCOMPLETE",IF(OR(ISNA(MATCH(F31,{"Critical","High","Medium","Low"},0)),ISNA(MATCH(E31,{"Priority 1 – Critical","Priority 2 – High","Priority 3 – Standard","Priority 4 – Routine","Priority 5 – Observe","Governance Investigation Required"},0))),"TIER / PRIORITY NOT RECOGNISED",IF(U31&lt;&gt;"Verified","UNVERIFIED / CONFLICT",IF(K31&lt;&gt;"UC-ID specific","NOT UC-SCOPED",IF(OR(NOT(ISNUMBER(Q31)),NOT(ISNUMBER(R31)),NOT(ISNUMBER(V31)),NOT(ISNUMBER($W$1))),"DATES NOT VERIFIED",IF(OR(Q31&gt;R31,V31&gt;Q31),"INVALID DATE RANGE",IF(Q31&gt;$W$1,"NOT YET EFFECTIVE",IF(R31&lt;$W$1,"EXPIRED / REVIEW DUE",IF(R31-Q31&gt;IF(F31="Critical",31,IF(F31="High",92,366)),"REVIEW INTERVAL EXCEEDS TIER CADENCE",IF(OR(H31="Pending",H31="Deferred",H31="Rejected",H31="Suspended",H31="Retired",H31="Unknown"),"NOT APPROVED / STATUS NOT CURRENT",IF(H31="Approved with conditions",IF(OR(M31="",N31="",O31="Open",O31="Unknown",O31="None"),"CONDITIONAL — CONDITIONS NOT VERIFIED","CONDITIONAL — NEVER COUNT AS UNCONDITIONAL APPROVAL"),IF(H31="Approved",IF(OR(O31&lt;&gt;"None",M31&lt;&gt;"",N31&lt;&gt;""),"CONDITION / OUTCOME CONFLICT","SOURCE-RECONCILED USE-SPECIFIC APPROVAL — CONFIRM SOURCE"),"NOT APPROVED / OUTCOME NOT RECOGNISED")))))))))))))))</f>
        <v/>
      </c>
    </row>
    <row r="32" ht="24" customHeight="1" s="14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3">
        <f>IF(COUNTA(A32:V32)=0,"",IF(A32="","UC-ID MISSING",IF(COUNTIF($A$4:$A$203,A32)&gt;1,"DUPLICATE UC-ID — CONFLICT",IF(OR(B32="",C32="",D32="",E32="",F32="",G32="",H32="",I32="",J32="",K32="",L32="",O32="",P32="",Q32="",R32="",S32="",T32="",U32="",V32=""),"EVIDENCE INCOMPLETE",IF(OR(ISNA(MATCH(F32,{"Critical","High","Medium","Low"},0)),ISNA(MATCH(E32,{"Priority 1 – Critical","Priority 2 – High","Priority 3 – Standard","Priority 4 – Routine","Priority 5 – Observe","Governance Investigation Required"},0))),"TIER / PRIORITY NOT RECOGNISED",IF(U32&lt;&gt;"Verified","UNVERIFIED / CONFLICT",IF(K32&lt;&gt;"UC-ID specific","NOT UC-SCOPED",IF(OR(NOT(ISNUMBER(Q32)),NOT(ISNUMBER(R32)),NOT(ISNUMBER(V32)),NOT(ISNUMBER($W$1))),"DATES NOT VERIFIED",IF(OR(Q32&gt;R32,V32&gt;Q32),"INVALID DATE RANGE",IF(Q32&gt;$W$1,"NOT YET EFFECTIVE",IF(R32&lt;$W$1,"EXPIRED / REVIEW DUE",IF(R32-Q32&gt;IF(F32="Critical",31,IF(F32="High",92,366)),"REVIEW INTERVAL EXCEEDS TIER CADENCE",IF(OR(H32="Pending",H32="Deferred",H32="Rejected",H32="Suspended",H32="Retired",H32="Unknown"),"NOT APPROVED / STATUS NOT CURRENT",IF(H32="Approved with conditions",IF(OR(M32="",N32="",O32="Open",O32="Unknown",O32="None"),"CONDITIONAL — CONDITIONS NOT VERIFIED","CONDITIONAL — NEVER COUNT AS UNCONDITIONAL APPROVAL"),IF(H32="Approved",IF(OR(O32&lt;&gt;"None",M32&lt;&gt;"",N32&lt;&gt;""),"CONDITION / OUTCOME CONFLICT","SOURCE-RECONCILED USE-SPECIFIC APPROVAL — CONFIRM SOURCE"),"NOT APPROVED / OUTCOME NOT RECOGNISED")))))))))))))))</f>
        <v/>
      </c>
    </row>
    <row r="33" ht="24" customHeight="1" s="14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3">
        <f>IF(COUNTA(A33:V33)=0,"",IF(A33="","UC-ID MISSING",IF(COUNTIF($A$4:$A$203,A33)&gt;1,"DUPLICATE UC-ID — CONFLICT",IF(OR(B33="",C33="",D33="",E33="",F33="",G33="",H33="",I33="",J33="",K33="",L33="",O33="",P33="",Q33="",R33="",S33="",T33="",U33="",V33=""),"EVIDENCE INCOMPLETE",IF(OR(ISNA(MATCH(F33,{"Critical","High","Medium","Low"},0)),ISNA(MATCH(E33,{"Priority 1 – Critical","Priority 2 – High","Priority 3 – Standard","Priority 4 – Routine","Priority 5 – Observe","Governance Investigation Required"},0))),"TIER / PRIORITY NOT RECOGNISED",IF(U33&lt;&gt;"Verified","UNVERIFIED / CONFLICT",IF(K33&lt;&gt;"UC-ID specific","NOT UC-SCOPED",IF(OR(NOT(ISNUMBER(Q33)),NOT(ISNUMBER(R33)),NOT(ISNUMBER(V33)),NOT(ISNUMBER($W$1))),"DATES NOT VERIFIED",IF(OR(Q33&gt;R33,V33&gt;Q33),"INVALID DATE RANGE",IF(Q33&gt;$W$1,"NOT YET EFFECTIVE",IF(R33&lt;$W$1,"EXPIRED / REVIEW DUE",IF(R33-Q33&gt;IF(F33="Critical",31,IF(F33="High",92,366)),"REVIEW INTERVAL EXCEEDS TIER CADENCE",IF(OR(H33="Pending",H33="Deferred",H33="Rejected",H33="Suspended",H33="Retired",H33="Unknown"),"NOT APPROVED / STATUS NOT CURRENT",IF(H33="Approved with conditions",IF(OR(M33="",N33="",O33="Open",O33="Unknown",O33="None"),"CONDITIONAL — CONDITIONS NOT VERIFIED","CONDITIONAL — NEVER COUNT AS UNCONDITIONAL APPROVAL"),IF(H33="Approved",IF(OR(O33&lt;&gt;"None",M33&lt;&gt;"",N33&lt;&gt;""),"CONDITION / OUTCOME CONFLICT","SOURCE-RECONCILED USE-SPECIFIC APPROVAL — CONFIRM SOURCE"),"NOT APPROVED / OUTCOME NOT RECOGNISED")))))))))))))))</f>
        <v/>
      </c>
    </row>
    <row r="34" ht="24" customHeight="1" s="1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3">
        <f>IF(COUNTA(A34:V34)=0,"",IF(A34="","UC-ID MISSING",IF(COUNTIF($A$4:$A$203,A34)&gt;1,"DUPLICATE UC-ID — CONFLICT",IF(OR(B34="",C34="",D34="",E34="",F34="",G34="",H34="",I34="",J34="",K34="",L34="",O34="",P34="",Q34="",R34="",S34="",T34="",U34="",V34=""),"EVIDENCE INCOMPLETE",IF(OR(ISNA(MATCH(F34,{"Critical","High","Medium","Low"},0)),ISNA(MATCH(E34,{"Priority 1 – Critical","Priority 2 – High","Priority 3 – Standard","Priority 4 – Routine","Priority 5 – Observe","Governance Investigation Required"},0))),"TIER / PRIORITY NOT RECOGNISED",IF(U34&lt;&gt;"Verified","UNVERIFIED / CONFLICT",IF(K34&lt;&gt;"UC-ID specific","NOT UC-SCOPED",IF(OR(NOT(ISNUMBER(Q34)),NOT(ISNUMBER(R34)),NOT(ISNUMBER(V34)),NOT(ISNUMBER($W$1))),"DATES NOT VERIFIED",IF(OR(Q34&gt;R34,V34&gt;Q34),"INVALID DATE RANGE",IF(Q34&gt;$W$1,"NOT YET EFFECTIVE",IF(R34&lt;$W$1,"EXPIRED / REVIEW DUE",IF(R34-Q34&gt;IF(F34="Critical",31,IF(F34="High",92,366)),"REVIEW INTERVAL EXCEEDS TIER CADENCE",IF(OR(H34="Pending",H34="Deferred",H34="Rejected",H34="Suspended",H34="Retired",H34="Unknown"),"NOT APPROVED / STATUS NOT CURRENT",IF(H34="Approved with conditions",IF(OR(M34="",N34="",O34="Open",O34="Unknown",O34="None"),"CONDITIONAL — CONDITIONS NOT VERIFIED","CONDITIONAL — NEVER COUNT AS UNCONDITIONAL APPROVAL"),IF(H34="Approved",IF(OR(O34&lt;&gt;"None",M34&lt;&gt;"",N34&lt;&gt;""),"CONDITION / OUTCOME CONFLICT","SOURCE-RECONCILED USE-SPECIFIC APPROVAL — CONFIRM SOURCE"),"NOT APPROVED / OUTCOME NOT RECOGNISED")))))))))))))))</f>
        <v/>
      </c>
    </row>
    <row r="35" ht="24" customHeight="1" s="14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3">
        <f>IF(COUNTA(A35:V35)=0,"",IF(A35="","UC-ID MISSING",IF(COUNTIF($A$4:$A$203,A35)&gt;1,"DUPLICATE UC-ID — CONFLICT",IF(OR(B35="",C35="",D35="",E35="",F35="",G35="",H35="",I35="",J35="",K35="",L35="",O35="",P35="",Q35="",R35="",S35="",T35="",U35="",V35=""),"EVIDENCE INCOMPLETE",IF(OR(ISNA(MATCH(F35,{"Critical","High","Medium","Low"},0)),ISNA(MATCH(E35,{"Priority 1 – Critical","Priority 2 – High","Priority 3 – Standard","Priority 4 – Routine","Priority 5 – Observe","Governance Investigation Required"},0))),"TIER / PRIORITY NOT RECOGNISED",IF(U35&lt;&gt;"Verified","UNVERIFIED / CONFLICT",IF(K35&lt;&gt;"UC-ID specific","NOT UC-SCOPED",IF(OR(NOT(ISNUMBER(Q35)),NOT(ISNUMBER(R35)),NOT(ISNUMBER(V35)),NOT(ISNUMBER($W$1))),"DATES NOT VERIFIED",IF(OR(Q35&gt;R35,V35&gt;Q35),"INVALID DATE RANGE",IF(Q35&gt;$W$1,"NOT YET EFFECTIVE",IF(R35&lt;$W$1,"EXPIRED / REVIEW DUE",IF(R35-Q35&gt;IF(F35="Critical",31,IF(F35="High",92,366)),"REVIEW INTERVAL EXCEEDS TIER CADENCE",IF(OR(H35="Pending",H35="Deferred",H35="Rejected",H35="Suspended",H35="Retired",H35="Unknown"),"NOT APPROVED / STATUS NOT CURRENT",IF(H35="Approved with conditions",IF(OR(M35="",N35="",O35="Open",O35="Unknown",O35="None"),"CONDITIONAL — CONDITIONS NOT VERIFIED","CONDITIONAL — NEVER COUNT AS UNCONDITIONAL APPROVAL"),IF(H35="Approved",IF(OR(O35&lt;&gt;"None",M35&lt;&gt;"",N35&lt;&gt;""),"CONDITION / OUTCOME CONFLICT","SOURCE-RECONCILED USE-SPECIFIC APPROVAL — CONFIRM SOURCE"),"NOT APPROVED / OUTCOME NOT RECOGNISED")))))))))))))))</f>
        <v/>
      </c>
    </row>
    <row r="36" ht="24" customHeight="1" s="14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3">
        <f>IF(COUNTA(A36:V36)=0,"",IF(A36="","UC-ID MISSING",IF(COUNTIF($A$4:$A$203,A36)&gt;1,"DUPLICATE UC-ID — CONFLICT",IF(OR(B36="",C36="",D36="",E36="",F36="",G36="",H36="",I36="",J36="",K36="",L36="",O36="",P36="",Q36="",R36="",S36="",T36="",U36="",V36=""),"EVIDENCE INCOMPLETE",IF(OR(ISNA(MATCH(F36,{"Critical","High","Medium","Low"},0)),ISNA(MATCH(E36,{"Priority 1 – Critical","Priority 2 – High","Priority 3 – Standard","Priority 4 – Routine","Priority 5 – Observe","Governance Investigation Required"},0))),"TIER / PRIORITY NOT RECOGNISED",IF(U36&lt;&gt;"Verified","UNVERIFIED / CONFLICT",IF(K36&lt;&gt;"UC-ID specific","NOT UC-SCOPED",IF(OR(NOT(ISNUMBER(Q36)),NOT(ISNUMBER(R36)),NOT(ISNUMBER(V36)),NOT(ISNUMBER($W$1))),"DATES NOT VERIFIED",IF(OR(Q36&gt;R36,V36&gt;Q36),"INVALID DATE RANGE",IF(Q36&gt;$W$1,"NOT YET EFFECTIVE",IF(R36&lt;$W$1,"EXPIRED / REVIEW DUE",IF(R36-Q36&gt;IF(F36="Critical",31,IF(F36="High",92,366)),"REVIEW INTERVAL EXCEEDS TIER CADENCE",IF(OR(H36="Pending",H36="Deferred",H36="Rejected",H36="Suspended",H36="Retired",H36="Unknown"),"NOT APPROVED / STATUS NOT CURRENT",IF(H36="Approved with conditions",IF(OR(M36="",N36="",O36="Open",O36="Unknown",O36="None"),"CONDITIONAL — CONDITIONS NOT VERIFIED","CONDITIONAL — NEVER COUNT AS UNCONDITIONAL APPROVAL"),IF(H36="Approved",IF(OR(O36&lt;&gt;"None",M36&lt;&gt;"",N36&lt;&gt;""),"CONDITION / OUTCOME CONFLICT","SOURCE-RECONCILED USE-SPECIFIC APPROVAL — CONFIRM SOURCE"),"NOT APPROVED / OUTCOME NOT RECOGNISED")))))))))))))))</f>
        <v/>
      </c>
    </row>
    <row r="37" ht="24" customHeight="1" s="14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3">
        <f>IF(COUNTA(A37:V37)=0,"",IF(A37="","UC-ID MISSING",IF(COUNTIF($A$4:$A$203,A37)&gt;1,"DUPLICATE UC-ID — CONFLICT",IF(OR(B37="",C37="",D37="",E37="",F37="",G37="",H37="",I37="",J37="",K37="",L37="",O37="",P37="",Q37="",R37="",S37="",T37="",U37="",V37=""),"EVIDENCE INCOMPLETE",IF(OR(ISNA(MATCH(F37,{"Critical","High","Medium","Low"},0)),ISNA(MATCH(E37,{"Priority 1 – Critical","Priority 2 – High","Priority 3 – Standard","Priority 4 – Routine","Priority 5 – Observe","Governance Investigation Required"},0))),"TIER / PRIORITY NOT RECOGNISED",IF(U37&lt;&gt;"Verified","UNVERIFIED / CONFLICT",IF(K37&lt;&gt;"UC-ID specific","NOT UC-SCOPED",IF(OR(NOT(ISNUMBER(Q37)),NOT(ISNUMBER(R37)),NOT(ISNUMBER(V37)),NOT(ISNUMBER($W$1))),"DATES NOT VERIFIED",IF(OR(Q37&gt;R37,V37&gt;Q37),"INVALID DATE RANGE",IF(Q37&gt;$W$1,"NOT YET EFFECTIVE",IF(R37&lt;$W$1,"EXPIRED / REVIEW DUE",IF(R37-Q37&gt;IF(F37="Critical",31,IF(F37="High",92,366)),"REVIEW INTERVAL EXCEEDS TIER CADENCE",IF(OR(H37="Pending",H37="Deferred",H37="Rejected",H37="Suspended",H37="Retired",H37="Unknown"),"NOT APPROVED / STATUS NOT CURRENT",IF(H37="Approved with conditions",IF(OR(M37="",N37="",O37="Open",O37="Unknown",O37="None"),"CONDITIONAL — CONDITIONS NOT VERIFIED","CONDITIONAL — NEVER COUNT AS UNCONDITIONAL APPROVAL"),IF(H37="Approved",IF(OR(O37&lt;&gt;"None",M37&lt;&gt;"",N37&lt;&gt;""),"CONDITION / OUTCOME CONFLICT","SOURCE-RECONCILED USE-SPECIFIC APPROVAL — CONFIRM SOURCE"),"NOT APPROVED / OUTCOME NOT RECOGNISED")))))))))))))))</f>
        <v/>
      </c>
    </row>
    <row r="38" ht="24" customHeight="1" s="14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3">
        <f>IF(COUNTA(A38:V38)=0,"",IF(A38="","UC-ID MISSING",IF(COUNTIF($A$4:$A$203,A38)&gt;1,"DUPLICATE UC-ID — CONFLICT",IF(OR(B38="",C38="",D38="",E38="",F38="",G38="",H38="",I38="",J38="",K38="",L38="",O38="",P38="",Q38="",R38="",S38="",T38="",U38="",V38=""),"EVIDENCE INCOMPLETE",IF(OR(ISNA(MATCH(F38,{"Critical","High","Medium","Low"},0)),ISNA(MATCH(E38,{"Priority 1 – Critical","Priority 2 – High","Priority 3 – Standard","Priority 4 – Routine","Priority 5 – Observe","Governance Investigation Required"},0))),"TIER / PRIORITY NOT RECOGNISED",IF(U38&lt;&gt;"Verified","UNVERIFIED / CONFLICT",IF(K38&lt;&gt;"UC-ID specific","NOT UC-SCOPED",IF(OR(NOT(ISNUMBER(Q38)),NOT(ISNUMBER(R38)),NOT(ISNUMBER(V38)),NOT(ISNUMBER($W$1))),"DATES NOT VERIFIED",IF(OR(Q38&gt;R38,V38&gt;Q38),"INVALID DATE RANGE",IF(Q38&gt;$W$1,"NOT YET EFFECTIVE",IF(R38&lt;$W$1,"EXPIRED / REVIEW DUE",IF(R38-Q38&gt;IF(F38="Critical",31,IF(F38="High",92,366)),"REVIEW INTERVAL EXCEEDS TIER CADENCE",IF(OR(H38="Pending",H38="Deferred",H38="Rejected",H38="Suspended",H38="Retired",H38="Unknown"),"NOT APPROVED / STATUS NOT CURRENT",IF(H38="Approved with conditions",IF(OR(M38="",N38="",O38="Open",O38="Unknown",O38="None"),"CONDITIONAL — CONDITIONS NOT VERIFIED","CONDITIONAL — NEVER COUNT AS UNCONDITIONAL APPROVAL"),IF(H38="Approved",IF(OR(O38&lt;&gt;"None",M38&lt;&gt;"",N38&lt;&gt;""),"CONDITION / OUTCOME CONFLICT","SOURCE-RECONCILED USE-SPECIFIC APPROVAL — CONFIRM SOURCE"),"NOT APPROVED / OUTCOME NOT RECOGNISED")))))))))))))))</f>
        <v/>
      </c>
    </row>
    <row r="39" ht="24" customHeight="1" s="14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3">
        <f>IF(COUNTA(A39:V39)=0,"",IF(A39="","UC-ID MISSING",IF(COUNTIF($A$4:$A$203,A39)&gt;1,"DUPLICATE UC-ID — CONFLICT",IF(OR(B39="",C39="",D39="",E39="",F39="",G39="",H39="",I39="",J39="",K39="",L39="",O39="",P39="",Q39="",R39="",S39="",T39="",U39="",V39=""),"EVIDENCE INCOMPLETE",IF(OR(ISNA(MATCH(F39,{"Critical","High","Medium","Low"},0)),ISNA(MATCH(E39,{"Priority 1 – Critical","Priority 2 – High","Priority 3 – Standard","Priority 4 – Routine","Priority 5 – Observe","Governance Investigation Required"},0))),"TIER / PRIORITY NOT RECOGNISED",IF(U39&lt;&gt;"Verified","UNVERIFIED / CONFLICT",IF(K39&lt;&gt;"UC-ID specific","NOT UC-SCOPED",IF(OR(NOT(ISNUMBER(Q39)),NOT(ISNUMBER(R39)),NOT(ISNUMBER(V39)),NOT(ISNUMBER($W$1))),"DATES NOT VERIFIED",IF(OR(Q39&gt;R39,V39&gt;Q39),"INVALID DATE RANGE",IF(Q39&gt;$W$1,"NOT YET EFFECTIVE",IF(R39&lt;$W$1,"EXPIRED / REVIEW DUE",IF(R39-Q39&gt;IF(F39="Critical",31,IF(F39="High",92,366)),"REVIEW INTERVAL EXCEEDS TIER CADENCE",IF(OR(H39="Pending",H39="Deferred",H39="Rejected",H39="Suspended",H39="Retired",H39="Unknown"),"NOT APPROVED / STATUS NOT CURRENT",IF(H39="Approved with conditions",IF(OR(M39="",N39="",O39="Open",O39="Unknown",O39="None"),"CONDITIONAL — CONDITIONS NOT VERIFIED","CONDITIONAL — NEVER COUNT AS UNCONDITIONAL APPROVAL"),IF(H39="Approved",IF(OR(O39&lt;&gt;"None",M39&lt;&gt;"",N39&lt;&gt;""),"CONDITION / OUTCOME CONFLICT","SOURCE-RECONCILED USE-SPECIFIC APPROVAL — CONFIRM SOURCE"),"NOT APPROVED / OUTCOME NOT RECOGNISED")))))))))))))))</f>
        <v/>
      </c>
    </row>
    <row r="40" ht="24" customHeight="1" s="14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3">
        <f>IF(COUNTA(A40:V40)=0,"",IF(A40="","UC-ID MISSING",IF(COUNTIF($A$4:$A$203,A40)&gt;1,"DUPLICATE UC-ID — CONFLICT",IF(OR(B40="",C40="",D40="",E40="",F40="",G40="",H40="",I40="",J40="",K40="",L40="",O40="",P40="",Q40="",R40="",S40="",T40="",U40="",V40=""),"EVIDENCE INCOMPLETE",IF(OR(ISNA(MATCH(F40,{"Critical","High","Medium","Low"},0)),ISNA(MATCH(E40,{"Priority 1 – Critical","Priority 2 – High","Priority 3 – Standard","Priority 4 – Routine","Priority 5 – Observe","Governance Investigation Required"},0))),"TIER / PRIORITY NOT RECOGNISED",IF(U40&lt;&gt;"Verified","UNVERIFIED / CONFLICT",IF(K40&lt;&gt;"UC-ID specific","NOT UC-SCOPED",IF(OR(NOT(ISNUMBER(Q40)),NOT(ISNUMBER(R40)),NOT(ISNUMBER(V40)),NOT(ISNUMBER($W$1))),"DATES NOT VERIFIED",IF(OR(Q40&gt;R40,V40&gt;Q40),"INVALID DATE RANGE",IF(Q40&gt;$W$1,"NOT YET EFFECTIVE",IF(R40&lt;$W$1,"EXPIRED / REVIEW DUE",IF(R40-Q40&gt;IF(F40="Critical",31,IF(F40="High",92,366)),"REVIEW INTERVAL EXCEEDS TIER CADENCE",IF(OR(H40="Pending",H40="Deferred",H40="Rejected",H40="Suspended",H40="Retired",H40="Unknown"),"NOT APPROVED / STATUS NOT CURRENT",IF(H40="Approved with conditions",IF(OR(M40="",N40="",O40="Open",O40="Unknown",O40="None"),"CONDITIONAL — CONDITIONS NOT VERIFIED","CONDITIONAL — NEVER COUNT AS UNCONDITIONAL APPROVAL"),IF(H40="Approved",IF(OR(O40&lt;&gt;"None",M40&lt;&gt;"",N40&lt;&gt;""),"CONDITION / OUTCOME CONFLICT","SOURCE-RECONCILED USE-SPECIFIC APPROVAL — CONFIRM SOURCE"),"NOT APPROVED / OUTCOME NOT RECOGNISED")))))))))))))))</f>
        <v/>
      </c>
    </row>
    <row r="41" ht="24" customHeight="1" s="14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3">
        <f>IF(COUNTA(A41:V41)=0,"",IF(A41="","UC-ID MISSING",IF(COUNTIF($A$4:$A$203,A41)&gt;1,"DUPLICATE UC-ID — CONFLICT",IF(OR(B41="",C41="",D41="",E41="",F41="",G41="",H41="",I41="",J41="",K41="",L41="",O41="",P41="",Q41="",R41="",S41="",T41="",U41="",V41=""),"EVIDENCE INCOMPLETE",IF(OR(ISNA(MATCH(F41,{"Critical","High","Medium","Low"},0)),ISNA(MATCH(E41,{"Priority 1 – Critical","Priority 2 – High","Priority 3 – Standard","Priority 4 – Routine","Priority 5 – Observe","Governance Investigation Required"},0))),"TIER / PRIORITY NOT RECOGNISED",IF(U41&lt;&gt;"Verified","UNVERIFIED / CONFLICT",IF(K41&lt;&gt;"UC-ID specific","NOT UC-SCOPED",IF(OR(NOT(ISNUMBER(Q41)),NOT(ISNUMBER(R41)),NOT(ISNUMBER(V41)),NOT(ISNUMBER($W$1))),"DATES NOT VERIFIED",IF(OR(Q41&gt;R41,V41&gt;Q41),"INVALID DATE RANGE",IF(Q41&gt;$W$1,"NOT YET EFFECTIVE",IF(R41&lt;$W$1,"EXPIRED / REVIEW DUE",IF(R41-Q41&gt;IF(F41="Critical",31,IF(F41="High",92,366)),"REVIEW INTERVAL EXCEEDS TIER CADENCE",IF(OR(H41="Pending",H41="Deferred",H41="Rejected",H41="Suspended",H41="Retired",H41="Unknown"),"NOT APPROVED / STATUS NOT CURRENT",IF(H41="Approved with conditions",IF(OR(M41="",N41="",O41="Open",O41="Unknown",O41="None"),"CONDITIONAL — CONDITIONS NOT VERIFIED","CONDITIONAL — NEVER COUNT AS UNCONDITIONAL APPROVAL"),IF(H41="Approved",IF(OR(O41&lt;&gt;"None",M41&lt;&gt;"",N41&lt;&gt;""),"CONDITION / OUTCOME CONFLICT","SOURCE-RECONCILED USE-SPECIFIC APPROVAL — CONFIRM SOURCE"),"NOT APPROVED / OUTCOME NOT RECOGNISED")))))))))))))))</f>
        <v/>
      </c>
    </row>
    <row r="42" ht="24" customHeight="1" s="14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3">
        <f>IF(COUNTA(A42:V42)=0,"",IF(A42="","UC-ID MISSING",IF(COUNTIF($A$4:$A$203,A42)&gt;1,"DUPLICATE UC-ID — CONFLICT",IF(OR(B42="",C42="",D42="",E42="",F42="",G42="",H42="",I42="",J42="",K42="",L42="",O42="",P42="",Q42="",R42="",S42="",T42="",U42="",V42=""),"EVIDENCE INCOMPLETE",IF(OR(ISNA(MATCH(F42,{"Critical","High","Medium","Low"},0)),ISNA(MATCH(E42,{"Priority 1 – Critical","Priority 2 – High","Priority 3 – Standard","Priority 4 – Routine","Priority 5 – Observe","Governance Investigation Required"},0))),"TIER / PRIORITY NOT RECOGNISED",IF(U42&lt;&gt;"Verified","UNVERIFIED / CONFLICT",IF(K42&lt;&gt;"UC-ID specific","NOT UC-SCOPED",IF(OR(NOT(ISNUMBER(Q42)),NOT(ISNUMBER(R42)),NOT(ISNUMBER(V42)),NOT(ISNUMBER($W$1))),"DATES NOT VERIFIED",IF(OR(Q42&gt;R42,V42&gt;Q42),"INVALID DATE RANGE",IF(Q42&gt;$W$1,"NOT YET EFFECTIVE",IF(R42&lt;$W$1,"EXPIRED / REVIEW DUE",IF(R42-Q42&gt;IF(F42="Critical",31,IF(F42="High",92,366)),"REVIEW INTERVAL EXCEEDS TIER CADENCE",IF(OR(H42="Pending",H42="Deferred",H42="Rejected",H42="Suspended",H42="Retired",H42="Unknown"),"NOT APPROVED / STATUS NOT CURRENT",IF(H42="Approved with conditions",IF(OR(M42="",N42="",O42="Open",O42="Unknown",O42="None"),"CONDITIONAL — CONDITIONS NOT VERIFIED","CONDITIONAL — NEVER COUNT AS UNCONDITIONAL APPROVAL"),IF(H42="Approved",IF(OR(O42&lt;&gt;"None",M42&lt;&gt;"",N42&lt;&gt;""),"CONDITION / OUTCOME CONFLICT","SOURCE-RECONCILED USE-SPECIFIC APPROVAL — CONFIRM SOURCE"),"NOT APPROVED / OUTCOME NOT RECOGNISED")))))))))))))))</f>
        <v/>
      </c>
    </row>
    <row r="43" ht="24" customHeight="1" s="14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3">
        <f>IF(COUNTA(A43:V43)=0,"",IF(A43="","UC-ID MISSING",IF(COUNTIF($A$4:$A$203,A43)&gt;1,"DUPLICATE UC-ID — CONFLICT",IF(OR(B43="",C43="",D43="",E43="",F43="",G43="",H43="",I43="",J43="",K43="",L43="",O43="",P43="",Q43="",R43="",S43="",T43="",U43="",V43=""),"EVIDENCE INCOMPLETE",IF(OR(ISNA(MATCH(F43,{"Critical","High","Medium","Low"},0)),ISNA(MATCH(E43,{"Priority 1 – Critical","Priority 2 – High","Priority 3 – Standard","Priority 4 – Routine","Priority 5 – Observe","Governance Investigation Required"},0))),"TIER / PRIORITY NOT RECOGNISED",IF(U43&lt;&gt;"Verified","UNVERIFIED / CONFLICT",IF(K43&lt;&gt;"UC-ID specific","NOT UC-SCOPED",IF(OR(NOT(ISNUMBER(Q43)),NOT(ISNUMBER(R43)),NOT(ISNUMBER(V43)),NOT(ISNUMBER($W$1))),"DATES NOT VERIFIED",IF(OR(Q43&gt;R43,V43&gt;Q43),"INVALID DATE RANGE",IF(Q43&gt;$W$1,"NOT YET EFFECTIVE",IF(R43&lt;$W$1,"EXPIRED / REVIEW DUE",IF(R43-Q43&gt;IF(F43="Critical",31,IF(F43="High",92,366)),"REVIEW INTERVAL EXCEEDS TIER CADENCE",IF(OR(H43="Pending",H43="Deferred",H43="Rejected",H43="Suspended",H43="Retired",H43="Unknown"),"NOT APPROVED / STATUS NOT CURRENT",IF(H43="Approved with conditions",IF(OR(M43="",N43="",O43="Open",O43="Unknown",O43="None"),"CONDITIONAL — CONDITIONS NOT VERIFIED","CONDITIONAL — NEVER COUNT AS UNCONDITIONAL APPROVAL"),IF(H43="Approved",IF(OR(O43&lt;&gt;"None",M43&lt;&gt;"",N43&lt;&gt;""),"CONDITION / OUTCOME CONFLICT","SOURCE-RECONCILED USE-SPECIFIC APPROVAL — CONFIRM SOURCE"),"NOT APPROVED / OUTCOME NOT RECOGNISED")))))))))))))))</f>
        <v/>
      </c>
    </row>
    <row r="44" ht="24" customHeight="1" s="1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3">
        <f>IF(COUNTA(A44:V44)=0,"",IF(A44="","UC-ID MISSING",IF(COUNTIF($A$4:$A$203,A44)&gt;1,"DUPLICATE UC-ID — CONFLICT",IF(OR(B44="",C44="",D44="",E44="",F44="",G44="",H44="",I44="",J44="",K44="",L44="",O44="",P44="",Q44="",R44="",S44="",T44="",U44="",V44=""),"EVIDENCE INCOMPLETE",IF(OR(ISNA(MATCH(F44,{"Critical","High","Medium","Low"},0)),ISNA(MATCH(E44,{"Priority 1 – Critical","Priority 2 – High","Priority 3 – Standard","Priority 4 – Routine","Priority 5 – Observe","Governance Investigation Required"},0))),"TIER / PRIORITY NOT RECOGNISED",IF(U44&lt;&gt;"Verified","UNVERIFIED / CONFLICT",IF(K44&lt;&gt;"UC-ID specific","NOT UC-SCOPED",IF(OR(NOT(ISNUMBER(Q44)),NOT(ISNUMBER(R44)),NOT(ISNUMBER(V44)),NOT(ISNUMBER($W$1))),"DATES NOT VERIFIED",IF(OR(Q44&gt;R44,V44&gt;Q44),"INVALID DATE RANGE",IF(Q44&gt;$W$1,"NOT YET EFFECTIVE",IF(R44&lt;$W$1,"EXPIRED / REVIEW DUE",IF(R44-Q44&gt;IF(F44="Critical",31,IF(F44="High",92,366)),"REVIEW INTERVAL EXCEEDS TIER CADENCE",IF(OR(H44="Pending",H44="Deferred",H44="Rejected",H44="Suspended",H44="Retired",H44="Unknown"),"NOT APPROVED / STATUS NOT CURRENT",IF(H44="Approved with conditions",IF(OR(M44="",N44="",O44="Open",O44="Unknown",O44="None"),"CONDITIONAL — CONDITIONS NOT VERIFIED","CONDITIONAL — NEVER COUNT AS UNCONDITIONAL APPROVAL"),IF(H44="Approved",IF(OR(O44&lt;&gt;"None",M44&lt;&gt;"",N44&lt;&gt;""),"CONDITION / OUTCOME CONFLICT","SOURCE-RECONCILED USE-SPECIFIC APPROVAL — CONFIRM SOURCE"),"NOT APPROVED / OUTCOME NOT RECOGNISED")))))))))))))))</f>
        <v/>
      </c>
    </row>
    <row r="45" ht="24" customHeight="1" s="14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3">
        <f>IF(COUNTA(A45:V45)=0,"",IF(A45="","UC-ID MISSING",IF(COUNTIF($A$4:$A$203,A45)&gt;1,"DUPLICATE UC-ID — CONFLICT",IF(OR(B45="",C45="",D45="",E45="",F45="",G45="",H45="",I45="",J45="",K45="",L45="",O45="",P45="",Q45="",R45="",S45="",T45="",U45="",V45=""),"EVIDENCE INCOMPLETE",IF(OR(ISNA(MATCH(F45,{"Critical","High","Medium","Low"},0)),ISNA(MATCH(E45,{"Priority 1 – Critical","Priority 2 – High","Priority 3 – Standard","Priority 4 – Routine","Priority 5 – Observe","Governance Investigation Required"},0))),"TIER / PRIORITY NOT RECOGNISED",IF(U45&lt;&gt;"Verified","UNVERIFIED / CONFLICT",IF(K45&lt;&gt;"UC-ID specific","NOT UC-SCOPED",IF(OR(NOT(ISNUMBER(Q45)),NOT(ISNUMBER(R45)),NOT(ISNUMBER(V45)),NOT(ISNUMBER($W$1))),"DATES NOT VERIFIED",IF(OR(Q45&gt;R45,V45&gt;Q45),"INVALID DATE RANGE",IF(Q45&gt;$W$1,"NOT YET EFFECTIVE",IF(R45&lt;$W$1,"EXPIRED / REVIEW DUE",IF(R45-Q45&gt;IF(F45="Critical",31,IF(F45="High",92,366)),"REVIEW INTERVAL EXCEEDS TIER CADENCE",IF(OR(H45="Pending",H45="Deferred",H45="Rejected",H45="Suspended",H45="Retired",H45="Unknown"),"NOT APPROVED / STATUS NOT CURRENT",IF(H45="Approved with conditions",IF(OR(M45="",N45="",O45="Open",O45="Unknown",O45="None"),"CONDITIONAL — CONDITIONS NOT VERIFIED","CONDITIONAL — NEVER COUNT AS UNCONDITIONAL APPROVAL"),IF(H45="Approved",IF(OR(O45&lt;&gt;"None",M45&lt;&gt;"",N45&lt;&gt;""),"CONDITION / OUTCOME CONFLICT","SOURCE-RECONCILED USE-SPECIFIC APPROVAL — CONFIRM SOURCE"),"NOT APPROVED / OUTCOME NOT RECOGNISED")))))))))))))))</f>
        <v/>
      </c>
    </row>
    <row r="46" ht="24" customHeight="1" s="14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3">
        <f>IF(COUNTA(A46:V46)=0,"",IF(A46="","UC-ID MISSING",IF(COUNTIF($A$4:$A$203,A46)&gt;1,"DUPLICATE UC-ID — CONFLICT",IF(OR(B46="",C46="",D46="",E46="",F46="",G46="",H46="",I46="",J46="",K46="",L46="",O46="",P46="",Q46="",R46="",S46="",T46="",U46="",V46=""),"EVIDENCE INCOMPLETE",IF(OR(ISNA(MATCH(F46,{"Critical","High","Medium","Low"},0)),ISNA(MATCH(E46,{"Priority 1 – Critical","Priority 2 – High","Priority 3 – Standard","Priority 4 – Routine","Priority 5 – Observe","Governance Investigation Required"},0))),"TIER / PRIORITY NOT RECOGNISED",IF(U46&lt;&gt;"Verified","UNVERIFIED / CONFLICT",IF(K46&lt;&gt;"UC-ID specific","NOT UC-SCOPED",IF(OR(NOT(ISNUMBER(Q46)),NOT(ISNUMBER(R46)),NOT(ISNUMBER(V46)),NOT(ISNUMBER($W$1))),"DATES NOT VERIFIED",IF(OR(Q46&gt;R46,V46&gt;Q46),"INVALID DATE RANGE",IF(Q46&gt;$W$1,"NOT YET EFFECTIVE",IF(R46&lt;$W$1,"EXPIRED / REVIEW DUE",IF(R46-Q46&gt;IF(F46="Critical",31,IF(F46="High",92,366)),"REVIEW INTERVAL EXCEEDS TIER CADENCE",IF(OR(H46="Pending",H46="Deferred",H46="Rejected",H46="Suspended",H46="Retired",H46="Unknown"),"NOT APPROVED / STATUS NOT CURRENT",IF(H46="Approved with conditions",IF(OR(M46="",N46="",O46="Open",O46="Unknown",O46="None"),"CONDITIONAL — CONDITIONS NOT VERIFIED","CONDITIONAL — NEVER COUNT AS UNCONDITIONAL APPROVAL"),IF(H46="Approved",IF(OR(O46&lt;&gt;"None",M46&lt;&gt;"",N46&lt;&gt;""),"CONDITION / OUTCOME CONFLICT","SOURCE-RECONCILED USE-SPECIFIC APPROVAL — CONFIRM SOURCE"),"NOT APPROVED / OUTCOME NOT RECOGNISED")))))))))))))))</f>
        <v/>
      </c>
    </row>
    <row r="47" ht="24" customHeight="1" s="14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3">
        <f>IF(COUNTA(A47:V47)=0,"",IF(A47="","UC-ID MISSING",IF(COUNTIF($A$4:$A$203,A47)&gt;1,"DUPLICATE UC-ID — CONFLICT",IF(OR(B47="",C47="",D47="",E47="",F47="",G47="",H47="",I47="",J47="",K47="",L47="",O47="",P47="",Q47="",R47="",S47="",T47="",U47="",V47=""),"EVIDENCE INCOMPLETE",IF(OR(ISNA(MATCH(F47,{"Critical","High","Medium","Low"},0)),ISNA(MATCH(E47,{"Priority 1 – Critical","Priority 2 – High","Priority 3 – Standard","Priority 4 – Routine","Priority 5 – Observe","Governance Investigation Required"},0))),"TIER / PRIORITY NOT RECOGNISED",IF(U47&lt;&gt;"Verified","UNVERIFIED / CONFLICT",IF(K47&lt;&gt;"UC-ID specific","NOT UC-SCOPED",IF(OR(NOT(ISNUMBER(Q47)),NOT(ISNUMBER(R47)),NOT(ISNUMBER(V47)),NOT(ISNUMBER($W$1))),"DATES NOT VERIFIED",IF(OR(Q47&gt;R47,V47&gt;Q47),"INVALID DATE RANGE",IF(Q47&gt;$W$1,"NOT YET EFFECTIVE",IF(R47&lt;$W$1,"EXPIRED / REVIEW DUE",IF(R47-Q47&gt;IF(F47="Critical",31,IF(F47="High",92,366)),"REVIEW INTERVAL EXCEEDS TIER CADENCE",IF(OR(H47="Pending",H47="Deferred",H47="Rejected",H47="Suspended",H47="Retired",H47="Unknown"),"NOT APPROVED / STATUS NOT CURRENT",IF(H47="Approved with conditions",IF(OR(M47="",N47="",O47="Open",O47="Unknown",O47="None"),"CONDITIONAL — CONDITIONS NOT VERIFIED","CONDITIONAL — NEVER COUNT AS UNCONDITIONAL APPROVAL"),IF(H47="Approved",IF(OR(O47&lt;&gt;"None",M47&lt;&gt;"",N47&lt;&gt;""),"CONDITION / OUTCOME CONFLICT","SOURCE-RECONCILED USE-SPECIFIC APPROVAL — CONFIRM SOURCE"),"NOT APPROVED / OUTCOME NOT RECOGNISED")))))))))))))))</f>
        <v/>
      </c>
    </row>
    <row r="48" ht="24" customHeight="1" s="14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3">
        <f>IF(COUNTA(A48:V48)=0,"",IF(A48="","UC-ID MISSING",IF(COUNTIF($A$4:$A$203,A48)&gt;1,"DUPLICATE UC-ID — CONFLICT",IF(OR(B48="",C48="",D48="",E48="",F48="",G48="",H48="",I48="",J48="",K48="",L48="",O48="",P48="",Q48="",R48="",S48="",T48="",U48="",V48=""),"EVIDENCE INCOMPLETE",IF(OR(ISNA(MATCH(F48,{"Critical","High","Medium","Low"},0)),ISNA(MATCH(E48,{"Priority 1 – Critical","Priority 2 – High","Priority 3 – Standard","Priority 4 – Routine","Priority 5 – Observe","Governance Investigation Required"},0))),"TIER / PRIORITY NOT RECOGNISED",IF(U48&lt;&gt;"Verified","UNVERIFIED / CONFLICT",IF(K48&lt;&gt;"UC-ID specific","NOT UC-SCOPED",IF(OR(NOT(ISNUMBER(Q48)),NOT(ISNUMBER(R48)),NOT(ISNUMBER(V48)),NOT(ISNUMBER($W$1))),"DATES NOT VERIFIED",IF(OR(Q48&gt;R48,V48&gt;Q48),"INVALID DATE RANGE",IF(Q48&gt;$W$1,"NOT YET EFFECTIVE",IF(R48&lt;$W$1,"EXPIRED / REVIEW DUE",IF(R48-Q48&gt;IF(F48="Critical",31,IF(F48="High",92,366)),"REVIEW INTERVAL EXCEEDS TIER CADENCE",IF(OR(H48="Pending",H48="Deferred",H48="Rejected",H48="Suspended",H48="Retired",H48="Unknown"),"NOT APPROVED / STATUS NOT CURRENT",IF(H48="Approved with conditions",IF(OR(M48="",N48="",O48="Open",O48="Unknown",O48="None"),"CONDITIONAL — CONDITIONS NOT VERIFIED","CONDITIONAL — NEVER COUNT AS UNCONDITIONAL APPROVAL"),IF(H48="Approved",IF(OR(O48&lt;&gt;"None",M48&lt;&gt;"",N48&lt;&gt;""),"CONDITION / OUTCOME CONFLICT","SOURCE-RECONCILED USE-SPECIFIC APPROVAL — CONFIRM SOURCE"),"NOT APPROVED / OUTCOME NOT RECOGNISED")))))))))))))))</f>
        <v/>
      </c>
    </row>
    <row r="49" ht="24" customHeight="1" s="14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3">
        <f>IF(COUNTA(A49:V49)=0,"",IF(A49="","UC-ID MISSING",IF(COUNTIF($A$4:$A$203,A49)&gt;1,"DUPLICATE UC-ID — CONFLICT",IF(OR(B49="",C49="",D49="",E49="",F49="",G49="",H49="",I49="",J49="",K49="",L49="",O49="",P49="",Q49="",R49="",S49="",T49="",U49="",V49=""),"EVIDENCE INCOMPLETE",IF(OR(ISNA(MATCH(F49,{"Critical","High","Medium","Low"},0)),ISNA(MATCH(E49,{"Priority 1 – Critical","Priority 2 – High","Priority 3 – Standard","Priority 4 – Routine","Priority 5 – Observe","Governance Investigation Required"},0))),"TIER / PRIORITY NOT RECOGNISED",IF(U49&lt;&gt;"Verified","UNVERIFIED / CONFLICT",IF(K49&lt;&gt;"UC-ID specific","NOT UC-SCOPED",IF(OR(NOT(ISNUMBER(Q49)),NOT(ISNUMBER(R49)),NOT(ISNUMBER(V49)),NOT(ISNUMBER($W$1))),"DATES NOT VERIFIED",IF(OR(Q49&gt;R49,V49&gt;Q49),"INVALID DATE RANGE",IF(Q49&gt;$W$1,"NOT YET EFFECTIVE",IF(R49&lt;$W$1,"EXPIRED / REVIEW DUE",IF(R49-Q49&gt;IF(F49="Critical",31,IF(F49="High",92,366)),"REVIEW INTERVAL EXCEEDS TIER CADENCE",IF(OR(H49="Pending",H49="Deferred",H49="Rejected",H49="Suspended",H49="Retired",H49="Unknown"),"NOT APPROVED / STATUS NOT CURRENT",IF(H49="Approved with conditions",IF(OR(M49="",N49="",O49="Open",O49="Unknown",O49="None"),"CONDITIONAL — CONDITIONS NOT VERIFIED","CONDITIONAL — NEVER COUNT AS UNCONDITIONAL APPROVAL"),IF(H49="Approved",IF(OR(O49&lt;&gt;"None",M49&lt;&gt;"",N49&lt;&gt;""),"CONDITION / OUTCOME CONFLICT","SOURCE-RECONCILED USE-SPECIFIC APPROVAL — CONFIRM SOURCE"),"NOT APPROVED / OUTCOME NOT RECOGNISED")))))))))))))))</f>
        <v/>
      </c>
    </row>
    <row r="50" ht="24" customHeight="1" s="14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3">
        <f>IF(COUNTA(A50:V50)=0,"",IF(A50="","UC-ID MISSING",IF(COUNTIF($A$4:$A$203,A50)&gt;1,"DUPLICATE UC-ID — CONFLICT",IF(OR(B50="",C50="",D50="",E50="",F50="",G50="",H50="",I50="",J50="",K50="",L50="",O50="",P50="",Q50="",R50="",S50="",T50="",U50="",V50=""),"EVIDENCE INCOMPLETE",IF(OR(ISNA(MATCH(F50,{"Critical","High","Medium","Low"},0)),ISNA(MATCH(E50,{"Priority 1 – Critical","Priority 2 – High","Priority 3 – Standard","Priority 4 – Routine","Priority 5 – Observe","Governance Investigation Required"},0))),"TIER / PRIORITY NOT RECOGNISED",IF(U50&lt;&gt;"Verified","UNVERIFIED / CONFLICT",IF(K50&lt;&gt;"UC-ID specific","NOT UC-SCOPED",IF(OR(NOT(ISNUMBER(Q50)),NOT(ISNUMBER(R50)),NOT(ISNUMBER(V50)),NOT(ISNUMBER($W$1))),"DATES NOT VERIFIED",IF(OR(Q50&gt;R50,V50&gt;Q50),"INVALID DATE RANGE",IF(Q50&gt;$W$1,"NOT YET EFFECTIVE",IF(R50&lt;$W$1,"EXPIRED / REVIEW DUE",IF(R50-Q50&gt;IF(F50="Critical",31,IF(F50="High",92,366)),"REVIEW INTERVAL EXCEEDS TIER CADENCE",IF(OR(H50="Pending",H50="Deferred",H50="Rejected",H50="Suspended",H50="Retired",H50="Unknown"),"NOT APPROVED / STATUS NOT CURRENT",IF(H50="Approved with conditions",IF(OR(M50="",N50="",O50="Open",O50="Unknown",O50="None"),"CONDITIONAL — CONDITIONS NOT VERIFIED","CONDITIONAL — NEVER COUNT AS UNCONDITIONAL APPROVAL"),IF(H50="Approved",IF(OR(O50&lt;&gt;"None",M50&lt;&gt;"",N50&lt;&gt;""),"CONDITION / OUTCOME CONFLICT","SOURCE-RECONCILED USE-SPECIFIC APPROVAL — CONFIRM SOURCE"),"NOT APPROVED / OUTCOME NOT RECOGNISED")))))))))))))))</f>
        <v/>
      </c>
    </row>
    <row r="51" ht="24" customHeight="1" s="14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3">
        <f>IF(COUNTA(A51:V51)=0,"",IF(A51="","UC-ID MISSING",IF(COUNTIF($A$4:$A$203,A51)&gt;1,"DUPLICATE UC-ID — CONFLICT",IF(OR(B51="",C51="",D51="",E51="",F51="",G51="",H51="",I51="",J51="",K51="",L51="",O51="",P51="",Q51="",R51="",S51="",T51="",U51="",V51=""),"EVIDENCE INCOMPLETE",IF(OR(ISNA(MATCH(F51,{"Critical","High","Medium","Low"},0)),ISNA(MATCH(E51,{"Priority 1 – Critical","Priority 2 – High","Priority 3 – Standard","Priority 4 – Routine","Priority 5 – Observe","Governance Investigation Required"},0))),"TIER / PRIORITY NOT RECOGNISED",IF(U51&lt;&gt;"Verified","UNVERIFIED / CONFLICT",IF(K51&lt;&gt;"UC-ID specific","NOT UC-SCOPED",IF(OR(NOT(ISNUMBER(Q51)),NOT(ISNUMBER(R51)),NOT(ISNUMBER(V51)),NOT(ISNUMBER($W$1))),"DATES NOT VERIFIED",IF(OR(Q51&gt;R51,V51&gt;Q51),"INVALID DATE RANGE",IF(Q51&gt;$W$1,"NOT YET EFFECTIVE",IF(R51&lt;$W$1,"EXPIRED / REVIEW DUE",IF(R51-Q51&gt;IF(F51="Critical",31,IF(F51="High",92,366)),"REVIEW INTERVAL EXCEEDS TIER CADENCE",IF(OR(H51="Pending",H51="Deferred",H51="Rejected",H51="Suspended",H51="Retired",H51="Unknown"),"NOT APPROVED / STATUS NOT CURRENT",IF(H51="Approved with conditions",IF(OR(M51="",N51="",O51="Open",O51="Unknown",O51="None"),"CONDITIONAL — CONDITIONS NOT VERIFIED","CONDITIONAL — NEVER COUNT AS UNCONDITIONAL APPROVAL"),IF(H51="Approved",IF(OR(O51&lt;&gt;"None",M51&lt;&gt;"",N51&lt;&gt;""),"CONDITION / OUTCOME CONFLICT","SOURCE-RECONCILED USE-SPECIFIC APPROVAL — CONFIRM SOURCE"),"NOT APPROVED / OUTCOME NOT RECOGNISED")))))))))))))))</f>
        <v/>
      </c>
    </row>
    <row r="52" ht="24" customHeight="1" s="14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3">
        <f>IF(COUNTA(A52:V52)=0,"",IF(A52="","UC-ID MISSING",IF(COUNTIF($A$4:$A$203,A52)&gt;1,"DUPLICATE UC-ID — CONFLICT",IF(OR(B52="",C52="",D52="",E52="",F52="",G52="",H52="",I52="",J52="",K52="",L52="",O52="",P52="",Q52="",R52="",S52="",T52="",U52="",V52=""),"EVIDENCE INCOMPLETE",IF(OR(ISNA(MATCH(F52,{"Critical","High","Medium","Low"},0)),ISNA(MATCH(E52,{"Priority 1 – Critical","Priority 2 – High","Priority 3 – Standard","Priority 4 – Routine","Priority 5 – Observe","Governance Investigation Required"},0))),"TIER / PRIORITY NOT RECOGNISED",IF(U52&lt;&gt;"Verified","UNVERIFIED / CONFLICT",IF(K52&lt;&gt;"UC-ID specific","NOT UC-SCOPED",IF(OR(NOT(ISNUMBER(Q52)),NOT(ISNUMBER(R52)),NOT(ISNUMBER(V52)),NOT(ISNUMBER($W$1))),"DATES NOT VERIFIED",IF(OR(Q52&gt;R52,V52&gt;Q52),"INVALID DATE RANGE",IF(Q52&gt;$W$1,"NOT YET EFFECTIVE",IF(R52&lt;$W$1,"EXPIRED / REVIEW DUE",IF(R52-Q52&gt;IF(F52="Critical",31,IF(F52="High",92,366)),"REVIEW INTERVAL EXCEEDS TIER CADENCE",IF(OR(H52="Pending",H52="Deferred",H52="Rejected",H52="Suspended",H52="Retired",H52="Unknown"),"NOT APPROVED / STATUS NOT CURRENT",IF(H52="Approved with conditions",IF(OR(M52="",N52="",O52="Open",O52="Unknown",O52="None"),"CONDITIONAL — CONDITIONS NOT VERIFIED","CONDITIONAL — NEVER COUNT AS UNCONDITIONAL APPROVAL"),IF(H52="Approved",IF(OR(O52&lt;&gt;"None",M52&lt;&gt;"",N52&lt;&gt;""),"CONDITION / OUTCOME CONFLICT","SOURCE-RECONCILED USE-SPECIFIC APPROVAL — CONFIRM SOURCE"),"NOT APPROVED / OUTCOME NOT RECOGNISED")))))))))))))))</f>
        <v/>
      </c>
    </row>
    <row r="53" ht="24" customHeight="1" s="14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3">
        <f>IF(COUNTA(A53:V53)=0,"",IF(A53="","UC-ID MISSING",IF(COUNTIF($A$4:$A$203,A53)&gt;1,"DUPLICATE UC-ID — CONFLICT",IF(OR(B53="",C53="",D53="",E53="",F53="",G53="",H53="",I53="",J53="",K53="",L53="",O53="",P53="",Q53="",R53="",S53="",T53="",U53="",V53=""),"EVIDENCE INCOMPLETE",IF(OR(ISNA(MATCH(F53,{"Critical","High","Medium","Low"},0)),ISNA(MATCH(E53,{"Priority 1 – Critical","Priority 2 – High","Priority 3 – Standard","Priority 4 – Routine","Priority 5 – Observe","Governance Investigation Required"},0))),"TIER / PRIORITY NOT RECOGNISED",IF(U53&lt;&gt;"Verified","UNVERIFIED / CONFLICT",IF(K53&lt;&gt;"UC-ID specific","NOT UC-SCOPED",IF(OR(NOT(ISNUMBER(Q53)),NOT(ISNUMBER(R53)),NOT(ISNUMBER(V53)),NOT(ISNUMBER($W$1))),"DATES NOT VERIFIED",IF(OR(Q53&gt;R53,V53&gt;Q53),"INVALID DATE RANGE",IF(Q53&gt;$W$1,"NOT YET EFFECTIVE",IF(R53&lt;$W$1,"EXPIRED / REVIEW DUE",IF(R53-Q53&gt;IF(F53="Critical",31,IF(F53="High",92,366)),"REVIEW INTERVAL EXCEEDS TIER CADENCE",IF(OR(H53="Pending",H53="Deferred",H53="Rejected",H53="Suspended",H53="Retired",H53="Unknown"),"NOT APPROVED / STATUS NOT CURRENT",IF(H53="Approved with conditions",IF(OR(M53="",N53="",O53="Open",O53="Unknown",O53="None"),"CONDITIONAL — CONDITIONS NOT VERIFIED","CONDITIONAL — NEVER COUNT AS UNCONDITIONAL APPROVAL"),IF(H53="Approved",IF(OR(O53&lt;&gt;"None",M53&lt;&gt;"",N53&lt;&gt;""),"CONDITION / OUTCOME CONFLICT","SOURCE-RECONCILED USE-SPECIFIC APPROVAL — CONFIRM SOURCE"),"NOT APPROVED / OUTCOME NOT RECOGNISED")))))))))))))))</f>
        <v/>
      </c>
    </row>
    <row r="54" ht="24" customHeight="1" s="1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3">
        <f>IF(COUNTA(A54:V54)=0,"",IF(A54="","UC-ID MISSING",IF(COUNTIF($A$4:$A$203,A54)&gt;1,"DUPLICATE UC-ID — CONFLICT",IF(OR(B54="",C54="",D54="",E54="",F54="",G54="",H54="",I54="",J54="",K54="",L54="",O54="",P54="",Q54="",R54="",S54="",T54="",U54="",V54=""),"EVIDENCE INCOMPLETE",IF(OR(ISNA(MATCH(F54,{"Critical","High","Medium","Low"},0)),ISNA(MATCH(E54,{"Priority 1 – Critical","Priority 2 – High","Priority 3 – Standard","Priority 4 – Routine","Priority 5 – Observe","Governance Investigation Required"},0))),"TIER / PRIORITY NOT RECOGNISED",IF(U54&lt;&gt;"Verified","UNVERIFIED / CONFLICT",IF(K54&lt;&gt;"UC-ID specific","NOT UC-SCOPED",IF(OR(NOT(ISNUMBER(Q54)),NOT(ISNUMBER(R54)),NOT(ISNUMBER(V54)),NOT(ISNUMBER($W$1))),"DATES NOT VERIFIED",IF(OR(Q54&gt;R54,V54&gt;Q54),"INVALID DATE RANGE",IF(Q54&gt;$W$1,"NOT YET EFFECTIVE",IF(R54&lt;$W$1,"EXPIRED / REVIEW DUE",IF(R54-Q54&gt;IF(F54="Critical",31,IF(F54="High",92,366)),"REVIEW INTERVAL EXCEEDS TIER CADENCE",IF(OR(H54="Pending",H54="Deferred",H54="Rejected",H54="Suspended",H54="Retired",H54="Unknown"),"NOT APPROVED / STATUS NOT CURRENT",IF(H54="Approved with conditions",IF(OR(M54="",N54="",O54="Open",O54="Unknown",O54="None"),"CONDITIONAL — CONDITIONS NOT VERIFIED","CONDITIONAL — NEVER COUNT AS UNCONDITIONAL APPROVAL"),IF(H54="Approved",IF(OR(O54&lt;&gt;"None",M54&lt;&gt;"",N54&lt;&gt;""),"CONDITION / OUTCOME CONFLICT","SOURCE-RECONCILED USE-SPECIFIC APPROVAL — CONFIRM SOURCE"),"NOT APPROVED / OUTCOME NOT RECOGNISED")))))))))))))))</f>
        <v/>
      </c>
    </row>
    <row r="55" ht="24" customHeight="1" s="14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3">
        <f>IF(COUNTA(A55:V55)=0,"",IF(A55="","UC-ID MISSING",IF(COUNTIF($A$4:$A$203,A55)&gt;1,"DUPLICATE UC-ID — CONFLICT",IF(OR(B55="",C55="",D55="",E55="",F55="",G55="",H55="",I55="",J55="",K55="",L55="",O55="",P55="",Q55="",R55="",S55="",T55="",U55="",V55=""),"EVIDENCE INCOMPLETE",IF(OR(ISNA(MATCH(F55,{"Critical","High","Medium","Low"},0)),ISNA(MATCH(E55,{"Priority 1 – Critical","Priority 2 – High","Priority 3 – Standard","Priority 4 – Routine","Priority 5 – Observe","Governance Investigation Required"},0))),"TIER / PRIORITY NOT RECOGNISED",IF(U55&lt;&gt;"Verified","UNVERIFIED / CONFLICT",IF(K55&lt;&gt;"UC-ID specific","NOT UC-SCOPED",IF(OR(NOT(ISNUMBER(Q55)),NOT(ISNUMBER(R55)),NOT(ISNUMBER(V55)),NOT(ISNUMBER($W$1))),"DATES NOT VERIFIED",IF(OR(Q55&gt;R55,V55&gt;Q55),"INVALID DATE RANGE",IF(Q55&gt;$W$1,"NOT YET EFFECTIVE",IF(R55&lt;$W$1,"EXPIRED / REVIEW DUE",IF(R55-Q55&gt;IF(F55="Critical",31,IF(F55="High",92,366)),"REVIEW INTERVAL EXCEEDS TIER CADENCE",IF(OR(H55="Pending",H55="Deferred",H55="Rejected",H55="Suspended",H55="Retired",H55="Unknown"),"NOT APPROVED / STATUS NOT CURRENT",IF(H55="Approved with conditions",IF(OR(M55="",N55="",O55="Open",O55="Unknown",O55="None"),"CONDITIONAL — CONDITIONS NOT VERIFIED","CONDITIONAL — NEVER COUNT AS UNCONDITIONAL APPROVAL"),IF(H55="Approved",IF(OR(O55&lt;&gt;"None",M55&lt;&gt;"",N55&lt;&gt;""),"CONDITION / OUTCOME CONFLICT","SOURCE-RECONCILED USE-SPECIFIC APPROVAL — CONFIRM SOURCE"),"NOT APPROVED / OUTCOME NOT RECOGNISED")))))))))))))))</f>
        <v/>
      </c>
    </row>
    <row r="56" ht="24" customHeight="1" s="14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3">
        <f>IF(COUNTA(A56:V56)=0,"",IF(A56="","UC-ID MISSING",IF(COUNTIF($A$4:$A$203,A56)&gt;1,"DUPLICATE UC-ID — CONFLICT",IF(OR(B56="",C56="",D56="",E56="",F56="",G56="",H56="",I56="",J56="",K56="",L56="",O56="",P56="",Q56="",R56="",S56="",T56="",U56="",V56=""),"EVIDENCE INCOMPLETE",IF(OR(ISNA(MATCH(F56,{"Critical","High","Medium","Low"},0)),ISNA(MATCH(E56,{"Priority 1 – Critical","Priority 2 – High","Priority 3 – Standard","Priority 4 – Routine","Priority 5 – Observe","Governance Investigation Required"},0))),"TIER / PRIORITY NOT RECOGNISED",IF(U56&lt;&gt;"Verified","UNVERIFIED / CONFLICT",IF(K56&lt;&gt;"UC-ID specific","NOT UC-SCOPED",IF(OR(NOT(ISNUMBER(Q56)),NOT(ISNUMBER(R56)),NOT(ISNUMBER(V56)),NOT(ISNUMBER($W$1))),"DATES NOT VERIFIED",IF(OR(Q56&gt;R56,V56&gt;Q56),"INVALID DATE RANGE",IF(Q56&gt;$W$1,"NOT YET EFFECTIVE",IF(R56&lt;$W$1,"EXPIRED / REVIEW DUE",IF(R56-Q56&gt;IF(F56="Critical",31,IF(F56="High",92,366)),"REVIEW INTERVAL EXCEEDS TIER CADENCE",IF(OR(H56="Pending",H56="Deferred",H56="Rejected",H56="Suspended",H56="Retired",H56="Unknown"),"NOT APPROVED / STATUS NOT CURRENT",IF(H56="Approved with conditions",IF(OR(M56="",N56="",O56="Open",O56="Unknown",O56="None"),"CONDITIONAL — CONDITIONS NOT VERIFIED","CONDITIONAL — NEVER COUNT AS UNCONDITIONAL APPROVAL"),IF(H56="Approved",IF(OR(O56&lt;&gt;"None",M56&lt;&gt;"",N56&lt;&gt;""),"CONDITION / OUTCOME CONFLICT","SOURCE-RECONCILED USE-SPECIFIC APPROVAL — CONFIRM SOURCE"),"NOT APPROVED / OUTCOME NOT RECOGNISED")))))))))))))))</f>
        <v/>
      </c>
    </row>
    <row r="57" ht="24" customHeight="1" s="14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3">
        <f>IF(COUNTA(A57:V57)=0,"",IF(A57="","UC-ID MISSING",IF(COUNTIF($A$4:$A$203,A57)&gt;1,"DUPLICATE UC-ID — CONFLICT",IF(OR(B57="",C57="",D57="",E57="",F57="",G57="",H57="",I57="",J57="",K57="",L57="",O57="",P57="",Q57="",R57="",S57="",T57="",U57="",V57=""),"EVIDENCE INCOMPLETE",IF(OR(ISNA(MATCH(F57,{"Critical","High","Medium","Low"},0)),ISNA(MATCH(E57,{"Priority 1 – Critical","Priority 2 – High","Priority 3 – Standard","Priority 4 – Routine","Priority 5 – Observe","Governance Investigation Required"},0))),"TIER / PRIORITY NOT RECOGNISED",IF(U57&lt;&gt;"Verified","UNVERIFIED / CONFLICT",IF(K57&lt;&gt;"UC-ID specific","NOT UC-SCOPED",IF(OR(NOT(ISNUMBER(Q57)),NOT(ISNUMBER(R57)),NOT(ISNUMBER(V57)),NOT(ISNUMBER($W$1))),"DATES NOT VERIFIED",IF(OR(Q57&gt;R57,V57&gt;Q57),"INVALID DATE RANGE",IF(Q57&gt;$W$1,"NOT YET EFFECTIVE",IF(R57&lt;$W$1,"EXPIRED / REVIEW DUE",IF(R57-Q57&gt;IF(F57="Critical",31,IF(F57="High",92,366)),"REVIEW INTERVAL EXCEEDS TIER CADENCE",IF(OR(H57="Pending",H57="Deferred",H57="Rejected",H57="Suspended",H57="Retired",H57="Unknown"),"NOT APPROVED / STATUS NOT CURRENT",IF(H57="Approved with conditions",IF(OR(M57="",N57="",O57="Open",O57="Unknown",O57="None"),"CONDITIONAL — CONDITIONS NOT VERIFIED","CONDITIONAL — NEVER COUNT AS UNCONDITIONAL APPROVAL"),IF(H57="Approved",IF(OR(O57&lt;&gt;"None",M57&lt;&gt;"",N57&lt;&gt;""),"CONDITION / OUTCOME CONFLICT","SOURCE-RECONCILED USE-SPECIFIC APPROVAL — CONFIRM SOURCE"),"NOT APPROVED / OUTCOME NOT RECOGNISED")))))))))))))))</f>
        <v/>
      </c>
    </row>
    <row r="58" ht="24" customHeight="1" s="14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3">
        <f>IF(COUNTA(A58:V58)=0,"",IF(A58="","UC-ID MISSING",IF(COUNTIF($A$4:$A$203,A58)&gt;1,"DUPLICATE UC-ID — CONFLICT",IF(OR(B58="",C58="",D58="",E58="",F58="",G58="",H58="",I58="",J58="",K58="",L58="",O58="",P58="",Q58="",R58="",S58="",T58="",U58="",V58=""),"EVIDENCE INCOMPLETE",IF(OR(ISNA(MATCH(F58,{"Critical","High","Medium","Low"},0)),ISNA(MATCH(E58,{"Priority 1 – Critical","Priority 2 – High","Priority 3 – Standard","Priority 4 – Routine","Priority 5 – Observe","Governance Investigation Required"},0))),"TIER / PRIORITY NOT RECOGNISED",IF(U58&lt;&gt;"Verified","UNVERIFIED / CONFLICT",IF(K58&lt;&gt;"UC-ID specific","NOT UC-SCOPED",IF(OR(NOT(ISNUMBER(Q58)),NOT(ISNUMBER(R58)),NOT(ISNUMBER(V58)),NOT(ISNUMBER($W$1))),"DATES NOT VERIFIED",IF(OR(Q58&gt;R58,V58&gt;Q58),"INVALID DATE RANGE",IF(Q58&gt;$W$1,"NOT YET EFFECTIVE",IF(R58&lt;$W$1,"EXPIRED / REVIEW DUE",IF(R58-Q58&gt;IF(F58="Critical",31,IF(F58="High",92,366)),"REVIEW INTERVAL EXCEEDS TIER CADENCE",IF(OR(H58="Pending",H58="Deferred",H58="Rejected",H58="Suspended",H58="Retired",H58="Unknown"),"NOT APPROVED / STATUS NOT CURRENT",IF(H58="Approved with conditions",IF(OR(M58="",N58="",O58="Open",O58="Unknown",O58="None"),"CONDITIONAL — CONDITIONS NOT VERIFIED","CONDITIONAL — NEVER COUNT AS UNCONDITIONAL APPROVAL"),IF(H58="Approved",IF(OR(O58&lt;&gt;"None",M58&lt;&gt;"",N58&lt;&gt;""),"CONDITION / OUTCOME CONFLICT","SOURCE-RECONCILED USE-SPECIFIC APPROVAL — CONFIRM SOURCE"),"NOT APPROVED / OUTCOME NOT RECOGNISED")))))))))))))))</f>
        <v/>
      </c>
    </row>
    <row r="59" ht="24" customHeight="1" s="14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3">
        <f>IF(COUNTA(A59:V59)=0,"",IF(A59="","UC-ID MISSING",IF(COUNTIF($A$4:$A$203,A59)&gt;1,"DUPLICATE UC-ID — CONFLICT",IF(OR(B59="",C59="",D59="",E59="",F59="",G59="",H59="",I59="",J59="",K59="",L59="",O59="",P59="",Q59="",R59="",S59="",T59="",U59="",V59=""),"EVIDENCE INCOMPLETE",IF(OR(ISNA(MATCH(F59,{"Critical","High","Medium","Low"},0)),ISNA(MATCH(E59,{"Priority 1 – Critical","Priority 2 – High","Priority 3 – Standard","Priority 4 – Routine","Priority 5 – Observe","Governance Investigation Required"},0))),"TIER / PRIORITY NOT RECOGNISED",IF(U59&lt;&gt;"Verified","UNVERIFIED / CONFLICT",IF(K59&lt;&gt;"UC-ID specific","NOT UC-SCOPED",IF(OR(NOT(ISNUMBER(Q59)),NOT(ISNUMBER(R59)),NOT(ISNUMBER(V59)),NOT(ISNUMBER($W$1))),"DATES NOT VERIFIED",IF(OR(Q59&gt;R59,V59&gt;Q59),"INVALID DATE RANGE",IF(Q59&gt;$W$1,"NOT YET EFFECTIVE",IF(R59&lt;$W$1,"EXPIRED / REVIEW DUE",IF(R59-Q59&gt;IF(F59="Critical",31,IF(F59="High",92,366)),"REVIEW INTERVAL EXCEEDS TIER CADENCE",IF(OR(H59="Pending",H59="Deferred",H59="Rejected",H59="Suspended",H59="Retired",H59="Unknown"),"NOT APPROVED / STATUS NOT CURRENT",IF(H59="Approved with conditions",IF(OR(M59="",N59="",O59="Open",O59="Unknown",O59="None"),"CONDITIONAL — CONDITIONS NOT VERIFIED","CONDITIONAL — NEVER COUNT AS UNCONDITIONAL APPROVAL"),IF(H59="Approved",IF(OR(O59&lt;&gt;"None",M59&lt;&gt;"",N59&lt;&gt;""),"CONDITION / OUTCOME CONFLICT","SOURCE-RECONCILED USE-SPECIFIC APPROVAL — CONFIRM SOURCE"),"NOT APPROVED / OUTCOME NOT RECOGNISED")))))))))))))))</f>
        <v/>
      </c>
    </row>
    <row r="60" ht="24" customHeight="1" s="14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3">
        <f>IF(COUNTA(A60:V60)=0,"",IF(A60="","UC-ID MISSING",IF(COUNTIF($A$4:$A$203,A60)&gt;1,"DUPLICATE UC-ID — CONFLICT",IF(OR(B60="",C60="",D60="",E60="",F60="",G60="",H60="",I60="",J60="",K60="",L60="",O60="",P60="",Q60="",R60="",S60="",T60="",U60="",V60=""),"EVIDENCE INCOMPLETE",IF(OR(ISNA(MATCH(F60,{"Critical","High","Medium","Low"},0)),ISNA(MATCH(E60,{"Priority 1 – Critical","Priority 2 – High","Priority 3 – Standard","Priority 4 – Routine","Priority 5 – Observe","Governance Investigation Required"},0))),"TIER / PRIORITY NOT RECOGNISED",IF(U60&lt;&gt;"Verified","UNVERIFIED / CONFLICT",IF(K60&lt;&gt;"UC-ID specific","NOT UC-SCOPED",IF(OR(NOT(ISNUMBER(Q60)),NOT(ISNUMBER(R60)),NOT(ISNUMBER(V60)),NOT(ISNUMBER($W$1))),"DATES NOT VERIFIED",IF(OR(Q60&gt;R60,V60&gt;Q60),"INVALID DATE RANGE",IF(Q60&gt;$W$1,"NOT YET EFFECTIVE",IF(R60&lt;$W$1,"EXPIRED / REVIEW DUE",IF(R60-Q60&gt;IF(F60="Critical",31,IF(F60="High",92,366)),"REVIEW INTERVAL EXCEEDS TIER CADENCE",IF(OR(H60="Pending",H60="Deferred",H60="Rejected",H60="Suspended",H60="Retired",H60="Unknown"),"NOT APPROVED / STATUS NOT CURRENT",IF(H60="Approved with conditions",IF(OR(M60="",N60="",O60="Open",O60="Unknown",O60="None"),"CONDITIONAL — CONDITIONS NOT VERIFIED","CONDITIONAL — NEVER COUNT AS UNCONDITIONAL APPROVAL"),IF(H60="Approved",IF(OR(O60&lt;&gt;"None",M60&lt;&gt;"",N60&lt;&gt;""),"CONDITION / OUTCOME CONFLICT","SOURCE-RECONCILED USE-SPECIFIC APPROVAL — CONFIRM SOURCE"),"NOT APPROVED / OUTCOME NOT RECOGNISED")))))))))))))))</f>
        <v/>
      </c>
    </row>
    <row r="61" ht="24" customHeight="1" s="14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3">
        <f>IF(COUNTA(A61:V61)=0,"",IF(A61="","UC-ID MISSING",IF(COUNTIF($A$4:$A$203,A61)&gt;1,"DUPLICATE UC-ID — CONFLICT",IF(OR(B61="",C61="",D61="",E61="",F61="",G61="",H61="",I61="",J61="",K61="",L61="",O61="",P61="",Q61="",R61="",S61="",T61="",U61="",V61=""),"EVIDENCE INCOMPLETE",IF(OR(ISNA(MATCH(F61,{"Critical","High","Medium","Low"},0)),ISNA(MATCH(E61,{"Priority 1 – Critical","Priority 2 – High","Priority 3 – Standard","Priority 4 – Routine","Priority 5 – Observe","Governance Investigation Required"},0))),"TIER / PRIORITY NOT RECOGNISED",IF(U61&lt;&gt;"Verified","UNVERIFIED / CONFLICT",IF(K61&lt;&gt;"UC-ID specific","NOT UC-SCOPED",IF(OR(NOT(ISNUMBER(Q61)),NOT(ISNUMBER(R61)),NOT(ISNUMBER(V61)),NOT(ISNUMBER($W$1))),"DATES NOT VERIFIED",IF(OR(Q61&gt;R61,V61&gt;Q61),"INVALID DATE RANGE",IF(Q61&gt;$W$1,"NOT YET EFFECTIVE",IF(R61&lt;$W$1,"EXPIRED / REVIEW DUE",IF(R61-Q61&gt;IF(F61="Critical",31,IF(F61="High",92,366)),"REVIEW INTERVAL EXCEEDS TIER CADENCE",IF(OR(H61="Pending",H61="Deferred",H61="Rejected",H61="Suspended",H61="Retired",H61="Unknown"),"NOT APPROVED / STATUS NOT CURRENT",IF(H61="Approved with conditions",IF(OR(M61="",N61="",O61="Open",O61="Unknown",O61="None"),"CONDITIONAL — CONDITIONS NOT VERIFIED","CONDITIONAL — NEVER COUNT AS UNCONDITIONAL APPROVAL"),IF(H61="Approved",IF(OR(O61&lt;&gt;"None",M61&lt;&gt;"",N61&lt;&gt;""),"CONDITION / OUTCOME CONFLICT","SOURCE-RECONCILED USE-SPECIFIC APPROVAL — CONFIRM SOURCE"),"NOT APPROVED / OUTCOME NOT RECOGNISED")))))))))))))))</f>
        <v/>
      </c>
    </row>
    <row r="62" ht="24" customHeight="1" s="14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3">
        <f>IF(COUNTA(A62:V62)=0,"",IF(A62="","UC-ID MISSING",IF(COUNTIF($A$4:$A$203,A62)&gt;1,"DUPLICATE UC-ID — CONFLICT",IF(OR(B62="",C62="",D62="",E62="",F62="",G62="",H62="",I62="",J62="",K62="",L62="",O62="",P62="",Q62="",R62="",S62="",T62="",U62="",V62=""),"EVIDENCE INCOMPLETE",IF(OR(ISNA(MATCH(F62,{"Critical","High","Medium","Low"},0)),ISNA(MATCH(E62,{"Priority 1 – Critical","Priority 2 – High","Priority 3 – Standard","Priority 4 – Routine","Priority 5 – Observe","Governance Investigation Required"},0))),"TIER / PRIORITY NOT RECOGNISED",IF(U62&lt;&gt;"Verified","UNVERIFIED / CONFLICT",IF(K62&lt;&gt;"UC-ID specific","NOT UC-SCOPED",IF(OR(NOT(ISNUMBER(Q62)),NOT(ISNUMBER(R62)),NOT(ISNUMBER(V62)),NOT(ISNUMBER($W$1))),"DATES NOT VERIFIED",IF(OR(Q62&gt;R62,V62&gt;Q62),"INVALID DATE RANGE",IF(Q62&gt;$W$1,"NOT YET EFFECTIVE",IF(R62&lt;$W$1,"EXPIRED / REVIEW DUE",IF(R62-Q62&gt;IF(F62="Critical",31,IF(F62="High",92,366)),"REVIEW INTERVAL EXCEEDS TIER CADENCE",IF(OR(H62="Pending",H62="Deferred",H62="Rejected",H62="Suspended",H62="Retired",H62="Unknown"),"NOT APPROVED / STATUS NOT CURRENT",IF(H62="Approved with conditions",IF(OR(M62="",N62="",O62="Open",O62="Unknown",O62="None"),"CONDITIONAL — CONDITIONS NOT VERIFIED","CONDITIONAL — NEVER COUNT AS UNCONDITIONAL APPROVAL"),IF(H62="Approved",IF(OR(O62&lt;&gt;"None",M62&lt;&gt;"",N62&lt;&gt;""),"CONDITION / OUTCOME CONFLICT","SOURCE-RECONCILED USE-SPECIFIC APPROVAL — CONFIRM SOURCE"),"NOT APPROVED / OUTCOME NOT RECOGNISED")))))))))))))))</f>
        <v/>
      </c>
    </row>
    <row r="63" ht="24" customHeight="1" s="14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3">
        <f>IF(COUNTA(A63:V63)=0,"",IF(A63="","UC-ID MISSING",IF(COUNTIF($A$4:$A$203,A63)&gt;1,"DUPLICATE UC-ID — CONFLICT",IF(OR(B63="",C63="",D63="",E63="",F63="",G63="",H63="",I63="",J63="",K63="",L63="",O63="",P63="",Q63="",R63="",S63="",T63="",U63="",V63=""),"EVIDENCE INCOMPLETE",IF(OR(ISNA(MATCH(F63,{"Critical","High","Medium","Low"},0)),ISNA(MATCH(E63,{"Priority 1 – Critical","Priority 2 – High","Priority 3 – Standard","Priority 4 – Routine","Priority 5 – Observe","Governance Investigation Required"},0))),"TIER / PRIORITY NOT RECOGNISED",IF(U63&lt;&gt;"Verified","UNVERIFIED / CONFLICT",IF(K63&lt;&gt;"UC-ID specific","NOT UC-SCOPED",IF(OR(NOT(ISNUMBER(Q63)),NOT(ISNUMBER(R63)),NOT(ISNUMBER(V63)),NOT(ISNUMBER($W$1))),"DATES NOT VERIFIED",IF(OR(Q63&gt;R63,V63&gt;Q63),"INVALID DATE RANGE",IF(Q63&gt;$W$1,"NOT YET EFFECTIVE",IF(R63&lt;$W$1,"EXPIRED / REVIEW DUE",IF(R63-Q63&gt;IF(F63="Critical",31,IF(F63="High",92,366)),"REVIEW INTERVAL EXCEEDS TIER CADENCE",IF(OR(H63="Pending",H63="Deferred",H63="Rejected",H63="Suspended",H63="Retired",H63="Unknown"),"NOT APPROVED / STATUS NOT CURRENT",IF(H63="Approved with conditions",IF(OR(M63="",N63="",O63="Open",O63="Unknown",O63="None"),"CONDITIONAL — CONDITIONS NOT VERIFIED","CONDITIONAL — NEVER COUNT AS UNCONDITIONAL APPROVAL"),IF(H63="Approved",IF(OR(O63&lt;&gt;"None",M63&lt;&gt;"",N63&lt;&gt;""),"CONDITION / OUTCOME CONFLICT","SOURCE-RECONCILED USE-SPECIFIC APPROVAL — CONFIRM SOURCE"),"NOT APPROVED / OUTCOME NOT RECOGNISED")))))))))))))))</f>
        <v/>
      </c>
    </row>
    <row r="64" ht="24" customHeight="1" s="1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3">
        <f>IF(COUNTA(A64:V64)=0,"",IF(A64="","UC-ID MISSING",IF(COUNTIF($A$4:$A$203,A64)&gt;1,"DUPLICATE UC-ID — CONFLICT",IF(OR(B64="",C64="",D64="",E64="",F64="",G64="",H64="",I64="",J64="",K64="",L64="",O64="",P64="",Q64="",R64="",S64="",T64="",U64="",V64=""),"EVIDENCE INCOMPLETE",IF(OR(ISNA(MATCH(F64,{"Critical","High","Medium","Low"},0)),ISNA(MATCH(E64,{"Priority 1 – Critical","Priority 2 – High","Priority 3 – Standard","Priority 4 – Routine","Priority 5 – Observe","Governance Investigation Required"},0))),"TIER / PRIORITY NOT RECOGNISED",IF(U64&lt;&gt;"Verified","UNVERIFIED / CONFLICT",IF(K64&lt;&gt;"UC-ID specific","NOT UC-SCOPED",IF(OR(NOT(ISNUMBER(Q64)),NOT(ISNUMBER(R64)),NOT(ISNUMBER(V64)),NOT(ISNUMBER($W$1))),"DATES NOT VERIFIED",IF(OR(Q64&gt;R64,V64&gt;Q64),"INVALID DATE RANGE",IF(Q64&gt;$W$1,"NOT YET EFFECTIVE",IF(R64&lt;$W$1,"EXPIRED / REVIEW DUE",IF(R64-Q64&gt;IF(F64="Critical",31,IF(F64="High",92,366)),"REVIEW INTERVAL EXCEEDS TIER CADENCE",IF(OR(H64="Pending",H64="Deferred",H64="Rejected",H64="Suspended",H64="Retired",H64="Unknown"),"NOT APPROVED / STATUS NOT CURRENT",IF(H64="Approved with conditions",IF(OR(M64="",N64="",O64="Open",O64="Unknown",O64="None"),"CONDITIONAL — CONDITIONS NOT VERIFIED","CONDITIONAL — NEVER COUNT AS UNCONDITIONAL APPROVAL"),IF(H64="Approved",IF(OR(O64&lt;&gt;"None",M64&lt;&gt;"",N64&lt;&gt;""),"CONDITION / OUTCOME CONFLICT","SOURCE-RECONCILED USE-SPECIFIC APPROVAL — CONFIRM SOURCE"),"NOT APPROVED / OUTCOME NOT RECOGNISED")))))))))))))))</f>
        <v/>
      </c>
    </row>
    <row r="65" ht="24" customHeight="1" s="14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3">
        <f>IF(COUNTA(A65:V65)=0,"",IF(A65="","UC-ID MISSING",IF(COUNTIF($A$4:$A$203,A65)&gt;1,"DUPLICATE UC-ID — CONFLICT",IF(OR(B65="",C65="",D65="",E65="",F65="",G65="",H65="",I65="",J65="",K65="",L65="",O65="",P65="",Q65="",R65="",S65="",T65="",U65="",V65=""),"EVIDENCE INCOMPLETE",IF(OR(ISNA(MATCH(F65,{"Critical","High","Medium","Low"},0)),ISNA(MATCH(E65,{"Priority 1 – Critical","Priority 2 – High","Priority 3 – Standard","Priority 4 – Routine","Priority 5 – Observe","Governance Investigation Required"},0))),"TIER / PRIORITY NOT RECOGNISED",IF(U65&lt;&gt;"Verified","UNVERIFIED / CONFLICT",IF(K65&lt;&gt;"UC-ID specific","NOT UC-SCOPED",IF(OR(NOT(ISNUMBER(Q65)),NOT(ISNUMBER(R65)),NOT(ISNUMBER(V65)),NOT(ISNUMBER($W$1))),"DATES NOT VERIFIED",IF(OR(Q65&gt;R65,V65&gt;Q65),"INVALID DATE RANGE",IF(Q65&gt;$W$1,"NOT YET EFFECTIVE",IF(R65&lt;$W$1,"EXPIRED / REVIEW DUE",IF(R65-Q65&gt;IF(F65="Critical",31,IF(F65="High",92,366)),"REVIEW INTERVAL EXCEEDS TIER CADENCE",IF(OR(H65="Pending",H65="Deferred",H65="Rejected",H65="Suspended",H65="Retired",H65="Unknown"),"NOT APPROVED / STATUS NOT CURRENT",IF(H65="Approved with conditions",IF(OR(M65="",N65="",O65="Open",O65="Unknown",O65="None"),"CONDITIONAL — CONDITIONS NOT VERIFIED","CONDITIONAL — NEVER COUNT AS UNCONDITIONAL APPROVAL"),IF(H65="Approved",IF(OR(O65&lt;&gt;"None",M65&lt;&gt;"",N65&lt;&gt;""),"CONDITION / OUTCOME CONFLICT","SOURCE-RECONCILED USE-SPECIFIC APPROVAL — CONFIRM SOURCE"),"NOT APPROVED / OUTCOME NOT RECOGNISED")))))))))))))))</f>
        <v/>
      </c>
    </row>
    <row r="66" ht="24" customHeight="1" s="14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3">
        <f>IF(COUNTA(A66:V66)=0,"",IF(A66="","UC-ID MISSING",IF(COUNTIF($A$4:$A$203,A66)&gt;1,"DUPLICATE UC-ID — CONFLICT",IF(OR(B66="",C66="",D66="",E66="",F66="",G66="",H66="",I66="",J66="",K66="",L66="",O66="",P66="",Q66="",R66="",S66="",T66="",U66="",V66=""),"EVIDENCE INCOMPLETE",IF(OR(ISNA(MATCH(F66,{"Critical","High","Medium","Low"},0)),ISNA(MATCH(E66,{"Priority 1 – Critical","Priority 2 – High","Priority 3 – Standard","Priority 4 – Routine","Priority 5 – Observe","Governance Investigation Required"},0))),"TIER / PRIORITY NOT RECOGNISED",IF(U66&lt;&gt;"Verified","UNVERIFIED / CONFLICT",IF(K66&lt;&gt;"UC-ID specific","NOT UC-SCOPED",IF(OR(NOT(ISNUMBER(Q66)),NOT(ISNUMBER(R66)),NOT(ISNUMBER(V66)),NOT(ISNUMBER($W$1))),"DATES NOT VERIFIED",IF(OR(Q66&gt;R66,V66&gt;Q66),"INVALID DATE RANGE",IF(Q66&gt;$W$1,"NOT YET EFFECTIVE",IF(R66&lt;$W$1,"EXPIRED / REVIEW DUE",IF(R66-Q66&gt;IF(F66="Critical",31,IF(F66="High",92,366)),"REVIEW INTERVAL EXCEEDS TIER CADENCE",IF(OR(H66="Pending",H66="Deferred",H66="Rejected",H66="Suspended",H66="Retired",H66="Unknown"),"NOT APPROVED / STATUS NOT CURRENT",IF(H66="Approved with conditions",IF(OR(M66="",N66="",O66="Open",O66="Unknown",O66="None"),"CONDITIONAL — CONDITIONS NOT VERIFIED","CONDITIONAL — NEVER COUNT AS UNCONDITIONAL APPROVAL"),IF(H66="Approved",IF(OR(O66&lt;&gt;"None",M66&lt;&gt;"",N66&lt;&gt;""),"CONDITION / OUTCOME CONFLICT","SOURCE-RECONCILED USE-SPECIFIC APPROVAL — CONFIRM SOURCE"),"NOT APPROVED / OUTCOME NOT RECOGNISED")))))))))))))))</f>
        <v/>
      </c>
    </row>
    <row r="67" ht="24" customHeight="1" s="14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3">
        <f>IF(COUNTA(A67:V67)=0,"",IF(A67="","UC-ID MISSING",IF(COUNTIF($A$4:$A$203,A67)&gt;1,"DUPLICATE UC-ID — CONFLICT",IF(OR(B67="",C67="",D67="",E67="",F67="",G67="",H67="",I67="",J67="",K67="",L67="",O67="",P67="",Q67="",R67="",S67="",T67="",U67="",V67=""),"EVIDENCE INCOMPLETE",IF(OR(ISNA(MATCH(F67,{"Critical","High","Medium","Low"},0)),ISNA(MATCH(E67,{"Priority 1 – Critical","Priority 2 – High","Priority 3 – Standard","Priority 4 – Routine","Priority 5 – Observe","Governance Investigation Required"},0))),"TIER / PRIORITY NOT RECOGNISED",IF(U67&lt;&gt;"Verified","UNVERIFIED / CONFLICT",IF(K67&lt;&gt;"UC-ID specific","NOT UC-SCOPED",IF(OR(NOT(ISNUMBER(Q67)),NOT(ISNUMBER(R67)),NOT(ISNUMBER(V67)),NOT(ISNUMBER($W$1))),"DATES NOT VERIFIED",IF(OR(Q67&gt;R67,V67&gt;Q67),"INVALID DATE RANGE",IF(Q67&gt;$W$1,"NOT YET EFFECTIVE",IF(R67&lt;$W$1,"EXPIRED / REVIEW DUE",IF(R67-Q67&gt;IF(F67="Critical",31,IF(F67="High",92,366)),"REVIEW INTERVAL EXCEEDS TIER CADENCE",IF(OR(H67="Pending",H67="Deferred",H67="Rejected",H67="Suspended",H67="Retired",H67="Unknown"),"NOT APPROVED / STATUS NOT CURRENT",IF(H67="Approved with conditions",IF(OR(M67="",N67="",O67="Open",O67="Unknown",O67="None"),"CONDITIONAL — CONDITIONS NOT VERIFIED","CONDITIONAL — NEVER COUNT AS UNCONDITIONAL APPROVAL"),IF(H67="Approved",IF(OR(O67&lt;&gt;"None",M67&lt;&gt;"",N67&lt;&gt;""),"CONDITION / OUTCOME CONFLICT","SOURCE-RECONCILED USE-SPECIFIC APPROVAL — CONFIRM SOURCE"),"NOT APPROVED / OUTCOME NOT RECOGNISED")))))))))))))))</f>
        <v/>
      </c>
    </row>
    <row r="68" ht="24" customHeight="1" s="14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3">
        <f>IF(COUNTA(A68:V68)=0,"",IF(A68="","UC-ID MISSING",IF(COUNTIF($A$4:$A$203,A68)&gt;1,"DUPLICATE UC-ID — CONFLICT",IF(OR(B68="",C68="",D68="",E68="",F68="",G68="",H68="",I68="",J68="",K68="",L68="",O68="",P68="",Q68="",R68="",S68="",T68="",U68="",V68=""),"EVIDENCE INCOMPLETE",IF(OR(ISNA(MATCH(F68,{"Critical","High","Medium","Low"},0)),ISNA(MATCH(E68,{"Priority 1 – Critical","Priority 2 – High","Priority 3 – Standard","Priority 4 – Routine","Priority 5 – Observe","Governance Investigation Required"},0))),"TIER / PRIORITY NOT RECOGNISED",IF(U68&lt;&gt;"Verified","UNVERIFIED / CONFLICT",IF(K68&lt;&gt;"UC-ID specific","NOT UC-SCOPED",IF(OR(NOT(ISNUMBER(Q68)),NOT(ISNUMBER(R68)),NOT(ISNUMBER(V68)),NOT(ISNUMBER($W$1))),"DATES NOT VERIFIED",IF(OR(Q68&gt;R68,V68&gt;Q68),"INVALID DATE RANGE",IF(Q68&gt;$W$1,"NOT YET EFFECTIVE",IF(R68&lt;$W$1,"EXPIRED / REVIEW DUE",IF(R68-Q68&gt;IF(F68="Critical",31,IF(F68="High",92,366)),"REVIEW INTERVAL EXCEEDS TIER CADENCE",IF(OR(H68="Pending",H68="Deferred",H68="Rejected",H68="Suspended",H68="Retired",H68="Unknown"),"NOT APPROVED / STATUS NOT CURRENT",IF(H68="Approved with conditions",IF(OR(M68="",N68="",O68="Open",O68="Unknown",O68="None"),"CONDITIONAL — CONDITIONS NOT VERIFIED","CONDITIONAL — NEVER COUNT AS UNCONDITIONAL APPROVAL"),IF(H68="Approved",IF(OR(O68&lt;&gt;"None",M68&lt;&gt;"",N68&lt;&gt;""),"CONDITION / OUTCOME CONFLICT","SOURCE-RECONCILED USE-SPECIFIC APPROVAL — CONFIRM SOURCE"),"NOT APPROVED / OUTCOME NOT RECOGNISED")))))))))))))))</f>
        <v/>
      </c>
    </row>
    <row r="69" ht="24" customHeight="1" s="14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3">
        <f>IF(COUNTA(A69:V69)=0,"",IF(A69="","UC-ID MISSING",IF(COUNTIF($A$4:$A$203,A69)&gt;1,"DUPLICATE UC-ID — CONFLICT",IF(OR(B69="",C69="",D69="",E69="",F69="",G69="",H69="",I69="",J69="",K69="",L69="",O69="",P69="",Q69="",R69="",S69="",T69="",U69="",V69=""),"EVIDENCE INCOMPLETE",IF(OR(ISNA(MATCH(F69,{"Critical","High","Medium","Low"},0)),ISNA(MATCH(E69,{"Priority 1 – Critical","Priority 2 – High","Priority 3 – Standard","Priority 4 – Routine","Priority 5 – Observe","Governance Investigation Required"},0))),"TIER / PRIORITY NOT RECOGNISED",IF(U69&lt;&gt;"Verified","UNVERIFIED / CONFLICT",IF(K69&lt;&gt;"UC-ID specific","NOT UC-SCOPED",IF(OR(NOT(ISNUMBER(Q69)),NOT(ISNUMBER(R69)),NOT(ISNUMBER(V69)),NOT(ISNUMBER($W$1))),"DATES NOT VERIFIED",IF(OR(Q69&gt;R69,V69&gt;Q69),"INVALID DATE RANGE",IF(Q69&gt;$W$1,"NOT YET EFFECTIVE",IF(R69&lt;$W$1,"EXPIRED / REVIEW DUE",IF(R69-Q69&gt;IF(F69="Critical",31,IF(F69="High",92,366)),"REVIEW INTERVAL EXCEEDS TIER CADENCE",IF(OR(H69="Pending",H69="Deferred",H69="Rejected",H69="Suspended",H69="Retired",H69="Unknown"),"NOT APPROVED / STATUS NOT CURRENT",IF(H69="Approved with conditions",IF(OR(M69="",N69="",O69="Open",O69="Unknown",O69="None"),"CONDITIONAL — CONDITIONS NOT VERIFIED","CONDITIONAL — NEVER COUNT AS UNCONDITIONAL APPROVAL"),IF(H69="Approved",IF(OR(O69&lt;&gt;"None",M69&lt;&gt;"",N69&lt;&gt;""),"CONDITION / OUTCOME CONFLICT","SOURCE-RECONCILED USE-SPECIFIC APPROVAL — CONFIRM SOURCE"),"NOT APPROVED / OUTCOME NOT RECOGNISED")))))))))))))))</f>
        <v/>
      </c>
    </row>
    <row r="70" ht="24" customHeight="1" s="14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3">
        <f>IF(COUNTA(A70:V70)=0,"",IF(A70="","UC-ID MISSING",IF(COUNTIF($A$4:$A$203,A70)&gt;1,"DUPLICATE UC-ID — CONFLICT",IF(OR(B70="",C70="",D70="",E70="",F70="",G70="",H70="",I70="",J70="",K70="",L70="",O70="",P70="",Q70="",R70="",S70="",T70="",U70="",V70=""),"EVIDENCE INCOMPLETE",IF(OR(ISNA(MATCH(F70,{"Critical","High","Medium","Low"},0)),ISNA(MATCH(E70,{"Priority 1 – Critical","Priority 2 – High","Priority 3 – Standard","Priority 4 – Routine","Priority 5 – Observe","Governance Investigation Required"},0))),"TIER / PRIORITY NOT RECOGNISED",IF(U70&lt;&gt;"Verified","UNVERIFIED / CONFLICT",IF(K70&lt;&gt;"UC-ID specific","NOT UC-SCOPED",IF(OR(NOT(ISNUMBER(Q70)),NOT(ISNUMBER(R70)),NOT(ISNUMBER(V70)),NOT(ISNUMBER($W$1))),"DATES NOT VERIFIED",IF(OR(Q70&gt;R70,V70&gt;Q70),"INVALID DATE RANGE",IF(Q70&gt;$W$1,"NOT YET EFFECTIVE",IF(R70&lt;$W$1,"EXPIRED / REVIEW DUE",IF(R70-Q70&gt;IF(F70="Critical",31,IF(F70="High",92,366)),"REVIEW INTERVAL EXCEEDS TIER CADENCE",IF(OR(H70="Pending",H70="Deferred",H70="Rejected",H70="Suspended",H70="Retired",H70="Unknown"),"NOT APPROVED / STATUS NOT CURRENT",IF(H70="Approved with conditions",IF(OR(M70="",N70="",O70="Open",O70="Unknown",O70="None"),"CONDITIONAL — CONDITIONS NOT VERIFIED","CONDITIONAL — NEVER COUNT AS UNCONDITIONAL APPROVAL"),IF(H70="Approved",IF(OR(O70&lt;&gt;"None",M70&lt;&gt;"",N70&lt;&gt;""),"CONDITION / OUTCOME CONFLICT","SOURCE-RECONCILED USE-SPECIFIC APPROVAL — CONFIRM SOURCE"),"NOT APPROVED / OUTCOME NOT RECOGNISED")))))))))))))))</f>
        <v/>
      </c>
    </row>
    <row r="71" ht="24" customHeight="1" s="14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3">
        <f>IF(COUNTA(A71:V71)=0,"",IF(A71="","UC-ID MISSING",IF(COUNTIF($A$4:$A$203,A71)&gt;1,"DUPLICATE UC-ID — CONFLICT",IF(OR(B71="",C71="",D71="",E71="",F71="",G71="",H71="",I71="",J71="",K71="",L71="",O71="",P71="",Q71="",R71="",S71="",T71="",U71="",V71=""),"EVIDENCE INCOMPLETE",IF(OR(ISNA(MATCH(F71,{"Critical","High","Medium","Low"},0)),ISNA(MATCH(E71,{"Priority 1 – Critical","Priority 2 – High","Priority 3 – Standard","Priority 4 – Routine","Priority 5 – Observe","Governance Investigation Required"},0))),"TIER / PRIORITY NOT RECOGNISED",IF(U71&lt;&gt;"Verified","UNVERIFIED / CONFLICT",IF(K71&lt;&gt;"UC-ID specific","NOT UC-SCOPED",IF(OR(NOT(ISNUMBER(Q71)),NOT(ISNUMBER(R71)),NOT(ISNUMBER(V71)),NOT(ISNUMBER($W$1))),"DATES NOT VERIFIED",IF(OR(Q71&gt;R71,V71&gt;Q71),"INVALID DATE RANGE",IF(Q71&gt;$W$1,"NOT YET EFFECTIVE",IF(R71&lt;$W$1,"EXPIRED / REVIEW DUE",IF(R71-Q71&gt;IF(F71="Critical",31,IF(F71="High",92,366)),"REVIEW INTERVAL EXCEEDS TIER CADENCE",IF(OR(H71="Pending",H71="Deferred",H71="Rejected",H71="Suspended",H71="Retired",H71="Unknown"),"NOT APPROVED / STATUS NOT CURRENT",IF(H71="Approved with conditions",IF(OR(M71="",N71="",O71="Open",O71="Unknown",O71="None"),"CONDITIONAL — CONDITIONS NOT VERIFIED","CONDITIONAL — NEVER COUNT AS UNCONDITIONAL APPROVAL"),IF(H71="Approved",IF(OR(O71&lt;&gt;"None",M71&lt;&gt;"",N71&lt;&gt;""),"CONDITION / OUTCOME CONFLICT","SOURCE-RECONCILED USE-SPECIFIC APPROVAL — CONFIRM SOURCE"),"NOT APPROVED / OUTCOME NOT RECOGNISED")))))))))))))))</f>
        <v/>
      </c>
    </row>
    <row r="72" ht="24" customHeight="1" s="14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3">
        <f>IF(COUNTA(A72:V72)=0,"",IF(A72="","UC-ID MISSING",IF(COUNTIF($A$4:$A$203,A72)&gt;1,"DUPLICATE UC-ID — CONFLICT",IF(OR(B72="",C72="",D72="",E72="",F72="",G72="",H72="",I72="",J72="",K72="",L72="",O72="",P72="",Q72="",R72="",S72="",T72="",U72="",V72=""),"EVIDENCE INCOMPLETE",IF(OR(ISNA(MATCH(F72,{"Critical","High","Medium","Low"},0)),ISNA(MATCH(E72,{"Priority 1 – Critical","Priority 2 – High","Priority 3 – Standard","Priority 4 – Routine","Priority 5 – Observe","Governance Investigation Required"},0))),"TIER / PRIORITY NOT RECOGNISED",IF(U72&lt;&gt;"Verified","UNVERIFIED / CONFLICT",IF(K72&lt;&gt;"UC-ID specific","NOT UC-SCOPED",IF(OR(NOT(ISNUMBER(Q72)),NOT(ISNUMBER(R72)),NOT(ISNUMBER(V72)),NOT(ISNUMBER($W$1))),"DATES NOT VERIFIED",IF(OR(Q72&gt;R72,V72&gt;Q72),"INVALID DATE RANGE",IF(Q72&gt;$W$1,"NOT YET EFFECTIVE",IF(R72&lt;$W$1,"EXPIRED / REVIEW DUE",IF(R72-Q72&gt;IF(F72="Critical",31,IF(F72="High",92,366)),"REVIEW INTERVAL EXCEEDS TIER CADENCE",IF(OR(H72="Pending",H72="Deferred",H72="Rejected",H72="Suspended",H72="Retired",H72="Unknown"),"NOT APPROVED / STATUS NOT CURRENT",IF(H72="Approved with conditions",IF(OR(M72="",N72="",O72="Open",O72="Unknown",O72="None"),"CONDITIONAL — CONDITIONS NOT VERIFIED","CONDITIONAL — NEVER COUNT AS UNCONDITIONAL APPROVAL"),IF(H72="Approved",IF(OR(O72&lt;&gt;"None",M72&lt;&gt;"",N72&lt;&gt;""),"CONDITION / OUTCOME CONFLICT","SOURCE-RECONCILED USE-SPECIFIC APPROVAL — CONFIRM SOURCE"),"NOT APPROVED / OUTCOME NOT RECOGNISED")))))))))))))))</f>
        <v/>
      </c>
    </row>
    <row r="73" ht="24" customHeight="1" s="14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3">
        <f>IF(COUNTA(A73:V73)=0,"",IF(A73="","UC-ID MISSING",IF(COUNTIF($A$4:$A$203,A73)&gt;1,"DUPLICATE UC-ID — CONFLICT",IF(OR(B73="",C73="",D73="",E73="",F73="",G73="",H73="",I73="",J73="",K73="",L73="",O73="",P73="",Q73="",R73="",S73="",T73="",U73="",V73=""),"EVIDENCE INCOMPLETE",IF(OR(ISNA(MATCH(F73,{"Critical","High","Medium","Low"},0)),ISNA(MATCH(E73,{"Priority 1 – Critical","Priority 2 – High","Priority 3 – Standard","Priority 4 – Routine","Priority 5 – Observe","Governance Investigation Required"},0))),"TIER / PRIORITY NOT RECOGNISED",IF(U73&lt;&gt;"Verified","UNVERIFIED / CONFLICT",IF(K73&lt;&gt;"UC-ID specific","NOT UC-SCOPED",IF(OR(NOT(ISNUMBER(Q73)),NOT(ISNUMBER(R73)),NOT(ISNUMBER(V73)),NOT(ISNUMBER($W$1))),"DATES NOT VERIFIED",IF(OR(Q73&gt;R73,V73&gt;Q73),"INVALID DATE RANGE",IF(Q73&gt;$W$1,"NOT YET EFFECTIVE",IF(R73&lt;$W$1,"EXPIRED / REVIEW DUE",IF(R73-Q73&gt;IF(F73="Critical",31,IF(F73="High",92,366)),"REVIEW INTERVAL EXCEEDS TIER CADENCE",IF(OR(H73="Pending",H73="Deferred",H73="Rejected",H73="Suspended",H73="Retired",H73="Unknown"),"NOT APPROVED / STATUS NOT CURRENT",IF(H73="Approved with conditions",IF(OR(M73="",N73="",O73="Open",O73="Unknown",O73="None"),"CONDITIONAL — CONDITIONS NOT VERIFIED","CONDITIONAL — NEVER COUNT AS UNCONDITIONAL APPROVAL"),IF(H73="Approved",IF(OR(O73&lt;&gt;"None",M73&lt;&gt;"",N73&lt;&gt;""),"CONDITION / OUTCOME CONFLICT","SOURCE-RECONCILED USE-SPECIFIC APPROVAL — CONFIRM SOURCE"),"NOT APPROVED / OUTCOME NOT RECOGNISED")))))))))))))))</f>
        <v/>
      </c>
    </row>
    <row r="74" ht="24" customHeight="1" s="1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3">
        <f>IF(COUNTA(A74:V74)=0,"",IF(A74="","UC-ID MISSING",IF(COUNTIF($A$4:$A$203,A74)&gt;1,"DUPLICATE UC-ID — CONFLICT",IF(OR(B74="",C74="",D74="",E74="",F74="",G74="",H74="",I74="",J74="",K74="",L74="",O74="",P74="",Q74="",R74="",S74="",T74="",U74="",V74=""),"EVIDENCE INCOMPLETE",IF(OR(ISNA(MATCH(F74,{"Critical","High","Medium","Low"},0)),ISNA(MATCH(E74,{"Priority 1 – Critical","Priority 2 – High","Priority 3 – Standard","Priority 4 – Routine","Priority 5 – Observe","Governance Investigation Required"},0))),"TIER / PRIORITY NOT RECOGNISED",IF(U74&lt;&gt;"Verified","UNVERIFIED / CONFLICT",IF(K74&lt;&gt;"UC-ID specific","NOT UC-SCOPED",IF(OR(NOT(ISNUMBER(Q74)),NOT(ISNUMBER(R74)),NOT(ISNUMBER(V74)),NOT(ISNUMBER($W$1))),"DATES NOT VERIFIED",IF(OR(Q74&gt;R74,V74&gt;Q74),"INVALID DATE RANGE",IF(Q74&gt;$W$1,"NOT YET EFFECTIVE",IF(R74&lt;$W$1,"EXPIRED / REVIEW DUE",IF(R74-Q74&gt;IF(F74="Critical",31,IF(F74="High",92,366)),"REVIEW INTERVAL EXCEEDS TIER CADENCE",IF(OR(H74="Pending",H74="Deferred",H74="Rejected",H74="Suspended",H74="Retired",H74="Unknown"),"NOT APPROVED / STATUS NOT CURRENT",IF(H74="Approved with conditions",IF(OR(M74="",N74="",O74="Open",O74="Unknown",O74="None"),"CONDITIONAL — CONDITIONS NOT VERIFIED","CONDITIONAL — NEVER COUNT AS UNCONDITIONAL APPROVAL"),IF(H74="Approved",IF(OR(O74&lt;&gt;"None",M74&lt;&gt;"",N74&lt;&gt;""),"CONDITION / OUTCOME CONFLICT","SOURCE-RECONCILED USE-SPECIFIC APPROVAL — CONFIRM SOURCE"),"NOT APPROVED / OUTCOME NOT RECOGNISED")))))))))))))))</f>
        <v/>
      </c>
    </row>
    <row r="75" ht="24" customHeight="1" s="14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3">
        <f>IF(COUNTA(A75:V75)=0,"",IF(A75="","UC-ID MISSING",IF(COUNTIF($A$4:$A$203,A75)&gt;1,"DUPLICATE UC-ID — CONFLICT",IF(OR(B75="",C75="",D75="",E75="",F75="",G75="",H75="",I75="",J75="",K75="",L75="",O75="",P75="",Q75="",R75="",S75="",T75="",U75="",V75=""),"EVIDENCE INCOMPLETE",IF(OR(ISNA(MATCH(F75,{"Critical","High","Medium","Low"},0)),ISNA(MATCH(E75,{"Priority 1 – Critical","Priority 2 – High","Priority 3 – Standard","Priority 4 – Routine","Priority 5 – Observe","Governance Investigation Required"},0))),"TIER / PRIORITY NOT RECOGNISED",IF(U75&lt;&gt;"Verified","UNVERIFIED / CONFLICT",IF(K75&lt;&gt;"UC-ID specific","NOT UC-SCOPED",IF(OR(NOT(ISNUMBER(Q75)),NOT(ISNUMBER(R75)),NOT(ISNUMBER(V75)),NOT(ISNUMBER($W$1))),"DATES NOT VERIFIED",IF(OR(Q75&gt;R75,V75&gt;Q75),"INVALID DATE RANGE",IF(Q75&gt;$W$1,"NOT YET EFFECTIVE",IF(R75&lt;$W$1,"EXPIRED / REVIEW DUE",IF(R75-Q75&gt;IF(F75="Critical",31,IF(F75="High",92,366)),"REVIEW INTERVAL EXCEEDS TIER CADENCE",IF(OR(H75="Pending",H75="Deferred",H75="Rejected",H75="Suspended",H75="Retired",H75="Unknown"),"NOT APPROVED / STATUS NOT CURRENT",IF(H75="Approved with conditions",IF(OR(M75="",N75="",O75="Open",O75="Unknown",O75="None"),"CONDITIONAL — CONDITIONS NOT VERIFIED","CONDITIONAL — NEVER COUNT AS UNCONDITIONAL APPROVAL"),IF(H75="Approved",IF(OR(O75&lt;&gt;"None",M75&lt;&gt;"",N75&lt;&gt;""),"CONDITION / OUTCOME CONFLICT","SOURCE-RECONCILED USE-SPECIFIC APPROVAL — CONFIRM SOURCE"),"NOT APPROVED / OUTCOME NOT RECOGNISED")))))))))))))))</f>
        <v/>
      </c>
    </row>
    <row r="76" ht="24" customHeight="1" s="14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3">
        <f>IF(COUNTA(A76:V76)=0,"",IF(A76="","UC-ID MISSING",IF(COUNTIF($A$4:$A$203,A76)&gt;1,"DUPLICATE UC-ID — CONFLICT",IF(OR(B76="",C76="",D76="",E76="",F76="",G76="",H76="",I76="",J76="",K76="",L76="",O76="",P76="",Q76="",R76="",S76="",T76="",U76="",V76=""),"EVIDENCE INCOMPLETE",IF(OR(ISNA(MATCH(F76,{"Critical","High","Medium","Low"},0)),ISNA(MATCH(E76,{"Priority 1 – Critical","Priority 2 – High","Priority 3 – Standard","Priority 4 – Routine","Priority 5 – Observe","Governance Investigation Required"},0))),"TIER / PRIORITY NOT RECOGNISED",IF(U76&lt;&gt;"Verified","UNVERIFIED / CONFLICT",IF(K76&lt;&gt;"UC-ID specific","NOT UC-SCOPED",IF(OR(NOT(ISNUMBER(Q76)),NOT(ISNUMBER(R76)),NOT(ISNUMBER(V76)),NOT(ISNUMBER($W$1))),"DATES NOT VERIFIED",IF(OR(Q76&gt;R76,V76&gt;Q76),"INVALID DATE RANGE",IF(Q76&gt;$W$1,"NOT YET EFFECTIVE",IF(R76&lt;$W$1,"EXPIRED / REVIEW DUE",IF(R76-Q76&gt;IF(F76="Critical",31,IF(F76="High",92,366)),"REVIEW INTERVAL EXCEEDS TIER CADENCE",IF(OR(H76="Pending",H76="Deferred",H76="Rejected",H76="Suspended",H76="Retired",H76="Unknown"),"NOT APPROVED / STATUS NOT CURRENT",IF(H76="Approved with conditions",IF(OR(M76="",N76="",O76="Open",O76="Unknown",O76="None"),"CONDITIONAL — CONDITIONS NOT VERIFIED","CONDITIONAL — NEVER COUNT AS UNCONDITIONAL APPROVAL"),IF(H76="Approved",IF(OR(O76&lt;&gt;"None",M76&lt;&gt;"",N76&lt;&gt;""),"CONDITION / OUTCOME CONFLICT","SOURCE-RECONCILED USE-SPECIFIC APPROVAL — CONFIRM SOURCE"),"NOT APPROVED / OUTCOME NOT RECOGNISED")))))))))))))))</f>
        <v/>
      </c>
    </row>
    <row r="77" ht="24" customHeight="1" s="14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3">
        <f>IF(COUNTA(A77:V77)=0,"",IF(A77="","UC-ID MISSING",IF(COUNTIF($A$4:$A$203,A77)&gt;1,"DUPLICATE UC-ID — CONFLICT",IF(OR(B77="",C77="",D77="",E77="",F77="",G77="",H77="",I77="",J77="",K77="",L77="",O77="",P77="",Q77="",R77="",S77="",T77="",U77="",V77=""),"EVIDENCE INCOMPLETE",IF(OR(ISNA(MATCH(F77,{"Critical","High","Medium","Low"},0)),ISNA(MATCH(E77,{"Priority 1 – Critical","Priority 2 – High","Priority 3 – Standard","Priority 4 – Routine","Priority 5 – Observe","Governance Investigation Required"},0))),"TIER / PRIORITY NOT RECOGNISED",IF(U77&lt;&gt;"Verified","UNVERIFIED / CONFLICT",IF(K77&lt;&gt;"UC-ID specific","NOT UC-SCOPED",IF(OR(NOT(ISNUMBER(Q77)),NOT(ISNUMBER(R77)),NOT(ISNUMBER(V77)),NOT(ISNUMBER($W$1))),"DATES NOT VERIFIED",IF(OR(Q77&gt;R77,V77&gt;Q77),"INVALID DATE RANGE",IF(Q77&gt;$W$1,"NOT YET EFFECTIVE",IF(R77&lt;$W$1,"EXPIRED / REVIEW DUE",IF(R77-Q77&gt;IF(F77="Critical",31,IF(F77="High",92,366)),"REVIEW INTERVAL EXCEEDS TIER CADENCE",IF(OR(H77="Pending",H77="Deferred",H77="Rejected",H77="Suspended",H77="Retired",H77="Unknown"),"NOT APPROVED / STATUS NOT CURRENT",IF(H77="Approved with conditions",IF(OR(M77="",N77="",O77="Open",O77="Unknown",O77="None"),"CONDITIONAL — CONDITIONS NOT VERIFIED","CONDITIONAL — NEVER COUNT AS UNCONDITIONAL APPROVAL"),IF(H77="Approved",IF(OR(O77&lt;&gt;"None",M77&lt;&gt;"",N77&lt;&gt;""),"CONDITION / OUTCOME CONFLICT","SOURCE-RECONCILED USE-SPECIFIC APPROVAL — CONFIRM SOURCE"),"NOT APPROVED / OUTCOME NOT RECOGNISED")))))))))))))))</f>
        <v/>
      </c>
    </row>
    <row r="78" ht="24" customHeight="1" s="14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3">
        <f>IF(COUNTA(A78:V78)=0,"",IF(A78="","UC-ID MISSING",IF(COUNTIF($A$4:$A$203,A78)&gt;1,"DUPLICATE UC-ID — CONFLICT",IF(OR(B78="",C78="",D78="",E78="",F78="",G78="",H78="",I78="",J78="",K78="",L78="",O78="",P78="",Q78="",R78="",S78="",T78="",U78="",V78=""),"EVIDENCE INCOMPLETE",IF(OR(ISNA(MATCH(F78,{"Critical","High","Medium","Low"},0)),ISNA(MATCH(E78,{"Priority 1 – Critical","Priority 2 – High","Priority 3 – Standard","Priority 4 – Routine","Priority 5 – Observe","Governance Investigation Required"},0))),"TIER / PRIORITY NOT RECOGNISED",IF(U78&lt;&gt;"Verified","UNVERIFIED / CONFLICT",IF(K78&lt;&gt;"UC-ID specific","NOT UC-SCOPED",IF(OR(NOT(ISNUMBER(Q78)),NOT(ISNUMBER(R78)),NOT(ISNUMBER(V78)),NOT(ISNUMBER($W$1))),"DATES NOT VERIFIED",IF(OR(Q78&gt;R78,V78&gt;Q78),"INVALID DATE RANGE",IF(Q78&gt;$W$1,"NOT YET EFFECTIVE",IF(R78&lt;$W$1,"EXPIRED / REVIEW DUE",IF(R78-Q78&gt;IF(F78="Critical",31,IF(F78="High",92,366)),"REVIEW INTERVAL EXCEEDS TIER CADENCE",IF(OR(H78="Pending",H78="Deferred",H78="Rejected",H78="Suspended",H78="Retired",H78="Unknown"),"NOT APPROVED / STATUS NOT CURRENT",IF(H78="Approved with conditions",IF(OR(M78="",N78="",O78="Open",O78="Unknown",O78="None"),"CONDITIONAL — CONDITIONS NOT VERIFIED","CONDITIONAL — NEVER COUNT AS UNCONDITIONAL APPROVAL"),IF(H78="Approved",IF(OR(O78&lt;&gt;"None",M78&lt;&gt;"",N78&lt;&gt;""),"CONDITION / OUTCOME CONFLICT","SOURCE-RECONCILED USE-SPECIFIC APPROVAL — CONFIRM SOURCE"),"NOT APPROVED / OUTCOME NOT RECOGNISED")))))))))))))))</f>
        <v/>
      </c>
    </row>
    <row r="79" ht="24" customHeight="1" s="14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3">
        <f>IF(COUNTA(A79:V79)=0,"",IF(A79="","UC-ID MISSING",IF(COUNTIF($A$4:$A$203,A79)&gt;1,"DUPLICATE UC-ID — CONFLICT",IF(OR(B79="",C79="",D79="",E79="",F79="",G79="",H79="",I79="",J79="",K79="",L79="",O79="",P79="",Q79="",R79="",S79="",T79="",U79="",V79=""),"EVIDENCE INCOMPLETE",IF(OR(ISNA(MATCH(F79,{"Critical","High","Medium","Low"},0)),ISNA(MATCH(E79,{"Priority 1 – Critical","Priority 2 – High","Priority 3 – Standard","Priority 4 – Routine","Priority 5 – Observe","Governance Investigation Required"},0))),"TIER / PRIORITY NOT RECOGNISED",IF(U79&lt;&gt;"Verified","UNVERIFIED / CONFLICT",IF(K79&lt;&gt;"UC-ID specific","NOT UC-SCOPED",IF(OR(NOT(ISNUMBER(Q79)),NOT(ISNUMBER(R79)),NOT(ISNUMBER(V79)),NOT(ISNUMBER($W$1))),"DATES NOT VERIFIED",IF(OR(Q79&gt;R79,V79&gt;Q79),"INVALID DATE RANGE",IF(Q79&gt;$W$1,"NOT YET EFFECTIVE",IF(R79&lt;$W$1,"EXPIRED / REVIEW DUE",IF(R79-Q79&gt;IF(F79="Critical",31,IF(F79="High",92,366)),"REVIEW INTERVAL EXCEEDS TIER CADENCE",IF(OR(H79="Pending",H79="Deferred",H79="Rejected",H79="Suspended",H79="Retired",H79="Unknown"),"NOT APPROVED / STATUS NOT CURRENT",IF(H79="Approved with conditions",IF(OR(M79="",N79="",O79="Open",O79="Unknown",O79="None"),"CONDITIONAL — CONDITIONS NOT VERIFIED","CONDITIONAL — NEVER COUNT AS UNCONDITIONAL APPROVAL"),IF(H79="Approved",IF(OR(O79&lt;&gt;"None",M79&lt;&gt;"",N79&lt;&gt;""),"CONDITION / OUTCOME CONFLICT","SOURCE-RECONCILED USE-SPECIFIC APPROVAL — CONFIRM SOURCE"),"NOT APPROVED / OUTCOME NOT RECOGNISED")))))))))))))))</f>
        <v/>
      </c>
    </row>
    <row r="80" ht="24" customHeight="1" s="14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3">
        <f>IF(COUNTA(A80:V80)=0,"",IF(A80="","UC-ID MISSING",IF(COUNTIF($A$4:$A$203,A80)&gt;1,"DUPLICATE UC-ID — CONFLICT",IF(OR(B80="",C80="",D80="",E80="",F80="",G80="",H80="",I80="",J80="",K80="",L80="",O80="",P80="",Q80="",R80="",S80="",T80="",U80="",V80=""),"EVIDENCE INCOMPLETE",IF(OR(ISNA(MATCH(F80,{"Critical","High","Medium","Low"},0)),ISNA(MATCH(E80,{"Priority 1 – Critical","Priority 2 – High","Priority 3 – Standard","Priority 4 – Routine","Priority 5 – Observe","Governance Investigation Required"},0))),"TIER / PRIORITY NOT RECOGNISED",IF(U80&lt;&gt;"Verified","UNVERIFIED / CONFLICT",IF(K80&lt;&gt;"UC-ID specific","NOT UC-SCOPED",IF(OR(NOT(ISNUMBER(Q80)),NOT(ISNUMBER(R80)),NOT(ISNUMBER(V80)),NOT(ISNUMBER($W$1))),"DATES NOT VERIFIED",IF(OR(Q80&gt;R80,V80&gt;Q80),"INVALID DATE RANGE",IF(Q80&gt;$W$1,"NOT YET EFFECTIVE",IF(R80&lt;$W$1,"EXPIRED / REVIEW DUE",IF(R80-Q80&gt;IF(F80="Critical",31,IF(F80="High",92,366)),"REVIEW INTERVAL EXCEEDS TIER CADENCE",IF(OR(H80="Pending",H80="Deferred",H80="Rejected",H80="Suspended",H80="Retired",H80="Unknown"),"NOT APPROVED / STATUS NOT CURRENT",IF(H80="Approved with conditions",IF(OR(M80="",N80="",O80="Open",O80="Unknown",O80="None"),"CONDITIONAL — CONDITIONS NOT VERIFIED","CONDITIONAL — NEVER COUNT AS UNCONDITIONAL APPROVAL"),IF(H80="Approved",IF(OR(O80&lt;&gt;"None",M80&lt;&gt;"",N80&lt;&gt;""),"CONDITION / OUTCOME CONFLICT","SOURCE-RECONCILED USE-SPECIFIC APPROVAL — CONFIRM SOURCE"),"NOT APPROVED / OUTCOME NOT RECOGNISED")))))))))))))))</f>
        <v/>
      </c>
    </row>
    <row r="81" ht="24" customHeight="1" s="14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3">
        <f>IF(COUNTA(A81:V81)=0,"",IF(A81="","UC-ID MISSING",IF(COUNTIF($A$4:$A$203,A81)&gt;1,"DUPLICATE UC-ID — CONFLICT",IF(OR(B81="",C81="",D81="",E81="",F81="",G81="",H81="",I81="",J81="",K81="",L81="",O81="",P81="",Q81="",R81="",S81="",T81="",U81="",V81=""),"EVIDENCE INCOMPLETE",IF(OR(ISNA(MATCH(F81,{"Critical","High","Medium","Low"},0)),ISNA(MATCH(E81,{"Priority 1 – Critical","Priority 2 – High","Priority 3 – Standard","Priority 4 – Routine","Priority 5 – Observe","Governance Investigation Required"},0))),"TIER / PRIORITY NOT RECOGNISED",IF(U81&lt;&gt;"Verified","UNVERIFIED / CONFLICT",IF(K81&lt;&gt;"UC-ID specific","NOT UC-SCOPED",IF(OR(NOT(ISNUMBER(Q81)),NOT(ISNUMBER(R81)),NOT(ISNUMBER(V81)),NOT(ISNUMBER($W$1))),"DATES NOT VERIFIED",IF(OR(Q81&gt;R81,V81&gt;Q81),"INVALID DATE RANGE",IF(Q81&gt;$W$1,"NOT YET EFFECTIVE",IF(R81&lt;$W$1,"EXPIRED / REVIEW DUE",IF(R81-Q81&gt;IF(F81="Critical",31,IF(F81="High",92,366)),"REVIEW INTERVAL EXCEEDS TIER CADENCE",IF(OR(H81="Pending",H81="Deferred",H81="Rejected",H81="Suspended",H81="Retired",H81="Unknown"),"NOT APPROVED / STATUS NOT CURRENT",IF(H81="Approved with conditions",IF(OR(M81="",N81="",O81="Open",O81="Unknown",O81="None"),"CONDITIONAL — CONDITIONS NOT VERIFIED","CONDITIONAL — NEVER COUNT AS UNCONDITIONAL APPROVAL"),IF(H81="Approved",IF(OR(O81&lt;&gt;"None",M81&lt;&gt;"",N81&lt;&gt;""),"CONDITION / OUTCOME CONFLICT","SOURCE-RECONCILED USE-SPECIFIC APPROVAL — CONFIRM SOURCE"),"NOT APPROVED / OUTCOME NOT RECOGNISED")))))))))))))))</f>
        <v/>
      </c>
    </row>
    <row r="82" ht="24" customHeight="1" s="14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3">
        <f>IF(COUNTA(A82:V82)=0,"",IF(A82="","UC-ID MISSING",IF(COUNTIF($A$4:$A$203,A82)&gt;1,"DUPLICATE UC-ID — CONFLICT",IF(OR(B82="",C82="",D82="",E82="",F82="",G82="",H82="",I82="",J82="",K82="",L82="",O82="",P82="",Q82="",R82="",S82="",T82="",U82="",V82=""),"EVIDENCE INCOMPLETE",IF(OR(ISNA(MATCH(F82,{"Critical","High","Medium","Low"},0)),ISNA(MATCH(E82,{"Priority 1 – Critical","Priority 2 – High","Priority 3 – Standard","Priority 4 – Routine","Priority 5 – Observe","Governance Investigation Required"},0))),"TIER / PRIORITY NOT RECOGNISED",IF(U82&lt;&gt;"Verified","UNVERIFIED / CONFLICT",IF(K82&lt;&gt;"UC-ID specific","NOT UC-SCOPED",IF(OR(NOT(ISNUMBER(Q82)),NOT(ISNUMBER(R82)),NOT(ISNUMBER(V82)),NOT(ISNUMBER($W$1))),"DATES NOT VERIFIED",IF(OR(Q82&gt;R82,V82&gt;Q82),"INVALID DATE RANGE",IF(Q82&gt;$W$1,"NOT YET EFFECTIVE",IF(R82&lt;$W$1,"EXPIRED / REVIEW DUE",IF(R82-Q82&gt;IF(F82="Critical",31,IF(F82="High",92,366)),"REVIEW INTERVAL EXCEEDS TIER CADENCE",IF(OR(H82="Pending",H82="Deferred",H82="Rejected",H82="Suspended",H82="Retired",H82="Unknown"),"NOT APPROVED / STATUS NOT CURRENT",IF(H82="Approved with conditions",IF(OR(M82="",N82="",O82="Open",O82="Unknown",O82="None"),"CONDITIONAL — CONDITIONS NOT VERIFIED","CONDITIONAL — NEVER COUNT AS UNCONDITIONAL APPROVAL"),IF(H82="Approved",IF(OR(O82&lt;&gt;"None",M82&lt;&gt;"",N82&lt;&gt;""),"CONDITION / OUTCOME CONFLICT","SOURCE-RECONCILED USE-SPECIFIC APPROVAL — CONFIRM SOURCE"),"NOT APPROVED / OUTCOME NOT RECOGNISED")))))))))))))))</f>
        <v/>
      </c>
    </row>
    <row r="83" ht="24" customHeight="1" s="14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3">
        <f>IF(COUNTA(A83:V83)=0,"",IF(A83="","UC-ID MISSING",IF(COUNTIF($A$4:$A$203,A83)&gt;1,"DUPLICATE UC-ID — CONFLICT",IF(OR(B83="",C83="",D83="",E83="",F83="",G83="",H83="",I83="",J83="",K83="",L83="",O83="",P83="",Q83="",R83="",S83="",T83="",U83="",V83=""),"EVIDENCE INCOMPLETE",IF(OR(ISNA(MATCH(F83,{"Critical","High","Medium","Low"},0)),ISNA(MATCH(E83,{"Priority 1 – Critical","Priority 2 – High","Priority 3 – Standard","Priority 4 – Routine","Priority 5 – Observe","Governance Investigation Required"},0))),"TIER / PRIORITY NOT RECOGNISED",IF(U83&lt;&gt;"Verified","UNVERIFIED / CONFLICT",IF(K83&lt;&gt;"UC-ID specific","NOT UC-SCOPED",IF(OR(NOT(ISNUMBER(Q83)),NOT(ISNUMBER(R83)),NOT(ISNUMBER(V83)),NOT(ISNUMBER($W$1))),"DATES NOT VERIFIED",IF(OR(Q83&gt;R83,V83&gt;Q83),"INVALID DATE RANGE",IF(Q83&gt;$W$1,"NOT YET EFFECTIVE",IF(R83&lt;$W$1,"EXPIRED / REVIEW DUE",IF(R83-Q83&gt;IF(F83="Critical",31,IF(F83="High",92,366)),"REVIEW INTERVAL EXCEEDS TIER CADENCE",IF(OR(H83="Pending",H83="Deferred",H83="Rejected",H83="Suspended",H83="Retired",H83="Unknown"),"NOT APPROVED / STATUS NOT CURRENT",IF(H83="Approved with conditions",IF(OR(M83="",N83="",O83="Open",O83="Unknown",O83="None"),"CONDITIONAL — CONDITIONS NOT VERIFIED","CONDITIONAL — NEVER COUNT AS UNCONDITIONAL APPROVAL"),IF(H83="Approved",IF(OR(O83&lt;&gt;"None",M83&lt;&gt;"",N83&lt;&gt;""),"CONDITION / OUTCOME CONFLICT","SOURCE-RECONCILED USE-SPECIFIC APPROVAL — CONFIRM SOURCE"),"NOT APPROVED / OUTCOME NOT RECOGNISED")))))))))))))))</f>
        <v/>
      </c>
    </row>
    <row r="84" ht="24" customHeight="1" s="1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3">
        <f>IF(COUNTA(A84:V84)=0,"",IF(A84="","UC-ID MISSING",IF(COUNTIF($A$4:$A$203,A84)&gt;1,"DUPLICATE UC-ID — CONFLICT",IF(OR(B84="",C84="",D84="",E84="",F84="",G84="",H84="",I84="",J84="",K84="",L84="",O84="",P84="",Q84="",R84="",S84="",T84="",U84="",V84=""),"EVIDENCE INCOMPLETE",IF(OR(ISNA(MATCH(F84,{"Critical","High","Medium","Low"},0)),ISNA(MATCH(E84,{"Priority 1 – Critical","Priority 2 – High","Priority 3 – Standard","Priority 4 – Routine","Priority 5 – Observe","Governance Investigation Required"},0))),"TIER / PRIORITY NOT RECOGNISED",IF(U84&lt;&gt;"Verified","UNVERIFIED / CONFLICT",IF(K84&lt;&gt;"UC-ID specific","NOT UC-SCOPED",IF(OR(NOT(ISNUMBER(Q84)),NOT(ISNUMBER(R84)),NOT(ISNUMBER(V84)),NOT(ISNUMBER($W$1))),"DATES NOT VERIFIED",IF(OR(Q84&gt;R84,V84&gt;Q84),"INVALID DATE RANGE",IF(Q84&gt;$W$1,"NOT YET EFFECTIVE",IF(R84&lt;$W$1,"EXPIRED / REVIEW DUE",IF(R84-Q84&gt;IF(F84="Critical",31,IF(F84="High",92,366)),"REVIEW INTERVAL EXCEEDS TIER CADENCE",IF(OR(H84="Pending",H84="Deferred",H84="Rejected",H84="Suspended",H84="Retired",H84="Unknown"),"NOT APPROVED / STATUS NOT CURRENT",IF(H84="Approved with conditions",IF(OR(M84="",N84="",O84="Open",O84="Unknown",O84="None"),"CONDITIONAL — CONDITIONS NOT VERIFIED","CONDITIONAL — NEVER COUNT AS UNCONDITIONAL APPROVAL"),IF(H84="Approved",IF(OR(O84&lt;&gt;"None",M84&lt;&gt;"",N84&lt;&gt;""),"CONDITION / OUTCOME CONFLICT","SOURCE-RECONCILED USE-SPECIFIC APPROVAL — CONFIRM SOURCE"),"NOT APPROVED / OUTCOME NOT RECOGNISED")))))))))))))))</f>
        <v/>
      </c>
    </row>
    <row r="85" ht="24" customHeight="1" s="14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3">
        <f>IF(COUNTA(A85:V85)=0,"",IF(A85="","UC-ID MISSING",IF(COUNTIF($A$4:$A$203,A85)&gt;1,"DUPLICATE UC-ID — CONFLICT",IF(OR(B85="",C85="",D85="",E85="",F85="",G85="",H85="",I85="",J85="",K85="",L85="",O85="",P85="",Q85="",R85="",S85="",T85="",U85="",V85=""),"EVIDENCE INCOMPLETE",IF(OR(ISNA(MATCH(F85,{"Critical","High","Medium","Low"},0)),ISNA(MATCH(E85,{"Priority 1 – Critical","Priority 2 – High","Priority 3 – Standard","Priority 4 – Routine","Priority 5 – Observe","Governance Investigation Required"},0))),"TIER / PRIORITY NOT RECOGNISED",IF(U85&lt;&gt;"Verified","UNVERIFIED / CONFLICT",IF(K85&lt;&gt;"UC-ID specific","NOT UC-SCOPED",IF(OR(NOT(ISNUMBER(Q85)),NOT(ISNUMBER(R85)),NOT(ISNUMBER(V85)),NOT(ISNUMBER($W$1))),"DATES NOT VERIFIED",IF(OR(Q85&gt;R85,V85&gt;Q85),"INVALID DATE RANGE",IF(Q85&gt;$W$1,"NOT YET EFFECTIVE",IF(R85&lt;$W$1,"EXPIRED / REVIEW DUE",IF(R85-Q85&gt;IF(F85="Critical",31,IF(F85="High",92,366)),"REVIEW INTERVAL EXCEEDS TIER CADENCE",IF(OR(H85="Pending",H85="Deferred",H85="Rejected",H85="Suspended",H85="Retired",H85="Unknown"),"NOT APPROVED / STATUS NOT CURRENT",IF(H85="Approved with conditions",IF(OR(M85="",N85="",O85="Open",O85="Unknown",O85="None"),"CONDITIONAL — CONDITIONS NOT VERIFIED","CONDITIONAL — NEVER COUNT AS UNCONDITIONAL APPROVAL"),IF(H85="Approved",IF(OR(O85&lt;&gt;"None",M85&lt;&gt;"",N85&lt;&gt;""),"CONDITION / OUTCOME CONFLICT","SOURCE-RECONCILED USE-SPECIFIC APPROVAL — CONFIRM SOURCE"),"NOT APPROVED / OUTCOME NOT RECOGNISED")))))))))))))))</f>
        <v/>
      </c>
    </row>
    <row r="86" ht="24" customHeight="1" s="14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3">
        <f>IF(COUNTA(A86:V86)=0,"",IF(A86="","UC-ID MISSING",IF(COUNTIF($A$4:$A$203,A86)&gt;1,"DUPLICATE UC-ID — CONFLICT",IF(OR(B86="",C86="",D86="",E86="",F86="",G86="",H86="",I86="",J86="",K86="",L86="",O86="",P86="",Q86="",R86="",S86="",T86="",U86="",V86=""),"EVIDENCE INCOMPLETE",IF(OR(ISNA(MATCH(F86,{"Critical","High","Medium","Low"},0)),ISNA(MATCH(E86,{"Priority 1 – Critical","Priority 2 – High","Priority 3 – Standard","Priority 4 – Routine","Priority 5 – Observe","Governance Investigation Required"},0))),"TIER / PRIORITY NOT RECOGNISED",IF(U86&lt;&gt;"Verified","UNVERIFIED / CONFLICT",IF(K86&lt;&gt;"UC-ID specific","NOT UC-SCOPED",IF(OR(NOT(ISNUMBER(Q86)),NOT(ISNUMBER(R86)),NOT(ISNUMBER(V86)),NOT(ISNUMBER($W$1))),"DATES NOT VERIFIED",IF(OR(Q86&gt;R86,V86&gt;Q86),"INVALID DATE RANGE",IF(Q86&gt;$W$1,"NOT YET EFFECTIVE",IF(R86&lt;$W$1,"EXPIRED / REVIEW DUE",IF(R86-Q86&gt;IF(F86="Critical",31,IF(F86="High",92,366)),"REVIEW INTERVAL EXCEEDS TIER CADENCE",IF(OR(H86="Pending",H86="Deferred",H86="Rejected",H86="Suspended",H86="Retired",H86="Unknown"),"NOT APPROVED / STATUS NOT CURRENT",IF(H86="Approved with conditions",IF(OR(M86="",N86="",O86="Open",O86="Unknown",O86="None"),"CONDITIONAL — CONDITIONS NOT VERIFIED","CONDITIONAL — NEVER COUNT AS UNCONDITIONAL APPROVAL"),IF(H86="Approved",IF(OR(O86&lt;&gt;"None",M86&lt;&gt;"",N86&lt;&gt;""),"CONDITION / OUTCOME CONFLICT","SOURCE-RECONCILED USE-SPECIFIC APPROVAL — CONFIRM SOURCE"),"NOT APPROVED / OUTCOME NOT RECOGNISED")))))))))))))))</f>
        <v/>
      </c>
    </row>
    <row r="87" ht="24" customHeight="1" s="14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3">
        <f>IF(COUNTA(A87:V87)=0,"",IF(A87="","UC-ID MISSING",IF(COUNTIF($A$4:$A$203,A87)&gt;1,"DUPLICATE UC-ID — CONFLICT",IF(OR(B87="",C87="",D87="",E87="",F87="",G87="",H87="",I87="",J87="",K87="",L87="",O87="",P87="",Q87="",R87="",S87="",T87="",U87="",V87=""),"EVIDENCE INCOMPLETE",IF(OR(ISNA(MATCH(F87,{"Critical","High","Medium","Low"},0)),ISNA(MATCH(E87,{"Priority 1 – Critical","Priority 2 – High","Priority 3 – Standard","Priority 4 – Routine","Priority 5 – Observe","Governance Investigation Required"},0))),"TIER / PRIORITY NOT RECOGNISED",IF(U87&lt;&gt;"Verified","UNVERIFIED / CONFLICT",IF(K87&lt;&gt;"UC-ID specific","NOT UC-SCOPED",IF(OR(NOT(ISNUMBER(Q87)),NOT(ISNUMBER(R87)),NOT(ISNUMBER(V87)),NOT(ISNUMBER($W$1))),"DATES NOT VERIFIED",IF(OR(Q87&gt;R87,V87&gt;Q87),"INVALID DATE RANGE",IF(Q87&gt;$W$1,"NOT YET EFFECTIVE",IF(R87&lt;$W$1,"EXPIRED / REVIEW DUE",IF(R87-Q87&gt;IF(F87="Critical",31,IF(F87="High",92,366)),"REVIEW INTERVAL EXCEEDS TIER CADENCE",IF(OR(H87="Pending",H87="Deferred",H87="Rejected",H87="Suspended",H87="Retired",H87="Unknown"),"NOT APPROVED / STATUS NOT CURRENT",IF(H87="Approved with conditions",IF(OR(M87="",N87="",O87="Open",O87="Unknown",O87="None"),"CONDITIONAL — CONDITIONS NOT VERIFIED","CONDITIONAL — NEVER COUNT AS UNCONDITIONAL APPROVAL"),IF(H87="Approved",IF(OR(O87&lt;&gt;"None",M87&lt;&gt;"",N87&lt;&gt;""),"CONDITION / OUTCOME CONFLICT","SOURCE-RECONCILED USE-SPECIFIC APPROVAL — CONFIRM SOURCE"),"NOT APPROVED / OUTCOME NOT RECOGNISED")))))))))))))))</f>
        <v/>
      </c>
    </row>
    <row r="88" ht="24" customHeight="1" s="14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3">
        <f>IF(COUNTA(A88:V88)=0,"",IF(A88="","UC-ID MISSING",IF(COUNTIF($A$4:$A$203,A88)&gt;1,"DUPLICATE UC-ID — CONFLICT",IF(OR(B88="",C88="",D88="",E88="",F88="",G88="",H88="",I88="",J88="",K88="",L88="",O88="",P88="",Q88="",R88="",S88="",T88="",U88="",V88=""),"EVIDENCE INCOMPLETE",IF(OR(ISNA(MATCH(F88,{"Critical","High","Medium","Low"},0)),ISNA(MATCH(E88,{"Priority 1 – Critical","Priority 2 – High","Priority 3 – Standard","Priority 4 – Routine","Priority 5 – Observe","Governance Investigation Required"},0))),"TIER / PRIORITY NOT RECOGNISED",IF(U88&lt;&gt;"Verified","UNVERIFIED / CONFLICT",IF(K88&lt;&gt;"UC-ID specific","NOT UC-SCOPED",IF(OR(NOT(ISNUMBER(Q88)),NOT(ISNUMBER(R88)),NOT(ISNUMBER(V88)),NOT(ISNUMBER($W$1))),"DATES NOT VERIFIED",IF(OR(Q88&gt;R88,V88&gt;Q88),"INVALID DATE RANGE",IF(Q88&gt;$W$1,"NOT YET EFFECTIVE",IF(R88&lt;$W$1,"EXPIRED / REVIEW DUE",IF(R88-Q88&gt;IF(F88="Critical",31,IF(F88="High",92,366)),"REVIEW INTERVAL EXCEEDS TIER CADENCE",IF(OR(H88="Pending",H88="Deferred",H88="Rejected",H88="Suspended",H88="Retired",H88="Unknown"),"NOT APPROVED / STATUS NOT CURRENT",IF(H88="Approved with conditions",IF(OR(M88="",N88="",O88="Open",O88="Unknown",O88="None"),"CONDITIONAL — CONDITIONS NOT VERIFIED","CONDITIONAL — NEVER COUNT AS UNCONDITIONAL APPROVAL"),IF(H88="Approved",IF(OR(O88&lt;&gt;"None",M88&lt;&gt;"",N88&lt;&gt;""),"CONDITION / OUTCOME CONFLICT","SOURCE-RECONCILED USE-SPECIFIC APPROVAL — CONFIRM SOURCE"),"NOT APPROVED / OUTCOME NOT RECOGNISED")))))))))))))))</f>
        <v/>
      </c>
    </row>
    <row r="89" ht="24" customHeight="1" s="14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3">
        <f>IF(COUNTA(A89:V89)=0,"",IF(A89="","UC-ID MISSING",IF(COUNTIF($A$4:$A$203,A89)&gt;1,"DUPLICATE UC-ID — CONFLICT",IF(OR(B89="",C89="",D89="",E89="",F89="",G89="",H89="",I89="",J89="",K89="",L89="",O89="",P89="",Q89="",R89="",S89="",T89="",U89="",V89=""),"EVIDENCE INCOMPLETE",IF(OR(ISNA(MATCH(F89,{"Critical","High","Medium","Low"},0)),ISNA(MATCH(E89,{"Priority 1 – Critical","Priority 2 – High","Priority 3 – Standard","Priority 4 – Routine","Priority 5 – Observe","Governance Investigation Required"},0))),"TIER / PRIORITY NOT RECOGNISED",IF(U89&lt;&gt;"Verified","UNVERIFIED / CONFLICT",IF(K89&lt;&gt;"UC-ID specific","NOT UC-SCOPED",IF(OR(NOT(ISNUMBER(Q89)),NOT(ISNUMBER(R89)),NOT(ISNUMBER(V89)),NOT(ISNUMBER($W$1))),"DATES NOT VERIFIED",IF(OR(Q89&gt;R89,V89&gt;Q89),"INVALID DATE RANGE",IF(Q89&gt;$W$1,"NOT YET EFFECTIVE",IF(R89&lt;$W$1,"EXPIRED / REVIEW DUE",IF(R89-Q89&gt;IF(F89="Critical",31,IF(F89="High",92,366)),"REVIEW INTERVAL EXCEEDS TIER CADENCE",IF(OR(H89="Pending",H89="Deferred",H89="Rejected",H89="Suspended",H89="Retired",H89="Unknown"),"NOT APPROVED / STATUS NOT CURRENT",IF(H89="Approved with conditions",IF(OR(M89="",N89="",O89="Open",O89="Unknown",O89="None"),"CONDITIONAL — CONDITIONS NOT VERIFIED","CONDITIONAL — NEVER COUNT AS UNCONDITIONAL APPROVAL"),IF(H89="Approved",IF(OR(O89&lt;&gt;"None",M89&lt;&gt;"",N89&lt;&gt;""),"CONDITION / OUTCOME CONFLICT","SOURCE-RECONCILED USE-SPECIFIC APPROVAL — CONFIRM SOURCE"),"NOT APPROVED / OUTCOME NOT RECOGNISED")))))))))))))))</f>
        <v/>
      </c>
    </row>
    <row r="90" ht="24" customHeight="1" s="14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3">
        <f>IF(COUNTA(A90:V90)=0,"",IF(A90="","UC-ID MISSING",IF(COUNTIF($A$4:$A$203,A90)&gt;1,"DUPLICATE UC-ID — CONFLICT",IF(OR(B90="",C90="",D90="",E90="",F90="",G90="",H90="",I90="",J90="",K90="",L90="",O90="",P90="",Q90="",R90="",S90="",T90="",U90="",V90=""),"EVIDENCE INCOMPLETE",IF(OR(ISNA(MATCH(F90,{"Critical","High","Medium","Low"},0)),ISNA(MATCH(E90,{"Priority 1 – Critical","Priority 2 – High","Priority 3 – Standard","Priority 4 – Routine","Priority 5 – Observe","Governance Investigation Required"},0))),"TIER / PRIORITY NOT RECOGNISED",IF(U90&lt;&gt;"Verified","UNVERIFIED / CONFLICT",IF(K90&lt;&gt;"UC-ID specific","NOT UC-SCOPED",IF(OR(NOT(ISNUMBER(Q90)),NOT(ISNUMBER(R90)),NOT(ISNUMBER(V90)),NOT(ISNUMBER($W$1))),"DATES NOT VERIFIED",IF(OR(Q90&gt;R90,V90&gt;Q90),"INVALID DATE RANGE",IF(Q90&gt;$W$1,"NOT YET EFFECTIVE",IF(R90&lt;$W$1,"EXPIRED / REVIEW DUE",IF(R90-Q90&gt;IF(F90="Critical",31,IF(F90="High",92,366)),"REVIEW INTERVAL EXCEEDS TIER CADENCE",IF(OR(H90="Pending",H90="Deferred",H90="Rejected",H90="Suspended",H90="Retired",H90="Unknown"),"NOT APPROVED / STATUS NOT CURRENT",IF(H90="Approved with conditions",IF(OR(M90="",N90="",O90="Open",O90="Unknown",O90="None"),"CONDITIONAL — CONDITIONS NOT VERIFIED","CONDITIONAL — NEVER COUNT AS UNCONDITIONAL APPROVAL"),IF(H90="Approved",IF(OR(O90&lt;&gt;"None",M90&lt;&gt;"",N90&lt;&gt;""),"CONDITION / OUTCOME CONFLICT","SOURCE-RECONCILED USE-SPECIFIC APPROVAL — CONFIRM SOURCE"),"NOT APPROVED / OUTCOME NOT RECOGNISED")))))))))))))))</f>
        <v/>
      </c>
    </row>
    <row r="91" ht="24" customHeight="1" s="14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3">
        <f>IF(COUNTA(A91:V91)=0,"",IF(A91="","UC-ID MISSING",IF(COUNTIF($A$4:$A$203,A91)&gt;1,"DUPLICATE UC-ID — CONFLICT",IF(OR(B91="",C91="",D91="",E91="",F91="",G91="",H91="",I91="",J91="",K91="",L91="",O91="",P91="",Q91="",R91="",S91="",T91="",U91="",V91=""),"EVIDENCE INCOMPLETE",IF(OR(ISNA(MATCH(F91,{"Critical","High","Medium","Low"},0)),ISNA(MATCH(E91,{"Priority 1 – Critical","Priority 2 – High","Priority 3 – Standard","Priority 4 – Routine","Priority 5 – Observe","Governance Investigation Required"},0))),"TIER / PRIORITY NOT RECOGNISED",IF(U91&lt;&gt;"Verified","UNVERIFIED / CONFLICT",IF(K91&lt;&gt;"UC-ID specific","NOT UC-SCOPED",IF(OR(NOT(ISNUMBER(Q91)),NOT(ISNUMBER(R91)),NOT(ISNUMBER(V91)),NOT(ISNUMBER($W$1))),"DATES NOT VERIFIED",IF(OR(Q91&gt;R91,V91&gt;Q91),"INVALID DATE RANGE",IF(Q91&gt;$W$1,"NOT YET EFFECTIVE",IF(R91&lt;$W$1,"EXPIRED / REVIEW DUE",IF(R91-Q91&gt;IF(F91="Critical",31,IF(F91="High",92,366)),"REVIEW INTERVAL EXCEEDS TIER CADENCE",IF(OR(H91="Pending",H91="Deferred",H91="Rejected",H91="Suspended",H91="Retired",H91="Unknown"),"NOT APPROVED / STATUS NOT CURRENT",IF(H91="Approved with conditions",IF(OR(M91="",N91="",O91="Open",O91="Unknown",O91="None"),"CONDITIONAL — CONDITIONS NOT VERIFIED","CONDITIONAL — NEVER COUNT AS UNCONDITIONAL APPROVAL"),IF(H91="Approved",IF(OR(O91&lt;&gt;"None",M91&lt;&gt;"",N91&lt;&gt;""),"CONDITION / OUTCOME CONFLICT","SOURCE-RECONCILED USE-SPECIFIC APPROVAL — CONFIRM SOURCE"),"NOT APPROVED / OUTCOME NOT RECOGNISED")))))))))))))))</f>
        <v/>
      </c>
    </row>
    <row r="92" ht="24" customHeight="1" s="14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3">
        <f>IF(COUNTA(A92:V92)=0,"",IF(A92="","UC-ID MISSING",IF(COUNTIF($A$4:$A$203,A92)&gt;1,"DUPLICATE UC-ID — CONFLICT",IF(OR(B92="",C92="",D92="",E92="",F92="",G92="",H92="",I92="",J92="",K92="",L92="",O92="",P92="",Q92="",R92="",S92="",T92="",U92="",V92=""),"EVIDENCE INCOMPLETE",IF(OR(ISNA(MATCH(F92,{"Critical","High","Medium","Low"},0)),ISNA(MATCH(E92,{"Priority 1 – Critical","Priority 2 – High","Priority 3 – Standard","Priority 4 – Routine","Priority 5 – Observe","Governance Investigation Required"},0))),"TIER / PRIORITY NOT RECOGNISED",IF(U92&lt;&gt;"Verified","UNVERIFIED / CONFLICT",IF(K92&lt;&gt;"UC-ID specific","NOT UC-SCOPED",IF(OR(NOT(ISNUMBER(Q92)),NOT(ISNUMBER(R92)),NOT(ISNUMBER(V92)),NOT(ISNUMBER($W$1))),"DATES NOT VERIFIED",IF(OR(Q92&gt;R92,V92&gt;Q92),"INVALID DATE RANGE",IF(Q92&gt;$W$1,"NOT YET EFFECTIVE",IF(R92&lt;$W$1,"EXPIRED / REVIEW DUE",IF(R92-Q92&gt;IF(F92="Critical",31,IF(F92="High",92,366)),"REVIEW INTERVAL EXCEEDS TIER CADENCE",IF(OR(H92="Pending",H92="Deferred",H92="Rejected",H92="Suspended",H92="Retired",H92="Unknown"),"NOT APPROVED / STATUS NOT CURRENT",IF(H92="Approved with conditions",IF(OR(M92="",N92="",O92="Open",O92="Unknown",O92="None"),"CONDITIONAL — CONDITIONS NOT VERIFIED","CONDITIONAL — NEVER COUNT AS UNCONDITIONAL APPROVAL"),IF(H92="Approved",IF(OR(O92&lt;&gt;"None",M92&lt;&gt;"",N92&lt;&gt;""),"CONDITION / OUTCOME CONFLICT","SOURCE-RECONCILED USE-SPECIFIC APPROVAL — CONFIRM SOURCE"),"NOT APPROVED / OUTCOME NOT RECOGNISED")))))))))))))))</f>
        <v/>
      </c>
    </row>
    <row r="93" ht="24" customHeight="1" s="14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3">
        <f>IF(COUNTA(A93:V93)=0,"",IF(A93="","UC-ID MISSING",IF(COUNTIF($A$4:$A$203,A93)&gt;1,"DUPLICATE UC-ID — CONFLICT",IF(OR(B93="",C93="",D93="",E93="",F93="",G93="",H93="",I93="",J93="",K93="",L93="",O93="",P93="",Q93="",R93="",S93="",T93="",U93="",V93=""),"EVIDENCE INCOMPLETE",IF(OR(ISNA(MATCH(F93,{"Critical","High","Medium","Low"},0)),ISNA(MATCH(E93,{"Priority 1 – Critical","Priority 2 – High","Priority 3 – Standard","Priority 4 – Routine","Priority 5 – Observe","Governance Investigation Required"},0))),"TIER / PRIORITY NOT RECOGNISED",IF(U93&lt;&gt;"Verified","UNVERIFIED / CONFLICT",IF(K93&lt;&gt;"UC-ID specific","NOT UC-SCOPED",IF(OR(NOT(ISNUMBER(Q93)),NOT(ISNUMBER(R93)),NOT(ISNUMBER(V93)),NOT(ISNUMBER($W$1))),"DATES NOT VERIFIED",IF(OR(Q93&gt;R93,V93&gt;Q93),"INVALID DATE RANGE",IF(Q93&gt;$W$1,"NOT YET EFFECTIVE",IF(R93&lt;$W$1,"EXPIRED / REVIEW DUE",IF(R93-Q93&gt;IF(F93="Critical",31,IF(F93="High",92,366)),"REVIEW INTERVAL EXCEEDS TIER CADENCE",IF(OR(H93="Pending",H93="Deferred",H93="Rejected",H93="Suspended",H93="Retired",H93="Unknown"),"NOT APPROVED / STATUS NOT CURRENT",IF(H93="Approved with conditions",IF(OR(M93="",N93="",O93="Open",O93="Unknown",O93="None"),"CONDITIONAL — CONDITIONS NOT VERIFIED","CONDITIONAL — NEVER COUNT AS UNCONDITIONAL APPROVAL"),IF(H93="Approved",IF(OR(O93&lt;&gt;"None",M93&lt;&gt;"",N93&lt;&gt;""),"CONDITION / OUTCOME CONFLICT","SOURCE-RECONCILED USE-SPECIFIC APPROVAL — CONFIRM SOURCE"),"NOT APPROVED / OUTCOME NOT RECOGNISED")))))))))))))))</f>
        <v/>
      </c>
    </row>
    <row r="94" ht="24" customHeight="1" s="1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3">
        <f>IF(COUNTA(A94:V94)=0,"",IF(A94="","UC-ID MISSING",IF(COUNTIF($A$4:$A$203,A94)&gt;1,"DUPLICATE UC-ID — CONFLICT",IF(OR(B94="",C94="",D94="",E94="",F94="",G94="",H94="",I94="",J94="",K94="",L94="",O94="",P94="",Q94="",R94="",S94="",T94="",U94="",V94=""),"EVIDENCE INCOMPLETE",IF(OR(ISNA(MATCH(F94,{"Critical","High","Medium","Low"},0)),ISNA(MATCH(E94,{"Priority 1 – Critical","Priority 2 – High","Priority 3 – Standard","Priority 4 – Routine","Priority 5 – Observe","Governance Investigation Required"},0))),"TIER / PRIORITY NOT RECOGNISED",IF(U94&lt;&gt;"Verified","UNVERIFIED / CONFLICT",IF(K94&lt;&gt;"UC-ID specific","NOT UC-SCOPED",IF(OR(NOT(ISNUMBER(Q94)),NOT(ISNUMBER(R94)),NOT(ISNUMBER(V94)),NOT(ISNUMBER($W$1))),"DATES NOT VERIFIED",IF(OR(Q94&gt;R94,V94&gt;Q94),"INVALID DATE RANGE",IF(Q94&gt;$W$1,"NOT YET EFFECTIVE",IF(R94&lt;$W$1,"EXPIRED / REVIEW DUE",IF(R94-Q94&gt;IF(F94="Critical",31,IF(F94="High",92,366)),"REVIEW INTERVAL EXCEEDS TIER CADENCE",IF(OR(H94="Pending",H94="Deferred",H94="Rejected",H94="Suspended",H94="Retired",H94="Unknown"),"NOT APPROVED / STATUS NOT CURRENT",IF(H94="Approved with conditions",IF(OR(M94="",N94="",O94="Open",O94="Unknown",O94="None"),"CONDITIONAL — CONDITIONS NOT VERIFIED","CONDITIONAL — NEVER COUNT AS UNCONDITIONAL APPROVAL"),IF(H94="Approved",IF(OR(O94&lt;&gt;"None",M94&lt;&gt;"",N94&lt;&gt;""),"CONDITION / OUTCOME CONFLICT","SOURCE-RECONCILED USE-SPECIFIC APPROVAL — CONFIRM SOURCE"),"NOT APPROVED / OUTCOME NOT RECOGNISED")))))))))))))))</f>
        <v/>
      </c>
    </row>
    <row r="95" ht="24" customHeight="1" s="14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3">
        <f>IF(COUNTA(A95:V95)=0,"",IF(A95="","UC-ID MISSING",IF(COUNTIF($A$4:$A$203,A95)&gt;1,"DUPLICATE UC-ID — CONFLICT",IF(OR(B95="",C95="",D95="",E95="",F95="",G95="",H95="",I95="",J95="",K95="",L95="",O95="",P95="",Q95="",R95="",S95="",T95="",U95="",V95=""),"EVIDENCE INCOMPLETE",IF(OR(ISNA(MATCH(F95,{"Critical","High","Medium","Low"},0)),ISNA(MATCH(E95,{"Priority 1 – Critical","Priority 2 – High","Priority 3 – Standard","Priority 4 – Routine","Priority 5 – Observe","Governance Investigation Required"},0))),"TIER / PRIORITY NOT RECOGNISED",IF(U95&lt;&gt;"Verified","UNVERIFIED / CONFLICT",IF(K95&lt;&gt;"UC-ID specific","NOT UC-SCOPED",IF(OR(NOT(ISNUMBER(Q95)),NOT(ISNUMBER(R95)),NOT(ISNUMBER(V95)),NOT(ISNUMBER($W$1))),"DATES NOT VERIFIED",IF(OR(Q95&gt;R95,V95&gt;Q95),"INVALID DATE RANGE",IF(Q95&gt;$W$1,"NOT YET EFFECTIVE",IF(R95&lt;$W$1,"EXPIRED / REVIEW DUE",IF(R95-Q95&gt;IF(F95="Critical",31,IF(F95="High",92,366)),"REVIEW INTERVAL EXCEEDS TIER CADENCE",IF(OR(H95="Pending",H95="Deferred",H95="Rejected",H95="Suspended",H95="Retired",H95="Unknown"),"NOT APPROVED / STATUS NOT CURRENT",IF(H95="Approved with conditions",IF(OR(M95="",N95="",O95="Open",O95="Unknown",O95="None"),"CONDITIONAL — CONDITIONS NOT VERIFIED","CONDITIONAL — NEVER COUNT AS UNCONDITIONAL APPROVAL"),IF(H95="Approved",IF(OR(O95&lt;&gt;"None",M95&lt;&gt;"",N95&lt;&gt;""),"CONDITION / OUTCOME CONFLICT","SOURCE-RECONCILED USE-SPECIFIC APPROVAL — CONFIRM SOURCE"),"NOT APPROVED / OUTCOME NOT RECOGNISED")))))))))))))))</f>
        <v/>
      </c>
    </row>
    <row r="96" ht="24" customHeight="1" s="14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3">
        <f>IF(COUNTA(A96:V96)=0,"",IF(A96="","UC-ID MISSING",IF(COUNTIF($A$4:$A$203,A96)&gt;1,"DUPLICATE UC-ID — CONFLICT",IF(OR(B96="",C96="",D96="",E96="",F96="",G96="",H96="",I96="",J96="",K96="",L96="",O96="",P96="",Q96="",R96="",S96="",T96="",U96="",V96=""),"EVIDENCE INCOMPLETE",IF(OR(ISNA(MATCH(F96,{"Critical","High","Medium","Low"},0)),ISNA(MATCH(E96,{"Priority 1 – Critical","Priority 2 – High","Priority 3 – Standard","Priority 4 – Routine","Priority 5 – Observe","Governance Investigation Required"},0))),"TIER / PRIORITY NOT RECOGNISED",IF(U96&lt;&gt;"Verified","UNVERIFIED / CONFLICT",IF(K96&lt;&gt;"UC-ID specific","NOT UC-SCOPED",IF(OR(NOT(ISNUMBER(Q96)),NOT(ISNUMBER(R96)),NOT(ISNUMBER(V96)),NOT(ISNUMBER($W$1))),"DATES NOT VERIFIED",IF(OR(Q96&gt;R96,V96&gt;Q96),"INVALID DATE RANGE",IF(Q96&gt;$W$1,"NOT YET EFFECTIVE",IF(R96&lt;$W$1,"EXPIRED / REVIEW DUE",IF(R96-Q96&gt;IF(F96="Critical",31,IF(F96="High",92,366)),"REVIEW INTERVAL EXCEEDS TIER CADENCE",IF(OR(H96="Pending",H96="Deferred",H96="Rejected",H96="Suspended",H96="Retired",H96="Unknown"),"NOT APPROVED / STATUS NOT CURRENT",IF(H96="Approved with conditions",IF(OR(M96="",N96="",O96="Open",O96="Unknown",O96="None"),"CONDITIONAL — CONDITIONS NOT VERIFIED","CONDITIONAL — NEVER COUNT AS UNCONDITIONAL APPROVAL"),IF(H96="Approved",IF(OR(O96&lt;&gt;"None",M96&lt;&gt;"",N96&lt;&gt;""),"CONDITION / OUTCOME CONFLICT","SOURCE-RECONCILED USE-SPECIFIC APPROVAL — CONFIRM SOURCE"),"NOT APPROVED / OUTCOME NOT RECOGNISED")))))))))))))))</f>
        <v/>
      </c>
    </row>
    <row r="97" ht="24" customHeight="1" s="14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3">
        <f>IF(COUNTA(A97:V97)=0,"",IF(A97="","UC-ID MISSING",IF(COUNTIF($A$4:$A$203,A97)&gt;1,"DUPLICATE UC-ID — CONFLICT",IF(OR(B97="",C97="",D97="",E97="",F97="",G97="",H97="",I97="",J97="",K97="",L97="",O97="",P97="",Q97="",R97="",S97="",T97="",U97="",V97=""),"EVIDENCE INCOMPLETE",IF(OR(ISNA(MATCH(F97,{"Critical","High","Medium","Low"},0)),ISNA(MATCH(E97,{"Priority 1 – Critical","Priority 2 – High","Priority 3 – Standard","Priority 4 – Routine","Priority 5 – Observe","Governance Investigation Required"},0))),"TIER / PRIORITY NOT RECOGNISED",IF(U97&lt;&gt;"Verified","UNVERIFIED / CONFLICT",IF(K97&lt;&gt;"UC-ID specific","NOT UC-SCOPED",IF(OR(NOT(ISNUMBER(Q97)),NOT(ISNUMBER(R97)),NOT(ISNUMBER(V97)),NOT(ISNUMBER($W$1))),"DATES NOT VERIFIED",IF(OR(Q97&gt;R97,V97&gt;Q97),"INVALID DATE RANGE",IF(Q97&gt;$W$1,"NOT YET EFFECTIVE",IF(R97&lt;$W$1,"EXPIRED / REVIEW DUE",IF(R97-Q97&gt;IF(F97="Critical",31,IF(F97="High",92,366)),"REVIEW INTERVAL EXCEEDS TIER CADENCE",IF(OR(H97="Pending",H97="Deferred",H97="Rejected",H97="Suspended",H97="Retired",H97="Unknown"),"NOT APPROVED / STATUS NOT CURRENT",IF(H97="Approved with conditions",IF(OR(M97="",N97="",O97="Open",O97="Unknown",O97="None"),"CONDITIONAL — CONDITIONS NOT VERIFIED","CONDITIONAL — NEVER COUNT AS UNCONDITIONAL APPROVAL"),IF(H97="Approved",IF(OR(O97&lt;&gt;"None",M97&lt;&gt;"",N97&lt;&gt;""),"CONDITION / OUTCOME CONFLICT","SOURCE-RECONCILED USE-SPECIFIC APPROVAL — CONFIRM SOURCE"),"NOT APPROVED / OUTCOME NOT RECOGNISED")))))))))))))))</f>
        <v/>
      </c>
    </row>
    <row r="98" ht="24" customHeight="1" s="14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3">
        <f>IF(COUNTA(A98:V98)=0,"",IF(A98="","UC-ID MISSING",IF(COUNTIF($A$4:$A$203,A98)&gt;1,"DUPLICATE UC-ID — CONFLICT",IF(OR(B98="",C98="",D98="",E98="",F98="",G98="",H98="",I98="",J98="",K98="",L98="",O98="",P98="",Q98="",R98="",S98="",T98="",U98="",V98=""),"EVIDENCE INCOMPLETE",IF(OR(ISNA(MATCH(F98,{"Critical","High","Medium","Low"},0)),ISNA(MATCH(E98,{"Priority 1 – Critical","Priority 2 – High","Priority 3 – Standard","Priority 4 – Routine","Priority 5 – Observe","Governance Investigation Required"},0))),"TIER / PRIORITY NOT RECOGNISED",IF(U98&lt;&gt;"Verified","UNVERIFIED / CONFLICT",IF(K98&lt;&gt;"UC-ID specific","NOT UC-SCOPED",IF(OR(NOT(ISNUMBER(Q98)),NOT(ISNUMBER(R98)),NOT(ISNUMBER(V98)),NOT(ISNUMBER($W$1))),"DATES NOT VERIFIED",IF(OR(Q98&gt;R98,V98&gt;Q98),"INVALID DATE RANGE",IF(Q98&gt;$W$1,"NOT YET EFFECTIVE",IF(R98&lt;$W$1,"EXPIRED / REVIEW DUE",IF(R98-Q98&gt;IF(F98="Critical",31,IF(F98="High",92,366)),"REVIEW INTERVAL EXCEEDS TIER CADENCE",IF(OR(H98="Pending",H98="Deferred",H98="Rejected",H98="Suspended",H98="Retired",H98="Unknown"),"NOT APPROVED / STATUS NOT CURRENT",IF(H98="Approved with conditions",IF(OR(M98="",N98="",O98="Open",O98="Unknown",O98="None"),"CONDITIONAL — CONDITIONS NOT VERIFIED","CONDITIONAL — NEVER COUNT AS UNCONDITIONAL APPROVAL"),IF(H98="Approved",IF(OR(O98&lt;&gt;"None",M98&lt;&gt;"",N98&lt;&gt;""),"CONDITION / OUTCOME CONFLICT","SOURCE-RECONCILED USE-SPECIFIC APPROVAL — CONFIRM SOURCE"),"NOT APPROVED / OUTCOME NOT RECOGNISED")))))))))))))))</f>
        <v/>
      </c>
    </row>
    <row r="99" ht="24" customHeight="1" s="14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3">
        <f>IF(COUNTA(A99:V99)=0,"",IF(A99="","UC-ID MISSING",IF(COUNTIF($A$4:$A$203,A99)&gt;1,"DUPLICATE UC-ID — CONFLICT",IF(OR(B99="",C99="",D99="",E99="",F99="",G99="",H99="",I99="",J99="",K99="",L99="",O99="",P99="",Q99="",R99="",S99="",T99="",U99="",V99=""),"EVIDENCE INCOMPLETE",IF(OR(ISNA(MATCH(F99,{"Critical","High","Medium","Low"},0)),ISNA(MATCH(E99,{"Priority 1 – Critical","Priority 2 – High","Priority 3 – Standard","Priority 4 – Routine","Priority 5 – Observe","Governance Investigation Required"},0))),"TIER / PRIORITY NOT RECOGNISED",IF(U99&lt;&gt;"Verified","UNVERIFIED / CONFLICT",IF(K99&lt;&gt;"UC-ID specific","NOT UC-SCOPED",IF(OR(NOT(ISNUMBER(Q99)),NOT(ISNUMBER(R99)),NOT(ISNUMBER(V99)),NOT(ISNUMBER($W$1))),"DATES NOT VERIFIED",IF(OR(Q99&gt;R99,V99&gt;Q99),"INVALID DATE RANGE",IF(Q99&gt;$W$1,"NOT YET EFFECTIVE",IF(R99&lt;$W$1,"EXPIRED / REVIEW DUE",IF(R99-Q99&gt;IF(F99="Critical",31,IF(F99="High",92,366)),"REVIEW INTERVAL EXCEEDS TIER CADENCE",IF(OR(H99="Pending",H99="Deferred",H99="Rejected",H99="Suspended",H99="Retired",H99="Unknown"),"NOT APPROVED / STATUS NOT CURRENT",IF(H99="Approved with conditions",IF(OR(M99="",N99="",O99="Open",O99="Unknown",O99="None"),"CONDITIONAL — CONDITIONS NOT VERIFIED","CONDITIONAL — NEVER COUNT AS UNCONDITIONAL APPROVAL"),IF(H99="Approved",IF(OR(O99&lt;&gt;"None",M99&lt;&gt;"",N99&lt;&gt;""),"CONDITION / OUTCOME CONFLICT","SOURCE-RECONCILED USE-SPECIFIC APPROVAL — CONFIRM SOURCE"),"NOT APPROVED / OUTCOME NOT RECOGNISED")))))))))))))))</f>
        <v/>
      </c>
    </row>
    <row r="100" ht="24" customHeight="1" s="14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3">
        <f>IF(COUNTA(A100:V100)=0,"",IF(A100="","UC-ID MISSING",IF(COUNTIF($A$4:$A$203,A100)&gt;1,"DUPLICATE UC-ID — CONFLICT",IF(OR(B100="",C100="",D100="",E100="",F100="",G100="",H100="",I100="",J100="",K100="",L100="",O100="",P100="",Q100="",R100="",S100="",T100="",U100="",V100=""),"EVIDENCE INCOMPLETE",IF(OR(ISNA(MATCH(F100,{"Critical","High","Medium","Low"},0)),ISNA(MATCH(E100,{"Priority 1 – Critical","Priority 2 – High","Priority 3 – Standard","Priority 4 – Routine","Priority 5 – Observe","Governance Investigation Required"},0))),"TIER / PRIORITY NOT RECOGNISED",IF(U100&lt;&gt;"Verified","UNVERIFIED / CONFLICT",IF(K100&lt;&gt;"UC-ID specific","NOT UC-SCOPED",IF(OR(NOT(ISNUMBER(Q100)),NOT(ISNUMBER(R100)),NOT(ISNUMBER(V100)),NOT(ISNUMBER($W$1))),"DATES NOT VERIFIED",IF(OR(Q100&gt;R100,V100&gt;Q100),"INVALID DATE RANGE",IF(Q100&gt;$W$1,"NOT YET EFFECTIVE",IF(R100&lt;$W$1,"EXPIRED / REVIEW DUE",IF(R100-Q100&gt;IF(F100="Critical",31,IF(F100="High",92,366)),"REVIEW INTERVAL EXCEEDS TIER CADENCE",IF(OR(H100="Pending",H100="Deferred",H100="Rejected",H100="Suspended",H100="Retired",H100="Unknown"),"NOT APPROVED / STATUS NOT CURRENT",IF(H100="Approved with conditions",IF(OR(M100="",N100="",O100="Open",O100="Unknown",O100="None"),"CONDITIONAL — CONDITIONS NOT VERIFIED","CONDITIONAL — NEVER COUNT AS UNCONDITIONAL APPROVAL"),IF(H100="Approved",IF(OR(O100&lt;&gt;"None",M100&lt;&gt;"",N100&lt;&gt;""),"CONDITION / OUTCOME CONFLICT","SOURCE-RECONCILED USE-SPECIFIC APPROVAL — CONFIRM SOURCE"),"NOT APPROVED / OUTCOME NOT RECOGNISED")))))))))))))))</f>
        <v/>
      </c>
    </row>
    <row r="101" ht="24" customHeight="1" s="14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3">
        <f>IF(COUNTA(A101:V101)=0,"",IF(A101="","UC-ID MISSING",IF(COUNTIF($A$4:$A$203,A101)&gt;1,"DUPLICATE UC-ID — CONFLICT",IF(OR(B101="",C101="",D101="",E101="",F101="",G101="",H101="",I101="",J101="",K101="",L101="",O101="",P101="",Q101="",R101="",S101="",T101="",U101="",V101=""),"EVIDENCE INCOMPLETE",IF(OR(ISNA(MATCH(F101,{"Critical","High","Medium","Low"},0)),ISNA(MATCH(E101,{"Priority 1 – Critical","Priority 2 – High","Priority 3 – Standard","Priority 4 – Routine","Priority 5 – Observe","Governance Investigation Required"},0))),"TIER / PRIORITY NOT RECOGNISED",IF(U101&lt;&gt;"Verified","UNVERIFIED / CONFLICT",IF(K101&lt;&gt;"UC-ID specific","NOT UC-SCOPED",IF(OR(NOT(ISNUMBER(Q101)),NOT(ISNUMBER(R101)),NOT(ISNUMBER(V101)),NOT(ISNUMBER($W$1))),"DATES NOT VERIFIED",IF(OR(Q101&gt;R101,V101&gt;Q101),"INVALID DATE RANGE",IF(Q101&gt;$W$1,"NOT YET EFFECTIVE",IF(R101&lt;$W$1,"EXPIRED / REVIEW DUE",IF(R101-Q101&gt;IF(F101="Critical",31,IF(F101="High",92,366)),"REVIEW INTERVAL EXCEEDS TIER CADENCE",IF(OR(H101="Pending",H101="Deferred",H101="Rejected",H101="Suspended",H101="Retired",H101="Unknown"),"NOT APPROVED / STATUS NOT CURRENT",IF(H101="Approved with conditions",IF(OR(M101="",N101="",O101="Open",O101="Unknown",O101="None"),"CONDITIONAL — CONDITIONS NOT VERIFIED","CONDITIONAL — NEVER COUNT AS UNCONDITIONAL APPROVAL"),IF(H101="Approved",IF(OR(O101&lt;&gt;"None",M101&lt;&gt;"",N101&lt;&gt;""),"CONDITION / OUTCOME CONFLICT","SOURCE-RECONCILED USE-SPECIFIC APPROVAL — CONFIRM SOURCE"),"NOT APPROVED / OUTCOME NOT RECOGNISED")))))))))))))))</f>
        <v/>
      </c>
    </row>
    <row r="102" ht="24" customHeight="1" s="14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3">
        <f>IF(COUNTA(A102:V102)=0,"",IF(A102="","UC-ID MISSING",IF(COUNTIF($A$4:$A$203,A102)&gt;1,"DUPLICATE UC-ID — CONFLICT",IF(OR(B102="",C102="",D102="",E102="",F102="",G102="",H102="",I102="",J102="",K102="",L102="",O102="",P102="",Q102="",R102="",S102="",T102="",U102="",V102=""),"EVIDENCE INCOMPLETE",IF(OR(ISNA(MATCH(F102,{"Critical","High","Medium","Low"},0)),ISNA(MATCH(E102,{"Priority 1 – Critical","Priority 2 – High","Priority 3 – Standard","Priority 4 – Routine","Priority 5 – Observe","Governance Investigation Required"},0))),"TIER / PRIORITY NOT RECOGNISED",IF(U102&lt;&gt;"Verified","UNVERIFIED / CONFLICT",IF(K102&lt;&gt;"UC-ID specific","NOT UC-SCOPED",IF(OR(NOT(ISNUMBER(Q102)),NOT(ISNUMBER(R102)),NOT(ISNUMBER(V102)),NOT(ISNUMBER($W$1))),"DATES NOT VERIFIED",IF(OR(Q102&gt;R102,V102&gt;Q102),"INVALID DATE RANGE",IF(Q102&gt;$W$1,"NOT YET EFFECTIVE",IF(R102&lt;$W$1,"EXPIRED / REVIEW DUE",IF(R102-Q102&gt;IF(F102="Critical",31,IF(F102="High",92,366)),"REVIEW INTERVAL EXCEEDS TIER CADENCE",IF(OR(H102="Pending",H102="Deferred",H102="Rejected",H102="Suspended",H102="Retired",H102="Unknown"),"NOT APPROVED / STATUS NOT CURRENT",IF(H102="Approved with conditions",IF(OR(M102="",N102="",O102="Open",O102="Unknown",O102="None"),"CONDITIONAL — CONDITIONS NOT VERIFIED","CONDITIONAL — NEVER COUNT AS UNCONDITIONAL APPROVAL"),IF(H102="Approved",IF(OR(O102&lt;&gt;"None",M102&lt;&gt;"",N102&lt;&gt;""),"CONDITION / OUTCOME CONFLICT","SOURCE-RECONCILED USE-SPECIFIC APPROVAL — CONFIRM SOURCE"),"NOT APPROVED / OUTCOME NOT RECOGNISED")))))))))))))))</f>
        <v/>
      </c>
    </row>
    <row r="103" ht="24" customHeight="1" s="14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3">
        <f>IF(COUNTA(A103:V103)=0,"",IF(A103="","UC-ID MISSING",IF(COUNTIF($A$4:$A$203,A103)&gt;1,"DUPLICATE UC-ID — CONFLICT",IF(OR(B103="",C103="",D103="",E103="",F103="",G103="",H103="",I103="",J103="",K103="",L103="",O103="",P103="",Q103="",R103="",S103="",T103="",U103="",V103=""),"EVIDENCE INCOMPLETE",IF(OR(ISNA(MATCH(F103,{"Critical","High","Medium","Low"},0)),ISNA(MATCH(E103,{"Priority 1 – Critical","Priority 2 – High","Priority 3 – Standard","Priority 4 – Routine","Priority 5 – Observe","Governance Investigation Required"},0))),"TIER / PRIORITY NOT RECOGNISED",IF(U103&lt;&gt;"Verified","UNVERIFIED / CONFLICT",IF(K103&lt;&gt;"UC-ID specific","NOT UC-SCOPED",IF(OR(NOT(ISNUMBER(Q103)),NOT(ISNUMBER(R103)),NOT(ISNUMBER(V103)),NOT(ISNUMBER($W$1))),"DATES NOT VERIFIED",IF(OR(Q103&gt;R103,V103&gt;Q103),"INVALID DATE RANGE",IF(Q103&gt;$W$1,"NOT YET EFFECTIVE",IF(R103&lt;$W$1,"EXPIRED / REVIEW DUE",IF(R103-Q103&gt;IF(F103="Critical",31,IF(F103="High",92,366)),"REVIEW INTERVAL EXCEEDS TIER CADENCE",IF(OR(H103="Pending",H103="Deferred",H103="Rejected",H103="Suspended",H103="Retired",H103="Unknown"),"NOT APPROVED / STATUS NOT CURRENT",IF(H103="Approved with conditions",IF(OR(M103="",N103="",O103="Open",O103="Unknown",O103="None"),"CONDITIONAL — CONDITIONS NOT VERIFIED","CONDITIONAL — NEVER COUNT AS UNCONDITIONAL APPROVAL"),IF(H103="Approved",IF(OR(O103&lt;&gt;"None",M103&lt;&gt;"",N103&lt;&gt;""),"CONDITION / OUTCOME CONFLICT","SOURCE-RECONCILED USE-SPECIFIC APPROVAL — CONFIRM SOURCE"),"NOT APPROVED / OUTCOME NOT RECOGNISED")))))))))))))))</f>
        <v/>
      </c>
    </row>
    <row r="104" ht="24" customHeight="1" s="1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3">
        <f>IF(COUNTA(A104:V104)=0,"",IF(A104="","UC-ID MISSING",IF(COUNTIF($A$4:$A$203,A104)&gt;1,"DUPLICATE UC-ID — CONFLICT",IF(OR(B104="",C104="",D104="",E104="",F104="",G104="",H104="",I104="",J104="",K104="",L104="",O104="",P104="",Q104="",R104="",S104="",T104="",U104="",V104=""),"EVIDENCE INCOMPLETE",IF(OR(ISNA(MATCH(F104,{"Critical","High","Medium","Low"},0)),ISNA(MATCH(E104,{"Priority 1 – Critical","Priority 2 – High","Priority 3 – Standard","Priority 4 – Routine","Priority 5 – Observe","Governance Investigation Required"},0))),"TIER / PRIORITY NOT RECOGNISED",IF(U104&lt;&gt;"Verified","UNVERIFIED / CONFLICT",IF(K104&lt;&gt;"UC-ID specific","NOT UC-SCOPED",IF(OR(NOT(ISNUMBER(Q104)),NOT(ISNUMBER(R104)),NOT(ISNUMBER(V104)),NOT(ISNUMBER($W$1))),"DATES NOT VERIFIED",IF(OR(Q104&gt;R104,V104&gt;Q104),"INVALID DATE RANGE",IF(Q104&gt;$W$1,"NOT YET EFFECTIVE",IF(R104&lt;$W$1,"EXPIRED / REVIEW DUE",IF(R104-Q104&gt;IF(F104="Critical",31,IF(F104="High",92,366)),"REVIEW INTERVAL EXCEEDS TIER CADENCE",IF(OR(H104="Pending",H104="Deferred",H104="Rejected",H104="Suspended",H104="Retired",H104="Unknown"),"NOT APPROVED / STATUS NOT CURRENT",IF(H104="Approved with conditions",IF(OR(M104="",N104="",O104="Open",O104="Unknown",O104="None"),"CONDITIONAL — CONDITIONS NOT VERIFIED","CONDITIONAL — NEVER COUNT AS UNCONDITIONAL APPROVAL"),IF(H104="Approved",IF(OR(O104&lt;&gt;"None",M104&lt;&gt;"",N104&lt;&gt;""),"CONDITION / OUTCOME CONFLICT","SOURCE-RECONCILED USE-SPECIFIC APPROVAL — CONFIRM SOURCE"),"NOT APPROVED / OUTCOME NOT RECOGNISED")))))))))))))))</f>
        <v/>
      </c>
    </row>
    <row r="105" ht="24" customHeight="1" s="14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3">
        <f>IF(COUNTA(A105:V105)=0,"",IF(A105="","UC-ID MISSING",IF(COUNTIF($A$4:$A$203,A105)&gt;1,"DUPLICATE UC-ID — CONFLICT",IF(OR(B105="",C105="",D105="",E105="",F105="",G105="",H105="",I105="",J105="",K105="",L105="",O105="",P105="",Q105="",R105="",S105="",T105="",U105="",V105=""),"EVIDENCE INCOMPLETE",IF(OR(ISNA(MATCH(F105,{"Critical","High","Medium","Low"},0)),ISNA(MATCH(E105,{"Priority 1 – Critical","Priority 2 – High","Priority 3 – Standard","Priority 4 – Routine","Priority 5 – Observe","Governance Investigation Required"},0))),"TIER / PRIORITY NOT RECOGNISED",IF(U105&lt;&gt;"Verified","UNVERIFIED / CONFLICT",IF(K105&lt;&gt;"UC-ID specific","NOT UC-SCOPED",IF(OR(NOT(ISNUMBER(Q105)),NOT(ISNUMBER(R105)),NOT(ISNUMBER(V105)),NOT(ISNUMBER($W$1))),"DATES NOT VERIFIED",IF(OR(Q105&gt;R105,V105&gt;Q105),"INVALID DATE RANGE",IF(Q105&gt;$W$1,"NOT YET EFFECTIVE",IF(R105&lt;$W$1,"EXPIRED / REVIEW DUE",IF(R105-Q105&gt;IF(F105="Critical",31,IF(F105="High",92,366)),"REVIEW INTERVAL EXCEEDS TIER CADENCE",IF(OR(H105="Pending",H105="Deferred",H105="Rejected",H105="Suspended",H105="Retired",H105="Unknown"),"NOT APPROVED / STATUS NOT CURRENT",IF(H105="Approved with conditions",IF(OR(M105="",N105="",O105="Open",O105="Unknown",O105="None"),"CONDITIONAL — CONDITIONS NOT VERIFIED","CONDITIONAL — NEVER COUNT AS UNCONDITIONAL APPROVAL"),IF(H105="Approved",IF(OR(O105&lt;&gt;"None",M105&lt;&gt;"",N105&lt;&gt;""),"CONDITION / OUTCOME CONFLICT","SOURCE-RECONCILED USE-SPECIFIC APPROVAL — CONFIRM SOURCE"),"NOT APPROVED / OUTCOME NOT RECOGNISED")))))))))))))))</f>
        <v/>
      </c>
    </row>
    <row r="106" ht="24" customHeight="1" s="14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3">
        <f>IF(COUNTA(A106:V106)=0,"",IF(A106="","UC-ID MISSING",IF(COUNTIF($A$4:$A$203,A106)&gt;1,"DUPLICATE UC-ID — CONFLICT",IF(OR(B106="",C106="",D106="",E106="",F106="",G106="",H106="",I106="",J106="",K106="",L106="",O106="",P106="",Q106="",R106="",S106="",T106="",U106="",V106=""),"EVIDENCE INCOMPLETE",IF(OR(ISNA(MATCH(F106,{"Critical","High","Medium","Low"},0)),ISNA(MATCH(E106,{"Priority 1 – Critical","Priority 2 – High","Priority 3 – Standard","Priority 4 – Routine","Priority 5 – Observe","Governance Investigation Required"},0))),"TIER / PRIORITY NOT RECOGNISED",IF(U106&lt;&gt;"Verified","UNVERIFIED / CONFLICT",IF(K106&lt;&gt;"UC-ID specific","NOT UC-SCOPED",IF(OR(NOT(ISNUMBER(Q106)),NOT(ISNUMBER(R106)),NOT(ISNUMBER(V106)),NOT(ISNUMBER($W$1))),"DATES NOT VERIFIED",IF(OR(Q106&gt;R106,V106&gt;Q106),"INVALID DATE RANGE",IF(Q106&gt;$W$1,"NOT YET EFFECTIVE",IF(R106&lt;$W$1,"EXPIRED / REVIEW DUE",IF(R106-Q106&gt;IF(F106="Critical",31,IF(F106="High",92,366)),"REVIEW INTERVAL EXCEEDS TIER CADENCE",IF(OR(H106="Pending",H106="Deferred",H106="Rejected",H106="Suspended",H106="Retired",H106="Unknown"),"NOT APPROVED / STATUS NOT CURRENT",IF(H106="Approved with conditions",IF(OR(M106="",N106="",O106="Open",O106="Unknown",O106="None"),"CONDITIONAL — CONDITIONS NOT VERIFIED","CONDITIONAL — NEVER COUNT AS UNCONDITIONAL APPROVAL"),IF(H106="Approved",IF(OR(O106&lt;&gt;"None",M106&lt;&gt;"",N106&lt;&gt;""),"CONDITION / OUTCOME CONFLICT","SOURCE-RECONCILED USE-SPECIFIC APPROVAL — CONFIRM SOURCE"),"NOT APPROVED / OUTCOME NOT RECOGNISED")))))))))))))))</f>
        <v/>
      </c>
    </row>
    <row r="107" ht="24" customHeight="1" s="14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3">
        <f>IF(COUNTA(A107:V107)=0,"",IF(A107="","UC-ID MISSING",IF(COUNTIF($A$4:$A$203,A107)&gt;1,"DUPLICATE UC-ID — CONFLICT",IF(OR(B107="",C107="",D107="",E107="",F107="",G107="",H107="",I107="",J107="",K107="",L107="",O107="",P107="",Q107="",R107="",S107="",T107="",U107="",V107=""),"EVIDENCE INCOMPLETE",IF(OR(ISNA(MATCH(F107,{"Critical","High","Medium","Low"},0)),ISNA(MATCH(E107,{"Priority 1 – Critical","Priority 2 – High","Priority 3 – Standard","Priority 4 – Routine","Priority 5 – Observe","Governance Investigation Required"},0))),"TIER / PRIORITY NOT RECOGNISED",IF(U107&lt;&gt;"Verified","UNVERIFIED / CONFLICT",IF(K107&lt;&gt;"UC-ID specific","NOT UC-SCOPED",IF(OR(NOT(ISNUMBER(Q107)),NOT(ISNUMBER(R107)),NOT(ISNUMBER(V107)),NOT(ISNUMBER($W$1))),"DATES NOT VERIFIED",IF(OR(Q107&gt;R107,V107&gt;Q107),"INVALID DATE RANGE",IF(Q107&gt;$W$1,"NOT YET EFFECTIVE",IF(R107&lt;$W$1,"EXPIRED / REVIEW DUE",IF(R107-Q107&gt;IF(F107="Critical",31,IF(F107="High",92,366)),"REVIEW INTERVAL EXCEEDS TIER CADENCE",IF(OR(H107="Pending",H107="Deferred",H107="Rejected",H107="Suspended",H107="Retired",H107="Unknown"),"NOT APPROVED / STATUS NOT CURRENT",IF(H107="Approved with conditions",IF(OR(M107="",N107="",O107="Open",O107="Unknown",O107="None"),"CONDITIONAL — CONDITIONS NOT VERIFIED","CONDITIONAL — NEVER COUNT AS UNCONDITIONAL APPROVAL"),IF(H107="Approved",IF(OR(O107&lt;&gt;"None",M107&lt;&gt;"",N107&lt;&gt;""),"CONDITION / OUTCOME CONFLICT","SOURCE-RECONCILED USE-SPECIFIC APPROVAL — CONFIRM SOURCE"),"NOT APPROVED / OUTCOME NOT RECOGNISED")))))))))))))))</f>
        <v/>
      </c>
    </row>
    <row r="108" ht="24" customHeight="1" s="14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3">
        <f>IF(COUNTA(A108:V108)=0,"",IF(A108="","UC-ID MISSING",IF(COUNTIF($A$4:$A$203,A108)&gt;1,"DUPLICATE UC-ID — CONFLICT",IF(OR(B108="",C108="",D108="",E108="",F108="",G108="",H108="",I108="",J108="",K108="",L108="",O108="",P108="",Q108="",R108="",S108="",T108="",U108="",V108=""),"EVIDENCE INCOMPLETE",IF(OR(ISNA(MATCH(F108,{"Critical","High","Medium","Low"},0)),ISNA(MATCH(E108,{"Priority 1 – Critical","Priority 2 – High","Priority 3 – Standard","Priority 4 – Routine","Priority 5 – Observe","Governance Investigation Required"},0))),"TIER / PRIORITY NOT RECOGNISED",IF(U108&lt;&gt;"Verified","UNVERIFIED / CONFLICT",IF(K108&lt;&gt;"UC-ID specific","NOT UC-SCOPED",IF(OR(NOT(ISNUMBER(Q108)),NOT(ISNUMBER(R108)),NOT(ISNUMBER(V108)),NOT(ISNUMBER($W$1))),"DATES NOT VERIFIED",IF(OR(Q108&gt;R108,V108&gt;Q108),"INVALID DATE RANGE",IF(Q108&gt;$W$1,"NOT YET EFFECTIVE",IF(R108&lt;$W$1,"EXPIRED / REVIEW DUE",IF(R108-Q108&gt;IF(F108="Critical",31,IF(F108="High",92,366)),"REVIEW INTERVAL EXCEEDS TIER CADENCE",IF(OR(H108="Pending",H108="Deferred",H108="Rejected",H108="Suspended",H108="Retired",H108="Unknown"),"NOT APPROVED / STATUS NOT CURRENT",IF(H108="Approved with conditions",IF(OR(M108="",N108="",O108="Open",O108="Unknown",O108="None"),"CONDITIONAL — CONDITIONS NOT VERIFIED","CONDITIONAL — NEVER COUNT AS UNCONDITIONAL APPROVAL"),IF(H108="Approved",IF(OR(O108&lt;&gt;"None",M108&lt;&gt;"",N108&lt;&gt;""),"CONDITION / OUTCOME CONFLICT","SOURCE-RECONCILED USE-SPECIFIC APPROVAL — CONFIRM SOURCE"),"NOT APPROVED / OUTCOME NOT RECOGNISED")))))))))))))))</f>
        <v/>
      </c>
    </row>
    <row r="109" ht="24" customHeight="1" s="14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3">
        <f>IF(COUNTA(A109:V109)=0,"",IF(A109="","UC-ID MISSING",IF(COUNTIF($A$4:$A$203,A109)&gt;1,"DUPLICATE UC-ID — CONFLICT",IF(OR(B109="",C109="",D109="",E109="",F109="",G109="",H109="",I109="",J109="",K109="",L109="",O109="",P109="",Q109="",R109="",S109="",T109="",U109="",V109=""),"EVIDENCE INCOMPLETE",IF(OR(ISNA(MATCH(F109,{"Critical","High","Medium","Low"},0)),ISNA(MATCH(E109,{"Priority 1 – Critical","Priority 2 – High","Priority 3 – Standard","Priority 4 – Routine","Priority 5 – Observe","Governance Investigation Required"},0))),"TIER / PRIORITY NOT RECOGNISED",IF(U109&lt;&gt;"Verified","UNVERIFIED / CONFLICT",IF(K109&lt;&gt;"UC-ID specific","NOT UC-SCOPED",IF(OR(NOT(ISNUMBER(Q109)),NOT(ISNUMBER(R109)),NOT(ISNUMBER(V109)),NOT(ISNUMBER($W$1))),"DATES NOT VERIFIED",IF(OR(Q109&gt;R109,V109&gt;Q109),"INVALID DATE RANGE",IF(Q109&gt;$W$1,"NOT YET EFFECTIVE",IF(R109&lt;$W$1,"EXPIRED / REVIEW DUE",IF(R109-Q109&gt;IF(F109="Critical",31,IF(F109="High",92,366)),"REVIEW INTERVAL EXCEEDS TIER CADENCE",IF(OR(H109="Pending",H109="Deferred",H109="Rejected",H109="Suspended",H109="Retired",H109="Unknown"),"NOT APPROVED / STATUS NOT CURRENT",IF(H109="Approved with conditions",IF(OR(M109="",N109="",O109="Open",O109="Unknown",O109="None"),"CONDITIONAL — CONDITIONS NOT VERIFIED","CONDITIONAL — NEVER COUNT AS UNCONDITIONAL APPROVAL"),IF(H109="Approved",IF(OR(O109&lt;&gt;"None",M109&lt;&gt;"",N109&lt;&gt;""),"CONDITION / OUTCOME CONFLICT","SOURCE-RECONCILED USE-SPECIFIC APPROVAL — CONFIRM SOURCE"),"NOT APPROVED / OUTCOME NOT RECOGNISED")))))))))))))))</f>
        <v/>
      </c>
    </row>
    <row r="110" ht="24" customHeight="1" s="14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3">
        <f>IF(COUNTA(A110:V110)=0,"",IF(A110="","UC-ID MISSING",IF(COUNTIF($A$4:$A$203,A110)&gt;1,"DUPLICATE UC-ID — CONFLICT",IF(OR(B110="",C110="",D110="",E110="",F110="",G110="",H110="",I110="",J110="",K110="",L110="",O110="",P110="",Q110="",R110="",S110="",T110="",U110="",V110=""),"EVIDENCE INCOMPLETE",IF(OR(ISNA(MATCH(F110,{"Critical","High","Medium","Low"},0)),ISNA(MATCH(E110,{"Priority 1 – Critical","Priority 2 – High","Priority 3 – Standard","Priority 4 – Routine","Priority 5 – Observe","Governance Investigation Required"},0))),"TIER / PRIORITY NOT RECOGNISED",IF(U110&lt;&gt;"Verified","UNVERIFIED / CONFLICT",IF(K110&lt;&gt;"UC-ID specific","NOT UC-SCOPED",IF(OR(NOT(ISNUMBER(Q110)),NOT(ISNUMBER(R110)),NOT(ISNUMBER(V110)),NOT(ISNUMBER($W$1))),"DATES NOT VERIFIED",IF(OR(Q110&gt;R110,V110&gt;Q110),"INVALID DATE RANGE",IF(Q110&gt;$W$1,"NOT YET EFFECTIVE",IF(R110&lt;$W$1,"EXPIRED / REVIEW DUE",IF(R110-Q110&gt;IF(F110="Critical",31,IF(F110="High",92,366)),"REVIEW INTERVAL EXCEEDS TIER CADENCE",IF(OR(H110="Pending",H110="Deferred",H110="Rejected",H110="Suspended",H110="Retired",H110="Unknown"),"NOT APPROVED / STATUS NOT CURRENT",IF(H110="Approved with conditions",IF(OR(M110="",N110="",O110="Open",O110="Unknown",O110="None"),"CONDITIONAL — CONDITIONS NOT VERIFIED","CONDITIONAL — NEVER COUNT AS UNCONDITIONAL APPROVAL"),IF(H110="Approved",IF(OR(O110&lt;&gt;"None",M110&lt;&gt;"",N110&lt;&gt;""),"CONDITION / OUTCOME CONFLICT","SOURCE-RECONCILED USE-SPECIFIC APPROVAL — CONFIRM SOURCE"),"NOT APPROVED / OUTCOME NOT RECOGNISED")))))))))))))))</f>
        <v/>
      </c>
    </row>
    <row r="111" ht="24" customHeight="1" s="14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3">
        <f>IF(COUNTA(A111:V111)=0,"",IF(A111="","UC-ID MISSING",IF(COUNTIF($A$4:$A$203,A111)&gt;1,"DUPLICATE UC-ID — CONFLICT",IF(OR(B111="",C111="",D111="",E111="",F111="",G111="",H111="",I111="",J111="",K111="",L111="",O111="",P111="",Q111="",R111="",S111="",T111="",U111="",V111=""),"EVIDENCE INCOMPLETE",IF(OR(ISNA(MATCH(F111,{"Critical","High","Medium","Low"},0)),ISNA(MATCH(E111,{"Priority 1 – Critical","Priority 2 – High","Priority 3 – Standard","Priority 4 – Routine","Priority 5 – Observe","Governance Investigation Required"},0))),"TIER / PRIORITY NOT RECOGNISED",IF(U111&lt;&gt;"Verified","UNVERIFIED / CONFLICT",IF(K111&lt;&gt;"UC-ID specific","NOT UC-SCOPED",IF(OR(NOT(ISNUMBER(Q111)),NOT(ISNUMBER(R111)),NOT(ISNUMBER(V111)),NOT(ISNUMBER($W$1))),"DATES NOT VERIFIED",IF(OR(Q111&gt;R111,V111&gt;Q111),"INVALID DATE RANGE",IF(Q111&gt;$W$1,"NOT YET EFFECTIVE",IF(R111&lt;$W$1,"EXPIRED / REVIEW DUE",IF(R111-Q111&gt;IF(F111="Critical",31,IF(F111="High",92,366)),"REVIEW INTERVAL EXCEEDS TIER CADENCE",IF(OR(H111="Pending",H111="Deferred",H111="Rejected",H111="Suspended",H111="Retired",H111="Unknown"),"NOT APPROVED / STATUS NOT CURRENT",IF(H111="Approved with conditions",IF(OR(M111="",N111="",O111="Open",O111="Unknown",O111="None"),"CONDITIONAL — CONDITIONS NOT VERIFIED","CONDITIONAL — NEVER COUNT AS UNCONDITIONAL APPROVAL"),IF(H111="Approved",IF(OR(O111&lt;&gt;"None",M111&lt;&gt;"",N111&lt;&gt;""),"CONDITION / OUTCOME CONFLICT","SOURCE-RECONCILED USE-SPECIFIC APPROVAL — CONFIRM SOURCE"),"NOT APPROVED / OUTCOME NOT RECOGNISED")))))))))))))))</f>
        <v/>
      </c>
    </row>
    <row r="112" ht="24" customHeight="1" s="14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3">
        <f>IF(COUNTA(A112:V112)=0,"",IF(A112="","UC-ID MISSING",IF(COUNTIF($A$4:$A$203,A112)&gt;1,"DUPLICATE UC-ID — CONFLICT",IF(OR(B112="",C112="",D112="",E112="",F112="",G112="",H112="",I112="",J112="",K112="",L112="",O112="",P112="",Q112="",R112="",S112="",T112="",U112="",V112=""),"EVIDENCE INCOMPLETE",IF(OR(ISNA(MATCH(F112,{"Critical","High","Medium","Low"},0)),ISNA(MATCH(E112,{"Priority 1 – Critical","Priority 2 – High","Priority 3 – Standard","Priority 4 – Routine","Priority 5 – Observe","Governance Investigation Required"},0))),"TIER / PRIORITY NOT RECOGNISED",IF(U112&lt;&gt;"Verified","UNVERIFIED / CONFLICT",IF(K112&lt;&gt;"UC-ID specific","NOT UC-SCOPED",IF(OR(NOT(ISNUMBER(Q112)),NOT(ISNUMBER(R112)),NOT(ISNUMBER(V112)),NOT(ISNUMBER($W$1))),"DATES NOT VERIFIED",IF(OR(Q112&gt;R112,V112&gt;Q112),"INVALID DATE RANGE",IF(Q112&gt;$W$1,"NOT YET EFFECTIVE",IF(R112&lt;$W$1,"EXPIRED / REVIEW DUE",IF(R112-Q112&gt;IF(F112="Critical",31,IF(F112="High",92,366)),"REVIEW INTERVAL EXCEEDS TIER CADENCE",IF(OR(H112="Pending",H112="Deferred",H112="Rejected",H112="Suspended",H112="Retired",H112="Unknown"),"NOT APPROVED / STATUS NOT CURRENT",IF(H112="Approved with conditions",IF(OR(M112="",N112="",O112="Open",O112="Unknown",O112="None"),"CONDITIONAL — CONDITIONS NOT VERIFIED","CONDITIONAL — NEVER COUNT AS UNCONDITIONAL APPROVAL"),IF(H112="Approved",IF(OR(O112&lt;&gt;"None",M112&lt;&gt;"",N112&lt;&gt;""),"CONDITION / OUTCOME CONFLICT","SOURCE-RECONCILED USE-SPECIFIC APPROVAL — CONFIRM SOURCE"),"NOT APPROVED / OUTCOME NOT RECOGNISED")))))))))))))))</f>
        <v/>
      </c>
    </row>
    <row r="113" ht="24" customHeight="1" s="14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3">
        <f>IF(COUNTA(A113:V113)=0,"",IF(A113="","UC-ID MISSING",IF(COUNTIF($A$4:$A$203,A113)&gt;1,"DUPLICATE UC-ID — CONFLICT",IF(OR(B113="",C113="",D113="",E113="",F113="",G113="",H113="",I113="",J113="",K113="",L113="",O113="",P113="",Q113="",R113="",S113="",T113="",U113="",V113=""),"EVIDENCE INCOMPLETE",IF(OR(ISNA(MATCH(F113,{"Critical","High","Medium","Low"},0)),ISNA(MATCH(E113,{"Priority 1 – Critical","Priority 2 – High","Priority 3 – Standard","Priority 4 – Routine","Priority 5 – Observe","Governance Investigation Required"},0))),"TIER / PRIORITY NOT RECOGNISED",IF(U113&lt;&gt;"Verified","UNVERIFIED / CONFLICT",IF(K113&lt;&gt;"UC-ID specific","NOT UC-SCOPED",IF(OR(NOT(ISNUMBER(Q113)),NOT(ISNUMBER(R113)),NOT(ISNUMBER(V113)),NOT(ISNUMBER($W$1))),"DATES NOT VERIFIED",IF(OR(Q113&gt;R113,V113&gt;Q113),"INVALID DATE RANGE",IF(Q113&gt;$W$1,"NOT YET EFFECTIVE",IF(R113&lt;$W$1,"EXPIRED / REVIEW DUE",IF(R113-Q113&gt;IF(F113="Critical",31,IF(F113="High",92,366)),"REVIEW INTERVAL EXCEEDS TIER CADENCE",IF(OR(H113="Pending",H113="Deferred",H113="Rejected",H113="Suspended",H113="Retired",H113="Unknown"),"NOT APPROVED / STATUS NOT CURRENT",IF(H113="Approved with conditions",IF(OR(M113="",N113="",O113="Open",O113="Unknown",O113="None"),"CONDITIONAL — CONDITIONS NOT VERIFIED","CONDITIONAL — NEVER COUNT AS UNCONDITIONAL APPROVAL"),IF(H113="Approved",IF(OR(O113&lt;&gt;"None",M113&lt;&gt;"",N113&lt;&gt;""),"CONDITION / OUTCOME CONFLICT","SOURCE-RECONCILED USE-SPECIFIC APPROVAL — CONFIRM SOURCE"),"NOT APPROVED / OUTCOME NOT RECOGNISED")))))))))))))))</f>
        <v/>
      </c>
    </row>
    <row r="114" ht="24" customHeight="1" s="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3">
        <f>IF(COUNTA(A114:V114)=0,"",IF(A114="","UC-ID MISSING",IF(COUNTIF($A$4:$A$203,A114)&gt;1,"DUPLICATE UC-ID — CONFLICT",IF(OR(B114="",C114="",D114="",E114="",F114="",G114="",H114="",I114="",J114="",K114="",L114="",O114="",P114="",Q114="",R114="",S114="",T114="",U114="",V114=""),"EVIDENCE INCOMPLETE",IF(OR(ISNA(MATCH(F114,{"Critical","High","Medium","Low"},0)),ISNA(MATCH(E114,{"Priority 1 – Critical","Priority 2 – High","Priority 3 – Standard","Priority 4 – Routine","Priority 5 – Observe","Governance Investigation Required"},0))),"TIER / PRIORITY NOT RECOGNISED",IF(U114&lt;&gt;"Verified","UNVERIFIED / CONFLICT",IF(K114&lt;&gt;"UC-ID specific","NOT UC-SCOPED",IF(OR(NOT(ISNUMBER(Q114)),NOT(ISNUMBER(R114)),NOT(ISNUMBER(V114)),NOT(ISNUMBER($W$1))),"DATES NOT VERIFIED",IF(OR(Q114&gt;R114,V114&gt;Q114),"INVALID DATE RANGE",IF(Q114&gt;$W$1,"NOT YET EFFECTIVE",IF(R114&lt;$W$1,"EXPIRED / REVIEW DUE",IF(R114-Q114&gt;IF(F114="Critical",31,IF(F114="High",92,366)),"REVIEW INTERVAL EXCEEDS TIER CADENCE",IF(OR(H114="Pending",H114="Deferred",H114="Rejected",H114="Suspended",H114="Retired",H114="Unknown"),"NOT APPROVED / STATUS NOT CURRENT",IF(H114="Approved with conditions",IF(OR(M114="",N114="",O114="Open",O114="Unknown",O114="None"),"CONDITIONAL — CONDITIONS NOT VERIFIED","CONDITIONAL — NEVER COUNT AS UNCONDITIONAL APPROVAL"),IF(H114="Approved",IF(OR(O114&lt;&gt;"None",M114&lt;&gt;"",N114&lt;&gt;""),"CONDITION / OUTCOME CONFLICT","SOURCE-RECONCILED USE-SPECIFIC APPROVAL — CONFIRM SOURCE"),"NOT APPROVED / OUTCOME NOT RECOGNISED")))))))))))))))</f>
        <v/>
      </c>
    </row>
    <row r="115" ht="24" customHeight="1" s="14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3">
        <f>IF(COUNTA(A115:V115)=0,"",IF(A115="","UC-ID MISSING",IF(COUNTIF($A$4:$A$203,A115)&gt;1,"DUPLICATE UC-ID — CONFLICT",IF(OR(B115="",C115="",D115="",E115="",F115="",G115="",H115="",I115="",J115="",K115="",L115="",O115="",P115="",Q115="",R115="",S115="",T115="",U115="",V115=""),"EVIDENCE INCOMPLETE",IF(OR(ISNA(MATCH(F115,{"Critical","High","Medium","Low"},0)),ISNA(MATCH(E115,{"Priority 1 – Critical","Priority 2 – High","Priority 3 – Standard","Priority 4 – Routine","Priority 5 – Observe","Governance Investigation Required"},0))),"TIER / PRIORITY NOT RECOGNISED",IF(U115&lt;&gt;"Verified","UNVERIFIED / CONFLICT",IF(K115&lt;&gt;"UC-ID specific","NOT UC-SCOPED",IF(OR(NOT(ISNUMBER(Q115)),NOT(ISNUMBER(R115)),NOT(ISNUMBER(V115)),NOT(ISNUMBER($W$1))),"DATES NOT VERIFIED",IF(OR(Q115&gt;R115,V115&gt;Q115),"INVALID DATE RANGE",IF(Q115&gt;$W$1,"NOT YET EFFECTIVE",IF(R115&lt;$W$1,"EXPIRED / REVIEW DUE",IF(R115-Q115&gt;IF(F115="Critical",31,IF(F115="High",92,366)),"REVIEW INTERVAL EXCEEDS TIER CADENCE",IF(OR(H115="Pending",H115="Deferred",H115="Rejected",H115="Suspended",H115="Retired",H115="Unknown"),"NOT APPROVED / STATUS NOT CURRENT",IF(H115="Approved with conditions",IF(OR(M115="",N115="",O115="Open",O115="Unknown",O115="None"),"CONDITIONAL — CONDITIONS NOT VERIFIED","CONDITIONAL — NEVER COUNT AS UNCONDITIONAL APPROVAL"),IF(H115="Approved",IF(OR(O115&lt;&gt;"None",M115&lt;&gt;"",N115&lt;&gt;""),"CONDITION / OUTCOME CONFLICT","SOURCE-RECONCILED USE-SPECIFIC APPROVAL — CONFIRM SOURCE"),"NOT APPROVED / OUTCOME NOT RECOGNISED")))))))))))))))</f>
        <v/>
      </c>
    </row>
    <row r="116" ht="24" customHeight="1" s="14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3">
        <f>IF(COUNTA(A116:V116)=0,"",IF(A116="","UC-ID MISSING",IF(COUNTIF($A$4:$A$203,A116)&gt;1,"DUPLICATE UC-ID — CONFLICT",IF(OR(B116="",C116="",D116="",E116="",F116="",G116="",H116="",I116="",J116="",K116="",L116="",O116="",P116="",Q116="",R116="",S116="",T116="",U116="",V116=""),"EVIDENCE INCOMPLETE",IF(OR(ISNA(MATCH(F116,{"Critical","High","Medium","Low"},0)),ISNA(MATCH(E116,{"Priority 1 – Critical","Priority 2 – High","Priority 3 – Standard","Priority 4 – Routine","Priority 5 – Observe","Governance Investigation Required"},0))),"TIER / PRIORITY NOT RECOGNISED",IF(U116&lt;&gt;"Verified","UNVERIFIED / CONFLICT",IF(K116&lt;&gt;"UC-ID specific","NOT UC-SCOPED",IF(OR(NOT(ISNUMBER(Q116)),NOT(ISNUMBER(R116)),NOT(ISNUMBER(V116)),NOT(ISNUMBER($W$1))),"DATES NOT VERIFIED",IF(OR(Q116&gt;R116,V116&gt;Q116),"INVALID DATE RANGE",IF(Q116&gt;$W$1,"NOT YET EFFECTIVE",IF(R116&lt;$W$1,"EXPIRED / REVIEW DUE",IF(R116-Q116&gt;IF(F116="Critical",31,IF(F116="High",92,366)),"REVIEW INTERVAL EXCEEDS TIER CADENCE",IF(OR(H116="Pending",H116="Deferred",H116="Rejected",H116="Suspended",H116="Retired",H116="Unknown"),"NOT APPROVED / STATUS NOT CURRENT",IF(H116="Approved with conditions",IF(OR(M116="",N116="",O116="Open",O116="Unknown",O116="None"),"CONDITIONAL — CONDITIONS NOT VERIFIED","CONDITIONAL — NEVER COUNT AS UNCONDITIONAL APPROVAL"),IF(H116="Approved",IF(OR(O116&lt;&gt;"None",M116&lt;&gt;"",N116&lt;&gt;""),"CONDITION / OUTCOME CONFLICT","SOURCE-RECONCILED USE-SPECIFIC APPROVAL — CONFIRM SOURCE"),"NOT APPROVED / OUTCOME NOT RECOGNISED")))))))))))))))</f>
        <v/>
      </c>
    </row>
    <row r="117" ht="24" customHeight="1" s="14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3">
        <f>IF(COUNTA(A117:V117)=0,"",IF(A117="","UC-ID MISSING",IF(COUNTIF($A$4:$A$203,A117)&gt;1,"DUPLICATE UC-ID — CONFLICT",IF(OR(B117="",C117="",D117="",E117="",F117="",G117="",H117="",I117="",J117="",K117="",L117="",O117="",P117="",Q117="",R117="",S117="",T117="",U117="",V117=""),"EVIDENCE INCOMPLETE",IF(OR(ISNA(MATCH(F117,{"Critical","High","Medium","Low"},0)),ISNA(MATCH(E117,{"Priority 1 – Critical","Priority 2 – High","Priority 3 – Standard","Priority 4 – Routine","Priority 5 – Observe","Governance Investigation Required"},0))),"TIER / PRIORITY NOT RECOGNISED",IF(U117&lt;&gt;"Verified","UNVERIFIED / CONFLICT",IF(K117&lt;&gt;"UC-ID specific","NOT UC-SCOPED",IF(OR(NOT(ISNUMBER(Q117)),NOT(ISNUMBER(R117)),NOT(ISNUMBER(V117)),NOT(ISNUMBER($W$1))),"DATES NOT VERIFIED",IF(OR(Q117&gt;R117,V117&gt;Q117),"INVALID DATE RANGE",IF(Q117&gt;$W$1,"NOT YET EFFECTIVE",IF(R117&lt;$W$1,"EXPIRED / REVIEW DUE",IF(R117-Q117&gt;IF(F117="Critical",31,IF(F117="High",92,366)),"REVIEW INTERVAL EXCEEDS TIER CADENCE",IF(OR(H117="Pending",H117="Deferred",H117="Rejected",H117="Suspended",H117="Retired",H117="Unknown"),"NOT APPROVED / STATUS NOT CURRENT",IF(H117="Approved with conditions",IF(OR(M117="",N117="",O117="Open",O117="Unknown",O117="None"),"CONDITIONAL — CONDITIONS NOT VERIFIED","CONDITIONAL — NEVER COUNT AS UNCONDITIONAL APPROVAL"),IF(H117="Approved",IF(OR(O117&lt;&gt;"None",M117&lt;&gt;"",N117&lt;&gt;""),"CONDITION / OUTCOME CONFLICT","SOURCE-RECONCILED USE-SPECIFIC APPROVAL — CONFIRM SOURCE"),"NOT APPROVED / OUTCOME NOT RECOGNISED")))))))))))))))</f>
        <v/>
      </c>
    </row>
    <row r="118" ht="24" customHeight="1" s="14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3">
        <f>IF(COUNTA(A118:V118)=0,"",IF(A118="","UC-ID MISSING",IF(COUNTIF($A$4:$A$203,A118)&gt;1,"DUPLICATE UC-ID — CONFLICT",IF(OR(B118="",C118="",D118="",E118="",F118="",G118="",H118="",I118="",J118="",K118="",L118="",O118="",P118="",Q118="",R118="",S118="",T118="",U118="",V118=""),"EVIDENCE INCOMPLETE",IF(OR(ISNA(MATCH(F118,{"Critical","High","Medium","Low"},0)),ISNA(MATCH(E118,{"Priority 1 – Critical","Priority 2 – High","Priority 3 – Standard","Priority 4 – Routine","Priority 5 – Observe","Governance Investigation Required"},0))),"TIER / PRIORITY NOT RECOGNISED",IF(U118&lt;&gt;"Verified","UNVERIFIED / CONFLICT",IF(K118&lt;&gt;"UC-ID specific","NOT UC-SCOPED",IF(OR(NOT(ISNUMBER(Q118)),NOT(ISNUMBER(R118)),NOT(ISNUMBER(V118)),NOT(ISNUMBER($W$1))),"DATES NOT VERIFIED",IF(OR(Q118&gt;R118,V118&gt;Q118),"INVALID DATE RANGE",IF(Q118&gt;$W$1,"NOT YET EFFECTIVE",IF(R118&lt;$W$1,"EXPIRED / REVIEW DUE",IF(R118-Q118&gt;IF(F118="Critical",31,IF(F118="High",92,366)),"REVIEW INTERVAL EXCEEDS TIER CADENCE",IF(OR(H118="Pending",H118="Deferred",H118="Rejected",H118="Suspended",H118="Retired",H118="Unknown"),"NOT APPROVED / STATUS NOT CURRENT",IF(H118="Approved with conditions",IF(OR(M118="",N118="",O118="Open",O118="Unknown",O118="None"),"CONDITIONAL — CONDITIONS NOT VERIFIED","CONDITIONAL — NEVER COUNT AS UNCONDITIONAL APPROVAL"),IF(H118="Approved",IF(OR(O118&lt;&gt;"None",M118&lt;&gt;"",N118&lt;&gt;""),"CONDITION / OUTCOME CONFLICT","SOURCE-RECONCILED USE-SPECIFIC APPROVAL — CONFIRM SOURCE"),"NOT APPROVED / OUTCOME NOT RECOGNISED")))))))))))))))</f>
        <v/>
      </c>
    </row>
    <row r="119" ht="24" customHeight="1" s="14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3">
        <f>IF(COUNTA(A119:V119)=0,"",IF(A119="","UC-ID MISSING",IF(COUNTIF($A$4:$A$203,A119)&gt;1,"DUPLICATE UC-ID — CONFLICT",IF(OR(B119="",C119="",D119="",E119="",F119="",G119="",H119="",I119="",J119="",K119="",L119="",O119="",P119="",Q119="",R119="",S119="",T119="",U119="",V119=""),"EVIDENCE INCOMPLETE",IF(OR(ISNA(MATCH(F119,{"Critical","High","Medium","Low"},0)),ISNA(MATCH(E119,{"Priority 1 – Critical","Priority 2 – High","Priority 3 – Standard","Priority 4 – Routine","Priority 5 – Observe","Governance Investigation Required"},0))),"TIER / PRIORITY NOT RECOGNISED",IF(U119&lt;&gt;"Verified","UNVERIFIED / CONFLICT",IF(K119&lt;&gt;"UC-ID specific","NOT UC-SCOPED",IF(OR(NOT(ISNUMBER(Q119)),NOT(ISNUMBER(R119)),NOT(ISNUMBER(V119)),NOT(ISNUMBER($W$1))),"DATES NOT VERIFIED",IF(OR(Q119&gt;R119,V119&gt;Q119),"INVALID DATE RANGE",IF(Q119&gt;$W$1,"NOT YET EFFECTIVE",IF(R119&lt;$W$1,"EXPIRED / REVIEW DUE",IF(R119-Q119&gt;IF(F119="Critical",31,IF(F119="High",92,366)),"REVIEW INTERVAL EXCEEDS TIER CADENCE",IF(OR(H119="Pending",H119="Deferred",H119="Rejected",H119="Suspended",H119="Retired",H119="Unknown"),"NOT APPROVED / STATUS NOT CURRENT",IF(H119="Approved with conditions",IF(OR(M119="",N119="",O119="Open",O119="Unknown",O119="None"),"CONDITIONAL — CONDITIONS NOT VERIFIED","CONDITIONAL — NEVER COUNT AS UNCONDITIONAL APPROVAL"),IF(H119="Approved",IF(OR(O119&lt;&gt;"None",M119&lt;&gt;"",N119&lt;&gt;""),"CONDITION / OUTCOME CONFLICT","SOURCE-RECONCILED USE-SPECIFIC APPROVAL — CONFIRM SOURCE"),"NOT APPROVED / OUTCOME NOT RECOGNISED")))))))))))))))</f>
        <v/>
      </c>
    </row>
    <row r="120" ht="24" customHeight="1" s="14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3">
        <f>IF(COUNTA(A120:V120)=0,"",IF(A120="","UC-ID MISSING",IF(COUNTIF($A$4:$A$203,A120)&gt;1,"DUPLICATE UC-ID — CONFLICT",IF(OR(B120="",C120="",D120="",E120="",F120="",G120="",H120="",I120="",J120="",K120="",L120="",O120="",P120="",Q120="",R120="",S120="",T120="",U120="",V120=""),"EVIDENCE INCOMPLETE",IF(OR(ISNA(MATCH(F120,{"Critical","High","Medium","Low"},0)),ISNA(MATCH(E120,{"Priority 1 – Critical","Priority 2 – High","Priority 3 – Standard","Priority 4 – Routine","Priority 5 – Observe","Governance Investigation Required"},0))),"TIER / PRIORITY NOT RECOGNISED",IF(U120&lt;&gt;"Verified","UNVERIFIED / CONFLICT",IF(K120&lt;&gt;"UC-ID specific","NOT UC-SCOPED",IF(OR(NOT(ISNUMBER(Q120)),NOT(ISNUMBER(R120)),NOT(ISNUMBER(V120)),NOT(ISNUMBER($W$1))),"DATES NOT VERIFIED",IF(OR(Q120&gt;R120,V120&gt;Q120),"INVALID DATE RANGE",IF(Q120&gt;$W$1,"NOT YET EFFECTIVE",IF(R120&lt;$W$1,"EXPIRED / REVIEW DUE",IF(R120-Q120&gt;IF(F120="Critical",31,IF(F120="High",92,366)),"REVIEW INTERVAL EXCEEDS TIER CADENCE",IF(OR(H120="Pending",H120="Deferred",H120="Rejected",H120="Suspended",H120="Retired",H120="Unknown"),"NOT APPROVED / STATUS NOT CURRENT",IF(H120="Approved with conditions",IF(OR(M120="",N120="",O120="Open",O120="Unknown",O120="None"),"CONDITIONAL — CONDITIONS NOT VERIFIED","CONDITIONAL — NEVER COUNT AS UNCONDITIONAL APPROVAL"),IF(H120="Approved",IF(OR(O120&lt;&gt;"None",M120&lt;&gt;"",N120&lt;&gt;""),"CONDITION / OUTCOME CONFLICT","SOURCE-RECONCILED USE-SPECIFIC APPROVAL — CONFIRM SOURCE"),"NOT APPROVED / OUTCOME NOT RECOGNISED")))))))))))))))</f>
        <v/>
      </c>
    </row>
    <row r="121" ht="24" customHeight="1" s="14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3">
        <f>IF(COUNTA(A121:V121)=0,"",IF(A121="","UC-ID MISSING",IF(COUNTIF($A$4:$A$203,A121)&gt;1,"DUPLICATE UC-ID — CONFLICT",IF(OR(B121="",C121="",D121="",E121="",F121="",G121="",H121="",I121="",J121="",K121="",L121="",O121="",P121="",Q121="",R121="",S121="",T121="",U121="",V121=""),"EVIDENCE INCOMPLETE",IF(OR(ISNA(MATCH(F121,{"Critical","High","Medium","Low"},0)),ISNA(MATCH(E121,{"Priority 1 – Critical","Priority 2 – High","Priority 3 – Standard","Priority 4 – Routine","Priority 5 – Observe","Governance Investigation Required"},0))),"TIER / PRIORITY NOT RECOGNISED",IF(U121&lt;&gt;"Verified","UNVERIFIED / CONFLICT",IF(K121&lt;&gt;"UC-ID specific","NOT UC-SCOPED",IF(OR(NOT(ISNUMBER(Q121)),NOT(ISNUMBER(R121)),NOT(ISNUMBER(V121)),NOT(ISNUMBER($W$1))),"DATES NOT VERIFIED",IF(OR(Q121&gt;R121,V121&gt;Q121),"INVALID DATE RANGE",IF(Q121&gt;$W$1,"NOT YET EFFECTIVE",IF(R121&lt;$W$1,"EXPIRED / REVIEW DUE",IF(R121-Q121&gt;IF(F121="Critical",31,IF(F121="High",92,366)),"REVIEW INTERVAL EXCEEDS TIER CADENCE",IF(OR(H121="Pending",H121="Deferred",H121="Rejected",H121="Suspended",H121="Retired",H121="Unknown"),"NOT APPROVED / STATUS NOT CURRENT",IF(H121="Approved with conditions",IF(OR(M121="",N121="",O121="Open",O121="Unknown",O121="None"),"CONDITIONAL — CONDITIONS NOT VERIFIED","CONDITIONAL — NEVER COUNT AS UNCONDITIONAL APPROVAL"),IF(H121="Approved",IF(OR(O121&lt;&gt;"None",M121&lt;&gt;"",N121&lt;&gt;""),"CONDITION / OUTCOME CONFLICT","SOURCE-RECONCILED USE-SPECIFIC APPROVAL — CONFIRM SOURCE"),"NOT APPROVED / OUTCOME NOT RECOGNISED")))))))))))))))</f>
        <v/>
      </c>
    </row>
    <row r="122" ht="24" customHeight="1" s="14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3">
        <f>IF(COUNTA(A122:V122)=0,"",IF(A122="","UC-ID MISSING",IF(COUNTIF($A$4:$A$203,A122)&gt;1,"DUPLICATE UC-ID — CONFLICT",IF(OR(B122="",C122="",D122="",E122="",F122="",G122="",H122="",I122="",J122="",K122="",L122="",O122="",P122="",Q122="",R122="",S122="",T122="",U122="",V122=""),"EVIDENCE INCOMPLETE",IF(OR(ISNA(MATCH(F122,{"Critical","High","Medium","Low"},0)),ISNA(MATCH(E122,{"Priority 1 – Critical","Priority 2 – High","Priority 3 – Standard","Priority 4 – Routine","Priority 5 – Observe","Governance Investigation Required"},0))),"TIER / PRIORITY NOT RECOGNISED",IF(U122&lt;&gt;"Verified","UNVERIFIED / CONFLICT",IF(K122&lt;&gt;"UC-ID specific","NOT UC-SCOPED",IF(OR(NOT(ISNUMBER(Q122)),NOT(ISNUMBER(R122)),NOT(ISNUMBER(V122)),NOT(ISNUMBER($W$1))),"DATES NOT VERIFIED",IF(OR(Q122&gt;R122,V122&gt;Q122),"INVALID DATE RANGE",IF(Q122&gt;$W$1,"NOT YET EFFECTIVE",IF(R122&lt;$W$1,"EXPIRED / REVIEW DUE",IF(R122-Q122&gt;IF(F122="Critical",31,IF(F122="High",92,366)),"REVIEW INTERVAL EXCEEDS TIER CADENCE",IF(OR(H122="Pending",H122="Deferred",H122="Rejected",H122="Suspended",H122="Retired",H122="Unknown"),"NOT APPROVED / STATUS NOT CURRENT",IF(H122="Approved with conditions",IF(OR(M122="",N122="",O122="Open",O122="Unknown",O122="None"),"CONDITIONAL — CONDITIONS NOT VERIFIED","CONDITIONAL — NEVER COUNT AS UNCONDITIONAL APPROVAL"),IF(H122="Approved",IF(OR(O122&lt;&gt;"None",M122&lt;&gt;"",N122&lt;&gt;""),"CONDITION / OUTCOME CONFLICT","SOURCE-RECONCILED USE-SPECIFIC APPROVAL — CONFIRM SOURCE"),"NOT APPROVED / OUTCOME NOT RECOGNISED")))))))))))))))</f>
        <v/>
      </c>
    </row>
    <row r="123" ht="24" customHeight="1" s="14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3">
        <f>IF(COUNTA(A123:V123)=0,"",IF(A123="","UC-ID MISSING",IF(COUNTIF($A$4:$A$203,A123)&gt;1,"DUPLICATE UC-ID — CONFLICT",IF(OR(B123="",C123="",D123="",E123="",F123="",G123="",H123="",I123="",J123="",K123="",L123="",O123="",P123="",Q123="",R123="",S123="",T123="",U123="",V123=""),"EVIDENCE INCOMPLETE",IF(OR(ISNA(MATCH(F123,{"Critical","High","Medium","Low"},0)),ISNA(MATCH(E123,{"Priority 1 – Critical","Priority 2 – High","Priority 3 – Standard","Priority 4 – Routine","Priority 5 – Observe","Governance Investigation Required"},0))),"TIER / PRIORITY NOT RECOGNISED",IF(U123&lt;&gt;"Verified","UNVERIFIED / CONFLICT",IF(K123&lt;&gt;"UC-ID specific","NOT UC-SCOPED",IF(OR(NOT(ISNUMBER(Q123)),NOT(ISNUMBER(R123)),NOT(ISNUMBER(V123)),NOT(ISNUMBER($W$1))),"DATES NOT VERIFIED",IF(OR(Q123&gt;R123,V123&gt;Q123),"INVALID DATE RANGE",IF(Q123&gt;$W$1,"NOT YET EFFECTIVE",IF(R123&lt;$W$1,"EXPIRED / REVIEW DUE",IF(R123-Q123&gt;IF(F123="Critical",31,IF(F123="High",92,366)),"REVIEW INTERVAL EXCEEDS TIER CADENCE",IF(OR(H123="Pending",H123="Deferred",H123="Rejected",H123="Suspended",H123="Retired",H123="Unknown"),"NOT APPROVED / STATUS NOT CURRENT",IF(H123="Approved with conditions",IF(OR(M123="",N123="",O123="Open",O123="Unknown",O123="None"),"CONDITIONAL — CONDITIONS NOT VERIFIED","CONDITIONAL — NEVER COUNT AS UNCONDITIONAL APPROVAL"),IF(H123="Approved",IF(OR(O123&lt;&gt;"None",M123&lt;&gt;"",N123&lt;&gt;""),"CONDITION / OUTCOME CONFLICT","SOURCE-RECONCILED USE-SPECIFIC APPROVAL — CONFIRM SOURCE"),"NOT APPROVED / OUTCOME NOT RECOGNISED")))))))))))))))</f>
        <v/>
      </c>
    </row>
    <row r="124" ht="24" customHeight="1" s="1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3">
        <f>IF(COUNTA(A124:V124)=0,"",IF(A124="","UC-ID MISSING",IF(COUNTIF($A$4:$A$203,A124)&gt;1,"DUPLICATE UC-ID — CONFLICT",IF(OR(B124="",C124="",D124="",E124="",F124="",G124="",H124="",I124="",J124="",K124="",L124="",O124="",P124="",Q124="",R124="",S124="",T124="",U124="",V124=""),"EVIDENCE INCOMPLETE",IF(OR(ISNA(MATCH(F124,{"Critical","High","Medium","Low"},0)),ISNA(MATCH(E124,{"Priority 1 – Critical","Priority 2 – High","Priority 3 – Standard","Priority 4 – Routine","Priority 5 – Observe","Governance Investigation Required"},0))),"TIER / PRIORITY NOT RECOGNISED",IF(U124&lt;&gt;"Verified","UNVERIFIED / CONFLICT",IF(K124&lt;&gt;"UC-ID specific","NOT UC-SCOPED",IF(OR(NOT(ISNUMBER(Q124)),NOT(ISNUMBER(R124)),NOT(ISNUMBER(V124)),NOT(ISNUMBER($W$1))),"DATES NOT VERIFIED",IF(OR(Q124&gt;R124,V124&gt;Q124),"INVALID DATE RANGE",IF(Q124&gt;$W$1,"NOT YET EFFECTIVE",IF(R124&lt;$W$1,"EXPIRED / REVIEW DUE",IF(R124-Q124&gt;IF(F124="Critical",31,IF(F124="High",92,366)),"REVIEW INTERVAL EXCEEDS TIER CADENCE",IF(OR(H124="Pending",H124="Deferred",H124="Rejected",H124="Suspended",H124="Retired",H124="Unknown"),"NOT APPROVED / STATUS NOT CURRENT",IF(H124="Approved with conditions",IF(OR(M124="",N124="",O124="Open",O124="Unknown",O124="None"),"CONDITIONAL — CONDITIONS NOT VERIFIED","CONDITIONAL — NEVER COUNT AS UNCONDITIONAL APPROVAL"),IF(H124="Approved",IF(OR(O124&lt;&gt;"None",M124&lt;&gt;"",N124&lt;&gt;""),"CONDITION / OUTCOME CONFLICT","SOURCE-RECONCILED USE-SPECIFIC APPROVAL — CONFIRM SOURCE"),"NOT APPROVED / OUTCOME NOT RECOGNISED")))))))))))))))</f>
        <v/>
      </c>
    </row>
    <row r="125" ht="24" customHeight="1" s="14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3">
        <f>IF(COUNTA(A125:V125)=0,"",IF(A125="","UC-ID MISSING",IF(COUNTIF($A$4:$A$203,A125)&gt;1,"DUPLICATE UC-ID — CONFLICT",IF(OR(B125="",C125="",D125="",E125="",F125="",G125="",H125="",I125="",J125="",K125="",L125="",O125="",P125="",Q125="",R125="",S125="",T125="",U125="",V125=""),"EVIDENCE INCOMPLETE",IF(OR(ISNA(MATCH(F125,{"Critical","High","Medium","Low"},0)),ISNA(MATCH(E125,{"Priority 1 – Critical","Priority 2 – High","Priority 3 – Standard","Priority 4 – Routine","Priority 5 – Observe","Governance Investigation Required"},0))),"TIER / PRIORITY NOT RECOGNISED",IF(U125&lt;&gt;"Verified","UNVERIFIED / CONFLICT",IF(K125&lt;&gt;"UC-ID specific","NOT UC-SCOPED",IF(OR(NOT(ISNUMBER(Q125)),NOT(ISNUMBER(R125)),NOT(ISNUMBER(V125)),NOT(ISNUMBER($W$1))),"DATES NOT VERIFIED",IF(OR(Q125&gt;R125,V125&gt;Q125),"INVALID DATE RANGE",IF(Q125&gt;$W$1,"NOT YET EFFECTIVE",IF(R125&lt;$W$1,"EXPIRED / REVIEW DUE",IF(R125-Q125&gt;IF(F125="Critical",31,IF(F125="High",92,366)),"REVIEW INTERVAL EXCEEDS TIER CADENCE",IF(OR(H125="Pending",H125="Deferred",H125="Rejected",H125="Suspended",H125="Retired",H125="Unknown"),"NOT APPROVED / STATUS NOT CURRENT",IF(H125="Approved with conditions",IF(OR(M125="",N125="",O125="Open",O125="Unknown",O125="None"),"CONDITIONAL — CONDITIONS NOT VERIFIED","CONDITIONAL — NEVER COUNT AS UNCONDITIONAL APPROVAL"),IF(H125="Approved",IF(OR(O125&lt;&gt;"None",M125&lt;&gt;"",N125&lt;&gt;""),"CONDITION / OUTCOME CONFLICT","SOURCE-RECONCILED USE-SPECIFIC APPROVAL — CONFIRM SOURCE"),"NOT APPROVED / OUTCOME NOT RECOGNISED")))))))))))))))</f>
        <v/>
      </c>
    </row>
    <row r="126" ht="24" customHeight="1" s="14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3">
        <f>IF(COUNTA(A126:V126)=0,"",IF(A126="","UC-ID MISSING",IF(COUNTIF($A$4:$A$203,A126)&gt;1,"DUPLICATE UC-ID — CONFLICT",IF(OR(B126="",C126="",D126="",E126="",F126="",G126="",H126="",I126="",J126="",K126="",L126="",O126="",P126="",Q126="",R126="",S126="",T126="",U126="",V126=""),"EVIDENCE INCOMPLETE",IF(OR(ISNA(MATCH(F126,{"Critical","High","Medium","Low"},0)),ISNA(MATCH(E126,{"Priority 1 – Critical","Priority 2 – High","Priority 3 – Standard","Priority 4 – Routine","Priority 5 – Observe","Governance Investigation Required"},0))),"TIER / PRIORITY NOT RECOGNISED",IF(U126&lt;&gt;"Verified","UNVERIFIED / CONFLICT",IF(K126&lt;&gt;"UC-ID specific","NOT UC-SCOPED",IF(OR(NOT(ISNUMBER(Q126)),NOT(ISNUMBER(R126)),NOT(ISNUMBER(V126)),NOT(ISNUMBER($W$1))),"DATES NOT VERIFIED",IF(OR(Q126&gt;R126,V126&gt;Q126),"INVALID DATE RANGE",IF(Q126&gt;$W$1,"NOT YET EFFECTIVE",IF(R126&lt;$W$1,"EXPIRED / REVIEW DUE",IF(R126-Q126&gt;IF(F126="Critical",31,IF(F126="High",92,366)),"REVIEW INTERVAL EXCEEDS TIER CADENCE",IF(OR(H126="Pending",H126="Deferred",H126="Rejected",H126="Suspended",H126="Retired",H126="Unknown"),"NOT APPROVED / STATUS NOT CURRENT",IF(H126="Approved with conditions",IF(OR(M126="",N126="",O126="Open",O126="Unknown",O126="None"),"CONDITIONAL — CONDITIONS NOT VERIFIED","CONDITIONAL — NEVER COUNT AS UNCONDITIONAL APPROVAL"),IF(H126="Approved",IF(OR(O126&lt;&gt;"None",M126&lt;&gt;"",N126&lt;&gt;""),"CONDITION / OUTCOME CONFLICT","SOURCE-RECONCILED USE-SPECIFIC APPROVAL — CONFIRM SOURCE"),"NOT APPROVED / OUTCOME NOT RECOGNISED")))))))))))))))</f>
        <v/>
      </c>
    </row>
    <row r="127" ht="24" customHeight="1" s="14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3">
        <f>IF(COUNTA(A127:V127)=0,"",IF(A127="","UC-ID MISSING",IF(COUNTIF($A$4:$A$203,A127)&gt;1,"DUPLICATE UC-ID — CONFLICT",IF(OR(B127="",C127="",D127="",E127="",F127="",G127="",H127="",I127="",J127="",K127="",L127="",O127="",P127="",Q127="",R127="",S127="",T127="",U127="",V127=""),"EVIDENCE INCOMPLETE",IF(OR(ISNA(MATCH(F127,{"Critical","High","Medium","Low"},0)),ISNA(MATCH(E127,{"Priority 1 – Critical","Priority 2 – High","Priority 3 – Standard","Priority 4 – Routine","Priority 5 – Observe","Governance Investigation Required"},0))),"TIER / PRIORITY NOT RECOGNISED",IF(U127&lt;&gt;"Verified","UNVERIFIED / CONFLICT",IF(K127&lt;&gt;"UC-ID specific","NOT UC-SCOPED",IF(OR(NOT(ISNUMBER(Q127)),NOT(ISNUMBER(R127)),NOT(ISNUMBER(V127)),NOT(ISNUMBER($W$1))),"DATES NOT VERIFIED",IF(OR(Q127&gt;R127,V127&gt;Q127),"INVALID DATE RANGE",IF(Q127&gt;$W$1,"NOT YET EFFECTIVE",IF(R127&lt;$W$1,"EXPIRED / REVIEW DUE",IF(R127-Q127&gt;IF(F127="Critical",31,IF(F127="High",92,366)),"REVIEW INTERVAL EXCEEDS TIER CADENCE",IF(OR(H127="Pending",H127="Deferred",H127="Rejected",H127="Suspended",H127="Retired",H127="Unknown"),"NOT APPROVED / STATUS NOT CURRENT",IF(H127="Approved with conditions",IF(OR(M127="",N127="",O127="Open",O127="Unknown",O127="None"),"CONDITIONAL — CONDITIONS NOT VERIFIED","CONDITIONAL — NEVER COUNT AS UNCONDITIONAL APPROVAL"),IF(H127="Approved",IF(OR(O127&lt;&gt;"None",M127&lt;&gt;"",N127&lt;&gt;""),"CONDITION / OUTCOME CONFLICT","SOURCE-RECONCILED USE-SPECIFIC APPROVAL — CONFIRM SOURCE"),"NOT APPROVED / OUTCOME NOT RECOGNISED")))))))))))))))</f>
        <v/>
      </c>
    </row>
    <row r="128" ht="24" customHeight="1" s="14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3">
        <f>IF(COUNTA(A128:V128)=0,"",IF(A128="","UC-ID MISSING",IF(COUNTIF($A$4:$A$203,A128)&gt;1,"DUPLICATE UC-ID — CONFLICT",IF(OR(B128="",C128="",D128="",E128="",F128="",G128="",H128="",I128="",J128="",K128="",L128="",O128="",P128="",Q128="",R128="",S128="",T128="",U128="",V128=""),"EVIDENCE INCOMPLETE",IF(OR(ISNA(MATCH(F128,{"Critical","High","Medium","Low"},0)),ISNA(MATCH(E128,{"Priority 1 – Critical","Priority 2 – High","Priority 3 – Standard","Priority 4 – Routine","Priority 5 – Observe","Governance Investigation Required"},0))),"TIER / PRIORITY NOT RECOGNISED",IF(U128&lt;&gt;"Verified","UNVERIFIED / CONFLICT",IF(K128&lt;&gt;"UC-ID specific","NOT UC-SCOPED",IF(OR(NOT(ISNUMBER(Q128)),NOT(ISNUMBER(R128)),NOT(ISNUMBER(V128)),NOT(ISNUMBER($W$1))),"DATES NOT VERIFIED",IF(OR(Q128&gt;R128,V128&gt;Q128),"INVALID DATE RANGE",IF(Q128&gt;$W$1,"NOT YET EFFECTIVE",IF(R128&lt;$W$1,"EXPIRED / REVIEW DUE",IF(R128-Q128&gt;IF(F128="Critical",31,IF(F128="High",92,366)),"REVIEW INTERVAL EXCEEDS TIER CADENCE",IF(OR(H128="Pending",H128="Deferred",H128="Rejected",H128="Suspended",H128="Retired",H128="Unknown"),"NOT APPROVED / STATUS NOT CURRENT",IF(H128="Approved with conditions",IF(OR(M128="",N128="",O128="Open",O128="Unknown",O128="None"),"CONDITIONAL — CONDITIONS NOT VERIFIED","CONDITIONAL — NEVER COUNT AS UNCONDITIONAL APPROVAL"),IF(H128="Approved",IF(OR(O128&lt;&gt;"None",M128&lt;&gt;"",N128&lt;&gt;""),"CONDITION / OUTCOME CONFLICT","SOURCE-RECONCILED USE-SPECIFIC APPROVAL — CONFIRM SOURCE"),"NOT APPROVED / OUTCOME NOT RECOGNISED")))))))))))))))</f>
        <v/>
      </c>
    </row>
    <row r="129" ht="24" customHeight="1" s="14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3">
        <f>IF(COUNTA(A129:V129)=0,"",IF(A129="","UC-ID MISSING",IF(COUNTIF($A$4:$A$203,A129)&gt;1,"DUPLICATE UC-ID — CONFLICT",IF(OR(B129="",C129="",D129="",E129="",F129="",G129="",H129="",I129="",J129="",K129="",L129="",O129="",P129="",Q129="",R129="",S129="",T129="",U129="",V129=""),"EVIDENCE INCOMPLETE",IF(OR(ISNA(MATCH(F129,{"Critical","High","Medium","Low"},0)),ISNA(MATCH(E129,{"Priority 1 – Critical","Priority 2 – High","Priority 3 – Standard","Priority 4 – Routine","Priority 5 – Observe","Governance Investigation Required"},0))),"TIER / PRIORITY NOT RECOGNISED",IF(U129&lt;&gt;"Verified","UNVERIFIED / CONFLICT",IF(K129&lt;&gt;"UC-ID specific","NOT UC-SCOPED",IF(OR(NOT(ISNUMBER(Q129)),NOT(ISNUMBER(R129)),NOT(ISNUMBER(V129)),NOT(ISNUMBER($W$1))),"DATES NOT VERIFIED",IF(OR(Q129&gt;R129,V129&gt;Q129),"INVALID DATE RANGE",IF(Q129&gt;$W$1,"NOT YET EFFECTIVE",IF(R129&lt;$W$1,"EXPIRED / REVIEW DUE",IF(R129-Q129&gt;IF(F129="Critical",31,IF(F129="High",92,366)),"REVIEW INTERVAL EXCEEDS TIER CADENCE",IF(OR(H129="Pending",H129="Deferred",H129="Rejected",H129="Suspended",H129="Retired",H129="Unknown"),"NOT APPROVED / STATUS NOT CURRENT",IF(H129="Approved with conditions",IF(OR(M129="",N129="",O129="Open",O129="Unknown",O129="None"),"CONDITIONAL — CONDITIONS NOT VERIFIED","CONDITIONAL — NEVER COUNT AS UNCONDITIONAL APPROVAL"),IF(H129="Approved",IF(OR(O129&lt;&gt;"None",M129&lt;&gt;"",N129&lt;&gt;""),"CONDITION / OUTCOME CONFLICT","SOURCE-RECONCILED USE-SPECIFIC APPROVAL — CONFIRM SOURCE"),"NOT APPROVED / OUTCOME NOT RECOGNISED")))))))))))))))</f>
        <v/>
      </c>
    </row>
    <row r="130" ht="24" customHeight="1" s="14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3">
        <f>IF(COUNTA(A130:V130)=0,"",IF(A130="","UC-ID MISSING",IF(COUNTIF($A$4:$A$203,A130)&gt;1,"DUPLICATE UC-ID — CONFLICT",IF(OR(B130="",C130="",D130="",E130="",F130="",G130="",H130="",I130="",J130="",K130="",L130="",O130="",P130="",Q130="",R130="",S130="",T130="",U130="",V130=""),"EVIDENCE INCOMPLETE",IF(OR(ISNA(MATCH(F130,{"Critical","High","Medium","Low"},0)),ISNA(MATCH(E130,{"Priority 1 – Critical","Priority 2 – High","Priority 3 – Standard","Priority 4 – Routine","Priority 5 – Observe","Governance Investigation Required"},0))),"TIER / PRIORITY NOT RECOGNISED",IF(U130&lt;&gt;"Verified","UNVERIFIED / CONFLICT",IF(K130&lt;&gt;"UC-ID specific","NOT UC-SCOPED",IF(OR(NOT(ISNUMBER(Q130)),NOT(ISNUMBER(R130)),NOT(ISNUMBER(V130)),NOT(ISNUMBER($W$1))),"DATES NOT VERIFIED",IF(OR(Q130&gt;R130,V130&gt;Q130),"INVALID DATE RANGE",IF(Q130&gt;$W$1,"NOT YET EFFECTIVE",IF(R130&lt;$W$1,"EXPIRED / REVIEW DUE",IF(R130-Q130&gt;IF(F130="Critical",31,IF(F130="High",92,366)),"REVIEW INTERVAL EXCEEDS TIER CADENCE",IF(OR(H130="Pending",H130="Deferred",H130="Rejected",H130="Suspended",H130="Retired",H130="Unknown"),"NOT APPROVED / STATUS NOT CURRENT",IF(H130="Approved with conditions",IF(OR(M130="",N130="",O130="Open",O130="Unknown",O130="None"),"CONDITIONAL — CONDITIONS NOT VERIFIED","CONDITIONAL — NEVER COUNT AS UNCONDITIONAL APPROVAL"),IF(H130="Approved",IF(OR(O130&lt;&gt;"None",M130&lt;&gt;"",N130&lt;&gt;""),"CONDITION / OUTCOME CONFLICT","SOURCE-RECONCILED USE-SPECIFIC APPROVAL — CONFIRM SOURCE"),"NOT APPROVED / OUTCOME NOT RECOGNISED")))))))))))))))</f>
        <v/>
      </c>
    </row>
    <row r="131" ht="24" customHeight="1" s="14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3">
        <f>IF(COUNTA(A131:V131)=0,"",IF(A131="","UC-ID MISSING",IF(COUNTIF($A$4:$A$203,A131)&gt;1,"DUPLICATE UC-ID — CONFLICT",IF(OR(B131="",C131="",D131="",E131="",F131="",G131="",H131="",I131="",J131="",K131="",L131="",O131="",P131="",Q131="",R131="",S131="",T131="",U131="",V131=""),"EVIDENCE INCOMPLETE",IF(OR(ISNA(MATCH(F131,{"Critical","High","Medium","Low"},0)),ISNA(MATCH(E131,{"Priority 1 – Critical","Priority 2 – High","Priority 3 – Standard","Priority 4 – Routine","Priority 5 – Observe","Governance Investigation Required"},0))),"TIER / PRIORITY NOT RECOGNISED",IF(U131&lt;&gt;"Verified","UNVERIFIED / CONFLICT",IF(K131&lt;&gt;"UC-ID specific","NOT UC-SCOPED",IF(OR(NOT(ISNUMBER(Q131)),NOT(ISNUMBER(R131)),NOT(ISNUMBER(V131)),NOT(ISNUMBER($W$1))),"DATES NOT VERIFIED",IF(OR(Q131&gt;R131,V131&gt;Q131),"INVALID DATE RANGE",IF(Q131&gt;$W$1,"NOT YET EFFECTIVE",IF(R131&lt;$W$1,"EXPIRED / REVIEW DUE",IF(R131-Q131&gt;IF(F131="Critical",31,IF(F131="High",92,366)),"REVIEW INTERVAL EXCEEDS TIER CADENCE",IF(OR(H131="Pending",H131="Deferred",H131="Rejected",H131="Suspended",H131="Retired",H131="Unknown"),"NOT APPROVED / STATUS NOT CURRENT",IF(H131="Approved with conditions",IF(OR(M131="",N131="",O131="Open",O131="Unknown",O131="None"),"CONDITIONAL — CONDITIONS NOT VERIFIED","CONDITIONAL — NEVER COUNT AS UNCONDITIONAL APPROVAL"),IF(H131="Approved",IF(OR(O131&lt;&gt;"None",M131&lt;&gt;"",N131&lt;&gt;""),"CONDITION / OUTCOME CONFLICT","SOURCE-RECONCILED USE-SPECIFIC APPROVAL — CONFIRM SOURCE"),"NOT APPROVED / OUTCOME NOT RECOGNISED")))))))))))))))</f>
        <v/>
      </c>
    </row>
    <row r="132" ht="24" customHeight="1" s="14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3">
        <f>IF(COUNTA(A132:V132)=0,"",IF(A132="","UC-ID MISSING",IF(COUNTIF($A$4:$A$203,A132)&gt;1,"DUPLICATE UC-ID — CONFLICT",IF(OR(B132="",C132="",D132="",E132="",F132="",G132="",H132="",I132="",J132="",K132="",L132="",O132="",P132="",Q132="",R132="",S132="",T132="",U132="",V132=""),"EVIDENCE INCOMPLETE",IF(OR(ISNA(MATCH(F132,{"Critical","High","Medium","Low"},0)),ISNA(MATCH(E132,{"Priority 1 – Critical","Priority 2 – High","Priority 3 – Standard","Priority 4 – Routine","Priority 5 – Observe","Governance Investigation Required"},0))),"TIER / PRIORITY NOT RECOGNISED",IF(U132&lt;&gt;"Verified","UNVERIFIED / CONFLICT",IF(K132&lt;&gt;"UC-ID specific","NOT UC-SCOPED",IF(OR(NOT(ISNUMBER(Q132)),NOT(ISNUMBER(R132)),NOT(ISNUMBER(V132)),NOT(ISNUMBER($W$1))),"DATES NOT VERIFIED",IF(OR(Q132&gt;R132,V132&gt;Q132),"INVALID DATE RANGE",IF(Q132&gt;$W$1,"NOT YET EFFECTIVE",IF(R132&lt;$W$1,"EXPIRED / REVIEW DUE",IF(R132-Q132&gt;IF(F132="Critical",31,IF(F132="High",92,366)),"REVIEW INTERVAL EXCEEDS TIER CADENCE",IF(OR(H132="Pending",H132="Deferred",H132="Rejected",H132="Suspended",H132="Retired",H132="Unknown"),"NOT APPROVED / STATUS NOT CURRENT",IF(H132="Approved with conditions",IF(OR(M132="",N132="",O132="Open",O132="Unknown",O132="None"),"CONDITIONAL — CONDITIONS NOT VERIFIED","CONDITIONAL — NEVER COUNT AS UNCONDITIONAL APPROVAL"),IF(H132="Approved",IF(OR(O132&lt;&gt;"None",M132&lt;&gt;"",N132&lt;&gt;""),"CONDITION / OUTCOME CONFLICT","SOURCE-RECONCILED USE-SPECIFIC APPROVAL — CONFIRM SOURCE"),"NOT APPROVED / OUTCOME NOT RECOGNISED")))))))))))))))</f>
        <v/>
      </c>
    </row>
    <row r="133" ht="24" customHeight="1" s="14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3">
        <f>IF(COUNTA(A133:V133)=0,"",IF(A133="","UC-ID MISSING",IF(COUNTIF($A$4:$A$203,A133)&gt;1,"DUPLICATE UC-ID — CONFLICT",IF(OR(B133="",C133="",D133="",E133="",F133="",G133="",H133="",I133="",J133="",K133="",L133="",O133="",P133="",Q133="",R133="",S133="",T133="",U133="",V133=""),"EVIDENCE INCOMPLETE",IF(OR(ISNA(MATCH(F133,{"Critical","High","Medium","Low"},0)),ISNA(MATCH(E133,{"Priority 1 – Critical","Priority 2 – High","Priority 3 – Standard","Priority 4 – Routine","Priority 5 – Observe","Governance Investigation Required"},0))),"TIER / PRIORITY NOT RECOGNISED",IF(U133&lt;&gt;"Verified","UNVERIFIED / CONFLICT",IF(K133&lt;&gt;"UC-ID specific","NOT UC-SCOPED",IF(OR(NOT(ISNUMBER(Q133)),NOT(ISNUMBER(R133)),NOT(ISNUMBER(V133)),NOT(ISNUMBER($W$1))),"DATES NOT VERIFIED",IF(OR(Q133&gt;R133,V133&gt;Q133),"INVALID DATE RANGE",IF(Q133&gt;$W$1,"NOT YET EFFECTIVE",IF(R133&lt;$W$1,"EXPIRED / REVIEW DUE",IF(R133-Q133&gt;IF(F133="Critical",31,IF(F133="High",92,366)),"REVIEW INTERVAL EXCEEDS TIER CADENCE",IF(OR(H133="Pending",H133="Deferred",H133="Rejected",H133="Suspended",H133="Retired",H133="Unknown"),"NOT APPROVED / STATUS NOT CURRENT",IF(H133="Approved with conditions",IF(OR(M133="",N133="",O133="Open",O133="Unknown",O133="None"),"CONDITIONAL — CONDITIONS NOT VERIFIED","CONDITIONAL — NEVER COUNT AS UNCONDITIONAL APPROVAL"),IF(H133="Approved",IF(OR(O133&lt;&gt;"None",M133&lt;&gt;"",N133&lt;&gt;""),"CONDITION / OUTCOME CONFLICT","SOURCE-RECONCILED USE-SPECIFIC APPROVAL — CONFIRM SOURCE"),"NOT APPROVED / OUTCOME NOT RECOGNISED")))))))))))))))</f>
        <v/>
      </c>
    </row>
    <row r="134" ht="24" customHeight="1" s="1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3">
        <f>IF(COUNTA(A134:V134)=0,"",IF(A134="","UC-ID MISSING",IF(COUNTIF($A$4:$A$203,A134)&gt;1,"DUPLICATE UC-ID — CONFLICT",IF(OR(B134="",C134="",D134="",E134="",F134="",G134="",H134="",I134="",J134="",K134="",L134="",O134="",P134="",Q134="",R134="",S134="",T134="",U134="",V134=""),"EVIDENCE INCOMPLETE",IF(OR(ISNA(MATCH(F134,{"Critical","High","Medium","Low"},0)),ISNA(MATCH(E134,{"Priority 1 – Critical","Priority 2 – High","Priority 3 – Standard","Priority 4 – Routine","Priority 5 – Observe","Governance Investigation Required"},0))),"TIER / PRIORITY NOT RECOGNISED",IF(U134&lt;&gt;"Verified","UNVERIFIED / CONFLICT",IF(K134&lt;&gt;"UC-ID specific","NOT UC-SCOPED",IF(OR(NOT(ISNUMBER(Q134)),NOT(ISNUMBER(R134)),NOT(ISNUMBER(V134)),NOT(ISNUMBER($W$1))),"DATES NOT VERIFIED",IF(OR(Q134&gt;R134,V134&gt;Q134),"INVALID DATE RANGE",IF(Q134&gt;$W$1,"NOT YET EFFECTIVE",IF(R134&lt;$W$1,"EXPIRED / REVIEW DUE",IF(R134-Q134&gt;IF(F134="Critical",31,IF(F134="High",92,366)),"REVIEW INTERVAL EXCEEDS TIER CADENCE",IF(OR(H134="Pending",H134="Deferred",H134="Rejected",H134="Suspended",H134="Retired",H134="Unknown"),"NOT APPROVED / STATUS NOT CURRENT",IF(H134="Approved with conditions",IF(OR(M134="",N134="",O134="Open",O134="Unknown",O134="None"),"CONDITIONAL — CONDITIONS NOT VERIFIED","CONDITIONAL — NEVER COUNT AS UNCONDITIONAL APPROVAL"),IF(H134="Approved",IF(OR(O134&lt;&gt;"None",M134&lt;&gt;"",N134&lt;&gt;""),"CONDITION / OUTCOME CONFLICT","SOURCE-RECONCILED USE-SPECIFIC APPROVAL — CONFIRM SOURCE"),"NOT APPROVED / OUTCOME NOT RECOGNISED")))))))))))))))</f>
        <v/>
      </c>
    </row>
    <row r="135" ht="24" customHeight="1" s="14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3">
        <f>IF(COUNTA(A135:V135)=0,"",IF(A135="","UC-ID MISSING",IF(COUNTIF($A$4:$A$203,A135)&gt;1,"DUPLICATE UC-ID — CONFLICT",IF(OR(B135="",C135="",D135="",E135="",F135="",G135="",H135="",I135="",J135="",K135="",L135="",O135="",P135="",Q135="",R135="",S135="",T135="",U135="",V135=""),"EVIDENCE INCOMPLETE",IF(OR(ISNA(MATCH(F135,{"Critical","High","Medium","Low"},0)),ISNA(MATCH(E135,{"Priority 1 – Critical","Priority 2 – High","Priority 3 – Standard","Priority 4 – Routine","Priority 5 – Observe","Governance Investigation Required"},0))),"TIER / PRIORITY NOT RECOGNISED",IF(U135&lt;&gt;"Verified","UNVERIFIED / CONFLICT",IF(K135&lt;&gt;"UC-ID specific","NOT UC-SCOPED",IF(OR(NOT(ISNUMBER(Q135)),NOT(ISNUMBER(R135)),NOT(ISNUMBER(V135)),NOT(ISNUMBER($W$1))),"DATES NOT VERIFIED",IF(OR(Q135&gt;R135,V135&gt;Q135),"INVALID DATE RANGE",IF(Q135&gt;$W$1,"NOT YET EFFECTIVE",IF(R135&lt;$W$1,"EXPIRED / REVIEW DUE",IF(R135-Q135&gt;IF(F135="Critical",31,IF(F135="High",92,366)),"REVIEW INTERVAL EXCEEDS TIER CADENCE",IF(OR(H135="Pending",H135="Deferred",H135="Rejected",H135="Suspended",H135="Retired",H135="Unknown"),"NOT APPROVED / STATUS NOT CURRENT",IF(H135="Approved with conditions",IF(OR(M135="",N135="",O135="Open",O135="Unknown",O135="None"),"CONDITIONAL — CONDITIONS NOT VERIFIED","CONDITIONAL — NEVER COUNT AS UNCONDITIONAL APPROVAL"),IF(H135="Approved",IF(OR(O135&lt;&gt;"None",M135&lt;&gt;"",N135&lt;&gt;""),"CONDITION / OUTCOME CONFLICT","SOURCE-RECONCILED USE-SPECIFIC APPROVAL — CONFIRM SOURCE"),"NOT APPROVED / OUTCOME NOT RECOGNISED")))))))))))))))</f>
        <v/>
      </c>
    </row>
    <row r="136" ht="24" customHeight="1" s="14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3">
        <f>IF(COUNTA(A136:V136)=0,"",IF(A136="","UC-ID MISSING",IF(COUNTIF($A$4:$A$203,A136)&gt;1,"DUPLICATE UC-ID — CONFLICT",IF(OR(B136="",C136="",D136="",E136="",F136="",G136="",H136="",I136="",J136="",K136="",L136="",O136="",P136="",Q136="",R136="",S136="",T136="",U136="",V136=""),"EVIDENCE INCOMPLETE",IF(OR(ISNA(MATCH(F136,{"Critical","High","Medium","Low"},0)),ISNA(MATCH(E136,{"Priority 1 – Critical","Priority 2 – High","Priority 3 – Standard","Priority 4 – Routine","Priority 5 – Observe","Governance Investigation Required"},0))),"TIER / PRIORITY NOT RECOGNISED",IF(U136&lt;&gt;"Verified","UNVERIFIED / CONFLICT",IF(K136&lt;&gt;"UC-ID specific","NOT UC-SCOPED",IF(OR(NOT(ISNUMBER(Q136)),NOT(ISNUMBER(R136)),NOT(ISNUMBER(V136)),NOT(ISNUMBER($W$1))),"DATES NOT VERIFIED",IF(OR(Q136&gt;R136,V136&gt;Q136),"INVALID DATE RANGE",IF(Q136&gt;$W$1,"NOT YET EFFECTIVE",IF(R136&lt;$W$1,"EXPIRED / REVIEW DUE",IF(R136-Q136&gt;IF(F136="Critical",31,IF(F136="High",92,366)),"REVIEW INTERVAL EXCEEDS TIER CADENCE",IF(OR(H136="Pending",H136="Deferred",H136="Rejected",H136="Suspended",H136="Retired",H136="Unknown"),"NOT APPROVED / STATUS NOT CURRENT",IF(H136="Approved with conditions",IF(OR(M136="",N136="",O136="Open",O136="Unknown",O136="None"),"CONDITIONAL — CONDITIONS NOT VERIFIED","CONDITIONAL — NEVER COUNT AS UNCONDITIONAL APPROVAL"),IF(H136="Approved",IF(OR(O136&lt;&gt;"None",M136&lt;&gt;"",N136&lt;&gt;""),"CONDITION / OUTCOME CONFLICT","SOURCE-RECONCILED USE-SPECIFIC APPROVAL — CONFIRM SOURCE"),"NOT APPROVED / OUTCOME NOT RECOGNISED")))))))))))))))</f>
        <v/>
      </c>
    </row>
    <row r="137" ht="24" customHeight="1" s="14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3">
        <f>IF(COUNTA(A137:V137)=0,"",IF(A137="","UC-ID MISSING",IF(COUNTIF($A$4:$A$203,A137)&gt;1,"DUPLICATE UC-ID — CONFLICT",IF(OR(B137="",C137="",D137="",E137="",F137="",G137="",H137="",I137="",J137="",K137="",L137="",O137="",P137="",Q137="",R137="",S137="",T137="",U137="",V137=""),"EVIDENCE INCOMPLETE",IF(OR(ISNA(MATCH(F137,{"Critical","High","Medium","Low"},0)),ISNA(MATCH(E137,{"Priority 1 – Critical","Priority 2 – High","Priority 3 – Standard","Priority 4 – Routine","Priority 5 – Observe","Governance Investigation Required"},0))),"TIER / PRIORITY NOT RECOGNISED",IF(U137&lt;&gt;"Verified","UNVERIFIED / CONFLICT",IF(K137&lt;&gt;"UC-ID specific","NOT UC-SCOPED",IF(OR(NOT(ISNUMBER(Q137)),NOT(ISNUMBER(R137)),NOT(ISNUMBER(V137)),NOT(ISNUMBER($W$1))),"DATES NOT VERIFIED",IF(OR(Q137&gt;R137,V137&gt;Q137),"INVALID DATE RANGE",IF(Q137&gt;$W$1,"NOT YET EFFECTIVE",IF(R137&lt;$W$1,"EXPIRED / REVIEW DUE",IF(R137-Q137&gt;IF(F137="Critical",31,IF(F137="High",92,366)),"REVIEW INTERVAL EXCEEDS TIER CADENCE",IF(OR(H137="Pending",H137="Deferred",H137="Rejected",H137="Suspended",H137="Retired",H137="Unknown"),"NOT APPROVED / STATUS NOT CURRENT",IF(H137="Approved with conditions",IF(OR(M137="",N137="",O137="Open",O137="Unknown",O137="None"),"CONDITIONAL — CONDITIONS NOT VERIFIED","CONDITIONAL — NEVER COUNT AS UNCONDITIONAL APPROVAL"),IF(H137="Approved",IF(OR(O137&lt;&gt;"None",M137&lt;&gt;"",N137&lt;&gt;""),"CONDITION / OUTCOME CONFLICT","SOURCE-RECONCILED USE-SPECIFIC APPROVAL — CONFIRM SOURCE"),"NOT APPROVED / OUTCOME NOT RECOGNISED")))))))))))))))</f>
        <v/>
      </c>
    </row>
    <row r="138" ht="24" customHeight="1" s="14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3">
        <f>IF(COUNTA(A138:V138)=0,"",IF(A138="","UC-ID MISSING",IF(COUNTIF($A$4:$A$203,A138)&gt;1,"DUPLICATE UC-ID — CONFLICT",IF(OR(B138="",C138="",D138="",E138="",F138="",G138="",H138="",I138="",J138="",K138="",L138="",O138="",P138="",Q138="",R138="",S138="",T138="",U138="",V138=""),"EVIDENCE INCOMPLETE",IF(OR(ISNA(MATCH(F138,{"Critical","High","Medium","Low"},0)),ISNA(MATCH(E138,{"Priority 1 – Critical","Priority 2 – High","Priority 3 – Standard","Priority 4 – Routine","Priority 5 – Observe","Governance Investigation Required"},0))),"TIER / PRIORITY NOT RECOGNISED",IF(U138&lt;&gt;"Verified","UNVERIFIED / CONFLICT",IF(K138&lt;&gt;"UC-ID specific","NOT UC-SCOPED",IF(OR(NOT(ISNUMBER(Q138)),NOT(ISNUMBER(R138)),NOT(ISNUMBER(V138)),NOT(ISNUMBER($W$1))),"DATES NOT VERIFIED",IF(OR(Q138&gt;R138,V138&gt;Q138),"INVALID DATE RANGE",IF(Q138&gt;$W$1,"NOT YET EFFECTIVE",IF(R138&lt;$W$1,"EXPIRED / REVIEW DUE",IF(R138-Q138&gt;IF(F138="Critical",31,IF(F138="High",92,366)),"REVIEW INTERVAL EXCEEDS TIER CADENCE",IF(OR(H138="Pending",H138="Deferred",H138="Rejected",H138="Suspended",H138="Retired",H138="Unknown"),"NOT APPROVED / STATUS NOT CURRENT",IF(H138="Approved with conditions",IF(OR(M138="",N138="",O138="Open",O138="Unknown",O138="None"),"CONDITIONAL — CONDITIONS NOT VERIFIED","CONDITIONAL — NEVER COUNT AS UNCONDITIONAL APPROVAL"),IF(H138="Approved",IF(OR(O138&lt;&gt;"None",M138&lt;&gt;"",N138&lt;&gt;""),"CONDITION / OUTCOME CONFLICT","SOURCE-RECONCILED USE-SPECIFIC APPROVAL — CONFIRM SOURCE"),"NOT APPROVED / OUTCOME NOT RECOGNISED")))))))))))))))</f>
        <v/>
      </c>
    </row>
    <row r="139" ht="24" customHeight="1" s="14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3">
        <f>IF(COUNTA(A139:V139)=0,"",IF(A139="","UC-ID MISSING",IF(COUNTIF($A$4:$A$203,A139)&gt;1,"DUPLICATE UC-ID — CONFLICT",IF(OR(B139="",C139="",D139="",E139="",F139="",G139="",H139="",I139="",J139="",K139="",L139="",O139="",P139="",Q139="",R139="",S139="",T139="",U139="",V139=""),"EVIDENCE INCOMPLETE",IF(OR(ISNA(MATCH(F139,{"Critical","High","Medium","Low"},0)),ISNA(MATCH(E139,{"Priority 1 – Critical","Priority 2 – High","Priority 3 – Standard","Priority 4 – Routine","Priority 5 – Observe","Governance Investigation Required"},0))),"TIER / PRIORITY NOT RECOGNISED",IF(U139&lt;&gt;"Verified","UNVERIFIED / CONFLICT",IF(K139&lt;&gt;"UC-ID specific","NOT UC-SCOPED",IF(OR(NOT(ISNUMBER(Q139)),NOT(ISNUMBER(R139)),NOT(ISNUMBER(V139)),NOT(ISNUMBER($W$1))),"DATES NOT VERIFIED",IF(OR(Q139&gt;R139,V139&gt;Q139),"INVALID DATE RANGE",IF(Q139&gt;$W$1,"NOT YET EFFECTIVE",IF(R139&lt;$W$1,"EXPIRED / REVIEW DUE",IF(R139-Q139&gt;IF(F139="Critical",31,IF(F139="High",92,366)),"REVIEW INTERVAL EXCEEDS TIER CADENCE",IF(OR(H139="Pending",H139="Deferred",H139="Rejected",H139="Suspended",H139="Retired",H139="Unknown"),"NOT APPROVED / STATUS NOT CURRENT",IF(H139="Approved with conditions",IF(OR(M139="",N139="",O139="Open",O139="Unknown",O139="None"),"CONDITIONAL — CONDITIONS NOT VERIFIED","CONDITIONAL — NEVER COUNT AS UNCONDITIONAL APPROVAL"),IF(H139="Approved",IF(OR(O139&lt;&gt;"None",M139&lt;&gt;"",N139&lt;&gt;""),"CONDITION / OUTCOME CONFLICT","SOURCE-RECONCILED USE-SPECIFIC APPROVAL — CONFIRM SOURCE"),"NOT APPROVED / OUTCOME NOT RECOGNISED")))))))))))))))</f>
        <v/>
      </c>
    </row>
    <row r="140" ht="24" customHeight="1" s="14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3">
        <f>IF(COUNTA(A140:V140)=0,"",IF(A140="","UC-ID MISSING",IF(COUNTIF($A$4:$A$203,A140)&gt;1,"DUPLICATE UC-ID — CONFLICT",IF(OR(B140="",C140="",D140="",E140="",F140="",G140="",H140="",I140="",J140="",K140="",L140="",O140="",P140="",Q140="",R140="",S140="",T140="",U140="",V140=""),"EVIDENCE INCOMPLETE",IF(OR(ISNA(MATCH(F140,{"Critical","High","Medium","Low"},0)),ISNA(MATCH(E140,{"Priority 1 – Critical","Priority 2 – High","Priority 3 – Standard","Priority 4 – Routine","Priority 5 – Observe","Governance Investigation Required"},0))),"TIER / PRIORITY NOT RECOGNISED",IF(U140&lt;&gt;"Verified","UNVERIFIED / CONFLICT",IF(K140&lt;&gt;"UC-ID specific","NOT UC-SCOPED",IF(OR(NOT(ISNUMBER(Q140)),NOT(ISNUMBER(R140)),NOT(ISNUMBER(V140)),NOT(ISNUMBER($W$1))),"DATES NOT VERIFIED",IF(OR(Q140&gt;R140,V140&gt;Q140),"INVALID DATE RANGE",IF(Q140&gt;$W$1,"NOT YET EFFECTIVE",IF(R140&lt;$W$1,"EXPIRED / REVIEW DUE",IF(R140-Q140&gt;IF(F140="Critical",31,IF(F140="High",92,366)),"REVIEW INTERVAL EXCEEDS TIER CADENCE",IF(OR(H140="Pending",H140="Deferred",H140="Rejected",H140="Suspended",H140="Retired",H140="Unknown"),"NOT APPROVED / STATUS NOT CURRENT",IF(H140="Approved with conditions",IF(OR(M140="",N140="",O140="Open",O140="Unknown",O140="None"),"CONDITIONAL — CONDITIONS NOT VERIFIED","CONDITIONAL — NEVER COUNT AS UNCONDITIONAL APPROVAL"),IF(H140="Approved",IF(OR(O140&lt;&gt;"None",M140&lt;&gt;"",N140&lt;&gt;""),"CONDITION / OUTCOME CONFLICT","SOURCE-RECONCILED USE-SPECIFIC APPROVAL — CONFIRM SOURCE"),"NOT APPROVED / OUTCOME NOT RECOGNISED")))))))))))))))</f>
        <v/>
      </c>
    </row>
    <row r="141" ht="24" customHeight="1" s="14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3">
        <f>IF(COUNTA(A141:V141)=0,"",IF(A141="","UC-ID MISSING",IF(COUNTIF($A$4:$A$203,A141)&gt;1,"DUPLICATE UC-ID — CONFLICT",IF(OR(B141="",C141="",D141="",E141="",F141="",G141="",H141="",I141="",J141="",K141="",L141="",O141="",P141="",Q141="",R141="",S141="",T141="",U141="",V141=""),"EVIDENCE INCOMPLETE",IF(OR(ISNA(MATCH(F141,{"Critical","High","Medium","Low"},0)),ISNA(MATCH(E141,{"Priority 1 – Critical","Priority 2 – High","Priority 3 – Standard","Priority 4 – Routine","Priority 5 – Observe","Governance Investigation Required"},0))),"TIER / PRIORITY NOT RECOGNISED",IF(U141&lt;&gt;"Verified","UNVERIFIED / CONFLICT",IF(K141&lt;&gt;"UC-ID specific","NOT UC-SCOPED",IF(OR(NOT(ISNUMBER(Q141)),NOT(ISNUMBER(R141)),NOT(ISNUMBER(V141)),NOT(ISNUMBER($W$1))),"DATES NOT VERIFIED",IF(OR(Q141&gt;R141,V141&gt;Q141),"INVALID DATE RANGE",IF(Q141&gt;$W$1,"NOT YET EFFECTIVE",IF(R141&lt;$W$1,"EXPIRED / REVIEW DUE",IF(R141-Q141&gt;IF(F141="Critical",31,IF(F141="High",92,366)),"REVIEW INTERVAL EXCEEDS TIER CADENCE",IF(OR(H141="Pending",H141="Deferred",H141="Rejected",H141="Suspended",H141="Retired",H141="Unknown"),"NOT APPROVED / STATUS NOT CURRENT",IF(H141="Approved with conditions",IF(OR(M141="",N141="",O141="Open",O141="Unknown",O141="None"),"CONDITIONAL — CONDITIONS NOT VERIFIED","CONDITIONAL — NEVER COUNT AS UNCONDITIONAL APPROVAL"),IF(H141="Approved",IF(OR(O141&lt;&gt;"None",M141&lt;&gt;"",N141&lt;&gt;""),"CONDITION / OUTCOME CONFLICT","SOURCE-RECONCILED USE-SPECIFIC APPROVAL — CONFIRM SOURCE"),"NOT APPROVED / OUTCOME NOT RECOGNISED")))))))))))))))</f>
        <v/>
      </c>
    </row>
    <row r="142" ht="24" customHeight="1" s="14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3">
        <f>IF(COUNTA(A142:V142)=0,"",IF(A142="","UC-ID MISSING",IF(COUNTIF($A$4:$A$203,A142)&gt;1,"DUPLICATE UC-ID — CONFLICT",IF(OR(B142="",C142="",D142="",E142="",F142="",G142="",H142="",I142="",J142="",K142="",L142="",O142="",P142="",Q142="",R142="",S142="",T142="",U142="",V142=""),"EVIDENCE INCOMPLETE",IF(OR(ISNA(MATCH(F142,{"Critical","High","Medium","Low"},0)),ISNA(MATCH(E142,{"Priority 1 – Critical","Priority 2 – High","Priority 3 – Standard","Priority 4 – Routine","Priority 5 – Observe","Governance Investigation Required"},0))),"TIER / PRIORITY NOT RECOGNISED",IF(U142&lt;&gt;"Verified","UNVERIFIED / CONFLICT",IF(K142&lt;&gt;"UC-ID specific","NOT UC-SCOPED",IF(OR(NOT(ISNUMBER(Q142)),NOT(ISNUMBER(R142)),NOT(ISNUMBER(V142)),NOT(ISNUMBER($W$1))),"DATES NOT VERIFIED",IF(OR(Q142&gt;R142,V142&gt;Q142),"INVALID DATE RANGE",IF(Q142&gt;$W$1,"NOT YET EFFECTIVE",IF(R142&lt;$W$1,"EXPIRED / REVIEW DUE",IF(R142-Q142&gt;IF(F142="Critical",31,IF(F142="High",92,366)),"REVIEW INTERVAL EXCEEDS TIER CADENCE",IF(OR(H142="Pending",H142="Deferred",H142="Rejected",H142="Suspended",H142="Retired",H142="Unknown"),"NOT APPROVED / STATUS NOT CURRENT",IF(H142="Approved with conditions",IF(OR(M142="",N142="",O142="Open",O142="Unknown",O142="None"),"CONDITIONAL — CONDITIONS NOT VERIFIED","CONDITIONAL — NEVER COUNT AS UNCONDITIONAL APPROVAL"),IF(H142="Approved",IF(OR(O142&lt;&gt;"None",M142&lt;&gt;"",N142&lt;&gt;""),"CONDITION / OUTCOME CONFLICT","SOURCE-RECONCILED USE-SPECIFIC APPROVAL — CONFIRM SOURCE"),"NOT APPROVED / OUTCOME NOT RECOGNISED")))))))))))))))</f>
        <v/>
      </c>
    </row>
    <row r="143" ht="24" customHeight="1" s="14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3">
        <f>IF(COUNTA(A143:V143)=0,"",IF(A143="","UC-ID MISSING",IF(COUNTIF($A$4:$A$203,A143)&gt;1,"DUPLICATE UC-ID — CONFLICT",IF(OR(B143="",C143="",D143="",E143="",F143="",G143="",H143="",I143="",J143="",K143="",L143="",O143="",P143="",Q143="",R143="",S143="",T143="",U143="",V143=""),"EVIDENCE INCOMPLETE",IF(OR(ISNA(MATCH(F143,{"Critical","High","Medium","Low"},0)),ISNA(MATCH(E143,{"Priority 1 – Critical","Priority 2 – High","Priority 3 – Standard","Priority 4 – Routine","Priority 5 – Observe","Governance Investigation Required"},0))),"TIER / PRIORITY NOT RECOGNISED",IF(U143&lt;&gt;"Verified","UNVERIFIED / CONFLICT",IF(K143&lt;&gt;"UC-ID specific","NOT UC-SCOPED",IF(OR(NOT(ISNUMBER(Q143)),NOT(ISNUMBER(R143)),NOT(ISNUMBER(V143)),NOT(ISNUMBER($W$1))),"DATES NOT VERIFIED",IF(OR(Q143&gt;R143,V143&gt;Q143),"INVALID DATE RANGE",IF(Q143&gt;$W$1,"NOT YET EFFECTIVE",IF(R143&lt;$W$1,"EXPIRED / REVIEW DUE",IF(R143-Q143&gt;IF(F143="Critical",31,IF(F143="High",92,366)),"REVIEW INTERVAL EXCEEDS TIER CADENCE",IF(OR(H143="Pending",H143="Deferred",H143="Rejected",H143="Suspended",H143="Retired",H143="Unknown"),"NOT APPROVED / STATUS NOT CURRENT",IF(H143="Approved with conditions",IF(OR(M143="",N143="",O143="Open",O143="Unknown",O143="None"),"CONDITIONAL — CONDITIONS NOT VERIFIED","CONDITIONAL — NEVER COUNT AS UNCONDITIONAL APPROVAL"),IF(H143="Approved",IF(OR(O143&lt;&gt;"None",M143&lt;&gt;"",N143&lt;&gt;""),"CONDITION / OUTCOME CONFLICT","SOURCE-RECONCILED USE-SPECIFIC APPROVAL — CONFIRM SOURCE"),"NOT APPROVED / OUTCOME NOT RECOGNISED")))))))))))))))</f>
        <v/>
      </c>
    </row>
    <row r="144" ht="24" customHeight="1" s="1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3">
        <f>IF(COUNTA(A144:V144)=0,"",IF(A144="","UC-ID MISSING",IF(COUNTIF($A$4:$A$203,A144)&gt;1,"DUPLICATE UC-ID — CONFLICT",IF(OR(B144="",C144="",D144="",E144="",F144="",G144="",H144="",I144="",J144="",K144="",L144="",O144="",P144="",Q144="",R144="",S144="",T144="",U144="",V144=""),"EVIDENCE INCOMPLETE",IF(OR(ISNA(MATCH(F144,{"Critical","High","Medium","Low"},0)),ISNA(MATCH(E144,{"Priority 1 – Critical","Priority 2 – High","Priority 3 – Standard","Priority 4 – Routine","Priority 5 – Observe","Governance Investigation Required"},0))),"TIER / PRIORITY NOT RECOGNISED",IF(U144&lt;&gt;"Verified","UNVERIFIED / CONFLICT",IF(K144&lt;&gt;"UC-ID specific","NOT UC-SCOPED",IF(OR(NOT(ISNUMBER(Q144)),NOT(ISNUMBER(R144)),NOT(ISNUMBER(V144)),NOT(ISNUMBER($W$1))),"DATES NOT VERIFIED",IF(OR(Q144&gt;R144,V144&gt;Q144),"INVALID DATE RANGE",IF(Q144&gt;$W$1,"NOT YET EFFECTIVE",IF(R144&lt;$W$1,"EXPIRED / REVIEW DUE",IF(R144-Q144&gt;IF(F144="Critical",31,IF(F144="High",92,366)),"REVIEW INTERVAL EXCEEDS TIER CADENCE",IF(OR(H144="Pending",H144="Deferred",H144="Rejected",H144="Suspended",H144="Retired",H144="Unknown"),"NOT APPROVED / STATUS NOT CURRENT",IF(H144="Approved with conditions",IF(OR(M144="",N144="",O144="Open",O144="Unknown",O144="None"),"CONDITIONAL — CONDITIONS NOT VERIFIED","CONDITIONAL — NEVER COUNT AS UNCONDITIONAL APPROVAL"),IF(H144="Approved",IF(OR(O144&lt;&gt;"None",M144&lt;&gt;"",N144&lt;&gt;""),"CONDITION / OUTCOME CONFLICT","SOURCE-RECONCILED USE-SPECIFIC APPROVAL — CONFIRM SOURCE"),"NOT APPROVED / OUTCOME NOT RECOGNISED")))))))))))))))</f>
        <v/>
      </c>
    </row>
    <row r="145" ht="24" customHeight="1" s="14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3">
        <f>IF(COUNTA(A145:V145)=0,"",IF(A145="","UC-ID MISSING",IF(COUNTIF($A$4:$A$203,A145)&gt;1,"DUPLICATE UC-ID — CONFLICT",IF(OR(B145="",C145="",D145="",E145="",F145="",G145="",H145="",I145="",J145="",K145="",L145="",O145="",P145="",Q145="",R145="",S145="",T145="",U145="",V145=""),"EVIDENCE INCOMPLETE",IF(OR(ISNA(MATCH(F145,{"Critical","High","Medium","Low"},0)),ISNA(MATCH(E145,{"Priority 1 – Critical","Priority 2 – High","Priority 3 – Standard","Priority 4 – Routine","Priority 5 – Observe","Governance Investigation Required"},0))),"TIER / PRIORITY NOT RECOGNISED",IF(U145&lt;&gt;"Verified","UNVERIFIED / CONFLICT",IF(K145&lt;&gt;"UC-ID specific","NOT UC-SCOPED",IF(OR(NOT(ISNUMBER(Q145)),NOT(ISNUMBER(R145)),NOT(ISNUMBER(V145)),NOT(ISNUMBER($W$1))),"DATES NOT VERIFIED",IF(OR(Q145&gt;R145,V145&gt;Q145),"INVALID DATE RANGE",IF(Q145&gt;$W$1,"NOT YET EFFECTIVE",IF(R145&lt;$W$1,"EXPIRED / REVIEW DUE",IF(R145-Q145&gt;IF(F145="Critical",31,IF(F145="High",92,366)),"REVIEW INTERVAL EXCEEDS TIER CADENCE",IF(OR(H145="Pending",H145="Deferred",H145="Rejected",H145="Suspended",H145="Retired",H145="Unknown"),"NOT APPROVED / STATUS NOT CURRENT",IF(H145="Approved with conditions",IF(OR(M145="",N145="",O145="Open",O145="Unknown",O145="None"),"CONDITIONAL — CONDITIONS NOT VERIFIED","CONDITIONAL — NEVER COUNT AS UNCONDITIONAL APPROVAL"),IF(H145="Approved",IF(OR(O145&lt;&gt;"None",M145&lt;&gt;"",N145&lt;&gt;""),"CONDITION / OUTCOME CONFLICT","SOURCE-RECONCILED USE-SPECIFIC APPROVAL — CONFIRM SOURCE"),"NOT APPROVED / OUTCOME NOT RECOGNISED")))))))))))))))</f>
        <v/>
      </c>
    </row>
    <row r="146" ht="24" customHeight="1" s="14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3">
        <f>IF(COUNTA(A146:V146)=0,"",IF(A146="","UC-ID MISSING",IF(COUNTIF($A$4:$A$203,A146)&gt;1,"DUPLICATE UC-ID — CONFLICT",IF(OR(B146="",C146="",D146="",E146="",F146="",G146="",H146="",I146="",J146="",K146="",L146="",O146="",P146="",Q146="",R146="",S146="",T146="",U146="",V146=""),"EVIDENCE INCOMPLETE",IF(OR(ISNA(MATCH(F146,{"Critical","High","Medium","Low"},0)),ISNA(MATCH(E146,{"Priority 1 – Critical","Priority 2 – High","Priority 3 – Standard","Priority 4 – Routine","Priority 5 – Observe","Governance Investigation Required"},0))),"TIER / PRIORITY NOT RECOGNISED",IF(U146&lt;&gt;"Verified","UNVERIFIED / CONFLICT",IF(K146&lt;&gt;"UC-ID specific","NOT UC-SCOPED",IF(OR(NOT(ISNUMBER(Q146)),NOT(ISNUMBER(R146)),NOT(ISNUMBER(V146)),NOT(ISNUMBER($W$1))),"DATES NOT VERIFIED",IF(OR(Q146&gt;R146,V146&gt;Q146),"INVALID DATE RANGE",IF(Q146&gt;$W$1,"NOT YET EFFECTIVE",IF(R146&lt;$W$1,"EXPIRED / REVIEW DUE",IF(R146-Q146&gt;IF(F146="Critical",31,IF(F146="High",92,366)),"REVIEW INTERVAL EXCEEDS TIER CADENCE",IF(OR(H146="Pending",H146="Deferred",H146="Rejected",H146="Suspended",H146="Retired",H146="Unknown"),"NOT APPROVED / STATUS NOT CURRENT",IF(H146="Approved with conditions",IF(OR(M146="",N146="",O146="Open",O146="Unknown",O146="None"),"CONDITIONAL — CONDITIONS NOT VERIFIED","CONDITIONAL — NEVER COUNT AS UNCONDITIONAL APPROVAL"),IF(H146="Approved",IF(OR(O146&lt;&gt;"None",M146&lt;&gt;"",N146&lt;&gt;""),"CONDITION / OUTCOME CONFLICT","SOURCE-RECONCILED USE-SPECIFIC APPROVAL — CONFIRM SOURCE"),"NOT APPROVED / OUTCOME NOT RECOGNISED")))))))))))))))</f>
        <v/>
      </c>
    </row>
    <row r="147" ht="24" customHeight="1" s="14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3">
        <f>IF(COUNTA(A147:V147)=0,"",IF(A147="","UC-ID MISSING",IF(COUNTIF($A$4:$A$203,A147)&gt;1,"DUPLICATE UC-ID — CONFLICT",IF(OR(B147="",C147="",D147="",E147="",F147="",G147="",H147="",I147="",J147="",K147="",L147="",O147="",P147="",Q147="",R147="",S147="",T147="",U147="",V147=""),"EVIDENCE INCOMPLETE",IF(OR(ISNA(MATCH(F147,{"Critical","High","Medium","Low"},0)),ISNA(MATCH(E147,{"Priority 1 – Critical","Priority 2 – High","Priority 3 – Standard","Priority 4 – Routine","Priority 5 – Observe","Governance Investigation Required"},0))),"TIER / PRIORITY NOT RECOGNISED",IF(U147&lt;&gt;"Verified","UNVERIFIED / CONFLICT",IF(K147&lt;&gt;"UC-ID specific","NOT UC-SCOPED",IF(OR(NOT(ISNUMBER(Q147)),NOT(ISNUMBER(R147)),NOT(ISNUMBER(V147)),NOT(ISNUMBER($W$1))),"DATES NOT VERIFIED",IF(OR(Q147&gt;R147,V147&gt;Q147),"INVALID DATE RANGE",IF(Q147&gt;$W$1,"NOT YET EFFECTIVE",IF(R147&lt;$W$1,"EXPIRED / REVIEW DUE",IF(R147-Q147&gt;IF(F147="Critical",31,IF(F147="High",92,366)),"REVIEW INTERVAL EXCEEDS TIER CADENCE",IF(OR(H147="Pending",H147="Deferred",H147="Rejected",H147="Suspended",H147="Retired",H147="Unknown"),"NOT APPROVED / STATUS NOT CURRENT",IF(H147="Approved with conditions",IF(OR(M147="",N147="",O147="Open",O147="Unknown",O147="None"),"CONDITIONAL — CONDITIONS NOT VERIFIED","CONDITIONAL — NEVER COUNT AS UNCONDITIONAL APPROVAL"),IF(H147="Approved",IF(OR(O147&lt;&gt;"None",M147&lt;&gt;"",N147&lt;&gt;""),"CONDITION / OUTCOME CONFLICT","SOURCE-RECONCILED USE-SPECIFIC APPROVAL — CONFIRM SOURCE"),"NOT APPROVED / OUTCOME NOT RECOGNISED")))))))))))))))</f>
        <v/>
      </c>
    </row>
    <row r="148" ht="24" customHeight="1" s="14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3">
        <f>IF(COUNTA(A148:V148)=0,"",IF(A148="","UC-ID MISSING",IF(COUNTIF($A$4:$A$203,A148)&gt;1,"DUPLICATE UC-ID — CONFLICT",IF(OR(B148="",C148="",D148="",E148="",F148="",G148="",H148="",I148="",J148="",K148="",L148="",O148="",P148="",Q148="",R148="",S148="",T148="",U148="",V148=""),"EVIDENCE INCOMPLETE",IF(OR(ISNA(MATCH(F148,{"Critical","High","Medium","Low"},0)),ISNA(MATCH(E148,{"Priority 1 – Critical","Priority 2 – High","Priority 3 – Standard","Priority 4 – Routine","Priority 5 – Observe","Governance Investigation Required"},0))),"TIER / PRIORITY NOT RECOGNISED",IF(U148&lt;&gt;"Verified","UNVERIFIED / CONFLICT",IF(K148&lt;&gt;"UC-ID specific","NOT UC-SCOPED",IF(OR(NOT(ISNUMBER(Q148)),NOT(ISNUMBER(R148)),NOT(ISNUMBER(V148)),NOT(ISNUMBER($W$1))),"DATES NOT VERIFIED",IF(OR(Q148&gt;R148,V148&gt;Q148),"INVALID DATE RANGE",IF(Q148&gt;$W$1,"NOT YET EFFECTIVE",IF(R148&lt;$W$1,"EXPIRED / REVIEW DUE",IF(R148-Q148&gt;IF(F148="Critical",31,IF(F148="High",92,366)),"REVIEW INTERVAL EXCEEDS TIER CADENCE",IF(OR(H148="Pending",H148="Deferred",H148="Rejected",H148="Suspended",H148="Retired",H148="Unknown"),"NOT APPROVED / STATUS NOT CURRENT",IF(H148="Approved with conditions",IF(OR(M148="",N148="",O148="Open",O148="Unknown",O148="None"),"CONDITIONAL — CONDITIONS NOT VERIFIED","CONDITIONAL — NEVER COUNT AS UNCONDITIONAL APPROVAL"),IF(H148="Approved",IF(OR(O148&lt;&gt;"None",M148&lt;&gt;"",N148&lt;&gt;""),"CONDITION / OUTCOME CONFLICT","SOURCE-RECONCILED USE-SPECIFIC APPROVAL — CONFIRM SOURCE"),"NOT APPROVED / OUTCOME NOT RECOGNISED")))))))))))))))</f>
        <v/>
      </c>
    </row>
    <row r="149" ht="24" customHeight="1" s="14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3">
        <f>IF(COUNTA(A149:V149)=0,"",IF(A149="","UC-ID MISSING",IF(COUNTIF($A$4:$A$203,A149)&gt;1,"DUPLICATE UC-ID — CONFLICT",IF(OR(B149="",C149="",D149="",E149="",F149="",G149="",H149="",I149="",J149="",K149="",L149="",O149="",P149="",Q149="",R149="",S149="",T149="",U149="",V149=""),"EVIDENCE INCOMPLETE",IF(OR(ISNA(MATCH(F149,{"Critical","High","Medium","Low"},0)),ISNA(MATCH(E149,{"Priority 1 – Critical","Priority 2 – High","Priority 3 – Standard","Priority 4 – Routine","Priority 5 – Observe","Governance Investigation Required"},0))),"TIER / PRIORITY NOT RECOGNISED",IF(U149&lt;&gt;"Verified","UNVERIFIED / CONFLICT",IF(K149&lt;&gt;"UC-ID specific","NOT UC-SCOPED",IF(OR(NOT(ISNUMBER(Q149)),NOT(ISNUMBER(R149)),NOT(ISNUMBER(V149)),NOT(ISNUMBER($W$1))),"DATES NOT VERIFIED",IF(OR(Q149&gt;R149,V149&gt;Q149),"INVALID DATE RANGE",IF(Q149&gt;$W$1,"NOT YET EFFECTIVE",IF(R149&lt;$W$1,"EXPIRED / REVIEW DUE",IF(R149-Q149&gt;IF(F149="Critical",31,IF(F149="High",92,366)),"REVIEW INTERVAL EXCEEDS TIER CADENCE",IF(OR(H149="Pending",H149="Deferred",H149="Rejected",H149="Suspended",H149="Retired",H149="Unknown"),"NOT APPROVED / STATUS NOT CURRENT",IF(H149="Approved with conditions",IF(OR(M149="",N149="",O149="Open",O149="Unknown",O149="None"),"CONDITIONAL — CONDITIONS NOT VERIFIED","CONDITIONAL — NEVER COUNT AS UNCONDITIONAL APPROVAL"),IF(H149="Approved",IF(OR(O149&lt;&gt;"None",M149&lt;&gt;"",N149&lt;&gt;""),"CONDITION / OUTCOME CONFLICT","SOURCE-RECONCILED USE-SPECIFIC APPROVAL — CONFIRM SOURCE"),"NOT APPROVED / OUTCOME NOT RECOGNISED")))))))))))))))</f>
        <v/>
      </c>
    </row>
    <row r="150" ht="24" customHeight="1" s="14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3">
        <f>IF(COUNTA(A150:V150)=0,"",IF(A150="","UC-ID MISSING",IF(COUNTIF($A$4:$A$203,A150)&gt;1,"DUPLICATE UC-ID — CONFLICT",IF(OR(B150="",C150="",D150="",E150="",F150="",G150="",H150="",I150="",J150="",K150="",L150="",O150="",P150="",Q150="",R150="",S150="",T150="",U150="",V150=""),"EVIDENCE INCOMPLETE",IF(OR(ISNA(MATCH(F150,{"Critical","High","Medium","Low"},0)),ISNA(MATCH(E150,{"Priority 1 – Critical","Priority 2 – High","Priority 3 – Standard","Priority 4 – Routine","Priority 5 – Observe","Governance Investigation Required"},0))),"TIER / PRIORITY NOT RECOGNISED",IF(U150&lt;&gt;"Verified","UNVERIFIED / CONFLICT",IF(K150&lt;&gt;"UC-ID specific","NOT UC-SCOPED",IF(OR(NOT(ISNUMBER(Q150)),NOT(ISNUMBER(R150)),NOT(ISNUMBER(V150)),NOT(ISNUMBER($W$1))),"DATES NOT VERIFIED",IF(OR(Q150&gt;R150,V150&gt;Q150),"INVALID DATE RANGE",IF(Q150&gt;$W$1,"NOT YET EFFECTIVE",IF(R150&lt;$W$1,"EXPIRED / REVIEW DUE",IF(R150-Q150&gt;IF(F150="Critical",31,IF(F150="High",92,366)),"REVIEW INTERVAL EXCEEDS TIER CADENCE",IF(OR(H150="Pending",H150="Deferred",H150="Rejected",H150="Suspended",H150="Retired",H150="Unknown"),"NOT APPROVED / STATUS NOT CURRENT",IF(H150="Approved with conditions",IF(OR(M150="",N150="",O150="Open",O150="Unknown",O150="None"),"CONDITIONAL — CONDITIONS NOT VERIFIED","CONDITIONAL — NEVER COUNT AS UNCONDITIONAL APPROVAL"),IF(H150="Approved",IF(OR(O150&lt;&gt;"None",M150&lt;&gt;"",N150&lt;&gt;""),"CONDITION / OUTCOME CONFLICT","SOURCE-RECONCILED USE-SPECIFIC APPROVAL — CONFIRM SOURCE"),"NOT APPROVED / OUTCOME NOT RECOGNISED")))))))))))))))</f>
        <v/>
      </c>
    </row>
    <row r="151" ht="24" customHeight="1" s="14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3">
        <f>IF(COUNTA(A151:V151)=0,"",IF(A151="","UC-ID MISSING",IF(COUNTIF($A$4:$A$203,A151)&gt;1,"DUPLICATE UC-ID — CONFLICT",IF(OR(B151="",C151="",D151="",E151="",F151="",G151="",H151="",I151="",J151="",K151="",L151="",O151="",P151="",Q151="",R151="",S151="",T151="",U151="",V151=""),"EVIDENCE INCOMPLETE",IF(OR(ISNA(MATCH(F151,{"Critical","High","Medium","Low"},0)),ISNA(MATCH(E151,{"Priority 1 – Critical","Priority 2 – High","Priority 3 – Standard","Priority 4 – Routine","Priority 5 – Observe","Governance Investigation Required"},0))),"TIER / PRIORITY NOT RECOGNISED",IF(U151&lt;&gt;"Verified","UNVERIFIED / CONFLICT",IF(K151&lt;&gt;"UC-ID specific","NOT UC-SCOPED",IF(OR(NOT(ISNUMBER(Q151)),NOT(ISNUMBER(R151)),NOT(ISNUMBER(V151)),NOT(ISNUMBER($W$1))),"DATES NOT VERIFIED",IF(OR(Q151&gt;R151,V151&gt;Q151),"INVALID DATE RANGE",IF(Q151&gt;$W$1,"NOT YET EFFECTIVE",IF(R151&lt;$W$1,"EXPIRED / REVIEW DUE",IF(R151-Q151&gt;IF(F151="Critical",31,IF(F151="High",92,366)),"REVIEW INTERVAL EXCEEDS TIER CADENCE",IF(OR(H151="Pending",H151="Deferred",H151="Rejected",H151="Suspended",H151="Retired",H151="Unknown"),"NOT APPROVED / STATUS NOT CURRENT",IF(H151="Approved with conditions",IF(OR(M151="",N151="",O151="Open",O151="Unknown",O151="None"),"CONDITIONAL — CONDITIONS NOT VERIFIED","CONDITIONAL — NEVER COUNT AS UNCONDITIONAL APPROVAL"),IF(H151="Approved",IF(OR(O151&lt;&gt;"None",M151&lt;&gt;"",N151&lt;&gt;""),"CONDITION / OUTCOME CONFLICT","SOURCE-RECONCILED USE-SPECIFIC APPROVAL — CONFIRM SOURCE"),"NOT APPROVED / OUTCOME NOT RECOGNISED")))))))))))))))</f>
        <v/>
      </c>
    </row>
    <row r="152" ht="24" customHeight="1" s="14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3">
        <f>IF(COUNTA(A152:V152)=0,"",IF(A152="","UC-ID MISSING",IF(COUNTIF($A$4:$A$203,A152)&gt;1,"DUPLICATE UC-ID — CONFLICT",IF(OR(B152="",C152="",D152="",E152="",F152="",G152="",H152="",I152="",J152="",K152="",L152="",O152="",P152="",Q152="",R152="",S152="",T152="",U152="",V152=""),"EVIDENCE INCOMPLETE",IF(OR(ISNA(MATCH(F152,{"Critical","High","Medium","Low"},0)),ISNA(MATCH(E152,{"Priority 1 – Critical","Priority 2 – High","Priority 3 – Standard","Priority 4 – Routine","Priority 5 – Observe","Governance Investigation Required"},0))),"TIER / PRIORITY NOT RECOGNISED",IF(U152&lt;&gt;"Verified","UNVERIFIED / CONFLICT",IF(K152&lt;&gt;"UC-ID specific","NOT UC-SCOPED",IF(OR(NOT(ISNUMBER(Q152)),NOT(ISNUMBER(R152)),NOT(ISNUMBER(V152)),NOT(ISNUMBER($W$1))),"DATES NOT VERIFIED",IF(OR(Q152&gt;R152,V152&gt;Q152),"INVALID DATE RANGE",IF(Q152&gt;$W$1,"NOT YET EFFECTIVE",IF(R152&lt;$W$1,"EXPIRED / REVIEW DUE",IF(R152-Q152&gt;IF(F152="Critical",31,IF(F152="High",92,366)),"REVIEW INTERVAL EXCEEDS TIER CADENCE",IF(OR(H152="Pending",H152="Deferred",H152="Rejected",H152="Suspended",H152="Retired",H152="Unknown"),"NOT APPROVED / STATUS NOT CURRENT",IF(H152="Approved with conditions",IF(OR(M152="",N152="",O152="Open",O152="Unknown",O152="None"),"CONDITIONAL — CONDITIONS NOT VERIFIED","CONDITIONAL — NEVER COUNT AS UNCONDITIONAL APPROVAL"),IF(H152="Approved",IF(OR(O152&lt;&gt;"None",M152&lt;&gt;"",N152&lt;&gt;""),"CONDITION / OUTCOME CONFLICT","SOURCE-RECONCILED USE-SPECIFIC APPROVAL — CONFIRM SOURCE"),"NOT APPROVED / OUTCOME NOT RECOGNISED")))))))))))))))</f>
        <v/>
      </c>
    </row>
    <row r="153" ht="24" customHeight="1" s="14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3">
        <f>IF(COUNTA(A153:V153)=0,"",IF(A153="","UC-ID MISSING",IF(COUNTIF($A$4:$A$203,A153)&gt;1,"DUPLICATE UC-ID — CONFLICT",IF(OR(B153="",C153="",D153="",E153="",F153="",G153="",H153="",I153="",J153="",K153="",L153="",O153="",P153="",Q153="",R153="",S153="",T153="",U153="",V153=""),"EVIDENCE INCOMPLETE",IF(OR(ISNA(MATCH(F153,{"Critical","High","Medium","Low"},0)),ISNA(MATCH(E153,{"Priority 1 – Critical","Priority 2 – High","Priority 3 – Standard","Priority 4 – Routine","Priority 5 – Observe","Governance Investigation Required"},0))),"TIER / PRIORITY NOT RECOGNISED",IF(U153&lt;&gt;"Verified","UNVERIFIED / CONFLICT",IF(K153&lt;&gt;"UC-ID specific","NOT UC-SCOPED",IF(OR(NOT(ISNUMBER(Q153)),NOT(ISNUMBER(R153)),NOT(ISNUMBER(V153)),NOT(ISNUMBER($W$1))),"DATES NOT VERIFIED",IF(OR(Q153&gt;R153,V153&gt;Q153),"INVALID DATE RANGE",IF(Q153&gt;$W$1,"NOT YET EFFECTIVE",IF(R153&lt;$W$1,"EXPIRED / REVIEW DUE",IF(R153-Q153&gt;IF(F153="Critical",31,IF(F153="High",92,366)),"REVIEW INTERVAL EXCEEDS TIER CADENCE",IF(OR(H153="Pending",H153="Deferred",H153="Rejected",H153="Suspended",H153="Retired",H153="Unknown"),"NOT APPROVED / STATUS NOT CURRENT",IF(H153="Approved with conditions",IF(OR(M153="",N153="",O153="Open",O153="Unknown",O153="None"),"CONDITIONAL — CONDITIONS NOT VERIFIED","CONDITIONAL — NEVER COUNT AS UNCONDITIONAL APPROVAL"),IF(H153="Approved",IF(OR(O153&lt;&gt;"None",M153&lt;&gt;"",N153&lt;&gt;""),"CONDITION / OUTCOME CONFLICT","SOURCE-RECONCILED USE-SPECIFIC APPROVAL — CONFIRM SOURCE"),"NOT APPROVED / OUTCOME NOT RECOGNISED")))))))))))))))</f>
        <v/>
      </c>
    </row>
    <row r="154" ht="24" customHeight="1" s="1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3">
        <f>IF(COUNTA(A154:V154)=0,"",IF(A154="","UC-ID MISSING",IF(COUNTIF($A$4:$A$203,A154)&gt;1,"DUPLICATE UC-ID — CONFLICT",IF(OR(B154="",C154="",D154="",E154="",F154="",G154="",H154="",I154="",J154="",K154="",L154="",O154="",P154="",Q154="",R154="",S154="",T154="",U154="",V154=""),"EVIDENCE INCOMPLETE",IF(OR(ISNA(MATCH(F154,{"Critical","High","Medium","Low"},0)),ISNA(MATCH(E154,{"Priority 1 – Critical","Priority 2 – High","Priority 3 – Standard","Priority 4 – Routine","Priority 5 – Observe","Governance Investigation Required"},0))),"TIER / PRIORITY NOT RECOGNISED",IF(U154&lt;&gt;"Verified","UNVERIFIED / CONFLICT",IF(K154&lt;&gt;"UC-ID specific","NOT UC-SCOPED",IF(OR(NOT(ISNUMBER(Q154)),NOT(ISNUMBER(R154)),NOT(ISNUMBER(V154)),NOT(ISNUMBER($W$1))),"DATES NOT VERIFIED",IF(OR(Q154&gt;R154,V154&gt;Q154),"INVALID DATE RANGE",IF(Q154&gt;$W$1,"NOT YET EFFECTIVE",IF(R154&lt;$W$1,"EXPIRED / REVIEW DUE",IF(R154-Q154&gt;IF(F154="Critical",31,IF(F154="High",92,366)),"REVIEW INTERVAL EXCEEDS TIER CADENCE",IF(OR(H154="Pending",H154="Deferred",H154="Rejected",H154="Suspended",H154="Retired",H154="Unknown"),"NOT APPROVED / STATUS NOT CURRENT",IF(H154="Approved with conditions",IF(OR(M154="",N154="",O154="Open",O154="Unknown",O154="None"),"CONDITIONAL — CONDITIONS NOT VERIFIED","CONDITIONAL — NEVER COUNT AS UNCONDITIONAL APPROVAL"),IF(H154="Approved",IF(OR(O154&lt;&gt;"None",M154&lt;&gt;"",N154&lt;&gt;""),"CONDITION / OUTCOME CONFLICT","SOURCE-RECONCILED USE-SPECIFIC APPROVAL — CONFIRM SOURCE"),"NOT APPROVED / OUTCOME NOT RECOGNISED")))))))))))))))</f>
        <v/>
      </c>
    </row>
    <row r="155" ht="24" customHeight="1" s="14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3">
        <f>IF(COUNTA(A155:V155)=0,"",IF(A155="","UC-ID MISSING",IF(COUNTIF($A$4:$A$203,A155)&gt;1,"DUPLICATE UC-ID — CONFLICT",IF(OR(B155="",C155="",D155="",E155="",F155="",G155="",H155="",I155="",J155="",K155="",L155="",O155="",P155="",Q155="",R155="",S155="",T155="",U155="",V155=""),"EVIDENCE INCOMPLETE",IF(OR(ISNA(MATCH(F155,{"Critical","High","Medium","Low"},0)),ISNA(MATCH(E155,{"Priority 1 – Critical","Priority 2 – High","Priority 3 – Standard","Priority 4 – Routine","Priority 5 – Observe","Governance Investigation Required"},0))),"TIER / PRIORITY NOT RECOGNISED",IF(U155&lt;&gt;"Verified","UNVERIFIED / CONFLICT",IF(K155&lt;&gt;"UC-ID specific","NOT UC-SCOPED",IF(OR(NOT(ISNUMBER(Q155)),NOT(ISNUMBER(R155)),NOT(ISNUMBER(V155)),NOT(ISNUMBER($W$1))),"DATES NOT VERIFIED",IF(OR(Q155&gt;R155,V155&gt;Q155),"INVALID DATE RANGE",IF(Q155&gt;$W$1,"NOT YET EFFECTIVE",IF(R155&lt;$W$1,"EXPIRED / REVIEW DUE",IF(R155-Q155&gt;IF(F155="Critical",31,IF(F155="High",92,366)),"REVIEW INTERVAL EXCEEDS TIER CADENCE",IF(OR(H155="Pending",H155="Deferred",H155="Rejected",H155="Suspended",H155="Retired",H155="Unknown"),"NOT APPROVED / STATUS NOT CURRENT",IF(H155="Approved with conditions",IF(OR(M155="",N155="",O155="Open",O155="Unknown",O155="None"),"CONDITIONAL — CONDITIONS NOT VERIFIED","CONDITIONAL — NEVER COUNT AS UNCONDITIONAL APPROVAL"),IF(H155="Approved",IF(OR(O155&lt;&gt;"None",M155&lt;&gt;"",N155&lt;&gt;""),"CONDITION / OUTCOME CONFLICT","SOURCE-RECONCILED USE-SPECIFIC APPROVAL — CONFIRM SOURCE"),"NOT APPROVED / OUTCOME NOT RECOGNISED")))))))))))))))</f>
        <v/>
      </c>
    </row>
    <row r="156" ht="24" customHeight="1" s="14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3">
        <f>IF(COUNTA(A156:V156)=0,"",IF(A156="","UC-ID MISSING",IF(COUNTIF($A$4:$A$203,A156)&gt;1,"DUPLICATE UC-ID — CONFLICT",IF(OR(B156="",C156="",D156="",E156="",F156="",G156="",H156="",I156="",J156="",K156="",L156="",O156="",P156="",Q156="",R156="",S156="",T156="",U156="",V156=""),"EVIDENCE INCOMPLETE",IF(OR(ISNA(MATCH(F156,{"Critical","High","Medium","Low"},0)),ISNA(MATCH(E156,{"Priority 1 – Critical","Priority 2 – High","Priority 3 – Standard","Priority 4 – Routine","Priority 5 – Observe","Governance Investigation Required"},0))),"TIER / PRIORITY NOT RECOGNISED",IF(U156&lt;&gt;"Verified","UNVERIFIED / CONFLICT",IF(K156&lt;&gt;"UC-ID specific","NOT UC-SCOPED",IF(OR(NOT(ISNUMBER(Q156)),NOT(ISNUMBER(R156)),NOT(ISNUMBER(V156)),NOT(ISNUMBER($W$1))),"DATES NOT VERIFIED",IF(OR(Q156&gt;R156,V156&gt;Q156),"INVALID DATE RANGE",IF(Q156&gt;$W$1,"NOT YET EFFECTIVE",IF(R156&lt;$W$1,"EXPIRED / REVIEW DUE",IF(R156-Q156&gt;IF(F156="Critical",31,IF(F156="High",92,366)),"REVIEW INTERVAL EXCEEDS TIER CADENCE",IF(OR(H156="Pending",H156="Deferred",H156="Rejected",H156="Suspended",H156="Retired",H156="Unknown"),"NOT APPROVED / STATUS NOT CURRENT",IF(H156="Approved with conditions",IF(OR(M156="",N156="",O156="Open",O156="Unknown",O156="None"),"CONDITIONAL — CONDITIONS NOT VERIFIED","CONDITIONAL — NEVER COUNT AS UNCONDITIONAL APPROVAL"),IF(H156="Approved",IF(OR(O156&lt;&gt;"None",M156&lt;&gt;"",N156&lt;&gt;""),"CONDITION / OUTCOME CONFLICT","SOURCE-RECONCILED USE-SPECIFIC APPROVAL — CONFIRM SOURCE"),"NOT APPROVED / OUTCOME NOT RECOGNISED")))))))))))))))</f>
        <v/>
      </c>
    </row>
    <row r="157" ht="24" customHeight="1" s="14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3">
        <f>IF(COUNTA(A157:V157)=0,"",IF(A157="","UC-ID MISSING",IF(COUNTIF($A$4:$A$203,A157)&gt;1,"DUPLICATE UC-ID — CONFLICT",IF(OR(B157="",C157="",D157="",E157="",F157="",G157="",H157="",I157="",J157="",K157="",L157="",O157="",P157="",Q157="",R157="",S157="",T157="",U157="",V157=""),"EVIDENCE INCOMPLETE",IF(OR(ISNA(MATCH(F157,{"Critical","High","Medium","Low"},0)),ISNA(MATCH(E157,{"Priority 1 – Critical","Priority 2 – High","Priority 3 – Standard","Priority 4 – Routine","Priority 5 – Observe","Governance Investigation Required"},0))),"TIER / PRIORITY NOT RECOGNISED",IF(U157&lt;&gt;"Verified","UNVERIFIED / CONFLICT",IF(K157&lt;&gt;"UC-ID specific","NOT UC-SCOPED",IF(OR(NOT(ISNUMBER(Q157)),NOT(ISNUMBER(R157)),NOT(ISNUMBER(V157)),NOT(ISNUMBER($W$1))),"DATES NOT VERIFIED",IF(OR(Q157&gt;R157,V157&gt;Q157),"INVALID DATE RANGE",IF(Q157&gt;$W$1,"NOT YET EFFECTIVE",IF(R157&lt;$W$1,"EXPIRED / REVIEW DUE",IF(R157-Q157&gt;IF(F157="Critical",31,IF(F157="High",92,366)),"REVIEW INTERVAL EXCEEDS TIER CADENCE",IF(OR(H157="Pending",H157="Deferred",H157="Rejected",H157="Suspended",H157="Retired",H157="Unknown"),"NOT APPROVED / STATUS NOT CURRENT",IF(H157="Approved with conditions",IF(OR(M157="",N157="",O157="Open",O157="Unknown",O157="None"),"CONDITIONAL — CONDITIONS NOT VERIFIED","CONDITIONAL — NEVER COUNT AS UNCONDITIONAL APPROVAL"),IF(H157="Approved",IF(OR(O157&lt;&gt;"None",M157&lt;&gt;"",N157&lt;&gt;""),"CONDITION / OUTCOME CONFLICT","SOURCE-RECONCILED USE-SPECIFIC APPROVAL — CONFIRM SOURCE"),"NOT APPROVED / OUTCOME NOT RECOGNISED")))))))))))))))</f>
        <v/>
      </c>
    </row>
    <row r="158" ht="24" customHeight="1" s="14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3">
        <f>IF(COUNTA(A158:V158)=0,"",IF(A158="","UC-ID MISSING",IF(COUNTIF($A$4:$A$203,A158)&gt;1,"DUPLICATE UC-ID — CONFLICT",IF(OR(B158="",C158="",D158="",E158="",F158="",G158="",H158="",I158="",J158="",K158="",L158="",O158="",P158="",Q158="",R158="",S158="",T158="",U158="",V158=""),"EVIDENCE INCOMPLETE",IF(OR(ISNA(MATCH(F158,{"Critical","High","Medium","Low"},0)),ISNA(MATCH(E158,{"Priority 1 – Critical","Priority 2 – High","Priority 3 – Standard","Priority 4 – Routine","Priority 5 – Observe","Governance Investigation Required"},0))),"TIER / PRIORITY NOT RECOGNISED",IF(U158&lt;&gt;"Verified","UNVERIFIED / CONFLICT",IF(K158&lt;&gt;"UC-ID specific","NOT UC-SCOPED",IF(OR(NOT(ISNUMBER(Q158)),NOT(ISNUMBER(R158)),NOT(ISNUMBER(V158)),NOT(ISNUMBER($W$1))),"DATES NOT VERIFIED",IF(OR(Q158&gt;R158,V158&gt;Q158),"INVALID DATE RANGE",IF(Q158&gt;$W$1,"NOT YET EFFECTIVE",IF(R158&lt;$W$1,"EXPIRED / REVIEW DUE",IF(R158-Q158&gt;IF(F158="Critical",31,IF(F158="High",92,366)),"REVIEW INTERVAL EXCEEDS TIER CADENCE",IF(OR(H158="Pending",H158="Deferred",H158="Rejected",H158="Suspended",H158="Retired",H158="Unknown"),"NOT APPROVED / STATUS NOT CURRENT",IF(H158="Approved with conditions",IF(OR(M158="",N158="",O158="Open",O158="Unknown",O158="None"),"CONDITIONAL — CONDITIONS NOT VERIFIED","CONDITIONAL — NEVER COUNT AS UNCONDITIONAL APPROVAL"),IF(H158="Approved",IF(OR(O158&lt;&gt;"None",M158&lt;&gt;"",N158&lt;&gt;""),"CONDITION / OUTCOME CONFLICT","SOURCE-RECONCILED USE-SPECIFIC APPROVAL — CONFIRM SOURCE"),"NOT APPROVED / OUTCOME NOT RECOGNISED")))))))))))))))</f>
        <v/>
      </c>
    </row>
    <row r="159" ht="24" customHeight="1" s="14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3">
        <f>IF(COUNTA(A159:V159)=0,"",IF(A159="","UC-ID MISSING",IF(COUNTIF($A$4:$A$203,A159)&gt;1,"DUPLICATE UC-ID — CONFLICT",IF(OR(B159="",C159="",D159="",E159="",F159="",G159="",H159="",I159="",J159="",K159="",L159="",O159="",P159="",Q159="",R159="",S159="",T159="",U159="",V159=""),"EVIDENCE INCOMPLETE",IF(OR(ISNA(MATCH(F159,{"Critical","High","Medium","Low"},0)),ISNA(MATCH(E159,{"Priority 1 – Critical","Priority 2 – High","Priority 3 – Standard","Priority 4 – Routine","Priority 5 – Observe","Governance Investigation Required"},0))),"TIER / PRIORITY NOT RECOGNISED",IF(U159&lt;&gt;"Verified","UNVERIFIED / CONFLICT",IF(K159&lt;&gt;"UC-ID specific","NOT UC-SCOPED",IF(OR(NOT(ISNUMBER(Q159)),NOT(ISNUMBER(R159)),NOT(ISNUMBER(V159)),NOT(ISNUMBER($W$1))),"DATES NOT VERIFIED",IF(OR(Q159&gt;R159,V159&gt;Q159),"INVALID DATE RANGE",IF(Q159&gt;$W$1,"NOT YET EFFECTIVE",IF(R159&lt;$W$1,"EXPIRED / REVIEW DUE",IF(R159-Q159&gt;IF(F159="Critical",31,IF(F159="High",92,366)),"REVIEW INTERVAL EXCEEDS TIER CADENCE",IF(OR(H159="Pending",H159="Deferred",H159="Rejected",H159="Suspended",H159="Retired",H159="Unknown"),"NOT APPROVED / STATUS NOT CURRENT",IF(H159="Approved with conditions",IF(OR(M159="",N159="",O159="Open",O159="Unknown",O159="None"),"CONDITIONAL — CONDITIONS NOT VERIFIED","CONDITIONAL — NEVER COUNT AS UNCONDITIONAL APPROVAL"),IF(H159="Approved",IF(OR(O159&lt;&gt;"None",M159&lt;&gt;"",N159&lt;&gt;""),"CONDITION / OUTCOME CONFLICT","SOURCE-RECONCILED USE-SPECIFIC APPROVAL — CONFIRM SOURCE"),"NOT APPROVED / OUTCOME NOT RECOGNISED")))))))))))))))</f>
        <v/>
      </c>
    </row>
    <row r="160" ht="24" customHeight="1" s="14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3">
        <f>IF(COUNTA(A160:V160)=0,"",IF(A160="","UC-ID MISSING",IF(COUNTIF($A$4:$A$203,A160)&gt;1,"DUPLICATE UC-ID — CONFLICT",IF(OR(B160="",C160="",D160="",E160="",F160="",G160="",H160="",I160="",J160="",K160="",L160="",O160="",P160="",Q160="",R160="",S160="",T160="",U160="",V160=""),"EVIDENCE INCOMPLETE",IF(OR(ISNA(MATCH(F160,{"Critical","High","Medium","Low"},0)),ISNA(MATCH(E160,{"Priority 1 – Critical","Priority 2 – High","Priority 3 – Standard","Priority 4 – Routine","Priority 5 – Observe","Governance Investigation Required"},0))),"TIER / PRIORITY NOT RECOGNISED",IF(U160&lt;&gt;"Verified","UNVERIFIED / CONFLICT",IF(K160&lt;&gt;"UC-ID specific","NOT UC-SCOPED",IF(OR(NOT(ISNUMBER(Q160)),NOT(ISNUMBER(R160)),NOT(ISNUMBER(V160)),NOT(ISNUMBER($W$1))),"DATES NOT VERIFIED",IF(OR(Q160&gt;R160,V160&gt;Q160),"INVALID DATE RANGE",IF(Q160&gt;$W$1,"NOT YET EFFECTIVE",IF(R160&lt;$W$1,"EXPIRED / REVIEW DUE",IF(R160-Q160&gt;IF(F160="Critical",31,IF(F160="High",92,366)),"REVIEW INTERVAL EXCEEDS TIER CADENCE",IF(OR(H160="Pending",H160="Deferred",H160="Rejected",H160="Suspended",H160="Retired",H160="Unknown"),"NOT APPROVED / STATUS NOT CURRENT",IF(H160="Approved with conditions",IF(OR(M160="",N160="",O160="Open",O160="Unknown",O160="None"),"CONDITIONAL — CONDITIONS NOT VERIFIED","CONDITIONAL — NEVER COUNT AS UNCONDITIONAL APPROVAL"),IF(H160="Approved",IF(OR(O160&lt;&gt;"None",M160&lt;&gt;"",N160&lt;&gt;""),"CONDITION / OUTCOME CONFLICT","SOURCE-RECONCILED USE-SPECIFIC APPROVAL — CONFIRM SOURCE"),"NOT APPROVED / OUTCOME NOT RECOGNISED")))))))))))))))</f>
        <v/>
      </c>
    </row>
    <row r="161" ht="24" customHeight="1" s="14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3">
        <f>IF(COUNTA(A161:V161)=0,"",IF(A161="","UC-ID MISSING",IF(COUNTIF($A$4:$A$203,A161)&gt;1,"DUPLICATE UC-ID — CONFLICT",IF(OR(B161="",C161="",D161="",E161="",F161="",G161="",H161="",I161="",J161="",K161="",L161="",O161="",P161="",Q161="",R161="",S161="",T161="",U161="",V161=""),"EVIDENCE INCOMPLETE",IF(OR(ISNA(MATCH(F161,{"Critical","High","Medium","Low"},0)),ISNA(MATCH(E161,{"Priority 1 – Critical","Priority 2 – High","Priority 3 – Standard","Priority 4 – Routine","Priority 5 – Observe","Governance Investigation Required"},0))),"TIER / PRIORITY NOT RECOGNISED",IF(U161&lt;&gt;"Verified","UNVERIFIED / CONFLICT",IF(K161&lt;&gt;"UC-ID specific","NOT UC-SCOPED",IF(OR(NOT(ISNUMBER(Q161)),NOT(ISNUMBER(R161)),NOT(ISNUMBER(V161)),NOT(ISNUMBER($W$1))),"DATES NOT VERIFIED",IF(OR(Q161&gt;R161,V161&gt;Q161),"INVALID DATE RANGE",IF(Q161&gt;$W$1,"NOT YET EFFECTIVE",IF(R161&lt;$W$1,"EXPIRED / REVIEW DUE",IF(R161-Q161&gt;IF(F161="Critical",31,IF(F161="High",92,366)),"REVIEW INTERVAL EXCEEDS TIER CADENCE",IF(OR(H161="Pending",H161="Deferred",H161="Rejected",H161="Suspended",H161="Retired",H161="Unknown"),"NOT APPROVED / STATUS NOT CURRENT",IF(H161="Approved with conditions",IF(OR(M161="",N161="",O161="Open",O161="Unknown",O161="None"),"CONDITIONAL — CONDITIONS NOT VERIFIED","CONDITIONAL — NEVER COUNT AS UNCONDITIONAL APPROVAL"),IF(H161="Approved",IF(OR(O161&lt;&gt;"None",M161&lt;&gt;"",N161&lt;&gt;""),"CONDITION / OUTCOME CONFLICT","SOURCE-RECONCILED USE-SPECIFIC APPROVAL — CONFIRM SOURCE"),"NOT APPROVED / OUTCOME NOT RECOGNISED")))))))))))))))</f>
        <v/>
      </c>
    </row>
    <row r="162" ht="24" customHeight="1" s="14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3">
        <f>IF(COUNTA(A162:V162)=0,"",IF(A162="","UC-ID MISSING",IF(COUNTIF($A$4:$A$203,A162)&gt;1,"DUPLICATE UC-ID — CONFLICT",IF(OR(B162="",C162="",D162="",E162="",F162="",G162="",H162="",I162="",J162="",K162="",L162="",O162="",P162="",Q162="",R162="",S162="",T162="",U162="",V162=""),"EVIDENCE INCOMPLETE",IF(OR(ISNA(MATCH(F162,{"Critical","High","Medium","Low"},0)),ISNA(MATCH(E162,{"Priority 1 – Critical","Priority 2 – High","Priority 3 – Standard","Priority 4 – Routine","Priority 5 – Observe","Governance Investigation Required"},0))),"TIER / PRIORITY NOT RECOGNISED",IF(U162&lt;&gt;"Verified","UNVERIFIED / CONFLICT",IF(K162&lt;&gt;"UC-ID specific","NOT UC-SCOPED",IF(OR(NOT(ISNUMBER(Q162)),NOT(ISNUMBER(R162)),NOT(ISNUMBER(V162)),NOT(ISNUMBER($W$1))),"DATES NOT VERIFIED",IF(OR(Q162&gt;R162,V162&gt;Q162),"INVALID DATE RANGE",IF(Q162&gt;$W$1,"NOT YET EFFECTIVE",IF(R162&lt;$W$1,"EXPIRED / REVIEW DUE",IF(R162-Q162&gt;IF(F162="Critical",31,IF(F162="High",92,366)),"REVIEW INTERVAL EXCEEDS TIER CADENCE",IF(OR(H162="Pending",H162="Deferred",H162="Rejected",H162="Suspended",H162="Retired",H162="Unknown"),"NOT APPROVED / STATUS NOT CURRENT",IF(H162="Approved with conditions",IF(OR(M162="",N162="",O162="Open",O162="Unknown",O162="None"),"CONDITIONAL — CONDITIONS NOT VERIFIED","CONDITIONAL — NEVER COUNT AS UNCONDITIONAL APPROVAL"),IF(H162="Approved",IF(OR(O162&lt;&gt;"None",M162&lt;&gt;"",N162&lt;&gt;""),"CONDITION / OUTCOME CONFLICT","SOURCE-RECONCILED USE-SPECIFIC APPROVAL — CONFIRM SOURCE"),"NOT APPROVED / OUTCOME NOT RECOGNISED")))))))))))))))</f>
        <v/>
      </c>
    </row>
    <row r="163" ht="24" customHeight="1" s="14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3">
        <f>IF(COUNTA(A163:V163)=0,"",IF(A163="","UC-ID MISSING",IF(COUNTIF($A$4:$A$203,A163)&gt;1,"DUPLICATE UC-ID — CONFLICT",IF(OR(B163="",C163="",D163="",E163="",F163="",G163="",H163="",I163="",J163="",K163="",L163="",O163="",P163="",Q163="",R163="",S163="",T163="",U163="",V163=""),"EVIDENCE INCOMPLETE",IF(OR(ISNA(MATCH(F163,{"Critical","High","Medium","Low"},0)),ISNA(MATCH(E163,{"Priority 1 – Critical","Priority 2 – High","Priority 3 – Standard","Priority 4 – Routine","Priority 5 – Observe","Governance Investigation Required"},0))),"TIER / PRIORITY NOT RECOGNISED",IF(U163&lt;&gt;"Verified","UNVERIFIED / CONFLICT",IF(K163&lt;&gt;"UC-ID specific","NOT UC-SCOPED",IF(OR(NOT(ISNUMBER(Q163)),NOT(ISNUMBER(R163)),NOT(ISNUMBER(V163)),NOT(ISNUMBER($W$1))),"DATES NOT VERIFIED",IF(OR(Q163&gt;R163,V163&gt;Q163),"INVALID DATE RANGE",IF(Q163&gt;$W$1,"NOT YET EFFECTIVE",IF(R163&lt;$W$1,"EXPIRED / REVIEW DUE",IF(R163-Q163&gt;IF(F163="Critical",31,IF(F163="High",92,366)),"REVIEW INTERVAL EXCEEDS TIER CADENCE",IF(OR(H163="Pending",H163="Deferred",H163="Rejected",H163="Suspended",H163="Retired",H163="Unknown"),"NOT APPROVED / STATUS NOT CURRENT",IF(H163="Approved with conditions",IF(OR(M163="",N163="",O163="Open",O163="Unknown",O163="None"),"CONDITIONAL — CONDITIONS NOT VERIFIED","CONDITIONAL — NEVER COUNT AS UNCONDITIONAL APPROVAL"),IF(H163="Approved",IF(OR(O163&lt;&gt;"None",M163&lt;&gt;"",N163&lt;&gt;""),"CONDITION / OUTCOME CONFLICT","SOURCE-RECONCILED USE-SPECIFIC APPROVAL — CONFIRM SOURCE"),"NOT APPROVED / OUTCOME NOT RECOGNISED")))))))))))))))</f>
        <v/>
      </c>
    </row>
    <row r="164" ht="24" customHeight="1" s="1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3">
        <f>IF(COUNTA(A164:V164)=0,"",IF(A164="","UC-ID MISSING",IF(COUNTIF($A$4:$A$203,A164)&gt;1,"DUPLICATE UC-ID — CONFLICT",IF(OR(B164="",C164="",D164="",E164="",F164="",G164="",H164="",I164="",J164="",K164="",L164="",O164="",P164="",Q164="",R164="",S164="",T164="",U164="",V164=""),"EVIDENCE INCOMPLETE",IF(OR(ISNA(MATCH(F164,{"Critical","High","Medium","Low"},0)),ISNA(MATCH(E164,{"Priority 1 – Critical","Priority 2 – High","Priority 3 – Standard","Priority 4 – Routine","Priority 5 – Observe","Governance Investigation Required"},0))),"TIER / PRIORITY NOT RECOGNISED",IF(U164&lt;&gt;"Verified","UNVERIFIED / CONFLICT",IF(K164&lt;&gt;"UC-ID specific","NOT UC-SCOPED",IF(OR(NOT(ISNUMBER(Q164)),NOT(ISNUMBER(R164)),NOT(ISNUMBER(V164)),NOT(ISNUMBER($W$1))),"DATES NOT VERIFIED",IF(OR(Q164&gt;R164,V164&gt;Q164),"INVALID DATE RANGE",IF(Q164&gt;$W$1,"NOT YET EFFECTIVE",IF(R164&lt;$W$1,"EXPIRED / REVIEW DUE",IF(R164-Q164&gt;IF(F164="Critical",31,IF(F164="High",92,366)),"REVIEW INTERVAL EXCEEDS TIER CADENCE",IF(OR(H164="Pending",H164="Deferred",H164="Rejected",H164="Suspended",H164="Retired",H164="Unknown"),"NOT APPROVED / STATUS NOT CURRENT",IF(H164="Approved with conditions",IF(OR(M164="",N164="",O164="Open",O164="Unknown",O164="None"),"CONDITIONAL — CONDITIONS NOT VERIFIED","CONDITIONAL — NEVER COUNT AS UNCONDITIONAL APPROVAL"),IF(H164="Approved",IF(OR(O164&lt;&gt;"None",M164&lt;&gt;"",N164&lt;&gt;""),"CONDITION / OUTCOME CONFLICT","SOURCE-RECONCILED USE-SPECIFIC APPROVAL — CONFIRM SOURCE"),"NOT APPROVED / OUTCOME NOT RECOGNISED")))))))))))))))</f>
        <v/>
      </c>
    </row>
    <row r="165" ht="24" customHeight="1" s="14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3">
        <f>IF(COUNTA(A165:V165)=0,"",IF(A165="","UC-ID MISSING",IF(COUNTIF($A$4:$A$203,A165)&gt;1,"DUPLICATE UC-ID — CONFLICT",IF(OR(B165="",C165="",D165="",E165="",F165="",G165="",H165="",I165="",J165="",K165="",L165="",O165="",P165="",Q165="",R165="",S165="",T165="",U165="",V165=""),"EVIDENCE INCOMPLETE",IF(OR(ISNA(MATCH(F165,{"Critical","High","Medium","Low"},0)),ISNA(MATCH(E165,{"Priority 1 – Critical","Priority 2 – High","Priority 3 – Standard","Priority 4 – Routine","Priority 5 – Observe","Governance Investigation Required"},0))),"TIER / PRIORITY NOT RECOGNISED",IF(U165&lt;&gt;"Verified","UNVERIFIED / CONFLICT",IF(K165&lt;&gt;"UC-ID specific","NOT UC-SCOPED",IF(OR(NOT(ISNUMBER(Q165)),NOT(ISNUMBER(R165)),NOT(ISNUMBER(V165)),NOT(ISNUMBER($W$1))),"DATES NOT VERIFIED",IF(OR(Q165&gt;R165,V165&gt;Q165),"INVALID DATE RANGE",IF(Q165&gt;$W$1,"NOT YET EFFECTIVE",IF(R165&lt;$W$1,"EXPIRED / REVIEW DUE",IF(R165-Q165&gt;IF(F165="Critical",31,IF(F165="High",92,366)),"REVIEW INTERVAL EXCEEDS TIER CADENCE",IF(OR(H165="Pending",H165="Deferred",H165="Rejected",H165="Suspended",H165="Retired",H165="Unknown"),"NOT APPROVED / STATUS NOT CURRENT",IF(H165="Approved with conditions",IF(OR(M165="",N165="",O165="Open",O165="Unknown",O165="None"),"CONDITIONAL — CONDITIONS NOT VERIFIED","CONDITIONAL — NEVER COUNT AS UNCONDITIONAL APPROVAL"),IF(H165="Approved",IF(OR(O165&lt;&gt;"None",M165&lt;&gt;"",N165&lt;&gt;""),"CONDITION / OUTCOME CONFLICT","SOURCE-RECONCILED USE-SPECIFIC APPROVAL — CONFIRM SOURCE"),"NOT APPROVED / OUTCOME NOT RECOGNISED")))))))))))))))</f>
        <v/>
      </c>
    </row>
    <row r="166" ht="24" customHeight="1" s="14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3">
        <f>IF(COUNTA(A166:V166)=0,"",IF(A166="","UC-ID MISSING",IF(COUNTIF($A$4:$A$203,A166)&gt;1,"DUPLICATE UC-ID — CONFLICT",IF(OR(B166="",C166="",D166="",E166="",F166="",G166="",H166="",I166="",J166="",K166="",L166="",O166="",P166="",Q166="",R166="",S166="",T166="",U166="",V166=""),"EVIDENCE INCOMPLETE",IF(OR(ISNA(MATCH(F166,{"Critical","High","Medium","Low"},0)),ISNA(MATCH(E166,{"Priority 1 – Critical","Priority 2 – High","Priority 3 – Standard","Priority 4 – Routine","Priority 5 – Observe","Governance Investigation Required"},0))),"TIER / PRIORITY NOT RECOGNISED",IF(U166&lt;&gt;"Verified","UNVERIFIED / CONFLICT",IF(K166&lt;&gt;"UC-ID specific","NOT UC-SCOPED",IF(OR(NOT(ISNUMBER(Q166)),NOT(ISNUMBER(R166)),NOT(ISNUMBER(V166)),NOT(ISNUMBER($W$1))),"DATES NOT VERIFIED",IF(OR(Q166&gt;R166,V166&gt;Q166),"INVALID DATE RANGE",IF(Q166&gt;$W$1,"NOT YET EFFECTIVE",IF(R166&lt;$W$1,"EXPIRED / REVIEW DUE",IF(R166-Q166&gt;IF(F166="Critical",31,IF(F166="High",92,366)),"REVIEW INTERVAL EXCEEDS TIER CADENCE",IF(OR(H166="Pending",H166="Deferred",H166="Rejected",H166="Suspended",H166="Retired",H166="Unknown"),"NOT APPROVED / STATUS NOT CURRENT",IF(H166="Approved with conditions",IF(OR(M166="",N166="",O166="Open",O166="Unknown",O166="None"),"CONDITIONAL — CONDITIONS NOT VERIFIED","CONDITIONAL — NEVER COUNT AS UNCONDITIONAL APPROVAL"),IF(H166="Approved",IF(OR(O166&lt;&gt;"None",M166&lt;&gt;"",N166&lt;&gt;""),"CONDITION / OUTCOME CONFLICT","SOURCE-RECONCILED USE-SPECIFIC APPROVAL — CONFIRM SOURCE"),"NOT APPROVED / OUTCOME NOT RECOGNISED")))))))))))))))</f>
        <v/>
      </c>
    </row>
    <row r="167" ht="24" customHeight="1" s="14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3">
        <f>IF(COUNTA(A167:V167)=0,"",IF(A167="","UC-ID MISSING",IF(COUNTIF($A$4:$A$203,A167)&gt;1,"DUPLICATE UC-ID — CONFLICT",IF(OR(B167="",C167="",D167="",E167="",F167="",G167="",H167="",I167="",J167="",K167="",L167="",O167="",P167="",Q167="",R167="",S167="",T167="",U167="",V167=""),"EVIDENCE INCOMPLETE",IF(OR(ISNA(MATCH(F167,{"Critical","High","Medium","Low"},0)),ISNA(MATCH(E167,{"Priority 1 – Critical","Priority 2 – High","Priority 3 – Standard","Priority 4 – Routine","Priority 5 – Observe","Governance Investigation Required"},0))),"TIER / PRIORITY NOT RECOGNISED",IF(U167&lt;&gt;"Verified","UNVERIFIED / CONFLICT",IF(K167&lt;&gt;"UC-ID specific","NOT UC-SCOPED",IF(OR(NOT(ISNUMBER(Q167)),NOT(ISNUMBER(R167)),NOT(ISNUMBER(V167)),NOT(ISNUMBER($W$1))),"DATES NOT VERIFIED",IF(OR(Q167&gt;R167,V167&gt;Q167),"INVALID DATE RANGE",IF(Q167&gt;$W$1,"NOT YET EFFECTIVE",IF(R167&lt;$W$1,"EXPIRED / REVIEW DUE",IF(R167-Q167&gt;IF(F167="Critical",31,IF(F167="High",92,366)),"REVIEW INTERVAL EXCEEDS TIER CADENCE",IF(OR(H167="Pending",H167="Deferred",H167="Rejected",H167="Suspended",H167="Retired",H167="Unknown"),"NOT APPROVED / STATUS NOT CURRENT",IF(H167="Approved with conditions",IF(OR(M167="",N167="",O167="Open",O167="Unknown",O167="None"),"CONDITIONAL — CONDITIONS NOT VERIFIED","CONDITIONAL — NEVER COUNT AS UNCONDITIONAL APPROVAL"),IF(H167="Approved",IF(OR(O167&lt;&gt;"None",M167&lt;&gt;"",N167&lt;&gt;""),"CONDITION / OUTCOME CONFLICT","SOURCE-RECONCILED USE-SPECIFIC APPROVAL — CONFIRM SOURCE"),"NOT APPROVED / OUTCOME NOT RECOGNISED")))))))))))))))</f>
        <v/>
      </c>
    </row>
    <row r="168" ht="24" customHeight="1" s="14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3">
        <f>IF(COUNTA(A168:V168)=0,"",IF(A168="","UC-ID MISSING",IF(COUNTIF($A$4:$A$203,A168)&gt;1,"DUPLICATE UC-ID — CONFLICT",IF(OR(B168="",C168="",D168="",E168="",F168="",G168="",H168="",I168="",J168="",K168="",L168="",O168="",P168="",Q168="",R168="",S168="",T168="",U168="",V168=""),"EVIDENCE INCOMPLETE",IF(OR(ISNA(MATCH(F168,{"Critical","High","Medium","Low"},0)),ISNA(MATCH(E168,{"Priority 1 – Critical","Priority 2 – High","Priority 3 – Standard","Priority 4 – Routine","Priority 5 – Observe","Governance Investigation Required"},0))),"TIER / PRIORITY NOT RECOGNISED",IF(U168&lt;&gt;"Verified","UNVERIFIED / CONFLICT",IF(K168&lt;&gt;"UC-ID specific","NOT UC-SCOPED",IF(OR(NOT(ISNUMBER(Q168)),NOT(ISNUMBER(R168)),NOT(ISNUMBER(V168)),NOT(ISNUMBER($W$1))),"DATES NOT VERIFIED",IF(OR(Q168&gt;R168,V168&gt;Q168),"INVALID DATE RANGE",IF(Q168&gt;$W$1,"NOT YET EFFECTIVE",IF(R168&lt;$W$1,"EXPIRED / REVIEW DUE",IF(R168-Q168&gt;IF(F168="Critical",31,IF(F168="High",92,366)),"REVIEW INTERVAL EXCEEDS TIER CADENCE",IF(OR(H168="Pending",H168="Deferred",H168="Rejected",H168="Suspended",H168="Retired",H168="Unknown"),"NOT APPROVED / STATUS NOT CURRENT",IF(H168="Approved with conditions",IF(OR(M168="",N168="",O168="Open",O168="Unknown",O168="None"),"CONDITIONAL — CONDITIONS NOT VERIFIED","CONDITIONAL — NEVER COUNT AS UNCONDITIONAL APPROVAL"),IF(H168="Approved",IF(OR(O168&lt;&gt;"None",M168&lt;&gt;"",N168&lt;&gt;""),"CONDITION / OUTCOME CONFLICT","SOURCE-RECONCILED USE-SPECIFIC APPROVAL — CONFIRM SOURCE"),"NOT APPROVED / OUTCOME NOT RECOGNISED")))))))))))))))</f>
        <v/>
      </c>
    </row>
    <row r="169" ht="24" customHeight="1" s="14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3">
        <f>IF(COUNTA(A169:V169)=0,"",IF(A169="","UC-ID MISSING",IF(COUNTIF($A$4:$A$203,A169)&gt;1,"DUPLICATE UC-ID — CONFLICT",IF(OR(B169="",C169="",D169="",E169="",F169="",G169="",H169="",I169="",J169="",K169="",L169="",O169="",P169="",Q169="",R169="",S169="",T169="",U169="",V169=""),"EVIDENCE INCOMPLETE",IF(OR(ISNA(MATCH(F169,{"Critical","High","Medium","Low"},0)),ISNA(MATCH(E169,{"Priority 1 – Critical","Priority 2 – High","Priority 3 – Standard","Priority 4 – Routine","Priority 5 – Observe","Governance Investigation Required"},0))),"TIER / PRIORITY NOT RECOGNISED",IF(U169&lt;&gt;"Verified","UNVERIFIED / CONFLICT",IF(K169&lt;&gt;"UC-ID specific","NOT UC-SCOPED",IF(OR(NOT(ISNUMBER(Q169)),NOT(ISNUMBER(R169)),NOT(ISNUMBER(V169)),NOT(ISNUMBER($W$1))),"DATES NOT VERIFIED",IF(OR(Q169&gt;R169,V169&gt;Q169),"INVALID DATE RANGE",IF(Q169&gt;$W$1,"NOT YET EFFECTIVE",IF(R169&lt;$W$1,"EXPIRED / REVIEW DUE",IF(R169-Q169&gt;IF(F169="Critical",31,IF(F169="High",92,366)),"REVIEW INTERVAL EXCEEDS TIER CADENCE",IF(OR(H169="Pending",H169="Deferred",H169="Rejected",H169="Suspended",H169="Retired",H169="Unknown"),"NOT APPROVED / STATUS NOT CURRENT",IF(H169="Approved with conditions",IF(OR(M169="",N169="",O169="Open",O169="Unknown",O169="None"),"CONDITIONAL — CONDITIONS NOT VERIFIED","CONDITIONAL — NEVER COUNT AS UNCONDITIONAL APPROVAL"),IF(H169="Approved",IF(OR(O169&lt;&gt;"None",M169&lt;&gt;"",N169&lt;&gt;""),"CONDITION / OUTCOME CONFLICT","SOURCE-RECONCILED USE-SPECIFIC APPROVAL — CONFIRM SOURCE"),"NOT APPROVED / OUTCOME NOT RECOGNISED")))))))))))))))</f>
        <v/>
      </c>
    </row>
    <row r="170" ht="24" customHeight="1" s="14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3">
        <f>IF(COUNTA(A170:V170)=0,"",IF(A170="","UC-ID MISSING",IF(COUNTIF($A$4:$A$203,A170)&gt;1,"DUPLICATE UC-ID — CONFLICT",IF(OR(B170="",C170="",D170="",E170="",F170="",G170="",H170="",I170="",J170="",K170="",L170="",O170="",P170="",Q170="",R170="",S170="",T170="",U170="",V170=""),"EVIDENCE INCOMPLETE",IF(OR(ISNA(MATCH(F170,{"Critical","High","Medium","Low"},0)),ISNA(MATCH(E170,{"Priority 1 – Critical","Priority 2 – High","Priority 3 – Standard","Priority 4 – Routine","Priority 5 – Observe","Governance Investigation Required"},0))),"TIER / PRIORITY NOT RECOGNISED",IF(U170&lt;&gt;"Verified","UNVERIFIED / CONFLICT",IF(K170&lt;&gt;"UC-ID specific","NOT UC-SCOPED",IF(OR(NOT(ISNUMBER(Q170)),NOT(ISNUMBER(R170)),NOT(ISNUMBER(V170)),NOT(ISNUMBER($W$1))),"DATES NOT VERIFIED",IF(OR(Q170&gt;R170,V170&gt;Q170),"INVALID DATE RANGE",IF(Q170&gt;$W$1,"NOT YET EFFECTIVE",IF(R170&lt;$W$1,"EXPIRED / REVIEW DUE",IF(R170-Q170&gt;IF(F170="Critical",31,IF(F170="High",92,366)),"REVIEW INTERVAL EXCEEDS TIER CADENCE",IF(OR(H170="Pending",H170="Deferred",H170="Rejected",H170="Suspended",H170="Retired",H170="Unknown"),"NOT APPROVED / STATUS NOT CURRENT",IF(H170="Approved with conditions",IF(OR(M170="",N170="",O170="Open",O170="Unknown",O170="None"),"CONDITIONAL — CONDITIONS NOT VERIFIED","CONDITIONAL — NEVER COUNT AS UNCONDITIONAL APPROVAL"),IF(H170="Approved",IF(OR(O170&lt;&gt;"None",M170&lt;&gt;"",N170&lt;&gt;""),"CONDITION / OUTCOME CONFLICT","SOURCE-RECONCILED USE-SPECIFIC APPROVAL — CONFIRM SOURCE"),"NOT APPROVED / OUTCOME NOT RECOGNISED")))))))))))))))</f>
        <v/>
      </c>
    </row>
    <row r="171" ht="24" customHeight="1" s="14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3">
        <f>IF(COUNTA(A171:V171)=0,"",IF(A171="","UC-ID MISSING",IF(COUNTIF($A$4:$A$203,A171)&gt;1,"DUPLICATE UC-ID — CONFLICT",IF(OR(B171="",C171="",D171="",E171="",F171="",G171="",H171="",I171="",J171="",K171="",L171="",O171="",P171="",Q171="",R171="",S171="",T171="",U171="",V171=""),"EVIDENCE INCOMPLETE",IF(OR(ISNA(MATCH(F171,{"Critical","High","Medium","Low"},0)),ISNA(MATCH(E171,{"Priority 1 – Critical","Priority 2 – High","Priority 3 – Standard","Priority 4 – Routine","Priority 5 – Observe","Governance Investigation Required"},0))),"TIER / PRIORITY NOT RECOGNISED",IF(U171&lt;&gt;"Verified","UNVERIFIED / CONFLICT",IF(K171&lt;&gt;"UC-ID specific","NOT UC-SCOPED",IF(OR(NOT(ISNUMBER(Q171)),NOT(ISNUMBER(R171)),NOT(ISNUMBER(V171)),NOT(ISNUMBER($W$1))),"DATES NOT VERIFIED",IF(OR(Q171&gt;R171,V171&gt;Q171),"INVALID DATE RANGE",IF(Q171&gt;$W$1,"NOT YET EFFECTIVE",IF(R171&lt;$W$1,"EXPIRED / REVIEW DUE",IF(R171-Q171&gt;IF(F171="Critical",31,IF(F171="High",92,366)),"REVIEW INTERVAL EXCEEDS TIER CADENCE",IF(OR(H171="Pending",H171="Deferred",H171="Rejected",H171="Suspended",H171="Retired",H171="Unknown"),"NOT APPROVED / STATUS NOT CURRENT",IF(H171="Approved with conditions",IF(OR(M171="",N171="",O171="Open",O171="Unknown",O171="None"),"CONDITIONAL — CONDITIONS NOT VERIFIED","CONDITIONAL — NEVER COUNT AS UNCONDITIONAL APPROVAL"),IF(H171="Approved",IF(OR(O171&lt;&gt;"None",M171&lt;&gt;"",N171&lt;&gt;""),"CONDITION / OUTCOME CONFLICT","SOURCE-RECONCILED USE-SPECIFIC APPROVAL — CONFIRM SOURCE"),"NOT APPROVED / OUTCOME NOT RECOGNISED")))))))))))))))</f>
        <v/>
      </c>
    </row>
    <row r="172" ht="24" customHeight="1" s="14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3">
        <f>IF(COUNTA(A172:V172)=0,"",IF(A172="","UC-ID MISSING",IF(COUNTIF($A$4:$A$203,A172)&gt;1,"DUPLICATE UC-ID — CONFLICT",IF(OR(B172="",C172="",D172="",E172="",F172="",G172="",H172="",I172="",J172="",K172="",L172="",O172="",P172="",Q172="",R172="",S172="",T172="",U172="",V172=""),"EVIDENCE INCOMPLETE",IF(OR(ISNA(MATCH(F172,{"Critical","High","Medium","Low"},0)),ISNA(MATCH(E172,{"Priority 1 – Critical","Priority 2 – High","Priority 3 – Standard","Priority 4 – Routine","Priority 5 – Observe","Governance Investigation Required"},0))),"TIER / PRIORITY NOT RECOGNISED",IF(U172&lt;&gt;"Verified","UNVERIFIED / CONFLICT",IF(K172&lt;&gt;"UC-ID specific","NOT UC-SCOPED",IF(OR(NOT(ISNUMBER(Q172)),NOT(ISNUMBER(R172)),NOT(ISNUMBER(V172)),NOT(ISNUMBER($W$1))),"DATES NOT VERIFIED",IF(OR(Q172&gt;R172,V172&gt;Q172),"INVALID DATE RANGE",IF(Q172&gt;$W$1,"NOT YET EFFECTIVE",IF(R172&lt;$W$1,"EXPIRED / REVIEW DUE",IF(R172-Q172&gt;IF(F172="Critical",31,IF(F172="High",92,366)),"REVIEW INTERVAL EXCEEDS TIER CADENCE",IF(OR(H172="Pending",H172="Deferred",H172="Rejected",H172="Suspended",H172="Retired",H172="Unknown"),"NOT APPROVED / STATUS NOT CURRENT",IF(H172="Approved with conditions",IF(OR(M172="",N172="",O172="Open",O172="Unknown",O172="None"),"CONDITIONAL — CONDITIONS NOT VERIFIED","CONDITIONAL — NEVER COUNT AS UNCONDITIONAL APPROVAL"),IF(H172="Approved",IF(OR(O172&lt;&gt;"None",M172&lt;&gt;"",N172&lt;&gt;""),"CONDITION / OUTCOME CONFLICT","SOURCE-RECONCILED USE-SPECIFIC APPROVAL — CONFIRM SOURCE"),"NOT APPROVED / OUTCOME NOT RECOGNISED")))))))))))))))</f>
        <v/>
      </c>
    </row>
    <row r="173" ht="24" customHeight="1" s="14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3">
        <f>IF(COUNTA(A173:V173)=0,"",IF(A173="","UC-ID MISSING",IF(COUNTIF($A$4:$A$203,A173)&gt;1,"DUPLICATE UC-ID — CONFLICT",IF(OR(B173="",C173="",D173="",E173="",F173="",G173="",H173="",I173="",J173="",K173="",L173="",O173="",P173="",Q173="",R173="",S173="",T173="",U173="",V173=""),"EVIDENCE INCOMPLETE",IF(OR(ISNA(MATCH(F173,{"Critical","High","Medium","Low"},0)),ISNA(MATCH(E173,{"Priority 1 – Critical","Priority 2 – High","Priority 3 – Standard","Priority 4 – Routine","Priority 5 – Observe","Governance Investigation Required"},0))),"TIER / PRIORITY NOT RECOGNISED",IF(U173&lt;&gt;"Verified","UNVERIFIED / CONFLICT",IF(K173&lt;&gt;"UC-ID specific","NOT UC-SCOPED",IF(OR(NOT(ISNUMBER(Q173)),NOT(ISNUMBER(R173)),NOT(ISNUMBER(V173)),NOT(ISNUMBER($W$1))),"DATES NOT VERIFIED",IF(OR(Q173&gt;R173,V173&gt;Q173),"INVALID DATE RANGE",IF(Q173&gt;$W$1,"NOT YET EFFECTIVE",IF(R173&lt;$W$1,"EXPIRED / REVIEW DUE",IF(R173-Q173&gt;IF(F173="Critical",31,IF(F173="High",92,366)),"REVIEW INTERVAL EXCEEDS TIER CADENCE",IF(OR(H173="Pending",H173="Deferred",H173="Rejected",H173="Suspended",H173="Retired",H173="Unknown"),"NOT APPROVED / STATUS NOT CURRENT",IF(H173="Approved with conditions",IF(OR(M173="",N173="",O173="Open",O173="Unknown",O173="None"),"CONDITIONAL — CONDITIONS NOT VERIFIED","CONDITIONAL — NEVER COUNT AS UNCONDITIONAL APPROVAL"),IF(H173="Approved",IF(OR(O173&lt;&gt;"None",M173&lt;&gt;"",N173&lt;&gt;""),"CONDITION / OUTCOME CONFLICT","SOURCE-RECONCILED USE-SPECIFIC APPROVAL — CONFIRM SOURCE"),"NOT APPROVED / OUTCOME NOT RECOGNISED")))))))))))))))</f>
        <v/>
      </c>
    </row>
    <row r="174" ht="24" customHeight="1" s="1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3">
        <f>IF(COUNTA(A174:V174)=0,"",IF(A174="","UC-ID MISSING",IF(COUNTIF($A$4:$A$203,A174)&gt;1,"DUPLICATE UC-ID — CONFLICT",IF(OR(B174="",C174="",D174="",E174="",F174="",G174="",H174="",I174="",J174="",K174="",L174="",O174="",P174="",Q174="",R174="",S174="",T174="",U174="",V174=""),"EVIDENCE INCOMPLETE",IF(OR(ISNA(MATCH(F174,{"Critical","High","Medium","Low"},0)),ISNA(MATCH(E174,{"Priority 1 – Critical","Priority 2 – High","Priority 3 – Standard","Priority 4 – Routine","Priority 5 – Observe","Governance Investigation Required"},0))),"TIER / PRIORITY NOT RECOGNISED",IF(U174&lt;&gt;"Verified","UNVERIFIED / CONFLICT",IF(K174&lt;&gt;"UC-ID specific","NOT UC-SCOPED",IF(OR(NOT(ISNUMBER(Q174)),NOT(ISNUMBER(R174)),NOT(ISNUMBER(V174)),NOT(ISNUMBER($W$1))),"DATES NOT VERIFIED",IF(OR(Q174&gt;R174,V174&gt;Q174),"INVALID DATE RANGE",IF(Q174&gt;$W$1,"NOT YET EFFECTIVE",IF(R174&lt;$W$1,"EXPIRED / REVIEW DUE",IF(R174-Q174&gt;IF(F174="Critical",31,IF(F174="High",92,366)),"REVIEW INTERVAL EXCEEDS TIER CADENCE",IF(OR(H174="Pending",H174="Deferred",H174="Rejected",H174="Suspended",H174="Retired",H174="Unknown"),"NOT APPROVED / STATUS NOT CURRENT",IF(H174="Approved with conditions",IF(OR(M174="",N174="",O174="Open",O174="Unknown",O174="None"),"CONDITIONAL — CONDITIONS NOT VERIFIED","CONDITIONAL — NEVER COUNT AS UNCONDITIONAL APPROVAL"),IF(H174="Approved",IF(OR(O174&lt;&gt;"None",M174&lt;&gt;"",N174&lt;&gt;""),"CONDITION / OUTCOME CONFLICT","SOURCE-RECONCILED USE-SPECIFIC APPROVAL — CONFIRM SOURCE"),"NOT APPROVED / OUTCOME NOT RECOGNISED")))))))))))))))</f>
        <v/>
      </c>
    </row>
    <row r="175" ht="24" customHeight="1" s="14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3">
        <f>IF(COUNTA(A175:V175)=0,"",IF(A175="","UC-ID MISSING",IF(COUNTIF($A$4:$A$203,A175)&gt;1,"DUPLICATE UC-ID — CONFLICT",IF(OR(B175="",C175="",D175="",E175="",F175="",G175="",H175="",I175="",J175="",K175="",L175="",O175="",P175="",Q175="",R175="",S175="",T175="",U175="",V175=""),"EVIDENCE INCOMPLETE",IF(OR(ISNA(MATCH(F175,{"Critical","High","Medium","Low"},0)),ISNA(MATCH(E175,{"Priority 1 – Critical","Priority 2 – High","Priority 3 – Standard","Priority 4 – Routine","Priority 5 – Observe","Governance Investigation Required"},0))),"TIER / PRIORITY NOT RECOGNISED",IF(U175&lt;&gt;"Verified","UNVERIFIED / CONFLICT",IF(K175&lt;&gt;"UC-ID specific","NOT UC-SCOPED",IF(OR(NOT(ISNUMBER(Q175)),NOT(ISNUMBER(R175)),NOT(ISNUMBER(V175)),NOT(ISNUMBER($W$1))),"DATES NOT VERIFIED",IF(OR(Q175&gt;R175,V175&gt;Q175),"INVALID DATE RANGE",IF(Q175&gt;$W$1,"NOT YET EFFECTIVE",IF(R175&lt;$W$1,"EXPIRED / REVIEW DUE",IF(R175-Q175&gt;IF(F175="Critical",31,IF(F175="High",92,366)),"REVIEW INTERVAL EXCEEDS TIER CADENCE",IF(OR(H175="Pending",H175="Deferred",H175="Rejected",H175="Suspended",H175="Retired",H175="Unknown"),"NOT APPROVED / STATUS NOT CURRENT",IF(H175="Approved with conditions",IF(OR(M175="",N175="",O175="Open",O175="Unknown",O175="None"),"CONDITIONAL — CONDITIONS NOT VERIFIED","CONDITIONAL — NEVER COUNT AS UNCONDITIONAL APPROVAL"),IF(H175="Approved",IF(OR(O175&lt;&gt;"None",M175&lt;&gt;"",N175&lt;&gt;""),"CONDITION / OUTCOME CONFLICT","SOURCE-RECONCILED USE-SPECIFIC APPROVAL — CONFIRM SOURCE"),"NOT APPROVED / OUTCOME NOT RECOGNISED")))))))))))))))</f>
        <v/>
      </c>
    </row>
    <row r="176" ht="24" customHeight="1" s="14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3">
        <f>IF(COUNTA(A176:V176)=0,"",IF(A176="","UC-ID MISSING",IF(COUNTIF($A$4:$A$203,A176)&gt;1,"DUPLICATE UC-ID — CONFLICT",IF(OR(B176="",C176="",D176="",E176="",F176="",G176="",H176="",I176="",J176="",K176="",L176="",O176="",P176="",Q176="",R176="",S176="",T176="",U176="",V176=""),"EVIDENCE INCOMPLETE",IF(OR(ISNA(MATCH(F176,{"Critical","High","Medium","Low"},0)),ISNA(MATCH(E176,{"Priority 1 – Critical","Priority 2 – High","Priority 3 – Standard","Priority 4 – Routine","Priority 5 – Observe","Governance Investigation Required"},0))),"TIER / PRIORITY NOT RECOGNISED",IF(U176&lt;&gt;"Verified","UNVERIFIED / CONFLICT",IF(K176&lt;&gt;"UC-ID specific","NOT UC-SCOPED",IF(OR(NOT(ISNUMBER(Q176)),NOT(ISNUMBER(R176)),NOT(ISNUMBER(V176)),NOT(ISNUMBER($W$1))),"DATES NOT VERIFIED",IF(OR(Q176&gt;R176,V176&gt;Q176),"INVALID DATE RANGE",IF(Q176&gt;$W$1,"NOT YET EFFECTIVE",IF(R176&lt;$W$1,"EXPIRED / REVIEW DUE",IF(R176-Q176&gt;IF(F176="Critical",31,IF(F176="High",92,366)),"REVIEW INTERVAL EXCEEDS TIER CADENCE",IF(OR(H176="Pending",H176="Deferred",H176="Rejected",H176="Suspended",H176="Retired",H176="Unknown"),"NOT APPROVED / STATUS NOT CURRENT",IF(H176="Approved with conditions",IF(OR(M176="",N176="",O176="Open",O176="Unknown",O176="None"),"CONDITIONAL — CONDITIONS NOT VERIFIED","CONDITIONAL — NEVER COUNT AS UNCONDITIONAL APPROVAL"),IF(H176="Approved",IF(OR(O176&lt;&gt;"None",M176&lt;&gt;"",N176&lt;&gt;""),"CONDITION / OUTCOME CONFLICT","SOURCE-RECONCILED USE-SPECIFIC APPROVAL — CONFIRM SOURCE"),"NOT APPROVED / OUTCOME NOT RECOGNISED")))))))))))))))</f>
        <v/>
      </c>
    </row>
    <row r="177" ht="24" customHeight="1" s="14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3">
        <f>IF(COUNTA(A177:V177)=0,"",IF(A177="","UC-ID MISSING",IF(COUNTIF($A$4:$A$203,A177)&gt;1,"DUPLICATE UC-ID — CONFLICT",IF(OR(B177="",C177="",D177="",E177="",F177="",G177="",H177="",I177="",J177="",K177="",L177="",O177="",P177="",Q177="",R177="",S177="",T177="",U177="",V177=""),"EVIDENCE INCOMPLETE",IF(OR(ISNA(MATCH(F177,{"Critical","High","Medium","Low"},0)),ISNA(MATCH(E177,{"Priority 1 – Critical","Priority 2 – High","Priority 3 – Standard","Priority 4 – Routine","Priority 5 – Observe","Governance Investigation Required"},0))),"TIER / PRIORITY NOT RECOGNISED",IF(U177&lt;&gt;"Verified","UNVERIFIED / CONFLICT",IF(K177&lt;&gt;"UC-ID specific","NOT UC-SCOPED",IF(OR(NOT(ISNUMBER(Q177)),NOT(ISNUMBER(R177)),NOT(ISNUMBER(V177)),NOT(ISNUMBER($W$1))),"DATES NOT VERIFIED",IF(OR(Q177&gt;R177,V177&gt;Q177),"INVALID DATE RANGE",IF(Q177&gt;$W$1,"NOT YET EFFECTIVE",IF(R177&lt;$W$1,"EXPIRED / REVIEW DUE",IF(R177-Q177&gt;IF(F177="Critical",31,IF(F177="High",92,366)),"REVIEW INTERVAL EXCEEDS TIER CADENCE",IF(OR(H177="Pending",H177="Deferred",H177="Rejected",H177="Suspended",H177="Retired",H177="Unknown"),"NOT APPROVED / STATUS NOT CURRENT",IF(H177="Approved with conditions",IF(OR(M177="",N177="",O177="Open",O177="Unknown",O177="None"),"CONDITIONAL — CONDITIONS NOT VERIFIED","CONDITIONAL — NEVER COUNT AS UNCONDITIONAL APPROVAL"),IF(H177="Approved",IF(OR(O177&lt;&gt;"None",M177&lt;&gt;"",N177&lt;&gt;""),"CONDITION / OUTCOME CONFLICT","SOURCE-RECONCILED USE-SPECIFIC APPROVAL — CONFIRM SOURCE"),"NOT APPROVED / OUTCOME NOT RECOGNISED")))))))))))))))</f>
        <v/>
      </c>
    </row>
    <row r="178" ht="24" customHeight="1" s="14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3">
        <f>IF(COUNTA(A178:V178)=0,"",IF(A178="","UC-ID MISSING",IF(COUNTIF($A$4:$A$203,A178)&gt;1,"DUPLICATE UC-ID — CONFLICT",IF(OR(B178="",C178="",D178="",E178="",F178="",G178="",H178="",I178="",J178="",K178="",L178="",O178="",P178="",Q178="",R178="",S178="",T178="",U178="",V178=""),"EVIDENCE INCOMPLETE",IF(OR(ISNA(MATCH(F178,{"Critical","High","Medium","Low"},0)),ISNA(MATCH(E178,{"Priority 1 – Critical","Priority 2 – High","Priority 3 – Standard","Priority 4 – Routine","Priority 5 – Observe","Governance Investigation Required"},0))),"TIER / PRIORITY NOT RECOGNISED",IF(U178&lt;&gt;"Verified","UNVERIFIED / CONFLICT",IF(K178&lt;&gt;"UC-ID specific","NOT UC-SCOPED",IF(OR(NOT(ISNUMBER(Q178)),NOT(ISNUMBER(R178)),NOT(ISNUMBER(V178)),NOT(ISNUMBER($W$1))),"DATES NOT VERIFIED",IF(OR(Q178&gt;R178,V178&gt;Q178),"INVALID DATE RANGE",IF(Q178&gt;$W$1,"NOT YET EFFECTIVE",IF(R178&lt;$W$1,"EXPIRED / REVIEW DUE",IF(R178-Q178&gt;IF(F178="Critical",31,IF(F178="High",92,366)),"REVIEW INTERVAL EXCEEDS TIER CADENCE",IF(OR(H178="Pending",H178="Deferred",H178="Rejected",H178="Suspended",H178="Retired",H178="Unknown"),"NOT APPROVED / STATUS NOT CURRENT",IF(H178="Approved with conditions",IF(OR(M178="",N178="",O178="Open",O178="Unknown",O178="None"),"CONDITIONAL — CONDITIONS NOT VERIFIED","CONDITIONAL — NEVER COUNT AS UNCONDITIONAL APPROVAL"),IF(H178="Approved",IF(OR(O178&lt;&gt;"None",M178&lt;&gt;"",N178&lt;&gt;""),"CONDITION / OUTCOME CONFLICT","SOURCE-RECONCILED USE-SPECIFIC APPROVAL — CONFIRM SOURCE"),"NOT APPROVED / OUTCOME NOT RECOGNISED")))))))))))))))</f>
        <v/>
      </c>
    </row>
    <row r="179" ht="24" customHeight="1" s="14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3">
        <f>IF(COUNTA(A179:V179)=0,"",IF(A179="","UC-ID MISSING",IF(COUNTIF($A$4:$A$203,A179)&gt;1,"DUPLICATE UC-ID — CONFLICT",IF(OR(B179="",C179="",D179="",E179="",F179="",G179="",H179="",I179="",J179="",K179="",L179="",O179="",P179="",Q179="",R179="",S179="",T179="",U179="",V179=""),"EVIDENCE INCOMPLETE",IF(OR(ISNA(MATCH(F179,{"Critical","High","Medium","Low"},0)),ISNA(MATCH(E179,{"Priority 1 – Critical","Priority 2 – High","Priority 3 – Standard","Priority 4 – Routine","Priority 5 – Observe","Governance Investigation Required"},0))),"TIER / PRIORITY NOT RECOGNISED",IF(U179&lt;&gt;"Verified","UNVERIFIED / CONFLICT",IF(K179&lt;&gt;"UC-ID specific","NOT UC-SCOPED",IF(OR(NOT(ISNUMBER(Q179)),NOT(ISNUMBER(R179)),NOT(ISNUMBER(V179)),NOT(ISNUMBER($W$1))),"DATES NOT VERIFIED",IF(OR(Q179&gt;R179,V179&gt;Q179),"INVALID DATE RANGE",IF(Q179&gt;$W$1,"NOT YET EFFECTIVE",IF(R179&lt;$W$1,"EXPIRED / REVIEW DUE",IF(R179-Q179&gt;IF(F179="Critical",31,IF(F179="High",92,366)),"REVIEW INTERVAL EXCEEDS TIER CADENCE",IF(OR(H179="Pending",H179="Deferred",H179="Rejected",H179="Suspended",H179="Retired",H179="Unknown"),"NOT APPROVED / STATUS NOT CURRENT",IF(H179="Approved with conditions",IF(OR(M179="",N179="",O179="Open",O179="Unknown",O179="None"),"CONDITIONAL — CONDITIONS NOT VERIFIED","CONDITIONAL — NEVER COUNT AS UNCONDITIONAL APPROVAL"),IF(H179="Approved",IF(OR(O179&lt;&gt;"None",M179&lt;&gt;"",N179&lt;&gt;""),"CONDITION / OUTCOME CONFLICT","SOURCE-RECONCILED USE-SPECIFIC APPROVAL — CONFIRM SOURCE"),"NOT APPROVED / OUTCOME NOT RECOGNISED")))))))))))))))</f>
        <v/>
      </c>
    </row>
    <row r="180" ht="24" customHeight="1" s="14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3">
        <f>IF(COUNTA(A180:V180)=0,"",IF(A180="","UC-ID MISSING",IF(COUNTIF($A$4:$A$203,A180)&gt;1,"DUPLICATE UC-ID — CONFLICT",IF(OR(B180="",C180="",D180="",E180="",F180="",G180="",H180="",I180="",J180="",K180="",L180="",O180="",P180="",Q180="",R180="",S180="",T180="",U180="",V180=""),"EVIDENCE INCOMPLETE",IF(OR(ISNA(MATCH(F180,{"Critical","High","Medium","Low"},0)),ISNA(MATCH(E180,{"Priority 1 – Critical","Priority 2 – High","Priority 3 – Standard","Priority 4 – Routine","Priority 5 – Observe","Governance Investigation Required"},0))),"TIER / PRIORITY NOT RECOGNISED",IF(U180&lt;&gt;"Verified","UNVERIFIED / CONFLICT",IF(K180&lt;&gt;"UC-ID specific","NOT UC-SCOPED",IF(OR(NOT(ISNUMBER(Q180)),NOT(ISNUMBER(R180)),NOT(ISNUMBER(V180)),NOT(ISNUMBER($W$1))),"DATES NOT VERIFIED",IF(OR(Q180&gt;R180,V180&gt;Q180),"INVALID DATE RANGE",IF(Q180&gt;$W$1,"NOT YET EFFECTIVE",IF(R180&lt;$W$1,"EXPIRED / REVIEW DUE",IF(R180-Q180&gt;IF(F180="Critical",31,IF(F180="High",92,366)),"REVIEW INTERVAL EXCEEDS TIER CADENCE",IF(OR(H180="Pending",H180="Deferred",H180="Rejected",H180="Suspended",H180="Retired",H180="Unknown"),"NOT APPROVED / STATUS NOT CURRENT",IF(H180="Approved with conditions",IF(OR(M180="",N180="",O180="Open",O180="Unknown",O180="None"),"CONDITIONAL — CONDITIONS NOT VERIFIED","CONDITIONAL — NEVER COUNT AS UNCONDITIONAL APPROVAL"),IF(H180="Approved",IF(OR(O180&lt;&gt;"None",M180&lt;&gt;"",N180&lt;&gt;""),"CONDITION / OUTCOME CONFLICT","SOURCE-RECONCILED USE-SPECIFIC APPROVAL — CONFIRM SOURCE"),"NOT APPROVED / OUTCOME NOT RECOGNISED")))))))))))))))</f>
        <v/>
      </c>
    </row>
    <row r="181" ht="24" customHeight="1" s="14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3">
        <f>IF(COUNTA(A181:V181)=0,"",IF(A181="","UC-ID MISSING",IF(COUNTIF($A$4:$A$203,A181)&gt;1,"DUPLICATE UC-ID — CONFLICT",IF(OR(B181="",C181="",D181="",E181="",F181="",G181="",H181="",I181="",J181="",K181="",L181="",O181="",P181="",Q181="",R181="",S181="",T181="",U181="",V181=""),"EVIDENCE INCOMPLETE",IF(OR(ISNA(MATCH(F181,{"Critical","High","Medium","Low"},0)),ISNA(MATCH(E181,{"Priority 1 – Critical","Priority 2 – High","Priority 3 – Standard","Priority 4 – Routine","Priority 5 – Observe","Governance Investigation Required"},0))),"TIER / PRIORITY NOT RECOGNISED",IF(U181&lt;&gt;"Verified","UNVERIFIED / CONFLICT",IF(K181&lt;&gt;"UC-ID specific","NOT UC-SCOPED",IF(OR(NOT(ISNUMBER(Q181)),NOT(ISNUMBER(R181)),NOT(ISNUMBER(V181)),NOT(ISNUMBER($W$1))),"DATES NOT VERIFIED",IF(OR(Q181&gt;R181,V181&gt;Q181),"INVALID DATE RANGE",IF(Q181&gt;$W$1,"NOT YET EFFECTIVE",IF(R181&lt;$W$1,"EXPIRED / REVIEW DUE",IF(R181-Q181&gt;IF(F181="Critical",31,IF(F181="High",92,366)),"REVIEW INTERVAL EXCEEDS TIER CADENCE",IF(OR(H181="Pending",H181="Deferred",H181="Rejected",H181="Suspended",H181="Retired",H181="Unknown"),"NOT APPROVED / STATUS NOT CURRENT",IF(H181="Approved with conditions",IF(OR(M181="",N181="",O181="Open",O181="Unknown",O181="None"),"CONDITIONAL — CONDITIONS NOT VERIFIED","CONDITIONAL — NEVER COUNT AS UNCONDITIONAL APPROVAL"),IF(H181="Approved",IF(OR(O181&lt;&gt;"None",M181&lt;&gt;"",N181&lt;&gt;""),"CONDITION / OUTCOME CONFLICT","SOURCE-RECONCILED USE-SPECIFIC APPROVAL — CONFIRM SOURCE"),"NOT APPROVED / OUTCOME NOT RECOGNISED")))))))))))))))</f>
        <v/>
      </c>
    </row>
    <row r="182" ht="24" customHeight="1" s="14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3">
        <f>IF(COUNTA(A182:V182)=0,"",IF(A182="","UC-ID MISSING",IF(COUNTIF($A$4:$A$203,A182)&gt;1,"DUPLICATE UC-ID — CONFLICT",IF(OR(B182="",C182="",D182="",E182="",F182="",G182="",H182="",I182="",J182="",K182="",L182="",O182="",P182="",Q182="",R182="",S182="",T182="",U182="",V182=""),"EVIDENCE INCOMPLETE",IF(OR(ISNA(MATCH(F182,{"Critical","High","Medium","Low"},0)),ISNA(MATCH(E182,{"Priority 1 – Critical","Priority 2 – High","Priority 3 – Standard","Priority 4 – Routine","Priority 5 – Observe","Governance Investigation Required"},0))),"TIER / PRIORITY NOT RECOGNISED",IF(U182&lt;&gt;"Verified","UNVERIFIED / CONFLICT",IF(K182&lt;&gt;"UC-ID specific","NOT UC-SCOPED",IF(OR(NOT(ISNUMBER(Q182)),NOT(ISNUMBER(R182)),NOT(ISNUMBER(V182)),NOT(ISNUMBER($W$1))),"DATES NOT VERIFIED",IF(OR(Q182&gt;R182,V182&gt;Q182),"INVALID DATE RANGE",IF(Q182&gt;$W$1,"NOT YET EFFECTIVE",IF(R182&lt;$W$1,"EXPIRED / REVIEW DUE",IF(R182-Q182&gt;IF(F182="Critical",31,IF(F182="High",92,366)),"REVIEW INTERVAL EXCEEDS TIER CADENCE",IF(OR(H182="Pending",H182="Deferred",H182="Rejected",H182="Suspended",H182="Retired",H182="Unknown"),"NOT APPROVED / STATUS NOT CURRENT",IF(H182="Approved with conditions",IF(OR(M182="",N182="",O182="Open",O182="Unknown",O182="None"),"CONDITIONAL — CONDITIONS NOT VERIFIED","CONDITIONAL — NEVER COUNT AS UNCONDITIONAL APPROVAL"),IF(H182="Approved",IF(OR(O182&lt;&gt;"None",M182&lt;&gt;"",N182&lt;&gt;""),"CONDITION / OUTCOME CONFLICT","SOURCE-RECONCILED USE-SPECIFIC APPROVAL — CONFIRM SOURCE"),"NOT APPROVED / OUTCOME NOT RECOGNISED")))))))))))))))</f>
        <v/>
      </c>
    </row>
    <row r="183" ht="24" customHeight="1" s="14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3">
        <f>IF(COUNTA(A183:V183)=0,"",IF(A183="","UC-ID MISSING",IF(COUNTIF($A$4:$A$203,A183)&gt;1,"DUPLICATE UC-ID — CONFLICT",IF(OR(B183="",C183="",D183="",E183="",F183="",G183="",H183="",I183="",J183="",K183="",L183="",O183="",P183="",Q183="",R183="",S183="",T183="",U183="",V183=""),"EVIDENCE INCOMPLETE",IF(OR(ISNA(MATCH(F183,{"Critical","High","Medium","Low"},0)),ISNA(MATCH(E183,{"Priority 1 – Critical","Priority 2 – High","Priority 3 – Standard","Priority 4 – Routine","Priority 5 – Observe","Governance Investigation Required"},0))),"TIER / PRIORITY NOT RECOGNISED",IF(U183&lt;&gt;"Verified","UNVERIFIED / CONFLICT",IF(K183&lt;&gt;"UC-ID specific","NOT UC-SCOPED",IF(OR(NOT(ISNUMBER(Q183)),NOT(ISNUMBER(R183)),NOT(ISNUMBER(V183)),NOT(ISNUMBER($W$1))),"DATES NOT VERIFIED",IF(OR(Q183&gt;R183,V183&gt;Q183),"INVALID DATE RANGE",IF(Q183&gt;$W$1,"NOT YET EFFECTIVE",IF(R183&lt;$W$1,"EXPIRED / REVIEW DUE",IF(R183-Q183&gt;IF(F183="Critical",31,IF(F183="High",92,366)),"REVIEW INTERVAL EXCEEDS TIER CADENCE",IF(OR(H183="Pending",H183="Deferred",H183="Rejected",H183="Suspended",H183="Retired",H183="Unknown"),"NOT APPROVED / STATUS NOT CURRENT",IF(H183="Approved with conditions",IF(OR(M183="",N183="",O183="Open",O183="Unknown",O183="None"),"CONDITIONAL — CONDITIONS NOT VERIFIED","CONDITIONAL — NEVER COUNT AS UNCONDITIONAL APPROVAL"),IF(H183="Approved",IF(OR(O183&lt;&gt;"None",M183&lt;&gt;"",N183&lt;&gt;""),"CONDITION / OUTCOME CONFLICT","SOURCE-RECONCILED USE-SPECIFIC APPROVAL — CONFIRM SOURCE"),"NOT APPROVED / OUTCOME NOT RECOGNISED")))))))))))))))</f>
        <v/>
      </c>
    </row>
    <row r="184" ht="24" customHeight="1" s="1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3">
        <f>IF(COUNTA(A184:V184)=0,"",IF(A184="","UC-ID MISSING",IF(COUNTIF($A$4:$A$203,A184)&gt;1,"DUPLICATE UC-ID — CONFLICT",IF(OR(B184="",C184="",D184="",E184="",F184="",G184="",H184="",I184="",J184="",K184="",L184="",O184="",P184="",Q184="",R184="",S184="",T184="",U184="",V184=""),"EVIDENCE INCOMPLETE",IF(OR(ISNA(MATCH(F184,{"Critical","High","Medium","Low"},0)),ISNA(MATCH(E184,{"Priority 1 – Critical","Priority 2 – High","Priority 3 – Standard","Priority 4 – Routine","Priority 5 – Observe","Governance Investigation Required"},0))),"TIER / PRIORITY NOT RECOGNISED",IF(U184&lt;&gt;"Verified","UNVERIFIED / CONFLICT",IF(K184&lt;&gt;"UC-ID specific","NOT UC-SCOPED",IF(OR(NOT(ISNUMBER(Q184)),NOT(ISNUMBER(R184)),NOT(ISNUMBER(V184)),NOT(ISNUMBER($W$1))),"DATES NOT VERIFIED",IF(OR(Q184&gt;R184,V184&gt;Q184),"INVALID DATE RANGE",IF(Q184&gt;$W$1,"NOT YET EFFECTIVE",IF(R184&lt;$W$1,"EXPIRED / REVIEW DUE",IF(R184-Q184&gt;IF(F184="Critical",31,IF(F184="High",92,366)),"REVIEW INTERVAL EXCEEDS TIER CADENCE",IF(OR(H184="Pending",H184="Deferred",H184="Rejected",H184="Suspended",H184="Retired",H184="Unknown"),"NOT APPROVED / STATUS NOT CURRENT",IF(H184="Approved with conditions",IF(OR(M184="",N184="",O184="Open",O184="Unknown",O184="None"),"CONDITIONAL — CONDITIONS NOT VERIFIED","CONDITIONAL — NEVER COUNT AS UNCONDITIONAL APPROVAL"),IF(H184="Approved",IF(OR(O184&lt;&gt;"None",M184&lt;&gt;"",N184&lt;&gt;""),"CONDITION / OUTCOME CONFLICT","SOURCE-RECONCILED USE-SPECIFIC APPROVAL — CONFIRM SOURCE"),"NOT APPROVED / OUTCOME NOT RECOGNISED")))))))))))))))</f>
        <v/>
      </c>
    </row>
    <row r="185" ht="24" customHeight="1" s="14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3">
        <f>IF(COUNTA(A185:V185)=0,"",IF(A185="","UC-ID MISSING",IF(COUNTIF($A$4:$A$203,A185)&gt;1,"DUPLICATE UC-ID — CONFLICT",IF(OR(B185="",C185="",D185="",E185="",F185="",G185="",H185="",I185="",J185="",K185="",L185="",O185="",P185="",Q185="",R185="",S185="",T185="",U185="",V185=""),"EVIDENCE INCOMPLETE",IF(OR(ISNA(MATCH(F185,{"Critical","High","Medium","Low"},0)),ISNA(MATCH(E185,{"Priority 1 – Critical","Priority 2 – High","Priority 3 – Standard","Priority 4 – Routine","Priority 5 – Observe","Governance Investigation Required"},0))),"TIER / PRIORITY NOT RECOGNISED",IF(U185&lt;&gt;"Verified","UNVERIFIED / CONFLICT",IF(K185&lt;&gt;"UC-ID specific","NOT UC-SCOPED",IF(OR(NOT(ISNUMBER(Q185)),NOT(ISNUMBER(R185)),NOT(ISNUMBER(V185)),NOT(ISNUMBER($W$1))),"DATES NOT VERIFIED",IF(OR(Q185&gt;R185,V185&gt;Q185),"INVALID DATE RANGE",IF(Q185&gt;$W$1,"NOT YET EFFECTIVE",IF(R185&lt;$W$1,"EXPIRED / REVIEW DUE",IF(R185-Q185&gt;IF(F185="Critical",31,IF(F185="High",92,366)),"REVIEW INTERVAL EXCEEDS TIER CADENCE",IF(OR(H185="Pending",H185="Deferred",H185="Rejected",H185="Suspended",H185="Retired",H185="Unknown"),"NOT APPROVED / STATUS NOT CURRENT",IF(H185="Approved with conditions",IF(OR(M185="",N185="",O185="Open",O185="Unknown",O185="None"),"CONDITIONAL — CONDITIONS NOT VERIFIED","CONDITIONAL — NEVER COUNT AS UNCONDITIONAL APPROVAL"),IF(H185="Approved",IF(OR(O185&lt;&gt;"None",M185&lt;&gt;"",N185&lt;&gt;""),"CONDITION / OUTCOME CONFLICT","SOURCE-RECONCILED USE-SPECIFIC APPROVAL — CONFIRM SOURCE"),"NOT APPROVED / OUTCOME NOT RECOGNISED")))))))))))))))</f>
        <v/>
      </c>
    </row>
    <row r="186" ht="24" customHeight="1" s="14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3">
        <f>IF(COUNTA(A186:V186)=0,"",IF(A186="","UC-ID MISSING",IF(COUNTIF($A$4:$A$203,A186)&gt;1,"DUPLICATE UC-ID — CONFLICT",IF(OR(B186="",C186="",D186="",E186="",F186="",G186="",H186="",I186="",J186="",K186="",L186="",O186="",P186="",Q186="",R186="",S186="",T186="",U186="",V186=""),"EVIDENCE INCOMPLETE",IF(OR(ISNA(MATCH(F186,{"Critical","High","Medium","Low"},0)),ISNA(MATCH(E186,{"Priority 1 – Critical","Priority 2 – High","Priority 3 – Standard","Priority 4 – Routine","Priority 5 – Observe","Governance Investigation Required"},0))),"TIER / PRIORITY NOT RECOGNISED",IF(U186&lt;&gt;"Verified","UNVERIFIED / CONFLICT",IF(K186&lt;&gt;"UC-ID specific","NOT UC-SCOPED",IF(OR(NOT(ISNUMBER(Q186)),NOT(ISNUMBER(R186)),NOT(ISNUMBER(V186)),NOT(ISNUMBER($W$1))),"DATES NOT VERIFIED",IF(OR(Q186&gt;R186,V186&gt;Q186),"INVALID DATE RANGE",IF(Q186&gt;$W$1,"NOT YET EFFECTIVE",IF(R186&lt;$W$1,"EXPIRED / REVIEW DUE",IF(R186-Q186&gt;IF(F186="Critical",31,IF(F186="High",92,366)),"REVIEW INTERVAL EXCEEDS TIER CADENCE",IF(OR(H186="Pending",H186="Deferred",H186="Rejected",H186="Suspended",H186="Retired",H186="Unknown"),"NOT APPROVED / STATUS NOT CURRENT",IF(H186="Approved with conditions",IF(OR(M186="",N186="",O186="Open",O186="Unknown",O186="None"),"CONDITIONAL — CONDITIONS NOT VERIFIED","CONDITIONAL — NEVER COUNT AS UNCONDITIONAL APPROVAL"),IF(H186="Approved",IF(OR(O186&lt;&gt;"None",M186&lt;&gt;"",N186&lt;&gt;""),"CONDITION / OUTCOME CONFLICT","SOURCE-RECONCILED USE-SPECIFIC APPROVAL — CONFIRM SOURCE"),"NOT APPROVED / OUTCOME NOT RECOGNISED")))))))))))))))</f>
        <v/>
      </c>
    </row>
    <row r="187" ht="24" customHeight="1" s="14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3">
        <f>IF(COUNTA(A187:V187)=0,"",IF(A187="","UC-ID MISSING",IF(COUNTIF($A$4:$A$203,A187)&gt;1,"DUPLICATE UC-ID — CONFLICT",IF(OR(B187="",C187="",D187="",E187="",F187="",G187="",H187="",I187="",J187="",K187="",L187="",O187="",P187="",Q187="",R187="",S187="",T187="",U187="",V187=""),"EVIDENCE INCOMPLETE",IF(OR(ISNA(MATCH(F187,{"Critical","High","Medium","Low"},0)),ISNA(MATCH(E187,{"Priority 1 – Critical","Priority 2 – High","Priority 3 – Standard","Priority 4 – Routine","Priority 5 – Observe","Governance Investigation Required"},0))),"TIER / PRIORITY NOT RECOGNISED",IF(U187&lt;&gt;"Verified","UNVERIFIED / CONFLICT",IF(K187&lt;&gt;"UC-ID specific","NOT UC-SCOPED",IF(OR(NOT(ISNUMBER(Q187)),NOT(ISNUMBER(R187)),NOT(ISNUMBER(V187)),NOT(ISNUMBER($W$1))),"DATES NOT VERIFIED",IF(OR(Q187&gt;R187,V187&gt;Q187),"INVALID DATE RANGE",IF(Q187&gt;$W$1,"NOT YET EFFECTIVE",IF(R187&lt;$W$1,"EXPIRED / REVIEW DUE",IF(R187-Q187&gt;IF(F187="Critical",31,IF(F187="High",92,366)),"REVIEW INTERVAL EXCEEDS TIER CADENCE",IF(OR(H187="Pending",H187="Deferred",H187="Rejected",H187="Suspended",H187="Retired",H187="Unknown"),"NOT APPROVED / STATUS NOT CURRENT",IF(H187="Approved with conditions",IF(OR(M187="",N187="",O187="Open",O187="Unknown",O187="None"),"CONDITIONAL — CONDITIONS NOT VERIFIED","CONDITIONAL — NEVER COUNT AS UNCONDITIONAL APPROVAL"),IF(H187="Approved",IF(OR(O187&lt;&gt;"None",M187&lt;&gt;"",N187&lt;&gt;""),"CONDITION / OUTCOME CONFLICT","SOURCE-RECONCILED USE-SPECIFIC APPROVAL — CONFIRM SOURCE"),"NOT APPROVED / OUTCOME NOT RECOGNISED")))))))))))))))</f>
        <v/>
      </c>
    </row>
    <row r="188" ht="24" customHeight="1" s="14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3">
        <f>IF(COUNTA(A188:V188)=0,"",IF(A188="","UC-ID MISSING",IF(COUNTIF($A$4:$A$203,A188)&gt;1,"DUPLICATE UC-ID — CONFLICT",IF(OR(B188="",C188="",D188="",E188="",F188="",G188="",H188="",I188="",J188="",K188="",L188="",O188="",P188="",Q188="",R188="",S188="",T188="",U188="",V188=""),"EVIDENCE INCOMPLETE",IF(OR(ISNA(MATCH(F188,{"Critical","High","Medium","Low"},0)),ISNA(MATCH(E188,{"Priority 1 – Critical","Priority 2 – High","Priority 3 – Standard","Priority 4 – Routine","Priority 5 – Observe","Governance Investigation Required"},0))),"TIER / PRIORITY NOT RECOGNISED",IF(U188&lt;&gt;"Verified","UNVERIFIED / CONFLICT",IF(K188&lt;&gt;"UC-ID specific","NOT UC-SCOPED",IF(OR(NOT(ISNUMBER(Q188)),NOT(ISNUMBER(R188)),NOT(ISNUMBER(V188)),NOT(ISNUMBER($W$1))),"DATES NOT VERIFIED",IF(OR(Q188&gt;R188,V188&gt;Q188),"INVALID DATE RANGE",IF(Q188&gt;$W$1,"NOT YET EFFECTIVE",IF(R188&lt;$W$1,"EXPIRED / REVIEW DUE",IF(R188-Q188&gt;IF(F188="Critical",31,IF(F188="High",92,366)),"REVIEW INTERVAL EXCEEDS TIER CADENCE",IF(OR(H188="Pending",H188="Deferred",H188="Rejected",H188="Suspended",H188="Retired",H188="Unknown"),"NOT APPROVED / STATUS NOT CURRENT",IF(H188="Approved with conditions",IF(OR(M188="",N188="",O188="Open",O188="Unknown",O188="None"),"CONDITIONAL — CONDITIONS NOT VERIFIED","CONDITIONAL — NEVER COUNT AS UNCONDITIONAL APPROVAL"),IF(H188="Approved",IF(OR(O188&lt;&gt;"None",M188&lt;&gt;"",N188&lt;&gt;""),"CONDITION / OUTCOME CONFLICT","SOURCE-RECONCILED USE-SPECIFIC APPROVAL — CONFIRM SOURCE"),"NOT APPROVED / OUTCOME NOT RECOGNISED")))))))))))))))</f>
        <v/>
      </c>
    </row>
    <row r="189" ht="24" customHeight="1" s="14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3">
        <f>IF(COUNTA(A189:V189)=0,"",IF(A189="","UC-ID MISSING",IF(COUNTIF($A$4:$A$203,A189)&gt;1,"DUPLICATE UC-ID — CONFLICT",IF(OR(B189="",C189="",D189="",E189="",F189="",G189="",H189="",I189="",J189="",K189="",L189="",O189="",P189="",Q189="",R189="",S189="",T189="",U189="",V189=""),"EVIDENCE INCOMPLETE",IF(OR(ISNA(MATCH(F189,{"Critical","High","Medium","Low"},0)),ISNA(MATCH(E189,{"Priority 1 – Critical","Priority 2 – High","Priority 3 – Standard","Priority 4 – Routine","Priority 5 – Observe","Governance Investigation Required"},0))),"TIER / PRIORITY NOT RECOGNISED",IF(U189&lt;&gt;"Verified","UNVERIFIED / CONFLICT",IF(K189&lt;&gt;"UC-ID specific","NOT UC-SCOPED",IF(OR(NOT(ISNUMBER(Q189)),NOT(ISNUMBER(R189)),NOT(ISNUMBER(V189)),NOT(ISNUMBER($W$1))),"DATES NOT VERIFIED",IF(OR(Q189&gt;R189,V189&gt;Q189),"INVALID DATE RANGE",IF(Q189&gt;$W$1,"NOT YET EFFECTIVE",IF(R189&lt;$W$1,"EXPIRED / REVIEW DUE",IF(R189-Q189&gt;IF(F189="Critical",31,IF(F189="High",92,366)),"REVIEW INTERVAL EXCEEDS TIER CADENCE",IF(OR(H189="Pending",H189="Deferred",H189="Rejected",H189="Suspended",H189="Retired",H189="Unknown"),"NOT APPROVED / STATUS NOT CURRENT",IF(H189="Approved with conditions",IF(OR(M189="",N189="",O189="Open",O189="Unknown",O189="None"),"CONDITIONAL — CONDITIONS NOT VERIFIED","CONDITIONAL — NEVER COUNT AS UNCONDITIONAL APPROVAL"),IF(H189="Approved",IF(OR(O189&lt;&gt;"None",M189&lt;&gt;"",N189&lt;&gt;""),"CONDITION / OUTCOME CONFLICT","SOURCE-RECONCILED USE-SPECIFIC APPROVAL — CONFIRM SOURCE"),"NOT APPROVED / OUTCOME NOT RECOGNISED")))))))))))))))</f>
        <v/>
      </c>
    </row>
    <row r="190" ht="24" customHeight="1" s="14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3">
        <f>IF(COUNTA(A190:V190)=0,"",IF(A190="","UC-ID MISSING",IF(COUNTIF($A$4:$A$203,A190)&gt;1,"DUPLICATE UC-ID — CONFLICT",IF(OR(B190="",C190="",D190="",E190="",F190="",G190="",H190="",I190="",J190="",K190="",L190="",O190="",P190="",Q190="",R190="",S190="",T190="",U190="",V190=""),"EVIDENCE INCOMPLETE",IF(OR(ISNA(MATCH(F190,{"Critical","High","Medium","Low"},0)),ISNA(MATCH(E190,{"Priority 1 – Critical","Priority 2 – High","Priority 3 – Standard","Priority 4 – Routine","Priority 5 – Observe","Governance Investigation Required"},0))),"TIER / PRIORITY NOT RECOGNISED",IF(U190&lt;&gt;"Verified","UNVERIFIED / CONFLICT",IF(K190&lt;&gt;"UC-ID specific","NOT UC-SCOPED",IF(OR(NOT(ISNUMBER(Q190)),NOT(ISNUMBER(R190)),NOT(ISNUMBER(V190)),NOT(ISNUMBER($W$1))),"DATES NOT VERIFIED",IF(OR(Q190&gt;R190,V190&gt;Q190),"INVALID DATE RANGE",IF(Q190&gt;$W$1,"NOT YET EFFECTIVE",IF(R190&lt;$W$1,"EXPIRED / REVIEW DUE",IF(R190-Q190&gt;IF(F190="Critical",31,IF(F190="High",92,366)),"REVIEW INTERVAL EXCEEDS TIER CADENCE",IF(OR(H190="Pending",H190="Deferred",H190="Rejected",H190="Suspended",H190="Retired",H190="Unknown"),"NOT APPROVED / STATUS NOT CURRENT",IF(H190="Approved with conditions",IF(OR(M190="",N190="",O190="Open",O190="Unknown",O190="None"),"CONDITIONAL — CONDITIONS NOT VERIFIED","CONDITIONAL — NEVER COUNT AS UNCONDITIONAL APPROVAL"),IF(H190="Approved",IF(OR(O190&lt;&gt;"None",M190&lt;&gt;"",N190&lt;&gt;""),"CONDITION / OUTCOME CONFLICT","SOURCE-RECONCILED USE-SPECIFIC APPROVAL — CONFIRM SOURCE"),"NOT APPROVED / OUTCOME NOT RECOGNISED")))))))))))))))</f>
        <v/>
      </c>
    </row>
    <row r="191" ht="24" customHeight="1" s="14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3">
        <f>IF(COUNTA(A191:V191)=0,"",IF(A191="","UC-ID MISSING",IF(COUNTIF($A$4:$A$203,A191)&gt;1,"DUPLICATE UC-ID — CONFLICT",IF(OR(B191="",C191="",D191="",E191="",F191="",G191="",H191="",I191="",J191="",K191="",L191="",O191="",P191="",Q191="",R191="",S191="",T191="",U191="",V191=""),"EVIDENCE INCOMPLETE",IF(OR(ISNA(MATCH(F191,{"Critical","High","Medium","Low"},0)),ISNA(MATCH(E191,{"Priority 1 – Critical","Priority 2 – High","Priority 3 – Standard","Priority 4 – Routine","Priority 5 – Observe","Governance Investigation Required"},0))),"TIER / PRIORITY NOT RECOGNISED",IF(U191&lt;&gt;"Verified","UNVERIFIED / CONFLICT",IF(K191&lt;&gt;"UC-ID specific","NOT UC-SCOPED",IF(OR(NOT(ISNUMBER(Q191)),NOT(ISNUMBER(R191)),NOT(ISNUMBER(V191)),NOT(ISNUMBER($W$1))),"DATES NOT VERIFIED",IF(OR(Q191&gt;R191,V191&gt;Q191),"INVALID DATE RANGE",IF(Q191&gt;$W$1,"NOT YET EFFECTIVE",IF(R191&lt;$W$1,"EXPIRED / REVIEW DUE",IF(R191-Q191&gt;IF(F191="Critical",31,IF(F191="High",92,366)),"REVIEW INTERVAL EXCEEDS TIER CADENCE",IF(OR(H191="Pending",H191="Deferred",H191="Rejected",H191="Suspended",H191="Retired",H191="Unknown"),"NOT APPROVED / STATUS NOT CURRENT",IF(H191="Approved with conditions",IF(OR(M191="",N191="",O191="Open",O191="Unknown",O191="None"),"CONDITIONAL — CONDITIONS NOT VERIFIED","CONDITIONAL — NEVER COUNT AS UNCONDITIONAL APPROVAL"),IF(H191="Approved",IF(OR(O191&lt;&gt;"None",M191&lt;&gt;"",N191&lt;&gt;""),"CONDITION / OUTCOME CONFLICT","SOURCE-RECONCILED USE-SPECIFIC APPROVAL — CONFIRM SOURCE"),"NOT APPROVED / OUTCOME NOT RECOGNISED")))))))))))))))</f>
        <v/>
      </c>
    </row>
    <row r="192" ht="24" customHeight="1" s="14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3">
        <f>IF(COUNTA(A192:V192)=0,"",IF(A192="","UC-ID MISSING",IF(COUNTIF($A$4:$A$203,A192)&gt;1,"DUPLICATE UC-ID — CONFLICT",IF(OR(B192="",C192="",D192="",E192="",F192="",G192="",H192="",I192="",J192="",K192="",L192="",O192="",P192="",Q192="",R192="",S192="",T192="",U192="",V192=""),"EVIDENCE INCOMPLETE",IF(OR(ISNA(MATCH(F192,{"Critical","High","Medium","Low"},0)),ISNA(MATCH(E192,{"Priority 1 – Critical","Priority 2 – High","Priority 3 – Standard","Priority 4 – Routine","Priority 5 – Observe","Governance Investigation Required"},0))),"TIER / PRIORITY NOT RECOGNISED",IF(U192&lt;&gt;"Verified","UNVERIFIED / CONFLICT",IF(K192&lt;&gt;"UC-ID specific","NOT UC-SCOPED",IF(OR(NOT(ISNUMBER(Q192)),NOT(ISNUMBER(R192)),NOT(ISNUMBER(V192)),NOT(ISNUMBER($W$1))),"DATES NOT VERIFIED",IF(OR(Q192&gt;R192,V192&gt;Q192),"INVALID DATE RANGE",IF(Q192&gt;$W$1,"NOT YET EFFECTIVE",IF(R192&lt;$W$1,"EXPIRED / REVIEW DUE",IF(R192-Q192&gt;IF(F192="Critical",31,IF(F192="High",92,366)),"REVIEW INTERVAL EXCEEDS TIER CADENCE",IF(OR(H192="Pending",H192="Deferred",H192="Rejected",H192="Suspended",H192="Retired",H192="Unknown"),"NOT APPROVED / STATUS NOT CURRENT",IF(H192="Approved with conditions",IF(OR(M192="",N192="",O192="Open",O192="Unknown",O192="None"),"CONDITIONAL — CONDITIONS NOT VERIFIED","CONDITIONAL — NEVER COUNT AS UNCONDITIONAL APPROVAL"),IF(H192="Approved",IF(OR(O192&lt;&gt;"None",M192&lt;&gt;"",N192&lt;&gt;""),"CONDITION / OUTCOME CONFLICT","SOURCE-RECONCILED USE-SPECIFIC APPROVAL — CONFIRM SOURCE"),"NOT APPROVED / OUTCOME NOT RECOGNISED")))))))))))))))</f>
        <v/>
      </c>
    </row>
    <row r="193" ht="24" customHeight="1" s="14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3">
        <f>IF(COUNTA(A193:V193)=0,"",IF(A193="","UC-ID MISSING",IF(COUNTIF($A$4:$A$203,A193)&gt;1,"DUPLICATE UC-ID — CONFLICT",IF(OR(B193="",C193="",D193="",E193="",F193="",G193="",H193="",I193="",J193="",K193="",L193="",O193="",P193="",Q193="",R193="",S193="",T193="",U193="",V193=""),"EVIDENCE INCOMPLETE",IF(OR(ISNA(MATCH(F193,{"Critical","High","Medium","Low"},0)),ISNA(MATCH(E193,{"Priority 1 – Critical","Priority 2 – High","Priority 3 – Standard","Priority 4 – Routine","Priority 5 – Observe","Governance Investigation Required"},0))),"TIER / PRIORITY NOT RECOGNISED",IF(U193&lt;&gt;"Verified","UNVERIFIED / CONFLICT",IF(K193&lt;&gt;"UC-ID specific","NOT UC-SCOPED",IF(OR(NOT(ISNUMBER(Q193)),NOT(ISNUMBER(R193)),NOT(ISNUMBER(V193)),NOT(ISNUMBER($W$1))),"DATES NOT VERIFIED",IF(OR(Q193&gt;R193,V193&gt;Q193),"INVALID DATE RANGE",IF(Q193&gt;$W$1,"NOT YET EFFECTIVE",IF(R193&lt;$W$1,"EXPIRED / REVIEW DUE",IF(R193-Q193&gt;IF(F193="Critical",31,IF(F193="High",92,366)),"REVIEW INTERVAL EXCEEDS TIER CADENCE",IF(OR(H193="Pending",H193="Deferred",H193="Rejected",H193="Suspended",H193="Retired",H193="Unknown"),"NOT APPROVED / STATUS NOT CURRENT",IF(H193="Approved with conditions",IF(OR(M193="",N193="",O193="Open",O193="Unknown",O193="None"),"CONDITIONAL — CONDITIONS NOT VERIFIED","CONDITIONAL — NEVER COUNT AS UNCONDITIONAL APPROVAL"),IF(H193="Approved",IF(OR(O193&lt;&gt;"None",M193&lt;&gt;"",N193&lt;&gt;""),"CONDITION / OUTCOME CONFLICT","SOURCE-RECONCILED USE-SPECIFIC APPROVAL — CONFIRM SOURCE"),"NOT APPROVED / OUTCOME NOT RECOGNISED")))))))))))))))</f>
        <v/>
      </c>
    </row>
    <row r="194" ht="24" customHeight="1" s="1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3">
        <f>IF(COUNTA(A194:V194)=0,"",IF(A194="","UC-ID MISSING",IF(COUNTIF($A$4:$A$203,A194)&gt;1,"DUPLICATE UC-ID — CONFLICT",IF(OR(B194="",C194="",D194="",E194="",F194="",G194="",H194="",I194="",J194="",K194="",L194="",O194="",P194="",Q194="",R194="",S194="",T194="",U194="",V194=""),"EVIDENCE INCOMPLETE",IF(OR(ISNA(MATCH(F194,{"Critical","High","Medium","Low"},0)),ISNA(MATCH(E194,{"Priority 1 – Critical","Priority 2 – High","Priority 3 – Standard","Priority 4 – Routine","Priority 5 – Observe","Governance Investigation Required"},0))),"TIER / PRIORITY NOT RECOGNISED",IF(U194&lt;&gt;"Verified","UNVERIFIED / CONFLICT",IF(K194&lt;&gt;"UC-ID specific","NOT UC-SCOPED",IF(OR(NOT(ISNUMBER(Q194)),NOT(ISNUMBER(R194)),NOT(ISNUMBER(V194)),NOT(ISNUMBER($W$1))),"DATES NOT VERIFIED",IF(OR(Q194&gt;R194,V194&gt;Q194),"INVALID DATE RANGE",IF(Q194&gt;$W$1,"NOT YET EFFECTIVE",IF(R194&lt;$W$1,"EXPIRED / REVIEW DUE",IF(R194-Q194&gt;IF(F194="Critical",31,IF(F194="High",92,366)),"REVIEW INTERVAL EXCEEDS TIER CADENCE",IF(OR(H194="Pending",H194="Deferred",H194="Rejected",H194="Suspended",H194="Retired",H194="Unknown"),"NOT APPROVED / STATUS NOT CURRENT",IF(H194="Approved with conditions",IF(OR(M194="",N194="",O194="Open",O194="Unknown",O194="None"),"CONDITIONAL — CONDITIONS NOT VERIFIED","CONDITIONAL — NEVER COUNT AS UNCONDITIONAL APPROVAL"),IF(H194="Approved",IF(OR(O194&lt;&gt;"None",M194&lt;&gt;"",N194&lt;&gt;""),"CONDITION / OUTCOME CONFLICT","SOURCE-RECONCILED USE-SPECIFIC APPROVAL — CONFIRM SOURCE"),"NOT APPROVED / OUTCOME NOT RECOGNISED")))))))))))))))</f>
        <v/>
      </c>
    </row>
    <row r="195" ht="24" customHeight="1" s="14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3">
        <f>IF(COUNTA(A195:V195)=0,"",IF(A195="","UC-ID MISSING",IF(COUNTIF($A$4:$A$203,A195)&gt;1,"DUPLICATE UC-ID — CONFLICT",IF(OR(B195="",C195="",D195="",E195="",F195="",G195="",H195="",I195="",J195="",K195="",L195="",O195="",P195="",Q195="",R195="",S195="",T195="",U195="",V195=""),"EVIDENCE INCOMPLETE",IF(OR(ISNA(MATCH(F195,{"Critical","High","Medium","Low"},0)),ISNA(MATCH(E195,{"Priority 1 – Critical","Priority 2 – High","Priority 3 – Standard","Priority 4 – Routine","Priority 5 – Observe","Governance Investigation Required"},0))),"TIER / PRIORITY NOT RECOGNISED",IF(U195&lt;&gt;"Verified","UNVERIFIED / CONFLICT",IF(K195&lt;&gt;"UC-ID specific","NOT UC-SCOPED",IF(OR(NOT(ISNUMBER(Q195)),NOT(ISNUMBER(R195)),NOT(ISNUMBER(V195)),NOT(ISNUMBER($W$1))),"DATES NOT VERIFIED",IF(OR(Q195&gt;R195,V195&gt;Q195),"INVALID DATE RANGE",IF(Q195&gt;$W$1,"NOT YET EFFECTIVE",IF(R195&lt;$W$1,"EXPIRED / REVIEW DUE",IF(R195-Q195&gt;IF(F195="Critical",31,IF(F195="High",92,366)),"REVIEW INTERVAL EXCEEDS TIER CADENCE",IF(OR(H195="Pending",H195="Deferred",H195="Rejected",H195="Suspended",H195="Retired",H195="Unknown"),"NOT APPROVED / STATUS NOT CURRENT",IF(H195="Approved with conditions",IF(OR(M195="",N195="",O195="Open",O195="Unknown",O195="None"),"CONDITIONAL — CONDITIONS NOT VERIFIED","CONDITIONAL — NEVER COUNT AS UNCONDITIONAL APPROVAL"),IF(H195="Approved",IF(OR(O195&lt;&gt;"None",M195&lt;&gt;"",N195&lt;&gt;""),"CONDITION / OUTCOME CONFLICT","SOURCE-RECONCILED USE-SPECIFIC APPROVAL — CONFIRM SOURCE"),"NOT APPROVED / OUTCOME NOT RECOGNISED")))))))))))))))</f>
        <v/>
      </c>
    </row>
    <row r="196" ht="24" customHeight="1" s="14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3">
        <f>IF(COUNTA(A196:V196)=0,"",IF(A196="","UC-ID MISSING",IF(COUNTIF($A$4:$A$203,A196)&gt;1,"DUPLICATE UC-ID — CONFLICT",IF(OR(B196="",C196="",D196="",E196="",F196="",G196="",H196="",I196="",J196="",K196="",L196="",O196="",P196="",Q196="",R196="",S196="",T196="",U196="",V196=""),"EVIDENCE INCOMPLETE",IF(OR(ISNA(MATCH(F196,{"Critical","High","Medium","Low"},0)),ISNA(MATCH(E196,{"Priority 1 – Critical","Priority 2 – High","Priority 3 – Standard","Priority 4 – Routine","Priority 5 – Observe","Governance Investigation Required"},0))),"TIER / PRIORITY NOT RECOGNISED",IF(U196&lt;&gt;"Verified","UNVERIFIED / CONFLICT",IF(K196&lt;&gt;"UC-ID specific","NOT UC-SCOPED",IF(OR(NOT(ISNUMBER(Q196)),NOT(ISNUMBER(R196)),NOT(ISNUMBER(V196)),NOT(ISNUMBER($W$1))),"DATES NOT VERIFIED",IF(OR(Q196&gt;R196,V196&gt;Q196),"INVALID DATE RANGE",IF(Q196&gt;$W$1,"NOT YET EFFECTIVE",IF(R196&lt;$W$1,"EXPIRED / REVIEW DUE",IF(R196-Q196&gt;IF(F196="Critical",31,IF(F196="High",92,366)),"REVIEW INTERVAL EXCEEDS TIER CADENCE",IF(OR(H196="Pending",H196="Deferred",H196="Rejected",H196="Suspended",H196="Retired",H196="Unknown"),"NOT APPROVED / STATUS NOT CURRENT",IF(H196="Approved with conditions",IF(OR(M196="",N196="",O196="Open",O196="Unknown",O196="None"),"CONDITIONAL — CONDITIONS NOT VERIFIED","CONDITIONAL — NEVER COUNT AS UNCONDITIONAL APPROVAL"),IF(H196="Approved",IF(OR(O196&lt;&gt;"None",M196&lt;&gt;"",N196&lt;&gt;""),"CONDITION / OUTCOME CONFLICT","SOURCE-RECONCILED USE-SPECIFIC APPROVAL — CONFIRM SOURCE"),"NOT APPROVED / OUTCOME NOT RECOGNISED")))))))))))))))</f>
        <v/>
      </c>
    </row>
    <row r="197" ht="24" customHeight="1" s="14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3">
        <f>IF(COUNTA(A197:V197)=0,"",IF(A197="","UC-ID MISSING",IF(COUNTIF($A$4:$A$203,A197)&gt;1,"DUPLICATE UC-ID — CONFLICT",IF(OR(B197="",C197="",D197="",E197="",F197="",G197="",H197="",I197="",J197="",K197="",L197="",O197="",P197="",Q197="",R197="",S197="",T197="",U197="",V197=""),"EVIDENCE INCOMPLETE",IF(OR(ISNA(MATCH(F197,{"Critical","High","Medium","Low"},0)),ISNA(MATCH(E197,{"Priority 1 – Critical","Priority 2 – High","Priority 3 – Standard","Priority 4 – Routine","Priority 5 – Observe","Governance Investigation Required"},0))),"TIER / PRIORITY NOT RECOGNISED",IF(U197&lt;&gt;"Verified","UNVERIFIED / CONFLICT",IF(K197&lt;&gt;"UC-ID specific","NOT UC-SCOPED",IF(OR(NOT(ISNUMBER(Q197)),NOT(ISNUMBER(R197)),NOT(ISNUMBER(V197)),NOT(ISNUMBER($W$1))),"DATES NOT VERIFIED",IF(OR(Q197&gt;R197,V197&gt;Q197),"INVALID DATE RANGE",IF(Q197&gt;$W$1,"NOT YET EFFECTIVE",IF(R197&lt;$W$1,"EXPIRED / REVIEW DUE",IF(R197-Q197&gt;IF(F197="Critical",31,IF(F197="High",92,366)),"REVIEW INTERVAL EXCEEDS TIER CADENCE",IF(OR(H197="Pending",H197="Deferred",H197="Rejected",H197="Suspended",H197="Retired",H197="Unknown"),"NOT APPROVED / STATUS NOT CURRENT",IF(H197="Approved with conditions",IF(OR(M197="",N197="",O197="Open",O197="Unknown",O197="None"),"CONDITIONAL — CONDITIONS NOT VERIFIED","CONDITIONAL — NEVER COUNT AS UNCONDITIONAL APPROVAL"),IF(H197="Approved",IF(OR(O197&lt;&gt;"None",M197&lt;&gt;"",N197&lt;&gt;""),"CONDITION / OUTCOME CONFLICT","SOURCE-RECONCILED USE-SPECIFIC APPROVAL — CONFIRM SOURCE"),"NOT APPROVED / OUTCOME NOT RECOGNISED")))))))))))))))</f>
        <v/>
      </c>
    </row>
    <row r="198" ht="24" customHeight="1" s="14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3">
        <f>IF(COUNTA(A198:V198)=0,"",IF(A198="","UC-ID MISSING",IF(COUNTIF($A$4:$A$203,A198)&gt;1,"DUPLICATE UC-ID — CONFLICT",IF(OR(B198="",C198="",D198="",E198="",F198="",G198="",H198="",I198="",J198="",K198="",L198="",O198="",P198="",Q198="",R198="",S198="",T198="",U198="",V198=""),"EVIDENCE INCOMPLETE",IF(OR(ISNA(MATCH(F198,{"Critical","High","Medium","Low"},0)),ISNA(MATCH(E198,{"Priority 1 – Critical","Priority 2 – High","Priority 3 – Standard","Priority 4 – Routine","Priority 5 – Observe","Governance Investigation Required"},0))),"TIER / PRIORITY NOT RECOGNISED",IF(U198&lt;&gt;"Verified","UNVERIFIED / CONFLICT",IF(K198&lt;&gt;"UC-ID specific","NOT UC-SCOPED",IF(OR(NOT(ISNUMBER(Q198)),NOT(ISNUMBER(R198)),NOT(ISNUMBER(V198)),NOT(ISNUMBER($W$1))),"DATES NOT VERIFIED",IF(OR(Q198&gt;R198,V198&gt;Q198),"INVALID DATE RANGE",IF(Q198&gt;$W$1,"NOT YET EFFECTIVE",IF(R198&lt;$W$1,"EXPIRED / REVIEW DUE",IF(R198-Q198&gt;IF(F198="Critical",31,IF(F198="High",92,366)),"REVIEW INTERVAL EXCEEDS TIER CADENCE",IF(OR(H198="Pending",H198="Deferred",H198="Rejected",H198="Suspended",H198="Retired",H198="Unknown"),"NOT APPROVED / STATUS NOT CURRENT",IF(H198="Approved with conditions",IF(OR(M198="",N198="",O198="Open",O198="Unknown",O198="None"),"CONDITIONAL — CONDITIONS NOT VERIFIED","CONDITIONAL — NEVER COUNT AS UNCONDITIONAL APPROVAL"),IF(H198="Approved",IF(OR(O198&lt;&gt;"None",M198&lt;&gt;"",N198&lt;&gt;""),"CONDITION / OUTCOME CONFLICT","SOURCE-RECONCILED USE-SPECIFIC APPROVAL — CONFIRM SOURCE"),"NOT APPROVED / OUTCOME NOT RECOGNISED")))))))))))))))</f>
        <v/>
      </c>
    </row>
    <row r="199" ht="24" customHeight="1" s="14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3">
        <f>IF(COUNTA(A199:V199)=0,"",IF(A199="","UC-ID MISSING",IF(COUNTIF($A$4:$A$203,A199)&gt;1,"DUPLICATE UC-ID — CONFLICT",IF(OR(B199="",C199="",D199="",E199="",F199="",G199="",H199="",I199="",J199="",K199="",L199="",O199="",P199="",Q199="",R199="",S199="",T199="",U199="",V199=""),"EVIDENCE INCOMPLETE",IF(OR(ISNA(MATCH(F199,{"Critical","High","Medium","Low"},0)),ISNA(MATCH(E199,{"Priority 1 – Critical","Priority 2 – High","Priority 3 – Standard","Priority 4 – Routine","Priority 5 – Observe","Governance Investigation Required"},0))),"TIER / PRIORITY NOT RECOGNISED",IF(U199&lt;&gt;"Verified","UNVERIFIED / CONFLICT",IF(K199&lt;&gt;"UC-ID specific","NOT UC-SCOPED",IF(OR(NOT(ISNUMBER(Q199)),NOT(ISNUMBER(R199)),NOT(ISNUMBER(V199)),NOT(ISNUMBER($W$1))),"DATES NOT VERIFIED",IF(OR(Q199&gt;R199,V199&gt;Q199),"INVALID DATE RANGE",IF(Q199&gt;$W$1,"NOT YET EFFECTIVE",IF(R199&lt;$W$1,"EXPIRED / REVIEW DUE",IF(R199-Q199&gt;IF(F199="Critical",31,IF(F199="High",92,366)),"REVIEW INTERVAL EXCEEDS TIER CADENCE",IF(OR(H199="Pending",H199="Deferred",H199="Rejected",H199="Suspended",H199="Retired",H199="Unknown"),"NOT APPROVED / STATUS NOT CURRENT",IF(H199="Approved with conditions",IF(OR(M199="",N199="",O199="Open",O199="Unknown",O199="None"),"CONDITIONAL — CONDITIONS NOT VERIFIED","CONDITIONAL — NEVER COUNT AS UNCONDITIONAL APPROVAL"),IF(H199="Approved",IF(OR(O199&lt;&gt;"None",M199&lt;&gt;"",N199&lt;&gt;""),"CONDITION / OUTCOME CONFLICT","SOURCE-RECONCILED USE-SPECIFIC APPROVAL — CONFIRM SOURCE"),"NOT APPROVED / OUTCOME NOT RECOGNISED")))))))))))))))</f>
        <v/>
      </c>
    </row>
    <row r="200" ht="24" customHeight="1" s="14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3">
        <f>IF(COUNTA(A200:V200)=0,"",IF(A200="","UC-ID MISSING",IF(COUNTIF($A$4:$A$203,A200)&gt;1,"DUPLICATE UC-ID — CONFLICT",IF(OR(B200="",C200="",D200="",E200="",F200="",G200="",H200="",I200="",J200="",K200="",L200="",O200="",P200="",Q200="",R200="",S200="",T200="",U200="",V200=""),"EVIDENCE INCOMPLETE",IF(OR(ISNA(MATCH(F200,{"Critical","High","Medium","Low"},0)),ISNA(MATCH(E200,{"Priority 1 – Critical","Priority 2 – High","Priority 3 – Standard","Priority 4 – Routine","Priority 5 – Observe","Governance Investigation Required"},0))),"TIER / PRIORITY NOT RECOGNISED",IF(U200&lt;&gt;"Verified","UNVERIFIED / CONFLICT",IF(K200&lt;&gt;"UC-ID specific","NOT UC-SCOPED",IF(OR(NOT(ISNUMBER(Q200)),NOT(ISNUMBER(R200)),NOT(ISNUMBER(V200)),NOT(ISNUMBER($W$1))),"DATES NOT VERIFIED",IF(OR(Q200&gt;R200,V200&gt;Q200),"INVALID DATE RANGE",IF(Q200&gt;$W$1,"NOT YET EFFECTIVE",IF(R200&lt;$W$1,"EXPIRED / REVIEW DUE",IF(R200-Q200&gt;IF(F200="Critical",31,IF(F200="High",92,366)),"REVIEW INTERVAL EXCEEDS TIER CADENCE",IF(OR(H200="Pending",H200="Deferred",H200="Rejected",H200="Suspended",H200="Retired",H200="Unknown"),"NOT APPROVED / STATUS NOT CURRENT",IF(H200="Approved with conditions",IF(OR(M200="",N200="",O200="Open",O200="Unknown",O200="None"),"CONDITIONAL — CONDITIONS NOT VERIFIED","CONDITIONAL — NEVER COUNT AS UNCONDITIONAL APPROVAL"),IF(H200="Approved",IF(OR(O200&lt;&gt;"None",M200&lt;&gt;"",N200&lt;&gt;""),"CONDITION / OUTCOME CONFLICT","SOURCE-RECONCILED USE-SPECIFIC APPROVAL — CONFIRM SOURCE"),"NOT APPROVED / OUTCOME NOT RECOGNISED")))))))))))))))</f>
        <v/>
      </c>
    </row>
    <row r="201" ht="24" customHeight="1" s="14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3">
        <f>IF(COUNTA(A201:V201)=0,"",IF(A201="","UC-ID MISSING",IF(COUNTIF($A$4:$A$203,A201)&gt;1,"DUPLICATE UC-ID — CONFLICT",IF(OR(B201="",C201="",D201="",E201="",F201="",G201="",H201="",I201="",J201="",K201="",L201="",O201="",P201="",Q201="",R201="",S201="",T201="",U201="",V201=""),"EVIDENCE INCOMPLETE",IF(OR(ISNA(MATCH(F201,{"Critical","High","Medium","Low"},0)),ISNA(MATCH(E201,{"Priority 1 – Critical","Priority 2 – High","Priority 3 – Standard","Priority 4 – Routine","Priority 5 – Observe","Governance Investigation Required"},0))),"TIER / PRIORITY NOT RECOGNISED",IF(U201&lt;&gt;"Verified","UNVERIFIED / CONFLICT",IF(K201&lt;&gt;"UC-ID specific","NOT UC-SCOPED",IF(OR(NOT(ISNUMBER(Q201)),NOT(ISNUMBER(R201)),NOT(ISNUMBER(V201)),NOT(ISNUMBER($W$1))),"DATES NOT VERIFIED",IF(OR(Q201&gt;R201,V201&gt;Q201),"INVALID DATE RANGE",IF(Q201&gt;$W$1,"NOT YET EFFECTIVE",IF(R201&lt;$W$1,"EXPIRED / REVIEW DUE",IF(R201-Q201&gt;IF(F201="Critical",31,IF(F201="High",92,366)),"REVIEW INTERVAL EXCEEDS TIER CADENCE",IF(OR(H201="Pending",H201="Deferred",H201="Rejected",H201="Suspended",H201="Retired",H201="Unknown"),"NOT APPROVED / STATUS NOT CURRENT",IF(H201="Approved with conditions",IF(OR(M201="",N201="",O201="Open",O201="Unknown",O201="None"),"CONDITIONAL — CONDITIONS NOT VERIFIED","CONDITIONAL — NEVER COUNT AS UNCONDITIONAL APPROVAL"),IF(H201="Approved",IF(OR(O201&lt;&gt;"None",M201&lt;&gt;"",N201&lt;&gt;""),"CONDITION / OUTCOME CONFLICT","SOURCE-RECONCILED USE-SPECIFIC APPROVAL — CONFIRM SOURCE"),"NOT APPROVED / OUTCOME NOT RECOGNISED")))))))))))))))</f>
        <v/>
      </c>
    </row>
    <row r="202" ht="24" customHeight="1" s="14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3">
        <f>IF(COUNTA(A202:V202)=0,"",IF(A202="","UC-ID MISSING",IF(COUNTIF($A$4:$A$203,A202)&gt;1,"DUPLICATE UC-ID — CONFLICT",IF(OR(B202="",C202="",D202="",E202="",F202="",G202="",H202="",I202="",J202="",K202="",L202="",O202="",P202="",Q202="",R202="",S202="",T202="",U202="",V202=""),"EVIDENCE INCOMPLETE",IF(OR(ISNA(MATCH(F202,{"Critical","High","Medium","Low"},0)),ISNA(MATCH(E202,{"Priority 1 – Critical","Priority 2 – High","Priority 3 – Standard","Priority 4 – Routine","Priority 5 – Observe","Governance Investigation Required"},0))),"TIER / PRIORITY NOT RECOGNISED",IF(U202&lt;&gt;"Verified","UNVERIFIED / CONFLICT",IF(K202&lt;&gt;"UC-ID specific","NOT UC-SCOPED",IF(OR(NOT(ISNUMBER(Q202)),NOT(ISNUMBER(R202)),NOT(ISNUMBER(V202)),NOT(ISNUMBER($W$1))),"DATES NOT VERIFIED",IF(OR(Q202&gt;R202,V202&gt;Q202),"INVALID DATE RANGE",IF(Q202&gt;$W$1,"NOT YET EFFECTIVE",IF(R202&lt;$W$1,"EXPIRED / REVIEW DUE",IF(R202-Q202&gt;IF(F202="Critical",31,IF(F202="High",92,366)),"REVIEW INTERVAL EXCEEDS TIER CADENCE",IF(OR(H202="Pending",H202="Deferred",H202="Rejected",H202="Suspended",H202="Retired",H202="Unknown"),"NOT APPROVED / STATUS NOT CURRENT",IF(H202="Approved with conditions",IF(OR(M202="",N202="",O202="Open",O202="Unknown",O202="None"),"CONDITIONAL — CONDITIONS NOT VERIFIED","CONDITIONAL — NEVER COUNT AS UNCONDITIONAL APPROVAL"),IF(H202="Approved",IF(OR(O202&lt;&gt;"None",M202&lt;&gt;"",N202&lt;&gt;""),"CONDITION / OUTCOME CONFLICT","SOURCE-RECONCILED USE-SPECIFIC APPROVAL — CONFIRM SOURCE"),"NOT APPROVED / OUTCOME NOT RECOGNISED")))))))))))))))</f>
        <v/>
      </c>
    </row>
    <row r="203" ht="24" customHeight="1" s="14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3">
        <f>IF(COUNTA(A203:V203)=0,"",IF(A203="","UC-ID MISSING",IF(COUNTIF($A$4:$A$203,A203)&gt;1,"DUPLICATE UC-ID — CONFLICT",IF(OR(B203="",C203="",D203="",E203="",F203="",G203="",H203="",I203="",J203="",K203="",L203="",O203="",P203="",Q203="",R203="",S203="",T203="",U203="",V203=""),"EVIDENCE INCOMPLETE",IF(OR(ISNA(MATCH(F203,{"Critical","High","Medium","Low"},0)),ISNA(MATCH(E203,{"Priority 1 – Critical","Priority 2 – High","Priority 3 – Standard","Priority 4 – Routine","Priority 5 – Observe","Governance Investigation Required"},0))),"TIER / PRIORITY NOT RECOGNISED",IF(U203&lt;&gt;"Verified","UNVERIFIED / CONFLICT",IF(K203&lt;&gt;"UC-ID specific","NOT UC-SCOPED",IF(OR(NOT(ISNUMBER(Q203)),NOT(ISNUMBER(R203)),NOT(ISNUMBER(V203)),NOT(ISNUMBER($W$1))),"DATES NOT VERIFIED",IF(OR(Q203&gt;R203,V203&gt;Q203),"INVALID DATE RANGE",IF(Q203&gt;$W$1,"NOT YET EFFECTIVE",IF(R203&lt;$W$1,"EXPIRED / REVIEW DUE",IF(R203-Q203&gt;IF(F203="Critical",31,IF(F203="High",92,366)),"REVIEW INTERVAL EXCEEDS TIER CADENCE",IF(OR(H203="Pending",H203="Deferred",H203="Rejected",H203="Suspended",H203="Retired",H203="Unknown"),"NOT APPROVED / STATUS NOT CURRENT",IF(H203="Approved with conditions",IF(OR(M203="",N203="",O203="Open",O203="Unknown",O203="None"),"CONDITIONAL — CONDITIONS NOT VERIFIED","CONDITIONAL — NEVER COUNT AS UNCONDITIONAL APPROVAL"),IF(H203="Approved",IF(OR(O203&lt;&gt;"None",M203&lt;&gt;"",N203&lt;&gt;""),"CONDITION / OUTCOME CONFLICT","SOURCE-RECONCILED USE-SPECIFIC APPROVAL — CONFIRM SOURCE"),"NOT APPROVED / OUTCOME NOT RECOGNISED")))))))))))))))</f>
        <v/>
      </c>
    </row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dataValidations count="10">
    <dataValidation sqref="U4:U203" showDropDown="0" showInputMessage="0" showErrorMessage="1" allowBlank="1" type="list" errorStyle="stop">
      <formula1>"Verified,Unverified,Conflict"</formula1>
    </dataValidation>
    <dataValidation sqref="Q4:R203" showDropDown="0" showInputMessage="0" showErrorMessage="1" allowBlank="1" type="date" errorStyle="stop" operator="greaterThan">
      <formula1>0.0</formula1>
    </dataValidation>
    <dataValidation sqref="H4:H203" showDropDown="0" showInputMessage="0" showErrorMessage="1" allowBlank="1" type="list" errorStyle="stop">
      <formula1>"Pending,Approved,Approved with conditions,Deferred,Rejected,Suspended,Retired,Unknown"</formula1>
    </dataValidation>
    <dataValidation sqref="K4:K203" showDropDown="0" showInputMessage="0" showErrorMessage="1" allowBlank="1" type="list" errorStyle="stop">
      <formula1>"UC-ID specific,Shared system baseline"</formula1>
    </dataValidation>
    <dataValidation sqref="W1" showDropDown="0" showInputMessage="1" showErrorMessage="1" allowBlank="1" errorTitle="Controlled value" error="Enter a date." promptTitle="As-at date" prompt="Enter the reconciliation cut-off date for this snapshot." type="date" errorStyle="stop" operator="greaterThan">
      <formula1>0</formula1>
    </dataValidation>
    <dataValidation sqref="O4:O203" showDropDown="0" showInputMessage="0" showErrorMessage="1" allowBlank="1" errorTitle="Controlled value" error="Use the controlled condition-state list (aligned with AIG-DEC-03 and AIG-DEC-04)." type="list" errorStyle="stop">
      <formula1>"None,Open,Closed-verified,Accepted-open,Waived,Unknown"</formula1>
    </dataValidation>
    <dataValidation sqref="E4:E203" showDropDown="0" showInputMessage="0" showErrorMessage="1" allowBlank="1" errorTitle="Controlled value" error="Use the AGPI priority labels from AIG-ASS-01." type="list" errorStyle="stop">
      <formula1>"Priority 1 – Critical,Priority 2 – High,Priority 3 – Standard,Priority 4 – Routine,Priority 5 – Observe,Governance Investigation Required"</formula1>
    </dataValidation>
    <dataValidation sqref="F4:F203" showDropDown="0" showInputMessage="0" showErrorMessage="1" allowBlank="1" errorTitle="Controlled value" error="Use the AIG-ASS-02 effective governance tier." type="list" errorStyle="stop">
      <formula1>"Critical,High,Medium,Low"</formula1>
    </dataValidation>
    <dataValidation sqref="V4:V203" showDropDown="0" showInputMessage="0" showErrorMessage="1" allowBlank="1" errorTitle="Controlled value" error="Enter the dated Decision event date from AIG-DEC-04." type="date" errorStyle="stop" operator="greaterThan">
      <formula1>0</formula1>
    </dataValidation>
    <dataValidation sqref="B4:B203" showDropDown="0" showInputMessage="0" showErrorMessage="1" allowBlank="1" errorTitle="Controlled value" error="Proposed AIR-ID format is AIR-nnnn (for Council confirmation). Continue only if the Council uses another format." type="custom" errorStyle="warning">
      <formula1>AND(LEFT(B4,4)="AIR-",LEN(B4)=8)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0" customWidth="1" style="14" min="1" max="1"/>
    <col width="37.75" customWidth="1" style="14" min="2" max="2"/>
    <col width="35.5" customWidth="1" style="14" min="3" max="3"/>
    <col width="20" customWidth="1" style="14" min="4" max="4"/>
    <col width="8.880000114440918" customWidth="1" style="14" min="5" max="5"/>
    <col width="13" customWidth="1" style="14" min="6" max="6"/>
  </cols>
  <sheetData>
    <row r="1">
      <c r="A1" s="16" t="inlineStr">
        <is>
          <t>UC_ID_Risk_Decision_Current_View — Document Control</t>
        </is>
      </c>
    </row>
    <row r="2">
      <c r="A2" s="17" t="inlineStr">
        <is>
          <t>Controlled working template. Draft for Council review; not Council-adopted and not effective until formally approved.</t>
        </is>
      </c>
    </row>
    <row r="4">
      <c r="A4" s="18" t="inlineStr">
        <is>
          <t>Field</t>
        </is>
      </c>
      <c r="B4" s="18" t="inlineStr">
        <is>
          <t>Controlled value</t>
        </is>
      </c>
    </row>
    <row r="5">
      <c r="A5" s="19" t="inlineStr">
        <is>
          <t>Document ID</t>
        </is>
      </c>
      <c r="B5" s="20" t="inlineStr">
        <is>
          <t>UC_ID_Risk_Decision_Current_View (supplementary view; no AIG catalogue ID)</t>
        </is>
      </c>
      <c r="C5" s="21" t="n"/>
      <c r="D5" s="21" t="n"/>
      <c r="E5" s="21" t="n"/>
      <c r="F5" s="22" t="n"/>
    </row>
    <row r="6">
      <c r="A6" s="19" t="inlineStr">
        <is>
          <t>Artefact</t>
        </is>
      </c>
      <c r="B6" s="20" t="inlineStr">
        <is>
          <t>Use-Case Risk and Delegated Decision Current View</t>
        </is>
      </c>
      <c r="C6" s="21" t="n"/>
      <c r="D6" s="21" t="n"/>
      <c r="E6" s="21" t="n"/>
      <c r="F6" s="22" t="n"/>
    </row>
    <row r="7">
      <c r="A7" s="19" t="inlineStr">
        <is>
          <t>Version</t>
        </is>
      </c>
      <c r="B7" s="20" t="inlineStr">
        <is>
          <t>1.0 draft</t>
        </is>
      </c>
      <c r="C7" s="21" t="n"/>
      <c r="D7" s="21" t="n"/>
      <c r="E7" s="21" t="n"/>
      <c r="F7" s="22" t="n"/>
    </row>
    <row r="8">
      <c r="A8" s="19" t="inlineStr">
        <is>
          <t>Status</t>
        </is>
      </c>
      <c r="B8" s="20" t="inlineStr">
        <is>
          <t>Draft for Council review</t>
        </is>
      </c>
      <c r="C8" s="21" t="n"/>
      <c r="D8" s="21" t="n"/>
      <c r="E8" s="21" t="n"/>
      <c r="F8" s="22" t="n"/>
    </row>
    <row r="9">
      <c r="A9" s="19" t="inlineStr">
        <is>
          <t>Document owner</t>
        </is>
      </c>
      <c r="B9" s="20" t="inlineStr">
        <is>
          <t>AI Governance Lead (maintains and reconciles); independent checker named per snapshot</t>
        </is>
      </c>
      <c r="C9" s="21" t="n"/>
      <c r="D9" s="21" t="n"/>
      <c r="E9" s="21" t="n"/>
      <c r="F9" s="22" t="n"/>
    </row>
    <row r="10">
      <c r="A10" s="19" t="inlineStr">
        <is>
          <t>Approving body</t>
        </is>
      </c>
      <c r="B10" s="20" t="inlineStr">
        <is>
          <t>Competent Council authority under Constitution and Scheme of Delegation; AI Assurance Board provides assurance where applicable</t>
        </is>
      </c>
      <c r="C10" s="21" t="n"/>
      <c r="D10" s="21" t="n"/>
      <c r="E10" s="21" t="n"/>
      <c r="F10" s="22" t="n"/>
    </row>
    <row r="11">
      <c r="A11" s="19" t="inlineStr">
        <is>
          <t>Approval date</t>
        </is>
      </c>
      <c r="B11" s="20" t="inlineStr">
        <is>
          <t>Not yet approved</t>
        </is>
      </c>
      <c r="C11" s="21" t="n"/>
      <c r="D11" s="21" t="n"/>
      <c r="E11" s="21" t="n"/>
      <c r="F11" s="22" t="n"/>
    </row>
    <row r="12">
      <c r="A12" s="19" t="inlineStr">
        <is>
          <t>Effective date</t>
        </is>
      </c>
      <c r="B12" s="20" t="inlineStr">
        <is>
          <t>Not yet effective</t>
        </is>
      </c>
      <c r="C12" s="21" t="n"/>
      <c r="D12" s="21" t="n"/>
      <c r="E12" s="21" t="n"/>
      <c r="F12" s="22" t="n"/>
    </row>
    <row r="13">
      <c r="A13" s="19" t="inlineStr">
        <is>
          <t>Next review date</t>
        </is>
      </c>
      <c r="B13" s="20" t="inlineStr">
        <is>
          <t>To be set on approval: 12 months after effective date or sooner following material change</t>
        </is>
      </c>
      <c r="C13" s="21" t="n"/>
      <c r="D13" s="21" t="n"/>
      <c r="E13" s="21" t="n"/>
      <c r="F13" s="22" t="n"/>
    </row>
    <row r="14">
      <c r="A14" s="19" t="inlineStr">
        <is>
          <t>Classification</t>
        </is>
      </c>
      <c r="B14" s="20" t="inlineStr">
        <is>
          <t>OFFICIAL</t>
        </is>
      </c>
      <c r="C14" s="21" t="n"/>
      <c r="D14" s="21" t="n"/>
      <c r="E14" s="21" t="n"/>
      <c r="F14" s="22" t="n"/>
    </row>
    <row r="16">
      <c r="A16" s="23" t="inlineStr">
        <is>
          <t>Change history</t>
        </is>
      </c>
      <c r="B16" s="21" t="n"/>
      <c r="C16" s="21" t="n"/>
      <c r="D16" s="21" t="n"/>
      <c r="E16" s="21" t="n"/>
      <c r="F16" s="22" t="n"/>
    </row>
    <row r="17">
      <c r="A17" s="18" t="inlineStr">
        <is>
          <t>Version</t>
        </is>
      </c>
      <c r="B17" s="18" t="inlineStr">
        <is>
          <t>Date</t>
        </is>
      </c>
      <c r="C17" s="18" t="inlineStr">
        <is>
          <t>Change</t>
        </is>
      </c>
      <c r="D17" s="18" t="inlineStr">
        <is>
          <t>Author / owner</t>
        </is>
      </c>
    </row>
    <row r="18" ht="60" customHeight="1" s="14">
      <c r="A18" s="24" t="inlineStr">
        <is>
          <t>1.0 draft</t>
        </is>
      </c>
      <c r="B18" s="24" t="inlineStr">
        <is>
          <t>29 September 2026</t>
        </is>
      </c>
      <c r="C18" s="24" t="inlineStr">
        <is>
          <t>Document control added. Duplicate UC-ID, missing UC-ID, tier/priority lists, tier-cadence and event-date checks; As-at date replaces TODAY(). QA remediation — applied findings QA-095, QA-104, QA-233, QA-234, QA-250, QA-251, QA-272, QA-276, QA-277, QA-280, QA-291 (see QA change log).</t>
        </is>
      </c>
      <c r="D18" s="24" t="inlineStr">
        <is>
          <t>AI Governance Lead</t>
        </is>
      </c>
    </row>
    <row r="20">
      <c r="A20" s="23" t="inlineStr">
        <is>
          <t>Operating notes</t>
        </is>
      </c>
      <c r="B20" s="21" t="n"/>
      <c r="C20" s="21" t="n"/>
      <c r="D20" s="21" t="n"/>
      <c r="E20" s="21" t="n"/>
      <c r="F20" s="22" t="n"/>
    </row>
    <row r="21" ht="48" customHeight="1" s="14">
      <c r="A21" s="19" t="inlineStr">
        <is>
          <t>Purpose</t>
        </is>
      </c>
      <c r="B21" s="24" t="inlineStr">
        <is>
          <t>Supplementary, manually source-reconciled current view: one row per UC-ID showing its risk tier, delegated decision, conditions, dated AIG-DEC-04 event and monitoring pointer. It feeds the UC-ID counts in the AI Governance Dashboard (AIG-OPS-06).</t>
        </is>
      </c>
      <c r="C21" s="21" t="n"/>
      <c r="D21" s="21" t="n"/>
      <c r="E21" s="21" t="n"/>
      <c r="F21" s="22" t="n"/>
    </row>
    <row r="22" ht="48" customHeight="1" s="14">
      <c r="A22" s="19" t="inlineStr">
        <is>
          <t>Status of the view</t>
        </is>
      </c>
      <c r="B22" s="24" t="inlineStr">
        <is>
          <t>Supplementary view, not a 53rd catalogue artefact and not a decision record. AIG-DEC-03 (or approved minutes) remains the authoritative decision record; AIG-DEC-04 the dated event log; AIG-INV-04 the system record.</t>
        </is>
      </c>
      <c r="C22" s="21" t="n"/>
      <c r="D22" s="21" t="n"/>
      <c r="E22" s="21" t="n"/>
      <c r="F22" s="22" t="n"/>
    </row>
    <row r="23" ht="48" customHeight="1" s="14">
      <c r="A23" s="19" t="inlineStr">
        <is>
          <t>Refresh cadence</t>
        </is>
      </c>
      <c r="B23" s="24" t="inlineStr">
        <is>
          <t>Refresh and independently check before each AIG-OPS-06 dashboard cut and at least monthly while any Critical UC-ID is in operation; record the As-at date in W1.</t>
        </is>
      </c>
      <c r="C23" s="21" t="n"/>
      <c r="D23" s="21" t="n"/>
      <c r="E23" s="21" t="n"/>
      <c r="F23" s="22" t="n"/>
    </row>
    <row r="24" ht="48" customHeight="1" s="14">
      <c r="A24" s="19" t="inlineStr">
        <is>
          <t>Controlled vocabularies</t>
        </is>
      </c>
      <c r="B24" s="24" t="inlineStr">
        <is>
          <t>Decision outcome (H) = the AIG-DEC-03 outcomes plus Pending/Unknown. Condition state (O) = None / Open / Closed-verified / Accepted-open / Waived / Unknown, aligned with AIG-DEC-03 and the AIG-DEC-04 Conditions sheet. AIG-DEC-04 gate outcomes map to these outcomes on the AIG-DEC-04 Lists sheet.</t>
        </is>
      </c>
      <c r="C24" s="21" t="n"/>
      <c r="D24" s="21" t="n"/>
      <c r="E24" s="21" t="n"/>
      <c r="F24" s="22" t="n"/>
    </row>
    <row r="25" ht="48" customHeight="1" s="14">
      <c r="A25" s="19" t="inlineStr">
        <is>
          <t>Tier cadence check</t>
        </is>
      </c>
      <c r="B25" s="24" t="inlineStr">
        <is>
          <t>Next review date minus effective date must not exceed the minimum cadence for the tier: Critical monthly formal review (31 days), High quarterly (92 days), Medium and Low annual (366 days) — decision D3.</t>
        </is>
      </c>
      <c r="C25" s="21" t="n"/>
      <c r="D25" s="21" t="n"/>
      <c r="E25" s="21" t="n"/>
      <c r="F25" s="22" t="n"/>
    </row>
  </sheetData>
  <mergeCells count="19">
    <mergeCell ref="A16:F16"/>
    <mergeCell ref="B7:F7"/>
    <mergeCell ref="B25:F25"/>
    <mergeCell ref="B22:F22"/>
    <mergeCell ref="B21:F21"/>
    <mergeCell ref="A2:F2"/>
    <mergeCell ref="B12:F12"/>
    <mergeCell ref="B11:F11"/>
    <mergeCell ref="B23:F23"/>
    <mergeCell ref="B14:F14"/>
    <mergeCell ref="B8:F8"/>
    <mergeCell ref="A20:F20"/>
    <mergeCell ref="B13:F13"/>
    <mergeCell ref="B10:F10"/>
    <mergeCell ref="B9:F9"/>
    <mergeCell ref="B6:F6"/>
    <mergeCell ref="B24:F24"/>
    <mergeCell ref="A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The Council</Company>
</Properties>
</file>

<file path=docProps/core.xml><?xml version="1.0" encoding="utf-8"?>
<cp:coreProperties xmlns:cp="http://schemas.openxmlformats.org/package/2006/metadata/core-properties">
  <dc:creator xmlns:dc="http://purl.org/dc/elements/1.1/">AI Governance Lead</dc:creator>
  <dc:title xmlns:dc="http://purl.org/dc/elements/1.1/">UC-ID Risk and Delegated Decision Current View</dc:title>
  <dc:description xmlns:dc="http://purl.org/dc/elements/1.1/">Classification: OFFICIAL. Draft for Council review; not Council-adopted.</dc:description>
  <dc:subject xmlns:dc="http://purl.org/dc/elements/1.1/">Supplementary UC-ID current view — v1.0 draft</dc:subject>
  <dcterms:created xmlns:dcterms="http://purl.org/dc/terms/" xmlns:xsi="http://www.w3.org/2001/XMLSchema-instance" xsi:type="dcterms:W3CDTF">2026-09-29T17:44:24Z</dcterms:created>
  <dcterms:modified xmlns:dcterms="http://purl.org/dc/terms/" xmlns:xsi="http://www.w3.org/2001/XMLSchema-instance" xsi:type="dcterms:W3CDTF">2026-09-29T17:44:24Z</dcterms:modified>
  <cp:lastModifiedBy>AI Governance Lead</cp:lastModifiedBy>
  <cp:category>The Council AI governance suite v3.9.9</cp:category>
  <cp:keywords>OFFICIAL; Draft for Council review</cp:keywords>
</cp:coreProperties>
</file>