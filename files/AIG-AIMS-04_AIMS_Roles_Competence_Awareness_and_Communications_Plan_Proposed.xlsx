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Role Accountability" sheetId="2" state="visible" r:id="rId2"/>
    <sheet xmlns:r="http://schemas.openxmlformats.org/officeDocument/2006/relationships" name="Competence Matrix" sheetId="3" state="visible" r:id="rId3"/>
    <sheet xmlns:r="http://schemas.openxmlformats.org/officeDocument/2006/relationships" name="Learning Plan" sheetId="4" state="visible" r:id="rId4"/>
    <sheet xmlns:r="http://schemas.openxmlformats.org/officeDocument/2006/relationships" name="Communications Plan" sheetId="5" state="visible" r:id="rId5"/>
    <sheet xmlns:r="http://schemas.openxmlformats.org/officeDocument/2006/relationships" name="Lists &amp; Guidance" sheetId="6" state="visible" r:id="rId6"/>
    <sheet xmlns:r="http://schemas.openxmlformats.org/officeDocument/2006/relationships" name="INTEGRATION INV-04 DEC-04" sheetId="7" state="visible" r:id="rId7"/>
    <sheet xmlns:r="http://schemas.openxmlformats.org/officeDocument/2006/relationships" name="STANDARDS SCOPE QA" sheetId="8" state="visible" r:id="rId8"/>
    <sheet xmlns:r="http://schemas.openxmlformats.org/officeDocument/2006/relationships" name="MAP &amp; SPLIT CONTRACT" sheetId="9" state="visible" r:id="rId9"/>
  </sheets>
  <definedNames/>
</workbook>
</file>

<file path=xl/styles.xml><?xml version="1.0" encoding="utf-8"?>
<styleSheet xmlns="http://schemas.openxmlformats.org/spreadsheetml/2006/main">
  <numFmts count="1">
    <numFmt numFmtId="164" formatCode="dd/mm/yyyy"/>
  </numFmts>
  <fonts count="22">
    <font>
      <name val="Arial"/>
      <sz val="10"/>
    </font>
    <font>
      <name val="Arial"/>
      <sz val="10"/>
    </font>
    <font>
      <name val="Arial"/>
      <sz val="10"/>
    </font>
    <font>
      <name val="Arial"/>
      <sz val="10"/>
    </font>
    <font>
      <name val="Arial"/>
      <sz val="10"/>
    </font>
    <font>
      <name val="Arial"/>
      <b val="1"/>
      <color rgb="FFFFFFFF"/>
      <sz val="16"/>
    </font>
    <font>
      <name val="Arial"/>
      <i val="1"/>
      <color rgb="FF17212B"/>
      <sz val="9"/>
    </font>
    <font>
      <name val="Arial"/>
      <color rgb="FF17212B"/>
      <sz val="9"/>
    </font>
    <font>
      <name val="Arial"/>
      <b val="1"/>
      <color rgb="FFC00000"/>
      <sz val="9"/>
    </font>
    <font>
      <name val="Arial"/>
      <b val="1"/>
      <color rgb="FFFFFFFF"/>
      <sz val="10"/>
    </font>
    <font>
      <name val="Arial"/>
      <b val="1"/>
      <color rgb="FF08233F"/>
      <sz val="9"/>
    </font>
    <font>
      <name val="Arial"/>
      <b val="1"/>
      <color rgb="FFFFFFFF"/>
      <sz val="9"/>
    </font>
    <font>
      <name val="Arial"/>
      <b val="1"/>
      <color rgb="FF08233F"/>
      <sz val="11"/>
    </font>
    <font>
      <name val="Arial"/>
      <b val="1"/>
      <color rgb="FF08233F"/>
      <sz val="10"/>
    </font>
    <font>
      <name val="Arial"/>
      <b val="1"/>
      <color rgb="FFFFFFFF"/>
      <sz val="15"/>
    </font>
    <font>
      <name val="Aptos Display"/>
      <b val="1"/>
      <color rgb="FFFFFFFF"/>
      <sz val="15"/>
    </font>
    <font>
      <name val="Aptos"/>
      <b val="1"/>
      <color rgb="FF9C0006"/>
      <sz val="10"/>
    </font>
    <font>
      <b val="1"/>
      <color rgb="FFFFFFFF"/>
    </font>
    <font>
      <b val="1"/>
      <color rgb="FF17365D"/>
    </font>
    <font>
      <name val="Aptos Display"/>
      <b val="1"/>
      <color rgb="FF17324F"/>
      <sz val="16"/>
    </font>
    <font>
      <name val="Aptos"/>
      <b val="1"/>
      <color rgb="FF17324F"/>
      <sz val="11"/>
    </font>
    <font>
      <name val="Aptos"/>
      <color rgb="FF17324F"/>
      <sz val="11"/>
    </font>
  </fonts>
  <fills count="16">
    <fill>
      <patternFill/>
    </fill>
    <fill>
      <patternFill patternType="gray125"/>
    </fill>
    <fill>
      <patternFill patternType="solid">
        <fgColor rgb="FF0B2848"/>
      </patternFill>
    </fill>
    <fill>
      <patternFill patternType="solid">
        <fgColor rgb="FFFFF8E1"/>
      </patternFill>
    </fill>
    <fill>
      <patternFill patternType="solid">
        <fgColor rgb="FFF4F8FC"/>
      </patternFill>
    </fill>
    <fill>
      <patternFill patternType="solid">
        <fgColor rgb="FFFCE4D6"/>
      </patternFill>
    </fill>
    <fill>
      <patternFill patternType="solid">
        <fgColor rgb="FFE9EEF4"/>
      </patternFill>
    </fill>
    <fill>
      <patternFill patternType="solid">
        <fgColor rgb="FF1F436B"/>
      </patternFill>
    </fill>
    <fill>
      <patternFill patternType="solid">
        <fgColor rgb="FFD9EAF7"/>
      </patternFill>
    </fill>
    <fill>
      <patternFill patternType="solid">
        <fgColor rgb="FF17365D"/>
      </patternFill>
    </fill>
    <fill>
      <patternFill patternType="solid">
        <fgColor rgb="FFFCE4D6"/>
      </patternFill>
    </fill>
    <fill>
      <patternFill patternType="solid">
        <fgColor rgb="FF4472C4"/>
      </patternFill>
    </fill>
    <fill>
      <patternFill patternType="solid">
        <fgColor rgb="FFD9EAF7"/>
      </patternFill>
    </fill>
    <fill>
      <patternFill patternType="solid">
        <fgColor rgb="FF17354F"/>
      </patternFill>
    </fill>
    <fill>
      <patternFill patternType="solid">
        <fgColor rgb="FFEAF4F3"/>
      </patternFill>
    </fill>
    <fill>
      <patternFill patternType="solid">
        <fgColor rgb="FFF5F9FA"/>
      </patternFill>
    </fill>
  </fills>
  <borders count="8">
    <border/>
    <border>
      <left style="thin">
        <color rgb="FFB4C7DC"/>
      </left>
      <right style="thin">
        <color rgb="FFB4C7DC"/>
      </right>
      <top style="thin">
        <color rgb="FFB4C7DC"/>
      </top>
      <bottom style="thin">
        <color rgb="FFB4C7DC"/>
      </bottom>
    </border>
    <border>
      <left style="thin">
        <color rgb="FFD9E2F3"/>
      </left>
      <right style="thin">
        <color rgb="FFD9E2F3"/>
      </right>
      <top style="thin">
        <color rgb="FFD9E2F3"/>
      </top>
      <bottom style="thin">
        <color rgb="FFD9E2F3"/>
      </bottom>
    </border>
    <border>
      <top style="thin">
        <color rgb="FFB4C7DC"/>
      </top>
    </border>
    <border>
      <right style="thin">
        <color rgb="FFB4C7DC"/>
      </right>
      <top style="thin">
        <color rgb="FFB4C7DC"/>
      </top>
    </border>
    <border>
      <right style="thin">
        <color rgb="FFB4C7DC"/>
      </right>
      <top style="thin">
        <color rgb="FFB4C7DC"/>
      </top>
      <bottom style="thin">
        <color rgb="FFB4C7DC"/>
      </bottom>
    </border>
    <border>
      <top style="thin">
        <color rgb="FFB4C7DC"/>
      </top>
      <bottom style="thin">
        <color rgb="FFB4C7DC"/>
      </bottom>
    </border>
    <border>
      <bottom style="thin">
        <color rgb="FFD9E2F3"/>
      </bottom>
    </border>
  </borders>
  <cellStyleXfs count="6">
    <xf numFmtId="0" fontId="4" fillId="0" borderId="0" applyAlignment="1">
      <alignment horizontal="general" vertical="bottom"/>
    </xf>
    <xf numFmtId="43" fontId="4" fillId="0" borderId="0"/>
    <xf numFmtId="41" fontId="4" fillId="0" borderId="0"/>
    <xf numFmtId="44" fontId="4" fillId="0" borderId="0"/>
    <xf numFmtId="42" fontId="4" fillId="0" borderId="0"/>
    <xf numFmtId="9" fontId="4" fillId="0" borderId="0"/>
  </cellStyleXfs>
  <cellXfs count="7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xf>
    <xf numFmtId="0" fontId="8" fillId="5" borderId="0" applyAlignment="1" pivotButton="0" quotePrefix="0" xfId="0">
      <alignment horizontal="general" vertical="center" wrapText="1"/>
    </xf>
    <xf numFmtId="0" fontId="9" fillId="2" borderId="0" applyAlignment="1" pivotButton="0" quotePrefix="0" xfId="0">
      <alignment horizontal="general" vertical="bottom"/>
    </xf>
    <xf numFmtId="0" fontId="9" fillId="2" borderId="0" applyAlignment="1" pivotButton="0" quotePrefix="0" xfId="0">
      <alignment horizontal="center" vertical="bottom"/>
    </xf>
    <xf numFmtId="0" fontId="10" fillId="6" borderId="1" applyAlignment="1" pivotButton="0" quotePrefix="0" xfId="0">
      <alignment horizontal="general" vertical="bottom" wrapText="1"/>
    </xf>
    <xf numFmtId="0" fontId="7" fillId="4" borderId="1" applyAlignment="1" pivotButton="0" quotePrefix="0" xfId="0">
      <alignment horizontal="general" vertical="bottom" wrapText="1"/>
    </xf>
    <xf numFmtId="0" fontId="11" fillId="7" borderId="0" applyAlignment="1" pivotButton="0" quotePrefix="0" xfId="0">
      <alignment horizontal="general" vertical="bottom"/>
    </xf>
    <xf numFmtId="0" fontId="10" fillId="6" borderId="1" applyAlignment="1" pivotButton="0" quotePrefix="0" xfId="0">
      <alignment horizontal="general" vertical="bottom"/>
    </xf>
    <xf numFmtId="0" fontId="12" fillId="8" borderId="1" applyAlignment="1" pivotButton="0" quotePrefix="0" xfId="0">
      <alignment horizontal="center" vertical="bottom"/>
    </xf>
    <xf numFmtId="9" fontId="12" fillId="8" borderId="1" applyAlignment="1" pivotButton="0" quotePrefix="0" xfId="0">
      <alignment horizontal="center" vertical="bottom"/>
    </xf>
    <xf numFmtId="0" fontId="7" fillId="3" borderId="1" applyAlignment="1" pivotButton="0" quotePrefix="0" xfId="0">
      <alignment horizontal="general" vertical="center" wrapText="1"/>
    </xf>
    <xf numFmtId="0" fontId="9" fillId="2" borderId="0" applyAlignment="1" pivotButton="0" quotePrefix="0" xfId="0">
      <alignment horizontal="general" vertical="bottom"/>
    </xf>
    <xf numFmtId="0" fontId="7" fillId="4" borderId="1" applyAlignment="1" pivotButton="0" quotePrefix="0" xfId="0">
      <alignment horizontal="general" vertical="center" wrapText="1"/>
    </xf>
    <xf numFmtId="0" fontId="11" fillId="2"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wrapText="1"/>
    </xf>
    <xf numFmtId="164" fontId="7" fillId="0" borderId="1" applyAlignment="1" pivotButton="0" quotePrefix="0" xfId="0">
      <alignment horizontal="general" vertical="bottom" wrapText="1"/>
    </xf>
    <xf numFmtId="0" fontId="11" fillId="2" borderId="1" applyAlignment="1" pivotButton="0" quotePrefix="0" xfId="0">
      <alignment horizontal="center" vertical="center" wrapText="1"/>
    </xf>
    <xf numFmtId="0" fontId="10" fillId="6" borderId="2" applyAlignment="1" pivotButton="0" quotePrefix="0" xfId="0">
      <alignment horizontal="center" vertical="top" wrapText="1"/>
    </xf>
    <xf numFmtId="0" fontId="7" fillId="0" borderId="2" applyAlignment="1" pivotButton="0" quotePrefix="0" xfId="0">
      <alignment horizontal="general" vertical="top" wrapText="1"/>
    </xf>
    <xf numFmtId="0" fontId="7" fillId="3" borderId="2" applyAlignment="1" pivotButton="0" quotePrefix="0" xfId="0">
      <alignment horizontal="general" vertical="top" wrapText="1"/>
    </xf>
    <xf numFmtId="164" fontId="7" fillId="3" borderId="2" applyAlignment="1" pivotButton="0" quotePrefix="0" xfId="0">
      <alignment horizontal="general" vertical="top" wrapText="1"/>
    </xf>
    <xf numFmtId="0" fontId="13" fillId="4" borderId="2" applyAlignment="1" pivotButton="0" quotePrefix="0" xfId="0">
      <alignment horizontal="center" vertical="top" wrapText="1"/>
    </xf>
    <xf numFmtId="9" fontId="7" fillId="3" borderId="2" applyAlignment="1" pivotButton="0" quotePrefix="0" xfId="0">
      <alignment horizontal="general" vertical="top" wrapText="1"/>
    </xf>
    <xf numFmtId="0" fontId="14" fillId="2" borderId="0" applyAlignment="1" pivotButton="0" quotePrefix="0" xfId="0">
      <alignment horizontal="general" vertical="bottom"/>
    </xf>
    <xf numFmtId="0" fontId="10" fillId="6" borderId="1" applyAlignment="1" pivotButton="0" quotePrefix="0" xfId="0">
      <alignment horizontal="general" vertical="center" wrapText="1"/>
    </xf>
    <xf numFmtId="0" fontId="7" fillId="0" borderId="1" applyAlignment="1" pivotButton="0" quotePrefix="0" xfId="0">
      <alignment horizontal="general"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xf>
    <xf numFmtId="0" fontId="8" fillId="5" borderId="0" applyAlignment="1" pivotButton="0" quotePrefix="0" xfId="0">
      <alignment horizontal="general" vertical="center" wrapText="1"/>
    </xf>
    <xf numFmtId="0" fontId="9" fillId="2" borderId="0" applyAlignment="1" pivotButton="0" quotePrefix="0" xfId="0">
      <alignment horizontal="general" vertical="bottom"/>
    </xf>
    <xf numFmtId="0" fontId="9" fillId="2" borderId="0" applyAlignment="1" pivotButton="0" quotePrefix="0" xfId="0">
      <alignment horizontal="center" vertical="bottom"/>
    </xf>
    <xf numFmtId="0" fontId="10" fillId="6" borderId="1" applyAlignment="1" pivotButton="0" quotePrefix="0" xfId="0">
      <alignment horizontal="general" vertical="bottom" wrapText="1"/>
    </xf>
    <xf numFmtId="0" fontId="7" fillId="4" borderId="1" applyAlignment="1" pivotButton="0" quotePrefix="0" xfId="0">
      <alignment horizontal="general" vertical="bottom" wrapText="1"/>
    </xf>
    <xf numFmtId="0" fontId="11" fillId="7" borderId="0" applyAlignment="1" pivotButton="0" quotePrefix="0" xfId="0">
      <alignment horizontal="general" vertical="bottom"/>
    </xf>
    <xf numFmtId="0" fontId="10" fillId="6" borderId="1" applyAlignment="1" pivotButton="0" quotePrefix="0" xfId="0">
      <alignment horizontal="general" vertical="bottom"/>
    </xf>
    <xf numFmtId="0" fontId="12" fillId="8" borderId="1" applyAlignment="1" pivotButton="0" quotePrefix="0" xfId="0">
      <alignment horizontal="center" vertical="bottom"/>
    </xf>
    <xf numFmtId="9" fontId="12" fillId="8" borderId="1" applyAlignment="1" pivotButton="0" quotePrefix="0" xfId="0">
      <alignment horizontal="center" vertical="bottom"/>
    </xf>
    <xf numFmtId="0" fontId="7" fillId="3" borderId="1" applyAlignment="1" pivotButton="0" quotePrefix="0" xfId="0">
      <alignment horizontal="general" vertical="center" wrapText="1"/>
    </xf>
    <xf numFmtId="0" fontId="0" fillId="0" borderId="5" pivotButton="0" quotePrefix="0" xfId="0"/>
    <xf numFmtId="0" fontId="7" fillId="4" borderId="1" applyAlignment="1" pivotButton="0" quotePrefix="0" xfId="0">
      <alignment horizontal="general" vertical="center" wrapText="1"/>
    </xf>
    <xf numFmtId="0" fontId="0" fillId="0" borderId="6" pivotButton="0" quotePrefix="0" xfId="0"/>
    <xf numFmtId="0" fontId="11" fillId="2" borderId="0" applyAlignment="1" pivotButton="0" quotePrefix="0" xfId="0">
      <alignment horizontal="general" vertical="bottom"/>
    </xf>
    <xf numFmtId="0" fontId="7" fillId="0" borderId="1" applyAlignment="1" pivotButton="0" quotePrefix="0" xfId="0">
      <alignment horizontal="general" vertical="bottom" wrapText="1"/>
    </xf>
    <xf numFmtId="164" fontId="7" fillId="0" borderId="1" applyAlignment="1" pivotButton="0" quotePrefix="0" xfId="0">
      <alignment horizontal="general" vertical="bottom" wrapText="1"/>
    </xf>
    <xf numFmtId="0" fontId="11" fillId="2" borderId="1" applyAlignment="1" pivotButton="0" quotePrefix="0" xfId="0">
      <alignment horizontal="center" vertical="center" wrapText="1"/>
    </xf>
    <xf numFmtId="0" fontId="10" fillId="6" borderId="2" applyAlignment="1" pivotButton="0" quotePrefix="0" xfId="0">
      <alignment horizontal="center" vertical="top" wrapText="1"/>
    </xf>
    <xf numFmtId="0" fontId="7" fillId="0" borderId="2" applyAlignment="1" pivotButton="0" quotePrefix="0" xfId="0">
      <alignment horizontal="general" vertical="top" wrapText="1"/>
    </xf>
    <xf numFmtId="0" fontId="7" fillId="3" borderId="2" applyAlignment="1" pivotButton="0" quotePrefix="0" xfId="0">
      <alignment horizontal="general" vertical="top" wrapText="1"/>
    </xf>
    <xf numFmtId="164" fontId="7" fillId="3" borderId="2" applyAlignment="1" pivotButton="0" quotePrefix="0" xfId="0">
      <alignment horizontal="general" vertical="top" wrapText="1"/>
    </xf>
    <xf numFmtId="0" fontId="13" fillId="4" borderId="2" applyAlignment="1" pivotButton="0" quotePrefix="0" xfId="0">
      <alignment horizontal="center" vertical="top" wrapText="1"/>
    </xf>
    <xf numFmtId="9" fontId="7" fillId="3" borderId="2" applyAlignment="1" pivotButton="0" quotePrefix="0" xfId="0">
      <alignment horizontal="general" vertical="top" wrapText="1"/>
    </xf>
    <xf numFmtId="0" fontId="14" fillId="2" borderId="0" applyAlignment="1" pivotButton="0" quotePrefix="0" xfId="0">
      <alignment horizontal="general" vertical="bottom"/>
    </xf>
    <xf numFmtId="0" fontId="10" fillId="6" borderId="1" applyAlignment="1" pivotButton="0" quotePrefix="0" xfId="0">
      <alignment horizontal="general" vertical="center" wrapText="1"/>
    </xf>
    <xf numFmtId="0" fontId="7" fillId="0" borderId="1" applyAlignment="1" pivotButton="0" quotePrefix="0" xfId="0">
      <alignment horizontal="general" vertical="center" wrapText="1"/>
    </xf>
    <xf numFmtId="0" fontId="15" fillId="9" borderId="0" applyAlignment="1" pivotButton="0" quotePrefix="0" xfId="0">
      <alignment vertical="center" wrapText="1"/>
    </xf>
    <xf numFmtId="0" fontId="16" fillId="10" borderId="0" applyAlignment="1" pivotButton="0" quotePrefix="0" xfId="0">
      <alignment vertical="top" wrapText="1"/>
    </xf>
    <xf numFmtId="0" fontId="17" fillId="11" borderId="0" applyAlignment="1" pivotButton="0" quotePrefix="0" xfId="0">
      <alignment vertical="center" wrapText="1"/>
    </xf>
    <xf numFmtId="0" fontId="18" fillId="12" borderId="7" applyAlignment="1" pivotButton="0" quotePrefix="0" xfId="0">
      <alignment vertical="top" wrapText="1"/>
    </xf>
    <xf numFmtId="0" fontId="0" fillId="0" borderId="7" applyAlignment="1" pivotButton="0" quotePrefix="0" xfId="0">
      <alignment vertical="top" wrapText="1"/>
    </xf>
    <xf numFmtId="0" fontId="17" fillId="13" borderId="0" pivotButton="0" quotePrefix="0" xfId="0"/>
    <xf numFmtId="0" fontId="0" fillId="0" borderId="0" applyAlignment="1" pivotButton="0" quotePrefix="0" xfId="0">
      <alignment vertical="top" wrapText="1"/>
    </xf>
    <xf numFmtId="0" fontId="19" fillId="0" borderId="0" pivotButton="0" quotePrefix="0" xfId="0"/>
    <xf numFmtId="0" fontId="20" fillId="14" borderId="0" applyAlignment="1" pivotButton="0" quotePrefix="0" xfId="0">
      <alignment vertical="top" wrapText="1"/>
    </xf>
    <xf numFmtId="0" fontId="21" fillId="14" borderId="0" applyAlignment="1" pivotButton="0" quotePrefix="0" xfId="0">
      <alignment vertical="top" wrapText="1"/>
    </xf>
    <xf numFmtId="0" fontId="20" fillId="15" borderId="0" applyAlignment="1" pivotButton="0" quotePrefix="0" xfId="0">
      <alignment vertical="top" wrapText="1"/>
    </xf>
    <xf numFmtId="0" fontId="21" fillId="15" borderId="0" applyAlignment="1" pivotButton="0" quotePrefix="0" xfId="0">
      <alignment vertical="top" wrapText="1"/>
    </xf>
    <xf numFmtId="0" fontId="4" fillId="0" borderId="0" pivotButton="0" quotePrefix="0" xfId="0"/>
  </cellXfs>
  <cellStyles count="6">
    <cellStyle name="Normal" xfId="0"/>
    <cellStyle name="Comma" xfId="1"/>
    <cellStyle name="Comma [0]" xfId="2"/>
    <cellStyle name="Currency" xfId="3"/>
    <cellStyle name="Currency [0]" xfId="4"/>
    <cellStyle name="Percent" xfId="5"/>
  </cellStyles>
  <dxfs count="17">
    <dxf>
      <fill>
        <patternFill>
          <bgColor rgb="FF0B2848"/>
        </patternFill>
      </fill>
    </dxf>
    <dxf>
      <fill>
        <patternFill>
          <bgColor rgb="FFE9EEF4"/>
        </patternFill>
      </fill>
    </dxf>
    <dxf>
      <fill>
        <patternFill>
          <bgColor rgb="FF08233F"/>
        </patternFill>
      </fill>
    </dxf>
    <dxf>
      <fill>
        <patternFill>
          <bgColor rgb="FFFFFFFF"/>
        </patternFill>
      </fill>
    </dxf>
    <dxf>
      <fill>
        <patternFill>
          <bgColor rgb="FF000000"/>
        </patternFill>
      </fill>
    </dxf>
    <dxf>
      <fill>
        <patternFill>
          <bgColor rgb="FF17212B"/>
        </patternFill>
      </fill>
    </dxf>
    <dxf>
      <fill>
        <patternFill>
          <bgColor rgb="FFFFF8E1"/>
        </patternFill>
      </fill>
    </dxf>
    <dxf>
      <fill>
        <patternFill>
          <bgColor rgb="FFE2F0D9"/>
        </patternFill>
      </fill>
    </dxf>
    <dxf>
      <fill>
        <patternFill>
          <bgColor rgb="FF548235"/>
        </patternFill>
      </fill>
    </dxf>
    <dxf>
      <font>
        <b val="1"/>
        <color rgb="FF548235"/>
      </font>
      <fill>
        <patternFill>
          <bgColor rgb="FFE2F0D9"/>
        </patternFill>
      </fill>
    </dxf>
    <dxf>
      <font>
        <b val="1"/>
        <color rgb="FFC00000"/>
      </font>
      <fill>
        <patternFill>
          <bgColor rgb="FFFCE4D6"/>
        </patternFill>
      </fill>
    </dxf>
    <dxf>
      <font>
        <b val="1"/>
        <color rgb="FFBF7A00"/>
      </font>
      <fill>
        <patternFill>
          <bgColor rgb="FFFFF2CC"/>
        </patternFill>
      </fill>
    </dxf>
    <dxf>
      <fill>
        <patternFill>
          <bgColor rgb="FFF4F8FC"/>
        </patternFill>
      </fill>
    </dxf>
    <dxf>
      <font>
        <b val="1"/>
        <color rgb="FF08233F"/>
      </font>
      <fill>
        <patternFill>
          <bgColor rgb="FFD9EAF7"/>
        </patternFill>
      </fill>
    </dxf>
    <dxf/>
    <dxf/>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7DC"/>
      <rgbColor rgb="FF808080"/>
      <rgbColor rgb="FF9999FF"/>
      <rgbColor rgb="FF993366"/>
      <rgbColor rgb="FFFFF8E1"/>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9EEF4"/>
      <rgbColor rgb="FFE2F0D9"/>
      <rgbColor rgb="FFFFF2CC"/>
      <rgbColor rgb="FFF4F8FC"/>
      <rgbColor rgb="FFFF99CC"/>
      <rgbColor rgb="FFCC99FF"/>
      <rgbColor rgb="FFFCE4D6"/>
      <rgbColor rgb="FF3366FF"/>
      <rgbColor rgb="FF33CCCC"/>
      <rgbColor rgb="FF99CC00"/>
      <rgbColor rgb="FFFFCC00"/>
      <rgbColor rgb="FFFF9900"/>
      <rgbColor rgb="FFBF7A00"/>
      <rgbColor rgb="FF666699"/>
      <rgbColor rgb="FF969696"/>
      <rgbColor rgb="FF0B2848"/>
      <rgbColor rgb="FF339966"/>
      <rgbColor rgb="FF08233F"/>
      <rgbColor rgb="FF333300"/>
      <rgbColor rgb="FF993300"/>
      <rgbColor rgb="FF993366"/>
      <rgbColor rgb="FF1F436B"/>
      <rgbColor rgb="FF1721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RoleAccountabilityTable" displayName="RoleAccountabilityTable" ref="A6:R25" headerRowCount="1" totalsRowCount="0" totalsRowShown="0">
  <tableColumns count="18">
    <tableColumn id="1" name="Role ID"/>
    <tableColumn id="2" name="Role / body"/>
    <tableColumn id="3" name="AIMS layer"/>
    <tableColumn id="4" name="Purpose / accountability"/>
    <tableColumn id="5" name="Key responsibilities"/>
    <tableColumn id="6" name="Decision / approval authority"/>
    <tableColumn id="7" name="Consultation / escalation"/>
    <tableColumn id="8" name="Named appointee"/>
    <tableColumn id="9" name="Deputy"/>
    <tableColumn id="10" name="Appointment status"/>
    <tableColumn id="11" name="Appointment evidence"/>
    <tableColumn id="12" name="Required competency level"/>
    <tableColumn id="13" name="Training pathway"/>
    <tableColumn id="14" name="Review date"/>
    <tableColumn id="15" name="Related suite references"/>
    <tableColumn id="16" name="ISO / SoA links"/>
    <tableColumn id="17" name="Role record / source"/>
    <tableColumn id="18" name="Record QA"/>
  </tableColumns>
</table>
</file>

<file path=xl/tables/table2.xml><?xml version="1.0" encoding="utf-8"?>
<table xmlns="http://schemas.openxmlformats.org/spreadsheetml/2006/main" id="2" name="CompetenceMatrixTable" displayName="CompetenceMatrixTable" ref="A6:U19" headerRowCount="1" totalsRowCount="0" totalsRowShown="0">
  <tableColumns count="21">
    <tableColumn id="1" name="Group ID"/>
    <tableColumn id="2" name="Role group"/>
    <tableColumn id="3" name="Playbook competency level"/>
    <tableColumn id="4" name="AI literacy"/>
    <tableColumn id="5" name="Governance / accountability"/>
    <tableColumn id="6" name="Risk"/>
    <tableColumn id="7" name="Responsible AI"/>
    <tableColumn id="8" name="Data / IG"/>
    <tableColumn id="9" name="Security / resilience"/>
    <tableColumn id="10" name="Operational application"/>
    <tableColumn id="11" name="Leadership / oversight"/>
    <tableColumn id="12" name="Evidence / assessment method"/>
    <tableColumn id="13" name="Assessment frequency"/>
    <tableColumn id="14" name="Current assessment status"/>
    <tableColumn id="15" name="Current result"/>
    <tableColumn id="16" name="Gap / remedial action"/>
    <tableColumn id="17" name="Owner"/>
    <tableColumn id="18" name="Due date"/>
    <tableColumn id="19" name="Evidence location"/>
    <tableColumn id="20" name="Related objectives / risks / learning"/>
    <tableColumn id="21" name="Record QA"/>
  </tableColumns>
</table>
</file>

<file path=xl/tables/table3.xml><?xml version="1.0" encoding="utf-8"?>
<table xmlns="http://schemas.openxmlformats.org/spreadsheetml/2006/main" id="3" name="LearningPlanTable" displayName="LearningPlanTable" ref="A6:U18" headerRowCount="1" totalsRowCount="0" totalsRowShown="0">
  <tableColumns count="21">
    <tableColumn id="1" name="Module ID"/>
    <tableColumn id="2" name="Module"/>
    <tableColumn id="3" name="Audience"/>
    <tableColumn id="4" name="Competency level"/>
    <tableColumn id="5" name="Requirement"/>
    <tableColumn id="6" name="Trigger / deadline"/>
    <tableColumn id="7" name="Learning outcomes"/>
    <tableColumn id="8" name="Delivery method"/>
    <tableColumn id="9" name="Owner"/>
    <tableColumn id="10" name="Status"/>
    <tableColumn id="11" name="Planned date"/>
    <tableColumn id="12" name="Recurrence"/>
    <tableColumn id="13" name="Assessment / effectiveness"/>
    <tableColumn id="14" name="Completion target"/>
    <tableColumn id="15" name="Completion rate"/>
    <tableColumn id="16" name="Evidence location"/>
    <tableColumn id="17" name="Review date"/>
    <tableColumn id="18" name="Related objectives / risks / actions"/>
    <tableColumn id="19" name="ISO / SoA links"/>
    <tableColumn id="20" name="Decision / design note"/>
    <tableColumn id="21" name="Record QA"/>
  </tableColumns>
</table>
</file>

<file path=xl/tables/table4.xml><?xml version="1.0" encoding="utf-8"?>
<table xmlns="http://schemas.openxmlformats.org/spreadsheetml/2006/main" id="4" name="CommunicationsPlanTable" displayName="CommunicationsPlanTable" ref="A6:R19" headerRowCount="1" totalsRowCount="0" totalsRowShown="0">
  <tableColumns count="18">
    <tableColumn id="1" name="Communication ID"/>
    <tableColumn id="2" name="Objective / core message"/>
    <tableColumn id="3" name="Audience / interested party"/>
    <tableColumn id="4" name="Owner"/>
    <tableColumn id="5" name="Sender / approver"/>
    <tableColumn id="6" name="Channel"/>
    <tableColumn id="7" name="Timing / trigger"/>
    <tableColumn id="8" name="Frequency"/>
    <tableColumn id="9" name="Accessibility / consultation"/>
    <tableColumn id="10" name="Required record / evidence"/>
    <tableColumn id="11" name="Status"/>
    <tableColumn id="12" name="Target date"/>
    <tableColumn id="13" name="Last issued"/>
    <tableColumn id="14" name="Effectiveness measure"/>
    <tableColumn id="15" name="Related objectives / risks / actions"/>
    <tableColumn id="16" name="ISO / SoA links"/>
    <tableColumn id="17" name="Decision / design note"/>
    <tableColumn id="18" name="Record QA"/>
  </tableColumns>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ColWidth="9.47265625" defaultRowHeight="15"/>
  <cols>
    <col width="34.06999969482422" customWidth="1" style="31" min="1" max="1"/>
    <col width="35.16999816894531" customWidth="1" style="31" min="2" max="2"/>
    <col width="4.400000095367432" customWidth="1" style="31" min="3" max="3"/>
    <col width="29.65999984741211" customWidth="1" style="31" min="4" max="4"/>
    <col width="17.59000015258789" customWidth="1" style="31" min="5" max="5"/>
    <col width="4.400000095367432" customWidth="1" style="31" min="6" max="6"/>
    <col width="31.8799991607666" customWidth="1" style="31" min="7" max="7"/>
    <col width="18.68000030517578" customWidth="1" style="31" min="8" max="8"/>
  </cols>
  <sheetData>
    <row r="1" ht="31.5" customHeight="1" s="32">
      <c r="A1" s="33" t="inlineStr">
        <is>
          <t>The Council — AIMS Roles, Competence, Awareness and Communications Plan</t>
        </is>
      </c>
    </row>
    <row r="2" ht="21.75" customHeight="1" s="32">
      <c r="A2" s="34" t="inlineStr">
        <is>
          <t>AIG-AIMS-04  ·  v1.3 draft  ·  Draft for Council review  ·  OFFICIAL  ·  ISO/IEC 42001:2023</t>
        </is>
      </c>
    </row>
    <row r="3" ht="24" customHeight="1" s="32">
      <c r="A3" s="35" t="inlineStr">
        <is>
          <t>Purpose: operationalise accountable AIMS roles, required competence, learning and internal/external communications without changing Council delegations or specialist authority.</t>
        </is>
      </c>
    </row>
    <row r="4" ht="28.5" customHeight="1" s="32">
      <c r="A4" s="36" t="inlineStr">
        <is>
          <t>Status statement: all appointments, deputies, authority mappings, competence requirements, training modules and communications are proposed. No individual is confirmed competent, trained or authorised until the Council approves the design and retains evidence.</t>
        </is>
      </c>
    </row>
    <row r="5"/>
    <row r="6" ht="15" customHeight="1" s="32">
      <c r="A6" s="37" t="inlineStr">
        <is>
          <t>Document control</t>
        </is>
      </c>
      <c r="B6" s="37" t="inlineStr">
        <is>
          <t>Controlled value</t>
        </is>
      </c>
      <c r="D6" s="38" t="inlineStr">
        <is>
          <t>Role readiness</t>
        </is>
      </c>
      <c r="G6" s="38" t="inlineStr">
        <is>
          <t>Competence and learning readiness</t>
        </is>
      </c>
    </row>
    <row r="7" ht="22.5" customHeight="1" s="32">
      <c r="A7" s="39" t="inlineStr">
        <is>
          <t>Document ID</t>
        </is>
      </c>
      <c r="B7" s="40" t="inlineStr">
        <is>
          <t>AIG-AIMS-04</t>
        </is>
      </c>
      <c r="D7" s="41" t="inlineStr">
        <is>
          <t>Measure</t>
        </is>
      </c>
      <c r="E7" s="41" t="inlineStr">
        <is>
          <t>Result</t>
        </is>
      </c>
      <c r="G7" s="41" t="inlineStr">
        <is>
          <t>Measure</t>
        </is>
      </c>
      <c r="H7" s="41" t="inlineStr">
        <is>
          <t>Result</t>
        </is>
      </c>
    </row>
    <row r="8" ht="24" customHeight="1" s="32">
      <c r="A8" s="39" t="inlineStr">
        <is>
          <t>Version</t>
        </is>
      </c>
      <c r="B8" s="40" t="inlineStr">
        <is>
          <t>1.3 draft</t>
        </is>
      </c>
      <c r="D8" s="42" t="inlineStr">
        <is>
          <t>Defined role/body records</t>
        </is>
      </c>
      <c r="E8" s="43">
        <f>COUNTA('Role Accountability'!$A$7:$A$26)</f>
        <v/>
      </c>
      <c r="G8" s="42" t="inlineStr">
        <is>
          <t>Role groups mapped</t>
        </is>
      </c>
      <c r="H8" s="43">
        <f>COUNTA('Competence Matrix'!$A$7:$A$19)</f>
        <v/>
      </c>
    </row>
    <row r="9" ht="24" customHeight="1" s="32">
      <c r="A9" s="39" t="inlineStr">
        <is>
          <t>Status</t>
        </is>
      </c>
      <c r="B9" s="40" t="inlineStr">
        <is>
          <t>Draft for Council review</t>
        </is>
      </c>
      <c r="D9" s="42" t="inlineStr">
        <is>
          <t>Appointments confirmed</t>
        </is>
      </c>
      <c r="E9" s="43">
        <f>COUNTIF('Role Accountability'!$J$7:$J$26,"Confirmed")</f>
        <v/>
      </c>
      <c r="G9" s="42" t="inlineStr">
        <is>
          <t>Current assessments complete</t>
        </is>
      </c>
      <c r="H9" s="43">
        <f>COUNTIF('Competence Matrix'!$N$7:$N$19,"Assessed - competent")+COUNTIF('Competence Matrix'!$N$7:$N$19,"Assessed - gap")</f>
        <v/>
      </c>
    </row>
    <row r="10" ht="24" customHeight="1" s="32">
      <c r="A10" s="39" t="inlineStr">
        <is>
          <t>Document owner</t>
        </is>
      </c>
      <c r="B10" s="40" t="inlineStr">
        <is>
          <t>AI Governance Lead</t>
        </is>
      </c>
      <c r="D10" s="42" t="inlineStr">
        <is>
          <t>Deputies recorded</t>
        </is>
      </c>
      <c r="E10" s="43">
        <f>COUNTIF('Role Accountability'!$I$7:$I$26,"?*")</f>
        <v/>
      </c>
      <c r="G10" s="42" t="inlineStr">
        <is>
          <t>Open competence gaps (assessed gap / expired)</t>
        </is>
      </c>
      <c r="H10" s="43">
        <f>COUNTIF('Competence Matrix'!$N$7:$N$19,"Assessed - gap")+COUNTIF('Competence Matrix'!$N$7:$N$19,"Expired / reassess")</f>
        <v/>
      </c>
    </row>
    <row r="11" ht="24" customHeight="1" s="32">
      <c r="A11" s="39" t="inlineStr">
        <is>
          <t>Approving authority</t>
        </is>
      </c>
      <c r="B11" s="40" t="inlineStr">
        <is>
          <t>To be confirmed under Council delegations</t>
        </is>
      </c>
      <c r="D11" s="42" t="inlineStr">
        <is>
          <t>Appointment evidence recorded</t>
        </is>
      </c>
      <c r="E11" s="43">
        <f>COUNTIF('Role Accountability'!$K$7:$K$26,"?*")</f>
        <v/>
      </c>
      <c r="G11" s="42" t="inlineStr">
        <is>
          <t>Learning modules designed</t>
        </is>
      </c>
      <c r="H11" s="43">
        <f>COUNTA('Learning Plan'!$A$7:$A$18)</f>
        <v/>
      </c>
    </row>
    <row r="12" ht="24" customHeight="1" s="32">
      <c r="A12" s="39" t="inlineStr">
        <is>
          <t>Effective date</t>
        </is>
      </c>
      <c r="B12" s="40" t="inlineStr">
        <is>
          <t>Pending formal approval</t>
        </is>
      </c>
      <c r="D12" s="42" t="inlineStr">
        <is>
          <t>Roles reviewed</t>
        </is>
      </c>
      <c r="E12" s="43">
        <f>COUNT('Role Accountability'!$N$7:$N$26)</f>
        <v/>
      </c>
      <c r="G12" s="42" t="inlineStr">
        <is>
          <t>Approved / active modules</t>
        </is>
      </c>
      <c r="H12" s="43">
        <f>COUNTIF('Learning Plan'!$J$7:$J$18,"Approved")+COUNTIF('Learning Plan'!$J$7:$J$18,"Active")</f>
        <v/>
      </c>
    </row>
    <row r="13" ht="24" customHeight="1" s="32">
      <c r="A13" s="39" t="inlineStr">
        <is>
          <t>Review frequency</t>
        </is>
      </c>
      <c r="B13" s="40" t="inlineStr">
        <is>
          <t>At least annually and on material change</t>
        </is>
      </c>
      <c r="D13" s="42" t="inlineStr">
        <is>
          <t>Role records QA complete</t>
        </is>
      </c>
      <c r="E13" s="43">
        <f>COUNTIF('Role Accountability'!$R$7:$R$26,"Complete")</f>
        <v/>
      </c>
      <c r="G13" s="42" t="inlineStr">
        <is>
          <t>Average completion</t>
        </is>
      </c>
      <c r="H13" s="44">
        <f>AVERAGE('Learning Plan'!$O$7:$O$18)</f>
        <v/>
      </c>
    </row>
    <row r="14" ht="24" customHeight="1" s="32">
      <c r="A14" s="39" t="inlineStr">
        <is>
          <t>Primary authority source</t>
        </is>
      </c>
      <c r="B14" s="40" t="inlineStr">
        <is>
          <t>AIG-GOV-06 Terms of Reference; approved Council delegations prevail</t>
        </is>
      </c>
      <c r="G14" s="42" t="inlineStr">
        <is>
          <t>Learning records QA complete</t>
        </is>
      </c>
      <c r="H14" s="43">
        <f>COUNTIF('Learning Plan'!$U$7:$U$18,"Complete")</f>
        <v/>
      </c>
    </row>
    <row r="15" ht="22.5" customHeight="1" s="32">
      <c r="A15" s="39" t="inlineStr">
        <is>
          <t>Implementation source</t>
        </is>
      </c>
      <c r="B15" s="40" t="inlineStr">
        <is>
          <t>AIG-AIMS-03 IMP-05 and IMP-09</t>
        </is>
      </c>
    </row>
    <row r="16" ht="22.5" customHeight="1" s="32">
      <c r="A16" s="39" t="inlineStr">
        <is>
          <t>Classification</t>
        </is>
      </c>
      <c r="B16" s="40" t="inlineStr">
        <is>
          <t>OFFICIAL</t>
        </is>
      </c>
      <c r="D16" s="38" t="inlineStr">
        <is>
          <t>Communications readiness</t>
        </is>
      </c>
      <c r="G16" s="38" t="inlineStr">
        <is>
          <t>Important control distinction</t>
        </is>
      </c>
    </row>
    <row r="17" ht="27.75" customHeight="1" s="32">
      <c r="D17" s="41" t="inlineStr">
        <is>
          <t>Measure</t>
        </is>
      </c>
      <c r="E17" s="41" t="inlineStr">
        <is>
          <t>Result</t>
        </is>
      </c>
      <c r="G17" s="45" t="inlineStr">
        <is>
          <t>1. A role description does not appoint a person.</t>
        </is>
      </c>
      <c r="H17" s="46" t="n"/>
    </row>
    <row r="18" ht="27.75" customHeight="1" s="32">
      <c r="D18" s="42" t="inlineStr">
        <is>
          <t>Communication activities</t>
        </is>
      </c>
      <c r="E18" s="43">
        <f>COUNTA('Communications Plan'!$A$7:$A$19)</f>
        <v/>
      </c>
      <c r="G18" s="45" t="inlineStr">
        <is>
          <t>2. Training completion does not by itself prove competence.</t>
        </is>
      </c>
      <c r="H18" s="46" t="n"/>
    </row>
    <row r="19" ht="27.75" customHeight="1" s="32">
      <c r="D19" s="42" t="inlineStr">
        <is>
          <t>Approved / active</t>
        </is>
      </c>
      <c r="E19" s="43">
        <f>COUNTIF('Communications Plan'!$K$7:$K$19,"Approved")+COUNTIF('Communications Plan'!$K$7:$K$19,"Active")</f>
        <v/>
      </c>
      <c r="G19" s="45" t="inlineStr">
        <is>
          <t>3. Competence does not itself confer delegated authority.</t>
        </is>
      </c>
      <c r="H19" s="46" t="n"/>
    </row>
    <row r="20" ht="27.75" customHeight="1" s="32">
      <c r="D20" s="42" t="inlineStr">
        <is>
          <t>Issued / completed</t>
        </is>
      </c>
      <c r="E20" s="43">
        <f>COUNTIF('Communications Plan'!$K$7:$K$19,"Issued")+COUNTIF('Communications Plan'!$K$7:$K$19,"Complete")</f>
        <v/>
      </c>
      <c r="G20" s="45" t="inlineStr">
        <is>
          <t>4. Communication activity needs retained evidence and an effectiveness measure.</t>
        </is>
      </c>
      <c r="H20" s="46" t="n"/>
    </row>
    <row r="21" ht="27.75" customHeight="1" s="32">
      <c r="D21" s="42" t="inlineStr">
        <is>
          <t>Target dates recorded</t>
        </is>
      </c>
      <c r="E21" s="43">
        <f>COUNT('Communications Plan'!$L$7:$L$19)</f>
        <v/>
      </c>
      <c r="G21" s="45" t="inlineStr">
        <is>
          <t>5. AIG-GOV-06 and approved Council delegations remain the authority source.</t>
        </is>
      </c>
      <c r="H21" s="46" t="n"/>
    </row>
    <row r="22" ht="27.75" customHeight="1" s="32">
      <c r="D22" s="42" t="inlineStr">
        <is>
          <t>Last-issued dates recorded</t>
        </is>
      </c>
      <c r="E22" s="43">
        <f>COUNT('Communications Plan'!$M$7:$M$19)</f>
        <v/>
      </c>
      <c r="G22" s="45" t="inlineStr">
        <is>
          <t>6. Specialist/statutory functions retain their existing authority.</t>
        </is>
      </c>
      <c r="H22" s="46" t="n"/>
    </row>
    <row r="23" ht="27.75" customHeight="1" s="32">
      <c r="D23" s="42" t="inlineStr">
        <is>
          <t>Communication QA complete</t>
        </is>
      </c>
      <c r="E23" s="43">
        <f>COUNTIF('Communications Plan'!$R$7:$R$19,"Complete")</f>
        <v/>
      </c>
      <c r="G23" s="45" t="inlineStr">
        <is>
          <t>7. Draft entries must not be represented as operating controls.</t>
        </is>
      </c>
      <c r="H23" s="46" t="n"/>
    </row>
    <row r="24"/>
    <row r="25"/>
    <row r="26" ht="15" customHeight="1" s="32">
      <c r="A26" s="37" t="inlineStr">
        <is>
          <t>Controlled implementation sequence</t>
        </is>
      </c>
    </row>
    <row r="27" ht="27" customHeight="1" s="32">
      <c r="A27" s="47" t="inlineStr">
        <is>
          <t>1. Approve the Terms of Reference, delegations, retained specialist authority and the role design in this workbook.</t>
        </is>
      </c>
      <c r="B27" s="48" t="n"/>
      <c r="C27" s="48" t="n"/>
      <c r="D27" s="48" t="n"/>
      <c r="E27" s="48" t="n"/>
      <c r="F27" s="48" t="n"/>
      <c r="G27" s="48" t="n"/>
      <c r="H27" s="46" t="n"/>
    </row>
    <row r="28" ht="27" customHeight="1" s="32">
      <c r="A28" s="47" t="inlineStr">
        <is>
          <t>2. Name role holders and deputies; retain appointment, conflict and authority evidence.</t>
        </is>
      </c>
      <c r="B28" s="48" t="n"/>
      <c r="C28" s="48" t="n"/>
      <c r="D28" s="48" t="n"/>
      <c r="E28" s="48" t="n"/>
      <c r="F28" s="48" t="n"/>
      <c r="G28" s="48" t="n"/>
      <c r="H28" s="46" t="n"/>
    </row>
    <row r="29" ht="27" customHeight="1" s="32">
      <c r="A29" s="47" t="inlineStr">
        <is>
          <t>3. Confirm target populations, required competency profiles, resources and assessment methods.</t>
        </is>
      </c>
      <c r="B29" s="48" t="n"/>
      <c r="C29" s="48" t="n"/>
      <c r="D29" s="48" t="n"/>
      <c r="E29" s="48" t="n"/>
      <c r="F29" s="48" t="n"/>
      <c r="G29" s="48" t="n"/>
      <c r="H29" s="46" t="n"/>
    </row>
    <row r="30" ht="27" customHeight="1" s="32">
      <c r="A30" s="47" t="inlineStr">
        <is>
          <t>4. Approve learning content, delivery owners, dates, accessibility, pass criteria and LMS/evidence arrangements.</t>
        </is>
      </c>
      <c r="B30" s="48" t="n"/>
      <c r="C30" s="48" t="n"/>
      <c r="D30" s="48" t="n"/>
      <c r="E30" s="48" t="n"/>
      <c r="F30" s="48" t="n"/>
      <c r="G30" s="48" t="n"/>
      <c r="H30" s="46" t="n"/>
    </row>
    <row r="31" ht="27" customHeight="1" s="32">
      <c r="A31" s="47" t="inlineStr">
        <is>
          <t>5. Assess role holders; record competence conclusions, gaps, supervised practice and remedial actions.</t>
        </is>
      </c>
      <c r="B31" s="48" t="n"/>
      <c r="C31" s="48" t="n"/>
      <c r="D31" s="48" t="n"/>
      <c r="E31" s="48" t="n"/>
      <c r="F31" s="48" t="n"/>
      <c r="G31" s="48" t="n"/>
      <c r="H31" s="46" t="n"/>
    </row>
    <row r="32" ht="27" customHeight="1" s="32">
      <c r="A32" s="47" t="inlineStr">
        <is>
          <t>6. Approve and issue communications in sequence with AIMS adoption and operational rollout.</t>
        </is>
      </c>
      <c r="B32" s="48" t="n"/>
      <c r="C32" s="48" t="n"/>
      <c r="D32" s="48" t="n"/>
      <c r="E32" s="48" t="n"/>
      <c r="F32" s="48" t="n"/>
      <c r="G32" s="48" t="n"/>
      <c r="H32" s="46" t="n"/>
    </row>
    <row r="33" ht="27" customHeight="1" s="32">
      <c r="A33" s="47" t="inlineStr">
        <is>
          <t>7. Review training, communication and role effectiveness using incidents, audit, performance and stakeholder feedback.</t>
        </is>
      </c>
      <c r="B33" s="48" t="n"/>
      <c r="C33" s="48" t="n"/>
      <c r="D33" s="48" t="n"/>
      <c r="E33" s="48" t="n"/>
      <c r="F33" s="48" t="n"/>
      <c r="G33" s="48" t="n"/>
      <c r="H33" s="46" t="n"/>
    </row>
    <row r="34"/>
    <row r="35" ht="15" customHeight="1" s="32">
      <c r="A35" s="49" t="inlineStr">
        <is>
          <t>Version</t>
        </is>
      </c>
      <c r="B35" s="49" t="inlineStr">
        <is>
          <t>Date</t>
        </is>
      </c>
      <c r="C35" s="49" t="inlineStr">
        <is>
          <t>Change</t>
        </is>
      </c>
      <c r="G35" s="49" t="inlineStr">
        <is>
          <t>Author / owner</t>
        </is>
      </c>
    </row>
    <row r="36" ht="37.5" customHeight="1" s="32">
      <c r="A36" s="50" t="inlineStr">
        <is>
          <t>1.0 draft</t>
        </is>
      </c>
      <c r="B36" s="51" t="n">
        <v>46241</v>
      </c>
      <c r="C36" s="50" t="inlineStr">
        <is>
          <t>Initial AIMS role-accountability, competence, learning, awareness and communications design aligned to AIG-GOV-06, AIG-OPS-01 and AIG-AIMS-03.</t>
        </is>
      </c>
      <c r="D36" s="48" t="n"/>
      <c r="E36" s="48" t="n"/>
      <c r="F36" s="46" t="n"/>
      <c r="G36" s="50" t="inlineStr">
        <is>
          <t>AI Governance Lead</t>
        </is>
      </c>
      <c r="H36" s="46" t="n"/>
    </row>
    <row r="37" s="32">
      <c r="A37" s="0" t="inlineStr">
        <is>
          <t>1.1 draft</t>
        </is>
      </c>
      <c r="B37" s="0" t="inlineStr">
        <is>
          <t>28 September 2026</t>
        </is>
      </c>
      <c r="C37" s="0" t="inlineStr">
        <is>
          <t>Make role-accountability QA colours match exact statuses.</t>
        </is>
      </c>
    </row>
    <row r="38" s="32">
      <c r="A38" s="31" t="inlineStr">
        <is>
          <t>1.2 draft</t>
        </is>
      </c>
      <c r="B38" s="31" t="inlineStr">
        <is>
          <t>29 September 2026</t>
        </is>
      </c>
      <c r="C38" s="31" t="inlineStr">
        <is>
          <t>QA remediation — applied findings QA-218, QA-220, QA-238, QA-240, QA-241, QA-251, QA-255, QA-280, QA-282, QA-284, QA-291 and decision D2 role names (see QA change log).</t>
        </is>
      </c>
      <c r="D38" s="74" t="n"/>
      <c r="E38" s="74" t="n"/>
      <c r="F38" s="74" t="n"/>
      <c r="G38" s="74" t="inlineStr">
        <is>
          <t>AI Governance Lead</t>
        </is>
      </c>
      <c r="H38" s="74" t="n"/>
    </row>
    <row r="39" s="32">
      <c r="A39" s="31" t="inlineStr">
        <is>
          <t>1.3 draft</t>
        </is>
      </c>
      <c r="B39" s="31" t="inlineStr">
        <is>
          <t>12 October 2026</t>
        </is>
      </c>
      <c r="C39" s="31" t="inlineStr">
        <is>
          <t>v3.9.10: Role Accountability adds ROL-20 Data Steward, who maintains data quality, lineage and the Information Asset Register link (AIG-INV-04 column AA) on behalf of the Data Owner. Summary counts extended to the new row. Proposed — for Council confirmation.</t>
        </is>
      </c>
      <c r="D39" s="74" t="n"/>
      <c r="E39" s="74" t="n"/>
      <c r="F39" s="74" t="n"/>
      <c r="G39" s="74" t="inlineStr">
        <is>
          <t>AI Governance Lead</t>
        </is>
      </c>
      <c r="H39" s="74" t="n"/>
    </row>
  </sheetData>
  <mergeCells count="27">
    <mergeCell ref="G21:H21"/>
    <mergeCell ref="A30:H30"/>
    <mergeCell ref="G36:H36"/>
    <mergeCell ref="G23:H23"/>
    <mergeCell ref="A1:H1"/>
    <mergeCell ref="G17:H17"/>
    <mergeCell ref="D6:E6"/>
    <mergeCell ref="G19:H19"/>
    <mergeCell ref="G6:H6"/>
    <mergeCell ref="G18:H18"/>
    <mergeCell ref="A27:H27"/>
    <mergeCell ref="A3:H3"/>
    <mergeCell ref="D16:E16"/>
    <mergeCell ref="A26:H26"/>
    <mergeCell ref="C35:F35"/>
    <mergeCell ref="A2:H2"/>
    <mergeCell ref="A33:H33"/>
    <mergeCell ref="A32:H32"/>
    <mergeCell ref="G35:H35"/>
    <mergeCell ref="A4:H4"/>
    <mergeCell ref="G20:H20"/>
    <mergeCell ref="A29:H29"/>
    <mergeCell ref="G16:H16"/>
    <mergeCell ref="A28:H28"/>
    <mergeCell ref="G22:H22"/>
    <mergeCell ref="A31:H31"/>
    <mergeCell ref="C36:F36"/>
  </mergeCells>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R26"/>
  <sheetViews>
    <sheetView showGridLines="0" workbookViewId="0">
      <selection activeCell="A1" sqref="A1"/>
    </sheetView>
  </sheetViews>
  <sheetFormatPr baseColWidth="8" defaultColWidth="9.47265625" defaultRowHeight="15"/>
  <cols>
    <col width="12.09000015258789" customWidth="1" style="31" min="1" max="1"/>
    <col width="29.65999984741211" customWidth="1" style="31" min="2" max="2"/>
    <col width="24.18000030517578" customWidth="1" style="31" min="3" max="3"/>
    <col width="37.36999893188477" customWidth="1" style="31" min="4" max="4"/>
    <col width="49.45999908447266" customWidth="1" style="31" min="5" max="5"/>
    <col width="42.86999893188477" customWidth="1" style="31" min="6" max="6"/>
    <col width="41.7599983215332" customWidth="1" style="31" min="7" max="7"/>
    <col width="24.18000030517578" customWidth="1" style="31" min="8" max="8"/>
    <col width="21.97999954223633" customWidth="1" style="31" min="9" max="9"/>
    <col width="19.79000091552734" customWidth="1" style="31" min="10" max="10"/>
    <col width="28.57999992370605" customWidth="1" style="31" min="11" max="11"/>
    <col width="26.3799991607666" customWidth="1" style="31" min="12" max="12"/>
    <col width="29.65999984741211" customWidth="1" style="31" min="13" max="13"/>
    <col width="14.28999996185303" customWidth="1" style="31" min="14" max="14"/>
    <col width="28.57999992370605" customWidth="1" style="31" min="15" max="15"/>
    <col width="27.47999954223633" customWidth="1" style="31" min="16" max="16"/>
    <col width="34.06999969482422" customWidth="1" style="31" min="17" max="17"/>
    <col width="21.97999954223633" customWidth="1" style="31" min="18" max="18"/>
  </cols>
  <sheetData>
    <row r="1" ht="31.5" customHeight="1" s="32">
      <c r="A1" s="33" t="inlineStr">
        <is>
          <t>The Council — AIMS Role Accountability and Appointment Register</t>
        </is>
      </c>
    </row>
    <row r="2" ht="21.75" customHeight="1" s="32">
      <c r="A2" s="34" t="inlineStr">
        <is>
          <t>AIG-AIMS-04  ·  v1.3 draft  ·  Draft for Council review  ·  OFFICIAL  ·  ISO/IEC 42001:2023</t>
        </is>
      </c>
    </row>
    <row r="3" ht="24" customHeight="1" s="32">
      <c r="A3" s="35" t="inlineStr">
        <is>
          <t>Purpose: define proposed accountability, responsibilities, authority boundaries, interfaces, competence and appointment evidence for AIMS roles and bodies.</t>
        </is>
      </c>
    </row>
    <row r="4" ht="28.5" customHeight="1" s="32">
      <c r="A4" s="36" t="inlineStr">
        <is>
          <t>Current position: role descriptions are proposed design only. Complete named appointment, deputy, evidence and review fields only after formal authority is confirmed; approved Council delegations and specialist responsibilities prevail.</t>
        </is>
      </c>
    </row>
    <row r="5"/>
    <row r="6" ht="43.5" customHeight="1" s="32">
      <c r="A6" s="52" t="inlineStr">
        <is>
          <t>Role ID</t>
        </is>
      </c>
      <c r="B6" s="52" t="inlineStr">
        <is>
          <t>Role / body</t>
        </is>
      </c>
      <c r="C6" s="52" t="inlineStr">
        <is>
          <t>AIMS layer</t>
        </is>
      </c>
      <c r="D6" s="52" t="inlineStr">
        <is>
          <t>Purpose / accountability</t>
        </is>
      </c>
      <c r="E6" s="52" t="inlineStr">
        <is>
          <t>Key responsibilities</t>
        </is>
      </c>
      <c r="F6" s="52" t="inlineStr">
        <is>
          <t>Decision / approval authority</t>
        </is>
      </c>
      <c r="G6" s="52" t="inlineStr">
        <is>
          <t>Consultation / escalation</t>
        </is>
      </c>
      <c r="H6" s="52" t="inlineStr">
        <is>
          <t>Named appointee</t>
        </is>
      </c>
      <c r="I6" s="52" t="inlineStr">
        <is>
          <t>Deputy</t>
        </is>
      </c>
      <c r="J6" s="52" t="inlineStr">
        <is>
          <t>Appointment status</t>
        </is>
      </c>
      <c r="K6" s="52" t="inlineStr">
        <is>
          <t>Appointment evidence</t>
        </is>
      </c>
      <c r="L6" s="52" t="inlineStr">
        <is>
          <t>Required competency level</t>
        </is>
      </c>
      <c r="M6" s="52" t="inlineStr">
        <is>
          <t>Training pathway</t>
        </is>
      </c>
      <c r="N6" s="52" t="inlineStr">
        <is>
          <t>Review date</t>
        </is>
      </c>
      <c r="O6" s="52" t="inlineStr">
        <is>
          <t>Related suite references</t>
        </is>
      </c>
      <c r="P6" s="52" t="inlineStr">
        <is>
          <t>ISO / SoA links</t>
        </is>
      </c>
      <c r="Q6" s="52" t="inlineStr">
        <is>
          <t>Role record / source</t>
        </is>
      </c>
      <c r="R6" s="52" t="inlineStr">
        <is>
          <t>Record QA</t>
        </is>
      </c>
    </row>
    <row r="7" ht="32.25" customHeight="1" s="32">
      <c r="A7" s="53" t="inlineStr">
        <is>
          <t>ROL-01</t>
        </is>
      </c>
      <c r="B7" s="54" t="inlineStr">
        <is>
          <t>Executive Sponsor</t>
        </is>
      </c>
      <c r="C7" s="54" t="inlineStr">
        <is>
          <t>Strategic oversight</t>
        </is>
      </c>
      <c r="D7" s="54" t="inlineStr">
        <is>
          <t>Senior accountability, sponsorship and resources for the AIMS.</t>
        </is>
      </c>
      <c r="E7" s="54" t="inlineStr">
        <is>
          <t>Champion responsible AI; secure adoption and resources; hold leadership to account; resolve strategic barriers; receive escalations and management-review outputs.</t>
        </is>
      </c>
      <c r="F7" s="54" t="inlineStr">
        <is>
          <t>Sponsors formal adoption and decisions reserved under Council delegations; does not replace statutory or specialist authority.</t>
        </is>
      </c>
      <c r="G7" s="54" t="inlineStr">
        <is>
          <t>Escalate critical matters to Executive Leadership and the AI Assurance Board; consult Monitoring Officer, SIRO, DPO and other control owners.</t>
        </is>
      </c>
      <c r="H7" s="55" t="n"/>
      <c r="I7" s="55" t="n"/>
      <c r="J7" s="55" t="inlineStr">
        <is>
          <t>Proposed</t>
        </is>
      </c>
      <c r="K7" s="55" t="n"/>
      <c r="L7" s="54" t="inlineStr">
        <is>
          <t>Level 5 — AI Governance Leader</t>
        </is>
      </c>
      <c r="M7" s="54" t="inlineStr">
        <is>
          <t>TRN-01, TRN-03, TRN-09, TRN-10</t>
        </is>
      </c>
      <c r="N7" s="56" t="n"/>
      <c r="O7" s="54" t="inlineStr">
        <is>
          <t>AIG-GOV-02, AIG-OPS-05, AIG-OPS-06, AIG-GOV-06, AIG-AIMS-01, AIG-AIMS-03</t>
        </is>
      </c>
      <c r="P7" s="54" t="inlineStr">
        <is>
          <t>ISO 5.1, 5.3, 7.1; A.2.2, A.3.2</t>
        </is>
      </c>
      <c r="Q7" s="54" t="inlineStr">
        <is>
          <t>AIG-GOV-06 proposed governance; Playbook roles</t>
        </is>
      </c>
      <c r="R7" s="54">
        <f>IF(AND(A7&lt;&gt;"",B7&lt;&gt;"",C7&lt;&gt;"",D7&lt;&gt;"",E7&lt;&gt;"",F7&lt;&gt;"",G7&lt;&gt;"",J7&lt;&gt;"",L7&lt;&gt;"",M7&lt;&gt;"",O7&lt;&gt;"",P7&lt;&gt;"",Q7&lt;&gt;""),IF(J7="Proposed","Complete",IF(AND(H7&lt;&gt;"",K7&lt;&gt;"",N7&lt;&gt;""),"Complete","Appointment evidence incomplete")),"Incomplete")</f>
        <v/>
      </c>
    </row>
    <row r="8" ht="32.25" customHeight="1" s="32">
      <c r="A8" s="53" t="inlineStr">
        <is>
          <t>ROL-02</t>
        </is>
      </c>
      <c r="B8" s="54" t="inlineStr">
        <is>
          <t>AI Assurance Board</t>
        </is>
      </c>
      <c r="C8" s="54" t="inlineStr">
        <is>
          <t>Strategic oversight</t>
        </is>
      </c>
      <c r="D8" s="54" t="inlineStr">
        <is>
          <t>Collective strategic oversight and higher-risk decision-making.</t>
        </is>
      </c>
      <c r="E8" s="54" t="inlineStr">
        <is>
          <t>Provide assurance and endorsement on strategic direction and higher-risk cases; oversee risk, performance, exceptions and improvement; sponsor management review and assurance responses.</t>
        </is>
      </c>
      <c r="F8" s="54" t="inlineStr">
        <is>
          <t>Proposed: Assurance and endorsement of high-risk cases, with approval remaining with the relevant delivery forum under delegation; Critical escalated to Executive Sponsor/Leadership, subject to approved Terms of Reference and delegations.</t>
        </is>
      </c>
      <c r="G8" s="54" t="inlineStr">
        <is>
          <t>Receives Working Group recommendations and critical escalations; refers specialist matters to the relevant accountable function.</t>
        </is>
      </c>
      <c r="H8" s="55" t="n"/>
      <c r="I8" s="55" t="n"/>
      <c r="J8" s="55" t="inlineStr">
        <is>
          <t>Proposed</t>
        </is>
      </c>
      <c r="K8" s="55" t="n"/>
      <c r="L8" s="54" t="inlineStr">
        <is>
          <t>Level 5 — AI Governance Leader</t>
        </is>
      </c>
      <c r="M8" s="54" t="inlineStr">
        <is>
          <t>TRN-01, TRN-09, TRN-10</t>
        </is>
      </c>
      <c r="N8" s="56" t="n"/>
      <c r="O8" s="54" t="inlineStr">
        <is>
          <t>AIG-DEC-03, AIG-OPS-05, AIG-OPS-06, AIG-GOV-06, AIG-AIMS-01, AIG-AIMS-03</t>
        </is>
      </c>
      <c r="P8" s="54" t="inlineStr">
        <is>
          <t>ISO 5.1, 5.3, 9.3; A.3.2</t>
        </is>
      </c>
      <c r="Q8" s="54" t="inlineStr">
        <is>
          <t>AIG-GOV-06 Terms of Reference</t>
        </is>
      </c>
      <c r="R8" s="54">
        <f>IF(AND(A8&lt;&gt;"",B8&lt;&gt;"",C8&lt;&gt;"",D8&lt;&gt;"",E8&lt;&gt;"",F8&lt;&gt;"",G8&lt;&gt;"",J8&lt;&gt;"",L8&lt;&gt;"",M8&lt;&gt;"",O8&lt;&gt;"",P8&lt;&gt;"",Q8&lt;&gt;""),IF(J8="Proposed","Complete",IF(AND(H8&lt;&gt;"",K8&lt;&gt;"",N8&lt;&gt;""),"Complete","Appointment evidence incomplete")),"Incomplete")</f>
        <v/>
      </c>
    </row>
    <row r="9" ht="32.25" customHeight="1" s="32">
      <c r="A9" s="53" t="inlineStr">
        <is>
          <t>ROL-03</t>
        </is>
      </c>
      <c r="B9" s="54" t="inlineStr">
        <is>
          <t>AI Governance Working Group</t>
        </is>
      </c>
      <c r="C9" s="54" t="inlineStr">
        <is>
          <t>Operational governance</t>
        </is>
      </c>
      <c r="D9" s="54" t="inlineStr">
        <is>
          <t>Cross-functional coordination, triage and medium-risk assurance.</t>
        </is>
      </c>
      <c r="E9" s="54" t="inlineStr">
        <is>
          <t>Coordinate intake, AGPI, register and assessments; scrutinise evidence; assure and recommend on medium-risk cases; recommend high/critical decisions; track conditions and actions.</t>
        </is>
      </c>
      <c r="F9" s="54" t="inlineStr">
        <is>
          <t>Proposed: Assurance and recommendation on medium-risk cases, with approval remaining with the relevant delivery forum under delegation; recommends High/Critical decisions.</t>
        </is>
      </c>
      <c r="G9" s="54" t="inlineStr">
        <is>
          <t>Escalates High to the Board and Critical to Board/Executive Sponsor; involves control functions whenever their authority is engaged.</t>
        </is>
      </c>
      <c r="H9" s="55" t="n"/>
      <c r="I9" s="55" t="n"/>
      <c r="J9" s="55" t="inlineStr">
        <is>
          <t>Proposed</t>
        </is>
      </c>
      <c r="K9" s="55" t="n"/>
      <c r="L9" s="54" t="inlineStr">
        <is>
          <t>Level 4 — AI Specialist</t>
        </is>
      </c>
      <c r="M9" s="54" t="inlineStr">
        <is>
          <t>TRN-01, TRN-04, TRN-05, TRN-09, TRN-10</t>
        </is>
      </c>
      <c r="N9" s="56" t="n"/>
      <c r="O9" s="54" t="inlineStr">
        <is>
          <t>AIG-INV-03, AIG-INV-04, AIG-ASS-01, AIG-ASS-02, AIG-ASS-03 and AIG-ASS-04, AIG-DEC-03, AIG-GOV-06, AIG-AIMS-03</t>
        </is>
      </c>
      <c r="P9" s="54" t="inlineStr">
        <is>
          <t>ISO 5.3, 8.1; A.3.2</t>
        </is>
      </c>
      <c r="Q9" s="54" t="inlineStr">
        <is>
          <t>AIG-GOV-06 Terms of Reference</t>
        </is>
      </c>
      <c r="R9" s="54">
        <f>IF(AND(A9&lt;&gt;"",B9&lt;&gt;"",C9&lt;&gt;"",D9&lt;&gt;"",E9&lt;&gt;"",F9&lt;&gt;"",G9&lt;&gt;"",J9&lt;&gt;"",L9&lt;&gt;"",M9&lt;&gt;"",O9&lt;&gt;"",P9&lt;&gt;"",Q9&lt;&gt;""),IF(J9="Proposed","Complete",IF(AND(H9&lt;&gt;"",K9&lt;&gt;"",N9&lt;&gt;""),"Complete","Appointment evidence incomplete")),"Incomplete")</f>
        <v/>
      </c>
    </row>
    <row r="10" ht="32.25" customHeight="1" s="32">
      <c r="A10" s="53" t="inlineStr">
        <is>
          <t>ROL-04</t>
        </is>
      </c>
      <c r="B10" s="54" t="inlineStr">
        <is>
          <t>AI Assurance Board Chair</t>
        </is>
      </c>
      <c r="C10" s="54" t="inlineStr">
        <is>
          <t>Strategic and operational interface</t>
        </is>
      </c>
      <c r="D10" s="54" t="inlineStr">
        <is>
          <t>Lead the Council’s AI direction and chair strategic governance.</t>
        </is>
      </c>
      <c r="E10" s="54" t="inlineStr">
        <is>
          <t>Set direction; chair the Board; sponsor coherent prioritisation; ensure decisions and escalations reach the correct authority; promote capability and responsible innovation.</t>
        </is>
      </c>
      <c r="F10" s="54" t="inlineStr">
        <is>
          <t>Chairing and recommendation authority only until delegations and Terms of Reference are formally approved. Chair to be confirmed by the Council (proposed: Executive Sponsor).</t>
        </is>
      </c>
      <c r="G10" s="54" t="inlineStr">
        <is>
          <t>Works with Executive Sponsor and AI Governance Lead; escalates authority, resource and systemic-risk issues.</t>
        </is>
      </c>
      <c r="H10" s="55" t="n"/>
      <c r="I10" s="55" t="n"/>
      <c r="J10" s="55" t="inlineStr">
        <is>
          <t>Proposed</t>
        </is>
      </c>
      <c r="K10" s="55" t="n"/>
      <c r="L10" s="54" t="inlineStr">
        <is>
          <t>Level 5 — AI Governance Leader</t>
        </is>
      </c>
      <c r="M10" s="54" t="inlineStr">
        <is>
          <t>TRN-01, TRN-03, TRN-09, TRN-10</t>
        </is>
      </c>
      <c r="N10" s="56" t="n"/>
      <c r="O10" s="54" t="inlineStr">
        <is>
          <t>AIG-GOV-02, AIG-OPS-05, AIG-OPS-06, AIG-GOV-06, AIG-AIMS-01</t>
        </is>
      </c>
      <c r="P10" s="54" t="inlineStr">
        <is>
          <t>ISO 5.1, 5.3, 7.4; A.3.2</t>
        </is>
      </c>
      <c r="Q10" s="54" t="inlineStr">
        <is>
          <t>Playbook governance roles; AIG-GOV-06</t>
        </is>
      </c>
      <c r="R10" s="54">
        <f>IF(AND(A10&lt;&gt;"",B10&lt;&gt;"",C10&lt;&gt;"",D10&lt;&gt;"",E10&lt;&gt;"",F10&lt;&gt;"",G10&lt;&gt;"",J10&lt;&gt;"",L10&lt;&gt;"",M10&lt;&gt;"",O10&lt;&gt;"",P10&lt;&gt;"",Q10&lt;&gt;""),IF(J10="Proposed","Complete",IF(AND(H10&lt;&gt;"",K10&lt;&gt;"",N10&lt;&gt;""),"Complete","Appointment evidence incomplete")),"Incomplete")</f>
        <v/>
      </c>
    </row>
    <row r="11" ht="32.25" customHeight="1" s="32">
      <c r="A11" s="53" t="inlineStr">
        <is>
          <t>ROL-05</t>
        </is>
      </c>
      <c r="B11" s="54" t="inlineStr">
        <is>
          <t>AI Governance Lead</t>
        </is>
      </c>
      <c r="C11" s="54" t="inlineStr">
        <is>
          <t>AIMS management</t>
        </is>
      </c>
      <c r="D11" s="54" t="inlineStr">
        <is>
          <t>Operate and continually improve the AIMS on behalf of accountable leadership.</t>
        </is>
      </c>
      <c r="E11" s="54" t="inlineStr">
        <is>
          <t>Maintain scope, policy, SoA, registers, triage, governance workflow, metrics, evidence, training design, reporting, audits, management review and corrective actions.</t>
        </is>
      </c>
      <c r="F11" s="54" t="inlineStr">
        <is>
          <t>Process administration and recommendation authority; no independent power to approve cases or accept risk outside confirmed delegation.</t>
        </is>
      </c>
      <c r="G11" s="54" t="inlineStr">
        <is>
          <t>Escalates material risks, overdue actions, exceptions and evidence gaps to the relevant owner, Working Group, Board or Executive Sponsor.</t>
        </is>
      </c>
      <c r="H11" s="55" t="n"/>
      <c r="I11" s="55" t="n"/>
      <c r="J11" s="55" t="inlineStr">
        <is>
          <t>Proposed</t>
        </is>
      </c>
      <c r="K11" s="55" t="n"/>
      <c r="L11" s="54" t="inlineStr">
        <is>
          <t>Level 5 — AI Governance Leader</t>
        </is>
      </c>
      <c r="M11" s="54" t="inlineStr">
        <is>
          <t>TRN-01 to TRN-12 as applicable</t>
        </is>
      </c>
      <c r="N11" s="56" t="n"/>
      <c r="O11" s="54" t="inlineStr">
        <is>
          <t>AIG-GOV-01 to AIG-GOV-03, AIG-GOV-06, AIG-INV-01, AIG-INV-03, AIG-INV-04, AIG-ASS-01 to AIG-ASS-11, AIG-DEC-03, AIG-OPS-01, AIG-OPS-03, AIG-OPS-05, AIG-OPS-06, AIG-AIMS-01 to AIG-AIMS-04</t>
        </is>
      </c>
      <c r="P11" s="54" t="inlineStr">
        <is>
          <t>ISO 4.4, 5.3, 7.2-7.5, 9-10; A.3.2</t>
        </is>
      </c>
      <c r="Q11" s="54" t="inlineStr">
        <is>
          <t>Playbook roles; AIG-GOV-06 and AIG-AIMS-03 IMP-05/IMP-09</t>
        </is>
      </c>
      <c r="R11" s="54">
        <f>IF(AND(A11&lt;&gt;"",B11&lt;&gt;"",C11&lt;&gt;"",D11&lt;&gt;"",E11&lt;&gt;"",F11&lt;&gt;"",G11&lt;&gt;"",J11&lt;&gt;"",L11&lt;&gt;"",M11&lt;&gt;"",O11&lt;&gt;"",P11&lt;&gt;"",Q11&lt;&gt;""),IF(J11="Proposed","Complete",IF(AND(H11&lt;&gt;"",K11&lt;&gt;"",N11&lt;&gt;""),"Complete","Appointment evidence incomplete")),"Incomplete")</f>
        <v/>
      </c>
    </row>
    <row r="12" ht="32.25" customHeight="1" s="32">
      <c r="A12" s="53" t="inlineStr">
        <is>
          <t>ROL-06</t>
        </is>
      </c>
      <c r="B12" s="54" t="inlineStr">
        <is>
          <t>Governance Secretariat</t>
        </is>
      </c>
      <c r="C12" s="54" t="inlineStr">
        <is>
          <t>Operational governance</t>
        </is>
      </c>
      <c r="D12" s="54" t="inlineStr">
        <is>
          <t>Maintain reliable governance records and action tracking.</t>
        </is>
      </c>
      <c r="E12" s="54" t="inlineStr">
        <is>
          <t>Schedule meetings; manage agendas, papers, conflicts, minutes, decisions, conditions, action logs and links to the AI Register and its Evidence index.</t>
        </is>
      </c>
      <c r="F12" s="54" t="inlineStr">
        <is>
          <t>Administrative control only; cannot approve cases, close conditions or vary recorded decisions without authorised instruction.</t>
        </is>
      </c>
      <c r="G12" s="54" t="inlineStr">
        <is>
          <t>Escalates missing papers, overdue actions, conflicts and decision-record inconsistencies to the Chair and AI Governance Lead.</t>
        </is>
      </c>
      <c r="H12" s="55" t="n"/>
      <c r="I12" s="55" t="n"/>
      <c r="J12" s="55" t="inlineStr">
        <is>
          <t>Proposed</t>
        </is>
      </c>
      <c r="K12" s="55" t="n"/>
      <c r="L12" s="54" t="inlineStr">
        <is>
          <t>Level 2 — AI User / Practitioner</t>
        </is>
      </c>
      <c r="M12" s="54" t="inlineStr">
        <is>
          <t>TRN-01, TRN-04, TRN-09</t>
        </is>
      </c>
      <c r="N12" s="56" t="n"/>
      <c r="O12" s="54" t="inlineStr">
        <is>
          <t>AIG-INV-04, AIG-DEC-03, AIG-OPS-05, AIG-GOV-06</t>
        </is>
      </c>
      <c r="P12" s="54" t="inlineStr">
        <is>
          <t>ISO 7.5; A.3.2, A.6.2.3</t>
        </is>
      </c>
      <c r="Q12" s="54" t="inlineStr">
        <is>
          <t>AIG-GOV-06 secretariat responsibilities</t>
        </is>
      </c>
      <c r="R12" s="54">
        <f>IF(AND(A12&lt;&gt;"",B12&lt;&gt;"",C12&lt;&gt;"",D12&lt;&gt;"",E12&lt;&gt;"",F12&lt;&gt;"",G12&lt;&gt;"",J12&lt;&gt;"",L12&lt;&gt;"",M12&lt;&gt;"",O12&lt;&gt;"",P12&lt;&gt;"",Q12&lt;&gt;""),IF(J12="Proposed","Complete",IF(AND(H12&lt;&gt;"",K12&lt;&gt;"",N12&lt;&gt;""),"Complete","Appointment evidence incomplete")),"Incomplete")</f>
        <v/>
      </c>
    </row>
    <row r="13" ht="42.75" customHeight="1" s="32">
      <c r="A13" s="53" t="inlineStr">
        <is>
          <t>ROL-07</t>
        </is>
      </c>
      <c r="B13" s="54" t="inlineStr">
        <is>
          <t>Service Owner</t>
        </is>
      </c>
      <c r="C13" s="54" t="inlineStr">
        <is>
          <t>Service accountability</t>
        </is>
      </c>
      <c r="D13" s="54" t="inlineStr">
        <is>
          <t>Accountable owner for service outcomes and proportionate governance of an AI use.</t>
        </is>
      </c>
      <c r="E13" s="54" t="inlineStr">
        <is>
          <t>Register the use; ensure assessments and controls; own risk and benefits; resource human oversight; approve operational procedures; monitor performance; report incidents and material change.</t>
        </is>
      </c>
      <c r="F13" s="54" t="inlineStr">
        <is>
          <t>Proposed: Low-risk decision by the officer or forum with confirmed delegation (Service Owner/Service Manager only if delegated), recorded in AIG-DEC-03 or approved minutes; the AI Register records the reference. Cannot override specialist or higher-tier controls.</t>
        </is>
      </c>
      <c r="G13" s="54" t="inlineStr">
        <is>
          <t>Escalates Medium/High/Critical cases and unresolved specialist findings; consults users and affected groups proportionately.</t>
        </is>
      </c>
      <c r="H13" s="55" t="n"/>
      <c r="I13" s="55" t="n"/>
      <c r="J13" s="55" t="inlineStr">
        <is>
          <t>Proposed</t>
        </is>
      </c>
      <c r="K13" s="55" t="n"/>
      <c r="L13" s="54" t="inlineStr">
        <is>
          <t>Level 3 — AI Owner / Manager</t>
        </is>
      </c>
      <c r="M13" s="54" t="inlineStr">
        <is>
          <t>TRN-01, TRN-03, TRN-04, TRN-05, TRN-10</t>
        </is>
      </c>
      <c r="N13" s="56" t="n"/>
      <c r="O13" s="54" t="inlineStr">
        <is>
          <t>AIG-INV-03, AIG-INV-04, AIG-ASS-01, AIG-ASS-02, AIG-ASS-03, AIG-ASS-04, AIG-ASS-05, AIG-ASS-06 and AIG-ASS-07, AIG-DEC-03, AIG-OPS-03, AIG-OPS-01</t>
        </is>
      </c>
      <c r="P13" s="54" t="inlineStr">
        <is>
          <t>ISO 5.3, 8.1; A.5.4, A.9.2</t>
        </is>
      </c>
      <c r="Q13" s="54" t="inlineStr">
        <is>
          <t>Playbook Service Owner; AIG-GOV-06 decision rights</t>
        </is>
      </c>
      <c r="R13" s="54">
        <f>IF(AND(A13&lt;&gt;"",B13&lt;&gt;"",C13&lt;&gt;"",D13&lt;&gt;"",E13&lt;&gt;"",F13&lt;&gt;"",G13&lt;&gt;"",J13&lt;&gt;"",L13&lt;&gt;"",M13&lt;&gt;"",O13&lt;&gt;"",P13&lt;&gt;"",Q13&lt;&gt;""),IF(J13="Proposed","Complete",IF(AND(H13&lt;&gt;"",K13&lt;&gt;"",N13&lt;&gt;""),"Complete","Appointment evidence incomplete")),"Incomplete")</f>
        <v/>
      </c>
    </row>
    <row r="14" ht="32.25" customHeight="1" s="32">
      <c r="A14" s="53" t="inlineStr">
        <is>
          <t>ROL-08</t>
        </is>
      </c>
      <c r="B14" s="54" t="inlineStr">
        <is>
          <t>AI System Owner / Operational Lead</t>
        </is>
      </c>
      <c r="C14" s="54" t="inlineStr">
        <is>
          <t>Operational delivery</t>
        </is>
      </c>
      <c r="D14" s="54" t="inlineStr">
        <is>
          <t>Day-to-day accountability for safe, controlled system operation.</t>
        </is>
      </c>
      <c r="E14" s="54" t="inlineStr">
        <is>
          <t>Maintain operating instructions, oversight, monitoring, access, logs, changes, thresholds, incidents, continuity and retirement evidence; keep the Service Owner informed.</t>
        </is>
      </c>
      <c r="F14" s="54" t="inlineStr">
        <is>
          <t>Operational action within approved limits; may pause or invoke rollback where authorised by the deployment/incident plan.</t>
        </is>
      </c>
      <c r="G14" s="54" t="inlineStr">
        <is>
          <t>Escalates threshold breaches, unapproved change, incidents, complaints and control failure to Service Owner and relevant specialists.</t>
        </is>
      </c>
      <c r="H14" s="55" t="n"/>
      <c r="I14" s="55" t="n"/>
      <c r="J14" s="55" t="inlineStr">
        <is>
          <t>Proposed</t>
        </is>
      </c>
      <c r="K14" s="55" t="n"/>
      <c r="L14" s="54" t="inlineStr">
        <is>
          <t>Level 3 — AI Owner / Manager</t>
        </is>
      </c>
      <c r="M14" s="54" t="inlineStr">
        <is>
          <t>TRN-01, TRN-02, TRN-04, TRN-10, TRN-11</t>
        </is>
      </c>
      <c r="N14" s="56" t="n"/>
      <c r="O14" s="54" t="inlineStr">
        <is>
          <t>AIG-INV-04, AIG-ASS-09, AIG-OPS-03, AIG-ASS-11, AIG-OPS-01</t>
        </is>
      </c>
      <c r="P14" s="54" t="inlineStr">
        <is>
          <t>ISO 8.1, 9.1; A.6.2.6-A.6.2.8, A.9.2</t>
        </is>
      </c>
      <c r="Q14" s="54" t="inlineStr">
        <is>
          <t>Playbook lifecycle; AIG-OPS-01 rollout roles</t>
        </is>
      </c>
      <c r="R14" s="54">
        <f>IF(AND(A14&lt;&gt;"",B14&lt;&gt;"",C14&lt;&gt;"",D14&lt;&gt;"",E14&lt;&gt;"",F14&lt;&gt;"",G14&lt;&gt;"",J14&lt;&gt;"",L14&lt;&gt;"",M14&lt;&gt;"",O14&lt;&gt;"",P14&lt;&gt;"",Q14&lt;&gt;""),IF(J14="Proposed","Complete",IF(AND(H14&lt;&gt;"",K14&lt;&gt;"",N14&lt;&gt;""),"Complete","Appointment evidence incomplete")),"Incomplete")</f>
        <v/>
      </c>
    </row>
    <row r="15" ht="32.25" customHeight="1" s="32">
      <c r="A15" s="53" t="inlineStr">
        <is>
          <t>ROL-09</t>
        </is>
      </c>
      <c r="B15" s="54" t="inlineStr">
        <is>
          <t>Product / Technical Delivery Lead</t>
        </is>
      </c>
      <c r="C15" s="54" t="inlineStr">
        <is>
          <t>Technical delivery</t>
        </is>
      </c>
      <c r="D15" s="54" t="inlineStr">
        <is>
          <t>Ensure technical design, testing, release and change evidence meets approved requirements.</t>
        </is>
      </c>
      <c r="E15" s="54" t="inlineStr">
        <is>
          <t>Document system design; perform verification/validation; manage environments and release; implement monitoring, security and rollback controls; disclose limitations and dependencies.</t>
        </is>
      </c>
      <c r="F15" s="54" t="inlineStr">
        <is>
          <t>Technical recommendation and release execution within approved change and deployment authority; no governance risk acceptance.</t>
        </is>
      </c>
      <c r="G15" s="54" t="inlineStr">
        <is>
          <t>Escalates failed tests, limitations, security issues, drift and material change to System/Service Owner and governance functions.</t>
        </is>
      </c>
      <c r="H15" s="55" t="n"/>
      <c r="I15" s="55" t="n"/>
      <c r="J15" s="55" t="inlineStr">
        <is>
          <t>Proposed</t>
        </is>
      </c>
      <c r="K15" s="55" t="n"/>
      <c r="L15" s="54" t="inlineStr">
        <is>
          <t>Level 4 — AI Specialist</t>
        </is>
      </c>
      <c r="M15" s="54" t="inlineStr">
        <is>
          <t>TRN-01, TRN-02, TRN-05, TRN-07, TRN-11</t>
        </is>
      </c>
      <c r="N15" s="56" t="n"/>
      <c r="O15" s="54" t="inlineStr">
        <is>
          <t>AIG-ASS-02, AIG-ASS-09, AIG-ASS-11, AIG-OPS-01</t>
        </is>
      </c>
      <c r="P15" s="54" t="inlineStr">
        <is>
          <t>ISO 8.1; A.6.2.2-A.6.2.8, A.7.2-A.7.6</t>
        </is>
      </c>
      <c r="Q15" s="54" t="inlineStr">
        <is>
          <t>AIG-OPS-01 technical/delivery role; Model Card</t>
        </is>
      </c>
      <c r="R15" s="54">
        <f>IF(AND(A15&lt;&gt;"",B15&lt;&gt;"",C15&lt;&gt;"",D15&lt;&gt;"",E15&lt;&gt;"",F15&lt;&gt;"",G15&lt;&gt;"",J15&lt;&gt;"",L15&lt;&gt;"",M15&lt;&gt;"",O15&lt;&gt;"",P15&lt;&gt;"",Q15&lt;&gt;""),IF(J15="Proposed","Complete",IF(AND(H15&lt;&gt;"",K15&lt;&gt;"",N15&lt;&gt;""),"Complete","Appointment evidence incomplete")),"Incomplete")</f>
        <v/>
      </c>
    </row>
    <row r="16" ht="32.25" customHeight="1" s="32">
      <c r="A16" s="53" t="inlineStr">
        <is>
          <t>ROL-10</t>
        </is>
      </c>
      <c r="B16" s="54" t="inlineStr">
        <is>
          <t>Data Owner / Data Governance</t>
        </is>
      </c>
      <c r="C16" s="54" t="inlineStr">
        <is>
          <t>Specialist control</t>
        </is>
      </c>
      <c r="D16" s="54" t="inlineStr">
        <is>
          <t>Authorise and assure appropriate data use, quality and stewardship.</t>
        </is>
      </c>
      <c r="E16" s="54" t="inlineStr">
        <is>
          <t>Confirm data ownership, provenance, lawful/approved access, quality, representativeness, lineage, retention and monitoring; resolve data-control exceptions.</t>
        </is>
      </c>
      <c r="F16" s="54" t="inlineStr">
        <is>
          <t>Retains data-governance authority under Council policy; can withhold data approval where requirements are unmet.</t>
        </is>
      </c>
      <c r="G16" s="54" t="inlineStr">
        <is>
          <t>Escalates material data risks to Service Owner, DPO/IG, SIRO and governance bodies as appropriate.</t>
        </is>
      </c>
      <c r="H16" s="55" t="n"/>
      <c r="I16" s="55" t="n"/>
      <c r="J16" s="55" t="inlineStr">
        <is>
          <t>Proposed</t>
        </is>
      </c>
      <c r="K16" s="55" t="n"/>
      <c r="L16" s="54" t="inlineStr">
        <is>
          <t>Level 4 — AI Specialist</t>
        </is>
      </c>
      <c r="M16" s="54" t="inlineStr">
        <is>
          <t>TRN-01, TRN-05, TRN-06, TRN-11</t>
        </is>
      </c>
      <c r="N16" s="56" t="n"/>
      <c r="O16" s="54" t="inlineStr">
        <is>
          <t>AIG-ASS-02, AIG-ASS-04, AIG-ASS-05, AIG-ASS-09</t>
        </is>
      </c>
      <c r="P16" s="54" t="inlineStr">
        <is>
          <t>ISO 5.3, 8.1; A.4.3, A.7.2-A.7.6</t>
        </is>
      </c>
      <c r="Q16" s="54" t="inlineStr">
        <is>
          <t>Playbook data roles and lifecycle controls</t>
        </is>
      </c>
      <c r="R16" s="54">
        <f>IF(AND(A16&lt;&gt;"",B16&lt;&gt;"",C16&lt;&gt;"",D16&lt;&gt;"",E16&lt;&gt;"",F16&lt;&gt;"",G16&lt;&gt;"",J16&lt;&gt;"",L16&lt;&gt;"",M16&lt;&gt;"",O16&lt;&gt;"",P16&lt;&gt;"",Q16&lt;&gt;""),IF(J16="Proposed","Complete",IF(AND(H16&lt;&gt;"",K16&lt;&gt;"",N16&lt;&gt;""),"Complete","Appointment evidence incomplete")),"Incomplete")</f>
        <v/>
      </c>
    </row>
    <row r="17" ht="32.25" customHeight="1" s="32">
      <c r="A17" s="53" t="inlineStr">
        <is>
          <t>ROL-11</t>
        </is>
      </c>
      <c r="B17" s="54" t="inlineStr">
        <is>
          <t>DPO / Information Governance</t>
        </is>
      </c>
      <c r="C17" s="54" t="inlineStr">
        <is>
          <t>Specialist control</t>
        </is>
      </c>
      <c r="D17" s="54" t="inlineStr">
        <is>
          <t>Provide independent data-protection and information-governance advice and assurance.</t>
        </is>
      </c>
      <c r="E17" s="54" t="inlineStr">
        <is>
          <t>Determine DPIA needs; advise on lawful basis, transparency, rights, minimisation, retention, sharing and high-risk processing; maintain statutory escalation where applicable.</t>
        </is>
      </c>
      <c r="F17" s="54" t="inlineStr">
        <is>
          <t>Retains statutory/professional authority; governance bodies cannot waive legal data-protection requirements.</t>
        </is>
      </c>
      <c r="G17" s="54" t="inlineStr">
        <is>
          <t>Escalates unresolved high privacy risk through statutory and Council routes; consults Legal, SIRO, Security and affected services.</t>
        </is>
      </c>
      <c r="H17" s="55" t="n"/>
      <c r="I17" s="55" t="n"/>
      <c r="J17" s="55" t="inlineStr">
        <is>
          <t>Proposed</t>
        </is>
      </c>
      <c r="K17" s="55" t="n"/>
      <c r="L17" s="54" t="inlineStr">
        <is>
          <t>Level 4 — AI Specialist</t>
        </is>
      </c>
      <c r="M17" s="54" t="inlineStr">
        <is>
          <t>TRN-01, TRN-05, TRN-06, TRN-10</t>
        </is>
      </c>
      <c r="N17" s="56" t="n"/>
      <c r="O17" s="54" t="inlineStr">
        <is>
          <t>AIG-ASS-04, AIG-ASS-05, AIG-ASS-08, AIG-OPS-03, AIG-GOV-06</t>
        </is>
      </c>
      <c r="P17" s="54" t="inlineStr">
        <is>
          <t>ISO 5.3, 7.4; A.5.2-A.5.5, A.7</t>
        </is>
      </c>
      <c r="Q17" s="54" t="inlineStr">
        <is>
          <t>Playbook DPO role; AIG-GOV-06 retained authority</t>
        </is>
      </c>
      <c r="R17" s="54">
        <f>IF(AND(A17&lt;&gt;"",B17&lt;&gt;"",C17&lt;&gt;"",D17&lt;&gt;"",E17&lt;&gt;"",F17&lt;&gt;"",G17&lt;&gt;"",J17&lt;&gt;"",L17&lt;&gt;"",M17&lt;&gt;"",O17&lt;&gt;"",P17&lt;&gt;"",Q17&lt;&gt;""),IF(J17="Proposed","Complete",IF(AND(H17&lt;&gt;"",K17&lt;&gt;"",N17&lt;&gt;""),"Complete","Appointment evidence incomplete")),"Incomplete")</f>
        <v/>
      </c>
    </row>
    <row r="18" ht="32.25" customHeight="1" s="32">
      <c r="A18" s="53" t="inlineStr">
        <is>
          <t>ROL-12</t>
        </is>
      </c>
      <c r="B18" s="54" t="inlineStr">
        <is>
          <t>SIRO / Information Risk</t>
        </is>
      </c>
      <c r="C18" s="54" t="inlineStr">
        <is>
          <t>Strategic specialist control</t>
        </is>
      </c>
      <c r="D18" s="54" t="inlineStr">
        <is>
          <t>Oversee material information risk and assurance.</t>
        </is>
      </c>
      <c r="E18" s="54" t="inlineStr">
        <is>
          <t>Advise on information risk appetite, ownership, escalation and assurance; sponsor resolution of systemic or critical information risks.</t>
        </is>
      </c>
      <c r="F18" s="54" t="inlineStr">
        <is>
          <t>Retains information-risk authority under Council governance and approved risk delegations.</t>
        </is>
      </c>
      <c r="G18" s="54" t="inlineStr">
        <is>
          <t>Escalates material information risks to Executive Leadership and appropriate governance bodies.</t>
        </is>
      </c>
      <c r="H18" s="55" t="n"/>
      <c r="I18" s="55" t="n"/>
      <c r="J18" s="55" t="inlineStr">
        <is>
          <t>Proposed</t>
        </is>
      </c>
      <c r="K18" s="55" t="n"/>
      <c r="L18" s="54" t="inlineStr">
        <is>
          <t>Level 5 — AI Governance Leader</t>
        </is>
      </c>
      <c r="M18" s="54" t="inlineStr">
        <is>
          <t>TRN-01, TRN-07, TRN-09, TRN-10</t>
        </is>
      </c>
      <c r="N18" s="56" t="n"/>
      <c r="O18" s="54" t="inlineStr">
        <is>
          <t>AIG-ASS-11, AIG-GOV-06, AIG-AIMS-01, AIG-AIMS-03</t>
        </is>
      </c>
      <c r="P18" s="54" t="inlineStr">
        <is>
          <t>ISO 5.1, 5.3, 6.1; A.3.2</t>
        </is>
      </c>
      <c r="Q18" s="54" t="inlineStr">
        <is>
          <t>Playbook SIRO role; AIG-GOV-06 membership</t>
        </is>
      </c>
      <c r="R18" s="54">
        <f>IF(AND(A18&lt;&gt;"",B18&lt;&gt;"",C18&lt;&gt;"",D18&lt;&gt;"",E18&lt;&gt;"",F18&lt;&gt;"",G18&lt;&gt;"",J18&lt;&gt;"",L18&lt;&gt;"",M18&lt;&gt;"",O18&lt;&gt;"",P18&lt;&gt;"",Q18&lt;&gt;""),IF(J18="Proposed","Complete",IF(AND(H18&lt;&gt;"",K18&lt;&gt;"",N18&lt;&gt;""),"Complete","Appointment evidence incomplete")),"Incomplete")</f>
        <v/>
      </c>
    </row>
    <row r="19" ht="32.25" customHeight="1" s="32">
      <c r="A19" s="53" t="inlineStr">
        <is>
          <t>ROL-13</t>
        </is>
      </c>
      <c r="B19" s="54" t="inlineStr">
        <is>
          <t>Cyber Security</t>
        </is>
      </c>
      <c r="C19" s="54" t="inlineStr">
        <is>
          <t>Specialist control</t>
        </is>
      </c>
      <c r="D19" s="54" t="inlineStr">
        <is>
          <t>Assess and control AI security, misuse, resilience and supplier-security risks.</t>
        </is>
      </c>
      <c r="E19" s="54" t="inlineStr">
        <is>
          <t>Perform threat/risk review; define access, logging, testing and vulnerability requirements; review incidents and supplier evidence; set security closure criteria.</t>
        </is>
      </c>
      <c r="F19" s="54" t="inlineStr">
        <is>
          <t>Retains security authority under Council policy; can require remediation or escalation before release.</t>
        </is>
      </c>
      <c r="G19" s="54" t="inlineStr">
        <is>
          <t>Escalates critical vulnerabilities, misuse and incidents through Council security and governance routes.</t>
        </is>
      </c>
      <c r="H19" s="55" t="n"/>
      <c r="I19" s="55" t="n"/>
      <c r="J19" s="55" t="inlineStr">
        <is>
          <t>Proposed</t>
        </is>
      </c>
      <c r="K19" s="55" t="n"/>
      <c r="L19" s="54" t="inlineStr">
        <is>
          <t>Level 4 — AI Specialist</t>
        </is>
      </c>
      <c r="M19" s="54" t="inlineStr">
        <is>
          <t>TRN-01, TRN-07, TRN-10, TRN-11</t>
        </is>
      </c>
      <c r="N19" s="56" t="n"/>
      <c r="O19" s="54" t="inlineStr">
        <is>
          <t>AIG-ASS-08, AIG-OPS-03, AIG-ASS-11, AIG-OPS-01</t>
        </is>
      </c>
      <c r="P19" s="54" t="inlineStr">
        <is>
          <t>ISO 8.1; A.4.4-A.4.5, A.6.2.4-A.6.2.8</t>
        </is>
      </c>
      <c r="Q19" s="54" t="inlineStr">
        <is>
          <t>Playbook Security role; AIG-ASS-11</t>
        </is>
      </c>
      <c r="R19" s="54">
        <f>IF(AND(A19&lt;&gt;"",B19&lt;&gt;"",C19&lt;&gt;"",D19&lt;&gt;"",E19&lt;&gt;"",F19&lt;&gt;"",G19&lt;&gt;"",J19&lt;&gt;"",L19&lt;&gt;"",M19&lt;&gt;"",O19&lt;&gt;"",P19&lt;&gt;"",Q19&lt;&gt;""),IF(J19="Proposed","Complete",IF(AND(H19&lt;&gt;"",K19&lt;&gt;"",N19&lt;&gt;""),"Complete","Appointment evidence incomplete")),"Incomplete")</f>
        <v/>
      </c>
    </row>
    <row r="20" ht="32.25" customHeight="1" s="32">
      <c r="A20" s="53" t="inlineStr">
        <is>
          <t>ROL-14</t>
        </is>
      </c>
      <c r="B20" s="54" t="inlineStr">
        <is>
          <t>Legal Services / Monitoring Officer</t>
        </is>
      </c>
      <c r="C20" s="54" t="inlineStr">
        <is>
          <t>Specialist control</t>
        </is>
      </c>
      <c r="D20" s="54" t="inlineStr">
        <is>
          <t>Advise on applicable law, powers, contracts, delegations and legal risk.</t>
        </is>
      </c>
      <c r="E20" s="54" t="inlineStr">
        <is>
          <t>Maintain legal input to requirements, decisions, transparency, equality/human rights, procurement and incidents; confirm lawful authority and governance route.</t>
        </is>
      </c>
      <c r="F20" s="54" t="inlineStr">
        <is>
          <t>Retains professional/statutory authority; legal requirements and Council delegations cannot be displaced by AIMS governance.</t>
        </is>
      </c>
      <c r="G20" s="54" t="inlineStr">
        <is>
          <t>Escalates unresolved legality, authority or public-law concerns to the correct statutory and leadership route.</t>
        </is>
      </c>
      <c r="H20" s="55" t="n"/>
      <c r="I20" s="55" t="n"/>
      <c r="J20" s="55" t="inlineStr">
        <is>
          <t>Proposed</t>
        </is>
      </c>
      <c r="K20" s="55" t="n"/>
      <c r="L20" s="54" t="inlineStr">
        <is>
          <t>Level 4 — AI Specialist</t>
        </is>
      </c>
      <c r="M20" s="54" t="inlineStr">
        <is>
          <t>TRN-01, TRN-05, TRN-08, TRN-09, TRN-10</t>
        </is>
      </c>
      <c r="N20" s="56" t="n"/>
      <c r="O20" s="54" t="inlineStr">
        <is>
          <t>AIG-ASS-04 to AIG-ASS-08, AIG-DEC-03, AIG-GOV-06, AIG-AIMS-01</t>
        </is>
      </c>
      <c r="P20" s="54" t="inlineStr">
        <is>
          <t>ISO 4.2, 5.3, 7.4; A.2.3, A.5</t>
        </is>
      </c>
      <c r="Q20" s="54" t="inlineStr">
        <is>
          <t>Playbook Legal role; AIG-GOV-06 retained authority</t>
        </is>
      </c>
      <c r="R20" s="54">
        <f>IF(AND(A20&lt;&gt;"",B20&lt;&gt;"",C20&lt;&gt;"",D20&lt;&gt;"",E20&lt;&gt;"",F20&lt;&gt;"",G20&lt;&gt;"",J20&lt;&gt;"",L20&lt;&gt;"",M20&lt;&gt;"",O20&lt;&gt;"",P20&lt;&gt;"",Q20&lt;&gt;""),IF(J20="Proposed","Complete",IF(AND(H20&lt;&gt;"",K20&lt;&gt;"",N20&lt;&gt;""),"Complete","Appointment evidence incomplete")),"Incomplete")</f>
        <v/>
      </c>
    </row>
    <row r="21" ht="32.25" customHeight="1" s="32">
      <c r="A21" s="53" t="inlineStr">
        <is>
          <t>ROL-15</t>
        </is>
      </c>
      <c r="B21" s="54" t="inlineStr">
        <is>
          <t>Procurement / Commercial / Contract Owner</t>
        </is>
      </c>
      <c r="C21" s="54" t="inlineStr">
        <is>
          <t>Specialist control</t>
        </is>
      </c>
      <c r="D21" s="54" t="inlineStr">
        <is>
          <t>Control AI procurement and ongoing supplier obligations.</t>
        </is>
      </c>
      <c r="E21" s="54" t="inlineStr">
        <is>
          <t>Trigger governance early; perform due diligence; embed mandatory clauses; manage evidence rights, change, performance, incidents, renewal and exit.</t>
        </is>
      </c>
      <c r="F21" s="54" t="inlineStr">
        <is>
          <t>Retains procurement/commercial authority; cannot accept material AI risk outside approved delegations.</t>
        </is>
      </c>
      <c r="G21" s="54" t="inlineStr">
        <is>
          <t>Escalates supplier gaps, exceptions, unnotified change and exit/resilience risks to Service Owner, Legal, Security and governance bodies.</t>
        </is>
      </c>
      <c r="H21" s="55" t="n"/>
      <c r="I21" s="55" t="n"/>
      <c r="J21" s="55" t="inlineStr">
        <is>
          <t>Proposed</t>
        </is>
      </c>
      <c r="K21" s="55" t="n"/>
      <c r="L21" s="54" t="inlineStr">
        <is>
          <t>Level 3 — AI Owner / Manager</t>
        </is>
      </c>
      <c r="M21" s="54" t="inlineStr">
        <is>
          <t>TRN-01, TRN-05, TRN-08, TRN-10</t>
        </is>
      </c>
      <c r="N21" s="56" t="n"/>
      <c r="O21" s="54" t="inlineStr">
        <is>
          <t>AIG-INV-03, AIG-ASS-08, AIG-ASS-11, AIG-OPS-01</t>
        </is>
      </c>
      <c r="P21" s="54" t="inlineStr">
        <is>
          <t>ISO 8.1; A.10.2-A.10.4</t>
        </is>
      </c>
      <c r="Q21" s="54" t="inlineStr">
        <is>
          <t>Playbook Procurement role; Supplier Questionnaire</t>
        </is>
      </c>
      <c r="R21" s="54">
        <f>IF(AND(A21&lt;&gt;"",B21&lt;&gt;"",C21&lt;&gt;"",D21&lt;&gt;"",E21&lt;&gt;"",F21&lt;&gt;"",G21&lt;&gt;"",J21&lt;&gt;"",L21&lt;&gt;"",M21&lt;&gt;"",O21&lt;&gt;"",P21&lt;&gt;"",Q21&lt;&gt;""),IF(J21="Proposed","Complete",IF(AND(H21&lt;&gt;"",K21&lt;&gt;"",N21&lt;&gt;""),"Complete","Appointment evidence incomplete")),"Incomplete")</f>
        <v/>
      </c>
    </row>
    <row r="22" ht="32.25" customHeight="1" s="32">
      <c r="A22" s="53" t="inlineStr">
        <is>
          <t>ROL-16</t>
        </is>
      </c>
      <c r="B22" s="54" t="inlineStr">
        <is>
          <t>Equality / Human Rights / Safeguarding Leads</t>
        </is>
      </c>
      <c r="C22" s="54" t="inlineStr">
        <is>
          <t>Specialist control</t>
        </is>
      </c>
      <c r="D22" s="54" t="inlineStr">
        <is>
          <t>Assure impacts on protected, vulnerable and affected people.</t>
        </is>
      </c>
      <c r="E22" s="54" t="inlineStr">
        <is>
          <t>Determine assessment/engagement needs; challenge impact analysis and mitigations; advise on accessibility, safeguarding and monitoring; review adverse outcomes.</t>
        </is>
      </c>
      <c r="F22" s="54" t="inlineStr">
        <is>
          <t>Retains specialist authority under relevant Council policies and statutory duties.</t>
        </is>
      </c>
      <c r="G22" s="54" t="inlineStr">
        <is>
          <t>Escalates material or unresolved harm to Service Owner, Legal, governance bodies and safeguarding routes.</t>
        </is>
      </c>
      <c r="H22" s="55" t="n"/>
      <c r="I22" s="55" t="n"/>
      <c r="J22" s="55" t="inlineStr">
        <is>
          <t>Proposed</t>
        </is>
      </c>
      <c r="K22" s="55" t="n"/>
      <c r="L22" s="54" t="inlineStr">
        <is>
          <t>Level 4 — AI Specialist</t>
        </is>
      </c>
      <c r="M22" s="54" t="inlineStr">
        <is>
          <t>TRN-01, TRN-05, TRN-10</t>
        </is>
      </c>
      <c r="N22" s="56" t="n"/>
      <c r="O22" s="54" t="inlineStr">
        <is>
          <t>AIG-ASS-04, AIG-ASS-06, AIG-ASS-07, AIG-OPS-05, AIG-OPS-03</t>
        </is>
      </c>
      <c r="P22" s="54" t="inlineStr">
        <is>
          <t>ISO 4.2, 6.1; A.5.2-A.5.5, A.8.2-A.8.5</t>
        </is>
      </c>
      <c r="Q22" s="54" t="inlineStr">
        <is>
          <t>Responsible AI, Equality and Human Rights templates</t>
        </is>
      </c>
      <c r="R22" s="54">
        <f>IF(AND(A22&lt;&gt;"",B22&lt;&gt;"",C22&lt;&gt;"",D22&lt;&gt;"",E22&lt;&gt;"",F22&lt;&gt;"",G22&lt;&gt;"",J22&lt;&gt;"",L22&lt;&gt;"",M22&lt;&gt;"",O22&lt;&gt;"",P22&lt;&gt;"",Q22&lt;&gt;""),IF(J22="Proposed","Complete",IF(AND(H22&lt;&gt;"",K22&lt;&gt;"",N22&lt;&gt;""),"Complete","Appointment evidence incomplete")),"Incomplete")</f>
        <v/>
      </c>
    </row>
    <row r="23" ht="32.25" customHeight="1" s="32">
      <c r="A23" s="53" t="inlineStr">
        <is>
          <t>ROL-17</t>
        </is>
      </c>
      <c r="B23" s="54" t="inlineStr">
        <is>
          <t>Communications / Engagement / Complaints</t>
        </is>
      </c>
      <c r="C23" s="54" t="inlineStr">
        <is>
          <t>Operational and specialist interface</t>
        </is>
      </c>
      <c r="D23" s="54" t="inlineStr">
        <is>
          <t>Provide accessible communication, participation, feedback and redress routes.</t>
        </is>
      </c>
      <c r="E23" s="54" t="inlineStr">
        <is>
          <t>Plan internal/external communications; support affected-group engagement; ensure accessible service information; route complaints and track themes and responses.</t>
        </is>
      </c>
      <c r="F23" s="54" t="inlineStr">
        <is>
          <t>Communication approval remains with authorised service/corporate owners; complaints retain existing Council authority and independence.</t>
        </is>
      </c>
      <c r="G23" s="54" t="inlineStr">
        <is>
          <t>Escalates material complaint trends, misinformation, public-interest issues and accessibility failures.</t>
        </is>
      </c>
      <c r="H23" s="55" t="n"/>
      <c r="I23" s="55" t="n"/>
      <c r="J23" s="55" t="inlineStr">
        <is>
          <t>Proposed</t>
        </is>
      </c>
      <c r="K23" s="55" t="n"/>
      <c r="L23" s="54" t="inlineStr">
        <is>
          <t>Level 3 — AI Owner / Manager</t>
        </is>
      </c>
      <c r="M23" s="54" t="inlineStr">
        <is>
          <t>TRN-01, TRN-02, TRN-05, TRN-10</t>
        </is>
      </c>
      <c r="N23" s="56" t="n"/>
      <c r="O23" s="54" t="inlineStr">
        <is>
          <t>AIG-ASS-07, AIG-ASS-10, AIG-OPS-05, AIG-OPS-03, AIG-OPS-01</t>
        </is>
      </c>
      <c r="P23" s="54" t="inlineStr">
        <is>
          <t>ISO 7.3-7.4; A.3.3, A.8.2-A.8.5</t>
        </is>
      </c>
      <c r="Q23" s="54" t="inlineStr">
        <is>
          <t>AIG-OPS-01 communications role; Playbook awareness</t>
        </is>
      </c>
      <c r="R23" s="54">
        <f>IF(AND(A23&lt;&gt;"",B23&lt;&gt;"",C23&lt;&gt;"",D23&lt;&gt;"",E23&lt;&gt;"",F23&lt;&gt;"",G23&lt;&gt;"",J23&lt;&gt;"",L23&lt;&gt;"",M23&lt;&gt;"",O23&lt;&gt;"",P23&lt;&gt;"",Q23&lt;&gt;""),IF(J23="Proposed","Complete",IF(AND(H23&lt;&gt;"",K23&lt;&gt;"",N23&lt;&gt;""),"Complete","Appointment evidence incomplete")),"Incomplete")</f>
        <v/>
      </c>
    </row>
    <row r="24" ht="32.25" customHeight="1" s="32">
      <c r="A24" s="53" t="inlineStr">
        <is>
          <t>ROL-18</t>
        </is>
      </c>
      <c r="B24" s="54" t="inlineStr">
        <is>
          <t>Internal Audit / Independent Assurance</t>
        </is>
      </c>
      <c r="C24" s="54" t="inlineStr">
        <is>
          <t>Independent assurance</t>
        </is>
      </c>
      <c r="D24" s="54" t="inlineStr">
        <is>
          <t>Provide independent, risk-based assurance over AIMS design and operation.</t>
        </is>
      </c>
      <c r="E24" s="54" t="inlineStr">
        <is>
          <t>Approve audit scope/programme; assess control design, implementation and effectiveness; report findings independently; follow up agreed actions.</t>
        </is>
      </c>
      <c r="F24" s="54" t="inlineStr">
        <is>
          <t>Independent assurance authority under the Council audit framework; does not own or operate audited controls.</t>
        </is>
      </c>
      <c r="G24" s="54" t="inlineStr">
        <is>
          <t>Reports findings to appropriate audit and governance bodies; escalates overdue or unacceptable management responses.</t>
        </is>
      </c>
      <c r="H24" s="55" t="n"/>
      <c r="I24" s="55" t="n"/>
      <c r="J24" s="55" t="inlineStr">
        <is>
          <t>Proposed</t>
        </is>
      </c>
      <c r="K24" s="55" t="n"/>
      <c r="L24" s="54" t="inlineStr">
        <is>
          <t>Level 4 — AI Specialist</t>
        </is>
      </c>
      <c r="M24" s="54" t="inlineStr">
        <is>
          <t>TRN-01, TRN-09, TRN-12</t>
        </is>
      </c>
      <c r="N24" s="56" t="n"/>
      <c r="O24" s="54" t="inlineStr">
        <is>
          <t>AIG-OPS-05, AIG-OPS-06, AIG-GOV-06, AIG-AIMS-01 to AIG-AIMS-04</t>
        </is>
      </c>
      <c r="P24" s="54" t="inlineStr">
        <is>
          <t>ISO 9.2; A.3.2</t>
        </is>
      </c>
      <c r="Q24" s="54" t="inlineStr">
        <is>
          <t>Playbook Internal Audit role; AIG-AIMS-03 IMP-14</t>
        </is>
      </c>
      <c r="R24" s="54">
        <f>IF(AND(A24&lt;&gt;"",B24&lt;&gt;"",C24&lt;&gt;"",D24&lt;&gt;"",E24&lt;&gt;"",F24&lt;&gt;"",G24&lt;&gt;"",J24&lt;&gt;"",L24&lt;&gt;"",M24&lt;&gt;"",O24&lt;&gt;"",P24&lt;&gt;"",Q24&lt;&gt;""),IF(J24="Proposed","Complete",IF(AND(H24&lt;&gt;"",K24&lt;&gt;"",N24&lt;&gt;""),"Complete","Appointment evidence incomplete")),"Incomplete")</f>
        <v/>
      </c>
    </row>
    <row r="25" ht="32.25" customHeight="1" s="32">
      <c r="A25" s="53" t="inlineStr">
        <is>
          <t>ROL-19</t>
        </is>
      </c>
      <c r="B25" s="54" t="inlineStr">
        <is>
          <t>All employees / AI users</t>
        </is>
      </c>
      <c r="C25" s="54" t="inlineStr">
        <is>
          <t>Council-wide</t>
        </is>
      </c>
      <c r="D25" s="54" t="inlineStr">
        <is>
          <t>Use AI only within approved policy, training and system instructions.</t>
        </is>
      </c>
      <c r="E25" s="54" t="inlineStr">
        <is>
          <t>Complete required learning; register or disclose AI use; protect information; follow human-oversight and acceptable-use rules; report concerns, errors and incidents promptly.</t>
        </is>
      </c>
      <c r="F25" s="54" t="inlineStr">
        <is>
          <t>No authority to introduce or materially change Council AI unless assigned through an approved role and process.</t>
        </is>
      </c>
      <c r="G25" s="54" t="inlineStr">
        <is>
          <t>Raise concerns through line management, Service Owner, AI governance, security, data-protection, whistleblowing or complaints routes as applicable.</t>
        </is>
      </c>
      <c r="H25" s="55" t="n"/>
      <c r="I25" s="55" t="n"/>
      <c r="J25" s="55" t="inlineStr">
        <is>
          <t>Proposed</t>
        </is>
      </c>
      <c r="K25" s="55" t="n"/>
      <c r="L25" s="54" t="inlineStr">
        <is>
          <t>Level 1 — AI Awareness</t>
        </is>
      </c>
      <c r="M25" s="54" t="inlineStr">
        <is>
          <t>TRN-01; TRN-02 for AI users</t>
        </is>
      </c>
      <c r="N25" s="56" t="n"/>
      <c r="O25" s="54" t="inlineStr">
        <is>
          <t>AIG-GOV-02, AIG-INV-01, AIG-INV-03, AIG-OPS-03</t>
        </is>
      </c>
      <c r="P25" s="54" t="inlineStr">
        <is>
          <t>ISO 7.2-7.3; A.3.3, A.4.6, A.9.2</t>
        </is>
      </c>
      <c r="Q25" s="54" t="inlineStr">
        <is>
          <t>Playbook All Employees role and competency policy</t>
        </is>
      </c>
      <c r="R25" s="54">
        <f>IF(AND(A25&lt;&gt;"",B25&lt;&gt;"",C25&lt;&gt;"",D25&lt;&gt;"",E25&lt;&gt;"",F25&lt;&gt;"",G25&lt;&gt;"",J25&lt;&gt;"",L25&lt;&gt;"",M25&lt;&gt;"",O25&lt;&gt;"",P25&lt;&gt;"",Q25&lt;&gt;""),IF(J25="Proposed","Complete",IF(AND(H25&lt;&gt;"",K25&lt;&gt;"",N25&lt;&gt;""),"Complete","Appointment evidence incomplete")),"Incomplete")</f>
        <v/>
      </c>
    </row>
    <row r="26" ht="32.25" customHeight="1" s="32">
      <c r="A26" s="53" t="inlineStr">
        <is>
          <t>ROL-20</t>
        </is>
      </c>
      <c r="B26" s="54" t="inlineStr">
        <is>
          <t>Data Steward</t>
        </is>
      </c>
      <c r="C26" s="54" t="inlineStr">
        <is>
          <t>Service accountability</t>
        </is>
      </c>
      <c r="D26" s="54" t="inlineStr">
        <is>
          <t>Look after the quality, meaning and day-to-day use of the data an AI system relies on, on behalf of the Data Owner.</t>
        </is>
      </c>
      <c r="E26" s="54" t="inlineStr">
        <is>
          <t>Maintain data definitions and quality checks; keep data lineage and provenance records current; check that data used by AI matches the approved purpose; keep the Information Asset Register entry and the AI Register Information asset reference (AIG-INV-04 column AA) aligned; raise data quality or misuse issues.</t>
        </is>
      </c>
      <c r="F26" s="54" t="inlineStr">
        <is>
          <t>No authority to approve AI use or new uses of data; recommends to the Data Owner and Service Owner.</t>
        </is>
      </c>
      <c r="G26" s="54" t="inlineStr">
        <is>
          <t>Escalate to the Data Owner, Service Owner, DPO or Information Governance as applicable.</t>
        </is>
      </c>
      <c r="H26" s="55" t="n"/>
      <c r="I26" s="55" t="n"/>
      <c r="J26" s="55" t="inlineStr">
        <is>
          <t>Proposed</t>
        </is>
      </c>
      <c r="K26" s="55" t="n"/>
      <c r="L26" s="54" t="inlineStr">
        <is>
          <t>Level 3 — AI Owner / Manager</t>
        </is>
      </c>
      <c r="M26" s="54" t="inlineStr">
        <is>
          <t>TRN-01, TRN-03, TRN-04, TRN-05, TRN-10</t>
        </is>
      </c>
      <c r="N26" s="56" t="n"/>
      <c r="O26" s="54" t="inlineStr">
        <is>
          <t>AIG-GOV-02 §5.6 and Appendix A.2; AIG-INV-04 column AA; AIG-ASS-05; AIG-ASS-09</t>
        </is>
      </c>
      <c r="P26" s="54" t="inlineStr">
        <is>
          <t>ISO 5.3, 7.2; A.7.4, A.7.5</t>
        </is>
      </c>
      <c r="Q26" s="54" t="inlineStr">
        <is>
          <t>Proposed v3.9.10 data governance role (Proposed — for Council confirmation)</t>
        </is>
      </c>
      <c r="R26" s="54">
        <f>IF(AND(A26&lt;&gt;"",B26&lt;&gt;"",C26&lt;&gt;"",D26&lt;&gt;"",E26&lt;&gt;"",F26&lt;&gt;"",G26&lt;&gt;"",J26&lt;&gt;"",L26&lt;&gt;"",M26&lt;&gt;"",O26&lt;&gt;"",P26&lt;&gt;"",Q26&lt;&gt;""),IF(J26="Proposed","Complete",IF(AND(H26&lt;&gt;"",K26&lt;&gt;"",N26&lt;&gt;""),"Complete","Appointment evidence incomplete")),"Incomplete")</f>
        <v/>
      </c>
    </row>
  </sheetData>
  <mergeCells count="4">
    <mergeCell ref="A3:R3"/>
    <mergeCell ref="A2:R2"/>
    <mergeCell ref="A1:R1"/>
    <mergeCell ref="A4:R4"/>
  </mergeCells>
  <conditionalFormatting sqref="J7:J26">
    <cfRule type="containsText" rank="0" priority="2" equalAverage="0" operator="containsText" aboveAverage="0" dxfId="9" text="Confirmed" percent="0" bottom="0">
      <formula>NOT(ISERROR(SEARCH("Confirmed",J7)))</formula>
    </cfRule>
    <cfRule type="containsText" rank="0" priority="3" equalAverage="0" operator="containsText" aboveAverage="0" dxfId="10" text="Vacant" percent="0" bottom="0">
      <formula>NOT(ISERROR(SEARCH("Vacant",J7)))</formula>
    </cfRule>
    <cfRule type="containsText" rank="0" priority="4" equalAverage="0" operator="containsText" aboveAverage="0" dxfId="11" text="Interim" percent="0" bottom="0">
      <formula>NOT(ISERROR(SEARCH("Interim",J7)))</formula>
    </cfRule>
  </conditionalFormatting>
  <conditionalFormatting sqref="R7:R26">
    <cfRule type="expression" priority="5" dxfId="14">
      <formula>$R7="Complete"</formula>
    </cfRule>
    <cfRule type="expression" priority="6" dxfId="15">
      <formula>$R7="Incomplete"</formula>
    </cfRule>
    <cfRule type="expression" priority="7" dxfId="16">
      <formula>$R7="Appointment evidence incomplete"</formula>
    </cfRule>
  </conditionalFormatting>
  <dataValidations count="1">
    <dataValidation sqref="J7:J26" showDropDown="0" showInputMessage="0" showErrorMessage="0" allowBlank="0" type="list" errorStyle="stop" operator="between">
      <formula1>"Proposed,Confirmed,Vacant,Interim,Suspended,Retired"</formula1>
      <formula2>0</formula2>
    </dataValidation>
  </dataValidations>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19"/>
  <sheetViews>
    <sheetView showGridLines="0" workbookViewId="0">
      <selection activeCell="A1" sqref="A1"/>
    </sheetView>
  </sheetViews>
  <sheetFormatPr baseColWidth="8" defaultColWidth="9.47265625" defaultRowHeight="15"/>
  <cols>
    <col width="12.09000015258789" customWidth="1" style="31" min="1" max="1"/>
    <col width="32.97000122070312" customWidth="1" style="31" min="2" max="2"/>
    <col width="26.3799991607666" customWidth="1" style="31" min="3" max="3"/>
    <col width="12.09000015258789" customWidth="1" style="31" min="4" max="4"/>
    <col width="17.59000015258789" customWidth="1" style="31" min="5" max="5"/>
    <col width="10.98999977111816" customWidth="1" style="31" min="6" max="6"/>
    <col width="15.39000034332275" customWidth="1" style="31" min="7" max="7"/>
    <col width="12.09000015258789" customWidth="1" style="31" min="8" max="8"/>
    <col width="15.39000034332275" customWidth="1" style="31" min="9" max="9"/>
    <col width="17.59000015258789" customWidth="1" style="31" min="10" max="10"/>
    <col width="16.48999977111816" customWidth="1" style="31" min="11" max="11"/>
    <col width="36.27000045776367" customWidth="1" style="31" min="12" max="12"/>
    <col width="31.8799991607666" customWidth="1" style="31" min="13" max="13"/>
    <col width="21.97999954223633" customWidth="1" style="31" min="14" max="14"/>
    <col width="23.07999992370605" customWidth="1" style="31" min="15" max="15"/>
    <col width="38.47000122070312" customWidth="1" style="31" min="16" max="16"/>
    <col width="29.65999984741211" customWidth="1" style="31" min="17" max="17"/>
    <col width="14.28999996185303" customWidth="1" style="31" min="18" max="18"/>
    <col width="27.47999954223633" customWidth="1" style="31" min="19" max="19"/>
    <col width="35.16999816894531" customWidth="1" style="31" min="20" max="20"/>
    <col width="21.97999954223633" customWidth="1" style="31" min="21" max="21"/>
  </cols>
  <sheetData>
    <row r="1" ht="31.5" customHeight="1" s="32">
      <c r="A1" s="33" t="inlineStr">
        <is>
          <t>The Council — AIMS Competence Matrix and Assessment Record</t>
        </is>
      </c>
    </row>
    <row r="2" ht="21.75" customHeight="1" s="32">
      <c r="A2" s="34" t="inlineStr">
        <is>
          <t>AIG-AIMS-04  ·  v1.3 draft  ·  Draft for Council review  ·  OFFICIAL  ·  ISO/IEC 42001:2023</t>
        </is>
      </c>
    </row>
    <row r="3" ht="24" customHeight="1" s="32">
      <c r="A3" s="35" t="inlineStr">
        <is>
          <t>Purpose: define required role-group competence across the Playbook domains and control assessment, gaps, remedial action and evidence.</t>
        </is>
      </c>
    </row>
    <row r="4" ht="28.5" customHeight="1" s="32">
      <c r="A4" s="36" t="inlineStr">
        <is>
          <t>Current position: proficiency numbers are required levels, not current scores. Every group is marked Not assessed until named people are assessed using approved methods and evidence; training attendance alone is insufficient.</t>
        </is>
      </c>
    </row>
    <row r="5"/>
    <row r="6" ht="43.5" customHeight="1" s="32">
      <c r="A6" s="52" t="inlineStr">
        <is>
          <t>Group ID</t>
        </is>
      </c>
      <c r="B6" s="52" t="inlineStr">
        <is>
          <t>Role group</t>
        </is>
      </c>
      <c r="C6" s="52" t="inlineStr">
        <is>
          <t>Playbook competency level</t>
        </is>
      </c>
      <c r="D6" s="52" t="inlineStr">
        <is>
          <t>AI literacy</t>
        </is>
      </c>
      <c r="E6" s="52" t="inlineStr">
        <is>
          <t>Governance / accountability</t>
        </is>
      </c>
      <c r="F6" s="52" t="inlineStr">
        <is>
          <t>Risk</t>
        </is>
      </c>
      <c r="G6" s="52" t="inlineStr">
        <is>
          <t>Responsible AI</t>
        </is>
      </c>
      <c r="H6" s="52" t="inlineStr">
        <is>
          <t>Data / IG</t>
        </is>
      </c>
      <c r="I6" s="52" t="inlineStr">
        <is>
          <t>Security / resilience</t>
        </is>
      </c>
      <c r="J6" s="52" t="inlineStr">
        <is>
          <t>Operational application</t>
        </is>
      </c>
      <c r="K6" s="52" t="inlineStr">
        <is>
          <t>Leadership / oversight</t>
        </is>
      </c>
      <c r="L6" s="52" t="inlineStr">
        <is>
          <t>Evidence / assessment method</t>
        </is>
      </c>
      <c r="M6" s="52" t="inlineStr">
        <is>
          <t>Assessment frequency</t>
        </is>
      </c>
      <c r="N6" s="52" t="inlineStr">
        <is>
          <t>Current assessment status</t>
        </is>
      </c>
      <c r="O6" s="52" t="inlineStr">
        <is>
          <t>Current result</t>
        </is>
      </c>
      <c r="P6" s="52" t="inlineStr">
        <is>
          <t>Gap / remedial action</t>
        </is>
      </c>
      <c r="Q6" s="52" t="inlineStr">
        <is>
          <t>Owner</t>
        </is>
      </c>
      <c r="R6" s="52" t="inlineStr">
        <is>
          <t>Due date</t>
        </is>
      </c>
      <c r="S6" s="52" t="inlineStr">
        <is>
          <t>Evidence location</t>
        </is>
      </c>
      <c r="T6" s="52" t="inlineStr">
        <is>
          <t>Related objectives / risks / learning</t>
        </is>
      </c>
      <c r="U6" s="52" t="inlineStr">
        <is>
          <t>Record QA</t>
        </is>
      </c>
    </row>
    <row r="7" ht="21.75" customHeight="1" s="32">
      <c r="A7" s="53" t="inlineStr">
        <is>
          <t>CMP-01</t>
        </is>
      </c>
      <c r="B7" s="54" t="inlineStr">
        <is>
          <t>All employees</t>
        </is>
      </c>
      <c r="C7" s="54" t="inlineStr">
        <is>
          <t>Level 1 — AI Awareness</t>
        </is>
      </c>
      <c r="D7" s="57" t="n">
        <v>1</v>
      </c>
      <c r="E7" s="57" t="n">
        <v>1</v>
      </c>
      <c r="F7" s="57" t="n">
        <v>1</v>
      </c>
      <c r="G7" s="57" t="n">
        <v>1</v>
      </c>
      <c r="H7" s="57" t="n">
        <v>1</v>
      </c>
      <c r="I7" s="57" t="n">
        <v>1</v>
      </c>
      <c r="J7" s="57" t="n">
        <v>1</v>
      </c>
      <c r="K7" s="57" t="n">
        <v>1</v>
      </c>
      <c r="L7" s="54" t="inlineStr">
        <is>
          <t>Completion plus short knowledge check</t>
        </is>
      </c>
      <c r="M7" s="54" t="inlineStr">
        <is>
          <t>At induction; refresh at least annually</t>
        </is>
      </c>
      <c r="N7" s="55" t="inlineStr">
        <is>
          <t>Not assessed</t>
        </is>
      </c>
      <c r="O7" s="55" t="n"/>
      <c r="P7" s="55" t="inlineStr">
        <is>
          <t>Assess the target population and completion baseline once the programme is approved.</t>
        </is>
      </c>
      <c r="Q7" s="55" t="inlineStr">
        <is>
          <t>HR / L&amp;D with AI Governance Lead</t>
        </is>
      </c>
      <c r="R7" s="56" t="n"/>
      <c r="S7" s="55" t="n"/>
      <c r="T7" s="54" t="inlineStr">
        <is>
          <t>OBJ-08; R-05; IMP-09; TRN-01</t>
        </is>
      </c>
      <c r="U7" s="54">
        <f>IF(AND(A7&lt;&gt;"",B7&lt;&gt;"",C7&lt;&gt;"",D7&lt;&gt;"",E7&lt;&gt;"",F7&lt;&gt;"",G7&lt;&gt;"",H7&lt;&gt;"",I7&lt;&gt;"",J7&lt;&gt;"",K7&lt;&gt;"",L7&lt;&gt;"",M7&lt;&gt;"",N7&lt;&gt;"",P7&lt;&gt;"",Q7&lt;&gt;"",T7&lt;&gt;""),IF(N7="Not assessed","Complete",IF(AND(O7&lt;&gt;"",R7&lt;&gt;"",S7&lt;&gt;""),"Complete","Assessment evidence incomplete")),"Incomplete")</f>
        <v/>
      </c>
    </row>
    <row r="8" ht="21.75" customHeight="1" s="32">
      <c r="A8" s="53" t="inlineStr">
        <is>
          <t>CMP-02</t>
        </is>
      </c>
      <c r="B8" s="54" t="inlineStr">
        <is>
          <t>Regular AI users / practitioners</t>
        </is>
      </c>
      <c r="C8" s="54" t="inlineStr">
        <is>
          <t>Level 2 — AI User / Practitioner</t>
        </is>
      </c>
      <c r="D8" s="57" t="n">
        <v>2</v>
      </c>
      <c r="E8" s="57" t="n">
        <v>2</v>
      </c>
      <c r="F8" s="57" t="n">
        <v>2</v>
      </c>
      <c r="G8" s="57" t="n">
        <v>2</v>
      </c>
      <c r="H8" s="57" t="n">
        <v>2</v>
      </c>
      <c r="I8" s="57" t="n">
        <v>2</v>
      </c>
      <c r="J8" s="57" t="n">
        <v>3</v>
      </c>
      <c r="K8" s="57" t="n">
        <v>1</v>
      </c>
      <c r="L8" s="54" t="inlineStr">
        <is>
          <t>Scenario-based knowledge check and supervisor observation</t>
        </is>
      </c>
      <c r="M8" s="54" t="inlineStr">
        <is>
          <t>Before approved use; annual refresh and on material change</t>
        </is>
      </c>
      <c r="N8" s="55" t="inlineStr">
        <is>
          <t>Not assessed</t>
        </is>
      </c>
      <c r="O8" s="55" t="n"/>
      <c r="P8" s="55" t="inlineStr">
        <is>
          <t>Identify the user population and validate practice against approved instructions.</t>
        </is>
      </c>
      <c r="Q8" s="55" t="inlineStr">
        <is>
          <t>Service Owner / Line Manager</t>
        </is>
      </c>
      <c r="R8" s="56" t="n"/>
      <c r="S8" s="55" t="n"/>
      <c r="T8" s="54" t="inlineStr">
        <is>
          <t>OBJ-04, OBJ-05; R-05; TRN-01, TRN-02</t>
        </is>
      </c>
      <c r="U8" s="54">
        <f>IF(AND(A8&lt;&gt;"",B8&lt;&gt;"",C8&lt;&gt;"",D8&lt;&gt;"",E8&lt;&gt;"",F8&lt;&gt;"",G8&lt;&gt;"",H8&lt;&gt;"",I8&lt;&gt;"",J8&lt;&gt;"",K8&lt;&gt;"",L8&lt;&gt;"",M8&lt;&gt;"",N8&lt;&gt;"",P8&lt;&gt;"",Q8&lt;&gt;"",T8&lt;&gt;""),IF(N8="Not assessed","Complete",IF(AND(O8&lt;&gt;"",R8&lt;&gt;"",S8&lt;&gt;""),"Complete","Assessment evidence incomplete")),"Incomplete")</f>
        <v/>
      </c>
    </row>
    <row r="9" ht="21.75" customHeight="1" s="32">
      <c r="A9" s="53" t="inlineStr">
        <is>
          <t>CMP-03</t>
        </is>
      </c>
      <c r="B9" s="54" t="inlineStr">
        <is>
          <t>Managers of AI-using staff</t>
        </is>
      </c>
      <c r="C9" s="54" t="inlineStr">
        <is>
          <t>Level 3 — AI Owner / Manager</t>
        </is>
      </c>
      <c r="D9" s="57" t="n">
        <v>2</v>
      </c>
      <c r="E9" s="57" t="n">
        <v>3</v>
      </c>
      <c r="F9" s="57" t="n">
        <v>3</v>
      </c>
      <c r="G9" s="57" t="n">
        <v>3</v>
      </c>
      <c r="H9" s="57" t="n">
        <v>2</v>
      </c>
      <c r="I9" s="57" t="n">
        <v>2</v>
      </c>
      <c r="J9" s="57" t="n">
        <v>3</v>
      </c>
      <c r="K9" s="57" t="n">
        <v>3</v>
      </c>
      <c r="L9" s="54" t="inlineStr">
        <is>
          <t>Manager module, scenario exercise and management review</t>
        </is>
      </c>
      <c r="M9" s="54" t="inlineStr">
        <is>
          <t>On appointment; annual refresh</t>
        </is>
      </c>
      <c r="N9" s="55" t="inlineStr">
        <is>
          <t>Not assessed</t>
        </is>
      </c>
      <c r="O9" s="55" t="n"/>
      <c r="P9" s="55" t="inlineStr">
        <is>
          <t>Confirm which managers supervise AI use and assess governance decision capability.</t>
        </is>
      </c>
      <c r="Q9" s="55" t="inlineStr">
        <is>
          <t>Directorate Leadership / HR-L&amp;D</t>
        </is>
      </c>
      <c r="R9" s="56" t="n"/>
      <c r="S9" s="55" t="n"/>
      <c r="T9" s="54" t="inlineStr">
        <is>
          <t>OBJ-08; R-04, R-05; TRN-03</t>
        </is>
      </c>
      <c r="U9" s="54">
        <f>IF(AND(A9&lt;&gt;"",B9&lt;&gt;"",C9&lt;&gt;"",D9&lt;&gt;"",E9&lt;&gt;"",F9&lt;&gt;"",G9&lt;&gt;"",H9&lt;&gt;"",I9&lt;&gt;"",J9&lt;&gt;"",K9&lt;&gt;"",L9&lt;&gt;"",M9&lt;&gt;"",N9&lt;&gt;"",P9&lt;&gt;"",Q9&lt;&gt;"",T9&lt;&gt;""),IF(N9="Not assessed","Complete",IF(AND(O9&lt;&gt;"",R9&lt;&gt;"",S9&lt;&gt;""),"Complete","Assessment evidence incomplete")),"Incomplete")</f>
        <v/>
      </c>
    </row>
    <row r="10" ht="21.75" customHeight="1" s="32">
      <c r="A10" s="53" t="inlineStr">
        <is>
          <t>CMP-04</t>
        </is>
      </c>
      <c r="B10" s="54" t="inlineStr">
        <is>
          <t>Service Owners</t>
        </is>
      </c>
      <c r="C10" s="54" t="inlineStr">
        <is>
          <t>Level 3 — AI Owner / Manager</t>
        </is>
      </c>
      <c r="D10" s="57" t="n">
        <v>3</v>
      </c>
      <c r="E10" s="57" t="n">
        <v>4</v>
      </c>
      <c r="F10" s="57" t="n">
        <v>4</v>
      </c>
      <c r="G10" s="57" t="n">
        <v>4</v>
      </c>
      <c r="H10" s="57" t="n">
        <v>3</v>
      </c>
      <c r="I10" s="57" t="n">
        <v>3</v>
      </c>
      <c r="J10" s="57" t="n">
        <v>4</v>
      </c>
      <c r="K10" s="57" t="n">
        <v>4</v>
      </c>
      <c r="L10" s="54" t="inlineStr">
        <is>
          <t>Case-based assessment using a real governance submission</t>
        </is>
      </c>
      <c r="M10" s="54" t="inlineStr">
        <is>
          <t>Before approval authority; annual and after control failure</t>
        </is>
      </c>
      <c r="N10" s="55" t="inlineStr">
        <is>
          <t>Not assessed</t>
        </is>
      </c>
      <c r="O10" s="55" t="n"/>
      <c r="P10" s="55" t="inlineStr">
        <is>
          <t>Assess named Service Owners after appointment; remediate any lifecycle or accountability gap.</t>
        </is>
      </c>
      <c r="Q10" s="55" t="inlineStr">
        <is>
          <t>AI Governance Lead / Directorate Leadership</t>
        </is>
      </c>
      <c r="R10" s="56" t="n"/>
      <c r="S10" s="55" t="n"/>
      <c r="T10" s="54" t="inlineStr">
        <is>
          <t>OBJ-02 to OBJ-08; R-04, R-05; IMP-05, IMP-09</t>
        </is>
      </c>
      <c r="U10" s="54">
        <f>IF(AND(A10&lt;&gt;"",B10&lt;&gt;"",C10&lt;&gt;"",D10&lt;&gt;"",E10&lt;&gt;"",F10&lt;&gt;"",G10&lt;&gt;"",H10&lt;&gt;"",I10&lt;&gt;"",J10&lt;&gt;"",K10&lt;&gt;"",L10&lt;&gt;"",M10&lt;&gt;"",N10&lt;&gt;"",P10&lt;&gt;"",Q10&lt;&gt;"",T10&lt;&gt;""),IF(N10="Not assessed","Complete",IF(AND(O10&lt;&gt;"",R10&lt;&gt;"",S10&lt;&gt;""),"Complete","Assessment evidence incomplete")),"Incomplete")</f>
        <v/>
      </c>
    </row>
    <row r="11" ht="21.75" customHeight="1" s="32">
      <c r="A11" s="53" t="inlineStr">
        <is>
          <t>CMP-05</t>
        </is>
      </c>
      <c r="B11" s="54" t="inlineStr">
        <is>
          <t>AI System Owners / Operational Leads</t>
        </is>
      </c>
      <c r="C11" s="54" t="inlineStr">
        <is>
          <t>Level 3 — AI Owner / Manager</t>
        </is>
      </c>
      <c r="D11" s="57" t="n">
        <v>3</v>
      </c>
      <c r="E11" s="57" t="n">
        <v>3</v>
      </c>
      <c r="F11" s="57" t="n">
        <v>4</v>
      </c>
      <c r="G11" s="57" t="n">
        <v>3</v>
      </c>
      <c r="H11" s="57" t="n">
        <v>3</v>
      </c>
      <c r="I11" s="57" t="n">
        <v>4</v>
      </c>
      <c r="J11" s="57" t="n">
        <v>4</v>
      </c>
      <c r="K11" s="57" t="n">
        <v>3</v>
      </c>
      <c r="L11" s="54" t="inlineStr">
        <is>
          <t>Operational simulation, threshold/rollback exercise and record review</t>
        </is>
      </c>
      <c r="M11" s="54" t="inlineStr">
        <is>
          <t>Before go-live; at least annually and on material change</t>
        </is>
      </c>
      <c r="N11" s="55" t="inlineStr">
        <is>
          <t>Not assessed</t>
        </is>
      </c>
      <c r="O11" s="55" t="n"/>
      <c r="P11" s="55" t="inlineStr">
        <is>
          <t>Validate monitoring, escalation, incident and change-control competence for each live system.</t>
        </is>
      </c>
      <c r="Q11" s="55" t="inlineStr">
        <is>
          <t>Service Owner / AI Governance Lead</t>
        </is>
      </c>
      <c r="R11" s="56" t="n"/>
      <c r="S11" s="55" t="n"/>
      <c r="T11" s="54" t="inlineStr">
        <is>
          <t>OBJ-04, OBJ-07; R-05, R-11, R-12; TRN-04, TRN-10, TRN-11</t>
        </is>
      </c>
      <c r="U11" s="54">
        <f>IF(AND(A11&lt;&gt;"",B11&lt;&gt;"",C11&lt;&gt;"",D11&lt;&gt;"",E11&lt;&gt;"",F11&lt;&gt;"",G11&lt;&gt;"",H11&lt;&gt;"",I11&lt;&gt;"",J11&lt;&gt;"",K11&lt;&gt;"",L11&lt;&gt;"",M11&lt;&gt;"",N11&lt;&gt;"",P11&lt;&gt;"",Q11&lt;&gt;"",T11&lt;&gt;""),IF(N11="Not assessed","Complete",IF(AND(O11&lt;&gt;"",R11&lt;&gt;"",S11&lt;&gt;""),"Complete","Assessment evidence incomplete")),"Incomplete")</f>
        <v/>
      </c>
    </row>
    <row r="12" ht="32.25" customHeight="1" s="32">
      <c r="A12" s="53" t="inlineStr">
        <is>
          <t>CMP-06</t>
        </is>
      </c>
      <c r="B12" s="54" t="inlineStr">
        <is>
          <t>Product / Technical / Data Science specialists</t>
        </is>
      </c>
      <c r="C12" s="54" t="inlineStr">
        <is>
          <t>Level 4 — AI Specialist</t>
        </is>
      </c>
      <c r="D12" s="57" t="n">
        <v>4</v>
      </c>
      <c r="E12" s="57" t="n">
        <v>3</v>
      </c>
      <c r="F12" s="57" t="n">
        <v>4</v>
      </c>
      <c r="G12" s="57" t="n">
        <v>4</v>
      </c>
      <c r="H12" s="57" t="n">
        <v>3</v>
      </c>
      <c r="I12" s="57" t="n">
        <v>4</v>
      </c>
      <c r="J12" s="57" t="n">
        <v>4</v>
      </c>
      <c r="K12" s="57" t="n">
        <v>2</v>
      </c>
      <c r="L12" s="54" t="inlineStr">
        <is>
          <t>Technical portfolio, test evidence, peer review and scenario exercise</t>
        </is>
      </c>
      <c r="M12" s="54" t="inlineStr">
        <is>
          <t>Before technical authority; annual CPD review</t>
        </is>
      </c>
      <c r="N12" s="55" t="inlineStr">
        <is>
          <t>Not assessed</t>
        </is>
      </c>
      <c r="O12" s="55" t="n"/>
      <c r="P12" s="55" t="inlineStr">
        <is>
          <t>Map required disciplines to each system and confirm specialist depth, peer review and succession.</t>
        </is>
      </c>
      <c r="Q12" s="55" t="inlineStr">
        <is>
          <t>Technical Leadership / Service Owner</t>
        </is>
      </c>
      <c r="R12" s="56" t="n"/>
      <c r="S12" s="55" t="n"/>
      <c r="T12" s="54" t="inlineStr">
        <is>
          <t>OBJ-04; R-05, R-07, R-10, R-11; TRN-07, TRN-11</t>
        </is>
      </c>
      <c r="U12" s="54">
        <f>IF(AND(A12&lt;&gt;"",B12&lt;&gt;"",C12&lt;&gt;"",D12&lt;&gt;"",E12&lt;&gt;"",F12&lt;&gt;"",G12&lt;&gt;"",H12&lt;&gt;"",I12&lt;&gt;"",J12&lt;&gt;"",K12&lt;&gt;"",L12&lt;&gt;"",M12&lt;&gt;"",N12&lt;&gt;"",P12&lt;&gt;"",Q12&lt;&gt;"",T12&lt;&gt;""),IF(N12="Not assessed","Complete",IF(AND(O12&lt;&gt;"",R12&lt;&gt;"",S12&lt;&gt;""),"Complete","Assessment evidence incomplete")),"Incomplete")</f>
        <v/>
      </c>
    </row>
    <row r="13" ht="21.75" customHeight="1" s="32">
      <c r="A13" s="53" t="inlineStr">
        <is>
          <t>CMP-07</t>
        </is>
      </c>
      <c r="B13" s="54" t="inlineStr">
        <is>
          <t>Data, privacy and information-governance specialists</t>
        </is>
      </c>
      <c r="C13" s="54" t="inlineStr">
        <is>
          <t>Level 4 — AI Specialist</t>
        </is>
      </c>
      <c r="D13" s="57" t="n">
        <v>3</v>
      </c>
      <c r="E13" s="57" t="n">
        <v>4</v>
      </c>
      <c r="F13" s="57" t="n">
        <v>4</v>
      </c>
      <c r="G13" s="57" t="n">
        <v>4</v>
      </c>
      <c r="H13" s="57" t="n">
        <v>4</v>
      </c>
      <c r="I13" s="57" t="n">
        <v>3</v>
      </c>
      <c r="J13" s="57" t="n">
        <v>3</v>
      </c>
      <c r="K13" s="57" t="n">
        <v>3</v>
      </c>
      <c r="L13" s="54" t="inlineStr">
        <is>
          <t>Professional evidence, case review and challenge exercise</t>
        </is>
      </c>
      <c r="M13" s="54" t="inlineStr">
        <is>
          <t>On assignment; annual CPD review</t>
        </is>
      </c>
      <c r="N13" s="55" t="inlineStr">
        <is>
          <t>Not assessed</t>
        </is>
      </c>
      <c r="O13" s="55" t="n"/>
      <c r="P13" s="55" t="inlineStr">
        <is>
          <t>Validate AI-specific application of professional expertise and access to external advice.</t>
        </is>
      </c>
      <c r="Q13" s="55" t="inlineStr">
        <is>
          <t>Relevant Function Head</t>
        </is>
      </c>
      <c r="R13" s="56" t="n"/>
      <c r="S13" s="55" t="n"/>
      <c r="T13" s="54" t="inlineStr">
        <is>
          <t>OBJ-03, OBJ-04; R-05, R-07; TRN-05, TRN-06</t>
        </is>
      </c>
      <c r="U13" s="54">
        <f>IF(AND(A13&lt;&gt;"",B13&lt;&gt;"",C13&lt;&gt;"",D13&lt;&gt;"",E13&lt;&gt;"",F13&lt;&gt;"",G13&lt;&gt;"",H13&lt;&gt;"",I13&lt;&gt;"",J13&lt;&gt;"",K13&lt;&gt;"",L13&lt;&gt;"",M13&lt;&gt;"",N13&lt;&gt;"",P13&lt;&gt;"",Q13&lt;&gt;"",T13&lt;&gt;""),IF(N13="Not assessed","Complete",IF(AND(O13&lt;&gt;"",R13&lt;&gt;"",S13&lt;&gt;""),"Complete","Assessment evidence incomplete")),"Incomplete")</f>
        <v/>
      </c>
    </row>
    <row r="14" ht="21.75" customHeight="1" s="32">
      <c r="A14" s="53" t="inlineStr">
        <is>
          <t>CMP-08</t>
        </is>
      </c>
      <c r="B14" s="54" t="inlineStr">
        <is>
          <t>Cyber Security specialists</t>
        </is>
      </c>
      <c r="C14" s="54" t="inlineStr">
        <is>
          <t>Level 4 — AI Specialist</t>
        </is>
      </c>
      <c r="D14" s="57" t="n">
        <v>3</v>
      </c>
      <c r="E14" s="57" t="n">
        <v>3</v>
      </c>
      <c r="F14" s="57" t="n">
        <v>4</v>
      </c>
      <c r="G14" s="57" t="n">
        <v>3</v>
      </c>
      <c r="H14" s="57" t="n">
        <v>3</v>
      </c>
      <c r="I14" s="57" t="n">
        <v>4</v>
      </c>
      <c r="J14" s="57" t="n">
        <v>3</v>
      </c>
      <c r="K14" s="57" t="n">
        <v>3</v>
      </c>
      <c r="L14" s="54" t="inlineStr">
        <is>
          <t>Threat-model review, technical exercise and professional evidence</t>
        </is>
      </c>
      <c r="M14" s="54" t="inlineStr">
        <is>
          <t>On assignment; annual CPD review and threat change</t>
        </is>
      </c>
      <c r="N14" s="55" t="inlineStr">
        <is>
          <t>Not assessed</t>
        </is>
      </c>
      <c r="O14" s="55" t="n"/>
      <c r="P14" s="55" t="inlineStr">
        <is>
          <t>Validate AI-specific threat, misuse, resilience and supplier-security competence.</t>
        </is>
      </c>
      <c r="Q14" s="55" t="inlineStr">
        <is>
          <t>Head of Cyber Security</t>
        </is>
      </c>
      <c r="R14" s="56" t="n"/>
      <c r="S14" s="55" t="n"/>
      <c r="T14" s="54" t="inlineStr">
        <is>
          <t>OBJ-04, OBJ-07; R-05, R-10, R-12; TRN-07, TRN-10, TRN-11</t>
        </is>
      </c>
      <c r="U14" s="54">
        <f>IF(AND(A14&lt;&gt;"",B14&lt;&gt;"",C14&lt;&gt;"",D14&lt;&gt;"",E14&lt;&gt;"",F14&lt;&gt;"",G14&lt;&gt;"",H14&lt;&gt;"",I14&lt;&gt;"",J14&lt;&gt;"",K14&lt;&gt;"",L14&lt;&gt;"",M14&lt;&gt;"",N14&lt;&gt;"",P14&lt;&gt;"",Q14&lt;&gt;"",T14&lt;&gt;""),IF(N14="Not assessed","Complete",IF(AND(O14&lt;&gt;"",R14&lt;&gt;"",S14&lt;&gt;""),"Complete","Assessment evidence incomplete")),"Incomplete")</f>
        <v/>
      </c>
    </row>
    <row r="15" ht="21.75" customHeight="1" s="32">
      <c r="A15" s="53" t="inlineStr">
        <is>
          <t>CMP-09</t>
        </is>
      </c>
      <c r="B15" s="54" t="inlineStr">
        <is>
          <t>Legal, equality, human-rights and safeguarding specialists</t>
        </is>
      </c>
      <c r="C15" s="54" t="inlineStr">
        <is>
          <t>Level 4 — AI Specialist</t>
        </is>
      </c>
      <c r="D15" s="57" t="n">
        <v>3</v>
      </c>
      <c r="E15" s="57" t="n">
        <v>4</v>
      </c>
      <c r="F15" s="57" t="n">
        <v>4</v>
      </c>
      <c r="G15" s="57" t="n">
        <v>4</v>
      </c>
      <c r="H15" s="57" t="n">
        <v>3</v>
      </c>
      <c r="I15" s="57" t="n">
        <v>2</v>
      </c>
      <c r="J15" s="57" t="n">
        <v>3</v>
      </c>
      <c r="K15" s="57" t="n">
        <v>3</v>
      </c>
      <c r="L15" s="54" t="inlineStr">
        <is>
          <t>Professional evidence and cross-functional case challenge</t>
        </is>
      </c>
      <c r="M15" s="54" t="inlineStr">
        <is>
          <t>On assignment; annual CPD review and legal change</t>
        </is>
      </c>
      <c r="N15" s="55" t="inlineStr">
        <is>
          <t>Not assessed</t>
        </is>
      </c>
      <c r="O15" s="55" t="n"/>
      <c r="P15" s="55" t="inlineStr">
        <is>
          <t>Validate AI-specific public-law, equality, rights and safeguarding capability.</t>
        </is>
      </c>
      <c r="Q15" s="55" t="inlineStr">
        <is>
          <t>Relevant Function Head</t>
        </is>
      </c>
      <c r="R15" s="56" t="n"/>
      <c r="S15" s="55" t="n"/>
      <c r="T15" s="54" t="inlineStr">
        <is>
          <t>OBJ-03, OBJ-05; R-05, R-06, R-08, R-13; TRN-05</t>
        </is>
      </c>
      <c r="U15" s="54">
        <f>IF(AND(A15&lt;&gt;"",B15&lt;&gt;"",C15&lt;&gt;"",D15&lt;&gt;"",E15&lt;&gt;"",F15&lt;&gt;"",G15&lt;&gt;"",H15&lt;&gt;"",I15&lt;&gt;"",J15&lt;&gt;"",K15&lt;&gt;"",L15&lt;&gt;"",M15&lt;&gt;"",N15&lt;&gt;"",P15&lt;&gt;"",Q15&lt;&gt;"",T15&lt;&gt;""),IF(N15="Not assessed","Complete",IF(AND(O15&lt;&gt;"",R15&lt;&gt;"",S15&lt;&gt;""),"Complete","Assessment evidence incomplete")),"Incomplete")</f>
        <v/>
      </c>
    </row>
    <row r="16" ht="21.75" customHeight="1" s="32">
      <c r="A16" s="53" t="inlineStr">
        <is>
          <t>CMP-10</t>
        </is>
      </c>
      <c r="B16" s="54" t="inlineStr">
        <is>
          <t>Procurement, commercial and contract owners</t>
        </is>
      </c>
      <c r="C16" s="54" t="inlineStr">
        <is>
          <t>Level 3 — AI Owner / Manager</t>
        </is>
      </c>
      <c r="D16" s="57" t="n">
        <v>3</v>
      </c>
      <c r="E16" s="57" t="n">
        <v>3</v>
      </c>
      <c r="F16" s="57" t="n">
        <v>4</v>
      </c>
      <c r="G16" s="57" t="n">
        <v>3</v>
      </c>
      <c r="H16" s="57" t="n">
        <v>3</v>
      </c>
      <c r="I16" s="57" t="n">
        <v>3</v>
      </c>
      <c r="J16" s="57" t="n">
        <v>4</v>
      </c>
      <c r="K16" s="57" t="n">
        <v>3</v>
      </c>
      <c r="L16" s="54" t="inlineStr">
        <is>
          <t>Supplier case assessment and contract-control review</t>
        </is>
      </c>
      <c r="M16" s="54" t="inlineStr">
        <is>
          <t>Before material AI procurement; annual refresh</t>
        </is>
      </c>
      <c r="N16" s="55" t="inlineStr">
        <is>
          <t>Not assessed</t>
        </is>
      </c>
      <c r="O16" s="55" t="n"/>
      <c r="P16" s="55" t="inlineStr">
        <is>
          <t>Validate early governance triggering, due diligence, clauses, evidence rights and exit competence.</t>
        </is>
      </c>
      <c r="Q16" s="55" t="inlineStr">
        <is>
          <t>Head of Procurement / AI Governance Lead</t>
        </is>
      </c>
      <c r="R16" s="56" t="n"/>
      <c r="S16" s="55" t="n"/>
      <c r="T16" s="54" t="inlineStr">
        <is>
          <t>OBJ-06; R-05, R-09, R-15; TRN-08</t>
        </is>
      </c>
      <c r="U16" s="54">
        <f>IF(AND(A16&lt;&gt;"",B16&lt;&gt;"",C16&lt;&gt;"",D16&lt;&gt;"",E16&lt;&gt;"",F16&lt;&gt;"",G16&lt;&gt;"",H16&lt;&gt;"",I16&lt;&gt;"",J16&lt;&gt;"",K16&lt;&gt;"",L16&lt;&gt;"",M16&lt;&gt;"",N16&lt;&gt;"",P16&lt;&gt;"",Q16&lt;&gt;"",T16&lt;&gt;""),IF(N16="Not assessed","Complete",IF(AND(O16&lt;&gt;"",R16&lt;&gt;"",S16&lt;&gt;""),"Complete","Assessment evidence incomplete")),"Incomplete")</f>
        <v/>
      </c>
    </row>
    <row r="17" ht="21.75" customHeight="1" s="32">
      <c r="A17" s="53" t="inlineStr">
        <is>
          <t>CMP-11</t>
        </is>
      </c>
      <c r="B17" s="54" t="inlineStr">
        <is>
          <t>Governance Secretariat and Working Group members</t>
        </is>
      </c>
      <c r="C17" s="54" t="inlineStr">
        <is>
          <t>Level 4 — AI Specialist</t>
        </is>
      </c>
      <c r="D17" s="57" t="n">
        <v>3</v>
      </c>
      <c r="E17" s="57" t="n">
        <v>4</v>
      </c>
      <c r="F17" s="57" t="n">
        <v>4</v>
      </c>
      <c r="G17" s="57" t="n">
        <v>4</v>
      </c>
      <c r="H17" s="57" t="n">
        <v>3</v>
      </c>
      <c r="I17" s="57" t="n">
        <v>3</v>
      </c>
      <c r="J17" s="57" t="n">
        <v>4</v>
      </c>
      <c r="K17" s="57" t="n">
        <v>3</v>
      </c>
      <c r="L17" s="54" t="inlineStr">
        <is>
          <t>Induction, calibrated case exercise and decision-record sample</t>
        </is>
      </c>
      <c r="M17" s="54" t="inlineStr">
        <is>
          <t>Before participation; annual calibration</t>
        </is>
      </c>
      <c r="N17" s="55" t="inlineStr">
        <is>
          <t>Not assessed</t>
        </is>
      </c>
      <c r="O17" s="55" t="n"/>
      <c r="P17" s="55" t="inlineStr">
        <is>
          <t>Assess consistent triage, evidence challenge, conflicts, decisions and escalation.</t>
        </is>
      </c>
      <c r="Q17" s="55" t="inlineStr">
        <is>
          <t>AI Governance Lead / Working Group Chair</t>
        </is>
      </c>
      <c r="R17" s="56" t="n"/>
      <c r="S17" s="55" t="n"/>
      <c r="T17" s="54" t="inlineStr">
        <is>
          <t>OBJ-02, OBJ-08; R-03 to R-05; TRN-04, TRN-09</t>
        </is>
      </c>
      <c r="U17" s="54">
        <f>IF(AND(A17&lt;&gt;"",B17&lt;&gt;"",C17&lt;&gt;"",D17&lt;&gt;"",E17&lt;&gt;"",F17&lt;&gt;"",G17&lt;&gt;"",H17&lt;&gt;"",I17&lt;&gt;"",J17&lt;&gt;"",K17&lt;&gt;"",L17&lt;&gt;"",M17&lt;&gt;"",N17&lt;&gt;"",P17&lt;&gt;"",Q17&lt;&gt;"",T17&lt;&gt;""),IF(N17="Not assessed","Complete",IF(AND(O17&lt;&gt;"",R17&lt;&gt;"",S17&lt;&gt;""),"Complete","Assessment evidence incomplete")),"Incomplete")</f>
        <v/>
      </c>
    </row>
    <row r="18" ht="32.25" customHeight="1" s="32">
      <c r="A18" s="53" t="inlineStr">
        <is>
          <t>CMP-12</t>
        </is>
      </c>
      <c r="B18" s="54" t="inlineStr">
        <is>
          <t>AI Assurance Board and Executive Sponsor</t>
        </is>
      </c>
      <c r="C18" s="54" t="inlineStr">
        <is>
          <t>Level 5 — AI Governance Leader</t>
        </is>
      </c>
      <c r="D18" s="57" t="n">
        <v>3</v>
      </c>
      <c r="E18" s="57" t="n">
        <v>4</v>
      </c>
      <c r="F18" s="57" t="n">
        <v>4</v>
      </c>
      <c r="G18" s="57" t="n">
        <v>4</v>
      </c>
      <c r="H18" s="57" t="n">
        <v>3</v>
      </c>
      <c r="I18" s="57" t="n">
        <v>3</v>
      </c>
      <c r="J18" s="57" t="n">
        <v>3</v>
      </c>
      <c r="K18" s="57" t="n">
        <v>4</v>
      </c>
      <c r="L18" s="54" t="inlineStr">
        <is>
          <t>Board induction, strategic scenario and management-review evaluation</t>
        </is>
      </c>
      <c r="M18" s="54" t="inlineStr">
        <is>
          <t>Before decision authority; annual update</t>
        </is>
      </c>
      <c r="N18" s="55" t="inlineStr">
        <is>
          <t>Not assessed</t>
        </is>
      </c>
      <c r="O18" s="55" t="n"/>
      <c r="P18" s="55" t="inlineStr">
        <is>
          <t>Confirm leadership understanding of accountability, risk acceptance, resources and management review.</t>
        </is>
      </c>
      <c r="Q18" s="55" t="inlineStr">
        <is>
          <t>AI Governance Lead</t>
        </is>
      </c>
      <c r="R18" s="56" t="n"/>
      <c r="S18" s="55" t="n"/>
      <c r="T18" s="54" t="inlineStr">
        <is>
          <t>OBJ-08; R-01, R-04, R-05; TRN-09, TRN-10</t>
        </is>
      </c>
      <c r="U18" s="54">
        <f>IF(AND(A18&lt;&gt;"",B18&lt;&gt;"",C18&lt;&gt;"",D18&lt;&gt;"",E18&lt;&gt;"",F18&lt;&gt;"",G18&lt;&gt;"",H18&lt;&gt;"",I18&lt;&gt;"",J18&lt;&gt;"",K18&lt;&gt;"",L18&lt;&gt;"",M18&lt;&gt;"",N18&lt;&gt;"",P18&lt;&gt;"",Q18&lt;&gt;"",T18&lt;&gt;""),IF(N18="Not assessed","Complete",IF(AND(O18&lt;&gt;"",R18&lt;&gt;"",S18&lt;&gt;""),"Complete","Assessment evidence incomplete")),"Incomplete")</f>
        <v/>
      </c>
    </row>
    <row r="19" ht="32.25" customHeight="1" s="32">
      <c r="A19" s="53" t="inlineStr">
        <is>
          <t>CMP-13</t>
        </is>
      </c>
      <c r="B19" s="54" t="inlineStr">
        <is>
          <t>AI Governance Lead and Internal Audit</t>
        </is>
      </c>
      <c r="C19" s="54" t="inlineStr">
        <is>
          <t>Level 5 / Level 4 specialist</t>
        </is>
      </c>
      <c r="D19" s="57" t="n">
        <v>4</v>
      </c>
      <c r="E19" s="57" t="n">
        <v>4</v>
      </c>
      <c r="F19" s="57" t="n">
        <v>4</v>
      </c>
      <c r="G19" s="57" t="n">
        <v>4</v>
      </c>
      <c r="H19" s="57" t="n">
        <v>4</v>
      </c>
      <c r="I19" s="57" t="n">
        <v>4</v>
      </c>
      <c r="J19" s="57" t="n">
        <v>4</v>
      </c>
      <c r="K19" s="57" t="n">
        <v>4</v>
      </c>
      <c r="L19" s="54" t="inlineStr">
        <is>
          <t>Advanced AIMS assessment, audit/implementation evidence and independent review</t>
        </is>
      </c>
      <c r="M19" s="54" t="inlineStr">
        <is>
          <t>On appointment; annual CPD and external-change review</t>
        </is>
      </c>
      <c r="N19" s="55" t="inlineStr">
        <is>
          <t>Not assessed</t>
        </is>
      </c>
      <c r="O19" s="55" t="n"/>
      <c r="P19" s="55" t="inlineStr">
        <is>
          <t>Confirm sufficient ISO/IEC 42001, audit, regulatory and practical governance capability; obtain expert support for gaps.</t>
        </is>
      </c>
      <c r="Q19" s="55" t="inlineStr">
        <is>
          <t>Executive Sponsor / Head of Internal Audit</t>
        </is>
      </c>
      <c r="R19" s="56" t="n"/>
      <c r="S19" s="55" t="n"/>
      <c r="T19" s="54" t="inlineStr">
        <is>
          <t>OBJ-08; R-05, R-14; IMP-05, IMP-09, IMP-14; TRN-12</t>
        </is>
      </c>
      <c r="U19" s="54">
        <f>IF(AND(A19&lt;&gt;"",B19&lt;&gt;"",C19&lt;&gt;"",D19&lt;&gt;"",E19&lt;&gt;"",F19&lt;&gt;"",G19&lt;&gt;"",H19&lt;&gt;"",I19&lt;&gt;"",J19&lt;&gt;"",K19&lt;&gt;"",L19&lt;&gt;"",M19&lt;&gt;"",N19&lt;&gt;"",P19&lt;&gt;"",Q19&lt;&gt;"",T19&lt;&gt;""),IF(N19="Not assessed","Complete",IF(AND(O19&lt;&gt;"",R19&lt;&gt;"",S19&lt;&gt;""),"Complete","Assessment evidence incomplete")),"Incomplete")</f>
        <v/>
      </c>
    </row>
  </sheetData>
  <mergeCells count="4">
    <mergeCell ref="A1:U1"/>
    <mergeCell ref="A4:U4"/>
    <mergeCell ref="A3:U3"/>
    <mergeCell ref="A2:U2"/>
  </mergeCells>
  <conditionalFormatting sqref="N7:N19">
    <cfRule type="containsText" rank="0" priority="2" equalAverage="0" operator="containsText" aboveAverage="0" dxfId="9" text="Assessed - competent" percent="0" bottom="0">
      <formula>NOT(ISERROR(SEARCH("Assessed - competent",N7)))</formula>
    </cfRule>
    <cfRule type="containsText" rank="0" priority="3" equalAverage="0" operator="containsText" aboveAverage="0" dxfId="10" text="gap" percent="0" bottom="0">
      <formula>NOT(ISERROR(SEARCH("gap",N7)))</formula>
    </cfRule>
    <cfRule type="containsText" rank="0" priority="4" equalAverage="0" operator="containsText" aboveAverage="0" dxfId="11" text="planned" percent="0" bottom="0">
      <formula>NOT(ISERROR(SEARCH("planned",N7)))</formula>
    </cfRule>
  </conditionalFormatting>
  <conditionalFormatting sqref="U7:U19">
    <cfRule type="containsText" rank="0" priority="5" equalAverage="0" operator="containsText" aboveAverage="0" dxfId="9" text="Complete" percent="0" bottom="0">
      <formula>NOT(ISERROR(SEARCH("Complete",U7)))</formula>
    </cfRule>
  </conditionalFormatting>
  <dataValidations count="2">
    <dataValidation sqref="D7:K19" showDropDown="0" showInputMessage="0" showErrorMessage="0" allowBlank="0" type="whole" errorStyle="stop" operator="between">
      <formula1>1</formula1>
      <formula2>4</formula2>
    </dataValidation>
    <dataValidation sqref="N7:N19" showDropDown="0" showInputMessage="0" showErrorMessage="0" allowBlank="0" type="list" errorStyle="stop" operator="between">
      <formula1>"Not assessed,Assessment planned,Assessed - competent,Assessed - gap,Expired / reassess"</formula1>
      <formula2>0</formula2>
    </dataValidation>
  </dataValidations>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U18"/>
  <sheetViews>
    <sheetView showGridLines="0" workbookViewId="0">
      <selection activeCell="A1" sqref="A1"/>
    </sheetView>
  </sheetViews>
  <sheetFormatPr baseColWidth="8" defaultColWidth="9.47265625" defaultRowHeight="15"/>
  <cols>
    <col width="13.1899995803833" customWidth="1" style="31" min="1" max="1"/>
    <col width="37.36999893188477" customWidth="1" style="31" min="2" max="2"/>
    <col width="34.06999969482422" customWidth="1" style="31" min="3" max="3"/>
    <col width="19.79000091552734" customWidth="1" style="31" min="4" max="4"/>
    <col width="21.97999954223633" customWidth="1" style="31" min="5" max="5"/>
    <col width="27.47999954223633" customWidth="1" style="31" min="6" max="6"/>
    <col width="48.36000061035156" customWidth="1" style="31" min="7" max="7"/>
    <col width="34.06999969482422" customWidth="1" style="31" min="8" max="8"/>
    <col width="29.65999984741211" customWidth="1" style="31" min="9" max="9"/>
    <col width="19.79000091552734" customWidth="1" style="31" min="10" max="10"/>
    <col width="14.28999996185303" customWidth="1" style="31" min="11" max="11"/>
    <col width="24.18000030517578" customWidth="1" style="31" min="12" max="12"/>
    <col width="39.56999969482422" customWidth="1" style="31" min="13" max="13"/>
    <col width="15.39000034332275" customWidth="1" style="31" min="14" max="15"/>
    <col width="27.47999954223633" customWidth="1" style="31" min="16" max="16"/>
    <col width="14.28999996185303" customWidth="1" style="31" min="17" max="17"/>
    <col width="35.16999816894531" customWidth="1" style="31" min="18" max="18"/>
    <col width="27.47999954223633" customWidth="1" style="31" min="19" max="19"/>
    <col width="37.36999893188477" customWidth="1" style="31" min="20" max="20"/>
    <col width="21.97999954223633" customWidth="1" style="31" min="21" max="21"/>
  </cols>
  <sheetData>
    <row r="1" ht="31.5" customHeight="1" s="32">
      <c r="A1" s="33" t="inlineStr">
        <is>
          <t>The Council — AIMS Learning and Awareness Plan</t>
        </is>
      </c>
    </row>
    <row r="2" ht="21.75" customHeight="1" s="32">
      <c r="A2" s="34" t="inlineStr">
        <is>
          <t>AIG-AIMS-04  ·  v1.3 draft  ·  Draft for Council review  ·  OFFICIAL  ·  ISO/IEC 42001:2023</t>
        </is>
      </c>
    </row>
    <row r="3" ht="24" customHeight="1" s="32">
      <c r="A3" s="35" t="inlineStr">
        <is>
          <t>Purpose: define role-based learning, timing, outcomes, delivery, completion, assessment and effectiveness evidence required to support competent AIMS operation.</t>
        </is>
      </c>
    </row>
    <row r="4" ht="28.5" customHeight="1" s="32">
      <c r="A4" s="36" t="inlineStr">
        <is>
          <t>Current position: modules and targets are proposed designs. No delivery, completion or effectiveness is claimed; approve audience, content, accessibility, dates, pass criteria, ownership and evidence before launch.</t>
        </is>
      </c>
    </row>
    <row r="5"/>
    <row r="6" ht="43.5" customHeight="1" s="32">
      <c r="A6" s="52" t="inlineStr">
        <is>
          <t>Module ID</t>
        </is>
      </c>
      <c r="B6" s="52" t="inlineStr">
        <is>
          <t>Module</t>
        </is>
      </c>
      <c r="C6" s="52" t="inlineStr">
        <is>
          <t>Audience</t>
        </is>
      </c>
      <c r="D6" s="52" t="inlineStr">
        <is>
          <t>Competency level</t>
        </is>
      </c>
      <c r="E6" s="52" t="inlineStr">
        <is>
          <t>Requirement</t>
        </is>
      </c>
      <c r="F6" s="52" t="inlineStr">
        <is>
          <t>Trigger / deadline</t>
        </is>
      </c>
      <c r="G6" s="52" t="inlineStr">
        <is>
          <t>Learning outcomes</t>
        </is>
      </c>
      <c r="H6" s="52" t="inlineStr">
        <is>
          <t>Delivery method</t>
        </is>
      </c>
      <c r="I6" s="52" t="inlineStr">
        <is>
          <t>Owner</t>
        </is>
      </c>
      <c r="J6" s="52" t="inlineStr">
        <is>
          <t>Status</t>
        </is>
      </c>
      <c r="K6" s="52" t="inlineStr">
        <is>
          <t>Planned date</t>
        </is>
      </c>
      <c r="L6" s="52" t="inlineStr">
        <is>
          <t>Recurrence</t>
        </is>
      </c>
      <c r="M6" s="52" t="inlineStr">
        <is>
          <t>Assessment / effectiveness</t>
        </is>
      </c>
      <c r="N6" s="52" t="inlineStr">
        <is>
          <t>Completion target</t>
        </is>
      </c>
      <c r="O6" s="52" t="inlineStr">
        <is>
          <t>Completion rate</t>
        </is>
      </c>
      <c r="P6" s="52" t="inlineStr">
        <is>
          <t>Evidence location</t>
        </is>
      </c>
      <c r="Q6" s="52" t="inlineStr">
        <is>
          <t>Review date</t>
        </is>
      </c>
      <c r="R6" s="52" t="inlineStr">
        <is>
          <t>Related objectives / risks / actions</t>
        </is>
      </c>
      <c r="S6" s="52" t="inlineStr">
        <is>
          <t>ISO / SoA links</t>
        </is>
      </c>
      <c r="T6" s="52" t="inlineStr">
        <is>
          <t>Decision / design note</t>
        </is>
      </c>
      <c r="U6" s="52" t="inlineStr">
        <is>
          <t>Record QA</t>
        </is>
      </c>
    </row>
    <row r="7" ht="32.25" customHeight="1" s="32">
      <c r="A7" s="53" t="inlineStr">
        <is>
          <t>TRN-01</t>
        </is>
      </c>
      <c r="B7" s="54" t="inlineStr">
        <is>
          <t>AI Awareness</t>
        </is>
      </c>
      <c r="C7" s="54" t="inlineStr">
        <is>
          <t>All employees, agency workers and relevant contractors</t>
        </is>
      </c>
      <c r="D7" s="54" t="inlineStr">
        <is>
          <t>Level 1</t>
        </is>
      </c>
      <c r="E7" s="54" t="inlineStr">
        <is>
          <t>Mandatory</t>
        </is>
      </c>
      <c r="F7" s="54" t="inlineStr">
        <is>
          <t>At induction and before Council AI use</t>
        </is>
      </c>
      <c r="G7" s="54" t="inlineStr">
        <is>
          <t>Recognise AI; understand Council principles, registration, acceptable use, data handling, human accountability and concern routes.</t>
        </is>
      </c>
      <c r="H7" s="54" t="inlineStr">
        <is>
          <t>Accessible e-learning with short knowledge check</t>
        </is>
      </c>
      <c r="I7" s="54" t="inlineStr">
        <is>
          <t>HR / L&amp;D with AI Governance Lead</t>
        </is>
      </c>
      <c r="J7" s="55" t="inlineStr">
        <is>
          <t>Draft design</t>
        </is>
      </c>
      <c r="K7" s="56" t="n"/>
      <c r="L7" s="55" t="inlineStr">
        <is>
          <t>At least annually</t>
        </is>
      </c>
      <c r="M7" s="55" t="inlineStr">
        <is>
          <t>Completion, pass score, feedback and incident trend</t>
        </is>
      </c>
      <c r="N7" s="58" t="n">
        <v>1</v>
      </c>
      <c r="O7" s="58" t="n">
        <v>0</v>
      </c>
      <c r="P7" s="55" t="n"/>
      <c r="Q7" s="56" t="n"/>
      <c r="R7" s="54" t="inlineStr">
        <is>
          <t>OBJ-08; R-05; IMP-09</t>
        </is>
      </c>
      <c r="S7" s="54" t="inlineStr">
        <is>
          <t>ISO 7.2-7.3; A.3.3, A.4.6</t>
        </is>
      </c>
      <c r="T7" s="54" t="inlineStr">
        <is>
          <t>Confirm target population, pass score, accessibility and LMS reporting.</t>
        </is>
      </c>
      <c r="U7" s="54">
        <f>IF(AND(A7&lt;&gt;"",B7&lt;&gt;"",C7&lt;&gt;"",D7&lt;&gt;"",E7&lt;&gt;"",F7&lt;&gt;"",G7&lt;&gt;"",H7&lt;&gt;"",I7&lt;&gt;"",J7&lt;&gt;"",L7&lt;&gt;"",M7&lt;&gt;"",ISNUMBER(N7),ISNUMBER(O7),R7&lt;&gt;"",S7&lt;&gt;"",T7&lt;&gt;""),IF(J7="Draft design","Complete",IF(AND(K7&lt;&gt;"",P7&lt;&gt;"",Q7&lt;&gt;""),"Complete","Delivery evidence incomplete")),"Incomplete")</f>
        <v/>
      </c>
    </row>
    <row r="8" ht="32.25" customHeight="1" s="32">
      <c r="A8" s="53" t="inlineStr">
        <is>
          <t>TRN-02</t>
        </is>
      </c>
      <c r="B8" s="54" t="inlineStr">
        <is>
          <t>Approved AI Use, Acceptable Use and Data Handling</t>
        </is>
      </c>
      <c r="C8" s="54" t="inlineStr">
        <is>
          <t>Regular AI users and practitioners</t>
        </is>
      </c>
      <c r="D8" s="54" t="inlineStr">
        <is>
          <t>Level 2</t>
        </is>
      </c>
      <c r="E8" s="54" t="inlineStr">
        <is>
          <t>Mandatory for AI users</t>
        </is>
      </c>
      <c r="F8" s="54" t="inlineStr">
        <is>
          <t>Before access to an approved AI system</t>
        </is>
      </c>
      <c r="G8" s="54" t="inlineStr">
        <is>
          <t>Apply approved instructions; protect information; verify outputs; maintain human responsibility; report errors, incidents and suspected unregistered use.</t>
        </is>
      </c>
      <c r="H8" s="54" t="inlineStr">
        <is>
          <t>System-linked e-learning plus local briefing</t>
        </is>
      </c>
      <c r="I8" s="54" t="inlineStr">
        <is>
          <t>Service Owner / Information Governance</t>
        </is>
      </c>
      <c r="J8" s="55" t="inlineStr">
        <is>
          <t>Draft design</t>
        </is>
      </c>
      <c r="K8" s="56" t="n"/>
      <c r="L8" s="55" t="inlineStr">
        <is>
          <t>Annual and on instruction change</t>
        </is>
      </c>
      <c r="M8" s="55" t="inlineStr">
        <is>
          <t>Knowledge check, observed practice, user error and incident data</t>
        </is>
      </c>
      <c r="N8" s="58" t="n">
        <v>1</v>
      </c>
      <c r="O8" s="58" t="n">
        <v>0</v>
      </c>
      <c r="P8" s="55" t="n"/>
      <c r="Q8" s="56" t="n"/>
      <c r="R8" s="54" t="inlineStr">
        <is>
          <t>OBJ-04, OBJ-05; R-05, R-10; CMP-02</t>
        </is>
      </c>
      <c r="S8" s="54" t="inlineStr">
        <is>
          <t>ISO 7.2-7.3, 8.1; A.4.6, A.9.2</t>
        </is>
      </c>
      <c r="T8" s="54" t="inlineStr">
        <is>
          <t>Link access provisioning to completion where technically and lawfully appropriate.</t>
        </is>
      </c>
      <c r="U8" s="54">
        <f>IF(AND(A8&lt;&gt;"",B8&lt;&gt;"",C8&lt;&gt;"",D8&lt;&gt;"",E8&lt;&gt;"",F8&lt;&gt;"",G8&lt;&gt;"",H8&lt;&gt;"",I8&lt;&gt;"",J8&lt;&gt;"",L8&lt;&gt;"",M8&lt;&gt;"",ISNUMBER(N8),ISNUMBER(O8),R8&lt;&gt;"",S8&lt;&gt;"",T8&lt;&gt;""),IF(J8="Draft design","Complete",IF(AND(K8&lt;&gt;"",P8&lt;&gt;"",Q8&lt;&gt;""),"Complete","Delivery evidence incomplete")),"Incomplete")</f>
        <v/>
      </c>
    </row>
    <row r="9" ht="21.75" customHeight="1" s="32">
      <c r="A9" s="53" t="inlineStr">
        <is>
          <t>TRN-03</t>
        </is>
      </c>
      <c r="B9" s="54" t="inlineStr">
        <is>
          <t>AI Governance for Managers</t>
        </is>
      </c>
      <c r="C9" s="54" t="inlineStr">
        <is>
          <t>Managers of staff who use, commission or oversee AI</t>
        </is>
      </c>
      <c r="D9" s="54" t="inlineStr">
        <is>
          <t>Level 3</t>
        </is>
      </c>
      <c r="E9" s="54" t="inlineStr">
        <is>
          <t>Mandatory for in-scope managers</t>
        </is>
      </c>
      <c r="F9" s="54" t="inlineStr">
        <is>
          <t>On appointment or before supervisory responsibility</t>
        </is>
      </c>
      <c r="G9" s="54" t="inlineStr">
        <is>
          <t>Recognise governance triggers; assign owners; prevent shadow AI; support oversight, challenge, escalation and staff capability.</t>
        </is>
      </c>
      <c r="H9" s="54" t="inlineStr">
        <is>
          <t>Workshop or facilitated e-learning with scenarios</t>
        </is>
      </c>
      <c r="I9" s="54" t="inlineStr">
        <is>
          <t>AI Governance Lead / HR-L&amp;D</t>
        </is>
      </c>
      <c r="J9" s="55" t="inlineStr">
        <is>
          <t>Draft design</t>
        </is>
      </c>
      <c r="K9" s="56" t="n"/>
      <c r="L9" s="55" t="inlineStr">
        <is>
          <t>At least annually</t>
        </is>
      </c>
      <c r="M9" s="55" t="inlineStr">
        <is>
          <t>Scenario score, manager confidence, registration and escalation trends</t>
        </is>
      </c>
      <c r="N9" s="58" t="n">
        <v>1</v>
      </c>
      <c r="O9" s="58" t="n">
        <v>0</v>
      </c>
      <c r="P9" s="55" t="n"/>
      <c r="Q9" s="56" t="n"/>
      <c r="R9" s="54" t="inlineStr">
        <is>
          <t>OBJ-01, OBJ-08; R-02, R-05; CMP-03</t>
        </is>
      </c>
      <c r="S9" s="54" t="inlineStr">
        <is>
          <t>ISO 5.3, 7.2-7.3; A.4.6, A.9.2</t>
        </is>
      </c>
      <c r="T9" s="54" t="inlineStr">
        <is>
          <t>Confirm manager population and appointment timeframe.</t>
        </is>
      </c>
      <c r="U9" s="54">
        <f>IF(AND(A9&lt;&gt;"",B9&lt;&gt;"",C9&lt;&gt;"",D9&lt;&gt;"",E9&lt;&gt;"",F9&lt;&gt;"",G9&lt;&gt;"",H9&lt;&gt;"",I9&lt;&gt;"",J9&lt;&gt;"",L9&lt;&gt;"",M9&lt;&gt;"",ISNUMBER(N9),ISNUMBER(O9),R9&lt;&gt;"",S9&lt;&gt;"",T9&lt;&gt;""),IF(J9="Draft design","Complete",IF(AND(K9&lt;&gt;"",P9&lt;&gt;"",Q9&lt;&gt;""),"Complete","Delivery evidence incomplete")),"Incomplete")</f>
        <v/>
      </c>
    </row>
    <row r="10" ht="32.25" customHeight="1" s="32">
      <c r="A10" s="53" t="inlineStr">
        <is>
          <t>TRN-04</t>
        </is>
      </c>
      <c r="B10" s="54" t="inlineStr">
        <is>
          <t>Service and System Owner Lifecycle Governance</t>
        </is>
      </c>
      <c r="C10" s="54" t="inlineStr">
        <is>
          <t>Service Owners, System Owners, operational leads and secretariat</t>
        </is>
      </c>
      <c r="D10" s="54" t="inlineStr">
        <is>
          <t>Level 3</t>
        </is>
      </c>
      <c r="E10" s="54" t="inlineStr">
        <is>
          <t>Mandatory for assigned owners</t>
        </is>
      </c>
      <c r="F10" s="54" t="inlineStr">
        <is>
          <t>Before ownership or approval authority</t>
        </is>
      </c>
      <c r="G10" s="54" t="inlineStr">
        <is>
          <t>Operate intake, AGPI, assessments, decision records, conditions, monitoring, material change, evidence, incidents and retirement.</t>
        </is>
      </c>
      <c r="H10" s="54" t="inlineStr">
        <is>
          <t>Facilitated case-based workshop using suite artefacts</t>
        </is>
      </c>
      <c r="I10" s="54" t="inlineStr">
        <is>
          <t>AI Governance Lead</t>
        </is>
      </c>
      <c r="J10" s="55" t="inlineStr">
        <is>
          <t>Draft design</t>
        </is>
      </c>
      <c r="K10" s="56" t="n"/>
      <c r="L10" s="55" t="inlineStr">
        <is>
          <t>Annual calibration and on process change</t>
        </is>
      </c>
      <c r="M10" s="55" t="inlineStr">
        <is>
          <t>Completed case, evidence-quality review and governance rework rate</t>
        </is>
      </c>
      <c r="N10" s="58" t="n">
        <v>1</v>
      </c>
      <c r="O10" s="58" t="n">
        <v>0</v>
      </c>
      <c r="P10" s="55" t="n"/>
      <c r="Q10" s="56" t="n"/>
      <c r="R10" s="54" t="inlineStr">
        <is>
          <t>OBJ-01, OBJ-02, OBJ-04; R-03 to R-05; IMP-05, IMP-09</t>
        </is>
      </c>
      <c r="S10" s="54" t="inlineStr">
        <is>
          <t>ISO 5.3, 7.2, 8.1; A.3.2, A.6.2, A.9.2</t>
        </is>
      </c>
      <c r="T10" s="54" t="inlineStr">
        <is>
          <t>Use representative Council cases and record assessor conclusions.</t>
        </is>
      </c>
      <c r="U10" s="54">
        <f>IF(AND(A10&lt;&gt;"",B10&lt;&gt;"",C10&lt;&gt;"",D10&lt;&gt;"",E10&lt;&gt;"",F10&lt;&gt;"",G10&lt;&gt;"",H10&lt;&gt;"",I10&lt;&gt;"",J10&lt;&gt;"",L10&lt;&gt;"",M10&lt;&gt;"",ISNUMBER(N10),ISNUMBER(O10),R10&lt;&gt;"",S10&lt;&gt;"",T10&lt;&gt;""),IF(J10="Draft design","Complete",IF(AND(K10&lt;&gt;"",P10&lt;&gt;"",Q10&lt;&gt;""),"Complete","Delivery evidence incomplete")),"Incomplete")</f>
        <v/>
      </c>
    </row>
    <row r="11" ht="32.25" customHeight="1" s="32">
      <c r="A11" s="53" t="inlineStr">
        <is>
          <t>TRN-05</t>
        </is>
      </c>
      <c r="B11" s="54" t="inlineStr">
        <is>
          <t>Responsible AI and Impact Assessment</t>
        </is>
      </c>
      <c r="C11" s="54" t="inlineStr">
        <is>
          <t>Owners, governance members, legal/equality/rights/safeguarding and engagement roles</t>
        </is>
      </c>
      <c r="D11" s="54" t="inlineStr">
        <is>
          <t>Levels 3-4</t>
        </is>
      </c>
      <c r="E11" s="54" t="inlineStr">
        <is>
          <t>Mandatory where role applies</t>
        </is>
      </c>
      <c r="F11" s="54" t="inlineStr">
        <is>
          <t>Before assessing or approving potentially material impacts</t>
        </is>
      </c>
      <c r="G11" s="54" t="inlineStr">
        <is>
          <t>Identify people and societal impacts; apply Responsible AI, DPIA, equality and human-rights assessments; plan participation, mitigation and monitoring.</t>
        </is>
      </c>
      <c r="H11" s="54" t="inlineStr">
        <is>
          <t>Cross-functional workshop and case challenge</t>
        </is>
      </c>
      <c r="I11" s="54" t="inlineStr">
        <is>
          <t>AI Governance Lead with specialist functions</t>
        </is>
      </c>
      <c r="J11" s="55" t="inlineStr">
        <is>
          <t>Draft design</t>
        </is>
      </c>
      <c r="K11" s="56" t="n"/>
      <c r="L11" s="55" t="inlineStr">
        <is>
          <t>Annual and on material legal/process change</t>
        </is>
      </c>
      <c r="M11" s="55" t="inlineStr">
        <is>
          <t>Assessment sample quality, challenge outcomes, action closure and complaints</t>
        </is>
      </c>
      <c r="N11" s="58" t="n">
        <v>1</v>
      </c>
      <c r="O11" s="58" t="n">
        <v>0</v>
      </c>
      <c r="P11" s="55" t="n"/>
      <c r="Q11" s="56" t="n"/>
      <c r="R11" s="54" t="inlineStr">
        <is>
          <t>OBJ-03, OBJ-05; R-06, R-08, R-13; CMP-04, CMP-07, CMP-09</t>
        </is>
      </c>
      <c r="S11" s="54" t="inlineStr">
        <is>
          <t>ISO 4.2, 6.1, 8.1; A.5.2-A.5.5, A.8.2-A.8.5</t>
        </is>
      </c>
      <c r="T11" s="54" t="inlineStr">
        <is>
          <t>Specialist functions define required depth and sign-off.</t>
        </is>
      </c>
      <c r="U11" s="54">
        <f>IF(AND(A11&lt;&gt;"",B11&lt;&gt;"",C11&lt;&gt;"",D11&lt;&gt;"",E11&lt;&gt;"",F11&lt;&gt;"",G11&lt;&gt;"",H11&lt;&gt;"",I11&lt;&gt;"",J11&lt;&gt;"",L11&lt;&gt;"",M11&lt;&gt;"",ISNUMBER(N11),ISNUMBER(O11),R11&lt;&gt;"",S11&lt;&gt;"",T11&lt;&gt;""),IF(J11="Draft design","Complete",IF(AND(K11&lt;&gt;"",P11&lt;&gt;"",Q11&lt;&gt;""),"Complete","Delivery evidence incomplete")),"Incomplete")</f>
        <v/>
      </c>
    </row>
    <row r="12" ht="32.25" customHeight="1" s="32">
      <c r="A12" s="53" t="inlineStr">
        <is>
          <t>TRN-06</t>
        </is>
      </c>
      <c r="B12" s="54" t="inlineStr">
        <is>
          <t>Data Protection, Information Governance and Data Quality</t>
        </is>
      </c>
      <c r="C12" s="54" t="inlineStr">
        <is>
          <t>Owners, practitioners, data and IG roles</t>
        </is>
      </c>
      <c r="D12" s="54" t="inlineStr">
        <is>
          <t>Levels 2-4</t>
        </is>
      </c>
      <c r="E12" s="54" t="inlineStr">
        <is>
          <t>Mandatory / role-based</t>
        </is>
      </c>
      <c r="F12" s="54" t="inlineStr">
        <is>
          <t>Before relevant data processing or approval</t>
        </is>
      </c>
      <c r="G12" s="54" t="inlineStr">
        <is>
          <t>Apply lawful/approved data use, minimisation, transparency, rights, provenance, quality, representativeness, retention and sharing controls.</t>
        </is>
      </c>
      <c r="H12" s="54" t="inlineStr">
        <is>
          <t>Role-based modules plus case clinics</t>
        </is>
      </c>
      <c r="I12" s="54" t="inlineStr">
        <is>
          <t>DPO / Information Governance / Data Governance</t>
        </is>
      </c>
      <c r="J12" s="55" t="inlineStr">
        <is>
          <t>Draft design</t>
        </is>
      </c>
      <c r="K12" s="56" t="n"/>
      <c r="L12" s="55" t="inlineStr">
        <is>
          <t>Annual and on material change</t>
        </is>
      </c>
      <c r="M12" s="55" t="inlineStr">
        <is>
          <t>Assessment quality, data exceptions, DPIA outcomes and audit findings</t>
        </is>
      </c>
      <c r="N12" s="58" t="n">
        <v>1</v>
      </c>
      <c r="O12" s="58" t="n">
        <v>0</v>
      </c>
      <c r="P12" s="55" t="n"/>
      <c r="Q12" s="56" t="n"/>
      <c r="R12" s="54" t="inlineStr">
        <is>
          <t>OBJ-03, OBJ-04; R-07, R-13; CMP-02, CMP-07</t>
        </is>
      </c>
      <c r="S12" s="54" t="inlineStr">
        <is>
          <t>ISO 7.2, 8.1; A.4.3, A.5, A.7</t>
        </is>
      </c>
      <c r="T12" s="54" t="inlineStr">
        <is>
          <t>Integrate with existing mandatory information-governance learning.</t>
        </is>
      </c>
      <c r="U12" s="54">
        <f>IF(AND(A12&lt;&gt;"",B12&lt;&gt;"",C12&lt;&gt;"",D12&lt;&gt;"",E12&lt;&gt;"",F12&lt;&gt;"",G12&lt;&gt;"",H12&lt;&gt;"",I12&lt;&gt;"",J12&lt;&gt;"",L12&lt;&gt;"",M12&lt;&gt;"",ISNUMBER(N12),ISNUMBER(O12),R12&lt;&gt;"",S12&lt;&gt;"",T12&lt;&gt;""),IF(J12="Draft design","Complete",IF(AND(K12&lt;&gt;"",P12&lt;&gt;"",Q12&lt;&gt;""),"Complete","Delivery evidence incomplete")),"Incomplete")</f>
        <v/>
      </c>
    </row>
    <row r="13" ht="32.25" customHeight="1" s="32">
      <c r="A13" s="53" t="inlineStr">
        <is>
          <t>TRN-07</t>
        </is>
      </c>
      <c r="B13" s="54" t="inlineStr">
        <is>
          <t>AI Security, Misuse and Resilience</t>
        </is>
      </c>
      <c r="C13" s="54" t="inlineStr">
        <is>
          <t>Technical, security, owner and incident roles</t>
        </is>
      </c>
      <c r="D13" s="54" t="inlineStr">
        <is>
          <t>Levels 3-4</t>
        </is>
      </c>
      <c r="E13" s="54" t="inlineStr">
        <is>
          <t>Mandatory for relevant roles</t>
        </is>
      </c>
      <c r="F13" s="54" t="inlineStr">
        <is>
          <t>Before design approval, security review or operational ownership</t>
        </is>
      </c>
      <c r="G13" s="54" t="inlineStr">
        <is>
          <t>Address AI-specific threats, access, logging, misuse, vulnerabilities, supplier controls, resilience, monitoring and secure rollback.</t>
        </is>
      </c>
      <c r="H13" s="54" t="inlineStr">
        <is>
          <t>Technical workshop, threat modelling and tabletop exercise</t>
        </is>
      </c>
      <c r="I13" s="54" t="inlineStr">
        <is>
          <t>Cyber Security</t>
        </is>
      </c>
      <c r="J13" s="55" t="inlineStr">
        <is>
          <t>Draft design</t>
        </is>
      </c>
      <c r="K13" s="56" t="n"/>
      <c r="L13" s="55" t="inlineStr">
        <is>
          <t>Annual and on threat/material system change</t>
        </is>
      </c>
      <c r="M13" s="55" t="inlineStr">
        <is>
          <t>Threat-model quality, exercise outcomes, findings and incident trends</t>
        </is>
      </c>
      <c r="N13" s="58" t="n">
        <v>1</v>
      </c>
      <c r="O13" s="58" t="n">
        <v>0</v>
      </c>
      <c r="P13" s="55" t="n"/>
      <c r="Q13" s="56" t="n"/>
      <c r="R13" s="54" t="inlineStr">
        <is>
          <t>OBJ-04, OBJ-07; R-10, R-12; CMP-05, CMP-06, CMP-08</t>
        </is>
      </c>
      <c r="S13" s="54" t="inlineStr">
        <is>
          <t>ISO 7.2, 8.1; A.4.4-A.4.5, A.6.2.4-A.6.2.8</t>
        </is>
      </c>
      <c r="T13" s="54" t="inlineStr">
        <is>
          <t>Align to corporate security training and incident processes.</t>
        </is>
      </c>
      <c r="U13" s="54">
        <f>IF(AND(A13&lt;&gt;"",B13&lt;&gt;"",C13&lt;&gt;"",D13&lt;&gt;"",E13&lt;&gt;"",F13&lt;&gt;"",G13&lt;&gt;"",H13&lt;&gt;"",I13&lt;&gt;"",J13&lt;&gt;"",L13&lt;&gt;"",M13&lt;&gt;"",ISNUMBER(N13),ISNUMBER(O13),R13&lt;&gt;"",S13&lt;&gt;"",T13&lt;&gt;""),IF(J13="Draft design","Complete",IF(AND(K13&lt;&gt;"",P13&lt;&gt;"",Q13&lt;&gt;""),"Complete","Delivery evidence incomplete")),"Incomplete")</f>
        <v/>
      </c>
    </row>
    <row r="14" ht="32.25" customHeight="1" s="32">
      <c r="A14" s="53" t="inlineStr">
        <is>
          <t>TRN-08</t>
        </is>
      </c>
      <c r="B14" s="54" t="inlineStr">
        <is>
          <t>AI Procurement, Supplier Assurance and Contract Controls</t>
        </is>
      </c>
      <c r="C14" s="54" t="inlineStr">
        <is>
          <t>Procurement, commercial, Legal, Service Owners and contract managers</t>
        </is>
      </c>
      <c r="D14" s="54" t="inlineStr">
        <is>
          <t>Levels 3-4</t>
        </is>
      </c>
      <c r="E14" s="54" t="inlineStr">
        <is>
          <t>Mandatory for material AI sourcing</t>
        </is>
      </c>
      <c r="F14" s="54" t="inlineStr">
        <is>
          <t>Before market engagement, contract, renewal or material change</t>
        </is>
      </c>
      <c r="G14" s="54" t="inlineStr">
        <is>
          <t>Trigger governance early; conduct due diligence; specify evidence, change, incident, performance, audit, continuity and exit obligations.</t>
        </is>
      </c>
      <c r="H14" s="54" t="inlineStr">
        <is>
          <t>Procurement clinic and supplier-case assessment</t>
        </is>
      </c>
      <c r="I14" s="54" t="inlineStr">
        <is>
          <t>Procurement / Legal / AI Governance Lead</t>
        </is>
      </c>
      <c r="J14" s="55" t="inlineStr">
        <is>
          <t>Draft design</t>
        </is>
      </c>
      <c r="K14" s="56" t="n"/>
      <c r="L14" s="55" t="inlineStr">
        <is>
          <t>Annual and on template/legal change</t>
        </is>
      </c>
      <c r="M14" s="55" t="inlineStr">
        <is>
          <t>Supplier case quality, clause exceptions, findings, change notices and exit readiness</t>
        </is>
      </c>
      <c r="N14" s="58" t="n">
        <v>1</v>
      </c>
      <c r="O14" s="58" t="n">
        <v>0</v>
      </c>
      <c r="P14" s="55" t="n"/>
      <c r="Q14" s="56" t="n"/>
      <c r="R14" s="54" t="inlineStr">
        <is>
          <t>OBJ-06; R-09, R-10, R-15; CMP-10</t>
        </is>
      </c>
      <c r="S14" s="54" t="inlineStr">
        <is>
          <t>ISO 7.2, 8.1; A.10.2-A.10.4</t>
        </is>
      </c>
      <c r="T14" s="54" t="inlineStr">
        <is>
          <t>Embed triggers into procurement guidance and assurance gates.</t>
        </is>
      </c>
      <c r="U14" s="54">
        <f>IF(AND(A14&lt;&gt;"",B14&lt;&gt;"",C14&lt;&gt;"",D14&lt;&gt;"",E14&lt;&gt;"",F14&lt;&gt;"",G14&lt;&gt;"",H14&lt;&gt;"",I14&lt;&gt;"",J14&lt;&gt;"",L14&lt;&gt;"",M14&lt;&gt;"",ISNUMBER(N14),ISNUMBER(O14),R14&lt;&gt;"",S14&lt;&gt;"",T14&lt;&gt;""),IF(J14="Draft design","Complete",IF(AND(K14&lt;&gt;"",P14&lt;&gt;"",Q14&lt;&gt;""),"Complete","Delivery evidence incomplete")),"Incomplete")</f>
        <v/>
      </c>
    </row>
    <row r="15" ht="32.25" customHeight="1" s="32">
      <c r="A15" s="53" t="inlineStr">
        <is>
          <t>TRN-09</t>
        </is>
      </c>
      <c r="B15" s="54" t="inlineStr">
        <is>
          <t>Governance Decision-Maker Induction and Calibration</t>
        </is>
      </c>
      <c r="C15" s="54" t="inlineStr">
        <is>
          <t>Executive Sponsor, Board, Working Group, chairs and secretariat</t>
        </is>
      </c>
      <c r="D15" s="54" t="inlineStr">
        <is>
          <t>Levels 4-5</t>
        </is>
      </c>
      <c r="E15" s="54" t="inlineStr">
        <is>
          <t>Mandatory before governance participation</t>
        </is>
      </c>
      <c r="F15" s="54" t="inlineStr">
        <is>
          <t>Before first meeting or decision</t>
        </is>
      </c>
      <c r="G15" s="54" t="inlineStr">
        <is>
          <t>Understand mandate, delegations, conflicts, evidence expectations, risk tiering, specialist authority, decision recording, escalation and management review.</t>
        </is>
      </c>
      <c r="H15" s="54" t="inlineStr">
        <is>
          <t>Induction pack, facilitated case calibration and annual update</t>
        </is>
      </c>
      <c r="I15" s="54" t="inlineStr">
        <is>
          <t>AI Governance Lead</t>
        </is>
      </c>
      <c r="J15" s="55" t="inlineStr">
        <is>
          <t>Draft design</t>
        </is>
      </c>
      <c r="K15" s="56" t="n"/>
      <c r="L15" s="55" t="inlineStr">
        <is>
          <t>Annual and on Terms of Reference/delegation change</t>
        </is>
      </c>
      <c r="M15" s="55" t="inlineStr">
        <is>
          <t>Attendance, calibration consistency, decision-record quality and rework</t>
        </is>
      </c>
      <c r="N15" s="58" t="n">
        <v>1</v>
      </c>
      <c r="O15" s="58" t="n">
        <v>0</v>
      </c>
      <c r="P15" s="55" t="n"/>
      <c r="Q15" s="56" t="n"/>
      <c r="R15" s="54" t="inlineStr">
        <is>
          <t>OBJ-02, OBJ-08; R-01, R-03 to R-05; IMP-05</t>
        </is>
      </c>
      <c r="S15" s="54" t="inlineStr">
        <is>
          <t>ISO 5.1, 5.3, 7.2-7.4, 9.3; A.3.2</t>
        </is>
      </c>
      <c r="T15" s="54" t="inlineStr">
        <is>
          <t>Do not grant decision authority solely through training; formal appointment is also required.</t>
        </is>
      </c>
      <c r="U15" s="54">
        <f>IF(AND(A15&lt;&gt;"",B15&lt;&gt;"",C15&lt;&gt;"",D15&lt;&gt;"",E15&lt;&gt;"",F15&lt;&gt;"",G15&lt;&gt;"",H15&lt;&gt;"",I15&lt;&gt;"",J15&lt;&gt;"",L15&lt;&gt;"",M15&lt;&gt;"",ISNUMBER(N15),ISNUMBER(O15),R15&lt;&gt;"",S15&lt;&gt;"",T15&lt;&gt;""),IF(J15="Draft design","Complete",IF(AND(K15&lt;&gt;"",P15&lt;&gt;"",Q15&lt;&gt;""),"Complete","Delivery evidence incomplete")),"Incomplete")</f>
        <v/>
      </c>
    </row>
    <row r="16" ht="32.25" customHeight="1" s="32">
      <c r="A16" s="53" t="inlineStr">
        <is>
          <t>TRN-10</t>
        </is>
      </c>
      <c r="B16" s="54" t="inlineStr">
        <is>
          <t>AI Incident, Concern, Complaint and Tabletop Response</t>
        </is>
      </c>
      <c r="C16" s="54" t="inlineStr">
        <is>
          <t>Owners, governance, security, DPO, Legal, communications and complaints roles</t>
        </is>
      </c>
      <c r="D16" s="54" t="inlineStr">
        <is>
          <t>Levels 2-5</t>
        </is>
      </c>
      <c r="E16" s="54" t="inlineStr">
        <is>
          <t>Mandatory where role applies</t>
        </is>
      </c>
      <c r="F16" s="54" t="inlineStr">
        <is>
          <t>Before go-live or incident-response duty</t>
        </is>
      </c>
      <c r="G16" s="54" t="inlineStr">
        <is>
          <t>Triage and contain; notify; preserve evidence; communicate; investigate root cause; manage complaints/redress; verify corrective-action effectiveness.</t>
        </is>
      </c>
      <c r="H16" s="54" t="inlineStr">
        <is>
          <t>Cross-functional tabletop using AIG-OPS-03</t>
        </is>
      </c>
      <c r="I16" s="54" t="inlineStr">
        <is>
          <t>Incident Lead / AI Governance Lead</t>
        </is>
      </c>
      <c r="J16" s="55" t="inlineStr">
        <is>
          <t>Draft design</t>
        </is>
      </c>
      <c r="K16" s="56" t="n"/>
      <c r="L16" s="55" t="inlineStr">
        <is>
          <t>At least annually and after material incident</t>
        </is>
      </c>
      <c r="M16" s="55" t="inlineStr">
        <is>
          <t>Exercise results, response time, missed hand-offs, action closure and recurrence</t>
        </is>
      </c>
      <c r="N16" s="58" t="n">
        <v>1</v>
      </c>
      <c r="O16" s="58" t="n">
        <v>0</v>
      </c>
      <c r="P16" s="55" t="n"/>
      <c r="Q16" s="56" t="n"/>
      <c r="R16" s="54" t="inlineStr">
        <is>
          <t>OBJ-05, OBJ-07; R-08, R-12; IMP-13</t>
        </is>
      </c>
      <c r="S16" s="54" t="inlineStr">
        <is>
          <t>ISO 7.2-7.4, 10.2; A.3.3, A.8.3-A.8.4</t>
        </is>
      </c>
      <c r="T16" s="54" t="inlineStr">
        <is>
          <t>Align severity and notification with Council incident frameworks.</t>
        </is>
      </c>
      <c r="U16" s="54">
        <f>IF(AND(A16&lt;&gt;"",B16&lt;&gt;"",C16&lt;&gt;"",D16&lt;&gt;"",E16&lt;&gt;"",F16&lt;&gt;"",G16&lt;&gt;"",H16&lt;&gt;"",I16&lt;&gt;"",J16&lt;&gt;"",L16&lt;&gt;"",M16&lt;&gt;"",ISNUMBER(N16),ISNUMBER(O16),R16&lt;&gt;"",S16&lt;&gt;"",T16&lt;&gt;""),IF(J16="Draft design","Complete",IF(AND(K16&lt;&gt;"",P16&lt;&gt;"",Q16&lt;&gt;""),"Complete","Delivery evidence incomplete")),"Incomplete")</f>
        <v/>
      </c>
    </row>
    <row r="17" ht="32.25" customHeight="1" s="32">
      <c r="A17" s="53" t="inlineStr">
        <is>
          <t>TRN-11</t>
        </is>
      </c>
      <c r="B17" s="54" t="inlineStr">
        <is>
          <t>Technical Verification, Validation, Monitoring and Change</t>
        </is>
      </c>
      <c r="C17" s="54" t="inlineStr">
        <is>
          <t>Technical leads, data scientists, System Owners and reviewers</t>
        </is>
      </c>
      <c r="D17" s="54" t="inlineStr">
        <is>
          <t>Level 4</t>
        </is>
      </c>
      <c r="E17" s="54" t="inlineStr">
        <is>
          <t>Mandatory for technical authority</t>
        </is>
      </c>
      <c r="F17" s="54" t="inlineStr">
        <is>
          <t>Before testing, release, monitoring or material-change decisions</t>
        </is>
      </c>
      <c r="G17" s="54" t="inlineStr">
        <is>
          <t>Define acceptance criteria; test limitations and affected groups; monitor drift/performance; maintain traceability; trigger change control and rollback.</t>
        </is>
      </c>
      <c r="H17" s="54" t="inlineStr">
        <is>
          <t>Technical lab, peer review and evidence assessment</t>
        </is>
      </c>
      <c r="I17" s="54" t="inlineStr">
        <is>
          <t>Technical Leadership / AI Governance Lead</t>
        </is>
      </c>
      <c r="J17" s="55" t="inlineStr">
        <is>
          <t>Draft design</t>
        </is>
      </c>
      <c r="K17" s="56" t="n"/>
      <c r="L17" s="55" t="inlineStr">
        <is>
          <t>Annual CPD and on material technology change</t>
        </is>
      </c>
      <c r="M17" s="55" t="inlineStr">
        <is>
          <t>Test/evidence sample quality, threshold breaches, change and incident trends</t>
        </is>
      </c>
      <c r="N17" s="58" t="n">
        <v>1</v>
      </c>
      <c r="O17" s="58" t="n">
        <v>0</v>
      </c>
      <c r="P17" s="55" t="n"/>
      <c r="Q17" s="56" t="n"/>
      <c r="R17" s="54" t="inlineStr">
        <is>
          <t>OBJ-04; R-07, R-10, R-11; CMP-05, CMP-06</t>
        </is>
      </c>
      <c r="S17" s="54" t="inlineStr">
        <is>
          <t>ISO 7.2, 8.1, 9.1; A.6.2.5-A.6.2.8, A.7</t>
        </is>
      </c>
      <c r="T17" s="54" t="inlineStr">
        <is>
          <t>Tailor depth to system risk and technical role.</t>
        </is>
      </c>
      <c r="U17" s="54">
        <f>IF(AND(A17&lt;&gt;"",B17&lt;&gt;"",C17&lt;&gt;"",D17&lt;&gt;"",E17&lt;&gt;"",F17&lt;&gt;"",G17&lt;&gt;"",H17&lt;&gt;"",I17&lt;&gt;"",J17&lt;&gt;"",L17&lt;&gt;"",M17&lt;&gt;"",ISNUMBER(N17),ISNUMBER(O17),R17&lt;&gt;"",S17&lt;&gt;"",T17&lt;&gt;""),IF(J17="Draft design","Complete",IF(AND(K17&lt;&gt;"",P17&lt;&gt;"",Q17&lt;&gt;""),"Complete","Delivery evidence incomplete")),"Incomplete")</f>
        <v/>
      </c>
    </row>
    <row r="18" ht="32.25" customHeight="1" s="32">
      <c r="A18" s="53" t="inlineStr">
        <is>
          <t>TRN-12</t>
        </is>
      </c>
      <c r="B18" s="54" t="inlineStr">
        <is>
          <t>Advanced AIMS Implementation and Independent Assurance</t>
        </is>
      </c>
      <c r="C18" s="54" t="inlineStr">
        <is>
          <t>AI Governance Lead, nominated deputies and Internal Audit</t>
        </is>
      </c>
      <c r="D18" s="54" t="inlineStr">
        <is>
          <t>Levels 4-5</t>
        </is>
      </c>
      <c r="E18" s="54" t="inlineStr">
        <is>
          <t>Mandatory for AIMS/audit leads</t>
        </is>
      </c>
      <c r="F18" s="54" t="inlineStr">
        <is>
          <t>Before leading implementation or independent audit</t>
        </is>
      </c>
      <c r="G18" s="54" t="inlineStr">
        <is>
          <t>Apply ISO/IEC 42001 requirements; maintain scope, SoA, objectives, risks and evidence; plan audits and management review; manage nonconformity and improvement.</t>
        </is>
      </c>
      <c r="H18" s="54" t="inlineStr">
        <is>
          <t>Advanced practitioner course, supervised application and independent review</t>
        </is>
      </c>
      <c r="I18" s="54" t="inlineStr">
        <is>
          <t>Executive Sponsor / Head of Internal Audit</t>
        </is>
      </c>
      <c r="J18" s="55" t="inlineStr">
        <is>
          <t>Draft design</t>
        </is>
      </c>
      <c r="K18" s="56" t="n"/>
      <c r="L18" s="55" t="inlineStr">
        <is>
          <t>Annual CPD and standards change</t>
        </is>
      </c>
      <c r="M18" s="55" t="inlineStr">
        <is>
          <t>Practical work product, audit quality, finding consistency and improvement outcomes</t>
        </is>
      </c>
      <c r="N18" s="58" t="n">
        <v>1</v>
      </c>
      <c r="O18" s="58" t="n">
        <v>0</v>
      </c>
      <c r="P18" s="55" t="n"/>
      <c r="Q18" s="56" t="n"/>
      <c r="R18" s="54" t="inlineStr">
        <is>
          <t>OBJ-08; R-05, R-14; IMP-02, IMP-14, IMP-15</t>
        </is>
      </c>
      <c r="S18" s="54" t="inlineStr">
        <is>
          <t>ISO clauses 4-10; Annex A</t>
        </is>
      </c>
      <c r="T18" s="54" t="inlineStr">
        <is>
          <t>Confirm independence and avoid self-audit of controls operated by the same individual.</t>
        </is>
      </c>
      <c r="U18" s="54">
        <f>IF(AND(A18&lt;&gt;"",B18&lt;&gt;"",C18&lt;&gt;"",D18&lt;&gt;"",E18&lt;&gt;"",F18&lt;&gt;"",G18&lt;&gt;"",H18&lt;&gt;"",I18&lt;&gt;"",J18&lt;&gt;"",L18&lt;&gt;"",M18&lt;&gt;"",ISNUMBER(N18),ISNUMBER(O18),R18&lt;&gt;"",S18&lt;&gt;"",T18&lt;&gt;""),IF(J18="Draft design","Complete",IF(AND(K18&lt;&gt;"",P18&lt;&gt;"",Q18&lt;&gt;""),"Complete","Delivery evidence incomplete")),"Incomplete")</f>
        <v/>
      </c>
    </row>
  </sheetData>
  <mergeCells count="4">
    <mergeCell ref="A1:U1"/>
    <mergeCell ref="A4:U4"/>
    <mergeCell ref="A3:U3"/>
    <mergeCell ref="A2:U2"/>
  </mergeCells>
  <conditionalFormatting sqref="O7:O18">
    <cfRule type="dataBar" priority="2">
      <dataBar minLength="10" maxLength="90" showValue="1">
        <cfvo type="min" val="0"/>
        <cfvo type="max" val="0"/>
        <color rgb="FF5B9BD5"/>
      </dataBar>
    </cfRule>
  </conditionalFormatting>
  <conditionalFormatting sqref="J7:J18">
    <cfRule type="containsText" rank="0" priority="3" equalAverage="0" operator="containsText" aboveAverage="0" dxfId="13" text="Active" percent="0" bottom="0">
      <formula>NOT(ISERROR(SEARCH("Active",J7)))</formula>
    </cfRule>
    <cfRule type="containsText" rank="0" priority="4" equalAverage="0" operator="containsText" aboveAverage="0" dxfId="9" text="Complete" percent="0" bottom="0">
      <formula>NOT(ISERROR(SEARCH("Complete",J7)))</formula>
    </cfRule>
  </conditionalFormatting>
  <conditionalFormatting sqref="U7:U18">
    <cfRule type="containsText" rank="0" priority="5" equalAverage="0" operator="containsText" aboveAverage="0" dxfId="9" text="Complete" percent="0" bottom="0">
      <formula>NOT(ISERROR(SEARCH("Complete",U7)))</formula>
    </cfRule>
  </conditionalFormatting>
  <dataValidations count="2">
    <dataValidation sqref="J7:J18" showDropDown="0" showInputMessage="0" showErrorMessage="0" allowBlank="0" type="list" errorStyle="stop" operator="between">
      <formula1>"Draft design,Approved,Scheduled,Active,Complete,Paused,Retired"</formula1>
      <formula2>0</formula2>
    </dataValidation>
    <dataValidation sqref="N7:O18" showDropDown="0" showInputMessage="0" showErrorMessage="0" allowBlank="0" type="decimal" errorStyle="stop" operator="between">
      <formula1>0</formula1>
      <formula2>1</formula2>
    </dataValidation>
  </dataValidations>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19"/>
  <sheetViews>
    <sheetView showGridLines="0" workbookViewId="0">
      <selection activeCell="A1" sqref="A1"/>
    </sheetView>
  </sheetViews>
  <sheetFormatPr baseColWidth="8" defaultColWidth="9.47265625" defaultRowHeight="15"/>
  <cols>
    <col width="15.39000034332275" customWidth="1" style="31" min="1" max="1"/>
    <col width="48.36000061035156" customWidth="1" style="31" min="2" max="2"/>
    <col width="37.36999893188477" customWidth="1" style="31" min="3" max="3"/>
    <col width="29.65999984741211" customWidth="1" style="31" min="4" max="4"/>
    <col width="34.06999969482422" customWidth="1" style="31" min="5" max="5"/>
    <col width="32.97000122070312" customWidth="1" style="31" min="6" max="6"/>
    <col width="34.06999969482422" customWidth="1" style="31" min="7" max="7"/>
    <col width="25.28000068664551" customWidth="1" style="31" min="8" max="8"/>
    <col width="40.66999816894531" customWidth="1" style="31" min="9" max="9"/>
    <col width="38.47000122070312" customWidth="1" style="31" min="10" max="10"/>
    <col width="19.79000091552734" customWidth="1" style="31" min="11" max="11"/>
    <col width="14.28999996185303" customWidth="1" style="31" min="12" max="13"/>
    <col width="38.47000122070312" customWidth="1" style="31" min="14" max="14"/>
    <col width="35.16999816894531" customWidth="1" style="31" min="15" max="15"/>
    <col width="27.47999954223633" customWidth="1" style="31" min="16" max="16"/>
    <col width="35.16999816894531" customWidth="1" style="31" min="17" max="17"/>
    <col width="21.97999954223633" customWidth="1" style="31" min="18" max="18"/>
  </cols>
  <sheetData>
    <row r="1" ht="31.5" customHeight="1" s="32">
      <c r="A1" s="33" t="inlineStr">
        <is>
          <t>The Council — AIMS Communications Plan</t>
        </is>
      </c>
    </row>
    <row r="2" ht="21.75" customHeight="1" s="32">
      <c r="A2" s="34" t="inlineStr">
        <is>
          <t>AIG-AIMS-04  ·  v1.3 draft  ·  Draft for Council review  ·  OFFICIAL  ·  ISO/IEC 42001:2023</t>
        </is>
      </c>
    </row>
    <row r="3" ht="24" customHeight="1" s="32">
      <c r="A3" s="35" t="inlineStr">
        <is>
          <t>Purpose: control AIMS messages, audiences, ownership, channels, triggers, accessibility, evidence and effectiveness for internal and external interested parties.</t>
        </is>
      </c>
    </row>
    <row r="4" ht="28.5" customHeight="1" s="32">
      <c r="A4" s="36" t="inlineStr">
        <is>
          <t>Current position: all activities are draft designs. Approve the message, sender, audience, timing, accessibility, confidentiality and evidence before issue; retain actual publication and effectiveness records.</t>
        </is>
      </c>
    </row>
    <row r="5"/>
    <row r="6" ht="43.5" customHeight="1" s="32">
      <c r="A6" s="52" t="inlineStr">
        <is>
          <t>Communication ID</t>
        </is>
      </c>
      <c r="B6" s="52" t="inlineStr">
        <is>
          <t>Objective / core message</t>
        </is>
      </c>
      <c r="C6" s="52" t="inlineStr">
        <is>
          <t>Audience / interested party</t>
        </is>
      </c>
      <c r="D6" s="52" t="inlineStr">
        <is>
          <t>Owner</t>
        </is>
      </c>
      <c r="E6" s="52" t="inlineStr">
        <is>
          <t>Sender / approver</t>
        </is>
      </c>
      <c r="F6" s="52" t="inlineStr">
        <is>
          <t>Channel</t>
        </is>
      </c>
      <c r="G6" s="52" t="inlineStr">
        <is>
          <t>Timing / trigger</t>
        </is>
      </c>
      <c r="H6" s="52" t="inlineStr">
        <is>
          <t>Frequency</t>
        </is>
      </c>
      <c r="I6" s="52" t="inlineStr">
        <is>
          <t>Accessibility / consultation</t>
        </is>
      </c>
      <c r="J6" s="52" t="inlineStr">
        <is>
          <t>Required record / evidence</t>
        </is>
      </c>
      <c r="K6" s="52" t="inlineStr">
        <is>
          <t>Status</t>
        </is>
      </c>
      <c r="L6" s="52" t="inlineStr">
        <is>
          <t>Target date</t>
        </is>
      </c>
      <c r="M6" s="52" t="inlineStr">
        <is>
          <t>Last issued</t>
        </is>
      </c>
      <c r="N6" s="52" t="inlineStr">
        <is>
          <t>Effectiveness measure</t>
        </is>
      </c>
      <c r="O6" s="52" t="inlineStr">
        <is>
          <t>Related objectives / risks / actions</t>
        </is>
      </c>
      <c r="P6" s="52" t="inlineStr">
        <is>
          <t>ISO / SoA links</t>
        </is>
      </c>
      <c r="Q6" s="52" t="inlineStr">
        <is>
          <t>Decision / design note</t>
        </is>
      </c>
      <c r="R6" s="52" t="inlineStr">
        <is>
          <t>Record QA</t>
        </is>
      </c>
    </row>
    <row r="7" ht="32.25" customHeight="1" s="32">
      <c r="A7" s="53" t="inlineStr">
        <is>
          <t>COM-01</t>
        </is>
      </c>
      <c r="B7" s="54" t="inlineStr">
        <is>
          <t>Formal leadership adoption: explain scope, mandate, accountable ownership, delegations, resources and effective date.</t>
        </is>
      </c>
      <c r="C7" s="54" t="inlineStr">
        <is>
          <t>Executive Leadership, governance bodies, control-function heads and directorate leadership</t>
        </is>
      </c>
      <c r="D7" s="54" t="inlineStr">
        <is>
          <t>Executive Sponsor</t>
        </is>
      </c>
      <c r="E7" s="54" t="inlineStr">
        <is>
          <t>Adopting authority / corporate communications</t>
        </is>
      </c>
      <c r="F7" s="54" t="inlineStr">
        <is>
          <t>Formal decision, leadership briefing and controlled publication</t>
        </is>
      </c>
      <c r="G7" s="54" t="inlineStr">
        <is>
          <t>On approval of the AIMS and any material governance change</t>
        </is>
      </c>
      <c r="H7" s="54" t="inlineStr">
        <is>
          <t>Once, then on material change</t>
        </is>
      </c>
      <c r="I7" s="54" t="inlineStr">
        <is>
          <t>Accessible summary; opportunity for questions and recorded specialist consultation</t>
        </is>
      </c>
      <c r="J7" s="54" t="inlineStr">
        <is>
          <t>Approval record, published message, audience list, questions/actions</t>
        </is>
      </c>
      <c r="K7" s="55" t="inlineStr">
        <is>
          <t>Draft design</t>
        </is>
      </c>
      <c r="L7" s="56" t="n"/>
      <c r="M7" s="56" t="n"/>
      <c r="N7" s="54" t="inlineStr">
        <is>
          <t>Receipt, leadership understanding, unresolved questions and assigned actions</t>
        </is>
      </c>
      <c r="O7" s="54" t="inlineStr">
        <is>
          <t>OBJ-08; R-01, R-04; IMP-01, IMP-03, IMP-05</t>
        </is>
      </c>
      <c r="P7" s="54" t="inlineStr">
        <is>
          <t>ISO 5.1-5.3, 7.3-7.4; A.2.2, A.3.2</t>
        </is>
      </c>
      <c r="Q7" s="54" t="inlineStr">
        <is>
          <t>Must not describe draft documents as approved or operational.</t>
        </is>
      </c>
      <c r="R7" s="54">
        <f>IF(AND(A7&lt;&gt;"",B7&lt;&gt;"",C7&lt;&gt;"",D7&lt;&gt;"",E7&lt;&gt;"",F7&lt;&gt;"",G7&lt;&gt;"",H7&lt;&gt;"",I7&lt;&gt;"",J7&lt;&gt;"",K7&lt;&gt;"",N7&lt;&gt;"",O7&lt;&gt;"",P7&lt;&gt;"",Q7&lt;&gt;""),IF(K7="Draft design","Complete",IF(AND(L7&lt;&gt;"",M7&lt;&gt;""),"Complete","Issue evidence incomplete")),"Incomplete")</f>
        <v/>
      </c>
    </row>
    <row r="8" ht="21.75" customHeight="1" s="32">
      <c r="A8" s="53" t="inlineStr">
        <is>
          <t>COM-02</t>
        </is>
      </c>
      <c r="B8" s="54" t="inlineStr">
        <is>
          <t>All-staff awareness: approved AI use, registration, acceptable-use rules, human responsibility and routes for concerns.</t>
        </is>
      </c>
      <c r="C8" s="54" t="inlineStr">
        <is>
          <t>All employees, agency workers and relevant contractors</t>
        </is>
      </c>
      <c r="D8" s="54" t="inlineStr">
        <is>
          <t>AI Governance Lead / HR-L&amp;D</t>
        </is>
      </c>
      <c r="E8" s="54" t="inlineStr">
        <is>
          <t>Executive Sponsor / Internal Communications</t>
        </is>
      </c>
      <c r="F8" s="54" t="inlineStr">
        <is>
          <t>Intranet, staff bulletin, learning campaign and manager cascade</t>
        </is>
      </c>
      <c r="G8" s="54" t="inlineStr">
        <is>
          <t>At launch; induction; major policy or risk change</t>
        </is>
      </c>
      <c r="H8" s="54" t="inlineStr">
        <is>
          <t>Annual campaign plus triggered updates</t>
        </is>
      </c>
      <c r="I8" s="54" t="inlineStr">
        <is>
          <t>Accessible formats, plain language and feedback route</t>
        </is>
      </c>
      <c r="J8" s="54" t="inlineStr">
        <is>
          <t>Published content, audience/reach data, learning link and FAQs</t>
        </is>
      </c>
      <c r="K8" s="55" t="inlineStr">
        <is>
          <t>Draft design</t>
        </is>
      </c>
      <c r="L8" s="56" t="n"/>
      <c r="M8" s="56" t="n"/>
      <c r="N8" s="54" t="inlineStr">
        <is>
          <t>Reach, learning completion, knowledge score, registrations and reported shadow AI</t>
        </is>
      </c>
      <c r="O8" s="54" t="inlineStr">
        <is>
          <t>OBJ-01, OBJ-08; R-02, R-05; IMP-06, IMP-09</t>
        </is>
      </c>
      <c r="P8" s="54" t="inlineStr">
        <is>
          <t>ISO 7.3-7.4; A.3.3, A.4.6, A.9.2</t>
        </is>
      </c>
      <c r="Q8" s="54" t="inlineStr">
        <is>
          <t>Align with AIG-INV-01 staff guide and approved policy.</t>
        </is>
      </c>
      <c r="R8" s="54">
        <f>IF(AND(A8&lt;&gt;"",B8&lt;&gt;"",C8&lt;&gt;"",D8&lt;&gt;"",E8&lt;&gt;"",F8&lt;&gt;"",G8&lt;&gt;"",H8&lt;&gt;"",I8&lt;&gt;"",J8&lt;&gt;"",K8&lt;&gt;"",N8&lt;&gt;"",O8&lt;&gt;"",P8&lt;&gt;"",Q8&lt;&gt;""),IF(K8="Draft design","Complete",IF(AND(L8&lt;&gt;"",M8&lt;&gt;""),"Complete","Issue evidence incomplete")),"Incomplete")</f>
        <v/>
      </c>
    </row>
    <row r="9" ht="21.75" customHeight="1" s="32">
      <c r="A9" s="53" t="inlineStr">
        <is>
          <t>COM-03</t>
        </is>
      </c>
      <c r="B9" s="54" t="inlineStr">
        <is>
          <t>Manager and owner briefing: governance triggers, accountability, approval tiers, evidence and escalation.</t>
        </is>
      </c>
      <c r="C9" s="54" t="inlineStr">
        <is>
          <t>Managers, Service Owners, System Owners and delivery leads</t>
        </is>
      </c>
      <c r="D9" s="54" t="inlineStr">
        <is>
          <t>AI Governance Lead</t>
        </is>
      </c>
      <c r="E9" s="54" t="inlineStr">
        <is>
          <t>AI Governance Lead / Directorate Leadership</t>
        </is>
      </c>
      <c r="F9" s="54" t="inlineStr">
        <is>
          <t>Briefing session, manager toolkit and office hours</t>
        </is>
      </c>
      <c r="G9" s="54" t="inlineStr">
        <is>
          <t>Before ownership or supervisory duty; at launch</t>
        </is>
      </c>
      <c r="H9" s="54" t="inlineStr">
        <is>
          <t>At least annually and on process change</t>
        </is>
      </c>
      <c r="I9" s="54" t="inlineStr">
        <is>
          <t>Scenario-led, role-specific and available in accessible formats</t>
        </is>
      </c>
      <c r="J9" s="54" t="inlineStr">
        <is>
          <t>Attendance, toolkit version, questions, actions and competence assessment</t>
        </is>
      </c>
      <c r="K9" s="55" t="inlineStr">
        <is>
          <t>Draft design</t>
        </is>
      </c>
      <c r="L9" s="56" t="n"/>
      <c r="M9" s="56" t="n"/>
      <c r="N9" s="54" t="inlineStr">
        <is>
          <t>Attendance, scenario results, registration timeliness and governance rework</t>
        </is>
      </c>
      <c r="O9" s="54" t="inlineStr">
        <is>
          <t>OBJ-02, OBJ-08; R-03 to R-05; IMP-05, IMP-09</t>
        </is>
      </c>
      <c r="P9" s="54" t="inlineStr">
        <is>
          <t>ISO 5.3, 7.2-7.4; A.3.2, A.4.6</t>
        </is>
      </c>
      <c r="Q9" s="54" t="inlineStr">
        <is>
          <t>Coordinate with TRN-03 and TRN-04.</t>
        </is>
      </c>
      <c r="R9" s="54">
        <f>IF(AND(A9&lt;&gt;"",B9&lt;&gt;"",C9&lt;&gt;"",D9&lt;&gt;"",E9&lt;&gt;"",F9&lt;&gt;"",G9&lt;&gt;"",H9&lt;&gt;"",I9&lt;&gt;"",J9&lt;&gt;"",K9&lt;&gt;"",N9&lt;&gt;"",O9&lt;&gt;"",P9&lt;&gt;"",Q9&lt;&gt;""),IF(K9="Draft design","Complete",IF(AND(L9&lt;&gt;"",M9&lt;&gt;""),"Complete","Issue evidence incomplete")),"Incomplete")</f>
        <v/>
      </c>
    </row>
    <row r="10" ht="21.75" customHeight="1" s="32">
      <c r="A10" s="53" t="inlineStr">
        <is>
          <t>COM-04</t>
        </is>
      </c>
      <c r="B10" s="54" t="inlineStr">
        <is>
          <t>AI Register and intake guidance: when and how to register, expected response, status meanings and support route.</t>
        </is>
      </c>
      <c r="C10" s="54" t="inlineStr">
        <is>
          <t>Council staff, project teams, procurement, suppliers working through Council teams</t>
        </is>
      </c>
      <c r="D10" s="54" t="inlineStr">
        <is>
          <t>AI Governance Lead</t>
        </is>
      </c>
      <c r="E10" s="54" t="inlineStr">
        <is>
          <t>AI Governance Working Group Chair</t>
        </is>
      </c>
      <c r="F10" s="54" t="inlineStr">
        <is>
          <t>Intranet guidance, intake form, drop-in clinics and project templates</t>
        </is>
      </c>
      <c r="G10" s="54" t="inlineStr">
        <is>
          <t>At launch; new project/procurement; form/process change</t>
        </is>
      </c>
      <c r="H10" s="54" t="inlineStr">
        <is>
          <t>Continuous availability; quarterly reminder during implementation</t>
        </is>
      </c>
      <c r="I10" s="54" t="inlineStr">
        <is>
          <t>Accessible form and guidance; assisted route for users who need it</t>
        </is>
      </c>
      <c r="J10" s="54" t="inlineStr">
        <is>
          <t>Published version, usage data, enquiries, response times and form changes</t>
        </is>
      </c>
      <c r="K10" s="55" t="inlineStr">
        <is>
          <t>Draft design</t>
        </is>
      </c>
      <c r="L10" s="56" t="n"/>
      <c r="M10" s="56" t="n"/>
      <c r="N10" s="54" t="inlineStr">
        <is>
          <t>Registration volume/completeness, abandoned requests, response time and user feedback</t>
        </is>
      </c>
      <c r="O10" s="54" t="inlineStr">
        <is>
          <t>OBJ-01, OBJ-02; R-02, R-03; IMP-06, IMP-07</t>
        </is>
      </c>
      <c r="P10" s="54" t="inlineStr">
        <is>
          <t>ISO 7.4, 8.1; A.4.2, A.8.5, A.9.2</t>
        </is>
      </c>
      <c r="Q10" s="54" t="inlineStr">
        <is>
          <t>Use one AI Register ID across all evidence.</t>
        </is>
      </c>
      <c r="R10" s="54">
        <f>IF(AND(A10&lt;&gt;"",B10&lt;&gt;"",C10&lt;&gt;"",D10&lt;&gt;"",E10&lt;&gt;"",F10&lt;&gt;"",G10&lt;&gt;"",H10&lt;&gt;"",I10&lt;&gt;"",J10&lt;&gt;"",K10&lt;&gt;"",N10&lt;&gt;"",O10&lt;&gt;"",P10&lt;&gt;"",Q10&lt;&gt;""),IF(K10="Draft design","Complete",IF(AND(L10&lt;&gt;"",M10&lt;&gt;""),"Complete","Issue evidence incomplete")),"Incomplete")</f>
        <v/>
      </c>
    </row>
    <row r="11" ht="21.75" customHeight="1" s="32">
      <c r="A11" s="53" t="inlineStr">
        <is>
          <t>COM-05</t>
        </is>
      </c>
      <c r="B11" s="54" t="inlineStr">
        <is>
          <t>Governance body induction and decision protocol: mandate, evidence, conflicts, specialist authority and decision records.</t>
        </is>
      </c>
      <c r="C11" s="54" t="inlineStr">
        <is>
          <t>Executive Sponsor, Board, Working Group, secretariat and regular advisers</t>
        </is>
      </c>
      <c r="D11" s="54" t="inlineStr">
        <is>
          <t>AI Governance Lead</t>
        </is>
      </c>
      <c r="E11" s="54" t="inlineStr">
        <is>
          <t>AI Governance Lead / relevant Chair</t>
        </is>
      </c>
      <c r="F11" s="54" t="inlineStr">
        <is>
          <t>Induction pack, calibrated case workshop and meeting standing items</t>
        </is>
      </c>
      <c r="G11" s="54" t="inlineStr">
        <is>
          <t>Before participation and on appointment/delegation change</t>
        </is>
      </c>
      <c r="H11" s="54" t="inlineStr">
        <is>
          <t>Annual calibration plus triggered update</t>
        </is>
      </c>
      <c r="I11" s="54" t="inlineStr">
        <is>
          <t>Materials issued early; conflicts and accessibility needs captured</t>
        </is>
      </c>
      <c r="J11" s="54" t="inlineStr">
        <is>
          <t>Attendance, declarations, calibration result, minutes and updated pack</t>
        </is>
      </c>
      <c r="K11" s="55" t="inlineStr">
        <is>
          <t>Draft design</t>
        </is>
      </c>
      <c r="L11" s="56" t="n"/>
      <c r="M11" s="56" t="n"/>
      <c r="N11" s="54" t="inlineStr">
        <is>
          <t>Decision consistency, evidence quality, conflicts handled and rework</t>
        </is>
      </c>
      <c r="O11" s="54" t="inlineStr">
        <is>
          <t>OBJ-02, OBJ-08; R-01, R-03, R-04; IMP-05</t>
        </is>
      </c>
      <c r="P11" s="54" t="inlineStr">
        <is>
          <t>ISO 5.3, 7.2-7.4; A.3.2</t>
        </is>
      </c>
      <c r="Q11" s="54" t="inlineStr">
        <is>
          <t>Training does not itself confer decision authority.</t>
        </is>
      </c>
      <c r="R11" s="54">
        <f>IF(AND(A11&lt;&gt;"",B11&lt;&gt;"",C11&lt;&gt;"",D11&lt;&gt;"",E11&lt;&gt;"",F11&lt;&gt;"",G11&lt;&gt;"",H11&lt;&gt;"",I11&lt;&gt;"",J11&lt;&gt;"",K11&lt;&gt;"",N11&lt;&gt;"",O11&lt;&gt;"",P11&lt;&gt;"",Q11&lt;&gt;""),IF(K11="Draft design","Complete",IF(AND(L11&lt;&gt;"",M11&lt;&gt;""),"Complete","Issue evidence incomplete")),"Incomplete")</f>
        <v/>
      </c>
    </row>
    <row r="12" ht="32.25" customHeight="1" s="32">
      <c r="A12" s="53" t="inlineStr">
        <is>
          <t>COM-06</t>
        </is>
      </c>
      <c r="B12" s="54" t="inlineStr">
        <is>
          <t>Specialist-control integration: confirm retained authority, hand-offs, service levels, evidence and escalation.</t>
        </is>
      </c>
      <c r="C12" s="54" t="inlineStr">
        <is>
          <t>DPO/IG, SIRO, Security, Legal, Procurement, Data, Equality, Human Rights, Safeguarding, Audit</t>
        </is>
      </c>
      <c r="D12" s="54" t="inlineStr">
        <is>
          <t>AI Governance Lead</t>
        </is>
      </c>
      <c r="E12" s="54" t="inlineStr">
        <is>
          <t>Executive Sponsor / relevant Function Heads</t>
        </is>
      </c>
      <c r="F12" s="54" t="inlineStr">
        <is>
          <t>Cross-functional workshop, operating agreement and process maps</t>
        </is>
      </c>
      <c r="G12" s="54" t="inlineStr">
        <is>
          <t>Before AIMS activation and on material organisational change</t>
        </is>
      </c>
      <c r="H12" s="54" t="inlineStr">
        <is>
          <t>At least annually</t>
        </is>
      </c>
      <c r="I12" s="54" t="inlineStr">
        <is>
          <t>Allow specialist functions to document constraints and resourcing needs</t>
        </is>
      </c>
      <c r="J12" s="54" t="inlineStr">
        <is>
          <t>Agreed interfaces, action log, service expectations and escalation records</t>
        </is>
      </c>
      <c r="K12" s="55" t="inlineStr">
        <is>
          <t>Draft design</t>
        </is>
      </c>
      <c r="L12" s="56" t="n"/>
      <c r="M12" s="56" t="n"/>
      <c r="N12" s="54" t="inlineStr">
        <is>
          <t>Hand-off failures, overdue reviews, disputed authority and resource actions</t>
        </is>
      </c>
      <c r="O12" s="54" t="inlineStr">
        <is>
          <t>OBJ-02, OBJ-08; R-04, R-05; IMP-05</t>
        </is>
      </c>
      <c r="P12" s="54" t="inlineStr">
        <is>
          <t>ISO 5.3, 7.1, 7.4; A.3.2</t>
        </is>
      </c>
      <c r="Q12" s="54" t="inlineStr">
        <is>
          <t>AIG-GOV-06 states specialist functions retain their authority.</t>
        </is>
      </c>
      <c r="R12" s="54">
        <f>IF(AND(A12&lt;&gt;"",B12&lt;&gt;"",C12&lt;&gt;"",D12&lt;&gt;"",E12&lt;&gt;"",F12&lt;&gt;"",G12&lt;&gt;"",H12&lt;&gt;"",I12&lt;&gt;"",J12&lt;&gt;"",K12&lt;&gt;"",N12&lt;&gt;"",O12&lt;&gt;"",P12&lt;&gt;"",Q12&lt;&gt;""),IF(K12="Draft design","Complete",IF(AND(L12&lt;&gt;"",M12&lt;&gt;""),"Complete","Issue evidence incomplete")),"Incomplete")</f>
        <v/>
      </c>
    </row>
    <row r="13" ht="32.25" customHeight="1" s="32">
      <c r="A13" s="53" t="inlineStr">
        <is>
          <t>COM-07</t>
        </is>
      </c>
      <c r="B13" s="54" t="inlineStr">
        <is>
          <t>Supplier and market communication: disclose Council AI governance, due-diligence evidence, contract, change, incident and exit expectations.</t>
        </is>
      </c>
      <c r="C13" s="54" t="inlineStr">
        <is>
          <t>Bidders, suppliers, partners, contract owners and procurement teams</t>
        </is>
      </c>
      <c r="D13" s="54" t="inlineStr">
        <is>
          <t>Procurement / Contract Owner</t>
        </is>
      </c>
      <c r="E13" s="54" t="inlineStr">
        <is>
          <t>Legal / authorised procurement approver</t>
        </is>
      </c>
      <c r="F13" s="54" t="inlineStr">
        <is>
          <t>Procurement documents, contracts, supplier briefings and review meetings</t>
        </is>
      </c>
      <c r="G13" s="54" t="inlineStr">
        <is>
          <t>Before market engagement; contract/renewal; material supplier change</t>
        </is>
      </c>
      <c r="H13" s="54" t="inlineStr">
        <is>
          <t>Per procurement and scheduled supplier review</t>
        </is>
      </c>
      <c r="I13" s="54" t="inlineStr">
        <is>
          <t>Proportionate to market and procurement law; accessible supplier route for clarification</t>
        </is>
      </c>
      <c r="J13" s="54" t="inlineStr">
        <is>
          <t>Issued requirements, questions, due diligence, clauses, exceptions and review minutes</t>
        </is>
      </c>
      <c r="K13" s="55" t="inlineStr">
        <is>
          <t>Draft design</t>
        </is>
      </c>
      <c r="L13" s="56" t="n"/>
      <c r="M13" s="56" t="n"/>
      <c r="N13" s="54" t="inlineStr">
        <is>
          <t>Compliance, exceptions, evidence timeliness, unnotified change and exit readiness</t>
        </is>
      </c>
      <c r="O13" s="54" t="inlineStr">
        <is>
          <t>OBJ-06; R-09, R-10, R-15; IMP-10</t>
        </is>
      </c>
      <c r="P13" s="54" t="inlineStr">
        <is>
          <t>ISO 7.4, 8.1; A.10.2-A.10.4</t>
        </is>
      </c>
      <c r="Q13" s="54" t="inlineStr">
        <is>
          <t>Do not disclose sensitive security detail outside approved channels.</t>
        </is>
      </c>
      <c r="R13" s="54">
        <f>IF(AND(A13&lt;&gt;"",B13&lt;&gt;"",C13&lt;&gt;"",D13&lt;&gt;"",E13&lt;&gt;"",F13&lt;&gt;"",G13&lt;&gt;"",H13&lt;&gt;"",I13&lt;&gt;"",J13&lt;&gt;"",K13&lt;&gt;"",N13&lt;&gt;"",O13&lt;&gt;"",P13&lt;&gt;"",Q13&lt;&gt;""),IF(K13="Draft design","Complete",IF(AND(L13&lt;&gt;"",M13&lt;&gt;""),"Complete","Issue evidence incomplete")),"Incomplete")</f>
        <v/>
      </c>
    </row>
    <row r="14" ht="32.25" customHeight="1" s="32">
      <c r="A14" s="53" t="inlineStr">
        <is>
          <t>COM-08</t>
        </is>
      </c>
      <c r="B14" s="54" t="inlineStr">
        <is>
          <t>Live-system operational communication: approved purpose, limits, instructions, oversight, thresholds, escalation and rollback.</t>
        </is>
      </c>
      <c r="C14" s="54" t="inlineStr">
        <is>
          <t>Authorised users, supervisors, support teams and operational owners</t>
        </is>
      </c>
      <c r="D14" s="54" t="inlineStr">
        <is>
          <t>AI System Owner / Service Owner</t>
        </is>
      </c>
      <c r="E14" s="54" t="inlineStr">
        <is>
          <t>Service Owner and relevant control owners</t>
        </is>
      </c>
      <c r="F14" s="54" t="inlineStr">
        <is>
          <t>Operating procedure, user briefing, in-product guidance and release notice</t>
        </is>
      </c>
      <c r="G14" s="54" t="inlineStr">
        <is>
          <t>Before go-live/access; material change; threshold or incident response</t>
        </is>
      </c>
      <c r="H14" s="54" t="inlineStr">
        <is>
          <t>At every release/change plus periodic refresh</t>
        </is>
      </c>
      <c r="I14" s="54" t="inlineStr">
        <is>
          <t>Role-specific, accessible and tested with representative users</t>
        </is>
      </c>
      <c r="J14" s="54" t="inlineStr">
        <is>
          <t>Approved instructions, attendance/acknowledgement, release record and user feedback</t>
        </is>
      </c>
      <c r="K14" s="55" t="inlineStr">
        <is>
          <t>Draft design</t>
        </is>
      </c>
      <c r="L14" s="56" t="n"/>
      <c r="M14" s="56" t="n"/>
      <c r="N14" s="54" t="inlineStr">
        <is>
          <t>Instruction comprehension, user error, overrides, incidents and support demand</t>
        </is>
      </c>
      <c r="O14" s="54" t="inlineStr">
        <is>
          <t>OBJ-04, OBJ-05, OBJ-07; R-08, R-10, R-11</t>
        </is>
      </c>
      <c r="P14" s="54" t="inlineStr">
        <is>
          <t>ISO 7.3-7.4, 8.1; A.6.2.6-A.6.2.8, A.9.2</t>
        </is>
      </c>
      <c r="Q14" s="54" t="inlineStr">
        <is>
          <t>Link to AIG-ASS-09 Model Card and AIG-OPS-01 rollout evidence.</t>
        </is>
      </c>
      <c r="R14" s="54">
        <f>IF(AND(A14&lt;&gt;"",B14&lt;&gt;"",C14&lt;&gt;"",D14&lt;&gt;"",E14&lt;&gt;"",F14&lt;&gt;"",G14&lt;&gt;"",H14&lt;&gt;"",I14&lt;&gt;"",J14&lt;&gt;"",K14&lt;&gt;"",N14&lt;&gt;"",O14&lt;&gt;"",P14&lt;&gt;"",Q14&lt;&gt;""),IF(K14="Draft design","Complete",IF(AND(L14&lt;&gt;"",M14&lt;&gt;""),"Complete","Issue evidence incomplete")),"Incomplete")</f>
        <v/>
      </c>
    </row>
    <row r="15" ht="32.25" customHeight="1" s="32">
      <c r="A15" s="53" t="inlineStr">
        <is>
          <t>COM-09</t>
        </is>
      </c>
      <c r="B15" s="54" t="inlineStr">
        <is>
          <t>Resident/service-user transparency: explain relevant AI use, purpose, human role, significant limits, data/rights, accessibility, contact and redress.</t>
        </is>
      </c>
      <c r="C15" s="54" t="inlineStr">
        <is>
          <t>Residents, service users, communities and affected groups</t>
        </is>
      </c>
      <c r="D15" s="54" t="inlineStr">
        <is>
          <t>Service Owner / Communications</t>
        </is>
      </c>
      <c r="E15" s="54" t="inlineStr">
        <is>
          <t>Authorised service owner with DPO/Legal/specialist review</t>
        </is>
      </c>
      <c r="F15" s="54" t="inlineStr">
        <is>
          <t>Service pages, notices, letters, assisted channels and engagement sessions</t>
        </is>
      </c>
      <c r="G15" s="54" t="inlineStr">
        <is>
          <t>Before applicable use; material purpose/impact change; emerging concern</t>
        </is>
      </c>
      <c r="H15" s="54" t="inlineStr">
        <is>
          <t>Continuous availability and periodic review</t>
        </is>
      </c>
      <c r="I15" s="54" t="inlineStr">
        <is>
          <t>Plain language, accessible formats, language/assisted routes and proportionate affected-group testing</t>
        </is>
      </c>
      <c r="J15" s="54" t="inlineStr">
        <is>
          <t>Approved content, accessibility/user testing, consultation, publication and change records</t>
        </is>
      </c>
      <c r="K15" s="55" t="inlineStr">
        <is>
          <t>Draft design</t>
        </is>
      </c>
      <c r="L15" s="56" t="n"/>
      <c r="M15" s="56" t="n"/>
      <c r="N15" s="54" t="inlineStr">
        <is>
          <t>Understanding, accessibility findings, contact/complaint themes and resulting service changes</t>
        </is>
      </c>
      <c r="O15" s="54" t="inlineStr">
        <is>
          <t>OBJ-03, OBJ-05; R-06, R-08, R-13</t>
        </is>
      </c>
      <c r="P15" s="54" t="inlineStr">
        <is>
          <t>ISO 4.2, 7.4; A.5.4, A.8.2-A.8.5</t>
        </is>
      </c>
      <c r="Q15" s="54" t="inlineStr">
        <is>
          <t>Apply proportionality; legal/privacy notices remain subject to specialist approval.</t>
        </is>
      </c>
      <c r="R15" s="54">
        <f>IF(AND(A15&lt;&gt;"",B15&lt;&gt;"",C15&lt;&gt;"",D15&lt;&gt;"",E15&lt;&gt;"",F15&lt;&gt;"",G15&lt;&gt;"",H15&lt;&gt;"",I15&lt;&gt;"",J15&lt;&gt;"",K15&lt;&gt;"",N15&lt;&gt;"",O15&lt;&gt;"",P15&lt;&gt;"",Q15&lt;&gt;""),IF(K15="Draft design","Complete",IF(AND(L15&lt;&gt;"",M15&lt;&gt;""),"Complete","Issue evidence incomplete")),"Incomplete")</f>
        <v/>
      </c>
    </row>
    <row r="16" ht="32.25" customHeight="1" s="32">
      <c r="A16" s="53" t="inlineStr">
        <is>
          <t>COM-10</t>
        </is>
      </c>
      <c r="B16" s="54" t="inlineStr">
        <is>
          <t>Urgent incident and risk communication: what happened, containment, affected parties, actions, contact and update cadence.</t>
        </is>
      </c>
      <c r="C16" s="54" t="inlineStr">
        <is>
          <t>Incident team, leadership, regulators/partners where required, staff, residents and media as applicable</t>
        </is>
      </c>
      <c r="D16" s="54" t="inlineStr">
        <is>
          <t>Incident Lead</t>
        </is>
      </c>
      <c r="E16" s="54" t="inlineStr">
        <is>
          <t>Authorised incident/corporate communications owner with specialist clearance</t>
        </is>
      </c>
      <c r="F16" s="54" t="inlineStr">
        <is>
          <t>Secure incident channels, notifications, service updates and holding statements</t>
        </is>
      </c>
      <c r="G16" s="54" t="inlineStr">
        <is>
          <t>Severity-based trigger under approved incident plan</t>
        </is>
      </c>
      <c r="H16" s="54" t="inlineStr">
        <is>
          <t>As required until closure</t>
        </is>
      </c>
      <c r="I16" s="54" t="inlineStr">
        <is>
          <t>Protect confidentiality; use accessible/public channels where affected people need timely information</t>
        </is>
      </c>
      <c r="J16" s="54" t="inlineStr">
        <is>
          <t>Incident log, approvals, notifications, message versions, receipt and follow-up</t>
        </is>
      </c>
      <c r="K16" s="55" t="inlineStr">
        <is>
          <t>Draft design</t>
        </is>
      </c>
      <c r="L16" s="56" t="n"/>
      <c r="M16" s="56" t="n"/>
      <c r="N16" s="54" t="inlineStr">
        <is>
          <t>Notification timeliness, accuracy, reach, misinformation, complaints and lessons learned</t>
        </is>
      </c>
      <c r="O16" s="54" t="inlineStr">
        <is>
          <t>OBJ-05, OBJ-07; R-08, R-12; IMP-13</t>
        </is>
      </c>
      <c r="P16" s="54" t="inlineStr">
        <is>
          <t>ISO 7.4, 10.2; A.3.3, A.8.3-A.8.4</t>
        </is>
      </c>
      <c r="Q16" s="54" t="inlineStr">
        <is>
          <t>Align severity, notification and legal duties with corporate processes.</t>
        </is>
      </c>
      <c r="R16" s="54">
        <f>IF(AND(A16&lt;&gt;"",B16&lt;&gt;"",C16&lt;&gt;"",D16&lt;&gt;"",E16&lt;&gt;"",F16&lt;&gt;"",G16&lt;&gt;"",H16&lt;&gt;"",I16&lt;&gt;"",J16&lt;&gt;"",K16&lt;&gt;"",N16&lt;&gt;"",O16&lt;&gt;"",P16&lt;&gt;"",Q16&lt;&gt;""),IF(K16="Draft design","Complete",IF(AND(L16&lt;&gt;"",M16&lt;&gt;""),"Complete","Issue evidence incomplete")),"Incomplete")</f>
        <v/>
      </c>
    </row>
    <row r="17" ht="32.25" customHeight="1" s="32">
      <c r="A17" s="53" t="inlineStr">
        <is>
          <t>COM-11</t>
        </is>
      </c>
      <c r="B17" s="54" t="inlineStr">
        <is>
          <t>AIMS performance and assurance reporting: objectives, risk, inventory, control effectiveness, incidents, learning, audit and actions.</t>
        </is>
      </c>
      <c r="C17" s="54" t="inlineStr">
        <is>
          <t>Working Group, Board, Executive Sponsor, leadership and assurance committees</t>
        </is>
      </c>
      <c r="D17" s="54" t="inlineStr">
        <is>
          <t>AI Governance Lead</t>
        </is>
      </c>
      <c r="E17" s="54" t="inlineStr">
        <is>
          <t>Relevant Chair / Executive Sponsor</t>
        </is>
      </c>
      <c r="F17" s="54" t="inlineStr">
        <is>
          <t>Dashboard, governance report, management-review pack and audit updates</t>
        </is>
      </c>
      <c r="G17" s="54" t="inlineStr">
        <is>
          <t>Approved reporting calendar; material exception; management review</t>
        </is>
      </c>
      <c r="H17" s="54" t="inlineStr">
        <is>
          <t>Monthly during implementation; at least quarterly thereafter</t>
        </is>
      </c>
      <c r="I17" s="54" t="inlineStr">
        <is>
          <t>Clear definitions, data-quality notes, exceptions and decision requests</t>
        </is>
      </c>
      <c r="J17" s="54" t="inlineStr">
        <is>
          <t>Controlled report, source data, minutes, decisions and action log</t>
        </is>
      </c>
      <c r="K17" s="55" t="inlineStr">
        <is>
          <t>Draft design</t>
        </is>
      </c>
      <c r="L17" s="56" t="n"/>
      <c r="M17" s="56" t="n"/>
      <c r="N17" s="54" t="inlineStr">
        <is>
          <t>Data completeness/accuracy, decisions made, overdue actions and trend response</t>
        </is>
      </c>
      <c r="O17" s="54" t="inlineStr">
        <is>
          <t>OBJ-01 to OBJ-08; R-14; IMP-12, IMP-14, IMP-15</t>
        </is>
      </c>
      <c r="P17" s="54" t="inlineStr">
        <is>
          <t>ISO 9.1-9.3, 10.1; A.8.5</t>
        </is>
      </c>
      <c r="Q17" s="54" t="inlineStr">
        <is>
          <t>Do not imply control effectiveness without operating evidence.</t>
        </is>
      </c>
      <c r="R17" s="54">
        <f>IF(AND(A17&lt;&gt;"",B17&lt;&gt;"",C17&lt;&gt;"",D17&lt;&gt;"",E17&lt;&gt;"",F17&lt;&gt;"",G17&lt;&gt;"",H17&lt;&gt;"",I17&lt;&gt;"",J17&lt;&gt;"",K17&lt;&gt;"",N17&lt;&gt;"",O17&lt;&gt;"",P17&lt;&gt;"",Q17&lt;&gt;""),IF(K17="Draft design","Complete",IF(AND(L17&lt;&gt;"",M17&lt;&gt;""),"Complete","Issue evidence incomplete")),"Incomplete")</f>
        <v/>
      </c>
    </row>
    <row r="18" ht="32.25" customHeight="1" s="32">
      <c r="A18" s="53" t="inlineStr">
        <is>
          <t>COM-12</t>
        </is>
      </c>
      <c r="B18" s="54" t="inlineStr">
        <is>
          <t>Learning, lessons and community of practice: share safe patterns, recurring issues, controls and improvement opportunities.</t>
        </is>
      </c>
      <c r="C18" s="54" t="inlineStr">
        <is>
          <t>Owners, practitioners, specialists, governance members and interested staff</t>
        </is>
      </c>
      <c r="D18" s="54" t="inlineStr">
        <is>
          <t>AI Governance Lead</t>
        </is>
      </c>
      <c r="E18" s="54" t="inlineStr">
        <is>
          <t>AI Governance Lead / relevant specialist owner</t>
        </is>
      </c>
      <c r="F18" s="54" t="inlineStr">
        <is>
          <t>Community sessions, clinics, anonymised case notes and learning bulletins</t>
        </is>
      </c>
      <c r="G18" s="54" t="inlineStr">
        <is>
          <t>After pilots, incidents, complaints, audits and material reviews</t>
        </is>
      </c>
      <c r="H18" s="54" t="inlineStr">
        <is>
          <t>Quarterly during implementation</t>
        </is>
      </c>
      <c r="I18" s="54" t="inlineStr">
        <is>
          <t>Anonymise sensitive cases; ensure inclusive participation and accessible materials</t>
        </is>
      </c>
      <c r="J18" s="54" t="inlineStr">
        <is>
          <t>Session records, anonymised learning, actions, feedback and control changes</t>
        </is>
      </c>
      <c r="K18" s="55" t="inlineStr">
        <is>
          <t>Draft design</t>
        </is>
      </c>
      <c r="L18" s="56" t="n"/>
      <c r="M18" s="56" t="n"/>
      <c r="N18" s="54" t="inlineStr">
        <is>
          <t>Participation, repeat issues, adopted improvements and competence feedback</t>
        </is>
      </c>
      <c r="O18" s="54" t="inlineStr">
        <is>
          <t>OBJ-07, OBJ-08; R-05, R-12, R-14; IMP-07, IMP-13</t>
        </is>
      </c>
      <c r="P18" s="54" t="inlineStr">
        <is>
          <t>ISO 7.3-7.4, 10.1-10.2; A.4.6</t>
        </is>
      </c>
      <c r="Q18" s="54" t="inlineStr">
        <is>
          <t>Share only approved and appropriately de-identified material.</t>
        </is>
      </c>
      <c r="R18" s="54">
        <f>IF(AND(A18&lt;&gt;"",B18&lt;&gt;"",C18&lt;&gt;"",D18&lt;&gt;"",E18&lt;&gt;"",F18&lt;&gt;"",G18&lt;&gt;"",H18&lt;&gt;"",I18&lt;&gt;"",J18&lt;&gt;"",K18&lt;&gt;"",N18&lt;&gt;"",O18&lt;&gt;"",P18&lt;&gt;"",Q18&lt;&gt;""),IF(K18="Draft design","Complete",IF(AND(L18&lt;&gt;"",M18&lt;&gt;""),"Complete","Issue evidence incomplete")),"Incomplete")</f>
        <v/>
      </c>
    </row>
    <row r="19" ht="32.25" customHeight="1" s="32">
      <c r="A19" s="53" t="inlineStr">
        <is>
          <t>COM-13</t>
        </is>
      </c>
      <c r="B19" s="54" t="inlineStr">
        <is>
          <t>Applicable-requirement and material-change updates: explain what changed, affected roles/systems, actions and effective date.</t>
        </is>
      </c>
      <c r="C19" s="54" t="inlineStr">
        <is>
          <t>Leadership, governance, Service/System Owners and relevant control functions/suppliers</t>
        </is>
      </c>
      <c r="D19" s="54" t="inlineStr">
        <is>
          <t>Legal Services / AI Governance Lead</t>
        </is>
      </c>
      <c r="E19" s="54" t="inlineStr">
        <is>
          <t>Applicable requirement owner / authorised governance body</t>
        </is>
      </c>
      <c r="F19" s="54" t="inlineStr">
        <is>
          <t>Targeted alert, change note, updated controlled documents and briefing</t>
        </is>
      </c>
      <c r="G19" s="54" t="inlineStr">
        <is>
          <t>New/changed law, regulation, policy, standard, contract or risk context</t>
        </is>
      </c>
      <c r="H19" s="54" t="inlineStr">
        <is>
          <t>Event-driven; periodic horizon review</t>
        </is>
      </c>
      <c r="I19" s="54" t="inlineStr">
        <is>
          <t>Target only affected groups while maintaining an accessible authoritative record</t>
        </is>
      </c>
      <c r="J19" s="54" t="inlineStr">
        <is>
          <t>Source assessment, applicability decision, affected records, communications and action closure</t>
        </is>
      </c>
      <c r="K19" s="55" t="inlineStr">
        <is>
          <t>Draft design</t>
        </is>
      </c>
      <c r="L19" s="56" t="n"/>
      <c r="M19" s="56" t="n"/>
      <c r="N19" s="54" t="inlineStr">
        <is>
          <t>Timeliness, affected-system coverage, action closure and outdated-document findings</t>
        </is>
      </c>
      <c r="O19" s="54" t="inlineStr">
        <is>
          <t>OBJ-03, OBJ-08; R-13; IMP-04</t>
        </is>
      </c>
      <c r="P19" s="54" t="inlineStr">
        <is>
          <t>ISO 4.2, 6.1, 7.4, 9.1; A.2.3</t>
        </is>
      </c>
      <c r="Q19" s="54" t="inlineStr">
        <is>
          <t>Coordinate with the AIMS applicable-requirements and change register (AIG-AIMS-05).</t>
        </is>
      </c>
      <c r="R19" s="54">
        <f>IF(AND(A19&lt;&gt;"",B19&lt;&gt;"",C19&lt;&gt;"",D19&lt;&gt;"",E19&lt;&gt;"",F19&lt;&gt;"",G19&lt;&gt;"",H19&lt;&gt;"",I19&lt;&gt;"",J19&lt;&gt;"",K19&lt;&gt;"",N19&lt;&gt;"",O19&lt;&gt;"",P19&lt;&gt;"",Q19&lt;&gt;""),IF(K19="Draft design","Complete",IF(AND(L19&lt;&gt;"",M19&lt;&gt;""),"Complete","Issue evidence incomplete")),"Incomplete")</f>
        <v/>
      </c>
    </row>
  </sheetData>
  <mergeCells count="4">
    <mergeCell ref="A3:R3"/>
    <mergeCell ref="A2:R2"/>
    <mergeCell ref="A1:R1"/>
    <mergeCell ref="A4:R4"/>
  </mergeCells>
  <conditionalFormatting sqref="K7:K19">
    <cfRule type="containsText" rank="0" priority="2" equalAverage="0" operator="containsText" aboveAverage="0" dxfId="9" text="Issued" percent="0" bottom="0">
      <formula>NOT(ISERROR(SEARCH("Issued",K7)))</formula>
    </cfRule>
    <cfRule type="containsText" rank="0" priority="3" equalAverage="0" operator="containsText" aboveAverage="0" dxfId="13" text="Active" percent="0" bottom="0">
      <formula>NOT(ISERROR(SEARCH("Active",K7)))</formula>
    </cfRule>
  </conditionalFormatting>
  <conditionalFormatting sqref="R7:R19">
    <cfRule type="containsText" rank="0" priority="4" equalAverage="0" operator="containsText" aboveAverage="0" dxfId="9" text="Complete" percent="0" bottom="0">
      <formula>NOT(ISERROR(SEARCH("Complete",R7)))</formula>
    </cfRule>
  </conditionalFormatting>
  <dataValidations count="1">
    <dataValidation sqref="K7:K19" showDropDown="0" showInputMessage="0" showErrorMessage="0" allowBlank="0" type="list" errorStyle="stop" operator="between">
      <formula1>"Draft design,Approved,Scheduled,Active,Issued,Complete,Paused,Retired"</formula1>
      <formula2>0</formula2>
    </dataValidation>
  </dataValidations>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6"/>
  <sheetViews>
    <sheetView showGridLines="0" workbookViewId="0">
      <selection activeCell="A1" sqref="A1"/>
    </sheetView>
  </sheetViews>
  <sheetFormatPr baseColWidth="8" defaultColWidth="9.47265625" defaultRowHeight="15"/>
  <cols>
    <col width="16.48999977111816" customWidth="1" style="31" min="1" max="1"/>
    <col width="34.06999969482422" customWidth="1" style="31" min="2" max="2"/>
    <col width="25.28000068664551" customWidth="1" style="31" min="3" max="3"/>
    <col width="20.8799991607666" customWidth="1" style="31" min="4" max="4"/>
    <col width="26.3799991607666" customWidth="1" style="31" min="5" max="5"/>
    <col width="7.690000057220459" customWidth="1" style="31" min="6" max="6"/>
    <col width="19.79000091552734" customWidth="1" style="31" min="7" max="7"/>
    <col width="34.06999969482422" customWidth="1" style="31" min="8" max="8"/>
  </cols>
  <sheetData>
    <row r="1" ht="31.5" customHeight="1" s="32">
      <c r="A1" s="59" t="inlineStr">
        <is>
          <t>AIG-AIMS-04 — Definitions, Evidence Rules and Controlled-Use Guidance</t>
        </is>
      </c>
    </row>
    <row r="2"/>
    <row r="3" ht="15" customHeight="1" s="32">
      <c r="A3" s="49" t="inlineStr">
        <is>
          <t>Role status</t>
        </is>
      </c>
      <c r="B3" s="49" t="inlineStr">
        <is>
          <t>Meaning</t>
        </is>
      </c>
      <c r="D3" s="49" t="inlineStr">
        <is>
          <t>Assessment status</t>
        </is>
      </c>
      <c r="E3" s="49" t="inlineStr">
        <is>
          <t>Meaning</t>
        </is>
      </c>
      <c r="G3" s="49" t="inlineStr">
        <is>
          <t>Learning / communication status</t>
        </is>
      </c>
      <c r="H3" s="49" t="inlineStr">
        <is>
          <t>Meaning</t>
        </is>
      </c>
    </row>
    <row r="4" ht="30" customHeight="1" s="32">
      <c r="A4" s="39" t="inlineStr">
        <is>
          <t>Proposed</t>
        </is>
      </c>
      <c r="B4" s="50" t="inlineStr">
        <is>
          <t>Role design only; no person or body is appointed by this workbook.</t>
        </is>
      </c>
      <c r="D4" s="39" t="inlineStr">
        <is>
          <t>Not assessed</t>
        </is>
      </c>
      <c r="E4" s="50" t="inlineStr">
        <is>
          <t>Required profile is defined but current competence has not been assessed.</t>
        </is>
      </c>
      <c r="G4" s="39" t="inlineStr">
        <is>
          <t>Draft design</t>
        </is>
      </c>
      <c r="H4" s="50" t="inlineStr">
        <is>
          <t>Content/activity is proposed; nothing has been approved or issued.</t>
        </is>
      </c>
    </row>
    <row r="5" ht="30" customHeight="1" s="32">
      <c r="A5" s="39" t="inlineStr">
        <is>
          <t>Confirmed</t>
        </is>
      </c>
      <c r="B5" s="50" t="inlineStr">
        <is>
          <t>Named appointee, authority/appointment evidence, deputy arrangements and review date are retained.</t>
        </is>
      </c>
      <c r="D5" s="39" t="inlineStr">
        <is>
          <t>Assessment planned</t>
        </is>
      </c>
      <c r="E5" s="50" t="inlineStr">
        <is>
          <t>Assessor, method, scope and date are agreed.</t>
        </is>
      </c>
      <c r="G5" s="39" t="inlineStr">
        <is>
          <t>Approved</t>
        </is>
      </c>
      <c r="H5" s="50" t="inlineStr">
        <is>
          <t>Authorised design, owner, audience, timing and evidence requirements are confirmed.</t>
        </is>
      </c>
    </row>
    <row r="6" ht="30" customHeight="1" s="32">
      <c r="A6" s="39" t="inlineStr">
        <is>
          <t>Vacant</t>
        </is>
      </c>
      <c r="B6" s="50" t="inlineStr">
        <is>
          <t>Approved role has no current appointee; risk, interim cover and escalation should be recorded.</t>
        </is>
      </c>
      <c r="D6" s="39" t="inlineStr">
        <is>
          <t>Assessed - competent</t>
        </is>
      </c>
      <c r="E6" s="50" t="inlineStr">
        <is>
          <t>Evidence supports competence for the assigned role and scope, with review date.</t>
        </is>
      </c>
      <c r="G6" s="39" t="inlineStr">
        <is>
          <t>Scheduled</t>
        </is>
      </c>
      <c r="H6" s="50" t="inlineStr">
        <is>
          <t>Delivery/issue date and resources are confirmed.</t>
        </is>
      </c>
    </row>
    <row r="7" ht="30" customHeight="1" s="32">
      <c r="A7" s="39" t="inlineStr">
        <is>
          <t>Interim</t>
        </is>
      </c>
      <c r="B7" s="50" t="inlineStr">
        <is>
          <t>Time-limited appointment with explicit authority, deputy/cover and review date.</t>
        </is>
      </c>
      <c r="D7" s="39" t="inlineStr">
        <is>
          <t>Assessed - gap</t>
        </is>
      </c>
      <c r="E7" s="50" t="inlineStr">
        <is>
          <t>A defined competence gap needs supervision, restriction, training or other remedial action.</t>
        </is>
      </c>
      <c r="G7" s="39" t="inlineStr">
        <is>
          <t>Active</t>
        </is>
      </c>
      <c r="H7" s="50" t="inlineStr">
        <is>
          <t>Recurring activity is operating and being monitored.</t>
        </is>
      </c>
    </row>
    <row r="8" ht="30" customHeight="1" s="32">
      <c r="A8" s="39" t="inlineStr">
        <is>
          <t>Suspended</t>
        </is>
      </c>
      <c r="B8" s="50" t="inlineStr">
        <is>
          <t>Authority is temporarily suspended through an authorised decision.</t>
        </is>
      </c>
      <c r="D8" s="39" t="inlineStr">
        <is>
          <t>Expired / reassess</t>
        </is>
      </c>
      <c r="E8" s="50" t="inlineStr">
        <is>
          <t>Evidence is no longer current because of time, role, technology, control failure or material change.</t>
        </is>
      </c>
      <c r="G8" s="39" t="inlineStr">
        <is>
          <t>Issued</t>
        </is>
      </c>
      <c r="H8" s="50" t="inlineStr">
        <is>
          <t>A communication was issued and evidence retained.</t>
        </is>
      </c>
    </row>
    <row r="9" ht="30" customHeight="1" s="32">
      <c r="A9" s="39" t="inlineStr">
        <is>
          <t>Retired</t>
        </is>
      </c>
      <c r="B9" s="50" t="inlineStr">
        <is>
          <t>Role is no longer required or is superseded through an approved change.</t>
        </is>
      </c>
      <c r="G9" s="39" t="inlineStr">
        <is>
          <t>Complete</t>
        </is>
      </c>
      <c r="H9" s="50" t="inlineStr">
        <is>
          <t>Planned delivery is finished and effectiveness evidence reviewed.</t>
        </is>
      </c>
    </row>
    <row r="10" ht="30" customHeight="1" s="32">
      <c r="G10" s="39" t="inlineStr">
        <is>
          <t>Paused</t>
        </is>
      </c>
      <c r="H10" s="50" t="inlineStr">
        <is>
          <t>Activity is formally paused with reason and review decision.</t>
        </is>
      </c>
    </row>
    <row r="11" ht="30" customHeight="1" s="32">
      <c r="G11" s="39" t="inlineStr">
        <is>
          <t>Retired</t>
        </is>
      </c>
      <c r="H11" s="50" t="inlineStr">
        <is>
          <t>Activity is superseded or no longer required through approved change.</t>
        </is>
      </c>
    </row>
    <row r="12"/>
    <row r="13" ht="15" customHeight="1" s="32">
      <c r="A13" s="37" t="inlineStr">
        <is>
          <t>Playbook competency levels</t>
        </is>
      </c>
    </row>
    <row r="14" ht="28.5" customHeight="1" s="32">
      <c r="A14" s="60" t="inlineStr">
        <is>
          <t>Level 1</t>
        </is>
      </c>
      <c r="B14" s="60" t="inlineStr">
        <is>
          <t>AI Awareness</t>
        </is>
      </c>
      <c r="C14" s="47" t="inlineStr">
        <is>
          <t>All employees</t>
        </is>
      </c>
      <c r="D14" s="61" t="inlineStr">
        <is>
          <t>Recognise AI, core principles, acceptable use and reporting routes.</t>
        </is>
      </c>
      <c r="E14" s="48" t="n"/>
      <c r="F14" s="48" t="n"/>
      <c r="G14" s="48" t="n"/>
      <c r="H14" s="46" t="n"/>
    </row>
    <row r="15" ht="28.5" customHeight="1" s="32">
      <c r="A15" s="60" t="inlineStr">
        <is>
          <t>Level 2</t>
        </is>
      </c>
      <c r="B15" s="60" t="inlineStr">
        <is>
          <t>AI User / Practitioner</t>
        </is>
      </c>
      <c r="C15" s="47" t="inlineStr">
        <is>
          <t>People using AI in work</t>
        </is>
      </c>
      <c r="D15" s="61" t="inlineStr">
        <is>
          <t>Use approved systems safely, verify outputs, protect information and follow instructions.</t>
        </is>
      </c>
      <c r="E15" s="48" t="n"/>
      <c r="F15" s="48" t="n"/>
      <c r="G15" s="48" t="n"/>
      <c r="H15" s="46" t="n"/>
    </row>
    <row r="16" ht="28.5" customHeight="1" s="32">
      <c r="A16" s="60" t="inlineStr">
        <is>
          <t>Level 3</t>
        </is>
      </c>
      <c r="B16" s="60" t="inlineStr">
        <is>
          <t>AI Owner / Manager</t>
        </is>
      </c>
      <c r="C16" s="47" t="inlineStr">
        <is>
          <t>Managers and accountable owners</t>
        </is>
      </c>
      <c r="D16" s="61" t="inlineStr">
        <is>
          <t>Own lifecycle governance, risk, human oversight, evidence and operational performance.</t>
        </is>
      </c>
      <c r="E16" s="48" t="n"/>
      <c r="F16" s="48" t="n"/>
      <c r="G16" s="48" t="n"/>
      <c r="H16" s="46" t="n"/>
    </row>
    <row r="17" ht="28.5" customHeight="1" s="32">
      <c r="A17" s="60" t="inlineStr">
        <is>
          <t>Level 4</t>
        </is>
      </c>
      <c r="B17" s="60" t="inlineStr">
        <is>
          <t>AI Specialist</t>
        </is>
      </c>
      <c r="C17" s="47" t="inlineStr">
        <is>
          <t>Technical, legal, data, security and governance specialists</t>
        </is>
      </c>
      <c r="D17" s="61" t="inlineStr">
        <is>
          <t>Apply specialist expertise to AI design, review, assurance and challenge.</t>
        </is>
      </c>
      <c r="E17" s="48" t="n"/>
      <c r="F17" s="48" t="n"/>
      <c r="G17" s="48" t="n"/>
      <c r="H17" s="46" t="n"/>
    </row>
    <row r="18" ht="28.5" customHeight="1" s="32">
      <c r="A18" s="60" t="inlineStr">
        <is>
          <t>Level 5</t>
        </is>
      </c>
      <c r="B18" s="60" t="inlineStr">
        <is>
          <t>AI Governance Leader</t>
        </is>
      </c>
      <c r="C18" s="47" t="inlineStr">
        <is>
          <t>Executive and AIMS leaders</t>
        </is>
      </c>
      <c r="D18" s="61" t="inlineStr">
        <is>
          <t>Set direction, exercise accountability, allocate resources, accept/escalate risk and review effectiveness.</t>
        </is>
      </c>
      <c r="E18" s="48" t="n"/>
      <c r="F18" s="48" t="n"/>
      <c r="G18" s="48" t="n"/>
      <c r="H18" s="46" t="n"/>
    </row>
    <row r="19"/>
    <row r="20" ht="15" customHeight="1" s="32">
      <c r="A20" s="37" t="inlineStr">
        <is>
          <t>Domain proficiency scale used in the Competence Matrix</t>
        </is>
      </c>
    </row>
    <row r="21" ht="28.5" customHeight="1" s="32">
      <c r="A21" s="60" t="n">
        <v>1</v>
      </c>
      <c r="B21" s="60" t="inlineStr">
        <is>
          <t>Awareness</t>
        </is>
      </c>
      <c r="C21" s="61" t="inlineStr">
        <is>
          <t>Recognises concepts, duties and escalation routes; needs guidance for application.</t>
        </is>
      </c>
      <c r="D21" s="48" t="n"/>
      <c r="E21" s="48" t="n"/>
      <c r="F21" s="48" t="n"/>
      <c r="G21" s="48" t="n"/>
      <c r="H21" s="46" t="n"/>
    </row>
    <row r="22" ht="28.5" customHeight="1" s="32">
      <c r="A22" s="60" t="n">
        <v>2</v>
      </c>
      <c r="B22" s="60" t="inlineStr">
        <is>
          <t>Working</t>
        </is>
      </c>
      <c r="C22" s="61" t="inlineStr">
        <is>
          <t>Applies approved instructions in routine scenarios and recognises when to seek specialist advice.</t>
        </is>
      </c>
      <c r="D22" s="48" t="n"/>
      <c r="E22" s="48" t="n"/>
      <c r="F22" s="48" t="n"/>
      <c r="G22" s="48" t="n"/>
      <c r="H22" s="46" t="n"/>
    </row>
    <row r="23" ht="28.5" customHeight="1" s="32">
      <c r="A23" s="60" t="n">
        <v>3</v>
      </c>
      <c r="B23" s="60" t="inlineStr">
        <is>
          <t>Practitioner</t>
        </is>
      </c>
      <c r="C23" s="61" t="inlineStr">
        <is>
          <t>Applies and explains controls in varied cases, exercises judgement and supports others.</t>
        </is>
      </c>
      <c r="D23" s="48" t="n"/>
      <c r="E23" s="48" t="n"/>
      <c r="F23" s="48" t="n"/>
      <c r="G23" s="48" t="n"/>
      <c r="H23" s="46" t="n"/>
    </row>
    <row r="24" ht="28.5" customHeight="1" s="32">
      <c r="A24" s="60" t="n">
        <v>4</v>
      </c>
      <c r="B24" s="60" t="inlineStr">
        <is>
          <t>Expert / lead</t>
        </is>
      </c>
      <c r="C24" s="61" t="inlineStr">
        <is>
          <t>Leads, challenges or independently assures complex application and maintains professional currency.</t>
        </is>
      </c>
      <c r="D24" s="48" t="n"/>
      <c r="E24" s="48" t="n"/>
      <c r="F24" s="48" t="n"/>
      <c r="G24" s="48" t="n"/>
      <c r="H24" s="46" t="n"/>
    </row>
    <row r="25"/>
    <row r="26" ht="15" customHeight="1" s="32">
      <c r="A26" s="37" t="inlineStr">
        <is>
          <t>Appointment, competence and evidence rules</t>
        </is>
      </c>
    </row>
    <row r="27" ht="27.75" customHeight="1" s="32">
      <c r="A27" s="47" t="inlineStr">
        <is>
          <t>• AIG-GOV-06 and approved Council delegations are the authority source. This workbook operationalises them and cannot create or expand authority.</t>
        </is>
      </c>
      <c r="B27" s="48" t="n"/>
      <c r="C27" s="48" t="n"/>
      <c r="D27" s="48" t="n"/>
      <c r="E27" s="48" t="n"/>
      <c r="F27" s="48" t="n"/>
      <c r="G27" s="48" t="n"/>
      <c r="H27" s="46" t="n"/>
    </row>
    <row r="28" ht="27.75" customHeight="1" s="32">
      <c r="A28" s="47" t="inlineStr">
        <is>
          <t>• Record formal appointments, terms, delegation references, conflict declarations, deputies and review dates in approved Council systems.</t>
        </is>
      </c>
      <c r="B28" s="48" t="n"/>
      <c r="C28" s="48" t="n"/>
      <c r="D28" s="48" t="n"/>
      <c r="E28" s="48" t="n"/>
      <c r="F28" s="48" t="n"/>
      <c r="G28" s="48" t="n"/>
      <c r="H28" s="46" t="n"/>
    </row>
    <row r="29" ht="27.75" customHeight="1" s="32">
      <c r="A29" s="47" t="inlineStr">
        <is>
          <t>• Keep personal data proportionate. Use this register for role-level evidence references; detailed staff learning records should remain in the approved LMS/HR repository.</t>
        </is>
      </c>
      <c r="B29" s="48" t="n"/>
      <c r="C29" s="48" t="n"/>
      <c r="D29" s="48" t="n"/>
      <c r="E29" s="48" t="n"/>
      <c r="F29" s="48" t="n"/>
      <c r="G29" s="48" t="n"/>
      <c r="H29" s="46" t="n"/>
    </row>
    <row r="30" ht="27.75" customHeight="1" s="32">
      <c r="A30" s="47" t="inlineStr">
        <is>
          <t>• Required competency levels describe the role, not the person. Assess each named holder against the role and scope actually assigned.</t>
        </is>
      </c>
      <c r="B30" s="48" t="n"/>
      <c r="C30" s="48" t="n"/>
      <c r="D30" s="48" t="n"/>
      <c r="E30" s="48" t="n"/>
      <c r="F30" s="48" t="n"/>
      <c r="G30" s="48" t="n"/>
      <c r="H30" s="46" t="n"/>
    </row>
    <row r="31" ht="27.75" customHeight="1" s="32">
      <c r="A31" s="47" t="inlineStr">
        <is>
          <t>• Competence may be supported by education, training, professional standing, experience, supervised practice, tests, exercises and observed work.</t>
        </is>
      </c>
      <c r="B31" s="48" t="n"/>
      <c r="C31" s="48" t="n"/>
      <c r="D31" s="48" t="n"/>
      <c r="E31" s="48" t="n"/>
      <c r="F31" s="48" t="n"/>
      <c r="G31" s="48" t="n"/>
      <c r="H31" s="46" t="n"/>
    </row>
    <row r="32" ht="27.75" customHeight="1" s="32">
      <c r="A32" s="47" t="inlineStr">
        <is>
          <t>• Training completion is evidence of participation, not conclusive evidence of competence or authority.</t>
        </is>
      </c>
      <c r="B32" s="48" t="n"/>
      <c r="C32" s="48" t="n"/>
      <c r="D32" s="48" t="n"/>
      <c r="E32" s="48" t="n"/>
      <c r="F32" s="48" t="n"/>
      <c r="G32" s="48" t="n"/>
      <c r="H32" s="46" t="n"/>
    </row>
    <row r="33" ht="27.75" customHeight="1" s="32">
      <c r="A33" s="47" t="inlineStr">
        <is>
          <t>• Define restrictions, supervision, remediation and review dates where competence gaps exist; escalate gaps that affect safe control operation.</t>
        </is>
      </c>
      <c r="B33" s="48" t="n"/>
      <c r="C33" s="48" t="n"/>
      <c r="D33" s="48" t="n"/>
      <c r="E33" s="48" t="n"/>
      <c r="F33" s="48" t="n"/>
      <c r="G33" s="48" t="n"/>
      <c r="H33" s="46" t="n"/>
    </row>
    <row r="34" ht="27.75" customHeight="1" s="32">
      <c r="A34" s="47" t="inlineStr">
        <is>
          <t>• Reassess after material role, system, legal, threat or process change, or after incident, complaint, audit finding or control failure.</t>
        </is>
      </c>
      <c r="B34" s="48" t="n"/>
      <c r="C34" s="48" t="n"/>
      <c r="D34" s="48" t="n"/>
      <c r="E34" s="48" t="n"/>
      <c r="F34" s="48" t="n"/>
      <c r="G34" s="48" t="n"/>
      <c r="H34" s="46" t="n"/>
    </row>
    <row r="35" ht="27.75" customHeight="1" s="32">
      <c r="A35" s="47" t="inlineStr">
        <is>
          <t>• Communications require an approved sender, accessible channel, confidentiality check, retained issue evidence and an effectiveness measure.</t>
        </is>
      </c>
      <c r="B35" s="48" t="n"/>
      <c r="C35" s="48" t="n"/>
      <c r="D35" s="48" t="n"/>
      <c r="E35" s="48" t="n"/>
      <c r="F35" s="48" t="n"/>
      <c r="G35" s="48" t="n"/>
      <c r="H35" s="46" t="n"/>
    </row>
    <row r="36" ht="27.75" customHeight="1" s="32">
      <c r="A36" s="47" t="inlineStr">
        <is>
          <t>• Review effectiveness using completion and assessment results, case quality, rework, incidents, complaints, audits, feedback and AIMS performance.</t>
        </is>
      </c>
      <c r="B36" s="48" t="n"/>
      <c r="C36" s="48" t="n"/>
      <c r="D36" s="48" t="n"/>
      <c r="E36" s="48" t="n"/>
      <c r="F36" s="48" t="n"/>
      <c r="G36" s="48" t="n"/>
      <c r="H36" s="46" t="n"/>
    </row>
    <row r="37"/>
    <row r="38" ht="15" customHeight="1" s="32">
      <c r="A38" s="37" t="inlineStr">
        <is>
          <t>Source, mapping and controlled-use note</t>
        </is>
      </c>
    </row>
    <row r="39" ht="27.75" customHeight="1" s="32">
      <c r="A39" s="45" t="inlineStr">
        <is>
          <t>Standard baseline: ISO/IEC 42001:2023, Information technology — Artificial intelligence — Management system.</t>
        </is>
      </c>
      <c r="B39" s="48" t="n"/>
      <c r="C39" s="48" t="n"/>
      <c r="D39" s="48" t="n"/>
      <c r="E39" s="48" t="n"/>
      <c r="F39" s="48" t="n"/>
      <c r="G39" s="48" t="n"/>
      <c r="H39" s="46" t="n"/>
    </row>
    <row r="40" ht="27.75" customHeight="1" s="32">
      <c r="A40" s="45" t="inlineStr">
        <is>
          <t>Official standard page: https://www.iso.org/standard/42001</t>
        </is>
      </c>
      <c r="B40" s="48" t="n"/>
      <c r="C40" s="48" t="n"/>
      <c r="D40" s="48" t="n"/>
      <c r="E40" s="48" t="n"/>
      <c r="F40" s="48" t="n"/>
      <c r="G40" s="48" t="n"/>
      <c r="H40" s="46" t="n"/>
    </row>
    <row r="41" ht="27.75" customHeight="1" s="32">
      <c r="A41" s="45" t="inlineStr">
        <is>
          <t>Primary clauses: 5.3 organisational roles, 7.2 competence, 7.3 awareness, 7.4 communication, 7.5 documented information, 9.1 performance evaluation and 10.1 continual improvement.</t>
        </is>
      </c>
      <c r="B41" s="48" t="n"/>
      <c r="C41" s="48" t="n"/>
      <c r="D41" s="48" t="n"/>
      <c r="E41" s="48" t="n"/>
      <c r="F41" s="48" t="n"/>
      <c r="G41" s="48" t="n"/>
      <c r="H41" s="46" t="n"/>
    </row>
    <row r="42" ht="27.75" customHeight="1" s="32">
      <c r="A42" s="45" t="inlineStr">
        <is>
          <t>Relevant Annex A design links include A.3.2 roles, A.3.3 reporting concerns, A.4.6 human resources, A.8.2-A.8.5 interested-party information and A.9.2 responsible use.</t>
        </is>
      </c>
      <c r="B42" s="48" t="n"/>
      <c r="C42" s="48" t="n"/>
      <c r="D42" s="48" t="n"/>
      <c r="E42" s="48" t="n"/>
      <c r="F42" s="48" t="n"/>
      <c r="G42" s="48" t="n"/>
      <c r="H42" s="46" t="n"/>
    </row>
    <row r="43" ht="27.75" customHeight="1" s="32">
      <c r="A43" s="45" t="inlineStr">
        <is>
          <t>Council sources: AI Governance Playbook (AIG-GOV-02, current controlled version per AIG-GOV-03); AIG-GOV-06 Terms of Reference; AIG-OPS-01 AI Deployment and Rollout Plan; AIG-AIMS-03 Objectives, Risk Treatment and Improvement Plan.</t>
        </is>
      </c>
      <c r="B43" s="48" t="n"/>
      <c r="C43" s="48" t="n"/>
      <c r="D43" s="48" t="n"/>
      <c r="E43" s="48" t="n"/>
      <c r="F43" s="48" t="n"/>
      <c r="G43" s="48" t="n"/>
      <c r="H43" s="46" t="n"/>
    </row>
    <row r="44" ht="27.75" customHeight="1" s="32">
      <c r="A44" s="45" t="inlineStr">
        <is>
          <t>AIG-AIMS-03 linkage: IMP-05 requires approved roles, delegations, RACI and competence/resource plan; IMP-09 requires role-based training and verified competence.</t>
        </is>
      </c>
      <c r="B44" s="48" t="n"/>
      <c r="C44" s="48" t="n"/>
      <c r="D44" s="48" t="n"/>
      <c r="E44" s="48" t="n"/>
      <c r="F44" s="48" t="n"/>
      <c r="G44" s="48" t="n"/>
      <c r="H44" s="46" t="n"/>
    </row>
    <row r="45" ht="27.75" customHeight="1" s="32">
      <c r="A45" s="45" t="inlineStr">
        <is>
          <t>Validate ISO clause and control references against the Council’s licensed standard before formal adoption or certification use.</t>
        </is>
      </c>
      <c r="B45" s="48" t="n"/>
      <c r="C45" s="48" t="n"/>
      <c r="D45" s="48" t="n"/>
      <c r="E45" s="48" t="n"/>
      <c r="F45" s="48" t="n"/>
      <c r="G45" s="48" t="n"/>
      <c r="H45" s="46" t="n"/>
    </row>
    <row r="46" ht="27.75" customHeight="1" s="32">
      <c r="A46" s="45" t="inlineStr">
        <is>
          <t>Control status: draft for Council review. Nothing in this workbook appoints a person, delegates authority, proves competence, records completed training or proves communication effectiveness.</t>
        </is>
      </c>
      <c r="B46" s="48" t="n"/>
      <c r="C46" s="48" t="n"/>
      <c r="D46" s="48" t="n"/>
      <c r="E46" s="48" t="n"/>
      <c r="F46" s="48" t="n"/>
      <c r="G46" s="48" t="n"/>
      <c r="H46" s="46" t="n"/>
    </row>
  </sheetData>
  <mergeCells count="32">
    <mergeCell ref="A30:H30"/>
    <mergeCell ref="A39:H39"/>
    <mergeCell ref="C22:H22"/>
    <mergeCell ref="A36:H36"/>
    <mergeCell ref="A45:H45"/>
    <mergeCell ref="A1:H1"/>
    <mergeCell ref="C21:H21"/>
    <mergeCell ref="C23:H23"/>
    <mergeCell ref="A41:H41"/>
    <mergeCell ref="A46:H46"/>
    <mergeCell ref="A27:H27"/>
    <mergeCell ref="D17:H17"/>
    <mergeCell ref="A26:H26"/>
    <mergeCell ref="D16:H16"/>
    <mergeCell ref="A42:H42"/>
    <mergeCell ref="A33:H33"/>
    <mergeCell ref="A32:H32"/>
    <mergeCell ref="D18:H18"/>
    <mergeCell ref="C24:H24"/>
    <mergeCell ref="D15:H15"/>
    <mergeCell ref="A29:H29"/>
    <mergeCell ref="A35:H35"/>
    <mergeCell ref="A34:H34"/>
    <mergeCell ref="A20:H20"/>
    <mergeCell ref="A38:H38"/>
    <mergeCell ref="A43:H43"/>
    <mergeCell ref="A28:H28"/>
    <mergeCell ref="A13:H13"/>
    <mergeCell ref="A44:H44"/>
    <mergeCell ref="D14:H14"/>
    <mergeCell ref="A31:H31"/>
    <mergeCell ref="A40:H40"/>
  </mergeCells>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activeCell="A1" sqref="A1"/>
    </sheetView>
  </sheetViews>
  <sheetFormatPr baseColWidth="8" defaultRowHeight="15"/>
  <cols>
    <col width="30" customWidth="1" style="32" min="1" max="1"/>
    <col width="112" customWidth="1" style="32" min="2" max="2"/>
  </cols>
  <sheetData>
    <row r="1" ht="30" customHeight="1" s="32">
      <c r="A1" s="62" t="inlineStr">
        <is>
          <t>AIG-AIMS-04 — PROPOSED AIG-INV-04/AIG-DEC-04 INTEGRATION NOTES</t>
        </is>
      </c>
    </row>
    <row r="2" ht="36" customHeight="1" s="32">
      <c r="A2" s="63"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row r="4">
      <c r="A4" s="64" t="inlineStr">
        <is>
          <t>Review topic</t>
        </is>
      </c>
      <c r="B4" s="64" t="inlineStr">
        <is>
          <t>Targeted proposed integration note</t>
        </is>
      </c>
    </row>
    <row r="5" ht="68" customHeight="1" s="32">
      <c r="A5" s="65" t="inlineStr">
        <is>
          <t>Status / authority</t>
        </is>
      </c>
      <c r="B5" s="66" t="inlineStr">
        <is>
          <t>The named functions, role profiles, communications and training are proposed role design; no person, committee, appointment, competence, course completion, communication or authority is evidenced by this annex. Confirm positions and delegations against the current Council Constitution/Scheme of Delegation and retain authorised appointment evidence.</t>
        </is>
      </c>
    </row>
    <row r="6" ht="68" customHeight="1" s="32">
      <c r="A6" s="65" t="inlineStr">
        <is>
          <t>Role-to-system join</t>
        </is>
      </c>
      <c r="B6" s="66" t="inlineStr">
        <is>
          <t>Use AIR-ID from proposed AIG-INV-04 AI Register to relate the designated Service Owner/System Owner and applicable specialist responsibility to a particular system. The role plan remains the controlled AIMS role/competence source: avoid copying names, contact details, HR data or role definitions into AIG-INV-04/AIG-DEC-04; store only role references needed for a join.</t>
        </is>
      </c>
    </row>
    <row r="7" ht="68" customHeight="1" s="32">
      <c r="A7" s="65" t="inlineStr">
        <is>
          <t>Decision and condition ownership</t>
        </is>
      </c>
      <c r="B7" s="66" t="inlineStr">
        <is>
          <t>For each actual gate, AIG-DEC-04 Gate plan may identify the proposed responsible role; Gate events records the actual event/actor and its evidence/decision reference; Conditions holds the action owner/role and due date per condition. Confirm the individual’s appointment, authority and competence in the appropriate controlled source. An event’s actor or an owner label is not proof of delegation.</t>
        </is>
      </c>
    </row>
    <row r="8" ht="68" customHeight="1" s="32">
      <c r="A8" s="65" t="inlineStr">
        <is>
          <t>Competence evidence</t>
        </is>
      </c>
      <c r="B8" s="66" t="inlineStr">
        <is>
          <t>Connect role-based competence/assessment evidence to the related AIR-ID only when system-specific competence is material; otherwise maintain AIMS-level role evidence. Use a minimal Evidence ID/source pointer in AIG-INV-04 Evidence index where approved. Training attendance alone does not establish assessed competence; do not place sensitive personnel details in the register or gate workbook.</t>
        </is>
      </c>
    </row>
    <row r="9" ht="68" customHeight="1" s="32">
      <c r="A9" s="65" t="inlineStr">
        <is>
          <t>Communications evidence</t>
        </is>
      </c>
      <c r="B9" s="66" t="inlineStr">
        <is>
          <t>Keep each communication plan’s audience, sender/approver, channel, timing, accessibility, consultation and required record in this workbook. When a communication relates to a specific system or gate, reference AIR-ID and, if relevant, Event ID/Condition ID plus Evidence ID; retain issued version and audience evidence in the authorised source. Planned communications are not issued communications.</t>
        </is>
      </c>
    </row>
    <row r="10" ht="68" customHeight="1" s="32">
      <c r="A10" s="65" t="inlineStr">
        <is>
          <t>Escalation / change</t>
        </is>
      </c>
      <c r="B10" s="66" t="inlineStr">
        <is>
          <t>Role vacancy, expired competence, changed authority, missed training, inaccessible communication or unavailable specialist capacity should be risk-assessed and escalated via the approved governance route. Record a dated AIG-DEC-04 event only when an actual forum/event occurs; update current register state only through authorised change, with AIG-DEC-03/native decision and supporting evidence.</t>
        </is>
      </c>
    </row>
    <row r="11" ht="51" customHeight="1" s="32">
      <c r="A11" s="65" t="inlineStr">
        <is>
          <t>Open adoption checks</t>
        </is>
      </c>
      <c r="B11" s="66" t="inlineStr">
        <is>
          <t>Validate role ownership, deputies, resource/capacity commitments, competence criteria and evidence-retention arrangements with HR/L&amp;D and relevant control functions. Confirm communications approval and record systems; do not claim clause 5.3/7.1–7.4 operation on this designed plan alone.</t>
        </is>
      </c>
    </row>
  </sheetData>
  <mergeCells count="2">
    <mergeCell ref="A2:B2"/>
    <mergeCell ref="A1:B1"/>
  </mergeCells>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E4"/>
  <sheetViews>
    <sheetView workbookViewId="0">
      <pane xSplit="1" ySplit="2" topLeftCell="B3" activePane="bottomRight" state="frozen"/>
      <selection activeCell="A1" sqref="A1"/>
    </sheetView>
  </sheetViews>
  <sheetFormatPr baseColWidth="8" defaultRowHeight="15"/>
  <cols>
    <col width="21" customWidth="1" style="32" min="1" max="1"/>
    <col width="70" customWidth="1" style="32" min="2" max="2"/>
    <col width="96" customWidth="1" style="32" min="3" max="3"/>
    <col width="84" customWidth="1" style="32" min="4" max="4"/>
    <col width="33" customWidth="1" style="32" min="5" max="5"/>
  </cols>
  <sheetData>
    <row r="1">
      <c r="A1" s="0" t="inlineStr">
        <is>
          <t>PROPOSED QA INDEX — NOT APPROVED. A source reference does not establish applicability or compliance. See AIG-AIMS-05 and AIG-AIMS-13; owners must validate the current source, case-specific scope, control evidence and adopted status.</t>
        </is>
      </c>
    </row>
    <row r="2">
      <c r="A2" s="67" t="inlineStr">
        <is>
          <t>Requirement ID</t>
        </is>
      </c>
      <c r="B2" s="67" t="inlineStr">
        <is>
          <t>Instrument / edition</t>
        </is>
      </c>
      <c r="C2" s="67" t="inlineStr">
        <is>
          <t>Conditional scope / relevance</t>
        </is>
      </c>
      <c r="D2" s="67" t="inlineStr">
        <is>
          <t>Source URL</t>
        </is>
      </c>
      <c r="E2" s="67" t="inlineStr">
        <is>
          <t>Owner validation status</t>
        </is>
      </c>
    </row>
    <row r="3" ht="43" customHeight="1" s="32">
      <c r="A3" s="68" t="inlineStr">
        <is>
          <t>REQ-027</t>
        </is>
      </c>
      <c r="B3" s="68" t="inlineStr">
        <is>
          <t>Public Interest Disclosure Act 1998 / Employment Rights Act whistleblowing protections</t>
        </is>
      </c>
      <c r="C3" s="68" t="inlineStr">
        <is>
          <t>Screen the legislation requirement against this artefact's actual use and record evidence/version; see the AIG-AIMS-05 Applicable Requirements entry (REQ-027) for the controlled position.</t>
        </is>
      </c>
      <c r="D3" s="68" t="inlineStr">
        <is>
          <t>https://www.legislation.gov.uk/ukpga/1998/23/contents</t>
        </is>
      </c>
      <c r="E3" s="68" t="inlineStr">
        <is>
          <t>Specialist validation required</t>
        </is>
      </c>
    </row>
    <row r="4" ht="43" customHeight="1" s="32">
      <c r="A4" s="68" t="inlineStr">
        <is>
          <t>REQ-040</t>
        </is>
      </c>
      <c r="B4" s="68" t="inlineStr">
        <is>
          <t>ISO/IEC 42001:2023 Artificial intelligence management system</t>
        </is>
      </c>
      <c r="C4" s="68" t="inlineStr">
        <is>
          <t>Proposed management-system design mapping; licensed clause review and adoption needed.</t>
        </is>
      </c>
      <c r="D4" s="68" t="inlineStr">
        <is>
          <t>https://www.iso.org/standard/42001</t>
        </is>
      </c>
      <c r="E4" s="68" t="inlineStr">
        <is>
          <t>Specialist validation required</t>
        </is>
      </c>
    </row>
  </sheetData>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32" min="1" max="1"/>
    <col width="112" customWidth="1" style="32" min="2" max="2"/>
  </cols>
  <sheetData>
    <row r="1">
      <c r="A1" s="69" t="inlineStr">
        <is>
          <t>AIG-AIMS-04 / PROPOSED THREE-ARTEFACT SOURCE CONTRACT</t>
        </is>
      </c>
    </row>
    <row r="2"/>
    <row r="3" ht="45" customHeight="1" s="32">
      <c r="A3" s="70" t="inlineStr">
        <is>
          <t>Status</t>
        </is>
      </c>
      <c r="B3" s="71" t="inlineStr">
        <is>
          <t>PROPOSED INTEGRATION DESIGN ONLY. This sheet does not amend the artefact's native assessment, decision authority, data or formulas.</t>
        </is>
      </c>
    </row>
    <row r="4" ht="45" customHeight="1" s="32">
      <c r="A4" s="72" t="inlineStr">
        <is>
          <t>Role of this file</t>
        </is>
      </c>
      <c r="B4" s="73" t="inlineStr">
        <is>
          <t>Competence and roles: Train the Service Owner on AIG-INV-03 facts, AIG-INV-04 handoff, and review of UC/CAP links; technical owners own component facts, specialists own their assessments; only delegated forums decide.</t>
        </is>
      </c>
    </row>
    <row r="5" ht="45" customHeight="1" s="32">
      <c r="A5" s="70" t="inlineStr">
        <is>
          <t>AIG-INV-04 source</t>
        </is>
      </c>
      <c r="B5" s="71" t="inlineStr">
        <is>
          <t>Separate AIG-INV-04 AI Register: official AIR-ID, current position, in-file Assessment summary/Evidence index. Reconcile against authoritative AIG-INV-04 before using a copied value.</t>
        </is>
      </c>
    </row>
    <row r="6" ht="45" customHeight="1" s="32">
      <c r="A6" s="72" t="inlineStr">
        <is>
          <t>AIG-DEC-04 source</t>
        </is>
      </c>
      <c r="B6" s="73" t="inlineStr">
        <is>
          <t>Separate AIG-DEC-04 Gate Log: prospective Gate plan, dated Gate events, event-linked Conditions. A planned gate is not a decision. A decision requires AIG-DEC-03 or approved minutes and proper delegation.</t>
        </is>
      </c>
    </row>
    <row r="7" ht="48" customHeight="1" s="32">
      <c r="A7" s="70" t="inlineStr">
        <is>
          <t>Map source</t>
        </is>
      </c>
      <c r="B7" s="71" t="inlineStr">
        <is>
          <t>Proposed standalone Capabilities and System Map (candidate catalogue ID AIG-INV-05): UC/CAP and component relationship pointers. Edge ID is not an approval or permission; AIG-AGT-04/AIG-AGT-05 remain sources of agent scope/authority.</t>
        </is>
      </c>
    </row>
    <row r="8" ht="48" customHeight="1" s="32">
      <c r="A8" s="72" t="inlineStr">
        <is>
          <t>Data exchange</t>
        </is>
      </c>
      <c r="B8" s="73" t="inlineStr">
        <is>
          <t>Use controlled AIR-ID across files. Where applicable reference exact Event ID, Condition ID, Evidence ID, AG-ID and Edge ID. Record source file/version/as-at with imported or quoted evidence; no live cross-workbook formula is assumed.</t>
        </is>
      </c>
    </row>
    <row r="9" ht="45" customHeight="1" s="32">
      <c r="A9" s="70" t="inlineStr">
        <is>
          <t>Change trigger</t>
        </is>
      </c>
      <c r="B9" s="71" t="inlineStr">
        <is>
          <t>New or expanded system/tool access, or a material model, data, interface, purpose or agent change: log the map change, obtain owner reassessment and escalate to the proper AIG-DEC-04 gate/AIG-DEC-03 decision when required.</t>
        </is>
      </c>
    </row>
    <row r="10" ht="48" customHeight="1" s="32">
      <c r="A10" s="72" t="inlineStr">
        <is>
          <t>Validation before use</t>
        </is>
      </c>
      <c r="B10" s="73"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headerFooter>
    <oddHeader>&amp;C&amp;"Arial,Regular"&amp;8 The Council — AIMS Roles, Competence, Awareness and Communications Plan</oddHeader>
    <oddFooter>&amp;C&amp;"Arial,Regular"&amp;8 AIG-AIMS-04 · v1.3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AIG-AIMS-04 AIMS Roles, Competence, Awareness and Communications Plan</dc:title>
  <dc:description xmlns:dc="http://purl.org/dc/elements/1.1/">Draft for Council review. Classification: OFFICIAL.</dc:description>
  <dc:subject xmlns:dc="http://purl.org/dc/elements/1.1/">AIG-AIMS-04 v1.2 — Draft for Council review</dc:subject>
  <dcterms:created xmlns:dcterms="http://purl.org/dc/terms/" xmlns:xsi="http://www.w3.org/2001/XMLSchema-instance" xsi:type="dcterms:W3CDTF">2026-09-29T17:50:10Z</dcterms:created>
  <dcterms:modified xmlns:dcterms="http://purl.org/dc/terms/" xmlns:xsi="http://www.w3.org/2001/XMLSchema-instance" xsi:type="dcterms:W3CDTF">2026-10-12T11:00:14Z</dcterms:modified>
  <cp:lastModifiedBy>AI Governance Lead</cp:lastModifiedBy>
  <cp:category>OFFICIAL</cp:category>
  <cp:keywords>OFFICIAL; AI governance; AIG-AIMS-04</cp:keywords>
</cp:coreProperties>
</file>