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 ME" sheetId="1" state="visible" r:id="rId1"/>
    <sheet xmlns:r="http://schemas.openxmlformats.org/officeDocument/2006/relationships" name="Gate plan" sheetId="2" state="visible" r:id="rId2"/>
    <sheet xmlns:r="http://schemas.openxmlformats.org/officeDocument/2006/relationships" name="Gate events" sheetId="3" state="visible" r:id="rId3"/>
    <sheet xmlns:r="http://schemas.openxmlformats.org/officeDocument/2006/relationships" name="Conditions" sheetId="4" state="visible" r:id="rId4"/>
    <sheet xmlns:r="http://schemas.openxmlformats.org/officeDocument/2006/relationships" name="Lists" sheetId="5" state="visible" r:id="rId5"/>
    <sheet xmlns:r="http://schemas.openxmlformats.org/officeDocument/2006/relationships" name="Document Control" sheetId="6" state="visible" r:id="rId6"/>
  </sheets>
  <definedNames/>
  <calcPr calcId="124519" fullCalcOnLoad="1"/>
</workbook>
</file>

<file path=xl/styles.xml><?xml version="1.0" encoding="utf-8"?>
<styleSheet xmlns="http://schemas.openxmlformats.org/spreadsheetml/2006/main">
  <numFmts count="2">
    <numFmt numFmtId="164" formatCode="dd mmm yyyy"/>
    <numFmt numFmtId="165" formatCode="hh:mm"/>
  </numFmts>
  <fonts count="22">
    <font>
      <name val="Calibri"/>
      <color theme="1"/>
      <sz val="11"/>
    </font>
    <font>
      <name val="Aptos Display"/>
      <b val="1"/>
      <color rgb="FFFFFFFF"/>
      <sz val="17"/>
    </font>
    <font>
      <name val="Aptos"/>
      <i val="1"/>
      <color rgb="FF17324F"/>
      <sz val="10"/>
    </font>
    <font>
      <name val="Aptos"/>
      <b val="1"/>
      <color rgb="FFFFFFFF"/>
      <sz val="10"/>
    </font>
    <font>
      <name val="Aptos"/>
      <color rgb="FF17324F"/>
      <sz val="10"/>
    </font>
    <font>
      <name val="Aptos Display"/>
      <b val="1"/>
      <color rgb="FF17324F"/>
      <sz val="19"/>
    </font>
    <font>
      <name val="Aptos"/>
      <b val="1"/>
      <color rgb="FF17324F"/>
      <sz val="11"/>
    </font>
    <font>
      <name val="Aptos"/>
      <color rgb="FF17324F"/>
      <sz val="11"/>
    </font>
    <font>
      <name val="Arial"/>
      <b val="1"/>
      <color rgb="FF17324F"/>
      <sz val="19"/>
    </font>
    <font>
      <name val="Arial"/>
      <color theme="1"/>
      <sz val="11"/>
    </font>
    <font>
      <name val="Arial"/>
      <b val="1"/>
      <color rgb="FF17324F"/>
      <sz val="11"/>
    </font>
    <font>
      <name val="Arial"/>
      <color rgb="FF17324F"/>
      <sz val="11"/>
    </font>
    <font>
      <name val="Arial"/>
      <b val="1"/>
      <color rgb="FFFFFFFF"/>
      <sz val="17"/>
    </font>
    <font>
      <name val="Arial"/>
      <i val="1"/>
      <color rgb="FF17324F"/>
      <sz val="10"/>
    </font>
    <font>
      <name val="Arial"/>
      <b val="1"/>
      <color rgb="FFFFFFFF"/>
      <sz val="10"/>
    </font>
    <font>
      <name val="Arial"/>
      <color rgb="FF17324F"/>
      <sz val="10"/>
    </font>
    <font>
      <name val="Arial"/>
      <b val="1"/>
      <color rgb="FFFFFFFF"/>
      <sz val="16"/>
    </font>
    <font>
      <name val="Arial"/>
      <i val="1"/>
      <color rgb="FF222222"/>
      <sz val="9"/>
    </font>
    <font>
      <name val="Arial"/>
      <b val="1"/>
      <color rgb="FFFFFFFF"/>
      <sz val="9"/>
    </font>
    <font>
      <name val="Arial"/>
      <b val="1"/>
      <color rgb="FF0A2342"/>
      <sz val="9"/>
    </font>
    <font>
      <name val="Arial"/>
      <color rgb="FF222222"/>
      <sz val="9"/>
    </font>
    <font>
      <name val="Arial"/>
      <b val="1"/>
      <color rgb="FF0A2342"/>
      <sz val="11"/>
    </font>
  </fonts>
  <fills count="10">
    <fill>
      <patternFill/>
    </fill>
    <fill>
      <patternFill patternType="gray125"/>
    </fill>
    <fill>
      <patternFill patternType="solid">
        <fgColor rgb="FF17324F"/>
      </patternFill>
    </fill>
    <fill>
      <patternFill patternType="solid">
        <fgColor rgb="FFEAF4F3"/>
      </patternFill>
    </fill>
    <fill>
      <patternFill patternType="solid">
        <fgColor rgb="FF087D83"/>
      </patternFill>
    </fill>
    <fill>
      <patternFill patternType="solid">
        <fgColor rgb="FFF5F9FA"/>
      </patternFill>
    </fill>
    <fill>
      <patternFill patternType="solid">
        <fgColor rgb="FFFFFFFF"/>
      </patternFill>
    </fill>
    <fill>
      <patternFill patternType="solid">
        <fgColor rgb="FF0B2848"/>
      </patternFill>
    </fill>
    <fill>
      <patternFill patternType="solid">
        <fgColor rgb="FFFFF4CC"/>
      </patternFill>
    </fill>
    <fill>
      <patternFill patternType="solid">
        <fgColor rgb="FFEEF1F5"/>
      </patternFill>
    </fill>
  </fills>
  <borders count="6">
    <border/>
    <border>
      <left style="thin">
        <color rgb="FFC9D0D8"/>
      </left>
      <right style="thin">
        <color rgb="FFC9D0D8"/>
      </right>
      <top style="thin">
        <color rgb="FFC9D0D8"/>
      </top>
      <bottom style="thin">
        <color rgb="FFC9D0D8"/>
      </bottom>
    </border>
    <border>
      <top style="thin">
        <color rgb="FFC9D0D8"/>
      </top>
    </border>
    <border>
      <right style="thin">
        <color rgb="FFC9D0D8"/>
      </right>
      <top style="thin">
        <color rgb="FFC9D0D8"/>
      </top>
    </border>
    <border>
      <top style="thin">
        <color rgb="FFC9D0D8"/>
      </top>
      <bottom style="thin">
        <color rgb="FFC9D0D8"/>
      </bottom>
    </border>
    <border>
      <right style="thin">
        <color rgb="FFC9D0D8"/>
      </right>
      <top style="thin">
        <color rgb="FFC9D0D8"/>
      </top>
      <bottom style="thin">
        <color rgb="FFC9D0D8"/>
      </bottom>
    </border>
  </borders>
  <cellStyleXfs count="1">
    <xf numFmtId="0" fontId="0" fillId="0" borderId="0"/>
  </cellStyleXfs>
  <cellXfs count="44">
    <xf numFmtId="0" fontId="0" fillId="0" borderId="0" pivotButton="0" quotePrefix="0" xfId="0"/>
    <xf numFmtId="0" fontId="5" fillId="0" borderId="0" pivotButton="0" quotePrefix="0" xfId="0"/>
    <xf numFmtId="0" fontId="6" fillId="3" borderId="0" applyAlignment="1" pivotButton="0" quotePrefix="0" xfId="0">
      <alignment vertical="top" wrapText="1"/>
    </xf>
    <xf numFmtId="0" fontId="7" fillId="3"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1" fillId="2" borderId="0" applyAlignment="1" pivotButton="0" quotePrefix="0" xfId="0">
      <alignment vertical="center"/>
    </xf>
    <xf numFmtId="0" fontId="2" fillId="3" borderId="0" applyAlignment="1" pivotButton="0" quotePrefix="0" xfId="0">
      <alignment vertical="center" wrapText="1"/>
    </xf>
    <xf numFmtId="0" fontId="3" fillId="4" borderId="0" applyAlignment="1" pivotButton="0" quotePrefix="0" xfId="0">
      <alignment vertical="center" wrapText="1"/>
    </xf>
    <xf numFmtId="0" fontId="4" fillId="5" borderId="0" applyAlignment="1" pivotButton="0" quotePrefix="0" xfId="0">
      <alignment vertical="top"/>
    </xf>
    <xf numFmtId="164" fontId="4" fillId="5" borderId="0" applyAlignment="1" pivotButton="0" quotePrefix="0" xfId="0">
      <alignment vertical="top"/>
    </xf>
    <xf numFmtId="0" fontId="4" fillId="6" borderId="0" applyAlignment="1" pivotButton="0" quotePrefix="0" xfId="0">
      <alignment vertical="top"/>
    </xf>
    <xf numFmtId="164" fontId="4" fillId="6" borderId="0" applyAlignment="1" pivotButton="0" quotePrefix="0" xfId="0">
      <alignment vertical="top"/>
    </xf>
    <xf numFmtId="0" fontId="8" fillId="0" borderId="0" pivotButton="0" quotePrefix="0" xfId="0"/>
    <xf numFmtId="0" fontId="9" fillId="0" borderId="0" pivotButton="0" quotePrefix="0" xfId="0"/>
    <xf numFmtId="0" fontId="10" fillId="3" borderId="0" applyAlignment="1" pivotButton="0" quotePrefix="0" xfId="0">
      <alignment vertical="top" wrapText="1"/>
    </xf>
    <xf numFmtId="0" fontId="11" fillId="3" borderId="0" applyAlignment="1" pivotButton="0" quotePrefix="0" xfId="0">
      <alignment vertical="top" wrapText="1"/>
    </xf>
    <xf numFmtId="0" fontId="10" fillId="5" borderId="0" applyAlignment="1" pivotButton="0" quotePrefix="0" xfId="0">
      <alignment vertical="top" wrapText="1"/>
    </xf>
    <xf numFmtId="0" fontId="11" fillId="5" borderId="0" applyAlignment="1" pivotButton="0" quotePrefix="0" xfId="0">
      <alignment vertical="top" wrapText="1"/>
    </xf>
    <xf numFmtId="0" fontId="12" fillId="2" borderId="0" applyAlignment="1" pivotButton="0" quotePrefix="0" xfId="0">
      <alignment vertical="center"/>
    </xf>
    <xf numFmtId="0" fontId="13" fillId="3" borderId="0" applyAlignment="1" pivotButton="0" quotePrefix="0" xfId="0">
      <alignment vertical="center" wrapText="1"/>
    </xf>
    <xf numFmtId="0" fontId="14" fillId="4" borderId="0" applyAlignment="1" pivotButton="0" quotePrefix="0" xfId="0">
      <alignment vertical="center" wrapText="1"/>
    </xf>
    <xf numFmtId="0" fontId="15" fillId="5" borderId="0" applyAlignment="1" pivotButton="0" quotePrefix="0" xfId="0">
      <alignment vertical="top"/>
    </xf>
    <xf numFmtId="164" fontId="15" fillId="5" borderId="0" applyAlignment="1" pivotButton="0" quotePrefix="0" xfId="0">
      <alignment vertical="top"/>
    </xf>
    <xf numFmtId="0" fontId="15" fillId="6" borderId="0" applyAlignment="1" pivotButton="0" quotePrefix="0" xfId="0">
      <alignment vertical="top"/>
    </xf>
    <xf numFmtId="164" fontId="15" fillId="6" borderId="0" applyAlignment="1" pivotButton="0" quotePrefix="0" xfId="0">
      <alignment vertical="top"/>
    </xf>
    <xf numFmtId="165" fontId="15" fillId="5" borderId="0" applyAlignment="1" pivotButton="0" quotePrefix="0" xfId="0">
      <alignment vertical="top"/>
    </xf>
    <xf numFmtId="165" fontId="15" fillId="6" borderId="0" applyAlignment="1" pivotButton="0" quotePrefix="0" xfId="0">
      <alignment vertical="top"/>
    </xf>
    <xf numFmtId="0" fontId="16" fillId="7" borderId="0" applyAlignment="1" pivotButton="0" quotePrefix="0" xfId="0">
      <alignment horizontal="general" vertical="center"/>
    </xf>
    <xf numFmtId="0" fontId="17" fillId="8" borderId="0" applyAlignment="1" pivotButton="0" quotePrefix="0" xfId="0">
      <alignment horizontal="general" vertical="center" wrapText="1"/>
    </xf>
    <xf numFmtId="0" fontId="18" fillId="7" borderId="1" applyAlignment="1" pivotButton="0" quotePrefix="0" xfId="0">
      <alignment horizontal="center" vertical="center" wrapText="1"/>
    </xf>
    <xf numFmtId="0" fontId="19" fillId="9" borderId="1" applyAlignment="1" pivotButton="0" quotePrefix="0" xfId="0">
      <alignment horizontal="general" vertical="top" wrapText="1"/>
    </xf>
    <xf numFmtId="0" fontId="20" fillId="6" borderId="1" applyAlignment="1" pivotButton="0" quotePrefix="0" xfId="0">
      <alignment horizontal="general" vertical="top" wrapText="1"/>
    </xf>
    <xf numFmtId="0" fontId="0" fillId="0" borderId="4" pivotButton="0" quotePrefix="0" xfId="0"/>
    <xf numFmtId="0" fontId="0" fillId="0" borderId="5" pivotButton="0" quotePrefix="0" xfId="0"/>
    <xf numFmtId="0" fontId="21" fillId="9" borderId="1" applyAlignment="1" pivotButton="0" quotePrefix="0" xfId="0">
      <alignment horizontal="general" vertical="bottom"/>
    </xf>
    <xf numFmtId="0" fontId="20" fillId="0" borderId="1" applyAlignment="1" pivotButton="0" quotePrefix="0" xfId="0">
      <alignment horizontal="general" vertical="top" wrapText="1"/>
    </xf>
    <xf numFmtId="0" fontId="9" fillId="0" borderId="0" pivotButton="0" quotePrefix="0" xfId="0" applyProtection="1">
      <protection locked="0"/>
    </xf>
    <xf applyProtection="1" numFmtId="0" fontId="15" fillId="5" borderId="0" applyAlignment="1" pivotButton="0" quotePrefix="0" xfId="0">
      <alignment vertical="top"/>
      <protection locked="0"/>
    </xf>
    <xf applyProtection="1" numFmtId="164" fontId="15" fillId="5" borderId="0" applyAlignment="1" pivotButton="0" quotePrefix="0" xfId="0">
      <alignment vertical="top"/>
      <protection locked="0"/>
    </xf>
    <xf applyProtection="1" numFmtId="0" fontId="15" fillId="6" borderId="0" applyAlignment="1" pivotButton="0" quotePrefix="0" xfId="0">
      <alignment vertical="top"/>
      <protection locked="0"/>
    </xf>
    <xf applyProtection="1" numFmtId="164" fontId="15" fillId="6" borderId="0" applyAlignment="1" pivotButton="0" quotePrefix="0" xfId="0">
      <alignment vertical="top"/>
      <protection locked="0"/>
    </xf>
    <xf applyProtection="1" numFmtId="165" fontId="15" fillId="5" borderId="0" applyAlignment="1" pivotButton="0" quotePrefix="0" xfId="0">
      <alignment vertical="top"/>
      <protection locked="0"/>
    </xf>
    <xf applyProtection="1" numFmtId="165" fontId="15" fillId="6" borderId="0" applyAlignment="1" pivotButton="0" quotePrefix="0" xfId="0">
      <alignment vertical="top"/>
      <protection locked="0"/>
    </xf>
  </cellXfs>
  <cellStyles count="1">
    <cellStyle name="Normal" xfId="0"/>
  </cellStyles>
  <dxfs count="1">
    <dxf>
      <font>
        <b val="1"/>
        <color rgb="FF9C0006"/>
      </font>
      <fill>
        <patternFill patternType="solid">
          <fgColor rgb="FFFCE4D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GateEventsTable" displayName="GateEventsTable" ref="A3:X553" headerRowCount="1" totalsRowCount="0" totalsRowShown="0">
  <autoFilter ref="A3:X553"/>
  <tableColumns count="24">
    <tableColumn id="1" name="Event ID"/>
    <tableColumn id="2" name="AIR-ID"/>
    <tableColumn id="3" name="Plan ID (if any)"/>
    <tableColumn id="4" name="Gate / forum"/>
    <tableColumn id="5" name="Event type"/>
    <tableColumn id="6" name="Date"/>
    <tableColumn id="7" name="Outcome"/>
    <tableColumn id="8" name="Decision-maker / role"/>
    <tableColumn id="9" name="AIG-DEC-03 / minutes ref"/>
    <tableColumn id="10" name="Assurance opinion ref"/>
    <tableColumn id="11" name="Technical snapshot / as-at ref"/>
    <tableColumn id="12" name="Next gate / action"/>
    <tableColumn id="13" name="Recorded by"/>
    <tableColumn id="14" name="Row check"/>
    <tableColumn id="15" name="UC-ID(s) covered by this dated event"/>
    <tableColumn id="16" name="Decision scope (UC-ID specific / Shared system baseline)"/>
    <tableColumn id="17" name="Decision-scope completeness prompt"/>
    <tableColumn id="18" name="Time (hh:mm)"/>
    <tableColumn id="19" name="Source (minutes / decision record / system)"/>
    <tableColumn id="20" name="Evidence ID(s) (AIG-INV-04 Evidence index)"/>
    <tableColumn id="21" name="Event-time lifecycle stage"/>
    <tableColumn id="22" name="Incident ref (AIG-OPS-03), precautionary pause"/>
    <tableColumn id="23" name="Follow-up decision due date (precautionary pause)"/>
    <tableColumn id="24" name="Screening considered by the decision-maker (Yes / No)"/>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21"/>
  <sheetViews>
    <sheetView showGridLines="0" workbookViewId="0">
      <pane ySplit="2" topLeftCell="A3" activePane="bottomLeft" state="frozen"/>
      <selection activeCell="A1" sqref="A1"/>
    </sheetView>
  </sheetViews>
  <sheetFormatPr baseColWidth="8" defaultRowHeight="15"/>
  <cols>
    <col width="29" customWidth="1" min="1" max="1"/>
    <col width="100" customWidth="1" min="2" max="2"/>
  </cols>
  <sheetData>
    <row r="1">
      <c r="A1" s="13" t="inlineStr">
        <is>
          <t>AIG-DEC-04  |  Using the separate Gate Log</t>
        </is>
      </c>
      <c r="B1" s="14" t="n"/>
    </row>
    <row r="2">
      <c r="A2" s="14" t="n"/>
      <c r="B2" s="14" t="n"/>
    </row>
    <row r="3" ht="42" customHeight="1">
      <c r="A3" s="15" t="inlineStr">
        <is>
          <t>Status</t>
        </is>
      </c>
      <c r="B3" s="16" t="inlineStr">
        <is>
          <t>Draft for Council review — unpopulated design draft; not adopted policy or an operational replacement.</t>
        </is>
      </c>
    </row>
    <row r="4" ht="42" customHeight="1">
      <c r="A4" s="17" t="inlineStr">
        <is>
          <t>Plan ≠ event</t>
        </is>
      </c>
      <c r="B4" s="18" t="inlineStr">
        <is>
          <t>Gate plan is prospective. Only a dated Gate events row says a gate occurred. A plan cannot grant approval.</t>
        </is>
      </c>
    </row>
    <row r="5" ht="42" customHeight="1">
      <c r="A5" s="15" t="inlineStr">
        <is>
          <t>Event ≠ authority</t>
        </is>
      </c>
      <c r="B5" s="16" t="inlineStr">
        <is>
          <t>An assurance opinion or review may be logged without being an approval. Record the delegated decision-maker and authoritative AIG-DEC-03 decision or approved-minutes reference for a decision event.</t>
        </is>
      </c>
    </row>
    <row r="6" ht="42" customHeight="1">
      <c r="A6" s="17" t="inlineStr">
        <is>
          <t>Conditions</t>
        </is>
      </c>
      <c r="B6" s="18" t="inlineStr">
        <is>
          <t>Keep each condition as its own row linked to a dated Decision event (Outcome ‘Progress with condition’, ‘Re-authorise’ or ‘Resume’); record the action, owner, due date, state, verifier/date and closure evidence or waiver authority. Overdue is derived from the due date, never typed.</t>
        </is>
      </c>
    </row>
    <row r="7" ht="42" customHeight="1">
      <c r="A7" s="15" t="inlineStr">
        <is>
          <t>Join to AIG-INV-04</t>
        </is>
      </c>
      <c r="B7" s="16" t="inlineStr">
        <is>
          <t>Use the same controlled AIR-ID as the AIG-INV-04 Register. There are no fragile external-workbook formulas; reconcile AIG-INV-04 current status and latest Event ID to the actual AIG-DEC-04 event and decision record.</t>
        </is>
      </c>
    </row>
    <row r="8" ht="42" customHeight="1">
      <c r="A8" s="17" t="inlineStr">
        <is>
          <t>Separate system map</t>
        </is>
      </c>
      <c r="B8" s="18" t="inlineStr">
        <is>
          <t>The proposed standalone Capabilities and System Map links use cases, capabilities and components to controlled AIR-IDs. It is not this Gate Log, the AIG-DEC-01 governance Gate Map or an approval source. No gate is proved by a map link.</t>
        </is>
      </c>
    </row>
    <row r="9" ht="48" customHeight="1">
      <c r="A9" s="15" t="inlineStr">
        <is>
          <t>Before migration</t>
        </is>
      </c>
      <c r="B9" s="16" t="inlineStr">
        <is>
          <t>Agree field dispositions with the owners of the Council's existing (pre-suite) gate and decision logs, split legacy multi-condition cells without losing meaning, reconcile event IDs and actual delegations, test with controlled records in Excel, approve cutover and archive sources. None were migrated here.</t>
        </is>
      </c>
    </row>
    <row r="10" ht="48" customHeight="1">
      <c r="A10" s="15" t="inlineStr">
        <is>
          <t>Priority override</t>
        </is>
      </c>
      <c r="B10" s="16" t="inlineStr">
        <is>
          <t>A priority override is its own Event type. Record the delegated decision-maker and the AIG-DEC-03 or approved-minutes reference; the priority before and after, reason and Assurance update reference live in that record. Leave Outcome blank or No decision: an override changes governance attention, not progress through a gate.</t>
        </is>
      </c>
    </row>
    <row r="11" ht="48" customHeight="1">
      <c r="A11" s="15" t="inlineStr">
        <is>
          <t>Change 29 Sep 2026</t>
        </is>
      </c>
      <c r="B11" s="16" t="inlineStr">
        <is>
          <t>Added Event type “Priority override” and its row check, so the override route in AIG-ASS-01 and Playbook Annex G.4 has a controlled home.</t>
        </is>
      </c>
    </row>
    <row r="12" ht="60" customHeight="1">
      <c r="A12" s="15" t="inlineStr">
        <is>
          <t>One outcome per UC-ID</t>
        </is>
      </c>
      <c r="B12" s="16" t="inlineStr">
        <is>
          <t>AIG-DEC-03 (or approved minutes) is the authoritative decision record, one outcome per UC-ID. Log one Gate events row per UC-ID: where one meeting decides several uses, enter a row for each (Event ID with a suffix, e.g. EVT-0012-a, EVT-0012-b) with that use's own outcome. A row listing several UC-IDs is flagged by the Row check.</t>
        </is>
      </c>
    </row>
    <row r="13" ht="60" customHeight="1">
      <c r="A13" s="15" t="inlineStr">
        <is>
          <t>Controlled lists</t>
        </is>
      </c>
      <c r="B13" s="16" t="inlineStr">
        <is>
          <t>Gate / forum uses the AIG-DEC-01 gates on the Lists sheet (configure forum names locally). Event types include Intake / registration; outcomes include Suspend, Decommission, Re-authorise and Resume (lifts a precautionary pause; allowed only in the event straight after the pause for the same use). The Lists sheet maps each outcome to the AIG-DEC-03 outcome vocabulary and each condition state to AIG-DEC-03 and the UC-ID current view.</t>
        </is>
      </c>
    </row>
    <row r="14" ht="60" customHeight="1">
      <c r="A14" s="15" t="inlineStr">
        <is>
          <t>Evidence, source and time</t>
        </is>
      </c>
      <c r="B14" s="16" t="inlineStr">
        <is>
          <t>Gate events carry Time, Source and Evidence ID(s) (AIG-INV-04 Evidence index) and the event-time lifecycle stage (columns R–U). Conditions carry Verified by / date and, for monitoring conditions, the AIG-OPS-02 evidence ref needed before closure.</t>
        </is>
      </c>
    </row>
    <row r="15" ht="60" customHeight="1">
      <c r="A15" s="15" t="inlineStr">
        <is>
          <t>QA change 29 Sep 2026</t>
        </is>
      </c>
      <c r="B15" s="16" t="inlineStr">
        <is>
          <t>Row checks added to Gate plan and strengthened on Gate events and Conditions; see Document Control.</t>
        </is>
      </c>
    </row>
    <row r="16" ht="90" customHeight="1">
      <c r="A16" s="15" t="inlineStr">
        <is>
          <t>Precautionary pause</t>
        </is>
      </c>
      <c r="B16" s="16" t="inlineStr">
        <is>
          <t>An immediate precautionary pause (Playbook §4.7.17) does not wait for a governance decision, so it is not logged as a Decision. Use Event type “Precautionary pause (containment)” with Outcome “Paused — pending decision”, the person who applied it in Decision-maker / role, the AIG-OPS-03 incident ref (column V) and the date by which the delegated authority will decide on continued suspension, resumption or withdrawal (column W). That later decision is its own Decision event with its AIG-DEC-03 ref: Resume where the approval is unchanged, otherwise the outcome decided (see Resume after a pause). Proposed — for Council confirmation.</t>
        </is>
      </c>
    </row>
    <row r="17" ht="60" customHeight="1">
      <c r="A17" s="15" t="inlineStr">
        <is>
          <t>Change 30 Sep 2026</t>
        </is>
      </c>
      <c r="B17" s="16" t="inlineStr">
        <is>
          <t>v3.9.2: Gate plan duplicate check keys on AIR-ID + UC-ID scope + gate; precautionary pause event type added (Gate events columns V–W, Lists row 15, row check). See Document Control.</t>
        </is>
      </c>
    </row>
    <row r="18" ht="75" customHeight="1">
      <c r="A18" s="15" t="inlineStr">
        <is>
          <t>Screening considered (column X)</t>
        </is>
      </c>
      <c r="B18" s="16" t="inlineStr">
        <is>
          <t>Gate events column X records whether the decision-maker saw and considered the equality, human rights and data protection screening (including any done by reference, Playbook §4.6). It must be Yes for a Decision with Outcome Progress, Progress with condition, Re-authorise or Resume; it matches the tick line in AIG-DEC-03. Proposed — for Council confirmation.</t>
        </is>
      </c>
    </row>
    <row r="19" ht="75" customHeight="1">
      <c r="A19" s="15" t="inlineStr">
        <is>
          <t>Resume after a pause</t>
        </is>
      </c>
      <c r="B19" s="16" t="inlineStr">
        <is>
          <t>Outcome “Resume” is a Decision that lifts a precautionary pause with the use’s approval unchanged (AIG-DEC-03: Approved, or Approved with conditions where new conditions are set). Enter it as the next Gate events row for the same AIR-ID and UC-ID after the pause row; the row check flags it otherwise. Log a pause one row per affected UC-ID, so each use can be resumed separately. Where the use needs reassessment first, use Re-authorise. Proposed — for Council confirmation.</t>
        </is>
      </c>
    </row>
    <row r="20" ht="75" customHeight="1">
      <c r="A20" s="15" t="inlineStr">
        <is>
          <t>Locked row checks</t>
        </is>
      </c>
      <c r="B20" s="16" t="inlineStr">
        <is>
          <t>The row-check columns (Gate plan M; Gate events N and Q; Conditions J) are locked with sheet protection and no password, so they cannot be typed or pasted over. Every input column stays editable, and any filter buttons still work. To sort, or to change a formula, unprotect the sheet (no password) and protect it again afterwards.</t>
        </is>
      </c>
    </row>
    <row r="21" ht="75" customHeight="1">
      <c r="A21" s="15" t="inlineStr">
        <is>
          <t>Change 3 Oct 2026</t>
        </is>
      </c>
      <c r="B21" s="16" t="inlineStr">
        <is>
          <t>v3.9.8: column X (screening considered), Outcome Resume (Lists row 16) and locked row-check columns. See Document Control.</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353"/>
  <sheetViews>
    <sheetView showGridLines="0" workbookViewId="0">
      <pane xSplit="2" ySplit="3" topLeftCell="C4" activePane="bottomRight" state="frozen"/>
      <selection activeCell="A1" sqref="A1"/>
    </sheetView>
  </sheetViews>
  <sheetFormatPr baseColWidth="8" defaultRowHeight="15"/>
  <cols>
    <col width="19" customWidth="1" min="1" max="1"/>
    <col width="17" customWidth="1" min="2" max="2"/>
    <col width="29" customWidth="1" min="3" max="3"/>
    <col width="27" customWidth="1" min="4" max="4"/>
    <col width="23" customWidth="1" min="5" max="5"/>
    <col width="30" customWidth="1" min="6" max="6"/>
    <col width="17" customWidth="1" min="7" max="7"/>
    <col width="26" customWidth="1" min="8" max="8"/>
    <col width="20" customWidth="1" min="9" max="9"/>
    <col width="45" customWidth="1" min="10" max="10"/>
    <col width="34" customWidth="1" min="11" max="11"/>
    <col width="34" customWidth="1" min="12" max="12"/>
    <col width="44" customWidth="1" min="13" max="13"/>
  </cols>
  <sheetData>
    <row r="1" ht="34" customHeight="1">
      <c r="A1" s="19" t="inlineStr">
        <is>
          <t>AIG-DEC-04 / GATE PLAN — WHAT IS EXPECTED</t>
        </is>
      </c>
      <c r="K1" s="14" t="n"/>
      <c r="L1" s="14" t="n"/>
    </row>
    <row r="2" ht="43" customHeight="1">
      <c r="A2" s="20" t="inlineStr">
        <is>
          <t>Prospective requirements only. A plan is not evidence that a gate happened or that a use was approved.</t>
        </is>
      </c>
      <c r="K2" s="20" t="inlineStr">
        <is>
          <t>Gate plans are prospective requirements, never approval. State whether the planned gate concerns named UC-ID(s) or a shared system baseline. The duplicate check keys on AIR-ID + UC-ID scope + gate: each use of a system has its own plan rows, and a system-level row (blank UC-ID) counts separately.</t>
        </is>
      </c>
      <c r="L2" s="14" t="n"/>
    </row>
    <row r="3" ht="56" customHeight="1">
      <c r="A3" s="21" t="inlineStr">
        <is>
          <t>Plan ID</t>
        </is>
      </c>
      <c r="B3" s="21" t="inlineStr">
        <is>
          <t>AIR-ID</t>
        </is>
      </c>
      <c r="C3" s="21" t="inlineStr">
        <is>
          <t>Gate / forum</t>
        </is>
      </c>
      <c r="D3" s="21" t="inlineStr">
        <is>
          <t>Trigger / stage</t>
        </is>
      </c>
      <c r="E3" s="21" t="inlineStr">
        <is>
          <t>Requirement</t>
        </is>
      </c>
      <c r="F3" s="21" t="inlineStr">
        <is>
          <t>Basis / triage ref</t>
        </is>
      </c>
      <c r="G3" s="21" t="inlineStr">
        <is>
          <t>Target date</t>
        </is>
      </c>
      <c r="H3" s="21" t="inlineStr">
        <is>
          <t>Responsible role</t>
        </is>
      </c>
      <c r="I3" s="21" t="inlineStr">
        <is>
          <t>Plan state</t>
        </is>
      </c>
      <c r="J3" s="21" t="inlineStr">
        <is>
          <t>N-A / waiver rationale and authority ref</t>
        </is>
      </c>
      <c r="K3" s="21" t="inlineStr">
        <is>
          <t>UC-ID scope(s) (blank only for explicit system baseline)</t>
        </is>
      </c>
      <c r="L3" s="21" t="inlineStr">
        <is>
          <t>Decision scope (UC-ID specific / Shared system baseline)</t>
        </is>
      </c>
      <c r="M3" s="21" t="inlineStr">
        <is>
          <t>Row check</t>
        </is>
      </c>
    </row>
    <row r="4">
      <c r="A4" s="38" t="n"/>
      <c r="B4" s="38" t="n"/>
      <c r="C4" s="38" t="n"/>
      <c r="D4" s="38" t="n"/>
      <c r="E4" s="38" t="n"/>
      <c r="F4" s="38" t="n"/>
      <c r="G4" s="39" t="n"/>
      <c r="H4" s="38" t="n"/>
      <c r="I4" s="38" t="n"/>
      <c r="J4" s="38" t="n"/>
      <c r="K4" s="38" t="n"/>
      <c r="L4" s="38" t="n"/>
      <c r="M4" s="22">
        <f>IF(COUNTA(A4:L4)=0,"",IF(A4="","Plan ID missing",IF(COUNTIF($A$4:$A$353,A4)&gt;1,"Duplicate Plan ID",IF(B4="","AIR-ID missing",IF(C4="","Gate / forum missing",IF(AND(I4="Planned",COUNTIFS($B$4:$B$353,B4,$C$4:$C$353,C4,$K$4:$K$353,K4&amp;"",$I$4:$I$353,"Planned")&gt;1),"More than one active plan for this AIR-ID, UC-ID scope and gate",IF(AND(E4="Not applicable",J4=""),"Not applicable needs rationale and authority ref",IF(AND(E4="Required",F4=""),"Required gate needs basis / triage ref",IF(L4="","Decision scope missing",IF(AND(L4="UC-ID specific",K4=""),"UC-ID required",IF(AND(L4="Shared system baseline",K4&lt;&gt;""),"Remove UC-ID or correct scope",IF(AND(G4&lt;&gt;"",NOT(ISNUMBER(G4))),"Target date is not a date",IF(E4="","Requirement missing",IF(I4="","Plan state missing","Check against source"))))))))))))))</f>
        <v/>
      </c>
    </row>
    <row r="5">
      <c r="A5" s="40" t="n"/>
      <c r="B5" s="40" t="n"/>
      <c r="C5" s="40" t="n"/>
      <c r="D5" s="40" t="n"/>
      <c r="E5" s="40" t="n"/>
      <c r="F5" s="40" t="n"/>
      <c r="G5" s="41" t="n"/>
      <c r="H5" s="40" t="n"/>
      <c r="I5" s="40" t="n"/>
      <c r="J5" s="40" t="n"/>
      <c r="K5" s="37" t="n"/>
      <c r="L5" s="37" t="n"/>
      <c r="M5" s="14">
        <f>IF(COUNTA(A5:L5)=0,"",IF(A5="","Plan ID missing",IF(COUNTIF($A$4:$A$353,A5)&gt;1,"Duplicate Plan ID",IF(B5="","AIR-ID missing",IF(C5="","Gate / forum missing",IF(AND(I5="Planned",COUNTIFS($B$4:$B$353,B5,$C$4:$C$353,C5,$K$4:$K$353,K5&amp;"",$I$4:$I$353,"Planned")&gt;1),"More than one active plan for this AIR-ID, UC-ID scope and gate",IF(AND(E5="Not applicable",J5=""),"Not applicable needs rationale and authority ref",IF(AND(E5="Required",F5=""),"Required gate needs basis / triage ref",IF(L5="","Decision scope missing",IF(AND(L5="UC-ID specific",K5=""),"UC-ID required",IF(AND(L5="Shared system baseline",K5&lt;&gt;""),"Remove UC-ID or correct scope",IF(AND(G5&lt;&gt;"",NOT(ISNUMBER(G5))),"Target date is not a date",IF(E5="","Requirement missing",IF(I5="","Plan state missing","Check against source"))))))))))))))</f>
        <v/>
      </c>
    </row>
    <row r="6">
      <c r="A6" s="38" t="n"/>
      <c r="B6" s="38" t="n"/>
      <c r="C6" s="38" t="n"/>
      <c r="D6" s="38" t="n"/>
      <c r="E6" s="38" t="n"/>
      <c r="F6" s="38" t="n"/>
      <c r="G6" s="39" t="n"/>
      <c r="H6" s="38" t="n"/>
      <c r="I6" s="38" t="n"/>
      <c r="J6" s="38" t="n"/>
      <c r="K6" s="37" t="n"/>
      <c r="L6" s="37" t="n"/>
      <c r="M6" s="14">
        <f>IF(COUNTA(A6:L6)=0,"",IF(A6="","Plan ID missing",IF(COUNTIF($A$4:$A$353,A6)&gt;1,"Duplicate Plan ID",IF(B6="","AIR-ID missing",IF(C6="","Gate / forum missing",IF(AND(I6="Planned",COUNTIFS($B$4:$B$353,B6,$C$4:$C$353,C6,$K$4:$K$353,K6&amp;"",$I$4:$I$353,"Planned")&gt;1),"More than one active plan for this AIR-ID, UC-ID scope and gate",IF(AND(E6="Not applicable",J6=""),"Not applicable needs rationale and authority ref",IF(AND(E6="Required",F6=""),"Required gate needs basis / triage ref",IF(L6="","Decision scope missing",IF(AND(L6="UC-ID specific",K6=""),"UC-ID required",IF(AND(L6="Shared system baseline",K6&lt;&gt;""),"Remove UC-ID or correct scope",IF(AND(G6&lt;&gt;"",NOT(ISNUMBER(G6))),"Target date is not a date",IF(E6="","Requirement missing",IF(I6="","Plan state missing","Check against source"))))))))))))))</f>
        <v/>
      </c>
    </row>
    <row r="7">
      <c r="A7" s="40" t="n"/>
      <c r="B7" s="40" t="n"/>
      <c r="C7" s="40" t="n"/>
      <c r="D7" s="40" t="n"/>
      <c r="E7" s="40" t="n"/>
      <c r="F7" s="40" t="n"/>
      <c r="G7" s="41" t="n"/>
      <c r="H7" s="40" t="n"/>
      <c r="I7" s="40" t="n"/>
      <c r="J7" s="40" t="n"/>
      <c r="K7" s="37" t="n"/>
      <c r="L7" s="37" t="n"/>
      <c r="M7" s="14">
        <f>IF(COUNTA(A7:L7)=0,"",IF(A7="","Plan ID missing",IF(COUNTIF($A$4:$A$353,A7)&gt;1,"Duplicate Plan ID",IF(B7="","AIR-ID missing",IF(C7="","Gate / forum missing",IF(AND(I7="Planned",COUNTIFS($B$4:$B$353,B7,$C$4:$C$353,C7,$K$4:$K$353,K7&amp;"",$I$4:$I$353,"Planned")&gt;1),"More than one active plan for this AIR-ID, UC-ID scope and gate",IF(AND(E7="Not applicable",J7=""),"Not applicable needs rationale and authority ref",IF(AND(E7="Required",F7=""),"Required gate needs basis / triage ref",IF(L7="","Decision scope missing",IF(AND(L7="UC-ID specific",K7=""),"UC-ID required",IF(AND(L7="Shared system baseline",K7&lt;&gt;""),"Remove UC-ID or correct scope",IF(AND(G7&lt;&gt;"",NOT(ISNUMBER(G7))),"Target date is not a date",IF(E7="","Requirement missing",IF(I7="","Plan state missing","Check against source"))))))))))))))</f>
        <v/>
      </c>
    </row>
    <row r="8">
      <c r="A8" s="38" t="n"/>
      <c r="B8" s="38" t="n"/>
      <c r="C8" s="38" t="n"/>
      <c r="D8" s="38" t="n"/>
      <c r="E8" s="38" t="n"/>
      <c r="F8" s="38" t="n"/>
      <c r="G8" s="39" t="n"/>
      <c r="H8" s="38" t="n"/>
      <c r="I8" s="38" t="n"/>
      <c r="J8" s="38" t="n"/>
      <c r="K8" s="37" t="n"/>
      <c r="L8" s="37" t="n"/>
      <c r="M8" s="14">
        <f>IF(COUNTA(A8:L8)=0,"",IF(A8="","Plan ID missing",IF(COUNTIF($A$4:$A$353,A8)&gt;1,"Duplicate Plan ID",IF(B8="","AIR-ID missing",IF(C8="","Gate / forum missing",IF(AND(I8="Planned",COUNTIFS($B$4:$B$353,B8,$C$4:$C$353,C8,$K$4:$K$353,K8&amp;"",$I$4:$I$353,"Planned")&gt;1),"More than one active plan for this AIR-ID, UC-ID scope and gate",IF(AND(E8="Not applicable",J8=""),"Not applicable needs rationale and authority ref",IF(AND(E8="Required",F8=""),"Required gate needs basis / triage ref",IF(L8="","Decision scope missing",IF(AND(L8="UC-ID specific",K8=""),"UC-ID required",IF(AND(L8="Shared system baseline",K8&lt;&gt;""),"Remove UC-ID or correct scope",IF(AND(G8&lt;&gt;"",NOT(ISNUMBER(G8))),"Target date is not a date",IF(E8="","Requirement missing",IF(I8="","Plan state missing","Check against source"))))))))))))))</f>
        <v/>
      </c>
    </row>
    <row r="9">
      <c r="A9" s="40" t="n"/>
      <c r="B9" s="40" t="n"/>
      <c r="C9" s="40" t="n"/>
      <c r="D9" s="40" t="n"/>
      <c r="E9" s="40" t="n"/>
      <c r="F9" s="40" t="n"/>
      <c r="G9" s="41" t="n"/>
      <c r="H9" s="40" t="n"/>
      <c r="I9" s="40" t="n"/>
      <c r="J9" s="40" t="n"/>
      <c r="K9" s="37" t="n"/>
      <c r="L9" s="37" t="n"/>
      <c r="M9" s="14">
        <f>IF(COUNTA(A9:L9)=0,"",IF(A9="","Plan ID missing",IF(COUNTIF($A$4:$A$353,A9)&gt;1,"Duplicate Plan ID",IF(B9="","AIR-ID missing",IF(C9="","Gate / forum missing",IF(AND(I9="Planned",COUNTIFS($B$4:$B$353,B9,$C$4:$C$353,C9,$K$4:$K$353,K9&amp;"",$I$4:$I$353,"Planned")&gt;1),"More than one active plan for this AIR-ID, UC-ID scope and gate",IF(AND(E9="Not applicable",J9=""),"Not applicable needs rationale and authority ref",IF(AND(E9="Required",F9=""),"Required gate needs basis / triage ref",IF(L9="","Decision scope missing",IF(AND(L9="UC-ID specific",K9=""),"UC-ID required",IF(AND(L9="Shared system baseline",K9&lt;&gt;""),"Remove UC-ID or correct scope",IF(AND(G9&lt;&gt;"",NOT(ISNUMBER(G9))),"Target date is not a date",IF(E9="","Requirement missing",IF(I9="","Plan state missing","Check against source"))))))))))))))</f>
        <v/>
      </c>
    </row>
    <row r="10">
      <c r="A10" s="38" t="n"/>
      <c r="B10" s="38" t="n"/>
      <c r="C10" s="38" t="n"/>
      <c r="D10" s="38" t="n"/>
      <c r="E10" s="38" t="n"/>
      <c r="F10" s="38" t="n"/>
      <c r="G10" s="39" t="n"/>
      <c r="H10" s="38" t="n"/>
      <c r="I10" s="38" t="n"/>
      <c r="J10" s="38" t="n"/>
      <c r="K10" s="37" t="n"/>
      <c r="L10" s="37" t="n"/>
      <c r="M10" s="14">
        <f>IF(COUNTA(A10:L10)=0,"",IF(A10="","Plan ID missing",IF(COUNTIF($A$4:$A$353,A10)&gt;1,"Duplicate Plan ID",IF(B10="","AIR-ID missing",IF(C10="","Gate / forum missing",IF(AND(I10="Planned",COUNTIFS($B$4:$B$353,B10,$C$4:$C$353,C10,$K$4:$K$353,K10&amp;"",$I$4:$I$353,"Planned")&gt;1),"More than one active plan for this AIR-ID, UC-ID scope and gate",IF(AND(E10="Not applicable",J10=""),"Not applicable needs rationale and authority ref",IF(AND(E10="Required",F10=""),"Required gate needs basis / triage ref",IF(L10="","Decision scope missing",IF(AND(L10="UC-ID specific",K10=""),"UC-ID required",IF(AND(L10="Shared system baseline",K10&lt;&gt;""),"Remove UC-ID or correct scope",IF(AND(G10&lt;&gt;"",NOT(ISNUMBER(G10))),"Target date is not a date",IF(E10="","Requirement missing",IF(I10="","Plan state missing","Check against source"))))))))))))))</f>
        <v/>
      </c>
    </row>
    <row r="11">
      <c r="A11" s="40" t="n"/>
      <c r="B11" s="40" t="n"/>
      <c r="C11" s="40" t="n"/>
      <c r="D11" s="40" t="n"/>
      <c r="E11" s="40" t="n"/>
      <c r="F11" s="40" t="n"/>
      <c r="G11" s="41" t="n"/>
      <c r="H11" s="40" t="n"/>
      <c r="I11" s="40" t="n"/>
      <c r="J11" s="40" t="n"/>
      <c r="K11" s="37" t="n"/>
      <c r="L11" s="37" t="n"/>
      <c r="M11" s="14">
        <f>IF(COUNTA(A11:L11)=0,"",IF(A11="","Plan ID missing",IF(COUNTIF($A$4:$A$353,A11)&gt;1,"Duplicate Plan ID",IF(B11="","AIR-ID missing",IF(C11="","Gate / forum missing",IF(AND(I11="Planned",COUNTIFS($B$4:$B$353,B11,$C$4:$C$353,C11,$K$4:$K$353,K11&amp;"",$I$4:$I$353,"Planned")&gt;1),"More than one active plan for this AIR-ID, UC-ID scope and gate",IF(AND(E11="Not applicable",J11=""),"Not applicable needs rationale and authority ref",IF(AND(E11="Required",F11=""),"Required gate needs basis / triage ref",IF(L11="","Decision scope missing",IF(AND(L11="UC-ID specific",K11=""),"UC-ID required",IF(AND(L11="Shared system baseline",K11&lt;&gt;""),"Remove UC-ID or correct scope",IF(AND(G11&lt;&gt;"",NOT(ISNUMBER(G11))),"Target date is not a date",IF(E11="","Requirement missing",IF(I11="","Plan state missing","Check against source"))))))))))))))</f>
        <v/>
      </c>
    </row>
    <row r="12">
      <c r="A12" s="38" t="n"/>
      <c r="B12" s="38" t="n"/>
      <c r="C12" s="38" t="n"/>
      <c r="D12" s="38" t="n"/>
      <c r="E12" s="38" t="n"/>
      <c r="F12" s="38" t="n"/>
      <c r="G12" s="39" t="n"/>
      <c r="H12" s="38" t="n"/>
      <c r="I12" s="38" t="n"/>
      <c r="J12" s="38" t="n"/>
      <c r="K12" s="37" t="n"/>
      <c r="L12" s="37" t="n"/>
      <c r="M12" s="14">
        <f>IF(COUNTA(A12:L12)=0,"",IF(A12="","Plan ID missing",IF(COUNTIF($A$4:$A$353,A12)&gt;1,"Duplicate Plan ID",IF(B12="","AIR-ID missing",IF(C12="","Gate / forum missing",IF(AND(I12="Planned",COUNTIFS($B$4:$B$353,B12,$C$4:$C$353,C12,$K$4:$K$353,K12&amp;"",$I$4:$I$353,"Planned")&gt;1),"More than one active plan for this AIR-ID, UC-ID scope and gate",IF(AND(E12="Not applicable",J12=""),"Not applicable needs rationale and authority ref",IF(AND(E12="Required",F12=""),"Required gate needs basis / triage ref",IF(L12="","Decision scope missing",IF(AND(L12="UC-ID specific",K12=""),"UC-ID required",IF(AND(L12="Shared system baseline",K12&lt;&gt;""),"Remove UC-ID or correct scope",IF(AND(G12&lt;&gt;"",NOT(ISNUMBER(G12))),"Target date is not a date",IF(E12="","Requirement missing",IF(I12="","Plan state missing","Check against source"))))))))))))))</f>
        <v/>
      </c>
    </row>
    <row r="13">
      <c r="A13" s="40" t="n"/>
      <c r="B13" s="40" t="n"/>
      <c r="C13" s="40" t="n"/>
      <c r="D13" s="40" t="n"/>
      <c r="E13" s="40" t="n"/>
      <c r="F13" s="40" t="n"/>
      <c r="G13" s="41" t="n"/>
      <c r="H13" s="40" t="n"/>
      <c r="I13" s="40" t="n"/>
      <c r="J13" s="40" t="n"/>
      <c r="K13" s="37" t="n"/>
      <c r="L13" s="37" t="n"/>
      <c r="M13" s="14">
        <f>IF(COUNTA(A13:L13)=0,"",IF(A13="","Plan ID missing",IF(COUNTIF($A$4:$A$353,A13)&gt;1,"Duplicate Plan ID",IF(B13="","AIR-ID missing",IF(C13="","Gate / forum missing",IF(AND(I13="Planned",COUNTIFS($B$4:$B$353,B13,$C$4:$C$353,C13,$K$4:$K$353,K13&amp;"",$I$4:$I$353,"Planned")&gt;1),"More than one active plan for this AIR-ID, UC-ID scope and gate",IF(AND(E13="Not applicable",J13=""),"Not applicable needs rationale and authority ref",IF(AND(E13="Required",F13=""),"Required gate needs basis / triage ref",IF(L13="","Decision scope missing",IF(AND(L13="UC-ID specific",K13=""),"UC-ID required",IF(AND(L13="Shared system baseline",K13&lt;&gt;""),"Remove UC-ID or correct scope",IF(AND(G13&lt;&gt;"",NOT(ISNUMBER(G13))),"Target date is not a date",IF(E13="","Requirement missing",IF(I13="","Plan state missing","Check against source"))))))))))))))</f>
        <v/>
      </c>
    </row>
    <row r="14">
      <c r="A14" s="38" t="n"/>
      <c r="B14" s="38" t="n"/>
      <c r="C14" s="38" t="n"/>
      <c r="D14" s="38" t="n"/>
      <c r="E14" s="38" t="n"/>
      <c r="F14" s="38" t="n"/>
      <c r="G14" s="39" t="n"/>
      <c r="H14" s="38" t="n"/>
      <c r="I14" s="38" t="n"/>
      <c r="J14" s="38" t="n"/>
      <c r="K14" s="37" t="n"/>
      <c r="L14" s="37" t="n"/>
      <c r="M14" s="14">
        <f>IF(COUNTA(A14:L14)=0,"",IF(A14="","Plan ID missing",IF(COUNTIF($A$4:$A$353,A14)&gt;1,"Duplicate Plan ID",IF(B14="","AIR-ID missing",IF(C14="","Gate / forum missing",IF(AND(I14="Planned",COUNTIFS($B$4:$B$353,B14,$C$4:$C$353,C14,$K$4:$K$353,K14&amp;"",$I$4:$I$353,"Planned")&gt;1),"More than one active plan for this AIR-ID, UC-ID scope and gate",IF(AND(E14="Not applicable",J14=""),"Not applicable needs rationale and authority ref",IF(AND(E14="Required",F14=""),"Required gate needs basis / triage ref",IF(L14="","Decision scope missing",IF(AND(L14="UC-ID specific",K14=""),"UC-ID required",IF(AND(L14="Shared system baseline",K14&lt;&gt;""),"Remove UC-ID or correct scope",IF(AND(G14&lt;&gt;"",NOT(ISNUMBER(G14))),"Target date is not a date",IF(E14="","Requirement missing",IF(I14="","Plan state missing","Check against source"))))))))))))))</f>
        <v/>
      </c>
    </row>
    <row r="15">
      <c r="A15" s="40" t="n"/>
      <c r="B15" s="40" t="n"/>
      <c r="C15" s="40" t="n"/>
      <c r="D15" s="40" t="n"/>
      <c r="E15" s="40" t="n"/>
      <c r="F15" s="40" t="n"/>
      <c r="G15" s="41" t="n"/>
      <c r="H15" s="40" t="n"/>
      <c r="I15" s="40" t="n"/>
      <c r="J15" s="40" t="n"/>
      <c r="K15" s="37" t="n"/>
      <c r="L15" s="37" t="n"/>
      <c r="M15" s="14">
        <f>IF(COUNTA(A15:L15)=0,"",IF(A15="","Plan ID missing",IF(COUNTIF($A$4:$A$353,A15)&gt;1,"Duplicate Plan ID",IF(B15="","AIR-ID missing",IF(C15="","Gate / forum missing",IF(AND(I15="Planned",COUNTIFS($B$4:$B$353,B15,$C$4:$C$353,C15,$K$4:$K$353,K15&amp;"",$I$4:$I$353,"Planned")&gt;1),"More than one active plan for this AIR-ID, UC-ID scope and gate",IF(AND(E15="Not applicable",J15=""),"Not applicable needs rationale and authority ref",IF(AND(E15="Required",F15=""),"Required gate needs basis / triage ref",IF(L15="","Decision scope missing",IF(AND(L15="UC-ID specific",K15=""),"UC-ID required",IF(AND(L15="Shared system baseline",K15&lt;&gt;""),"Remove UC-ID or correct scope",IF(AND(G15&lt;&gt;"",NOT(ISNUMBER(G15))),"Target date is not a date",IF(E15="","Requirement missing",IF(I15="","Plan state missing","Check against source"))))))))))))))</f>
        <v/>
      </c>
    </row>
    <row r="16">
      <c r="A16" s="38" t="n"/>
      <c r="B16" s="38" t="n"/>
      <c r="C16" s="38" t="n"/>
      <c r="D16" s="38" t="n"/>
      <c r="E16" s="38" t="n"/>
      <c r="F16" s="38" t="n"/>
      <c r="G16" s="39" t="n"/>
      <c r="H16" s="38" t="n"/>
      <c r="I16" s="38" t="n"/>
      <c r="J16" s="38" t="n"/>
      <c r="K16" s="37" t="n"/>
      <c r="L16" s="37" t="n"/>
      <c r="M16" s="14">
        <f>IF(COUNTA(A16:L16)=0,"",IF(A16="","Plan ID missing",IF(COUNTIF($A$4:$A$353,A16)&gt;1,"Duplicate Plan ID",IF(B16="","AIR-ID missing",IF(C16="","Gate / forum missing",IF(AND(I16="Planned",COUNTIFS($B$4:$B$353,B16,$C$4:$C$353,C16,$K$4:$K$353,K16&amp;"",$I$4:$I$353,"Planned")&gt;1),"More than one active plan for this AIR-ID, UC-ID scope and gate",IF(AND(E16="Not applicable",J16=""),"Not applicable needs rationale and authority ref",IF(AND(E16="Required",F16=""),"Required gate needs basis / triage ref",IF(L16="","Decision scope missing",IF(AND(L16="UC-ID specific",K16=""),"UC-ID required",IF(AND(L16="Shared system baseline",K16&lt;&gt;""),"Remove UC-ID or correct scope",IF(AND(G16&lt;&gt;"",NOT(ISNUMBER(G16))),"Target date is not a date",IF(E16="","Requirement missing",IF(I16="","Plan state missing","Check against source"))))))))))))))</f>
        <v/>
      </c>
    </row>
    <row r="17">
      <c r="A17" s="40" t="n"/>
      <c r="B17" s="40" t="n"/>
      <c r="C17" s="40" t="n"/>
      <c r="D17" s="40" t="n"/>
      <c r="E17" s="40" t="n"/>
      <c r="F17" s="40" t="n"/>
      <c r="G17" s="41" t="n"/>
      <c r="H17" s="40" t="n"/>
      <c r="I17" s="40" t="n"/>
      <c r="J17" s="40" t="n"/>
      <c r="K17" s="37" t="n"/>
      <c r="L17" s="37" t="n"/>
      <c r="M17" s="14">
        <f>IF(COUNTA(A17:L17)=0,"",IF(A17="","Plan ID missing",IF(COUNTIF($A$4:$A$353,A17)&gt;1,"Duplicate Plan ID",IF(B17="","AIR-ID missing",IF(C17="","Gate / forum missing",IF(AND(I17="Planned",COUNTIFS($B$4:$B$353,B17,$C$4:$C$353,C17,$K$4:$K$353,K17&amp;"",$I$4:$I$353,"Planned")&gt;1),"More than one active plan for this AIR-ID, UC-ID scope and gate",IF(AND(E17="Not applicable",J17=""),"Not applicable needs rationale and authority ref",IF(AND(E17="Required",F17=""),"Required gate needs basis / triage ref",IF(L17="","Decision scope missing",IF(AND(L17="UC-ID specific",K17=""),"UC-ID required",IF(AND(L17="Shared system baseline",K17&lt;&gt;""),"Remove UC-ID or correct scope",IF(AND(G17&lt;&gt;"",NOT(ISNUMBER(G17))),"Target date is not a date",IF(E17="","Requirement missing",IF(I17="","Plan state missing","Check against source"))))))))))))))</f>
        <v/>
      </c>
    </row>
    <row r="18">
      <c r="A18" s="38" t="n"/>
      <c r="B18" s="38" t="n"/>
      <c r="C18" s="38" t="n"/>
      <c r="D18" s="38" t="n"/>
      <c r="E18" s="38" t="n"/>
      <c r="F18" s="38" t="n"/>
      <c r="G18" s="39" t="n"/>
      <c r="H18" s="38" t="n"/>
      <c r="I18" s="38" t="n"/>
      <c r="J18" s="38" t="n"/>
      <c r="K18" s="37" t="n"/>
      <c r="L18" s="37" t="n"/>
      <c r="M18" s="14">
        <f>IF(COUNTA(A18:L18)=0,"",IF(A18="","Plan ID missing",IF(COUNTIF($A$4:$A$353,A18)&gt;1,"Duplicate Plan ID",IF(B18="","AIR-ID missing",IF(C18="","Gate / forum missing",IF(AND(I18="Planned",COUNTIFS($B$4:$B$353,B18,$C$4:$C$353,C18,$K$4:$K$353,K18&amp;"",$I$4:$I$353,"Planned")&gt;1),"More than one active plan for this AIR-ID, UC-ID scope and gate",IF(AND(E18="Not applicable",J18=""),"Not applicable needs rationale and authority ref",IF(AND(E18="Required",F18=""),"Required gate needs basis / triage ref",IF(L18="","Decision scope missing",IF(AND(L18="UC-ID specific",K18=""),"UC-ID required",IF(AND(L18="Shared system baseline",K18&lt;&gt;""),"Remove UC-ID or correct scope",IF(AND(G18&lt;&gt;"",NOT(ISNUMBER(G18))),"Target date is not a date",IF(E18="","Requirement missing",IF(I18="","Plan state missing","Check against source"))))))))))))))</f>
        <v/>
      </c>
    </row>
    <row r="19">
      <c r="A19" s="40" t="n"/>
      <c r="B19" s="40" t="n"/>
      <c r="C19" s="40" t="n"/>
      <c r="D19" s="40" t="n"/>
      <c r="E19" s="40" t="n"/>
      <c r="F19" s="40" t="n"/>
      <c r="G19" s="41" t="n"/>
      <c r="H19" s="40" t="n"/>
      <c r="I19" s="40" t="n"/>
      <c r="J19" s="40" t="n"/>
      <c r="K19" s="37" t="n"/>
      <c r="L19" s="37" t="n"/>
      <c r="M19" s="14">
        <f>IF(COUNTA(A19:L19)=0,"",IF(A19="","Plan ID missing",IF(COUNTIF($A$4:$A$353,A19)&gt;1,"Duplicate Plan ID",IF(B19="","AIR-ID missing",IF(C19="","Gate / forum missing",IF(AND(I19="Planned",COUNTIFS($B$4:$B$353,B19,$C$4:$C$353,C19,$K$4:$K$353,K19&amp;"",$I$4:$I$353,"Planned")&gt;1),"More than one active plan for this AIR-ID, UC-ID scope and gate",IF(AND(E19="Not applicable",J19=""),"Not applicable needs rationale and authority ref",IF(AND(E19="Required",F19=""),"Required gate needs basis / triage ref",IF(L19="","Decision scope missing",IF(AND(L19="UC-ID specific",K19=""),"UC-ID required",IF(AND(L19="Shared system baseline",K19&lt;&gt;""),"Remove UC-ID or correct scope",IF(AND(G19&lt;&gt;"",NOT(ISNUMBER(G19))),"Target date is not a date",IF(E19="","Requirement missing",IF(I19="","Plan state missing","Check against source"))))))))))))))</f>
        <v/>
      </c>
    </row>
    <row r="20">
      <c r="A20" s="38" t="n"/>
      <c r="B20" s="38" t="n"/>
      <c r="C20" s="38" t="n"/>
      <c r="D20" s="38" t="n"/>
      <c r="E20" s="38" t="n"/>
      <c r="F20" s="38" t="n"/>
      <c r="G20" s="39" t="n"/>
      <c r="H20" s="38" t="n"/>
      <c r="I20" s="38" t="n"/>
      <c r="J20" s="38" t="n"/>
      <c r="K20" s="37" t="n"/>
      <c r="L20" s="37" t="n"/>
      <c r="M20" s="14">
        <f>IF(COUNTA(A20:L20)=0,"",IF(A20="","Plan ID missing",IF(COUNTIF($A$4:$A$353,A20)&gt;1,"Duplicate Plan ID",IF(B20="","AIR-ID missing",IF(C20="","Gate / forum missing",IF(AND(I20="Planned",COUNTIFS($B$4:$B$353,B20,$C$4:$C$353,C20,$K$4:$K$353,K20&amp;"",$I$4:$I$353,"Planned")&gt;1),"More than one active plan for this AIR-ID, UC-ID scope and gate",IF(AND(E20="Not applicable",J20=""),"Not applicable needs rationale and authority ref",IF(AND(E20="Required",F20=""),"Required gate needs basis / triage ref",IF(L20="","Decision scope missing",IF(AND(L20="UC-ID specific",K20=""),"UC-ID required",IF(AND(L20="Shared system baseline",K20&lt;&gt;""),"Remove UC-ID or correct scope",IF(AND(G20&lt;&gt;"",NOT(ISNUMBER(G20))),"Target date is not a date",IF(E20="","Requirement missing",IF(I20="","Plan state missing","Check against source"))))))))))))))</f>
        <v/>
      </c>
    </row>
    <row r="21">
      <c r="A21" s="40" t="n"/>
      <c r="B21" s="40" t="n"/>
      <c r="C21" s="40" t="n"/>
      <c r="D21" s="40" t="n"/>
      <c r="E21" s="40" t="n"/>
      <c r="F21" s="40" t="n"/>
      <c r="G21" s="41" t="n"/>
      <c r="H21" s="40" t="n"/>
      <c r="I21" s="40" t="n"/>
      <c r="J21" s="40" t="n"/>
      <c r="K21" s="37" t="n"/>
      <c r="L21" s="37" t="n"/>
      <c r="M21" s="14">
        <f>IF(COUNTA(A21:L21)=0,"",IF(A21="","Plan ID missing",IF(COUNTIF($A$4:$A$353,A21)&gt;1,"Duplicate Plan ID",IF(B21="","AIR-ID missing",IF(C21="","Gate / forum missing",IF(AND(I21="Planned",COUNTIFS($B$4:$B$353,B21,$C$4:$C$353,C21,$K$4:$K$353,K21&amp;"",$I$4:$I$353,"Planned")&gt;1),"More than one active plan for this AIR-ID, UC-ID scope and gate",IF(AND(E21="Not applicable",J21=""),"Not applicable needs rationale and authority ref",IF(AND(E21="Required",F21=""),"Required gate needs basis / triage ref",IF(L21="","Decision scope missing",IF(AND(L21="UC-ID specific",K21=""),"UC-ID required",IF(AND(L21="Shared system baseline",K21&lt;&gt;""),"Remove UC-ID or correct scope",IF(AND(G21&lt;&gt;"",NOT(ISNUMBER(G21))),"Target date is not a date",IF(E21="","Requirement missing",IF(I21="","Plan state missing","Check against source"))))))))))))))</f>
        <v/>
      </c>
    </row>
    <row r="22">
      <c r="A22" s="38" t="n"/>
      <c r="B22" s="38" t="n"/>
      <c r="C22" s="38" t="n"/>
      <c r="D22" s="38" t="n"/>
      <c r="E22" s="38" t="n"/>
      <c r="F22" s="38" t="n"/>
      <c r="G22" s="39" t="n"/>
      <c r="H22" s="38" t="n"/>
      <c r="I22" s="38" t="n"/>
      <c r="J22" s="38" t="n"/>
      <c r="K22" s="37" t="n"/>
      <c r="L22" s="37" t="n"/>
      <c r="M22" s="14">
        <f>IF(COUNTA(A22:L22)=0,"",IF(A22="","Plan ID missing",IF(COUNTIF($A$4:$A$353,A22)&gt;1,"Duplicate Plan ID",IF(B22="","AIR-ID missing",IF(C22="","Gate / forum missing",IF(AND(I22="Planned",COUNTIFS($B$4:$B$353,B22,$C$4:$C$353,C22,$K$4:$K$353,K22&amp;"",$I$4:$I$353,"Planned")&gt;1),"More than one active plan for this AIR-ID, UC-ID scope and gate",IF(AND(E22="Not applicable",J22=""),"Not applicable needs rationale and authority ref",IF(AND(E22="Required",F22=""),"Required gate needs basis / triage ref",IF(L22="","Decision scope missing",IF(AND(L22="UC-ID specific",K22=""),"UC-ID required",IF(AND(L22="Shared system baseline",K22&lt;&gt;""),"Remove UC-ID or correct scope",IF(AND(G22&lt;&gt;"",NOT(ISNUMBER(G22))),"Target date is not a date",IF(E22="","Requirement missing",IF(I22="","Plan state missing","Check against source"))))))))))))))</f>
        <v/>
      </c>
    </row>
    <row r="23">
      <c r="A23" s="40" t="n"/>
      <c r="B23" s="40" t="n"/>
      <c r="C23" s="40" t="n"/>
      <c r="D23" s="40" t="n"/>
      <c r="E23" s="40" t="n"/>
      <c r="F23" s="40" t="n"/>
      <c r="G23" s="41" t="n"/>
      <c r="H23" s="40" t="n"/>
      <c r="I23" s="40" t="n"/>
      <c r="J23" s="40" t="n"/>
      <c r="K23" s="37" t="n"/>
      <c r="L23" s="37" t="n"/>
      <c r="M23" s="14">
        <f>IF(COUNTA(A23:L23)=0,"",IF(A23="","Plan ID missing",IF(COUNTIF($A$4:$A$353,A23)&gt;1,"Duplicate Plan ID",IF(B23="","AIR-ID missing",IF(C23="","Gate / forum missing",IF(AND(I23="Planned",COUNTIFS($B$4:$B$353,B23,$C$4:$C$353,C23,$K$4:$K$353,K23&amp;"",$I$4:$I$353,"Planned")&gt;1),"More than one active plan for this AIR-ID, UC-ID scope and gate",IF(AND(E23="Not applicable",J23=""),"Not applicable needs rationale and authority ref",IF(AND(E23="Required",F23=""),"Required gate needs basis / triage ref",IF(L23="","Decision scope missing",IF(AND(L23="UC-ID specific",K23=""),"UC-ID required",IF(AND(L23="Shared system baseline",K23&lt;&gt;""),"Remove UC-ID or correct scope",IF(AND(G23&lt;&gt;"",NOT(ISNUMBER(G23))),"Target date is not a date",IF(E23="","Requirement missing",IF(I23="","Plan state missing","Check against source"))))))))))))))</f>
        <v/>
      </c>
    </row>
    <row r="24">
      <c r="A24" s="38" t="n"/>
      <c r="B24" s="38" t="n"/>
      <c r="C24" s="38" t="n"/>
      <c r="D24" s="38" t="n"/>
      <c r="E24" s="38" t="n"/>
      <c r="F24" s="38" t="n"/>
      <c r="G24" s="39" t="n"/>
      <c r="H24" s="38" t="n"/>
      <c r="I24" s="38" t="n"/>
      <c r="J24" s="38" t="n"/>
      <c r="K24" s="37" t="n"/>
      <c r="L24" s="37" t="n"/>
      <c r="M24" s="14">
        <f>IF(COUNTA(A24:L24)=0,"",IF(A24="","Plan ID missing",IF(COUNTIF($A$4:$A$353,A24)&gt;1,"Duplicate Plan ID",IF(B24="","AIR-ID missing",IF(C24="","Gate / forum missing",IF(AND(I24="Planned",COUNTIFS($B$4:$B$353,B24,$C$4:$C$353,C24,$K$4:$K$353,K24&amp;"",$I$4:$I$353,"Planned")&gt;1),"More than one active plan for this AIR-ID, UC-ID scope and gate",IF(AND(E24="Not applicable",J24=""),"Not applicable needs rationale and authority ref",IF(AND(E24="Required",F24=""),"Required gate needs basis / triage ref",IF(L24="","Decision scope missing",IF(AND(L24="UC-ID specific",K24=""),"UC-ID required",IF(AND(L24="Shared system baseline",K24&lt;&gt;""),"Remove UC-ID or correct scope",IF(AND(G24&lt;&gt;"",NOT(ISNUMBER(G24))),"Target date is not a date",IF(E24="","Requirement missing",IF(I24="","Plan state missing","Check against source"))))))))))))))</f>
        <v/>
      </c>
    </row>
    <row r="25">
      <c r="A25" s="40" t="n"/>
      <c r="B25" s="40" t="n"/>
      <c r="C25" s="40" t="n"/>
      <c r="D25" s="40" t="n"/>
      <c r="E25" s="40" t="n"/>
      <c r="F25" s="40" t="n"/>
      <c r="G25" s="41" t="n"/>
      <c r="H25" s="40" t="n"/>
      <c r="I25" s="40" t="n"/>
      <c r="J25" s="40" t="n"/>
      <c r="K25" s="37" t="n"/>
      <c r="L25" s="37" t="n"/>
      <c r="M25" s="14">
        <f>IF(COUNTA(A25:L25)=0,"",IF(A25="","Plan ID missing",IF(COUNTIF($A$4:$A$353,A25)&gt;1,"Duplicate Plan ID",IF(B25="","AIR-ID missing",IF(C25="","Gate / forum missing",IF(AND(I25="Planned",COUNTIFS($B$4:$B$353,B25,$C$4:$C$353,C25,$K$4:$K$353,K25&amp;"",$I$4:$I$353,"Planned")&gt;1),"More than one active plan for this AIR-ID, UC-ID scope and gate",IF(AND(E25="Not applicable",J25=""),"Not applicable needs rationale and authority ref",IF(AND(E25="Required",F25=""),"Required gate needs basis / triage ref",IF(L25="","Decision scope missing",IF(AND(L25="UC-ID specific",K25=""),"UC-ID required",IF(AND(L25="Shared system baseline",K25&lt;&gt;""),"Remove UC-ID or correct scope",IF(AND(G25&lt;&gt;"",NOT(ISNUMBER(G25))),"Target date is not a date",IF(E25="","Requirement missing",IF(I25="","Plan state missing","Check against source"))))))))))))))</f>
        <v/>
      </c>
    </row>
    <row r="26">
      <c r="A26" s="38" t="n"/>
      <c r="B26" s="38" t="n"/>
      <c r="C26" s="38" t="n"/>
      <c r="D26" s="38" t="n"/>
      <c r="E26" s="38" t="n"/>
      <c r="F26" s="38" t="n"/>
      <c r="G26" s="39" t="n"/>
      <c r="H26" s="38" t="n"/>
      <c r="I26" s="38" t="n"/>
      <c r="J26" s="38" t="n"/>
      <c r="K26" s="37" t="n"/>
      <c r="L26" s="37" t="n"/>
      <c r="M26" s="14">
        <f>IF(COUNTA(A26:L26)=0,"",IF(A26="","Plan ID missing",IF(COUNTIF($A$4:$A$353,A26)&gt;1,"Duplicate Plan ID",IF(B26="","AIR-ID missing",IF(C26="","Gate / forum missing",IF(AND(I26="Planned",COUNTIFS($B$4:$B$353,B26,$C$4:$C$353,C26,$K$4:$K$353,K26&amp;"",$I$4:$I$353,"Planned")&gt;1),"More than one active plan for this AIR-ID, UC-ID scope and gate",IF(AND(E26="Not applicable",J26=""),"Not applicable needs rationale and authority ref",IF(AND(E26="Required",F26=""),"Required gate needs basis / triage ref",IF(L26="","Decision scope missing",IF(AND(L26="UC-ID specific",K26=""),"UC-ID required",IF(AND(L26="Shared system baseline",K26&lt;&gt;""),"Remove UC-ID or correct scope",IF(AND(G26&lt;&gt;"",NOT(ISNUMBER(G26))),"Target date is not a date",IF(E26="","Requirement missing",IF(I26="","Plan state missing","Check against source"))))))))))))))</f>
        <v/>
      </c>
    </row>
    <row r="27">
      <c r="A27" s="40" t="n"/>
      <c r="B27" s="40" t="n"/>
      <c r="C27" s="40" t="n"/>
      <c r="D27" s="40" t="n"/>
      <c r="E27" s="40" t="n"/>
      <c r="F27" s="40" t="n"/>
      <c r="G27" s="41" t="n"/>
      <c r="H27" s="40" t="n"/>
      <c r="I27" s="40" t="n"/>
      <c r="J27" s="40" t="n"/>
      <c r="K27" s="37" t="n"/>
      <c r="L27" s="37" t="n"/>
      <c r="M27" s="14">
        <f>IF(COUNTA(A27:L27)=0,"",IF(A27="","Plan ID missing",IF(COUNTIF($A$4:$A$353,A27)&gt;1,"Duplicate Plan ID",IF(B27="","AIR-ID missing",IF(C27="","Gate / forum missing",IF(AND(I27="Planned",COUNTIFS($B$4:$B$353,B27,$C$4:$C$353,C27,$K$4:$K$353,K27&amp;"",$I$4:$I$353,"Planned")&gt;1),"More than one active plan for this AIR-ID, UC-ID scope and gate",IF(AND(E27="Not applicable",J27=""),"Not applicable needs rationale and authority ref",IF(AND(E27="Required",F27=""),"Required gate needs basis / triage ref",IF(L27="","Decision scope missing",IF(AND(L27="UC-ID specific",K27=""),"UC-ID required",IF(AND(L27="Shared system baseline",K27&lt;&gt;""),"Remove UC-ID or correct scope",IF(AND(G27&lt;&gt;"",NOT(ISNUMBER(G27))),"Target date is not a date",IF(E27="","Requirement missing",IF(I27="","Plan state missing","Check against source"))))))))))))))</f>
        <v/>
      </c>
    </row>
    <row r="28">
      <c r="A28" s="38" t="n"/>
      <c r="B28" s="38" t="n"/>
      <c r="C28" s="38" t="n"/>
      <c r="D28" s="38" t="n"/>
      <c r="E28" s="38" t="n"/>
      <c r="F28" s="38" t="n"/>
      <c r="G28" s="39" t="n"/>
      <c r="H28" s="38" t="n"/>
      <c r="I28" s="38" t="n"/>
      <c r="J28" s="38" t="n"/>
      <c r="K28" s="37" t="n"/>
      <c r="L28" s="37" t="n"/>
      <c r="M28" s="14">
        <f>IF(COUNTA(A28:L28)=0,"",IF(A28="","Plan ID missing",IF(COUNTIF($A$4:$A$353,A28)&gt;1,"Duplicate Plan ID",IF(B28="","AIR-ID missing",IF(C28="","Gate / forum missing",IF(AND(I28="Planned",COUNTIFS($B$4:$B$353,B28,$C$4:$C$353,C28,$K$4:$K$353,K28&amp;"",$I$4:$I$353,"Planned")&gt;1),"More than one active plan for this AIR-ID, UC-ID scope and gate",IF(AND(E28="Not applicable",J28=""),"Not applicable needs rationale and authority ref",IF(AND(E28="Required",F28=""),"Required gate needs basis / triage ref",IF(L28="","Decision scope missing",IF(AND(L28="UC-ID specific",K28=""),"UC-ID required",IF(AND(L28="Shared system baseline",K28&lt;&gt;""),"Remove UC-ID or correct scope",IF(AND(G28&lt;&gt;"",NOT(ISNUMBER(G28))),"Target date is not a date",IF(E28="","Requirement missing",IF(I28="","Plan state missing","Check against source"))))))))))))))</f>
        <v/>
      </c>
    </row>
    <row r="29">
      <c r="A29" s="40" t="n"/>
      <c r="B29" s="40" t="n"/>
      <c r="C29" s="40" t="n"/>
      <c r="D29" s="40" t="n"/>
      <c r="E29" s="40" t="n"/>
      <c r="F29" s="40" t="n"/>
      <c r="G29" s="41" t="n"/>
      <c r="H29" s="40" t="n"/>
      <c r="I29" s="40" t="n"/>
      <c r="J29" s="40" t="n"/>
      <c r="K29" s="37" t="n"/>
      <c r="L29" s="37" t="n"/>
      <c r="M29" s="14">
        <f>IF(COUNTA(A29:L29)=0,"",IF(A29="","Plan ID missing",IF(COUNTIF($A$4:$A$353,A29)&gt;1,"Duplicate Plan ID",IF(B29="","AIR-ID missing",IF(C29="","Gate / forum missing",IF(AND(I29="Planned",COUNTIFS($B$4:$B$353,B29,$C$4:$C$353,C29,$K$4:$K$353,K29&amp;"",$I$4:$I$353,"Planned")&gt;1),"More than one active plan for this AIR-ID, UC-ID scope and gate",IF(AND(E29="Not applicable",J29=""),"Not applicable needs rationale and authority ref",IF(AND(E29="Required",F29=""),"Required gate needs basis / triage ref",IF(L29="","Decision scope missing",IF(AND(L29="UC-ID specific",K29=""),"UC-ID required",IF(AND(L29="Shared system baseline",K29&lt;&gt;""),"Remove UC-ID or correct scope",IF(AND(G29&lt;&gt;"",NOT(ISNUMBER(G29))),"Target date is not a date",IF(E29="","Requirement missing",IF(I29="","Plan state missing","Check against source"))))))))))))))</f>
        <v/>
      </c>
    </row>
    <row r="30">
      <c r="A30" s="38" t="n"/>
      <c r="B30" s="38" t="n"/>
      <c r="C30" s="38" t="n"/>
      <c r="D30" s="38" t="n"/>
      <c r="E30" s="38" t="n"/>
      <c r="F30" s="38" t="n"/>
      <c r="G30" s="39" t="n"/>
      <c r="H30" s="38" t="n"/>
      <c r="I30" s="38" t="n"/>
      <c r="J30" s="38" t="n"/>
      <c r="K30" s="37" t="n"/>
      <c r="L30" s="37" t="n"/>
      <c r="M30" s="14">
        <f>IF(COUNTA(A30:L30)=0,"",IF(A30="","Plan ID missing",IF(COUNTIF($A$4:$A$353,A30)&gt;1,"Duplicate Plan ID",IF(B30="","AIR-ID missing",IF(C30="","Gate / forum missing",IF(AND(I30="Planned",COUNTIFS($B$4:$B$353,B30,$C$4:$C$353,C30,$K$4:$K$353,K30&amp;"",$I$4:$I$353,"Planned")&gt;1),"More than one active plan for this AIR-ID, UC-ID scope and gate",IF(AND(E30="Not applicable",J30=""),"Not applicable needs rationale and authority ref",IF(AND(E30="Required",F30=""),"Required gate needs basis / triage ref",IF(L30="","Decision scope missing",IF(AND(L30="UC-ID specific",K30=""),"UC-ID required",IF(AND(L30="Shared system baseline",K30&lt;&gt;""),"Remove UC-ID or correct scope",IF(AND(G30&lt;&gt;"",NOT(ISNUMBER(G30))),"Target date is not a date",IF(E30="","Requirement missing",IF(I30="","Plan state missing","Check against source"))))))))))))))</f>
        <v/>
      </c>
    </row>
    <row r="31">
      <c r="A31" s="40" t="n"/>
      <c r="B31" s="40" t="n"/>
      <c r="C31" s="40" t="n"/>
      <c r="D31" s="40" t="n"/>
      <c r="E31" s="40" t="n"/>
      <c r="F31" s="40" t="n"/>
      <c r="G31" s="41" t="n"/>
      <c r="H31" s="40" t="n"/>
      <c r="I31" s="40" t="n"/>
      <c r="J31" s="40" t="n"/>
      <c r="K31" s="37" t="n"/>
      <c r="L31" s="37" t="n"/>
      <c r="M31" s="14">
        <f>IF(COUNTA(A31:L31)=0,"",IF(A31="","Plan ID missing",IF(COUNTIF($A$4:$A$353,A31)&gt;1,"Duplicate Plan ID",IF(B31="","AIR-ID missing",IF(C31="","Gate / forum missing",IF(AND(I31="Planned",COUNTIFS($B$4:$B$353,B31,$C$4:$C$353,C31,$K$4:$K$353,K31&amp;"",$I$4:$I$353,"Planned")&gt;1),"More than one active plan for this AIR-ID, UC-ID scope and gate",IF(AND(E31="Not applicable",J31=""),"Not applicable needs rationale and authority ref",IF(AND(E31="Required",F31=""),"Required gate needs basis / triage ref",IF(L31="","Decision scope missing",IF(AND(L31="UC-ID specific",K31=""),"UC-ID required",IF(AND(L31="Shared system baseline",K31&lt;&gt;""),"Remove UC-ID or correct scope",IF(AND(G31&lt;&gt;"",NOT(ISNUMBER(G31))),"Target date is not a date",IF(E31="","Requirement missing",IF(I31="","Plan state missing","Check against source"))))))))))))))</f>
        <v/>
      </c>
    </row>
    <row r="32">
      <c r="A32" s="38" t="n"/>
      <c r="B32" s="38" t="n"/>
      <c r="C32" s="38" t="n"/>
      <c r="D32" s="38" t="n"/>
      <c r="E32" s="38" t="n"/>
      <c r="F32" s="38" t="n"/>
      <c r="G32" s="39" t="n"/>
      <c r="H32" s="38" t="n"/>
      <c r="I32" s="38" t="n"/>
      <c r="J32" s="38" t="n"/>
      <c r="K32" s="37" t="n"/>
      <c r="L32" s="37" t="n"/>
      <c r="M32" s="14">
        <f>IF(COUNTA(A32:L32)=0,"",IF(A32="","Plan ID missing",IF(COUNTIF($A$4:$A$353,A32)&gt;1,"Duplicate Plan ID",IF(B32="","AIR-ID missing",IF(C32="","Gate / forum missing",IF(AND(I32="Planned",COUNTIFS($B$4:$B$353,B32,$C$4:$C$353,C32,$K$4:$K$353,K32&amp;"",$I$4:$I$353,"Planned")&gt;1),"More than one active plan for this AIR-ID, UC-ID scope and gate",IF(AND(E32="Not applicable",J32=""),"Not applicable needs rationale and authority ref",IF(AND(E32="Required",F32=""),"Required gate needs basis / triage ref",IF(L32="","Decision scope missing",IF(AND(L32="UC-ID specific",K32=""),"UC-ID required",IF(AND(L32="Shared system baseline",K32&lt;&gt;""),"Remove UC-ID or correct scope",IF(AND(G32&lt;&gt;"",NOT(ISNUMBER(G32))),"Target date is not a date",IF(E32="","Requirement missing",IF(I32="","Plan state missing","Check against source"))))))))))))))</f>
        <v/>
      </c>
    </row>
    <row r="33">
      <c r="A33" s="40" t="n"/>
      <c r="B33" s="40" t="n"/>
      <c r="C33" s="40" t="n"/>
      <c r="D33" s="40" t="n"/>
      <c r="E33" s="40" t="n"/>
      <c r="F33" s="40" t="n"/>
      <c r="G33" s="41" t="n"/>
      <c r="H33" s="40" t="n"/>
      <c r="I33" s="40" t="n"/>
      <c r="J33" s="40" t="n"/>
      <c r="K33" s="37" t="n"/>
      <c r="L33" s="37" t="n"/>
      <c r="M33" s="14">
        <f>IF(COUNTA(A33:L33)=0,"",IF(A33="","Plan ID missing",IF(COUNTIF($A$4:$A$353,A33)&gt;1,"Duplicate Plan ID",IF(B33="","AIR-ID missing",IF(C33="","Gate / forum missing",IF(AND(I33="Planned",COUNTIFS($B$4:$B$353,B33,$C$4:$C$353,C33,$K$4:$K$353,K33&amp;"",$I$4:$I$353,"Planned")&gt;1),"More than one active plan for this AIR-ID, UC-ID scope and gate",IF(AND(E33="Not applicable",J33=""),"Not applicable needs rationale and authority ref",IF(AND(E33="Required",F33=""),"Required gate needs basis / triage ref",IF(L33="","Decision scope missing",IF(AND(L33="UC-ID specific",K33=""),"UC-ID required",IF(AND(L33="Shared system baseline",K33&lt;&gt;""),"Remove UC-ID or correct scope",IF(AND(G33&lt;&gt;"",NOT(ISNUMBER(G33))),"Target date is not a date",IF(E33="","Requirement missing",IF(I33="","Plan state missing","Check against source"))))))))))))))</f>
        <v/>
      </c>
    </row>
    <row r="34">
      <c r="A34" s="38" t="n"/>
      <c r="B34" s="38" t="n"/>
      <c r="C34" s="38" t="n"/>
      <c r="D34" s="38" t="n"/>
      <c r="E34" s="38" t="n"/>
      <c r="F34" s="38" t="n"/>
      <c r="G34" s="39" t="n"/>
      <c r="H34" s="38" t="n"/>
      <c r="I34" s="38" t="n"/>
      <c r="J34" s="38" t="n"/>
      <c r="K34" s="37" t="n"/>
      <c r="L34" s="37" t="n"/>
      <c r="M34" s="14">
        <f>IF(COUNTA(A34:L34)=0,"",IF(A34="","Plan ID missing",IF(COUNTIF($A$4:$A$353,A34)&gt;1,"Duplicate Plan ID",IF(B34="","AIR-ID missing",IF(C34="","Gate / forum missing",IF(AND(I34="Planned",COUNTIFS($B$4:$B$353,B34,$C$4:$C$353,C34,$K$4:$K$353,K34&amp;"",$I$4:$I$353,"Planned")&gt;1),"More than one active plan for this AIR-ID, UC-ID scope and gate",IF(AND(E34="Not applicable",J34=""),"Not applicable needs rationale and authority ref",IF(AND(E34="Required",F34=""),"Required gate needs basis / triage ref",IF(L34="","Decision scope missing",IF(AND(L34="UC-ID specific",K34=""),"UC-ID required",IF(AND(L34="Shared system baseline",K34&lt;&gt;""),"Remove UC-ID or correct scope",IF(AND(G34&lt;&gt;"",NOT(ISNUMBER(G34))),"Target date is not a date",IF(E34="","Requirement missing",IF(I34="","Plan state missing","Check against source"))))))))))))))</f>
        <v/>
      </c>
    </row>
    <row r="35">
      <c r="A35" s="40" t="n"/>
      <c r="B35" s="40" t="n"/>
      <c r="C35" s="40" t="n"/>
      <c r="D35" s="40" t="n"/>
      <c r="E35" s="40" t="n"/>
      <c r="F35" s="40" t="n"/>
      <c r="G35" s="41" t="n"/>
      <c r="H35" s="40" t="n"/>
      <c r="I35" s="40" t="n"/>
      <c r="J35" s="40" t="n"/>
      <c r="K35" s="37" t="n"/>
      <c r="L35" s="37" t="n"/>
      <c r="M35" s="14">
        <f>IF(COUNTA(A35:L35)=0,"",IF(A35="","Plan ID missing",IF(COUNTIF($A$4:$A$353,A35)&gt;1,"Duplicate Plan ID",IF(B35="","AIR-ID missing",IF(C35="","Gate / forum missing",IF(AND(I35="Planned",COUNTIFS($B$4:$B$353,B35,$C$4:$C$353,C35,$K$4:$K$353,K35&amp;"",$I$4:$I$353,"Planned")&gt;1),"More than one active plan for this AIR-ID, UC-ID scope and gate",IF(AND(E35="Not applicable",J35=""),"Not applicable needs rationale and authority ref",IF(AND(E35="Required",F35=""),"Required gate needs basis / triage ref",IF(L35="","Decision scope missing",IF(AND(L35="UC-ID specific",K35=""),"UC-ID required",IF(AND(L35="Shared system baseline",K35&lt;&gt;""),"Remove UC-ID or correct scope",IF(AND(G35&lt;&gt;"",NOT(ISNUMBER(G35))),"Target date is not a date",IF(E35="","Requirement missing",IF(I35="","Plan state missing","Check against source"))))))))))))))</f>
        <v/>
      </c>
    </row>
    <row r="36">
      <c r="A36" s="38" t="n"/>
      <c r="B36" s="38" t="n"/>
      <c r="C36" s="38" t="n"/>
      <c r="D36" s="38" t="n"/>
      <c r="E36" s="38" t="n"/>
      <c r="F36" s="38" t="n"/>
      <c r="G36" s="39" t="n"/>
      <c r="H36" s="38" t="n"/>
      <c r="I36" s="38" t="n"/>
      <c r="J36" s="38" t="n"/>
      <c r="K36" s="37" t="n"/>
      <c r="L36" s="37" t="n"/>
      <c r="M36" s="14">
        <f>IF(COUNTA(A36:L36)=0,"",IF(A36="","Plan ID missing",IF(COUNTIF($A$4:$A$353,A36)&gt;1,"Duplicate Plan ID",IF(B36="","AIR-ID missing",IF(C36="","Gate / forum missing",IF(AND(I36="Planned",COUNTIFS($B$4:$B$353,B36,$C$4:$C$353,C36,$K$4:$K$353,K36&amp;"",$I$4:$I$353,"Planned")&gt;1),"More than one active plan for this AIR-ID, UC-ID scope and gate",IF(AND(E36="Not applicable",J36=""),"Not applicable needs rationale and authority ref",IF(AND(E36="Required",F36=""),"Required gate needs basis / triage ref",IF(L36="","Decision scope missing",IF(AND(L36="UC-ID specific",K36=""),"UC-ID required",IF(AND(L36="Shared system baseline",K36&lt;&gt;""),"Remove UC-ID or correct scope",IF(AND(G36&lt;&gt;"",NOT(ISNUMBER(G36))),"Target date is not a date",IF(E36="","Requirement missing",IF(I36="","Plan state missing","Check against source"))))))))))))))</f>
        <v/>
      </c>
    </row>
    <row r="37">
      <c r="A37" s="40" t="n"/>
      <c r="B37" s="40" t="n"/>
      <c r="C37" s="40" t="n"/>
      <c r="D37" s="40" t="n"/>
      <c r="E37" s="40" t="n"/>
      <c r="F37" s="40" t="n"/>
      <c r="G37" s="41" t="n"/>
      <c r="H37" s="40" t="n"/>
      <c r="I37" s="40" t="n"/>
      <c r="J37" s="40" t="n"/>
      <c r="K37" s="37" t="n"/>
      <c r="L37" s="37" t="n"/>
      <c r="M37" s="14">
        <f>IF(COUNTA(A37:L37)=0,"",IF(A37="","Plan ID missing",IF(COUNTIF($A$4:$A$353,A37)&gt;1,"Duplicate Plan ID",IF(B37="","AIR-ID missing",IF(C37="","Gate / forum missing",IF(AND(I37="Planned",COUNTIFS($B$4:$B$353,B37,$C$4:$C$353,C37,$K$4:$K$353,K37&amp;"",$I$4:$I$353,"Planned")&gt;1),"More than one active plan for this AIR-ID, UC-ID scope and gate",IF(AND(E37="Not applicable",J37=""),"Not applicable needs rationale and authority ref",IF(AND(E37="Required",F37=""),"Required gate needs basis / triage ref",IF(L37="","Decision scope missing",IF(AND(L37="UC-ID specific",K37=""),"UC-ID required",IF(AND(L37="Shared system baseline",K37&lt;&gt;""),"Remove UC-ID or correct scope",IF(AND(G37&lt;&gt;"",NOT(ISNUMBER(G37))),"Target date is not a date",IF(E37="","Requirement missing",IF(I37="","Plan state missing","Check against source"))))))))))))))</f>
        <v/>
      </c>
    </row>
    <row r="38">
      <c r="A38" s="38" t="n"/>
      <c r="B38" s="38" t="n"/>
      <c r="C38" s="38" t="n"/>
      <c r="D38" s="38" t="n"/>
      <c r="E38" s="38" t="n"/>
      <c r="F38" s="38" t="n"/>
      <c r="G38" s="39" t="n"/>
      <c r="H38" s="38" t="n"/>
      <c r="I38" s="38" t="n"/>
      <c r="J38" s="38" t="n"/>
      <c r="K38" s="37" t="n"/>
      <c r="L38" s="37" t="n"/>
      <c r="M38" s="14">
        <f>IF(COUNTA(A38:L38)=0,"",IF(A38="","Plan ID missing",IF(COUNTIF($A$4:$A$353,A38)&gt;1,"Duplicate Plan ID",IF(B38="","AIR-ID missing",IF(C38="","Gate / forum missing",IF(AND(I38="Planned",COUNTIFS($B$4:$B$353,B38,$C$4:$C$353,C38,$K$4:$K$353,K38&amp;"",$I$4:$I$353,"Planned")&gt;1),"More than one active plan for this AIR-ID, UC-ID scope and gate",IF(AND(E38="Not applicable",J38=""),"Not applicable needs rationale and authority ref",IF(AND(E38="Required",F38=""),"Required gate needs basis / triage ref",IF(L38="","Decision scope missing",IF(AND(L38="UC-ID specific",K38=""),"UC-ID required",IF(AND(L38="Shared system baseline",K38&lt;&gt;""),"Remove UC-ID or correct scope",IF(AND(G38&lt;&gt;"",NOT(ISNUMBER(G38))),"Target date is not a date",IF(E38="","Requirement missing",IF(I38="","Plan state missing","Check against source"))))))))))))))</f>
        <v/>
      </c>
    </row>
    <row r="39">
      <c r="A39" s="40" t="n"/>
      <c r="B39" s="40" t="n"/>
      <c r="C39" s="40" t="n"/>
      <c r="D39" s="40" t="n"/>
      <c r="E39" s="40" t="n"/>
      <c r="F39" s="40" t="n"/>
      <c r="G39" s="41" t="n"/>
      <c r="H39" s="40" t="n"/>
      <c r="I39" s="40" t="n"/>
      <c r="J39" s="40" t="n"/>
      <c r="K39" s="37" t="n"/>
      <c r="L39" s="37" t="n"/>
      <c r="M39" s="14">
        <f>IF(COUNTA(A39:L39)=0,"",IF(A39="","Plan ID missing",IF(COUNTIF($A$4:$A$353,A39)&gt;1,"Duplicate Plan ID",IF(B39="","AIR-ID missing",IF(C39="","Gate / forum missing",IF(AND(I39="Planned",COUNTIFS($B$4:$B$353,B39,$C$4:$C$353,C39,$K$4:$K$353,K39&amp;"",$I$4:$I$353,"Planned")&gt;1),"More than one active plan for this AIR-ID, UC-ID scope and gate",IF(AND(E39="Not applicable",J39=""),"Not applicable needs rationale and authority ref",IF(AND(E39="Required",F39=""),"Required gate needs basis / triage ref",IF(L39="","Decision scope missing",IF(AND(L39="UC-ID specific",K39=""),"UC-ID required",IF(AND(L39="Shared system baseline",K39&lt;&gt;""),"Remove UC-ID or correct scope",IF(AND(G39&lt;&gt;"",NOT(ISNUMBER(G39))),"Target date is not a date",IF(E39="","Requirement missing",IF(I39="","Plan state missing","Check against source"))))))))))))))</f>
        <v/>
      </c>
    </row>
    <row r="40">
      <c r="A40" s="38" t="n"/>
      <c r="B40" s="38" t="n"/>
      <c r="C40" s="38" t="n"/>
      <c r="D40" s="38" t="n"/>
      <c r="E40" s="38" t="n"/>
      <c r="F40" s="38" t="n"/>
      <c r="G40" s="39" t="n"/>
      <c r="H40" s="38" t="n"/>
      <c r="I40" s="38" t="n"/>
      <c r="J40" s="38" t="n"/>
      <c r="K40" s="37" t="n"/>
      <c r="L40" s="37" t="n"/>
      <c r="M40" s="14">
        <f>IF(COUNTA(A40:L40)=0,"",IF(A40="","Plan ID missing",IF(COUNTIF($A$4:$A$353,A40)&gt;1,"Duplicate Plan ID",IF(B40="","AIR-ID missing",IF(C40="","Gate / forum missing",IF(AND(I40="Planned",COUNTIFS($B$4:$B$353,B40,$C$4:$C$353,C40,$K$4:$K$353,K40&amp;"",$I$4:$I$353,"Planned")&gt;1),"More than one active plan for this AIR-ID, UC-ID scope and gate",IF(AND(E40="Not applicable",J40=""),"Not applicable needs rationale and authority ref",IF(AND(E40="Required",F40=""),"Required gate needs basis / triage ref",IF(L40="","Decision scope missing",IF(AND(L40="UC-ID specific",K40=""),"UC-ID required",IF(AND(L40="Shared system baseline",K40&lt;&gt;""),"Remove UC-ID or correct scope",IF(AND(G40&lt;&gt;"",NOT(ISNUMBER(G40))),"Target date is not a date",IF(E40="","Requirement missing",IF(I40="","Plan state missing","Check against source"))))))))))))))</f>
        <v/>
      </c>
    </row>
    <row r="41">
      <c r="A41" s="40" t="n"/>
      <c r="B41" s="40" t="n"/>
      <c r="C41" s="40" t="n"/>
      <c r="D41" s="40" t="n"/>
      <c r="E41" s="40" t="n"/>
      <c r="F41" s="40" t="n"/>
      <c r="G41" s="41" t="n"/>
      <c r="H41" s="40" t="n"/>
      <c r="I41" s="40" t="n"/>
      <c r="J41" s="40" t="n"/>
      <c r="K41" s="37" t="n"/>
      <c r="L41" s="37" t="n"/>
      <c r="M41" s="14">
        <f>IF(COUNTA(A41:L41)=0,"",IF(A41="","Plan ID missing",IF(COUNTIF($A$4:$A$353,A41)&gt;1,"Duplicate Plan ID",IF(B41="","AIR-ID missing",IF(C41="","Gate / forum missing",IF(AND(I41="Planned",COUNTIFS($B$4:$B$353,B41,$C$4:$C$353,C41,$K$4:$K$353,K41&amp;"",$I$4:$I$353,"Planned")&gt;1),"More than one active plan for this AIR-ID, UC-ID scope and gate",IF(AND(E41="Not applicable",J41=""),"Not applicable needs rationale and authority ref",IF(AND(E41="Required",F41=""),"Required gate needs basis / triage ref",IF(L41="","Decision scope missing",IF(AND(L41="UC-ID specific",K41=""),"UC-ID required",IF(AND(L41="Shared system baseline",K41&lt;&gt;""),"Remove UC-ID or correct scope",IF(AND(G41&lt;&gt;"",NOT(ISNUMBER(G41))),"Target date is not a date",IF(E41="","Requirement missing",IF(I41="","Plan state missing","Check against source"))))))))))))))</f>
        <v/>
      </c>
    </row>
    <row r="42">
      <c r="A42" s="38" t="n"/>
      <c r="B42" s="38" t="n"/>
      <c r="C42" s="38" t="n"/>
      <c r="D42" s="38" t="n"/>
      <c r="E42" s="38" t="n"/>
      <c r="F42" s="38" t="n"/>
      <c r="G42" s="39" t="n"/>
      <c r="H42" s="38" t="n"/>
      <c r="I42" s="38" t="n"/>
      <c r="J42" s="38" t="n"/>
      <c r="K42" s="37" t="n"/>
      <c r="L42" s="37" t="n"/>
      <c r="M42" s="14">
        <f>IF(COUNTA(A42:L42)=0,"",IF(A42="","Plan ID missing",IF(COUNTIF($A$4:$A$353,A42)&gt;1,"Duplicate Plan ID",IF(B42="","AIR-ID missing",IF(C42="","Gate / forum missing",IF(AND(I42="Planned",COUNTIFS($B$4:$B$353,B42,$C$4:$C$353,C42,$K$4:$K$353,K42&amp;"",$I$4:$I$353,"Planned")&gt;1),"More than one active plan for this AIR-ID, UC-ID scope and gate",IF(AND(E42="Not applicable",J42=""),"Not applicable needs rationale and authority ref",IF(AND(E42="Required",F42=""),"Required gate needs basis / triage ref",IF(L42="","Decision scope missing",IF(AND(L42="UC-ID specific",K42=""),"UC-ID required",IF(AND(L42="Shared system baseline",K42&lt;&gt;""),"Remove UC-ID or correct scope",IF(AND(G42&lt;&gt;"",NOT(ISNUMBER(G42))),"Target date is not a date",IF(E42="","Requirement missing",IF(I42="","Plan state missing","Check against source"))))))))))))))</f>
        <v/>
      </c>
    </row>
    <row r="43">
      <c r="A43" s="40" t="n"/>
      <c r="B43" s="40" t="n"/>
      <c r="C43" s="40" t="n"/>
      <c r="D43" s="40" t="n"/>
      <c r="E43" s="40" t="n"/>
      <c r="F43" s="40" t="n"/>
      <c r="G43" s="41" t="n"/>
      <c r="H43" s="40" t="n"/>
      <c r="I43" s="40" t="n"/>
      <c r="J43" s="40" t="n"/>
      <c r="K43" s="37" t="n"/>
      <c r="L43" s="37" t="n"/>
      <c r="M43" s="14">
        <f>IF(COUNTA(A43:L43)=0,"",IF(A43="","Plan ID missing",IF(COUNTIF($A$4:$A$353,A43)&gt;1,"Duplicate Plan ID",IF(B43="","AIR-ID missing",IF(C43="","Gate / forum missing",IF(AND(I43="Planned",COUNTIFS($B$4:$B$353,B43,$C$4:$C$353,C43,$K$4:$K$353,K43&amp;"",$I$4:$I$353,"Planned")&gt;1),"More than one active plan for this AIR-ID, UC-ID scope and gate",IF(AND(E43="Not applicable",J43=""),"Not applicable needs rationale and authority ref",IF(AND(E43="Required",F43=""),"Required gate needs basis / triage ref",IF(L43="","Decision scope missing",IF(AND(L43="UC-ID specific",K43=""),"UC-ID required",IF(AND(L43="Shared system baseline",K43&lt;&gt;""),"Remove UC-ID or correct scope",IF(AND(G43&lt;&gt;"",NOT(ISNUMBER(G43))),"Target date is not a date",IF(E43="","Requirement missing",IF(I43="","Plan state missing","Check against source"))))))))))))))</f>
        <v/>
      </c>
    </row>
    <row r="44">
      <c r="A44" s="38" t="n"/>
      <c r="B44" s="38" t="n"/>
      <c r="C44" s="38" t="n"/>
      <c r="D44" s="38" t="n"/>
      <c r="E44" s="38" t="n"/>
      <c r="F44" s="38" t="n"/>
      <c r="G44" s="39" t="n"/>
      <c r="H44" s="38" t="n"/>
      <c r="I44" s="38" t="n"/>
      <c r="J44" s="38" t="n"/>
      <c r="K44" s="37" t="n"/>
      <c r="L44" s="37" t="n"/>
      <c r="M44" s="14">
        <f>IF(COUNTA(A44:L44)=0,"",IF(A44="","Plan ID missing",IF(COUNTIF($A$4:$A$353,A44)&gt;1,"Duplicate Plan ID",IF(B44="","AIR-ID missing",IF(C44="","Gate / forum missing",IF(AND(I44="Planned",COUNTIFS($B$4:$B$353,B44,$C$4:$C$353,C44,$K$4:$K$353,K44&amp;"",$I$4:$I$353,"Planned")&gt;1),"More than one active plan for this AIR-ID, UC-ID scope and gate",IF(AND(E44="Not applicable",J44=""),"Not applicable needs rationale and authority ref",IF(AND(E44="Required",F44=""),"Required gate needs basis / triage ref",IF(L44="","Decision scope missing",IF(AND(L44="UC-ID specific",K44=""),"UC-ID required",IF(AND(L44="Shared system baseline",K44&lt;&gt;""),"Remove UC-ID or correct scope",IF(AND(G44&lt;&gt;"",NOT(ISNUMBER(G44))),"Target date is not a date",IF(E44="","Requirement missing",IF(I44="","Plan state missing","Check against source"))))))))))))))</f>
        <v/>
      </c>
    </row>
    <row r="45">
      <c r="A45" s="40" t="n"/>
      <c r="B45" s="40" t="n"/>
      <c r="C45" s="40" t="n"/>
      <c r="D45" s="40" t="n"/>
      <c r="E45" s="40" t="n"/>
      <c r="F45" s="40" t="n"/>
      <c r="G45" s="41" t="n"/>
      <c r="H45" s="40" t="n"/>
      <c r="I45" s="40" t="n"/>
      <c r="J45" s="40" t="n"/>
      <c r="K45" s="37" t="n"/>
      <c r="L45" s="37" t="n"/>
      <c r="M45" s="14">
        <f>IF(COUNTA(A45:L45)=0,"",IF(A45="","Plan ID missing",IF(COUNTIF($A$4:$A$353,A45)&gt;1,"Duplicate Plan ID",IF(B45="","AIR-ID missing",IF(C45="","Gate / forum missing",IF(AND(I45="Planned",COUNTIFS($B$4:$B$353,B45,$C$4:$C$353,C45,$K$4:$K$353,K45&amp;"",$I$4:$I$353,"Planned")&gt;1),"More than one active plan for this AIR-ID, UC-ID scope and gate",IF(AND(E45="Not applicable",J45=""),"Not applicable needs rationale and authority ref",IF(AND(E45="Required",F45=""),"Required gate needs basis / triage ref",IF(L45="","Decision scope missing",IF(AND(L45="UC-ID specific",K45=""),"UC-ID required",IF(AND(L45="Shared system baseline",K45&lt;&gt;""),"Remove UC-ID or correct scope",IF(AND(G45&lt;&gt;"",NOT(ISNUMBER(G45))),"Target date is not a date",IF(E45="","Requirement missing",IF(I45="","Plan state missing","Check against source"))))))))))))))</f>
        <v/>
      </c>
    </row>
    <row r="46">
      <c r="A46" s="38" t="n"/>
      <c r="B46" s="38" t="n"/>
      <c r="C46" s="38" t="n"/>
      <c r="D46" s="38" t="n"/>
      <c r="E46" s="38" t="n"/>
      <c r="F46" s="38" t="n"/>
      <c r="G46" s="39" t="n"/>
      <c r="H46" s="38" t="n"/>
      <c r="I46" s="38" t="n"/>
      <c r="J46" s="38" t="n"/>
      <c r="K46" s="37" t="n"/>
      <c r="L46" s="37" t="n"/>
      <c r="M46" s="14">
        <f>IF(COUNTA(A46:L46)=0,"",IF(A46="","Plan ID missing",IF(COUNTIF($A$4:$A$353,A46)&gt;1,"Duplicate Plan ID",IF(B46="","AIR-ID missing",IF(C46="","Gate / forum missing",IF(AND(I46="Planned",COUNTIFS($B$4:$B$353,B46,$C$4:$C$353,C46,$K$4:$K$353,K46&amp;"",$I$4:$I$353,"Planned")&gt;1),"More than one active plan for this AIR-ID, UC-ID scope and gate",IF(AND(E46="Not applicable",J46=""),"Not applicable needs rationale and authority ref",IF(AND(E46="Required",F46=""),"Required gate needs basis / triage ref",IF(L46="","Decision scope missing",IF(AND(L46="UC-ID specific",K46=""),"UC-ID required",IF(AND(L46="Shared system baseline",K46&lt;&gt;""),"Remove UC-ID or correct scope",IF(AND(G46&lt;&gt;"",NOT(ISNUMBER(G46))),"Target date is not a date",IF(E46="","Requirement missing",IF(I46="","Plan state missing","Check against source"))))))))))))))</f>
        <v/>
      </c>
    </row>
    <row r="47">
      <c r="A47" s="40" t="n"/>
      <c r="B47" s="40" t="n"/>
      <c r="C47" s="40" t="n"/>
      <c r="D47" s="40" t="n"/>
      <c r="E47" s="40" t="n"/>
      <c r="F47" s="40" t="n"/>
      <c r="G47" s="41" t="n"/>
      <c r="H47" s="40" t="n"/>
      <c r="I47" s="40" t="n"/>
      <c r="J47" s="40" t="n"/>
      <c r="K47" s="37" t="n"/>
      <c r="L47" s="37" t="n"/>
      <c r="M47" s="14">
        <f>IF(COUNTA(A47:L47)=0,"",IF(A47="","Plan ID missing",IF(COUNTIF($A$4:$A$353,A47)&gt;1,"Duplicate Plan ID",IF(B47="","AIR-ID missing",IF(C47="","Gate / forum missing",IF(AND(I47="Planned",COUNTIFS($B$4:$B$353,B47,$C$4:$C$353,C47,$K$4:$K$353,K47&amp;"",$I$4:$I$353,"Planned")&gt;1),"More than one active plan for this AIR-ID, UC-ID scope and gate",IF(AND(E47="Not applicable",J47=""),"Not applicable needs rationale and authority ref",IF(AND(E47="Required",F47=""),"Required gate needs basis / triage ref",IF(L47="","Decision scope missing",IF(AND(L47="UC-ID specific",K47=""),"UC-ID required",IF(AND(L47="Shared system baseline",K47&lt;&gt;""),"Remove UC-ID or correct scope",IF(AND(G47&lt;&gt;"",NOT(ISNUMBER(G47))),"Target date is not a date",IF(E47="","Requirement missing",IF(I47="","Plan state missing","Check against source"))))))))))))))</f>
        <v/>
      </c>
    </row>
    <row r="48">
      <c r="A48" s="38" t="n"/>
      <c r="B48" s="38" t="n"/>
      <c r="C48" s="38" t="n"/>
      <c r="D48" s="38" t="n"/>
      <c r="E48" s="38" t="n"/>
      <c r="F48" s="38" t="n"/>
      <c r="G48" s="39" t="n"/>
      <c r="H48" s="38" t="n"/>
      <c r="I48" s="38" t="n"/>
      <c r="J48" s="38" t="n"/>
      <c r="K48" s="37" t="n"/>
      <c r="L48" s="37" t="n"/>
      <c r="M48" s="14">
        <f>IF(COUNTA(A48:L48)=0,"",IF(A48="","Plan ID missing",IF(COUNTIF($A$4:$A$353,A48)&gt;1,"Duplicate Plan ID",IF(B48="","AIR-ID missing",IF(C48="","Gate / forum missing",IF(AND(I48="Planned",COUNTIFS($B$4:$B$353,B48,$C$4:$C$353,C48,$K$4:$K$353,K48&amp;"",$I$4:$I$353,"Planned")&gt;1),"More than one active plan for this AIR-ID, UC-ID scope and gate",IF(AND(E48="Not applicable",J48=""),"Not applicable needs rationale and authority ref",IF(AND(E48="Required",F48=""),"Required gate needs basis / triage ref",IF(L48="","Decision scope missing",IF(AND(L48="UC-ID specific",K48=""),"UC-ID required",IF(AND(L48="Shared system baseline",K48&lt;&gt;""),"Remove UC-ID or correct scope",IF(AND(G48&lt;&gt;"",NOT(ISNUMBER(G48))),"Target date is not a date",IF(E48="","Requirement missing",IF(I48="","Plan state missing","Check against source"))))))))))))))</f>
        <v/>
      </c>
    </row>
    <row r="49">
      <c r="A49" s="40" t="n"/>
      <c r="B49" s="40" t="n"/>
      <c r="C49" s="40" t="n"/>
      <c r="D49" s="40" t="n"/>
      <c r="E49" s="40" t="n"/>
      <c r="F49" s="40" t="n"/>
      <c r="G49" s="41" t="n"/>
      <c r="H49" s="40" t="n"/>
      <c r="I49" s="40" t="n"/>
      <c r="J49" s="40" t="n"/>
      <c r="K49" s="37" t="n"/>
      <c r="L49" s="37" t="n"/>
      <c r="M49" s="14">
        <f>IF(COUNTA(A49:L49)=0,"",IF(A49="","Plan ID missing",IF(COUNTIF($A$4:$A$353,A49)&gt;1,"Duplicate Plan ID",IF(B49="","AIR-ID missing",IF(C49="","Gate / forum missing",IF(AND(I49="Planned",COUNTIFS($B$4:$B$353,B49,$C$4:$C$353,C49,$K$4:$K$353,K49&amp;"",$I$4:$I$353,"Planned")&gt;1),"More than one active plan for this AIR-ID, UC-ID scope and gate",IF(AND(E49="Not applicable",J49=""),"Not applicable needs rationale and authority ref",IF(AND(E49="Required",F49=""),"Required gate needs basis / triage ref",IF(L49="","Decision scope missing",IF(AND(L49="UC-ID specific",K49=""),"UC-ID required",IF(AND(L49="Shared system baseline",K49&lt;&gt;""),"Remove UC-ID or correct scope",IF(AND(G49&lt;&gt;"",NOT(ISNUMBER(G49))),"Target date is not a date",IF(E49="","Requirement missing",IF(I49="","Plan state missing","Check against source"))))))))))))))</f>
        <v/>
      </c>
    </row>
    <row r="50">
      <c r="A50" s="38" t="n"/>
      <c r="B50" s="38" t="n"/>
      <c r="C50" s="38" t="n"/>
      <c r="D50" s="38" t="n"/>
      <c r="E50" s="38" t="n"/>
      <c r="F50" s="38" t="n"/>
      <c r="G50" s="39" t="n"/>
      <c r="H50" s="38" t="n"/>
      <c r="I50" s="38" t="n"/>
      <c r="J50" s="38" t="n"/>
      <c r="K50" s="37" t="n"/>
      <c r="L50" s="37" t="n"/>
      <c r="M50" s="14">
        <f>IF(COUNTA(A50:L50)=0,"",IF(A50="","Plan ID missing",IF(COUNTIF($A$4:$A$353,A50)&gt;1,"Duplicate Plan ID",IF(B50="","AIR-ID missing",IF(C50="","Gate / forum missing",IF(AND(I50="Planned",COUNTIFS($B$4:$B$353,B50,$C$4:$C$353,C50,$K$4:$K$353,K50&amp;"",$I$4:$I$353,"Planned")&gt;1),"More than one active plan for this AIR-ID, UC-ID scope and gate",IF(AND(E50="Not applicable",J50=""),"Not applicable needs rationale and authority ref",IF(AND(E50="Required",F50=""),"Required gate needs basis / triage ref",IF(L50="","Decision scope missing",IF(AND(L50="UC-ID specific",K50=""),"UC-ID required",IF(AND(L50="Shared system baseline",K50&lt;&gt;""),"Remove UC-ID or correct scope",IF(AND(G50&lt;&gt;"",NOT(ISNUMBER(G50))),"Target date is not a date",IF(E50="","Requirement missing",IF(I50="","Plan state missing","Check against source"))))))))))))))</f>
        <v/>
      </c>
    </row>
    <row r="51">
      <c r="A51" s="40" t="n"/>
      <c r="B51" s="40" t="n"/>
      <c r="C51" s="40" t="n"/>
      <c r="D51" s="40" t="n"/>
      <c r="E51" s="40" t="n"/>
      <c r="F51" s="40" t="n"/>
      <c r="G51" s="41" t="n"/>
      <c r="H51" s="40" t="n"/>
      <c r="I51" s="40" t="n"/>
      <c r="J51" s="40" t="n"/>
      <c r="K51" s="37" t="n"/>
      <c r="L51" s="37" t="n"/>
      <c r="M51" s="14">
        <f>IF(COUNTA(A51:L51)=0,"",IF(A51="","Plan ID missing",IF(COUNTIF($A$4:$A$353,A51)&gt;1,"Duplicate Plan ID",IF(B51="","AIR-ID missing",IF(C51="","Gate / forum missing",IF(AND(I51="Planned",COUNTIFS($B$4:$B$353,B51,$C$4:$C$353,C51,$K$4:$K$353,K51&amp;"",$I$4:$I$353,"Planned")&gt;1),"More than one active plan for this AIR-ID, UC-ID scope and gate",IF(AND(E51="Not applicable",J51=""),"Not applicable needs rationale and authority ref",IF(AND(E51="Required",F51=""),"Required gate needs basis / triage ref",IF(L51="","Decision scope missing",IF(AND(L51="UC-ID specific",K51=""),"UC-ID required",IF(AND(L51="Shared system baseline",K51&lt;&gt;""),"Remove UC-ID or correct scope",IF(AND(G51&lt;&gt;"",NOT(ISNUMBER(G51))),"Target date is not a date",IF(E51="","Requirement missing",IF(I51="","Plan state missing","Check against source"))))))))))))))</f>
        <v/>
      </c>
    </row>
    <row r="52">
      <c r="A52" s="38" t="n"/>
      <c r="B52" s="38" t="n"/>
      <c r="C52" s="38" t="n"/>
      <c r="D52" s="38" t="n"/>
      <c r="E52" s="38" t="n"/>
      <c r="F52" s="38" t="n"/>
      <c r="G52" s="39" t="n"/>
      <c r="H52" s="38" t="n"/>
      <c r="I52" s="38" t="n"/>
      <c r="J52" s="38" t="n"/>
      <c r="K52" s="37" t="n"/>
      <c r="L52" s="37" t="n"/>
      <c r="M52" s="14">
        <f>IF(COUNTA(A52:L52)=0,"",IF(A52="","Plan ID missing",IF(COUNTIF($A$4:$A$353,A52)&gt;1,"Duplicate Plan ID",IF(B52="","AIR-ID missing",IF(C52="","Gate / forum missing",IF(AND(I52="Planned",COUNTIFS($B$4:$B$353,B52,$C$4:$C$353,C52,$K$4:$K$353,K52&amp;"",$I$4:$I$353,"Planned")&gt;1),"More than one active plan for this AIR-ID, UC-ID scope and gate",IF(AND(E52="Not applicable",J52=""),"Not applicable needs rationale and authority ref",IF(AND(E52="Required",F52=""),"Required gate needs basis / triage ref",IF(L52="","Decision scope missing",IF(AND(L52="UC-ID specific",K52=""),"UC-ID required",IF(AND(L52="Shared system baseline",K52&lt;&gt;""),"Remove UC-ID or correct scope",IF(AND(G52&lt;&gt;"",NOT(ISNUMBER(G52))),"Target date is not a date",IF(E52="","Requirement missing",IF(I52="","Plan state missing","Check against source"))))))))))))))</f>
        <v/>
      </c>
    </row>
    <row r="53">
      <c r="A53" s="40" t="n"/>
      <c r="B53" s="40" t="n"/>
      <c r="C53" s="40" t="n"/>
      <c r="D53" s="40" t="n"/>
      <c r="E53" s="40" t="n"/>
      <c r="F53" s="40" t="n"/>
      <c r="G53" s="41" t="n"/>
      <c r="H53" s="40" t="n"/>
      <c r="I53" s="40" t="n"/>
      <c r="J53" s="40" t="n"/>
      <c r="K53" s="37" t="n"/>
      <c r="L53" s="37" t="n"/>
      <c r="M53" s="14">
        <f>IF(COUNTA(A53:L53)=0,"",IF(A53="","Plan ID missing",IF(COUNTIF($A$4:$A$353,A53)&gt;1,"Duplicate Plan ID",IF(B53="","AIR-ID missing",IF(C53="","Gate / forum missing",IF(AND(I53="Planned",COUNTIFS($B$4:$B$353,B53,$C$4:$C$353,C53,$K$4:$K$353,K53&amp;"",$I$4:$I$353,"Planned")&gt;1),"More than one active plan for this AIR-ID, UC-ID scope and gate",IF(AND(E53="Not applicable",J53=""),"Not applicable needs rationale and authority ref",IF(AND(E53="Required",F53=""),"Required gate needs basis / triage ref",IF(L53="","Decision scope missing",IF(AND(L53="UC-ID specific",K53=""),"UC-ID required",IF(AND(L53="Shared system baseline",K53&lt;&gt;""),"Remove UC-ID or correct scope",IF(AND(G53&lt;&gt;"",NOT(ISNUMBER(G53))),"Target date is not a date",IF(E53="","Requirement missing",IF(I53="","Plan state missing","Check against source"))))))))))))))</f>
        <v/>
      </c>
    </row>
    <row r="54">
      <c r="A54" s="38" t="n"/>
      <c r="B54" s="38" t="n"/>
      <c r="C54" s="38" t="n"/>
      <c r="D54" s="38" t="n"/>
      <c r="E54" s="38" t="n"/>
      <c r="F54" s="38" t="n"/>
      <c r="G54" s="39" t="n"/>
      <c r="H54" s="38" t="n"/>
      <c r="I54" s="38" t="n"/>
      <c r="J54" s="38" t="n"/>
      <c r="K54" s="37" t="n"/>
      <c r="L54" s="37" t="n"/>
      <c r="M54" s="14">
        <f>IF(COUNTA(A54:L54)=0,"",IF(A54="","Plan ID missing",IF(COUNTIF($A$4:$A$353,A54)&gt;1,"Duplicate Plan ID",IF(B54="","AIR-ID missing",IF(C54="","Gate / forum missing",IF(AND(I54="Planned",COUNTIFS($B$4:$B$353,B54,$C$4:$C$353,C54,$K$4:$K$353,K54&amp;"",$I$4:$I$353,"Planned")&gt;1),"More than one active plan for this AIR-ID, UC-ID scope and gate",IF(AND(E54="Not applicable",J54=""),"Not applicable needs rationale and authority ref",IF(AND(E54="Required",F54=""),"Required gate needs basis / triage ref",IF(L54="","Decision scope missing",IF(AND(L54="UC-ID specific",K54=""),"UC-ID required",IF(AND(L54="Shared system baseline",K54&lt;&gt;""),"Remove UC-ID or correct scope",IF(AND(G54&lt;&gt;"",NOT(ISNUMBER(G54))),"Target date is not a date",IF(E54="","Requirement missing",IF(I54="","Plan state missing","Check against source"))))))))))))))</f>
        <v/>
      </c>
    </row>
    <row r="55">
      <c r="A55" s="40" t="n"/>
      <c r="B55" s="40" t="n"/>
      <c r="C55" s="40" t="n"/>
      <c r="D55" s="40" t="n"/>
      <c r="E55" s="40" t="n"/>
      <c r="F55" s="40" t="n"/>
      <c r="G55" s="41" t="n"/>
      <c r="H55" s="40" t="n"/>
      <c r="I55" s="40" t="n"/>
      <c r="J55" s="40" t="n"/>
      <c r="K55" s="37" t="n"/>
      <c r="L55" s="37" t="n"/>
      <c r="M55" s="14">
        <f>IF(COUNTA(A55:L55)=0,"",IF(A55="","Plan ID missing",IF(COUNTIF($A$4:$A$353,A55)&gt;1,"Duplicate Plan ID",IF(B55="","AIR-ID missing",IF(C55="","Gate / forum missing",IF(AND(I55="Planned",COUNTIFS($B$4:$B$353,B55,$C$4:$C$353,C55,$K$4:$K$353,K55&amp;"",$I$4:$I$353,"Planned")&gt;1),"More than one active plan for this AIR-ID, UC-ID scope and gate",IF(AND(E55="Not applicable",J55=""),"Not applicable needs rationale and authority ref",IF(AND(E55="Required",F55=""),"Required gate needs basis / triage ref",IF(L55="","Decision scope missing",IF(AND(L55="UC-ID specific",K55=""),"UC-ID required",IF(AND(L55="Shared system baseline",K55&lt;&gt;""),"Remove UC-ID or correct scope",IF(AND(G55&lt;&gt;"",NOT(ISNUMBER(G55))),"Target date is not a date",IF(E55="","Requirement missing",IF(I55="","Plan state missing","Check against source"))))))))))))))</f>
        <v/>
      </c>
    </row>
    <row r="56">
      <c r="A56" s="38" t="n"/>
      <c r="B56" s="38" t="n"/>
      <c r="C56" s="38" t="n"/>
      <c r="D56" s="38" t="n"/>
      <c r="E56" s="38" t="n"/>
      <c r="F56" s="38" t="n"/>
      <c r="G56" s="39" t="n"/>
      <c r="H56" s="38" t="n"/>
      <c r="I56" s="38" t="n"/>
      <c r="J56" s="38" t="n"/>
      <c r="K56" s="37" t="n"/>
      <c r="L56" s="37" t="n"/>
      <c r="M56" s="14">
        <f>IF(COUNTA(A56:L56)=0,"",IF(A56="","Plan ID missing",IF(COUNTIF($A$4:$A$353,A56)&gt;1,"Duplicate Plan ID",IF(B56="","AIR-ID missing",IF(C56="","Gate / forum missing",IF(AND(I56="Planned",COUNTIFS($B$4:$B$353,B56,$C$4:$C$353,C56,$K$4:$K$353,K56&amp;"",$I$4:$I$353,"Planned")&gt;1),"More than one active plan for this AIR-ID, UC-ID scope and gate",IF(AND(E56="Not applicable",J56=""),"Not applicable needs rationale and authority ref",IF(AND(E56="Required",F56=""),"Required gate needs basis / triage ref",IF(L56="","Decision scope missing",IF(AND(L56="UC-ID specific",K56=""),"UC-ID required",IF(AND(L56="Shared system baseline",K56&lt;&gt;""),"Remove UC-ID or correct scope",IF(AND(G56&lt;&gt;"",NOT(ISNUMBER(G56))),"Target date is not a date",IF(E56="","Requirement missing",IF(I56="","Plan state missing","Check against source"))))))))))))))</f>
        <v/>
      </c>
    </row>
    <row r="57">
      <c r="A57" s="40" t="n"/>
      <c r="B57" s="40" t="n"/>
      <c r="C57" s="40" t="n"/>
      <c r="D57" s="40" t="n"/>
      <c r="E57" s="40" t="n"/>
      <c r="F57" s="40" t="n"/>
      <c r="G57" s="41" t="n"/>
      <c r="H57" s="40" t="n"/>
      <c r="I57" s="40" t="n"/>
      <c r="J57" s="40" t="n"/>
      <c r="K57" s="37" t="n"/>
      <c r="L57" s="37" t="n"/>
      <c r="M57" s="14">
        <f>IF(COUNTA(A57:L57)=0,"",IF(A57="","Plan ID missing",IF(COUNTIF($A$4:$A$353,A57)&gt;1,"Duplicate Plan ID",IF(B57="","AIR-ID missing",IF(C57="","Gate / forum missing",IF(AND(I57="Planned",COUNTIFS($B$4:$B$353,B57,$C$4:$C$353,C57,$K$4:$K$353,K57&amp;"",$I$4:$I$353,"Planned")&gt;1),"More than one active plan for this AIR-ID, UC-ID scope and gate",IF(AND(E57="Not applicable",J57=""),"Not applicable needs rationale and authority ref",IF(AND(E57="Required",F57=""),"Required gate needs basis / triage ref",IF(L57="","Decision scope missing",IF(AND(L57="UC-ID specific",K57=""),"UC-ID required",IF(AND(L57="Shared system baseline",K57&lt;&gt;""),"Remove UC-ID or correct scope",IF(AND(G57&lt;&gt;"",NOT(ISNUMBER(G57))),"Target date is not a date",IF(E57="","Requirement missing",IF(I57="","Plan state missing","Check against source"))))))))))))))</f>
        <v/>
      </c>
    </row>
    <row r="58">
      <c r="A58" s="38" t="n"/>
      <c r="B58" s="38" t="n"/>
      <c r="C58" s="38" t="n"/>
      <c r="D58" s="38" t="n"/>
      <c r="E58" s="38" t="n"/>
      <c r="F58" s="38" t="n"/>
      <c r="G58" s="39" t="n"/>
      <c r="H58" s="38" t="n"/>
      <c r="I58" s="38" t="n"/>
      <c r="J58" s="38" t="n"/>
      <c r="K58" s="37" t="n"/>
      <c r="L58" s="37" t="n"/>
      <c r="M58" s="14">
        <f>IF(COUNTA(A58:L58)=0,"",IF(A58="","Plan ID missing",IF(COUNTIF($A$4:$A$353,A58)&gt;1,"Duplicate Plan ID",IF(B58="","AIR-ID missing",IF(C58="","Gate / forum missing",IF(AND(I58="Planned",COUNTIFS($B$4:$B$353,B58,$C$4:$C$353,C58,$K$4:$K$353,K58&amp;"",$I$4:$I$353,"Planned")&gt;1),"More than one active plan for this AIR-ID, UC-ID scope and gate",IF(AND(E58="Not applicable",J58=""),"Not applicable needs rationale and authority ref",IF(AND(E58="Required",F58=""),"Required gate needs basis / triage ref",IF(L58="","Decision scope missing",IF(AND(L58="UC-ID specific",K58=""),"UC-ID required",IF(AND(L58="Shared system baseline",K58&lt;&gt;""),"Remove UC-ID or correct scope",IF(AND(G58&lt;&gt;"",NOT(ISNUMBER(G58))),"Target date is not a date",IF(E58="","Requirement missing",IF(I58="","Plan state missing","Check against source"))))))))))))))</f>
        <v/>
      </c>
    </row>
    <row r="59">
      <c r="A59" s="40" t="n"/>
      <c r="B59" s="40" t="n"/>
      <c r="C59" s="40" t="n"/>
      <c r="D59" s="40" t="n"/>
      <c r="E59" s="40" t="n"/>
      <c r="F59" s="40" t="n"/>
      <c r="G59" s="41" t="n"/>
      <c r="H59" s="40" t="n"/>
      <c r="I59" s="40" t="n"/>
      <c r="J59" s="40" t="n"/>
      <c r="K59" s="37" t="n"/>
      <c r="L59" s="37" t="n"/>
      <c r="M59" s="14">
        <f>IF(COUNTA(A59:L59)=0,"",IF(A59="","Plan ID missing",IF(COUNTIF($A$4:$A$353,A59)&gt;1,"Duplicate Plan ID",IF(B59="","AIR-ID missing",IF(C59="","Gate / forum missing",IF(AND(I59="Planned",COUNTIFS($B$4:$B$353,B59,$C$4:$C$353,C59,$K$4:$K$353,K59&amp;"",$I$4:$I$353,"Planned")&gt;1),"More than one active plan for this AIR-ID, UC-ID scope and gate",IF(AND(E59="Not applicable",J59=""),"Not applicable needs rationale and authority ref",IF(AND(E59="Required",F59=""),"Required gate needs basis / triage ref",IF(L59="","Decision scope missing",IF(AND(L59="UC-ID specific",K59=""),"UC-ID required",IF(AND(L59="Shared system baseline",K59&lt;&gt;""),"Remove UC-ID or correct scope",IF(AND(G59&lt;&gt;"",NOT(ISNUMBER(G59))),"Target date is not a date",IF(E59="","Requirement missing",IF(I59="","Plan state missing","Check against source"))))))))))))))</f>
        <v/>
      </c>
    </row>
    <row r="60">
      <c r="A60" s="38" t="n"/>
      <c r="B60" s="38" t="n"/>
      <c r="C60" s="38" t="n"/>
      <c r="D60" s="38" t="n"/>
      <c r="E60" s="38" t="n"/>
      <c r="F60" s="38" t="n"/>
      <c r="G60" s="39" t="n"/>
      <c r="H60" s="38" t="n"/>
      <c r="I60" s="38" t="n"/>
      <c r="J60" s="38" t="n"/>
      <c r="K60" s="37" t="n"/>
      <c r="L60" s="37" t="n"/>
      <c r="M60" s="14">
        <f>IF(COUNTA(A60:L60)=0,"",IF(A60="","Plan ID missing",IF(COUNTIF($A$4:$A$353,A60)&gt;1,"Duplicate Plan ID",IF(B60="","AIR-ID missing",IF(C60="","Gate / forum missing",IF(AND(I60="Planned",COUNTIFS($B$4:$B$353,B60,$C$4:$C$353,C60,$K$4:$K$353,K60&amp;"",$I$4:$I$353,"Planned")&gt;1),"More than one active plan for this AIR-ID, UC-ID scope and gate",IF(AND(E60="Not applicable",J60=""),"Not applicable needs rationale and authority ref",IF(AND(E60="Required",F60=""),"Required gate needs basis / triage ref",IF(L60="","Decision scope missing",IF(AND(L60="UC-ID specific",K60=""),"UC-ID required",IF(AND(L60="Shared system baseline",K60&lt;&gt;""),"Remove UC-ID or correct scope",IF(AND(G60&lt;&gt;"",NOT(ISNUMBER(G60))),"Target date is not a date",IF(E60="","Requirement missing",IF(I60="","Plan state missing","Check against source"))))))))))))))</f>
        <v/>
      </c>
    </row>
    <row r="61">
      <c r="A61" s="40" t="n"/>
      <c r="B61" s="40" t="n"/>
      <c r="C61" s="40" t="n"/>
      <c r="D61" s="40" t="n"/>
      <c r="E61" s="40" t="n"/>
      <c r="F61" s="40" t="n"/>
      <c r="G61" s="41" t="n"/>
      <c r="H61" s="40" t="n"/>
      <c r="I61" s="40" t="n"/>
      <c r="J61" s="40" t="n"/>
      <c r="K61" s="37" t="n"/>
      <c r="L61" s="37" t="n"/>
      <c r="M61" s="14">
        <f>IF(COUNTA(A61:L61)=0,"",IF(A61="","Plan ID missing",IF(COUNTIF($A$4:$A$353,A61)&gt;1,"Duplicate Plan ID",IF(B61="","AIR-ID missing",IF(C61="","Gate / forum missing",IF(AND(I61="Planned",COUNTIFS($B$4:$B$353,B61,$C$4:$C$353,C61,$K$4:$K$353,K61&amp;"",$I$4:$I$353,"Planned")&gt;1),"More than one active plan for this AIR-ID, UC-ID scope and gate",IF(AND(E61="Not applicable",J61=""),"Not applicable needs rationale and authority ref",IF(AND(E61="Required",F61=""),"Required gate needs basis / triage ref",IF(L61="","Decision scope missing",IF(AND(L61="UC-ID specific",K61=""),"UC-ID required",IF(AND(L61="Shared system baseline",K61&lt;&gt;""),"Remove UC-ID or correct scope",IF(AND(G61&lt;&gt;"",NOT(ISNUMBER(G61))),"Target date is not a date",IF(E61="","Requirement missing",IF(I61="","Plan state missing","Check against source"))))))))))))))</f>
        <v/>
      </c>
    </row>
    <row r="62">
      <c r="A62" s="38" t="n"/>
      <c r="B62" s="38" t="n"/>
      <c r="C62" s="38" t="n"/>
      <c r="D62" s="38" t="n"/>
      <c r="E62" s="38" t="n"/>
      <c r="F62" s="38" t="n"/>
      <c r="G62" s="39" t="n"/>
      <c r="H62" s="38" t="n"/>
      <c r="I62" s="38" t="n"/>
      <c r="J62" s="38" t="n"/>
      <c r="K62" s="37" t="n"/>
      <c r="L62" s="37" t="n"/>
      <c r="M62" s="14">
        <f>IF(COUNTA(A62:L62)=0,"",IF(A62="","Plan ID missing",IF(COUNTIF($A$4:$A$353,A62)&gt;1,"Duplicate Plan ID",IF(B62="","AIR-ID missing",IF(C62="","Gate / forum missing",IF(AND(I62="Planned",COUNTIFS($B$4:$B$353,B62,$C$4:$C$353,C62,$K$4:$K$353,K62&amp;"",$I$4:$I$353,"Planned")&gt;1),"More than one active plan for this AIR-ID, UC-ID scope and gate",IF(AND(E62="Not applicable",J62=""),"Not applicable needs rationale and authority ref",IF(AND(E62="Required",F62=""),"Required gate needs basis / triage ref",IF(L62="","Decision scope missing",IF(AND(L62="UC-ID specific",K62=""),"UC-ID required",IF(AND(L62="Shared system baseline",K62&lt;&gt;""),"Remove UC-ID or correct scope",IF(AND(G62&lt;&gt;"",NOT(ISNUMBER(G62))),"Target date is not a date",IF(E62="","Requirement missing",IF(I62="","Plan state missing","Check against source"))))))))))))))</f>
        <v/>
      </c>
    </row>
    <row r="63">
      <c r="A63" s="40" t="n"/>
      <c r="B63" s="40" t="n"/>
      <c r="C63" s="40" t="n"/>
      <c r="D63" s="40" t="n"/>
      <c r="E63" s="40" t="n"/>
      <c r="F63" s="40" t="n"/>
      <c r="G63" s="41" t="n"/>
      <c r="H63" s="40" t="n"/>
      <c r="I63" s="40" t="n"/>
      <c r="J63" s="40" t="n"/>
      <c r="K63" s="37" t="n"/>
      <c r="L63" s="37" t="n"/>
      <c r="M63" s="14">
        <f>IF(COUNTA(A63:L63)=0,"",IF(A63="","Plan ID missing",IF(COUNTIF($A$4:$A$353,A63)&gt;1,"Duplicate Plan ID",IF(B63="","AIR-ID missing",IF(C63="","Gate / forum missing",IF(AND(I63="Planned",COUNTIFS($B$4:$B$353,B63,$C$4:$C$353,C63,$K$4:$K$353,K63&amp;"",$I$4:$I$353,"Planned")&gt;1),"More than one active plan for this AIR-ID, UC-ID scope and gate",IF(AND(E63="Not applicable",J63=""),"Not applicable needs rationale and authority ref",IF(AND(E63="Required",F63=""),"Required gate needs basis / triage ref",IF(L63="","Decision scope missing",IF(AND(L63="UC-ID specific",K63=""),"UC-ID required",IF(AND(L63="Shared system baseline",K63&lt;&gt;""),"Remove UC-ID or correct scope",IF(AND(G63&lt;&gt;"",NOT(ISNUMBER(G63))),"Target date is not a date",IF(E63="","Requirement missing",IF(I63="","Plan state missing","Check against source"))))))))))))))</f>
        <v/>
      </c>
    </row>
    <row r="64">
      <c r="A64" s="38" t="n"/>
      <c r="B64" s="38" t="n"/>
      <c r="C64" s="38" t="n"/>
      <c r="D64" s="38" t="n"/>
      <c r="E64" s="38" t="n"/>
      <c r="F64" s="38" t="n"/>
      <c r="G64" s="39" t="n"/>
      <c r="H64" s="38" t="n"/>
      <c r="I64" s="38" t="n"/>
      <c r="J64" s="38" t="n"/>
      <c r="K64" s="37" t="n"/>
      <c r="L64" s="37" t="n"/>
      <c r="M64" s="14">
        <f>IF(COUNTA(A64:L64)=0,"",IF(A64="","Plan ID missing",IF(COUNTIF($A$4:$A$353,A64)&gt;1,"Duplicate Plan ID",IF(B64="","AIR-ID missing",IF(C64="","Gate / forum missing",IF(AND(I64="Planned",COUNTIFS($B$4:$B$353,B64,$C$4:$C$353,C64,$K$4:$K$353,K64&amp;"",$I$4:$I$353,"Planned")&gt;1),"More than one active plan for this AIR-ID, UC-ID scope and gate",IF(AND(E64="Not applicable",J64=""),"Not applicable needs rationale and authority ref",IF(AND(E64="Required",F64=""),"Required gate needs basis / triage ref",IF(L64="","Decision scope missing",IF(AND(L64="UC-ID specific",K64=""),"UC-ID required",IF(AND(L64="Shared system baseline",K64&lt;&gt;""),"Remove UC-ID or correct scope",IF(AND(G64&lt;&gt;"",NOT(ISNUMBER(G64))),"Target date is not a date",IF(E64="","Requirement missing",IF(I64="","Plan state missing","Check against source"))))))))))))))</f>
        <v/>
      </c>
    </row>
    <row r="65">
      <c r="A65" s="40" t="n"/>
      <c r="B65" s="40" t="n"/>
      <c r="C65" s="40" t="n"/>
      <c r="D65" s="40" t="n"/>
      <c r="E65" s="40" t="n"/>
      <c r="F65" s="40" t="n"/>
      <c r="G65" s="41" t="n"/>
      <c r="H65" s="40" t="n"/>
      <c r="I65" s="40" t="n"/>
      <c r="J65" s="40" t="n"/>
      <c r="K65" s="37" t="n"/>
      <c r="L65" s="37" t="n"/>
      <c r="M65" s="14">
        <f>IF(COUNTA(A65:L65)=0,"",IF(A65="","Plan ID missing",IF(COUNTIF($A$4:$A$353,A65)&gt;1,"Duplicate Plan ID",IF(B65="","AIR-ID missing",IF(C65="","Gate / forum missing",IF(AND(I65="Planned",COUNTIFS($B$4:$B$353,B65,$C$4:$C$353,C65,$K$4:$K$353,K65&amp;"",$I$4:$I$353,"Planned")&gt;1),"More than one active plan for this AIR-ID, UC-ID scope and gate",IF(AND(E65="Not applicable",J65=""),"Not applicable needs rationale and authority ref",IF(AND(E65="Required",F65=""),"Required gate needs basis / triage ref",IF(L65="","Decision scope missing",IF(AND(L65="UC-ID specific",K65=""),"UC-ID required",IF(AND(L65="Shared system baseline",K65&lt;&gt;""),"Remove UC-ID or correct scope",IF(AND(G65&lt;&gt;"",NOT(ISNUMBER(G65))),"Target date is not a date",IF(E65="","Requirement missing",IF(I65="","Plan state missing","Check against source"))))))))))))))</f>
        <v/>
      </c>
    </row>
    <row r="66">
      <c r="A66" s="38" t="n"/>
      <c r="B66" s="38" t="n"/>
      <c r="C66" s="38" t="n"/>
      <c r="D66" s="38" t="n"/>
      <c r="E66" s="38" t="n"/>
      <c r="F66" s="38" t="n"/>
      <c r="G66" s="39" t="n"/>
      <c r="H66" s="38" t="n"/>
      <c r="I66" s="38" t="n"/>
      <c r="J66" s="38" t="n"/>
      <c r="K66" s="37" t="n"/>
      <c r="L66" s="37" t="n"/>
      <c r="M66" s="14">
        <f>IF(COUNTA(A66:L66)=0,"",IF(A66="","Plan ID missing",IF(COUNTIF($A$4:$A$353,A66)&gt;1,"Duplicate Plan ID",IF(B66="","AIR-ID missing",IF(C66="","Gate / forum missing",IF(AND(I66="Planned",COUNTIFS($B$4:$B$353,B66,$C$4:$C$353,C66,$K$4:$K$353,K66&amp;"",$I$4:$I$353,"Planned")&gt;1),"More than one active plan for this AIR-ID, UC-ID scope and gate",IF(AND(E66="Not applicable",J66=""),"Not applicable needs rationale and authority ref",IF(AND(E66="Required",F66=""),"Required gate needs basis / triage ref",IF(L66="","Decision scope missing",IF(AND(L66="UC-ID specific",K66=""),"UC-ID required",IF(AND(L66="Shared system baseline",K66&lt;&gt;""),"Remove UC-ID or correct scope",IF(AND(G66&lt;&gt;"",NOT(ISNUMBER(G66))),"Target date is not a date",IF(E66="","Requirement missing",IF(I66="","Plan state missing","Check against source"))))))))))))))</f>
        <v/>
      </c>
    </row>
    <row r="67">
      <c r="A67" s="40" t="n"/>
      <c r="B67" s="40" t="n"/>
      <c r="C67" s="40" t="n"/>
      <c r="D67" s="40" t="n"/>
      <c r="E67" s="40" t="n"/>
      <c r="F67" s="40" t="n"/>
      <c r="G67" s="41" t="n"/>
      <c r="H67" s="40" t="n"/>
      <c r="I67" s="40" t="n"/>
      <c r="J67" s="40" t="n"/>
      <c r="K67" s="37" t="n"/>
      <c r="L67" s="37" t="n"/>
      <c r="M67" s="14">
        <f>IF(COUNTA(A67:L67)=0,"",IF(A67="","Plan ID missing",IF(COUNTIF($A$4:$A$353,A67)&gt;1,"Duplicate Plan ID",IF(B67="","AIR-ID missing",IF(C67="","Gate / forum missing",IF(AND(I67="Planned",COUNTIFS($B$4:$B$353,B67,$C$4:$C$353,C67,$K$4:$K$353,K67&amp;"",$I$4:$I$353,"Planned")&gt;1),"More than one active plan for this AIR-ID, UC-ID scope and gate",IF(AND(E67="Not applicable",J67=""),"Not applicable needs rationale and authority ref",IF(AND(E67="Required",F67=""),"Required gate needs basis / triage ref",IF(L67="","Decision scope missing",IF(AND(L67="UC-ID specific",K67=""),"UC-ID required",IF(AND(L67="Shared system baseline",K67&lt;&gt;""),"Remove UC-ID or correct scope",IF(AND(G67&lt;&gt;"",NOT(ISNUMBER(G67))),"Target date is not a date",IF(E67="","Requirement missing",IF(I67="","Plan state missing","Check against source"))))))))))))))</f>
        <v/>
      </c>
    </row>
    <row r="68">
      <c r="A68" s="38" t="n"/>
      <c r="B68" s="38" t="n"/>
      <c r="C68" s="38" t="n"/>
      <c r="D68" s="38" t="n"/>
      <c r="E68" s="38" t="n"/>
      <c r="F68" s="38" t="n"/>
      <c r="G68" s="39" t="n"/>
      <c r="H68" s="38" t="n"/>
      <c r="I68" s="38" t="n"/>
      <c r="J68" s="38" t="n"/>
      <c r="K68" s="37" t="n"/>
      <c r="L68" s="37" t="n"/>
      <c r="M68" s="14">
        <f>IF(COUNTA(A68:L68)=0,"",IF(A68="","Plan ID missing",IF(COUNTIF($A$4:$A$353,A68)&gt;1,"Duplicate Plan ID",IF(B68="","AIR-ID missing",IF(C68="","Gate / forum missing",IF(AND(I68="Planned",COUNTIFS($B$4:$B$353,B68,$C$4:$C$353,C68,$K$4:$K$353,K68&amp;"",$I$4:$I$353,"Planned")&gt;1),"More than one active plan for this AIR-ID, UC-ID scope and gate",IF(AND(E68="Not applicable",J68=""),"Not applicable needs rationale and authority ref",IF(AND(E68="Required",F68=""),"Required gate needs basis / triage ref",IF(L68="","Decision scope missing",IF(AND(L68="UC-ID specific",K68=""),"UC-ID required",IF(AND(L68="Shared system baseline",K68&lt;&gt;""),"Remove UC-ID or correct scope",IF(AND(G68&lt;&gt;"",NOT(ISNUMBER(G68))),"Target date is not a date",IF(E68="","Requirement missing",IF(I68="","Plan state missing","Check against source"))))))))))))))</f>
        <v/>
      </c>
    </row>
    <row r="69">
      <c r="A69" s="40" t="n"/>
      <c r="B69" s="40" t="n"/>
      <c r="C69" s="40" t="n"/>
      <c r="D69" s="40" t="n"/>
      <c r="E69" s="40" t="n"/>
      <c r="F69" s="40" t="n"/>
      <c r="G69" s="41" t="n"/>
      <c r="H69" s="40" t="n"/>
      <c r="I69" s="40" t="n"/>
      <c r="J69" s="40" t="n"/>
      <c r="K69" s="37" t="n"/>
      <c r="L69" s="37" t="n"/>
      <c r="M69" s="14">
        <f>IF(COUNTA(A69:L69)=0,"",IF(A69="","Plan ID missing",IF(COUNTIF($A$4:$A$353,A69)&gt;1,"Duplicate Plan ID",IF(B69="","AIR-ID missing",IF(C69="","Gate / forum missing",IF(AND(I69="Planned",COUNTIFS($B$4:$B$353,B69,$C$4:$C$353,C69,$K$4:$K$353,K69&amp;"",$I$4:$I$353,"Planned")&gt;1),"More than one active plan for this AIR-ID, UC-ID scope and gate",IF(AND(E69="Not applicable",J69=""),"Not applicable needs rationale and authority ref",IF(AND(E69="Required",F69=""),"Required gate needs basis / triage ref",IF(L69="","Decision scope missing",IF(AND(L69="UC-ID specific",K69=""),"UC-ID required",IF(AND(L69="Shared system baseline",K69&lt;&gt;""),"Remove UC-ID or correct scope",IF(AND(G69&lt;&gt;"",NOT(ISNUMBER(G69))),"Target date is not a date",IF(E69="","Requirement missing",IF(I69="","Plan state missing","Check against source"))))))))))))))</f>
        <v/>
      </c>
    </row>
    <row r="70">
      <c r="A70" s="38" t="n"/>
      <c r="B70" s="38" t="n"/>
      <c r="C70" s="38" t="n"/>
      <c r="D70" s="38" t="n"/>
      <c r="E70" s="38" t="n"/>
      <c r="F70" s="38" t="n"/>
      <c r="G70" s="39" t="n"/>
      <c r="H70" s="38" t="n"/>
      <c r="I70" s="38" t="n"/>
      <c r="J70" s="38" t="n"/>
      <c r="K70" s="37" t="n"/>
      <c r="L70" s="37" t="n"/>
      <c r="M70" s="14">
        <f>IF(COUNTA(A70:L70)=0,"",IF(A70="","Plan ID missing",IF(COUNTIF($A$4:$A$353,A70)&gt;1,"Duplicate Plan ID",IF(B70="","AIR-ID missing",IF(C70="","Gate / forum missing",IF(AND(I70="Planned",COUNTIFS($B$4:$B$353,B70,$C$4:$C$353,C70,$K$4:$K$353,K70&amp;"",$I$4:$I$353,"Planned")&gt;1),"More than one active plan for this AIR-ID, UC-ID scope and gate",IF(AND(E70="Not applicable",J70=""),"Not applicable needs rationale and authority ref",IF(AND(E70="Required",F70=""),"Required gate needs basis / triage ref",IF(L70="","Decision scope missing",IF(AND(L70="UC-ID specific",K70=""),"UC-ID required",IF(AND(L70="Shared system baseline",K70&lt;&gt;""),"Remove UC-ID or correct scope",IF(AND(G70&lt;&gt;"",NOT(ISNUMBER(G70))),"Target date is not a date",IF(E70="","Requirement missing",IF(I70="","Plan state missing","Check against source"))))))))))))))</f>
        <v/>
      </c>
    </row>
    <row r="71">
      <c r="A71" s="40" t="n"/>
      <c r="B71" s="40" t="n"/>
      <c r="C71" s="40" t="n"/>
      <c r="D71" s="40" t="n"/>
      <c r="E71" s="40" t="n"/>
      <c r="F71" s="40" t="n"/>
      <c r="G71" s="41" t="n"/>
      <c r="H71" s="40" t="n"/>
      <c r="I71" s="40" t="n"/>
      <c r="J71" s="40" t="n"/>
      <c r="K71" s="37" t="n"/>
      <c r="L71" s="37" t="n"/>
      <c r="M71" s="14">
        <f>IF(COUNTA(A71:L71)=0,"",IF(A71="","Plan ID missing",IF(COUNTIF($A$4:$A$353,A71)&gt;1,"Duplicate Plan ID",IF(B71="","AIR-ID missing",IF(C71="","Gate / forum missing",IF(AND(I71="Planned",COUNTIFS($B$4:$B$353,B71,$C$4:$C$353,C71,$K$4:$K$353,K71&amp;"",$I$4:$I$353,"Planned")&gt;1),"More than one active plan for this AIR-ID, UC-ID scope and gate",IF(AND(E71="Not applicable",J71=""),"Not applicable needs rationale and authority ref",IF(AND(E71="Required",F71=""),"Required gate needs basis / triage ref",IF(L71="","Decision scope missing",IF(AND(L71="UC-ID specific",K71=""),"UC-ID required",IF(AND(L71="Shared system baseline",K71&lt;&gt;""),"Remove UC-ID or correct scope",IF(AND(G71&lt;&gt;"",NOT(ISNUMBER(G71))),"Target date is not a date",IF(E71="","Requirement missing",IF(I71="","Plan state missing","Check against source"))))))))))))))</f>
        <v/>
      </c>
    </row>
    <row r="72">
      <c r="A72" s="38" t="n"/>
      <c r="B72" s="38" t="n"/>
      <c r="C72" s="38" t="n"/>
      <c r="D72" s="38" t="n"/>
      <c r="E72" s="38" t="n"/>
      <c r="F72" s="38" t="n"/>
      <c r="G72" s="39" t="n"/>
      <c r="H72" s="38" t="n"/>
      <c r="I72" s="38" t="n"/>
      <c r="J72" s="38" t="n"/>
      <c r="K72" s="37" t="n"/>
      <c r="L72" s="37" t="n"/>
      <c r="M72" s="14">
        <f>IF(COUNTA(A72:L72)=0,"",IF(A72="","Plan ID missing",IF(COUNTIF($A$4:$A$353,A72)&gt;1,"Duplicate Plan ID",IF(B72="","AIR-ID missing",IF(C72="","Gate / forum missing",IF(AND(I72="Planned",COUNTIFS($B$4:$B$353,B72,$C$4:$C$353,C72,$K$4:$K$353,K72&amp;"",$I$4:$I$353,"Planned")&gt;1),"More than one active plan for this AIR-ID, UC-ID scope and gate",IF(AND(E72="Not applicable",J72=""),"Not applicable needs rationale and authority ref",IF(AND(E72="Required",F72=""),"Required gate needs basis / triage ref",IF(L72="","Decision scope missing",IF(AND(L72="UC-ID specific",K72=""),"UC-ID required",IF(AND(L72="Shared system baseline",K72&lt;&gt;""),"Remove UC-ID or correct scope",IF(AND(G72&lt;&gt;"",NOT(ISNUMBER(G72))),"Target date is not a date",IF(E72="","Requirement missing",IF(I72="","Plan state missing","Check against source"))))))))))))))</f>
        <v/>
      </c>
    </row>
    <row r="73">
      <c r="A73" s="40" t="n"/>
      <c r="B73" s="40" t="n"/>
      <c r="C73" s="40" t="n"/>
      <c r="D73" s="40" t="n"/>
      <c r="E73" s="40" t="n"/>
      <c r="F73" s="40" t="n"/>
      <c r="G73" s="41" t="n"/>
      <c r="H73" s="40" t="n"/>
      <c r="I73" s="40" t="n"/>
      <c r="J73" s="40" t="n"/>
      <c r="K73" s="37" t="n"/>
      <c r="L73" s="37" t="n"/>
      <c r="M73" s="14">
        <f>IF(COUNTA(A73:L73)=0,"",IF(A73="","Plan ID missing",IF(COUNTIF($A$4:$A$353,A73)&gt;1,"Duplicate Plan ID",IF(B73="","AIR-ID missing",IF(C73="","Gate / forum missing",IF(AND(I73="Planned",COUNTIFS($B$4:$B$353,B73,$C$4:$C$353,C73,$K$4:$K$353,K73&amp;"",$I$4:$I$353,"Planned")&gt;1),"More than one active plan for this AIR-ID, UC-ID scope and gate",IF(AND(E73="Not applicable",J73=""),"Not applicable needs rationale and authority ref",IF(AND(E73="Required",F73=""),"Required gate needs basis / triage ref",IF(L73="","Decision scope missing",IF(AND(L73="UC-ID specific",K73=""),"UC-ID required",IF(AND(L73="Shared system baseline",K73&lt;&gt;""),"Remove UC-ID or correct scope",IF(AND(G73&lt;&gt;"",NOT(ISNUMBER(G73))),"Target date is not a date",IF(E73="","Requirement missing",IF(I73="","Plan state missing","Check against source"))))))))))))))</f>
        <v/>
      </c>
    </row>
    <row r="74">
      <c r="A74" s="38" t="n"/>
      <c r="B74" s="38" t="n"/>
      <c r="C74" s="38" t="n"/>
      <c r="D74" s="38" t="n"/>
      <c r="E74" s="38" t="n"/>
      <c r="F74" s="38" t="n"/>
      <c r="G74" s="39" t="n"/>
      <c r="H74" s="38" t="n"/>
      <c r="I74" s="38" t="n"/>
      <c r="J74" s="38" t="n"/>
      <c r="K74" s="37" t="n"/>
      <c r="L74" s="37" t="n"/>
      <c r="M74" s="14">
        <f>IF(COUNTA(A74:L74)=0,"",IF(A74="","Plan ID missing",IF(COUNTIF($A$4:$A$353,A74)&gt;1,"Duplicate Plan ID",IF(B74="","AIR-ID missing",IF(C74="","Gate / forum missing",IF(AND(I74="Planned",COUNTIFS($B$4:$B$353,B74,$C$4:$C$353,C74,$K$4:$K$353,K74&amp;"",$I$4:$I$353,"Planned")&gt;1),"More than one active plan for this AIR-ID, UC-ID scope and gate",IF(AND(E74="Not applicable",J74=""),"Not applicable needs rationale and authority ref",IF(AND(E74="Required",F74=""),"Required gate needs basis / triage ref",IF(L74="","Decision scope missing",IF(AND(L74="UC-ID specific",K74=""),"UC-ID required",IF(AND(L74="Shared system baseline",K74&lt;&gt;""),"Remove UC-ID or correct scope",IF(AND(G74&lt;&gt;"",NOT(ISNUMBER(G74))),"Target date is not a date",IF(E74="","Requirement missing",IF(I74="","Plan state missing","Check against source"))))))))))))))</f>
        <v/>
      </c>
    </row>
    <row r="75">
      <c r="A75" s="40" t="n"/>
      <c r="B75" s="40" t="n"/>
      <c r="C75" s="40" t="n"/>
      <c r="D75" s="40" t="n"/>
      <c r="E75" s="40" t="n"/>
      <c r="F75" s="40" t="n"/>
      <c r="G75" s="41" t="n"/>
      <c r="H75" s="40" t="n"/>
      <c r="I75" s="40" t="n"/>
      <c r="J75" s="40" t="n"/>
      <c r="K75" s="37" t="n"/>
      <c r="L75" s="37" t="n"/>
      <c r="M75" s="14">
        <f>IF(COUNTA(A75:L75)=0,"",IF(A75="","Plan ID missing",IF(COUNTIF($A$4:$A$353,A75)&gt;1,"Duplicate Plan ID",IF(B75="","AIR-ID missing",IF(C75="","Gate / forum missing",IF(AND(I75="Planned",COUNTIFS($B$4:$B$353,B75,$C$4:$C$353,C75,$K$4:$K$353,K75&amp;"",$I$4:$I$353,"Planned")&gt;1),"More than one active plan for this AIR-ID, UC-ID scope and gate",IF(AND(E75="Not applicable",J75=""),"Not applicable needs rationale and authority ref",IF(AND(E75="Required",F75=""),"Required gate needs basis / triage ref",IF(L75="","Decision scope missing",IF(AND(L75="UC-ID specific",K75=""),"UC-ID required",IF(AND(L75="Shared system baseline",K75&lt;&gt;""),"Remove UC-ID or correct scope",IF(AND(G75&lt;&gt;"",NOT(ISNUMBER(G75))),"Target date is not a date",IF(E75="","Requirement missing",IF(I75="","Plan state missing","Check against source"))))))))))))))</f>
        <v/>
      </c>
    </row>
    <row r="76">
      <c r="A76" s="38" t="n"/>
      <c r="B76" s="38" t="n"/>
      <c r="C76" s="38" t="n"/>
      <c r="D76" s="38" t="n"/>
      <c r="E76" s="38" t="n"/>
      <c r="F76" s="38" t="n"/>
      <c r="G76" s="39" t="n"/>
      <c r="H76" s="38" t="n"/>
      <c r="I76" s="38" t="n"/>
      <c r="J76" s="38" t="n"/>
      <c r="K76" s="37" t="n"/>
      <c r="L76" s="37" t="n"/>
      <c r="M76" s="14">
        <f>IF(COUNTA(A76:L76)=0,"",IF(A76="","Plan ID missing",IF(COUNTIF($A$4:$A$353,A76)&gt;1,"Duplicate Plan ID",IF(B76="","AIR-ID missing",IF(C76="","Gate / forum missing",IF(AND(I76="Planned",COUNTIFS($B$4:$B$353,B76,$C$4:$C$353,C76,$K$4:$K$353,K76&amp;"",$I$4:$I$353,"Planned")&gt;1),"More than one active plan for this AIR-ID, UC-ID scope and gate",IF(AND(E76="Not applicable",J76=""),"Not applicable needs rationale and authority ref",IF(AND(E76="Required",F76=""),"Required gate needs basis / triage ref",IF(L76="","Decision scope missing",IF(AND(L76="UC-ID specific",K76=""),"UC-ID required",IF(AND(L76="Shared system baseline",K76&lt;&gt;""),"Remove UC-ID or correct scope",IF(AND(G76&lt;&gt;"",NOT(ISNUMBER(G76))),"Target date is not a date",IF(E76="","Requirement missing",IF(I76="","Plan state missing","Check against source"))))))))))))))</f>
        <v/>
      </c>
    </row>
    <row r="77">
      <c r="A77" s="40" t="n"/>
      <c r="B77" s="40" t="n"/>
      <c r="C77" s="40" t="n"/>
      <c r="D77" s="40" t="n"/>
      <c r="E77" s="40" t="n"/>
      <c r="F77" s="40" t="n"/>
      <c r="G77" s="41" t="n"/>
      <c r="H77" s="40" t="n"/>
      <c r="I77" s="40" t="n"/>
      <c r="J77" s="40" t="n"/>
      <c r="K77" s="37" t="n"/>
      <c r="L77" s="37" t="n"/>
      <c r="M77" s="14">
        <f>IF(COUNTA(A77:L77)=0,"",IF(A77="","Plan ID missing",IF(COUNTIF($A$4:$A$353,A77)&gt;1,"Duplicate Plan ID",IF(B77="","AIR-ID missing",IF(C77="","Gate / forum missing",IF(AND(I77="Planned",COUNTIFS($B$4:$B$353,B77,$C$4:$C$353,C77,$K$4:$K$353,K77&amp;"",$I$4:$I$353,"Planned")&gt;1),"More than one active plan for this AIR-ID, UC-ID scope and gate",IF(AND(E77="Not applicable",J77=""),"Not applicable needs rationale and authority ref",IF(AND(E77="Required",F77=""),"Required gate needs basis / triage ref",IF(L77="","Decision scope missing",IF(AND(L77="UC-ID specific",K77=""),"UC-ID required",IF(AND(L77="Shared system baseline",K77&lt;&gt;""),"Remove UC-ID or correct scope",IF(AND(G77&lt;&gt;"",NOT(ISNUMBER(G77))),"Target date is not a date",IF(E77="","Requirement missing",IF(I77="","Plan state missing","Check against source"))))))))))))))</f>
        <v/>
      </c>
    </row>
    <row r="78">
      <c r="A78" s="38" t="n"/>
      <c r="B78" s="38" t="n"/>
      <c r="C78" s="38" t="n"/>
      <c r="D78" s="38" t="n"/>
      <c r="E78" s="38" t="n"/>
      <c r="F78" s="38" t="n"/>
      <c r="G78" s="39" t="n"/>
      <c r="H78" s="38" t="n"/>
      <c r="I78" s="38" t="n"/>
      <c r="J78" s="38" t="n"/>
      <c r="K78" s="37" t="n"/>
      <c r="L78" s="37" t="n"/>
      <c r="M78" s="14">
        <f>IF(COUNTA(A78:L78)=0,"",IF(A78="","Plan ID missing",IF(COUNTIF($A$4:$A$353,A78)&gt;1,"Duplicate Plan ID",IF(B78="","AIR-ID missing",IF(C78="","Gate / forum missing",IF(AND(I78="Planned",COUNTIFS($B$4:$B$353,B78,$C$4:$C$353,C78,$K$4:$K$353,K78&amp;"",$I$4:$I$353,"Planned")&gt;1),"More than one active plan for this AIR-ID, UC-ID scope and gate",IF(AND(E78="Not applicable",J78=""),"Not applicable needs rationale and authority ref",IF(AND(E78="Required",F78=""),"Required gate needs basis / triage ref",IF(L78="","Decision scope missing",IF(AND(L78="UC-ID specific",K78=""),"UC-ID required",IF(AND(L78="Shared system baseline",K78&lt;&gt;""),"Remove UC-ID or correct scope",IF(AND(G78&lt;&gt;"",NOT(ISNUMBER(G78))),"Target date is not a date",IF(E78="","Requirement missing",IF(I78="","Plan state missing","Check against source"))))))))))))))</f>
        <v/>
      </c>
    </row>
    <row r="79">
      <c r="A79" s="40" t="n"/>
      <c r="B79" s="40" t="n"/>
      <c r="C79" s="40" t="n"/>
      <c r="D79" s="40" t="n"/>
      <c r="E79" s="40" t="n"/>
      <c r="F79" s="40" t="n"/>
      <c r="G79" s="41" t="n"/>
      <c r="H79" s="40" t="n"/>
      <c r="I79" s="40" t="n"/>
      <c r="J79" s="40" t="n"/>
      <c r="K79" s="37" t="n"/>
      <c r="L79" s="37" t="n"/>
      <c r="M79" s="14">
        <f>IF(COUNTA(A79:L79)=0,"",IF(A79="","Plan ID missing",IF(COUNTIF($A$4:$A$353,A79)&gt;1,"Duplicate Plan ID",IF(B79="","AIR-ID missing",IF(C79="","Gate / forum missing",IF(AND(I79="Planned",COUNTIFS($B$4:$B$353,B79,$C$4:$C$353,C79,$K$4:$K$353,K79&amp;"",$I$4:$I$353,"Planned")&gt;1),"More than one active plan for this AIR-ID, UC-ID scope and gate",IF(AND(E79="Not applicable",J79=""),"Not applicable needs rationale and authority ref",IF(AND(E79="Required",F79=""),"Required gate needs basis / triage ref",IF(L79="","Decision scope missing",IF(AND(L79="UC-ID specific",K79=""),"UC-ID required",IF(AND(L79="Shared system baseline",K79&lt;&gt;""),"Remove UC-ID or correct scope",IF(AND(G79&lt;&gt;"",NOT(ISNUMBER(G79))),"Target date is not a date",IF(E79="","Requirement missing",IF(I79="","Plan state missing","Check against source"))))))))))))))</f>
        <v/>
      </c>
    </row>
    <row r="80">
      <c r="A80" s="38" t="n"/>
      <c r="B80" s="38" t="n"/>
      <c r="C80" s="38" t="n"/>
      <c r="D80" s="38" t="n"/>
      <c r="E80" s="38" t="n"/>
      <c r="F80" s="38" t="n"/>
      <c r="G80" s="39" t="n"/>
      <c r="H80" s="38" t="n"/>
      <c r="I80" s="38" t="n"/>
      <c r="J80" s="38" t="n"/>
      <c r="K80" s="37" t="n"/>
      <c r="L80" s="37" t="n"/>
      <c r="M80" s="14">
        <f>IF(COUNTA(A80:L80)=0,"",IF(A80="","Plan ID missing",IF(COUNTIF($A$4:$A$353,A80)&gt;1,"Duplicate Plan ID",IF(B80="","AIR-ID missing",IF(C80="","Gate / forum missing",IF(AND(I80="Planned",COUNTIFS($B$4:$B$353,B80,$C$4:$C$353,C80,$K$4:$K$353,K80&amp;"",$I$4:$I$353,"Planned")&gt;1),"More than one active plan for this AIR-ID, UC-ID scope and gate",IF(AND(E80="Not applicable",J80=""),"Not applicable needs rationale and authority ref",IF(AND(E80="Required",F80=""),"Required gate needs basis / triage ref",IF(L80="","Decision scope missing",IF(AND(L80="UC-ID specific",K80=""),"UC-ID required",IF(AND(L80="Shared system baseline",K80&lt;&gt;""),"Remove UC-ID or correct scope",IF(AND(G80&lt;&gt;"",NOT(ISNUMBER(G80))),"Target date is not a date",IF(E80="","Requirement missing",IF(I80="","Plan state missing","Check against source"))))))))))))))</f>
        <v/>
      </c>
    </row>
    <row r="81">
      <c r="A81" s="40" t="n"/>
      <c r="B81" s="40" t="n"/>
      <c r="C81" s="40" t="n"/>
      <c r="D81" s="40" t="n"/>
      <c r="E81" s="40" t="n"/>
      <c r="F81" s="40" t="n"/>
      <c r="G81" s="41" t="n"/>
      <c r="H81" s="40" t="n"/>
      <c r="I81" s="40" t="n"/>
      <c r="J81" s="40" t="n"/>
      <c r="K81" s="37" t="n"/>
      <c r="L81" s="37" t="n"/>
      <c r="M81" s="14">
        <f>IF(COUNTA(A81:L81)=0,"",IF(A81="","Plan ID missing",IF(COUNTIF($A$4:$A$353,A81)&gt;1,"Duplicate Plan ID",IF(B81="","AIR-ID missing",IF(C81="","Gate / forum missing",IF(AND(I81="Planned",COUNTIFS($B$4:$B$353,B81,$C$4:$C$353,C81,$K$4:$K$353,K81&amp;"",$I$4:$I$353,"Planned")&gt;1),"More than one active plan for this AIR-ID, UC-ID scope and gate",IF(AND(E81="Not applicable",J81=""),"Not applicable needs rationale and authority ref",IF(AND(E81="Required",F81=""),"Required gate needs basis / triage ref",IF(L81="","Decision scope missing",IF(AND(L81="UC-ID specific",K81=""),"UC-ID required",IF(AND(L81="Shared system baseline",K81&lt;&gt;""),"Remove UC-ID or correct scope",IF(AND(G81&lt;&gt;"",NOT(ISNUMBER(G81))),"Target date is not a date",IF(E81="","Requirement missing",IF(I81="","Plan state missing","Check against source"))))))))))))))</f>
        <v/>
      </c>
    </row>
    <row r="82">
      <c r="A82" s="38" t="n"/>
      <c r="B82" s="38" t="n"/>
      <c r="C82" s="38" t="n"/>
      <c r="D82" s="38" t="n"/>
      <c r="E82" s="38" t="n"/>
      <c r="F82" s="38" t="n"/>
      <c r="G82" s="39" t="n"/>
      <c r="H82" s="38" t="n"/>
      <c r="I82" s="38" t="n"/>
      <c r="J82" s="38" t="n"/>
      <c r="K82" s="37" t="n"/>
      <c r="L82" s="37" t="n"/>
      <c r="M82" s="14">
        <f>IF(COUNTA(A82:L82)=0,"",IF(A82="","Plan ID missing",IF(COUNTIF($A$4:$A$353,A82)&gt;1,"Duplicate Plan ID",IF(B82="","AIR-ID missing",IF(C82="","Gate / forum missing",IF(AND(I82="Planned",COUNTIFS($B$4:$B$353,B82,$C$4:$C$353,C82,$K$4:$K$353,K82&amp;"",$I$4:$I$353,"Planned")&gt;1),"More than one active plan for this AIR-ID, UC-ID scope and gate",IF(AND(E82="Not applicable",J82=""),"Not applicable needs rationale and authority ref",IF(AND(E82="Required",F82=""),"Required gate needs basis / triage ref",IF(L82="","Decision scope missing",IF(AND(L82="UC-ID specific",K82=""),"UC-ID required",IF(AND(L82="Shared system baseline",K82&lt;&gt;""),"Remove UC-ID or correct scope",IF(AND(G82&lt;&gt;"",NOT(ISNUMBER(G82))),"Target date is not a date",IF(E82="","Requirement missing",IF(I82="","Plan state missing","Check against source"))))))))))))))</f>
        <v/>
      </c>
    </row>
    <row r="83">
      <c r="A83" s="40" t="n"/>
      <c r="B83" s="40" t="n"/>
      <c r="C83" s="40" t="n"/>
      <c r="D83" s="40" t="n"/>
      <c r="E83" s="40" t="n"/>
      <c r="F83" s="40" t="n"/>
      <c r="G83" s="41" t="n"/>
      <c r="H83" s="40" t="n"/>
      <c r="I83" s="40" t="n"/>
      <c r="J83" s="40" t="n"/>
      <c r="K83" s="37" t="n"/>
      <c r="L83" s="37" t="n"/>
      <c r="M83" s="14">
        <f>IF(COUNTA(A83:L83)=0,"",IF(A83="","Plan ID missing",IF(COUNTIF($A$4:$A$353,A83)&gt;1,"Duplicate Plan ID",IF(B83="","AIR-ID missing",IF(C83="","Gate / forum missing",IF(AND(I83="Planned",COUNTIFS($B$4:$B$353,B83,$C$4:$C$353,C83,$K$4:$K$353,K83&amp;"",$I$4:$I$353,"Planned")&gt;1),"More than one active plan for this AIR-ID, UC-ID scope and gate",IF(AND(E83="Not applicable",J83=""),"Not applicable needs rationale and authority ref",IF(AND(E83="Required",F83=""),"Required gate needs basis / triage ref",IF(L83="","Decision scope missing",IF(AND(L83="UC-ID specific",K83=""),"UC-ID required",IF(AND(L83="Shared system baseline",K83&lt;&gt;""),"Remove UC-ID or correct scope",IF(AND(G83&lt;&gt;"",NOT(ISNUMBER(G83))),"Target date is not a date",IF(E83="","Requirement missing",IF(I83="","Plan state missing","Check against source"))))))))))))))</f>
        <v/>
      </c>
    </row>
    <row r="84">
      <c r="A84" s="38" t="n"/>
      <c r="B84" s="38" t="n"/>
      <c r="C84" s="38" t="n"/>
      <c r="D84" s="38" t="n"/>
      <c r="E84" s="38" t="n"/>
      <c r="F84" s="38" t="n"/>
      <c r="G84" s="39" t="n"/>
      <c r="H84" s="38" t="n"/>
      <c r="I84" s="38" t="n"/>
      <c r="J84" s="38" t="n"/>
      <c r="K84" s="37" t="n"/>
      <c r="L84" s="37" t="n"/>
      <c r="M84" s="14">
        <f>IF(COUNTA(A84:L84)=0,"",IF(A84="","Plan ID missing",IF(COUNTIF($A$4:$A$353,A84)&gt;1,"Duplicate Plan ID",IF(B84="","AIR-ID missing",IF(C84="","Gate / forum missing",IF(AND(I84="Planned",COUNTIFS($B$4:$B$353,B84,$C$4:$C$353,C84,$K$4:$K$353,K84&amp;"",$I$4:$I$353,"Planned")&gt;1),"More than one active plan for this AIR-ID, UC-ID scope and gate",IF(AND(E84="Not applicable",J84=""),"Not applicable needs rationale and authority ref",IF(AND(E84="Required",F84=""),"Required gate needs basis / triage ref",IF(L84="","Decision scope missing",IF(AND(L84="UC-ID specific",K84=""),"UC-ID required",IF(AND(L84="Shared system baseline",K84&lt;&gt;""),"Remove UC-ID or correct scope",IF(AND(G84&lt;&gt;"",NOT(ISNUMBER(G84))),"Target date is not a date",IF(E84="","Requirement missing",IF(I84="","Plan state missing","Check against source"))))))))))))))</f>
        <v/>
      </c>
    </row>
    <row r="85">
      <c r="A85" s="40" t="n"/>
      <c r="B85" s="40" t="n"/>
      <c r="C85" s="40" t="n"/>
      <c r="D85" s="40" t="n"/>
      <c r="E85" s="40" t="n"/>
      <c r="F85" s="40" t="n"/>
      <c r="G85" s="41" t="n"/>
      <c r="H85" s="40" t="n"/>
      <c r="I85" s="40" t="n"/>
      <c r="J85" s="40" t="n"/>
      <c r="K85" s="37" t="n"/>
      <c r="L85" s="37" t="n"/>
      <c r="M85" s="14">
        <f>IF(COUNTA(A85:L85)=0,"",IF(A85="","Plan ID missing",IF(COUNTIF($A$4:$A$353,A85)&gt;1,"Duplicate Plan ID",IF(B85="","AIR-ID missing",IF(C85="","Gate / forum missing",IF(AND(I85="Planned",COUNTIFS($B$4:$B$353,B85,$C$4:$C$353,C85,$K$4:$K$353,K85&amp;"",$I$4:$I$353,"Planned")&gt;1),"More than one active plan for this AIR-ID, UC-ID scope and gate",IF(AND(E85="Not applicable",J85=""),"Not applicable needs rationale and authority ref",IF(AND(E85="Required",F85=""),"Required gate needs basis / triage ref",IF(L85="","Decision scope missing",IF(AND(L85="UC-ID specific",K85=""),"UC-ID required",IF(AND(L85="Shared system baseline",K85&lt;&gt;""),"Remove UC-ID or correct scope",IF(AND(G85&lt;&gt;"",NOT(ISNUMBER(G85))),"Target date is not a date",IF(E85="","Requirement missing",IF(I85="","Plan state missing","Check against source"))))))))))))))</f>
        <v/>
      </c>
    </row>
    <row r="86">
      <c r="A86" s="38" t="n"/>
      <c r="B86" s="38" t="n"/>
      <c r="C86" s="38" t="n"/>
      <c r="D86" s="38" t="n"/>
      <c r="E86" s="38" t="n"/>
      <c r="F86" s="38" t="n"/>
      <c r="G86" s="39" t="n"/>
      <c r="H86" s="38" t="n"/>
      <c r="I86" s="38" t="n"/>
      <c r="J86" s="38" t="n"/>
      <c r="K86" s="37" t="n"/>
      <c r="L86" s="37" t="n"/>
      <c r="M86" s="14">
        <f>IF(COUNTA(A86:L86)=0,"",IF(A86="","Plan ID missing",IF(COUNTIF($A$4:$A$353,A86)&gt;1,"Duplicate Plan ID",IF(B86="","AIR-ID missing",IF(C86="","Gate / forum missing",IF(AND(I86="Planned",COUNTIFS($B$4:$B$353,B86,$C$4:$C$353,C86,$K$4:$K$353,K86&amp;"",$I$4:$I$353,"Planned")&gt;1),"More than one active plan for this AIR-ID, UC-ID scope and gate",IF(AND(E86="Not applicable",J86=""),"Not applicable needs rationale and authority ref",IF(AND(E86="Required",F86=""),"Required gate needs basis / triage ref",IF(L86="","Decision scope missing",IF(AND(L86="UC-ID specific",K86=""),"UC-ID required",IF(AND(L86="Shared system baseline",K86&lt;&gt;""),"Remove UC-ID or correct scope",IF(AND(G86&lt;&gt;"",NOT(ISNUMBER(G86))),"Target date is not a date",IF(E86="","Requirement missing",IF(I86="","Plan state missing","Check against source"))))))))))))))</f>
        <v/>
      </c>
    </row>
    <row r="87">
      <c r="A87" s="40" t="n"/>
      <c r="B87" s="40" t="n"/>
      <c r="C87" s="40" t="n"/>
      <c r="D87" s="40" t="n"/>
      <c r="E87" s="40" t="n"/>
      <c r="F87" s="40" t="n"/>
      <c r="G87" s="41" t="n"/>
      <c r="H87" s="40" t="n"/>
      <c r="I87" s="40" t="n"/>
      <c r="J87" s="40" t="n"/>
      <c r="K87" s="37" t="n"/>
      <c r="L87" s="37" t="n"/>
      <c r="M87" s="14">
        <f>IF(COUNTA(A87:L87)=0,"",IF(A87="","Plan ID missing",IF(COUNTIF($A$4:$A$353,A87)&gt;1,"Duplicate Plan ID",IF(B87="","AIR-ID missing",IF(C87="","Gate / forum missing",IF(AND(I87="Planned",COUNTIFS($B$4:$B$353,B87,$C$4:$C$353,C87,$K$4:$K$353,K87&amp;"",$I$4:$I$353,"Planned")&gt;1),"More than one active plan for this AIR-ID, UC-ID scope and gate",IF(AND(E87="Not applicable",J87=""),"Not applicable needs rationale and authority ref",IF(AND(E87="Required",F87=""),"Required gate needs basis / triage ref",IF(L87="","Decision scope missing",IF(AND(L87="UC-ID specific",K87=""),"UC-ID required",IF(AND(L87="Shared system baseline",K87&lt;&gt;""),"Remove UC-ID or correct scope",IF(AND(G87&lt;&gt;"",NOT(ISNUMBER(G87))),"Target date is not a date",IF(E87="","Requirement missing",IF(I87="","Plan state missing","Check against source"))))))))))))))</f>
        <v/>
      </c>
    </row>
    <row r="88">
      <c r="A88" s="38" t="n"/>
      <c r="B88" s="38" t="n"/>
      <c r="C88" s="38" t="n"/>
      <c r="D88" s="38" t="n"/>
      <c r="E88" s="38" t="n"/>
      <c r="F88" s="38" t="n"/>
      <c r="G88" s="39" t="n"/>
      <c r="H88" s="38" t="n"/>
      <c r="I88" s="38" t="n"/>
      <c r="J88" s="38" t="n"/>
      <c r="K88" s="37" t="n"/>
      <c r="L88" s="37" t="n"/>
      <c r="M88" s="14">
        <f>IF(COUNTA(A88:L88)=0,"",IF(A88="","Plan ID missing",IF(COUNTIF($A$4:$A$353,A88)&gt;1,"Duplicate Plan ID",IF(B88="","AIR-ID missing",IF(C88="","Gate / forum missing",IF(AND(I88="Planned",COUNTIFS($B$4:$B$353,B88,$C$4:$C$353,C88,$K$4:$K$353,K88&amp;"",$I$4:$I$353,"Planned")&gt;1),"More than one active plan for this AIR-ID, UC-ID scope and gate",IF(AND(E88="Not applicable",J88=""),"Not applicable needs rationale and authority ref",IF(AND(E88="Required",F88=""),"Required gate needs basis / triage ref",IF(L88="","Decision scope missing",IF(AND(L88="UC-ID specific",K88=""),"UC-ID required",IF(AND(L88="Shared system baseline",K88&lt;&gt;""),"Remove UC-ID or correct scope",IF(AND(G88&lt;&gt;"",NOT(ISNUMBER(G88))),"Target date is not a date",IF(E88="","Requirement missing",IF(I88="","Plan state missing","Check against source"))))))))))))))</f>
        <v/>
      </c>
    </row>
    <row r="89">
      <c r="A89" s="40" t="n"/>
      <c r="B89" s="40" t="n"/>
      <c r="C89" s="40" t="n"/>
      <c r="D89" s="40" t="n"/>
      <c r="E89" s="40" t="n"/>
      <c r="F89" s="40" t="n"/>
      <c r="G89" s="41" t="n"/>
      <c r="H89" s="40" t="n"/>
      <c r="I89" s="40" t="n"/>
      <c r="J89" s="40" t="n"/>
      <c r="K89" s="37" t="n"/>
      <c r="L89" s="37" t="n"/>
      <c r="M89" s="14">
        <f>IF(COUNTA(A89:L89)=0,"",IF(A89="","Plan ID missing",IF(COUNTIF($A$4:$A$353,A89)&gt;1,"Duplicate Plan ID",IF(B89="","AIR-ID missing",IF(C89="","Gate / forum missing",IF(AND(I89="Planned",COUNTIFS($B$4:$B$353,B89,$C$4:$C$353,C89,$K$4:$K$353,K89&amp;"",$I$4:$I$353,"Planned")&gt;1),"More than one active plan for this AIR-ID, UC-ID scope and gate",IF(AND(E89="Not applicable",J89=""),"Not applicable needs rationale and authority ref",IF(AND(E89="Required",F89=""),"Required gate needs basis / triage ref",IF(L89="","Decision scope missing",IF(AND(L89="UC-ID specific",K89=""),"UC-ID required",IF(AND(L89="Shared system baseline",K89&lt;&gt;""),"Remove UC-ID or correct scope",IF(AND(G89&lt;&gt;"",NOT(ISNUMBER(G89))),"Target date is not a date",IF(E89="","Requirement missing",IF(I89="","Plan state missing","Check against source"))))))))))))))</f>
        <v/>
      </c>
    </row>
    <row r="90">
      <c r="A90" s="38" t="n"/>
      <c r="B90" s="38" t="n"/>
      <c r="C90" s="38" t="n"/>
      <c r="D90" s="38" t="n"/>
      <c r="E90" s="38" t="n"/>
      <c r="F90" s="38" t="n"/>
      <c r="G90" s="39" t="n"/>
      <c r="H90" s="38" t="n"/>
      <c r="I90" s="38" t="n"/>
      <c r="J90" s="38" t="n"/>
      <c r="K90" s="37" t="n"/>
      <c r="L90" s="37" t="n"/>
      <c r="M90" s="14">
        <f>IF(COUNTA(A90:L90)=0,"",IF(A90="","Plan ID missing",IF(COUNTIF($A$4:$A$353,A90)&gt;1,"Duplicate Plan ID",IF(B90="","AIR-ID missing",IF(C90="","Gate / forum missing",IF(AND(I90="Planned",COUNTIFS($B$4:$B$353,B90,$C$4:$C$353,C90,$K$4:$K$353,K90&amp;"",$I$4:$I$353,"Planned")&gt;1),"More than one active plan for this AIR-ID, UC-ID scope and gate",IF(AND(E90="Not applicable",J90=""),"Not applicable needs rationale and authority ref",IF(AND(E90="Required",F90=""),"Required gate needs basis / triage ref",IF(L90="","Decision scope missing",IF(AND(L90="UC-ID specific",K90=""),"UC-ID required",IF(AND(L90="Shared system baseline",K90&lt;&gt;""),"Remove UC-ID or correct scope",IF(AND(G90&lt;&gt;"",NOT(ISNUMBER(G90))),"Target date is not a date",IF(E90="","Requirement missing",IF(I90="","Plan state missing","Check against source"))))))))))))))</f>
        <v/>
      </c>
    </row>
    <row r="91">
      <c r="A91" s="40" t="n"/>
      <c r="B91" s="40" t="n"/>
      <c r="C91" s="40" t="n"/>
      <c r="D91" s="40" t="n"/>
      <c r="E91" s="40" t="n"/>
      <c r="F91" s="40" t="n"/>
      <c r="G91" s="41" t="n"/>
      <c r="H91" s="40" t="n"/>
      <c r="I91" s="40" t="n"/>
      <c r="J91" s="40" t="n"/>
      <c r="K91" s="37" t="n"/>
      <c r="L91" s="37" t="n"/>
      <c r="M91" s="14">
        <f>IF(COUNTA(A91:L91)=0,"",IF(A91="","Plan ID missing",IF(COUNTIF($A$4:$A$353,A91)&gt;1,"Duplicate Plan ID",IF(B91="","AIR-ID missing",IF(C91="","Gate / forum missing",IF(AND(I91="Planned",COUNTIFS($B$4:$B$353,B91,$C$4:$C$353,C91,$K$4:$K$353,K91&amp;"",$I$4:$I$353,"Planned")&gt;1),"More than one active plan for this AIR-ID, UC-ID scope and gate",IF(AND(E91="Not applicable",J91=""),"Not applicable needs rationale and authority ref",IF(AND(E91="Required",F91=""),"Required gate needs basis / triage ref",IF(L91="","Decision scope missing",IF(AND(L91="UC-ID specific",K91=""),"UC-ID required",IF(AND(L91="Shared system baseline",K91&lt;&gt;""),"Remove UC-ID or correct scope",IF(AND(G91&lt;&gt;"",NOT(ISNUMBER(G91))),"Target date is not a date",IF(E91="","Requirement missing",IF(I91="","Plan state missing","Check against source"))))))))))))))</f>
        <v/>
      </c>
    </row>
    <row r="92">
      <c r="A92" s="38" t="n"/>
      <c r="B92" s="38" t="n"/>
      <c r="C92" s="38" t="n"/>
      <c r="D92" s="38" t="n"/>
      <c r="E92" s="38" t="n"/>
      <c r="F92" s="38" t="n"/>
      <c r="G92" s="39" t="n"/>
      <c r="H92" s="38" t="n"/>
      <c r="I92" s="38" t="n"/>
      <c r="J92" s="38" t="n"/>
      <c r="K92" s="37" t="n"/>
      <c r="L92" s="37" t="n"/>
      <c r="M92" s="14">
        <f>IF(COUNTA(A92:L92)=0,"",IF(A92="","Plan ID missing",IF(COUNTIF($A$4:$A$353,A92)&gt;1,"Duplicate Plan ID",IF(B92="","AIR-ID missing",IF(C92="","Gate / forum missing",IF(AND(I92="Planned",COUNTIFS($B$4:$B$353,B92,$C$4:$C$353,C92,$K$4:$K$353,K92&amp;"",$I$4:$I$353,"Planned")&gt;1),"More than one active plan for this AIR-ID, UC-ID scope and gate",IF(AND(E92="Not applicable",J92=""),"Not applicable needs rationale and authority ref",IF(AND(E92="Required",F92=""),"Required gate needs basis / triage ref",IF(L92="","Decision scope missing",IF(AND(L92="UC-ID specific",K92=""),"UC-ID required",IF(AND(L92="Shared system baseline",K92&lt;&gt;""),"Remove UC-ID or correct scope",IF(AND(G92&lt;&gt;"",NOT(ISNUMBER(G92))),"Target date is not a date",IF(E92="","Requirement missing",IF(I92="","Plan state missing","Check against source"))))))))))))))</f>
        <v/>
      </c>
    </row>
    <row r="93">
      <c r="A93" s="40" t="n"/>
      <c r="B93" s="40" t="n"/>
      <c r="C93" s="40" t="n"/>
      <c r="D93" s="40" t="n"/>
      <c r="E93" s="40" t="n"/>
      <c r="F93" s="40" t="n"/>
      <c r="G93" s="41" t="n"/>
      <c r="H93" s="40" t="n"/>
      <c r="I93" s="40" t="n"/>
      <c r="J93" s="40" t="n"/>
      <c r="K93" s="37" t="n"/>
      <c r="L93" s="37" t="n"/>
      <c r="M93" s="14">
        <f>IF(COUNTA(A93:L93)=0,"",IF(A93="","Plan ID missing",IF(COUNTIF($A$4:$A$353,A93)&gt;1,"Duplicate Plan ID",IF(B93="","AIR-ID missing",IF(C93="","Gate / forum missing",IF(AND(I93="Planned",COUNTIFS($B$4:$B$353,B93,$C$4:$C$353,C93,$K$4:$K$353,K93&amp;"",$I$4:$I$353,"Planned")&gt;1),"More than one active plan for this AIR-ID, UC-ID scope and gate",IF(AND(E93="Not applicable",J93=""),"Not applicable needs rationale and authority ref",IF(AND(E93="Required",F93=""),"Required gate needs basis / triage ref",IF(L93="","Decision scope missing",IF(AND(L93="UC-ID specific",K93=""),"UC-ID required",IF(AND(L93="Shared system baseline",K93&lt;&gt;""),"Remove UC-ID or correct scope",IF(AND(G93&lt;&gt;"",NOT(ISNUMBER(G93))),"Target date is not a date",IF(E93="","Requirement missing",IF(I93="","Plan state missing","Check against source"))))))))))))))</f>
        <v/>
      </c>
    </row>
    <row r="94">
      <c r="A94" s="38" t="n"/>
      <c r="B94" s="38" t="n"/>
      <c r="C94" s="38" t="n"/>
      <c r="D94" s="38" t="n"/>
      <c r="E94" s="38" t="n"/>
      <c r="F94" s="38" t="n"/>
      <c r="G94" s="39" t="n"/>
      <c r="H94" s="38" t="n"/>
      <c r="I94" s="38" t="n"/>
      <c r="J94" s="38" t="n"/>
      <c r="K94" s="37" t="n"/>
      <c r="L94" s="37" t="n"/>
      <c r="M94" s="14">
        <f>IF(COUNTA(A94:L94)=0,"",IF(A94="","Plan ID missing",IF(COUNTIF($A$4:$A$353,A94)&gt;1,"Duplicate Plan ID",IF(B94="","AIR-ID missing",IF(C94="","Gate / forum missing",IF(AND(I94="Planned",COUNTIFS($B$4:$B$353,B94,$C$4:$C$353,C94,$K$4:$K$353,K94&amp;"",$I$4:$I$353,"Planned")&gt;1),"More than one active plan for this AIR-ID, UC-ID scope and gate",IF(AND(E94="Not applicable",J94=""),"Not applicable needs rationale and authority ref",IF(AND(E94="Required",F94=""),"Required gate needs basis / triage ref",IF(L94="","Decision scope missing",IF(AND(L94="UC-ID specific",K94=""),"UC-ID required",IF(AND(L94="Shared system baseline",K94&lt;&gt;""),"Remove UC-ID or correct scope",IF(AND(G94&lt;&gt;"",NOT(ISNUMBER(G94))),"Target date is not a date",IF(E94="","Requirement missing",IF(I94="","Plan state missing","Check against source"))))))))))))))</f>
        <v/>
      </c>
    </row>
    <row r="95">
      <c r="A95" s="40" t="n"/>
      <c r="B95" s="40" t="n"/>
      <c r="C95" s="40" t="n"/>
      <c r="D95" s="40" t="n"/>
      <c r="E95" s="40" t="n"/>
      <c r="F95" s="40" t="n"/>
      <c r="G95" s="41" t="n"/>
      <c r="H95" s="40" t="n"/>
      <c r="I95" s="40" t="n"/>
      <c r="J95" s="40" t="n"/>
      <c r="K95" s="37" t="n"/>
      <c r="L95" s="37" t="n"/>
      <c r="M95" s="14">
        <f>IF(COUNTA(A95:L95)=0,"",IF(A95="","Plan ID missing",IF(COUNTIF($A$4:$A$353,A95)&gt;1,"Duplicate Plan ID",IF(B95="","AIR-ID missing",IF(C95="","Gate / forum missing",IF(AND(I95="Planned",COUNTIFS($B$4:$B$353,B95,$C$4:$C$353,C95,$K$4:$K$353,K95&amp;"",$I$4:$I$353,"Planned")&gt;1),"More than one active plan for this AIR-ID, UC-ID scope and gate",IF(AND(E95="Not applicable",J95=""),"Not applicable needs rationale and authority ref",IF(AND(E95="Required",F95=""),"Required gate needs basis / triage ref",IF(L95="","Decision scope missing",IF(AND(L95="UC-ID specific",K95=""),"UC-ID required",IF(AND(L95="Shared system baseline",K95&lt;&gt;""),"Remove UC-ID or correct scope",IF(AND(G95&lt;&gt;"",NOT(ISNUMBER(G95))),"Target date is not a date",IF(E95="","Requirement missing",IF(I95="","Plan state missing","Check against source"))))))))))))))</f>
        <v/>
      </c>
    </row>
    <row r="96">
      <c r="A96" s="38" t="n"/>
      <c r="B96" s="38" t="n"/>
      <c r="C96" s="38" t="n"/>
      <c r="D96" s="38" t="n"/>
      <c r="E96" s="38" t="n"/>
      <c r="F96" s="38" t="n"/>
      <c r="G96" s="39" t="n"/>
      <c r="H96" s="38" t="n"/>
      <c r="I96" s="38" t="n"/>
      <c r="J96" s="38" t="n"/>
      <c r="K96" s="37" t="n"/>
      <c r="L96" s="37" t="n"/>
      <c r="M96" s="14">
        <f>IF(COUNTA(A96:L96)=0,"",IF(A96="","Plan ID missing",IF(COUNTIF($A$4:$A$353,A96)&gt;1,"Duplicate Plan ID",IF(B96="","AIR-ID missing",IF(C96="","Gate / forum missing",IF(AND(I96="Planned",COUNTIFS($B$4:$B$353,B96,$C$4:$C$353,C96,$K$4:$K$353,K96&amp;"",$I$4:$I$353,"Planned")&gt;1),"More than one active plan for this AIR-ID, UC-ID scope and gate",IF(AND(E96="Not applicable",J96=""),"Not applicable needs rationale and authority ref",IF(AND(E96="Required",F96=""),"Required gate needs basis / triage ref",IF(L96="","Decision scope missing",IF(AND(L96="UC-ID specific",K96=""),"UC-ID required",IF(AND(L96="Shared system baseline",K96&lt;&gt;""),"Remove UC-ID or correct scope",IF(AND(G96&lt;&gt;"",NOT(ISNUMBER(G96))),"Target date is not a date",IF(E96="","Requirement missing",IF(I96="","Plan state missing","Check against source"))))))))))))))</f>
        <v/>
      </c>
    </row>
    <row r="97">
      <c r="A97" s="40" t="n"/>
      <c r="B97" s="40" t="n"/>
      <c r="C97" s="40" t="n"/>
      <c r="D97" s="40" t="n"/>
      <c r="E97" s="40" t="n"/>
      <c r="F97" s="40" t="n"/>
      <c r="G97" s="41" t="n"/>
      <c r="H97" s="40" t="n"/>
      <c r="I97" s="40" t="n"/>
      <c r="J97" s="40" t="n"/>
      <c r="K97" s="37" t="n"/>
      <c r="L97" s="37" t="n"/>
      <c r="M97" s="14">
        <f>IF(COUNTA(A97:L97)=0,"",IF(A97="","Plan ID missing",IF(COUNTIF($A$4:$A$353,A97)&gt;1,"Duplicate Plan ID",IF(B97="","AIR-ID missing",IF(C97="","Gate / forum missing",IF(AND(I97="Planned",COUNTIFS($B$4:$B$353,B97,$C$4:$C$353,C97,$K$4:$K$353,K97&amp;"",$I$4:$I$353,"Planned")&gt;1),"More than one active plan for this AIR-ID, UC-ID scope and gate",IF(AND(E97="Not applicable",J97=""),"Not applicable needs rationale and authority ref",IF(AND(E97="Required",F97=""),"Required gate needs basis / triage ref",IF(L97="","Decision scope missing",IF(AND(L97="UC-ID specific",K97=""),"UC-ID required",IF(AND(L97="Shared system baseline",K97&lt;&gt;""),"Remove UC-ID or correct scope",IF(AND(G97&lt;&gt;"",NOT(ISNUMBER(G97))),"Target date is not a date",IF(E97="","Requirement missing",IF(I97="","Plan state missing","Check against source"))))))))))))))</f>
        <v/>
      </c>
    </row>
    <row r="98">
      <c r="A98" s="38" t="n"/>
      <c r="B98" s="38" t="n"/>
      <c r="C98" s="38" t="n"/>
      <c r="D98" s="38" t="n"/>
      <c r="E98" s="38" t="n"/>
      <c r="F98" s="38" t="n"/>
      <c r="G98" s="39" t="n"/>
      <c r="H98" s="38" t="n"/>
      <c r="I98" s="38" t="n"/>
      <c r="J98" s="38" t="n"/>
      <c r="K98" s="37" t="n"/>
      <c r="L98" s="37" t="n"/>
      <c r="M98" s="14">
        <f>IF(COUNTA(A98:L98)=0,"",IF(A98="","Plan ID missing",IF(COUNTIF($A$4:$A$353,A98)&gt;1,"Duplicate Plan ID",IF(B98="","AIR-ID missing",IF(C98="","Gate / forum missing",IF(AND(I98="Planned",COUNTIFS($B$4:$B$353,B98,$C$4:$C$353,C98,$K$4:$K$353,K98&amp;"",$I$4:$I$353,"Planned")&gt;1),"More than one active plan for this AIR-ID, UC-ID scope and gate",IF(AND(E98="Not applicable",J98=""),"Not applicable needs rationale and authority ref",IF(AND(E98="Required",F98=""),"Required gate needs basis / triage ref",IF(L98="","Decision scope missing",IF(AND(L98="UC-ID specific",K98=""),"UC-ID required",IF(AND(L98="Shared system baseline",K98&lt;&gt;""),"Remove UC-ID or correct scope",IF(AND(G98&lt;&gt;"",NOT(ISNUMBER(G98))),"Target date is not a date",IF(E98="","Requirement missing",IF(I98="","Plan state missing","Check against source"))))))))))))))</f>
        <v/>
      </c>
    </row>
    <row r="99">
      <c r="A99" s="40" t="n"/>
      <c r="B99" s="40" t="n"/>
      <c r="C99" s="40" t="n"/>
      <c r="D99" s="40" t="n"/>
      <c r="E99" s="40" t="n"/>
      <c r="F99" s="40" t="n"/>
      <c r="G99" s="41" t="n"/>
      <c r="H99" s="40" t="n"/>
      <c r="I99" s="40" t="n"/>
      <c r="J99" s="40" t="n"/>
      <c r="K99" s="37" t="n"/>
      <c r="L99" s="37" t="n"/>
      <c r="M99" s="14">
        <f>IF(COUNTA(A99:L99)=0,"",IF(A99="","Plan ID missing",IF(COUNTIF($A$4:$A$353,A99)&gt;1,"Duplicate Plan ID",IF(B99="","AIR-ID missing",IF(C99="","Gate / forum missing",IF(AND(I99="Planned",COUNTIFS($B$4:$B$353,B99,$C$4:$C$353,C99,$K$4:$K$353,K99&amp;"",$I$4:$I$353,"Planned")&gt;1),"More than one active plan for this AIR-ID, UC-ID scope and gate",IF(AND(E99="Not applicable",J99=""),"Not applicable needs rationale and authority ref",IF(AND(E99="Required",F99=""),"Required gate needs basis / triage ref",IF(L99="","Decision scope missing",IF(AND(L99="UC-ID specific",K99=""),"UC-ID required",IF(AND(L99="Shared system baseline",K99&lt;&gt;""),"Remove UC-ID or correct scope",IF(AND(G99&lt;&gt;"",NOT(ISNUMBER(G99))),"Target date is not a date",IF(E99="","Requirement missing",IF(I99="","Plan state missing","Check against source"))))))))))))))</f>
        <v/>
      </c>
    </row>
    <row r="100">
      <c r="A100" s="38" t="n"/>
      <c r="B100" s="38" t="n"/>
      <c r="C100" s="38" t="n"/>
      <c r="D100" s="38" t="n"/>
      <c r="E100" s="38" t="n"/>
      <c r="F100" s="38" t="n"/>
      <c r="G100" s="39" t="n"/>
      <c r="H100" s="38" t="n"/>
      <c r="I100" s="38" t="n"/>
      <c r="J100" s="38" t="n"/>
      <c r="K100" s="37" t="n"/>
      <c r="L100" s="37" t="n"/>
      <c r="M100" s="14">
        <f>IF(COUNTA(A100:L100)=0,"",IF(A100="","Plan ID missing",IF(COUNTIF($A$4:$A$353,A100)&gt;1,"Duplicate Plan ID",IF(B100="","AIR-ID missing",IF(C100="","Gate / forum missing",IF(AND(I100="Planned",COUNTIFS($B$4:$B$353,B100,$C$4:$C$353,C100,$K$4:$K$353,K100&amp;"",$I$4:$I$353,"Planned")&gt;1),"More than one active plan for this AIR-ID, UC-ID scope and gate",IF(AND(E100="Not applicable",J100=""),"Not applicable needs rationale and authority ref",IF(AND(E100="Required",F100=""),"Required gate needs basis / triage ref",IF(L100="","Decision scope missing",IF(AND(L100="UC-ID specific",K100=""),"UC-ID required",IF(AND(L100="Shared system baseline",K100&lt;&gt;""),"Remove UC-ID or correct scope",IF(AND(G100&lt;&gt;"",NOT(ISNUMBER(G100))),"Target date is not a date",IF(E100="","Requirement missing",IF(I100="","Plan state missing","Check against source"))))))))))))))</f>
        <v/>
      </c>
    </row>
    <row r="101">
      <c r="A101" s="40" t="n"/>
      <c r="B101" s="40" t="n"/>
      <c r="C101" s="40" t="n"/>
      <c r="D101" s="40" t="n"/>
      <c r="E101" s="40" t="n"/>
      <c r="F101" s="40" t="n"/>
      <c r="G101" s="41" t="n"/>
      <c r="H101" s="40" t="n"/>
      <c r="I101" s="40" t="n"/>
      <c r="J101" s="40" t="n"/>
      <c r="K101" s="37" t="n"/>
      <c r="L101" s="37" t="n"/>
      <c r="M101" s="14">
        <f>IF(COUNTA(A101:L101)=0,"",IF(A101="","Plan ID missing",IF(COUNTIF($A$4:$A$353,A101)&gt;1,"Duplicate Plan ID",IF(B101="","AIR-ID missing",IF(C101="","Gate / forum missing",IF(AND(I101="Planned",COUNTIFS($B$4:$B$353,B101,$C$4:$C$353,C101,$K$4:$K$353,K101&amp;"",$I$4:$I$353,"Planned")&gt;1),"More than one active plan for this AIR-ID, UC-ID scope and gate",IF(AND(E101="Not applicable",J101=""),"Not applicable needs rationale and authority ref",IF(AND(E101="Required",F101=""),"Required gate needs basis / triage ref",IF(L101="","Decision scope missing",IF(AND(L101="UC-ID specific",K101=""),"UC-ID required",IF(AND(L101="Shared system baseline",K101&lt;&gt;""),"Remove UC-ID or correct scope",IF(AND(G101&lt;&gt;"",NOT(ISNUMBER(G101))),"Target date is not a date",IF(E101="","Requirement missing",IF(I101="","Plan state missing","Check against source"))))))))))))))</f>
        <v/>
      </c>
    </row>
    <row r="102">
      <c r="A102" s="38" t="n"/>
      <c r="B102" s="38" t="n"/>
      <c r="C102" s="38" t="n"/>
      <c r="D102" s="38" t="n"/>
      <c r="E102" s="38" t="n"/>
      <c r="F102" s="38" t="n"/>
      <c r="G102" s="39" t="n"/>
      <c r="H102" s="38" t="n"/>
      <c r="I102" s="38" t="n"/>
      <c r="J102" s="38" t="n"/>
      <c r="K102" s="37" t="n"/>
      <c r="L102" s="37" t="n"/>
      <c r="M102" s="14">
        <f>IF(COUNTA(A102:L102)=0,"",IF(A102="","Plan ID missing",IF(COUNTIF($A$4:$A$353,A102)&gt;1,"Duplicate Plan ID",IF(B102="","AIR-ID missing",IF(C102="","Gate / forum missing",IF(AND(I102="Planned",COUNTIFS($B$4:$B$353,B102,$C$4:$C$353,C102,$K$4:$K$353,K102&amp;"",$I$4:$I$353,"Planned")&gt;1),"More than one active plan for this AIR-ID, UC-ID scope and gate",IF(AND(E102="Not applicable",J102=""),"Not applicable needs rationale and authority ref",IF(AND(E102="Required",F102=""),"Required gate needs basis / triage ref",IF(L102="","Decision scope missing",IF(AND(L102="UC-ID specific",K102=""),"UC-ID required",IF(AND(L102="Shared system baseline",K102&lt;&gt;""),"Remove UC-ID or correct scope",IF(AND(G102&lt;&gt;"",NOT(ISNUMBER(G102))),"Target date is not a date",IF(E102="","Requirement missing",IF(I102="","Plan state missing","Check against source"))))))))))))))</f>
        <v/>
      </c>
    </row>
    <row r="103">
      <c r="A103" s="40" t="n"/>
      <c r="B103" s="40" t="n"/>
      <c r="C103" s="40" t="n"/>
      <c r="D103" s="40" t="n"/>
      <c r="E103" s="40" t="n"/>
      <c r="F103" s="40" t="n"/>
      <c r="G103" s="41" t="n"/>
      <c r="H103" s="40" t="n"/>
      <c r="I103" s="40" t="n"/>
      <c r="J103" s="40" t="n"/>
      <c r="K103" s="37" t="n"/>
      <c r="L103" s="37" t="n"/>
      <c r="M103" s="14">
        <f>IF(COUNTA(A103:L103)=0,"",IF(A103="","Plan ID missing",IF(COUNTIF($A$4:$A$353,A103)&gt;1,"Duplicate Plan ID",IF(B103="","AIR-ID missing",IF(C103="","Gate / forum missing",IF(AND(I103="Planned",COUNTIFS($B$4:$B$353,B103,$C$4:$C$353,C103,$K$4:$K$353,K103&amp;"",$I$4:$I$353,"Planned")&gt;1),"More than one active plan for this AIR-ID, UC-ID scope and gate",IF(AND(E103="Not applicable",J103=""),"Not applicable needs rationale and authority ref",IF(AND(E103="Required",F103=""),"Required gate needs basis / triage ref",IF(L103="","Decision scope missing",IF(AND(L103="UC-ID specific",K103=""),"UC-ID required",IF(AND(L103="Shared system baseline",K103&lt;&gt;""),"Remove UC-ID or correct scope",IF(AND(G103&lt;&gt;"",NOT(ISNUMBER(G103))),"Target date is not a date",IF(E103="","Requirement missing",IF(I103="","Plan state missing","Check against source"))))))))))))))</f>
        <v/>
      </c>
    </row>
    <row r="104">
      <c r="A104" s="38" t="n"/>
      <c r="B104" s="38" t="n"/>
      <c r="C104" s="38" t="n"/>
      <c r="D104" s="38" t="n"/>
      <c r="E104" s="38" t="n"/>
      <c r="F104" s="38" t="n"/>
      <c r="G104" s="39" t="n"/>
      <c r="H104" s="38" t="n"/>
      <c r="I104" s="38" t="n"/>
      <c r="J104" s="38" t="n"/>
      <c r="K104" s="37" t="n"/>
      <c r="L104" s="37" t="n"/>
      <c r="M104" s="14">
        <f>IF(COUNTA(A104:L104)=0,"",IF(A104="","Plan ID missing",IF(COUNTIF($A$4:$A$353,A104)&gt;1,"Duplicate Plan ID",IF(B104="","AIR-ID missing",IF(C104="","Gate / forum missing",IF(AND(I104="Planned",COUNTIFS($B$4:$B$353,B104,$C$4:$C$353,C104,$K$4:$K$353,K104&amp;"",$I$4:$I$353,"Planned")&gt;1),"More than one active plan for this AIR-ID, UC-ID scope and gate",IF(AND(E104="Not applicable",J104=""),"Not applicable needs rationale and authority ref",IF(AND(E104="Required",F104=""),"Required gate needs basis / triage ref",IF(L104="","Decision scope missing",IF(AND(L104="UC-ID specific",K104=""),"UC-ID required",IF(AND(L104="Shared system baseline",K104&lt;&gt;""),"Remove UC-ID or correct scope",IF(AND(G104&lt;&gt;"",NOT(ISNUMBER(G104))),"Target date is not a date",IF(E104="","Requirement missing",IF(I104="","Plan state missing","Check against source"))))))))))))))</f>
        <v/>
      </c>
    </row>
    <row r="105">
      <c r="A105" s="40" t="n"/>
      <c r="B105" s="40" t="n"/>
      <c r="C105" s="40" t="n"/>
      <c r="D105" s="40" t="n"/>
      <c r="E105" s="40" t="n"/>
      <c r="F105" s="40" t="n"/>
      <c r="G105" s="41" t="n"/>
      <c r="H105" s="40" t="n"/>
      <c r="I105" s="40" t="n"/>
      <c r="J105" s="40" t="n"/>
      <c r="K105" s="37" t="n"/>
      <c r="L105" s="37" t="n"/>
      <c r="M105" s="14">
        <f>IF(COUNTA(A105:L105)=0,"",IF(A105="","Plan ID missing",IF(COUNTIF($A$4:$A$353,A105)&gt;1,"Duplicate Plan ID",IF(B105="","AIR-ID missing",IF(C105="","Gate / forum missing",IF(AND(I105="Planned",COUNTIFS($B$4:$B$353,B105,$C$4:$C$353,C105,$K$4:$K$353,K105&amp;"",$I$4:$I$353,"Planned")&gt;1),"More than one active plan for this AIR-ID, UC-ID scope and gate",IF(AND(E105="Not applicable",J105=""),"Not applicable needs rationale and authority ref",IF(AND(E105="Required",F105=""),"Required gate needs basis / triage ref",IF(L105="","Decision scope missing",IF(AND(L105="UC-ID specific",K105=""),"UC-ID required",IF(AND(L105="Shared system baseline",K105&lt;&gt;""),"Remove UC-ID or correct scope",IF(AND(G105&lt;&gt;"",NOT(ISNUMBER(G105))),"Target date is not a date",IF(E105="","Requirement missing",IF(I105="","Plan state missing","Check against source"))))))))))))))</f>
        <v/>
      </c>
    </row>
    <row r="106">
      <c r="A106" s="38" t="n"/>
      <c r="B106" s="38" t="n"/>
      <c r="C106" s="38" t="n"/>
      <c r="D106" s="38" t="n"/>
      <c r="E106" s="38" t="n"/>
      <c r="F106" s="38" t="n"/>
      <c r="G106" s="39" t="n"/>
      <c r="H106" s="38" t="n"/>
      <c r="I106" s="38" t="n"/>
      <c r="J106" s="38" t="n"/>
      <c r="K106" s="37" t="n"/>
      <c r="L106" s="37" t="n"/>
      <c r="M106" s="14">
        <f>IF(COUNTA(A106:L106)=0,"",IF(A106="","Plan ID missing",IF(COUNTIF($A$4:$A$353,A106)&gt;1,"Duplicate Plan ID",IF(B106="","AIR-ID missing",IF(C106="","Gate / forum missing",IF(AND(I106="Planned",COUNTIFS($B$4:$B$353,B106,$C$4:$C$353,C106,$K$4:$K$353,K106&amp;"",$I$4:$I$353,"Planned")&gt;1),"More than one active plan for this AIR-ID, UC-ID scope and gate",IF(AND(E106="Not applicable",J106=""),"Not applicable needs rationale and authority ref",IF(AND(E106="Required",F106=""),"Required gate needs basis / triage ref",IF(L106="","Decision scope missing",IF(AND(L106="UC-ID specific",K106=""),"UC-ID required",IF(AND(L106="Shared system baseline",K106&lt;&gt;""),"Remove UC-ID or correct scope",IF(AND(G106&lt;&gt;"",NOT(ISNUMBER(G106))),"Target date is not a date",IF(E106="","Requirement missing",IF(I106="","Plan state missing","Check against source"))))))))))))))</f>
        <v/>
      </c>
    </row>
    <row r="107">
      <c r="A107" s="40" t="n"/>
      <c r="B107" s="40" t="n"/>
      <c r="C107" s="40" t="n"/>
      <c r="D107" s="40" t="n"/>
      <c r="E107" s="40" t="n"/>
      <c r="F107" s="40" t="n"/>
      <c r="G107" s="41" t="n"/>
      <c r="H107" s="40" t="n"/>
      <c r="I107" s="40" t="n"/>
      <c r="J107" s="40" t="n"/>
      <c r="K107" s="37" t="n"/>
      <c r="L107" s="37" t="n"/>
      <c r="M107" s="14">
        <f>IF(COUNTA(A107:L107)=0,"",IF(A107="","Plan ID missing",IF(COUNTIF($A$4:$A$353,A107)&gt;1,"Duplicate Plan ID",IF(B107="","AIR-ID missing",IF(C107="","Gate / forum missing",IF(AND(I107="Planned",COUNTIFS($B$4:$B$353,B107,$C$4:$C$353,C107,$K$4:$K$353,K107&amp;"",$I$4:$I$353,"Planned")&gt;1),"More than one active plan for this AIR-ID, UC-ID scope and gate",IF(AND(E107="Not applicable",J107=""),"Not applicable needs rationale and authority ref",IF(AND(E107="Required",F107=""),"Required gate needs basis / triage ref",IF(L107="","Decision scope missing",IF(AND(L107="UC-ID specific",K107=""),"UC-ID required",IF(AND(L107="Shared system baseline",K107&lt;&gt;""),"Remove UC-ID or correct scope",IF(AND(G107&lt;&gt;"",NOT(ISNUMBER(G107))),"Target date is not a date",IF(E107="","Requirement missing",IF(I107="","Plan state missing","Check against source"))))))))))))))</f>
        <v/>
      </c>
    </row>
    <row r="108">
      <c r="A108" s="38" t="n"/>
      <c r="B108" s="38" t="n"/>
      <c r="C108" s="38" t="n"/>
      <c r="D108" s="38" t="n"/>
      <c r="E108" s="38" t="n"/>
      <c r="F108" s="38" t="n"/>
      <c r="G108" s="39" t="n"/>
      <c r="H108" s="38" t="n"/>
      <c r="I108" s="38" t="n"/>
      <c r="J108" s="38" t="n"/>
      <c r="K108" s="37" t="n"/>
      <c r="L108" s="37" t="n"/>
      <c r="M108" s="14">
        <f>IF(COUNTA(A108:L108)=0,"",IF(A108="","Plan ID missing",IF(COUNTIF($A$4:$A$353,A108)&gt;1,"Duplicate Plan ID",IF(B108="","AIR-ID missing",IF(C108="","Gate / forum missing",IF(AND(I108="Planned",COUNTIFS($B$4:$B$353,B108,$C$4:$C$353,C108,$K$4:$K$353,K108&amp;"",$I$4:$I$353,"Planned")&gt;1),"More than one active plan for this AIR-ID, UC-ID scope and gate",IF(AND(E108="Not applicable",J108=""),"Not applicable needs rationale and authority ref",IF(AND(E108="Required",F108=""),"Required gate needs basis / triage ref",IF(L108="","Decision scope missing",IF(AND(L108="UC-ID specific",K108=""),"UC-ID required",IF(AND(L108="Shared system baseline",K108&lt;&gt;""),"Remove UC-ID or correct scope",IF(AND(G108&lt;&gt;"",NOT(ISNUMBER(G108))),"Target date is not a date",IF(E108="","Requirement missing",IF(I108="","Plan state missing","Check against source"))))))))))))))</f>
        <v/>
      </c>
    </row>
    <row r="109">
      <c r="A109" s="40" t="n"/>
      <c r="B109" s="40" t="n"/>
      <c r="C109" s="40" t="n"/>
      <c r="D109" s="40" t="n"/>
      <c r="E109" s="40" t="n"/>
      <c r="F109" s="40" t="n"/>
      <c r="G109" s="41" t="n"/>
      <c r="H109" s="40" t="n"/>
      <c r="I109" s="40" t="n"/>
      <c r="J109" s="40" t="n"/>
      <c r="K109" s="37" t="n"/>
      <c r="L109" s="37" t="n"/>
      <c r="M109" s="14">
        <f>IF(COUNTA(A109:L109)=0,"",IF(A109="","Plan ID missing",IF(COUNTIF($A$4:$A$353,A109)&gt;1,"Duplicate Plan ID",IF(B109="","AIR-ID missing",IF(C109="","Gate / forum missing",IF(AND(I109="Planned",COUNTIFS($B$4:$B$353,B109,$C$4:$C$353,C109,$K$4:$K$353,K109&amp;"",$I$4:$I$353,"Planned")&gt;1),"More than one active plan for this AIR-ID, UC-ID scope and gate",IF(AND(E109="Not applicable",J109=""),"Not applicable needs rationale and authority ref",IF(AND(E109="Required",F109=""),"Required gate needs basis / triage ref",IF(L109="","Decision scope missing",IF(AND(L109="UC-ID specific",K109=""),"UC-ID required",IF(AND(L109="Shared system baseline",K109&lt;&gt;""),"Remove UC-ID or correct scope",IF(AND(G109&lt;&gt;"",NOT(ISNUMBER(G109))),"Target date is not a date",IF(E109="","Requirement missing",IF(I109="","Plan state missing","Check against source"))))))))))))))</f>
        <v/>
      </c>
    </row>
    <row r="110">
      <c r="A110" s="38" t="n"/>
      <c r="B110" s="38" t="n"/>
      <c r="C110" s="38" t="n"/>
      <c r="D110" s="38" t="n"/>
      <c r="E110" s="38" t="n"/>
      <c r="F110" s="38" t="n"/>
      <c r="G110" s="39" t="n"/>
      <c r="H110" s="38" t="n"/>
      <c r="I110" s="38" t="n"/>
      <c r="J110" s="38" t="n"/>
      <c r="K110" s="37" t="n"/>
      <c r="L110" s="37" t="n"/>
      <c r="M110" s="14">
        <f>IF(COUNTA(A110:L110)=0,"",IF(A110="","Plan ID missing",IF(COUNTIF($A$4:$A$353,A110)&gt;1,"Duplicate Plan ID",IF(B110="","AIR-ID missing",IF(C110="","Gate / forum missing",IF(AND(I110="Planned",COUNTIFS($B$4:$B$353,B110,$C$4:$C$353,C110,$K$4:$K$353,K110&amp;"",$I$4:$I$353,"Planned")&gt;1),"More than one active plan for this AIR-ID, UC-ID scope and gate",IF(AND(E110="Not applicable",J110=""),"Not applicable needs rationale and authority ref",IF(AND(E110="Required",F110=""),"Required gate needs basis / triage ref",IF(L110="","Decision scope missing",IF(AND(L110="UC-ID specific",K110=""),"UC-ID required",IF(AND(L110="Shared system baseline",K110&lt;&gt;""),"Remove UC-ID or correct scope",IF(AND(G110&lt;&gt;"",NOT(ISNUMBER(G110))),"Target date is not a date",IF(E110="","Requirement missing",IF(I110="","Plan state missing","Check against source"))))))))))))))</f>
        <v/>
      </c>
    </row>
    <row r="111">
      <c r="A111" s="40" t="n"/>
      <c r="B111" s="40" t="n"/>
      <c r="C111" s="40" t="n"/>
      <c r="D111" s="40" t="n"/>
      <c r="E111" s="40" t="n"/>
      <c r="F111" s="40" t="n"/>
      <c r="G111" s="41" t="n"/>
      <c r="H111" s="40" t="n"/>
      <c r="I111" s="40" t="n"/>
      <c r="J111" s="40" t="n"/>
      <c r="K111" s="37" t="n"/>
      <c r="L111" s="37" t="n"/>
      <c r="M111" s="14">
        <f>IF(COUNTA(A111:L111)=0,"",IF(A111="","Plan ID missing",IF(COUNTIF($A$4:$A$353,A111)&gt;1,"Duplicate Plan ID",IF(B111="","AIR-ID missing",IF(C111="","Gate / forum missing",IF(AND(I111="Planned",COUNTIFS($B$4:$B$353,B111,$C$4:$C$353,C111,$K$4:$K$353,K111&amp;"",$I$4:$I$353,"Planned")&gt;1),"More than one active plan for this AIR-ID, UC-ID scope and gate",IF(AND(E111="Not applicable",J111=""),"Not applicable needs rationale and authority ref",IF(AND(E111="Required",F111=""),"Required gate needs basis / triage ref",IF(L111="","Decision scope missing",IF(AND(L111="UC-ID specific",K111=""),"UC-ID required",IF(AND(L111="Shared system baseline",K111&lt;&gt;""),"Remove UC-ID or correct scope",IF(AND(G111&lt;&gt;"",NOT(ISNUMBER(G111))),"Target date is not a date",IF(E111="","Requirement missing",IF(I111="","Plan state missing","Check against source"))))))))))))))</f>
        <v/>
      </c>
    </row>
    <row r="112">
      <c r="A112" s="38" t="n"/>
      <c r="B112" s="38" t="n"/>
      <c r="C112" s="38" t="n"/>
      <c r="D112" s="38" t="n"/>
      <c r="E112" s="38" t="n"/>
      <c r="F112" s="38" t="n"/>
      <c r="G112" s="39" t="n"/>
      <c r="H112" s="38" t="n"/>
      <c r="I112" s="38" t="n"/>
      <c r="J112" s="38" t="n"/>
      <c r="K112" s="37" t="n"/>
      <c r="L112" s="37" t="n"/>
      <c r="M112" s="14">
        <f>IF(COUNTA(A112:L112)=0,"",IF(A112="","Plan ID missing",IF(COUNTIF($A$4:$A$353,A112)&gt;1,"Duplicate Plan ID",IF(B112="","AIR-ID missing",IF(C112="","Gate / forum missing",IF(AND(I112="Planned",COUNTIFS($B$4:$B$353,B112,$C$4:$C$353,C112,$K$4:$K$353,K112&amp;"",$I$4:$I$353,"Planned")&gt;1),"More than one active plan for this AIR-ID, UC-ID scope and gate",IF(AND(E112="Not applicable",J112=""),"Not applicable needs rationale and authority ref",IF(AND(E112="Required",F112=""),"Required gate needs basis / triage ref",IF(L112="","Decision scope missing",IF(AND(L112="UC-ID specific",K112=""),"UC-ID required",IF(AND(L112="Shared system baseline",K112&lt;&gt;""),"Remove UC-ID or correct scope",IF(AND(G112&lt;&gt;"",NOT(ISNUMBER(G112))),"Target date is not a date",IF(E112="","Requirement missing",IF(I112="","Plan state missing","Check against source"))))))))))))))</f>
        <v/>
      </c>
    </row>
    <row r="113">
      <c r="A113" s="40" t="n"/>
      <c r="B113" s="40" t="n"/>
      <c r="C113" s="40" t="n"/>
      <c r="D113" s="40" t="n"/>
      <c r="E113" s="40" t="n"/>
      <c r="F113" s="40" t="n"/>
      <c r="G113" s="41" t="n"/>
      <c r="H113" s="40" t="n"/>
      <c r="I113" s="40" t="n"/>
      <c r="J113" s="40" t="n"/>
      <c r="K113" s="37" t="n"/>
      <c r="L113" s="37" t="n"/>
      <c r="M113" s="14">
        <f>IF(COUNTA(A113:L113)=0,"",IF(A113="","Plan ID missing",IF(COUNTIF($A$4:$A$353,A113)&gt;1,"Duplicate Plan ID",IF(B113="","AIR-ID missing",IF(C113="","Gate / forum missing",IF(AND(I113="Planned",COUNTIFS($B$4:$B$353,B113,$C$4:$C$353,C113,$K$4:$K$353,K113&amp;"",$I$4:$I$353,"Planned")&gt;1),"More than one active plan for this AIR-ID, UC-ID scope and gate",IF(AND(E113="Not applicable",J113=""),"Not applicable needs rationale and authority ref",IF(AND(E113="Required",F113=""),"Required gate needs basis / triage ref",IF(L113="","Decision scope missing",IF(AND(L113="UC-ID specific",K113=""),"UC-ID required",IF(AND(L113="Shared system baseline",K113&lt;&gt;""),"Remove UC-ID or correct scope",IF(AND(G113&lt;&gt;"",NOT(ISNUMBER(G113))),"Target date is not a date",IF(E113="","Requirement missing",IF(I113="","Plan state missing","Check against source"))))))))))))))</f>
        <v/>
      </c>
    </row>
    <row r="114">
      <c r="A114" s="38" t="n"/>
      <c r="B114" s="38" t="n"/>
      <c r="C114" s="38" t="n"/>
      <c r="D114" s="38" t="n"/>
      <c r="E114" s="38" t="n"/>
      <c r="F114" s="38" t="n"/>
      <c r="G114" s="39" t="n"/>
      <c r="H114" s="38" t="n"/>
      <c r="I114" s="38" t="n"/>
      <c r="J114" s="38" t="n"/>
      <c r="K114" s="37" t="n"/>
      <c r="L114" s="37" t="n"/>
      <c r="M114" s="14">
        <f>IF(COUNTA(A114:L114)=0,"",IF(A114="","Plan ID missing",IF(COUNTIF($A$4:$A$353,A114)&gt;1,"Duplicate Plan ID",IF(B114="","AIR-ID missing",IF(C114="","Gate / forum missing",IF(AND(I114="Planned",COUNTIFS($B$4:$B$353,B114,$C$4:$C$353,C114,$K$4:$K$353,K114&amp;"",$I$4:$I$353,"Planned")&gt;1),"More than one active plan for this AIR-ID, UC-ID scope and gate",IF(AND(E114="Not applicable",J114=""),"Not applicable needs rationale and authority ref",IF(AND(E114="Required",F114=""),"Required gate needs basis / triage ref",IF(L114="","Decision scope missing",IF(AND(L114="UC-ID specific",K114=""),"UC-ID required",IF(AND(L114="Shared system baseline",K114&lt;&gt;""),"Remove UC-ID or correct scope",IF(AND(G114&lt;&gt;"",NOT(ISNUMBER(G114))),"Target date is not a date",IF(E114="","Requirement missing",IF(I114="","Plan state missing","Check against source"))))))))))))))</f>
        <v/>
      </c>
    </row>
    <row r="115">
      <c r="A115" s="40" t="n"/>
      <c r="B115" s="40" t="n"/>
      <c r="C115" s="40" t="n"/>
      <c r="D115" s="40" t="n"/>
      <c r="E115" s="40" t="n"/>
      <c r="F115" s="40" t="n"/>
      <c r="G115" s="41" t="n"/>
      <c r="H115" s="40" t="n"/>
      <c r="I115" s="40" t="n"/>
      <c r="J115" s="40" t="n"/>
      <c r="K115" s="37" t="n"/>
      <c r="L115" s="37" t="n"/>
      <c r="M115" s="14">
        <f>IF(COUNTA(A115:L115)=0,"",IF(A115="","Plan ID missing",IF(COUNTIF($A$4:$A$353,A115)&gt;1,"Duplicate Plan ID",IF(B115="","AIR-ID missing",IF(C115="","Gate / forum missing",IF(AND(I115="Planned",COUNTIFS($B$4:$B$353,B115,$C$4:$C$353,C115,$K$4:$K$353,K115&amp;"",$I$4:$I$353,"Planned")&gt;1),"More than one active plan for this AIR-ID, UC-ID scope and gate",IF(AND(E115="Not applicable",J115=""),"Not applicable needs rationale and authority ref",IF(AND(E115="Required",F115=""),"Required gate needs basis / triage ref",IF(L115="","Decision scope missing",IF(AND(L115="UC-ID specific",K115=""),"UC-ID required",IF(AND(L115="Shared system baseline",K115&lt;&gt;""),"Remove UC-ID or correct scope",IF(AND(G115&lt;&gt;"",NOT(ISNUMBER(G115))),"Target date is not a date",IF(E115="","Requirement missing",IF(I115="","Plan state missing","Check against source"))))))))))))))</f>
        <v/>
      </c>
    </row>
    <row r="116">
      <c r="A116" s="38" t="n"/>
      <c r="B116" s="38" t="n"/>
      <c r="C116" s="38" t="n"/>
      <c r="D116" s="38" t="n"/>
      <c r="E116" s="38" t="n"/>
      <c r="F116" s="38" t="n"/>
      <c r="G116" s="39" t="n"/>
      <c r="H116" s="38" t="n"/>
      <c r="I116" s="38" t="n"/>
      <c r="J116" s="38" t="n"/>
      <c r="K116" s="37" t="n"/>
      <c r="L116" s="37" t="n"/>
      <c r="M116" s="14">
        <f>IF(COUNTA(A116:L116)=0,"",IF(A116="","Plan ID missing",IF(COUNTIF($A$4:$A$353,A116)&gt;1,"Duplicate Plan ID",IF(B116="","AIR-ID missing",IF(C116="","Gate / forum missing",IF(AND(I116="Planned",COUNTIFS($B$4:$B$353,B116,$C$4:$C$353,C116,$K$4:$K$353,K116&amp;"",$I$4:$I$353,"Planned")&gt;1),"More than one active plan for this AIR-ID, UC-ID scope and gate",IF(AND(E116="Not applicable",J116=""),"Not applicable needs rationale and authority ref",IF(AND(E116="Required",F116=""),"Required gate needs basis / triage ref",IF(L116="","Decision scope missing",IF(AND(L116="UC-ID specific",K116=""),"UC-ID required",IF(AND(L116="Shared system baseline",K116&lt;&gt;""),"Remove UC-ID or correct scope",IF(AND(G116&lt;&gt;"",NOT(ISNUMBER(G116))),"Target date is not a date",IF(E116="","Requirement missing",IF(I116="","Plan state missing","Check against source"))))))))))))))</f>
        <v/>
      </c>
    </row>
    <row r="117">
      <c r="A117" s="40" t="n"/>
      <c r="B117" s="40" t="n"/>
      <c r="C117" s="40" t="n"/>
      <c r="D117" s="40" t="n"/>
      <c r="E117" s="40" t="n"/>
      <c r="F117" s="40" t="n"/>
      <c r="G117" s="41" t="n"/>
      <c r="H117" s="40" t="n"/>
      <c r="I117" s="40" t="n"/>
      <c r="J117" s="40" t="n"/>
      <c r="K117" s="37" t="n"/>
      <c r="L117" s="37" t="n"/>
      <c r="M117" s="14">
        <f>IF(COUNTA(A117:L117)=0,"",IF(A117="","Plan ID missing",IF(COUNTIF($A$4:$A$353,A117)&gt;1,"Duplicate Plan ID",IF(B117="","AIR-ID missing",IF(C117="","Gate / forum missing",IF(AND(I117="Planned",COUNTIFS($B$4:$B$353,B117,$C$4:$C$353,C117,$K$4:$K$353,K117&amp;"",$I$4:$I$353,"Planned")&gt;1),"More than one active plan for this AIR-ID, UC-ID scope and gate",IF(AND(E117="Not applicable",J117=""),"Not applicable needs rationale and authority ref",IF(AND(E117="Required",F117=""),"Required gate needs basis / triage ref",IF(L117="","Decision scope missing",IF(AND(L117="UC-ID specific",K117=""),"UC-ID required",IF(AND(L117="Shared system baseline",K117&lt;&gt;""),"Remove UC-ID or correct scope",IF(AND(G117&lt;&gt;"",NOT(ISNUMBER(G117))),"Target date is not a date",IF(E117="","Requirement missing",IF(I117="","Plan state missing","Check against source"))))))))))))))</f>
        <v/>
      </c>
    </row>
    <row r="118">
      <c r="A118" s="38" t="n"/>
      <c r="B118" s="38" t="n"/>
      <c r="C118" s="38" t="n"/>
      <c r="D118" s="38" t="n"/>
      <c r="E118" s="38" t="n"/>
      <c r="F118" s="38" t="n"/>
      <c r="G118" s="39" t="n"/>
      <c r="H118" s="38" t="n"/>
      <c r="I118" s="38" t="n"/>
      <c r="J118" s="38" t="n"/>
      <c r="K118" s="37" t="n"/>
      <c r="L118" s="37" t="n"/>
      <c r="M118" s="14">
        <f>IF(COUNTA(A118:L118)=0,"",IF(A118="","Plan ID missing",IF(COUNTIF($A$4:$A$353,A118)&gt;1,"Duplicate Plan ID",IF(B118="","AIR-ID missing",IF(C118="","Gate / forum missing",IF(AND(I118="Planned",COUNTIFS($B$4:$B$353,B118,$C$4:$C$353,C118,$K$4:$K$353,K118&amp;"",$I$4:$I$353,"Planned")&gt;1),"More than one active plan for this AIR-ID, UC-ID scope and gate",IF(AND(E118="Not applicable",J118=""),"Not applicable needs rationale and authority ref",IF(AND(E118="Required",F118=""),"Required gate needs basis / triage ref",IF(L118="","Decision scope missing",IF(AND(L118="UC-ID specific",K118=""),"UC-ID required",IF(AND(L118="Shared system baseline",K118&lt;&gt;""),"Remove UC-ID or correct scope",IF(AND(G118&lt;&gt;"",NOT(ISNUMBER(G118))),"Target date is not a date",IF(E118="","Requirement missing",IF(I118="","Plan state missing","Check against source"))))))))))))))</f>
        <v/>
      </c>
    </row>
    <row r="119">
      <c r="A119" s="40" t="n"/>
      <c r="B119" s="40" t="n"/>
      <c r="C119" s="40" t="n"/>
      <c r="D119" s="40" t="n"/>
      <c r="E119" s="40" t="n"/>
      <c r="F119" s="40" t="n"/>
      <c r="G119" s="41" t="n"/>
      <c r="H119" s="40" t="n"/>
      <c r="I119" s="40" t="n"/>
      <c r="J119" s="40" t="n"/>
      <c r="K119" s="37" t="n"/>
      <c r="L119" s="37" t="n"/>
      <c r="M119" s="14">
        <f>IF(COUNTA(A119:L119)=0,"",IF(A119="","Plan ID missing",IF(COUNTIF($A$4:$A$353,A119)&gt;1,"Duplicate Plan ID",IF(B119="","AIR-ID missing",IF(C119="","Gate / forum missing",IF(AND(I119="Planned",COUNTIFS($B$4:$B$353,B119,$C$4:$C$353,C119,$K$4:$K$353,K119&amp;"",$I$4:$I$353,"Planned")&gt;1),"More than one active plan for this AIR-ID, UC-ID scope and gate",IF(AND(E119="Not applicable",J119=""),"Not applicable needs rationale and authority ref",IF(AND(E119="Required",F119=""),"Required gate needs basis / triage ref",IF(L119="","Decision scope missing",IF(AND(L119="UC-ID specific",K119=""),"UC-ID required",IF(AND(L119="Shared system baseline",K119&lt;&gt;""),"Remove UC-ID or correct scope",IF(AND(G119&lt;&gt;"",NOT(ISNUMBER(G119))),"Target date is not a date",IF(E119="","Requirement missing",IF(I119="","Plan state missing","Check against source"))))))))))))))</f>
        <v/>
      </c>
    </row>
    <row r="120">
      <c r="A120" s="38" t="n"/>
      <c r="B120" s="38" t="n"/>
      <c r="C120" s="38" t="n"/>
      <c r="D120" s="38" t="n"/>
      <c r="E120" s="38" t="n"/>
      <c r="F120" s="38" t="n"/>
      <c r="G120" s="39" t="n"/>
      <c r="H120" s="38" t="n"/>
      <c r="I120" s="38" t="n"/>
      <c r="J120" s="38" t="n"/>
      <c r="K120" s="37" t="n"/>
      <c r="L120" s="37" t="n"/>
      <c r="M120" s="14">
        <f>IF(COUNTA(A120:L120)=0,"",IF(A120="","Plan ID missing",IF(COUNTIF($A$4:$A$353,A120)&gt;1,"Duplicate Plan ID",IF(B120="","AIR-ID missing",IF(C120="","Gate / forum missing",IF(AND(I120="Planned",COUNTIFS($B$4:$B$353,B120,$C$4:$C$353,C120,$K$4:$K$353,K120&amp;"",$I$4:$I$353,"Planned")&gt;1),"More than one active plan for this AIR-ID, UC-ID scope and gate",IF(AND(E120="Not applicable",J120=""),"Not applicable needs rationale and authority ref",IF(AND(E120="Required",F120=""),"Required gate needs basis / triage ref",IF(L120="","Decision scope missing",IF(AND(L120="UC-ID specific",K120=""),"UC-ID required",IF(AND(L120="Shared system baseline",K120&lt;&gt;""),"Remove UC-ID or correct scope",IF(AND(G120&lt;&gt;"",NOT(ISNUMBER(G120))),"Target date is not a date",IF(E120="","Requirement missing",IF(I120="","Plan state missing","Check against source"))))))))))))))</f>
        <v/>
      </c>
    </row>
    <row r="121">
      <c r="A121" s="40" t="n"/>
      <c r="B121" s="40" t="n"/>
      <c r="C121" s="40" t="n"/>
      <c r="D121" s="40" t="n"/>
      <c r="E121" s="40" t="n"/>
      <c r="F121" s="40" t="n"/>
      <c r="G121" s="41" t="n"/>
      <c r="H121" s="40" t="n"/>
      <c r="I121" s="40" t="n"/>
      <c r="J121" s="40" t="n"/>
      <c r="K121" s="37" t="n"/>
      <c r="L121" s="37" t="n"/>
      <c r="M121" s="14">
        <f>IF(COUNTA(A121:L121)=0,"",IF(A121="","Plan ID missing",IF(COUNTIF($A$4:$A$353,A121)&gt;1,"Duplicate Plan ID",IF(B121="","AIR-ID missing",IF(C121="","Gate / forum missing",IF(AND(I121="Planned",COUNTIFS($B$4:$B$353,B121,$C$4:$C$353,C121,$K$4:$K$353,K121&amp;"",$I$4:$I$353,"Planned")&gt;1),"More than one active plan for this AIR-ID, UC-ID scope and gate",IF(AND(E121="Not applicable",J121=""),"Not applicable needs rationale and authority ref",IF(AND(E121="Required",F121=""),"Required gate needs basis / triage ref",IF(L121="","Decision scope missing",IF(AND(L121="UC-ID specific",K121=""),"UC-ID required",IF(AND(L121="Shared system baseline",K121&lt;&gt;""),"Remove UC-ID or correct scope",IF(AND(G121&lt;&gt;"",NOT(ISNUMBER(G121))),"Target date is not a date",IF(E121="","Requirement missing",IF(I121="","Plan state missing","Check against source"))))))))))))))</f>
        <v/>
      </c>
    </row>
    <row r="122">
      <c r="A122" s="38" t="n"/>
      <c r="B122" s="38" t="n"/>
      <c r="C122" s="38" t="n"/>
      <c r="D122" s="38" t="n"/>
      <c r="E122" s="38" t="n"/>
      <c r="F122" s="38" t="n"/>
      <c r="G122" s="39" t="n"/>
      <c r="H122" s="38" t="n"/>
      <c r="I122" s="38" t="n"/>
      <c r="J122" s="38" t="n"/>
      <c r="K122" s="37" t="n"/>
      <c r="L122" s="37" t="n"/>
      <c r="M122" s="14">
        <f>IF(COUNTA(A122:L122)=0,"",IF(A122="","Plan ID missing",IF(COUNTIF($A$4:$A$353,A122)&gt;1,"Duplicate Plan ID",IF(B122="","AIR-ID missing",IF(C122="","Gate / forum missing",IF(AND(I122="Planned",COUNTIFS($B$4:$B$353,B122,$C$4:$C$353,C122,$K$4:$K$353,K122&amp;"",$I$4:$I$353,"Planned")&gt;1),"More than one active plan for this AIR-ID, UC-ID scope and gate",IF(AND(E122="Not applicable",J122=""),"Not applicable needs rationale and authority ref",IF(AND(E122="Required",F122=""),"Required gate needs basis / triage ref",IF(L122="","Decision scope missing",IF(AND(L122="UC-ID specific",K122=""),"UC-ID required",IF(AND(L122="Shared system baseline",K122&lt;&gt;""),"Remove UC-ID or correct scope",IF(AND(G122&lt;&gt;"",NOT(ISNUMBER(G122))),"Target date is not a date",IF(E122="","Requirement missing",IF(I122="","Plan state missing","Check against source"))))))))))))))</f>
        <v/>
      </c>
    </row>
    <row r="123">
      <c r="A123" s="40" t="n"/>
      <c r="B123" s="40" t="n"/>
      <c r="C123" s="40" t="n"/>
      <c r="D123" s="40" t="n"/>
      <c r="E123" s="40" t="n"/>
      <c r="F123" s="40" t="n"/>
      <c r="G123" s="41" t="n"/>
      <c r="H123" s="40" t="n"/>
      <c r="I123" s="40" t="n"/>
      <c r="J123" s="40" t="n"/>
      <c r="K123" s="37" t="n"/>
      <c r="L123" s="37" t="n"/>
      <c r="M123" s="14">
        <f>IF(COUNTA(A123:L123)=0,"",IF(A123="","Plan ID missing",IF(COUNTIF($A$4:$A$353,A123)&gt;1,"Duplicate Plan ID",IF(B123="","AIR-ID missing",IF(C123="","Gate / forum missing",IF(AND(I123="Planned",COUNTIFS($B$4:$B$353,B123,$C$4:$C$353,C123,$K$4:$K$353,K123&amp;"",$I$4:$I$353,"Planned")&gt;1),"More than one active plan for this AIR-ID, UC-ID scope and gate",IF(AND(E123="Not applicable",J123=""),"Not applicable needs rationale and authority ref",IF(AND(E123="Required",F123=""),"Required gate needs basis / triage ref",IF(L123="","Decision scope missing",IF(AND(L123="UC-ID specific",K123=""),"UC-ID required",IF(AND(L123="Shared system baseline",K123&lt;&gt;""),"Remove UC-ID or correct scope",IF(AND(G123&lt;&gt;"",NOT(ISNUMBER(G123))),"Target date is not a date",IF(E123="","Requirement missing",IF(I123="","Plan state missing","Check against source"))))))))))))))</f>
        <v/>
      </c>
    </row>
    <row r="124">
      <c r="A124" s="38" t="n"/>
      <c r="B124" s="38" t="n"/>
      <c r="C124" s="38" t="n"/>
      <c r="D124" s="38" t="n"/>
      <c r="E124" s="38" t="n"/>
      <c r="F124" s="38" t="n"/>
      <c r="G124" s="39" t="n"/>
      <c r="H124" s="38" t="n"/>
      <c r="I124" s="38" t="n"/>
      <c r="J124" s="38" t="n"/>
      <c r="K124" s="37" t="n"/>
      <c r="L124" s="37" t="n"/>
      <c r="M124" s="14">
        <f>IF(COUNTA(A124:L124)=0,"",IF(A124="","Plan ID missing",IF(COUNTIF($A$4:$A$353,A124)&gt;1,"Duplicate Plan ID",IF(B124="","AIR-ID missing",IF(C124="","Gate / forum missing",IF(AND(I124="Planned",COUNTIFS($B$4:$B$353,B124,$C$4:$C$353,C124,$K$4:$K$353,K124&amp;"",$I$4:$I$353,"Planned")&gt;1),"More than one active plan for this AIR-ID, UC-ID scope and gate",IF(AND(E124="Not applicable",J124=""),"Not applicable needs rationale and authority ref",IF(AND(E124="Required",F124=""),"Required gate needs basis / triage ref",IF(L124="","Decision scope missing",IF(AND(L124="UC-ID specific",K124=""),"UC-ID required",IF(AND(L124="Shared system baseline",K124&lt;&gt;""),"Remove UC-ID or correct scope",IF(AND(G124&lt;&gt;"",NOT(ISNUMBER(G124))),"Target date is not a date",IF(E124="","Requirement missing",IF(I124="","Plan state missing","Check against source"))))))))))))))</f>
        <v/>
      </c>
    </row>
    <row r="125">
      <c r="A125" s="40" t="n"/>
      <c r="B125" s="40" t="n"/>
      <c r="C125" s="40" t="n"/>
      <c r="D125" s="40" t="n"/>
      <c r="E125" s="40" t="n"/>
      <c r="F125" s="40" t="n"/>
      <c r="G125" s="41" t="n"/>
      <c r="H125" s="40" t="n"/>
      <c r="I125" s="40" t="n"/>
      <c r="J125" s="40" t="n"/>
      <c r="K125" s="37" t="n"/>
      <c r="L125" s="37" t="n"/>
      <c r="M125" s="14">
        <f>IF(COUNTA(A125:L125)=0,"",IF(A125="","Plan ID missing",IF(COUNTIF($A$4:$A$353,A125)&gt;1,"Duplicate Plan ID",IF(B125="","AIR-ID missing",IF(C125="","Gate / forum missing",IF(AND(I125="Planned",COUNTIFS($B$4:$B$353,B125,$C$4:$C$353,C125,$K$4:$K$353,K125&amp;"",$I$4:$I$353,"Planned")&gt;1),"More than one active plan for this AIR-ID, UC-ID scope and gate",IF(AND(E125="Not applicable",J125=""),"Not applicable needs rationale and authority ref",IF(AND(E125="Required",F125=""),"Required gate needs basis / triage ref",IF(L125="","Decision scope missing",IF(AND(L125="UC-ID specific",K125=""),"UC-ID required",IF(AND(L125="Shared system baseline",K125&lt;&gt;""),"Remove UC-ID or correct scope",IF(AND(G125&lt;&gt;"",NOT(ISNUMBER(G125))),"Target date is not a date",IF(E125="","Requirement missing",IF(I125="","Plan state missing","Check against source"))))))))))))))</f>
        <v/>
      </c>
    </row>
    <row r="126">
      <c r="A126" s="38" t="n"/>
      <c r="B126" s="38" t="n"/>
      <c r="C126" s="38" t="n"/>
      <c r="D126" s="38" t="n"/>
      <c r="E126" s="38" t="n"/>
      <c r="F126" s="38" t="n"/>
      <c r="G126" s="39" t="n"/>
      <c r="H126" s="38" t="n"/>
      <c r="I126" s="38" t="n"/>
      <c r="J126" s="38" t="n"/>
      <c r="K126" s="37" t="n"/>
      <c r="L126" s="37" t="n"/>
      <c r="M126" s="14">
        <f>IF(COUNTA(A126:L126)=0,"",IF(A126="","Plan ID missing",IF(COUNTIF($A$4:$A$353,A126)&gt;1,"Duplicate Plan ID",IF(B126="","AIR-ID missing",IF(C126="","Gate / forum missing",IF(AND(I126="Planned",COUNTIFS($B$4:$B$353,B126,$C$4:$C$353,C126,$K$4:$K$353,K126&amp;"",$I$4:$I$353,"Planned")&gt;1),"More than one active plan for this AIR-ID, UC-ID scope and gate",IF(AND(E126="Not applicable",J126=""),"Not applicable needs rationale and authority ref",IF(AND(E126="Required",F126=""),"Required gate needs basis / triage ref",IF(L126="","Decision scope missing",IF(AND(L126="UC-ID specific",K126=""),"UC-ID required",IF(AND(L126="Shared system baseline",K126&lt;&gt;""),"Remove UC-ID or correct scope",IF(AND(G126&lt;&gt;"",NOT(ISNUMBER(G126))),"Target date is not a date",IF(E126="","Requirement missing",IF(I126="","Plan state missing","Check against source"))))))))))))))</f>
        <v/>
      </c>
    </row>
    <row r="127">
      <c r="A127" s="40" t="n"/>
      <c r="B127" s="40" t="n"/>
      <c r="C127" s="40" t="n"/>
      <c r="D127" s="40" t="n"/>
      <c r="E127" s="40" t="n"/>
      <c r="F127" s="40" t="n"/>
      <c r="G127" s="41" t="n"/>
      <c r="H127" s="40" t="n"/>
      <c r="I127" s="40" t="n"/>
      <c r="J127" s="40" t="n"/>
      <c r="K127" s="37" t="n"/>
      <c r="L127" s="37" t="n"/>
      <c r="M127" s="14">
        <f>IF(COUNTA(A127:L127)=0,"",IF(A127="","Plan ID missing",IF(COUNTIF($A$4:$A$353,A127)&gt;1,"Duplicate Plan ID",IF(B127="","AIR-ID missing",IF(C127="","Gate / forum missing",IF(AND(I127="Planned",COUNTIFS($B$4:$B$353,B127,$C$4:$C$353,C127,$K$4:$K$353,K127&amp;"",$I$4:$I$353,"Planned")&gt;1),"More than one active plan for this AIR-ID, UC-ID scope and gate",IF(AND(E127="Not applicable",J127=""),"Not applicable needs rationale and authority ref",IF(AND(E127="Required",F127=""),"Required gate needs basis / triage ref",IF(L127="","Decision scope missing",IF(AND(L127="UC-ID specific",K127=""),"UC-ID required",IF(AND(L127="Shared system baseline",K127&lt;&gt;""),"Remove UC-ID or correct scope",IF(AND(G127&lt;&gt;"",NOT(ISNUMBER(G127))),"Target date is not a date",IF(E127="","Requirement missing",IF(I127="","Plan state missing","Check against source"))))))))))))))</f>
        <v/>
      </c>
    </row>
    <row r="128">
      <c r="A128" s="38" t="n"/>
      <c r="B128" s="38" t="n"/>
      <c r="C128" s="38" t="n"/>
      <c r="D128" s="38" t="n"/>
      <c r="E128" s="38" t="n"/>
      <c r="F128" s="38" t="n"/>
      <c r="G128" s="39" t="n"/>
      <c r="H128" s="38" t="n"/>
      <c r="I128" s="38" t="n"/>
      <c r="J128" s="38" t="n"/>
      <c r="K128" s="37" t="n"/>
      <c r="L128" s="37" t="n"/>
      <c r="M128" s="14">
        <f>IF(COUNTA(A128:L128)=0,"",IF(A128="","Plan ID missing",IF(COUNTIF($A$4:$A$353,A128)&gt;1,"Duplicate Plan ID",IF(B128="","AIR-ID missing",IF(C128="","Gate / forum missing",IF(AND(I128="Planned",COUNTIFS($B$4:$B$353,B128,$C$4:$C$353,C128,$K$4:$K$353,K128&amp;"",$I$4:$I$353,"Planned")&gt;1),"More than one active plan for this AIR-ID, UC-ID scope and gate",IF(AND(E128="Not applicable",J128=""),"Not applicable needs rationale and authority ref",IF(AND(E128="Required",F128=""),"Required gate needs basis / triage ref",IF(L128="","Decision scope missing",IF(AND(L128="UC-ID specific",K128=""),"UC-ID required",IF(AND(L128="Shared system baseline",K128&lt;&gt;""),"Remove UC-ID or correct scope",IF(AND(G128&lt;&gt;"",NOT(ISNUMBER(G128))),"Target date is not a date",IF(E128="","Requirement missing",IF(I128="","Plan state missing","Check against source"))))))))))))))</f>
        <v/>
      </c>
    </row>
    <row r="129">
      <c r="A129" s="40" t="n"/>
      <c r="B129" s="40" t="n"/>
      <c r="C129" s="40" t="n"/>
      <c r="D129" s="40" t="n"/>
      <c r="E129" s="40" t="n"/>
      <c r="F129" s="40" t="n"/>
      <c r="G129" s="41" t="n"/>
      <c r="H129" s="40" t="n"/>
      <c r="I129" s="40" t="n"/>
      <c r="J129" s="40" t="n"/>
      <c r="K129" s="37" t="n"/>
      <c r="L129" s="37" t="n"/>
      <c r="M129" s="14">
        <f>IF(COUNTA(A129:L129)=0,"",IF(A129="","Plan ID missing",IF(COUNTIF($A$4:$A$353,A129)&gt;1,"Duplicate Plan ID",IF(B129="","AIR-ID missing",IF(C129="","Gate / forum missing",IF(AND(I129="Planned",COUNTIFS($B$4:$B$353,B129,$C$4:$C$353,C129,$K$4:$K$353,K129&amp;"",$I$4:$I$353,"Planned")&gt;1),"More than one active plan for this AIR-ID, UC-ID scope and gate",IF(AND(E129="Not applicable",J129=""),"Not applicable needs rationale and authority ref",IF(AND(E129="Required",F129=""),"Required gate needs basis / triage ref",IF(L129="","Decision scope missing",IF(AND(L129="UC-ID specific",K129=""),"UC-ID required",IF(AND(L129="Shared system baseline",K129&lt;&gt;""),"Remove UC-ID or correct scope",IF(AND(G129&lt;&gt;"",NOT(ISNUMBER(G129))),"Target date is not a date",IF(E129="","Requirement missing",IF(I129="","Plan state missing","Check against source"))))))))))))))</f>
        <v/>
      </c>
    </row>
    <row r="130">
      <c r="A130" s="38" t="n"/>
      <c r="B130" s="38" t="n"/>
      <c r="C130" s="38" t="n"/>
      <c r="D130" s="38" t="n"/>
      <c r="E130" s="38" t="n"/>
      <c r="F130" s="38" t="n"/>
      <c r="G130" s="39" t="n"/>
      <c r="H130" s="38" t="n"/>
      <c r="I130" s="38" t="n"/>
      <c r="J130" s="38" t="n"/>
      <c r="K130" s="37" t="n"/>
      <c r="L130" s="37" t="n"/>
      <c r="M130" s="14">
        <f>IF(COUNTA(A130:L130)=0,"",IF(A130="","Plan ID missing",IF(COUNTIF($A$4:$A$353,A130)&gt;1,"Duplicate Plan ID",IF(B130="","AIR-ID missing",IF(C130="","Gate / forum missing",IF(AND(I130="Planned",COUNTIFS($B$4:$B$353,B130,$C$4:$C$353,C130,$K$4:$K$353,K130&amp;"",$I$4:$I$353,"Planned")&gt;1),"More than one active plan for this AIR-ID, UC-ID scope and gate",IF(AND(E130="Not applicable",J130=""),"Not applicable needs rationale and authority ref",IF(AND(E130="Required",F130=""),"Required gate needs basis / triage ref",IF(L130="","Decision scope missing",IF(AND(L130="UC-ID specific",K130=""),"UC-ID required",IF(AND(L130="Shared system baseline",K130&lt;&gt;""),"Remove UC-ID or correct scope",IF(AND(G130&lt;&gt;"",NOT(ISNUMBER(G130))),"Target date is not a date",IF(E130="","Requirement missing",IF(I130="","Plan state missing","Check against source"))))))))))))))</f>
        <v/>
      </c>
    </row>
    <row r="131">
      <c r="A131" s="40" t="n"/>
      <c r="B131" s="40" t="n"/>
      <c r="C131" s="40" t="n"/>
      <c r="D131" s="40" t="n"/>
      <c r="E131" s="40" t="n"/>
      <c r="F131" s="40" t="n"/>
      <c r="G131" s="41" t="n"/>
      <c r="H131" s="40" t="n"/>
      <c r="I131" s="40" t="n"/>
      <c r="J131" s="40" t="n"/>
      <c r="K131" s="37" t="n"/>
      <c r="L131" s="37" t="n"/>
      <c r="M131" s="14">
        <f>IF(COUNTA(A131:L131)=0,"",IF(A131="","Plan ID missing",IF(COUNTIF($A$4:$A$353,A131)&gt;1,"Duplicate Plan ID",IF(B131="","AIR-ID missing",IF(C131="","Gate / forum missing",IF(AND(I131="Planned",COUNTIFS($B$4:$B$353,B131,$C$4:$C$353,C131,$K$4:$K$353,K131&amp;"",$I$4:$I$353,"Planned")&gt;1),"More than one active plan for this AIR-ID, UC-ID scope and gate",IF(AND(E131="Not applicable",J131=""),"Not applicable needs rationale and authority ref",IF(AND(E131="Required",F131=""),"Required gate needs basis / triage ref",IF(L131="","Decision scope missing",IF(AND(L131="UC-ID specific",K131=""),"UC-ID required",IF(AND(L131="Shared system baseline",K131&lt;&gt;""),"Remove UC-ID or correct scope",IF(AND(G131&lt;&gt;"",NOT(ISNUMBER(G131))),"Target date is not a date",IF(E131="","Requirement missing",IF(I131="","Plan state missing","Check against source"))))))))))))))</f>
        <v/>
      </c>
    </row>
    <row r="132">
      <c r="A132" s="38" t="n"/>
      <c r="B132" s="38" t="n"/>
      <c r="C132" s="38" t="n"/>
      <c r="D132" s="38" t="n"/>
      <c r="E132" s="38" t="n"/>
      <c r="F132" s="38" t="n"/>
      <c r="G132" s="39" t="n"/>
      <c r="H132" s="38" t="n"/>
      <c r="I132" s="38" t="n"/>
      <c r="J132" s="38" t="n"/>
      <c r="K132" s="37" t="n"/>
      <c r="L132" s="37" t="n"/>
      <c r="M132" s="14">
        <f>IF(COUNTA(A132:L132)=0,"",IF(A132="","Plan ID missing",IF(COUNTIF($A$4:$A$353,A132)&gt;1,"Duplicate Plan ID",IF(B132="","AIR-ID missing",IF(C132="","Gate / forum missing",IF(AND(I132="Planned",COUNTIFS($B$4:$B$353,B132,$C$4:$C$353,C132,$K$4:$K$353,K132&amp;"",$I$4:$I$353,"Planned")&gt;1),"More than one active plan for this AIR-ID, UC-ID scope and gate",IF(AND(E132="Not applicable",J132=""),"Not applicable needs rationale and authority ref",IF(AND(E132="Required",F132=""),"Required gate needs basis / triage ref",IF(L132="","Decision scope missing",IF(AND(L132="UC-ID specific",K132=""),"UC-ID required",IF(AND(L132="Shared system baseline",K132&lt;&gt;""),"Remove UC-ID or correct scope",IF(AND(G132&lt;&gt;"",NOT(ISNUMBER(G132))),"Target date is not a date",IF(E132="","Requirement missing",IF(I132="","Plan state missing","Check against source"))))))))))))))</f>
        <v/>
      </c>
    </row>
    <row r="133">
      <c r="A133" s="40" t="n"/>
      <c r="B133" s="40" t="n"/>
      <c r="C133" s="40" t="n"/>
      <c r="D133" s="40" t="n"/>
      <c r="E133" s="40" t="n"/>
      <c r="F133" s="40" t="n"/>
      <c r="G133" s="41" t="n"/>
      <c r="H133" s="40" t="n"/>
      <c r="I133" s="40" t="n"/>
      <c r="J133" s="40" t="n"/>
      <c r="K133" s="37" t="n"/>
      <c r="L133" s="37" t="n"/>
      <c r="M133" s="14">
        <f>IF(COUNTA(A133:L133)=0,"",IF(A133="","Plan ID missing",IF(COUNTIF($A$4:$A$353,A133)&gt;1,"Duplicate Plan ID",IF(B133="","AIR-ID missing",IF(C133="","Gate / forum missing",IF(AND(I133="Planned",COUNTIFS($B$4:$B$353,B133,$C$4:$C$353,C133,$K$4:$K$353,K133&amp;"",$I$4:$I$353,"Planned")&gt;1),"More than one active plan for this AIR-ID, UC-ID scope and gate",IF(AND(E133="Not applicable",J133=""),"Not applicable needs rationale and authority ref",IF(AND(E133="Required",F133=""),"Required gate needs basis / triage ref",IF(L133="","Decision scope missing",IF(AND(L133="UC-ID specific",K133=""),"UC-ID required",IF(AND(L133="Shared system baseline",K133&lt;&gt;""),"Remove UC-ID or correct scope",IF(AND(G133&lt;&gt;"",NOT(ISNUMBER(G133))),"Target date is not a date",IF(E133="","Requirement missing",IF(I133="","Plan state missing","Check against source"))))))))))))))</f>
        <v/>
      </c>
    </row>
    <row r="134">
      <c r="A134" s="38" t="n"/>
      <c r="B134" s="38" t="n"/>
      <c r="C134" s="38" t="n"/>
      <c r="D134" s="38" t="n"/>
      <c r="E134" s="38" t="n"/>
      <c r="F134" s="38" t="n"/>
      <c r="G134" s="39" t="n"/>
      <c r="H134" s="38" t="n"/>
      <c r="I134" s="38" t="n"/>
      <c r="J134" s="38" t="n"/>
      <c r="K134" s="37" t="n"/>
      <c r="L134" s="37" t="n"/>
      <c r="M134" s="14">
        <f>IF(COUNTA(A134:L134)=0,"",IF(A134="","Plan ID missing",IF(COUNTIF($A$4:$A$353,A134)&gt;1,"Duplicate Plan ID",IF(B134="","AIR-ID missing",IF(C134="","Gate / forum missing",IF(AND(I134="Planned",COUNTIFS($B$4:$B$353,B134,$C$4:$C$353,C134,$K$4:$K$353,K134&amp;"",$I$4:$I$353,"Planned")&gt;1),"More than one active plan for this AIR-ID, UC-ID scope and gate",IF(AND(E134="Not applicable",J134=""),"Not applicable needs rationale and authority ref",IF(AND(E134="Required",F134=""),"Required gate needs basis / triage ref",IF(L134="","Decision scope missing",IF(AND(L134="UC-ID specific",K134=""),"UC-ID required",IF(AND(L134="Shared system baseline",K134&lt;&gt;""),"Remove UC-ID or correct scope",IF(AND(G134&lt;&gt;"",NOT(ISNUMBER(G134))),"Target date is not a date",IF(E134="","Requirement missing",IF(I134="","Plan state missing","Check against source"))))))))))))))</f>
        <v/>
      </c>
    </row>
    <row r="135">
      <c r="A135" s="40" t="n"/>
      <c r="B135" s="40" t="n"/>
      <c r="C135" s="40" t="n"/>
      <c r="D135" s="40" t="n"/>
      <c r="E135" s="40" t="n"/>
      <c r="F135" s="40" t="n"/>
      <c r="G135" s="41" t="n"/>
      <c r="H135" s="40" t="n"/>
      <c r="I135" s="40" t="n"/>
      <c r="J135" s="40" t="n"/>
      <c r="K135" s="37" t="n"/>
      <c r="L135" s="37" t="n"/>
      <c r="M135" s="14">
        <f>IF(COUNTA(A135:L135)=0,"",IF(A135="","Plan ID missing",IF(COUNTIF($A$4:$A$353,A135)&gt;1,"Duplicate Plan ID",IF(B135="","AIR-ID missing",IF(C135="","Gate / forum missing",IF(AND(I135="Planned",COUNTIFS($B$4:$B$353,B135,$C$4:$C$353,C135,$K$4:$K$353,K135&amp;"",$I$4:$I$353,"Planned")&gt;1),"More than one active plan for this AIR-ID, UC-ID scope and gate",IF(AND(E135="Not applicable",J135=""),"Not applicable needs rationale and authority ref",IF(AND(E135="Required",F135=""),"Required gate needs basis / triage ref",IF(L135="","Decision scope missing",IF(AND(L135="UC-ID specific",K135=""),"UC-ID required",IF(AND(L135="Shared system baseline",K135&lt;&gt;""),"Remove UC-ID or correct scope",IF(AND(G135&lt;&gt;"",NOT(ISNUMBER(G135))),"Target date is not a date",IF(E135="","Requirement missing",IF(I135="","Plan state missing","Check against source"))))))))))))))</f>
        <v/>
      </c>
    </row>
    <row r="136">
      <c r="A136" s="38" t="n"/>
      <c r="B136" s="38" t="n"/>
      <c r="C136" s="38" t="n"/>
      <c r="D136" s="38" t="n"/>
      <c r="E136" s="38" t="n"/>
      <c r="F136" s="38" t="n"/>
      <c r="G136" s="39" t="n"/>
      <c r="H136" s="38" t="n"/>
      <c r="I136" s="38" t="n"/>
      <c r="J136" s="38" t="n"/>
      <c r="K136" s="37" t="n"/>
      <c r="L136" s="37" t="n"/>
      <c r="M136" s="14">
        <f>IF(COUNTA(A136:L136)=0,"",IF(A136="","Plan ID missing",IF(COUNTIF($A$4:$A$353,A136)&gt;1,"Duplicate Plan ID",IF(B136="","AIR-ID missing",IF(C136="","Gate / forum missing",IF(AND(I136="Planned",COUNTIFS($B$4:$B$353,B136,$C$4:$C$353,C136,$K$4:$K$353,K136&amp;"",$I$4:$I$353,"Planned")&gt;1),"More than one active plan for this AIR-ID, UC-ID scope and gate",IF(AND(E136="Not applicable",J136=""),"Not applicable needs rationale and authority ref",IF(AND(E136="Required",F136=""),"Required gate needs basis / triage ref",IF(L136="","Decision scope missing",IF(AND(L136="UC-ID specific",K136=""),"UC-ID required",IF(AND(L136="Shared system baseline",K136&lt;&gt;""),"Remove UC-ID or correct scope",IF(AND(G136&lt;&gt;"",NOT(ISNUMBER(G136))),"Target date is not a date",IF(E136="","Requirement missing",IF(I136="","Plan state missing","Check against source"))))))))))))))</f>
        <v/>
      </c>
    </row>
    <row r="137">
      <c r="A137" s="40" t="n"/>
      <c r="B137" s="40" t="n"/>
      <c r="C137" s="40" t="n"/>
      <c r="D137" s="40" t="n"/>
      <c r="E137" s="40" t="n"/>
      <c r="F137" s="40" t="n"/>
      <c r="G137" s="41" t="n"/>
      <c r="H137" s="40" t="n"/>
      <c r="I137" s="40" t="n"/>
      <c r="J137" s="40" t="n"/>
      <c r="K137" s="37" t="n"/>
      <c r="L137" s="37" t="n"/>
      <c r="M137" s="14">
        <f>IF(COUNTA(A137:L137)=0,"",IF(A137="","Plan ID missing",IF(COUNTIF($A$4:$A$353,A137)&gt;1,"Duplicate Plan ID",IF(B137="","AIR-ID missing",IF(C137="","Gate / forum missing",IF(AND(I137="Planned",COUNTIFS($B$4:$B$353,B137,$C$4:$C$353,C137,$K$4:$K$353,K137&amp;"",$I$4:$I$353,"Planned")&gt;1),"More than one active plan for this AIR-ID, UC-ID scope and gate",IF(AND(E137="Not applicable",J137=""),"Not applicable needs rationale and authority ref",IF(AND(E137="Required",F137=""),"Required gate needs basis / triage ref",IF(L137="","Decision scope missing",IF(AND(L137="UC-ID specific",K137=""),"UC-ID required",IF(AND(L137="Shared system baseline",K137&lt;&gt;""),"Remove UC-ID or correct scope",IF(AND(G137&lt;&gt;"",NOT(ISNUMBER(G137))),"Target date is not a date",IF(E137="","Requirement missing",IF(I137="","Plan state missing","Check against source"))))))))))))))</f>
        <v/>
      </c>
    </row>
    <row r="138">
      <c r="A138" s="38" t="n"/>
      <c r="B138" s="38" t="n"/>
      <c r="C138" s="38" t="n"/>
      <c r="D138" s="38" t="n"/>
      <c r="E138" s="38" t="n"/>
      <c r="F138" s="38" t="n"/>
      <c r="G138" s="39" t="n"/>
      <c r="H138" s="38" t="n"/>
      <c r="I138" s="38" t="n"/>
      <c r="J138" s="38" t="n"/>
      <c r="K138" s="37" t="n"/>
      <c r="L138" s="37" t="n"/>
      <c r="M138" s="14">
        <f>IF(COUNTA(A138:L138)=0,"",IF(A138="","Plan ID missing",IF(COUNTIF($A$4:$A$353,A138)&gt;1,"Duplicate Plan ID",IF(B138="","AIR-ID missing",IF(C138="","Gate / forum missing",IF(AND(I138="Planned",COUNTIFS($B$4:$B$353,B138,$C$4:$C$353,C138,$K$4:$K$353,K138&amp;"",$I$4:$I$353,"Planned")&gt;1),"More than one active plan for this AIR-ID, UC-ID scope and gate",IF(AND(E138="Not applicable",J138=""),"Not applicable needs rationale and authority ref",IF(AND(E138="Required",F138=""),"Required gate needs basis / triage ref",IF(L138="","Decision scope missing",IF(AND(L138="UC-ID specific",K138=""),"UC-ID required",IF(AND(L138="Shared system baseline",K138&lt;&gt;""),"Remove UC-ID or correct scope",IF(AND(G138&lt;&gt;"",NOT(ISNUMBER(G138))),"Target date is not a date",IF(E138="","Requirement missing",IF(I138="","Plan state missing","Check against source"))))))))))))))</f>
        <v/>
      </c>
    </row>
    <row r="139">
      <c r="A139" s="40" t="n"/>
      <c r="B139" s="40" t="n"/>
      <c r="C139" s="40" t="n"/>
      <c r="D139" s="40" t="n"/>
      <c r="E139" s="40" t="n"/>
      <c r="F139" s="40" t="n"/>
      <c r="G139" s="41" t="n"/>
      <c r="H139" s="40" t="n"/>
      <c r="I139" s="40" t="n"/>
      <c r="J139" s="40" t="n"/>
      <c r="K139" s="37" t="n"/>
      <c r="L139" s="37" t="n"/>
      <c r="M139" s="14">
        <f>IF(COUNTA(A139:L139)=0,"",IF(A139="","Plan ID missing",IF(COUNTIF($A$4:$A$353,A139)&gt;1,"Duplicate Plan ID",IF(B139="","AIR-ID missing",IF(C139="","Gate / forum missing",IF(AND(I139="Planned",COUNTIFS($B$4:$B$353,B139,$C$4:$C$353,C139,$K$4:$K$353,K139&amp;"",$I$4:$I$353,"Planned")&gt;1),"More than one active plan for this AIR-ID, UC-ID scope and gate",IF(AND(E139="Not applicable",J139=""),"Not applicable needs rationale and authority ref",IF(AND(E139="Required",F139=""),"Required gate needs basis / triage ref",IF(L139="","Decision scope missing",IF(AND(L139="UC-ID specific",K139=""),"UC-ID required",IF(AND(L139="Shared system baseline",K139&lt;&gt;""),"Remove UC-ID or correct scope",IF(AND(G139&lt;&gt;"",NOT(ISNUMBER(G139))),"Target date is not a date",IF(E139="","Requirement missing",IF(I139="","Plan state missing","Check against source"))))))))))))))</f>
        <v/>
      </c>
    </row>
    <row r="140">
      <c r="A140" s="38" t="n"/>
      <c r="B140" s="38" t="n"/>
      <c r="C140" s="38" t="n"/>
      <c r="D140" s="38" t="n"/>
      <c r="E140" s="38" t="n"/>
      <c r="F140" s="38" t="n"/>
      <c r="G140" s="39" t="n"/>
      <c r="H140" s="38" t="n"/>
      <c r="I140" s="38" t="n"/>
      <c r="J140" s="38" t="n"/>
      <c r="K140" s="37" t="n"/>
      <c r="L140" s="37" t="n"/>
      <c r="M140" s="14">
        <f>IF(COUNTA(A140:L140)=0,"",IF(A140="","Plan ID missing",IF(COUNTIF($A$4:$A$353,A140)&gt;1,"Duplicate Plan ID",IF(B140="","AIR-ID missing",IF(C140="","Gate / forum missing",IF(AND(I140="Planned",COUNTIFS($B$4:$B$353,B140,$C$4:$C$353,C140,$K$4:$K$353,K140&amp;"",$I$4:$I$353,"Planned")&gt;1),"More than one active plan for this AIR-ID, UC-ID scope and gate",IF(AND(E140="Not applicable",J140=""),"Not applicable needs rationale and authority ref",IF(AND(E140="Required",F140=""),"Required gate needs basis / triage ref",IF(L140="","Decision scope missing",IF(AND(L140="UC-ID specific",K140=""),"UC-ID required",IF(AND(L140="Shared system baseline",K140&lt;&gt;""),"Remove UC-ID or correct scope",IF(AND(G140&lt;&gt;"",NOT(ISNUMBER(G140))),"Target date is not a date",IF(E140="","Requirement missing",IF(I140="","Plan state missing","Check against source"))))))))))))))</f>
        <v/>
      </c>
    </row>
    <row r="141">
      <c r="A141" s="40" t="n"/>
      <c r="B141" s="40" t="n"/>
      <c r="C141" s="40" t="n"/>
      <c r="D141" s="40" t="n"/>
      <c r="E141" s="40" t="n"/>
      <c r="F141" s="40" t="n"/>
      <c r="G141" s="41" t="n"/>
      <c r="H141" s="40" t="n"/>
      <c r="I141" s="40" t="n"/>
      <c r="J141" s="40" t="n"/>
      <c r="K141" s="37" t="n"/>
      <c r="L141" s="37" t="n"/>
      <c r="M141" s="14">
        <f>IF(COUNTA(A141:L141)=0,"",IF(A141="","Plan ID missing",IF(COUNTIF($A$4:$A$353,A141)&gt;1,"Duplicate Plan ID",IF(B141="","AIR-ID missing",IF(C141="","Gate / forum missing",IF(AND(I141="Planned",COUNTIFS($B$4:$B$353,B141,$C$4:$C$353,C141,$K$4:$K$353,K141&amp;"",$I$4:$I$353,"Planned")&gt;1),"More than one active plan for this AIR-ID, UC-ID scope and gate",IF(AND(E141="Not applicable",J141=""),"Not applicable needs rationale and authority ref",IF(AND(E141="Required",F141=""),"Required gate needs basis / triage ref",IF(L141="","Decision scope missing",IF(AND(L141="UC-ID specific",K141=""),"UC-ID required",IF(AND(L141="Shared system baseline",K141&lt;&gt;""),"Remove UC-ID or correct scope",IF(AND(G141&lt;&gt;"",NOT(ISNUMBER(G141))),"Target date is not a date",IF(E141="","Requirement missing",IF(I141="","Plan state missing","Check against source"))))))))))))))</f>
        <v/>
      </c>
    </row>
    <row r="142">
      <c r="A142" s="38" t="n"/>
      <c r="B142" s="38" t="n"/>
      <c r="C142" s="38" t="n"/>
      <c r="D142" s="38" t="n"/>
      <c r="E142" s="38" t="n"/>
      <c r="F142" s="38" t="n"/>
      <c r="G142" s="39" t="n"/>
      <c r="H142" s="38" t="n"/>
      <c r="I142" s="38" t="n"/>
      <c r="J142" s="38" t="n"/>
      <c r="K142" s="37" t="n"/>
      <c r="L142" s="37" t="n"/>
      <c r="M142" s="14">
        <f>IF(COUNTA(A142:L142)=0,"",IF(A142="","Plan ID missing",IF(COUNTIF($A$4:$A$353,A142)&gt;1,"Duplicate Plan ID",IF(B142="","AIR-ID missing",IF(C142="","Gate / forum missing",IF(AND(I142="Planned",COUNTIFS($B$4:$B$353,B142,$C$4:$C$353,C142,$K$4:$K$353,K142&amp;"",$I$4:$I$353,"Planned")&gt;1),"More than one active plan for this AIR-ID, UC-ID scope and gate",IF(AND(E142="Not applicable",J142=""),"Not applicable needs rationale and authority ref",IF(AND(E142="Required",F142=""),"Required gate needs basis / triage ref",IF(L142="","Decision scope missing",IF(AND(L142="UC-ID specific",K142=""),"UC-ID required",IF(AND(L142="Shared system baseline",K142&lt;&gt;""),"Remove UC-ID or correct scope",IF(AND(G142&lt;&gt;"",NOT(ISNUMBER(G142))),"Target date is not a date",IF(E142="","Requirement missing",IF(I142="","Plan state missing","Check against source"))))))))))))))</f>
        <v/>
      </c>
    </row>
    <row r="143">
      <c r="A143" s="40" t="n"/>
      <c r="B143" s="40" t="n"/>
      <c r="C143" s="40" t="n"/>
      <c r="D143" s="40" t="n"/>
      <c r="E143" s="40" t="n"/>
      <c r="F143" s="40" t="n"/>
      <c r="G143" s="41" t="n"/>
      <c r="H143" s="40" t="n"/>
      <c r="I143" s="40" t="n"/>
      <c r="J143" s="40" t="n"/>
      <c r="K143" s="37" t="n"/>
      <c r="L143" s="37" t="n"/>
      <c r="M143" s="14">
        <f>IF(COUNTA(A143:L143)=0,"",IF(A143="","Plan ID missing",IF(COUNTIF($A$4:$A$353,A143)&gt;1,"Duplicate Plan ID",IF(B143="","AIR-ID missing",IF(C143="","Gate / forum missing",IF(AND(I143="Planned",COUNTIFS($B$4:$B$353,B143,$C$4:$C$353,C143,$K$4:$K$353,K143&amp;"",$I$4:$I$353,"Planned")&gt;1),"More than one active plan for this AIR-ID, UC-ID scope and gate",IF(AND(E143="Not applicable",J143=""),"Not applicable needs rationale and authority ref",IF(AND(E143="Required",F143=""),"Required gate needs basis / triage ref",IF(L143="","Decision scope missing",IF(AND(L143="UC-ID specific",K143=""),"UC-ID required",IF(AND(L143="Shared system baseline",K143&lt;&gt;""),"Remove UC-ID or correct scope",IF(AND(G143&lt;&gt;"",NOT(ISNUMBER(G143))),"Target date is not a date",IF(E143="","Requirement missing",IF(I143="","Plan state missing","Check against source"))))))))))))))</f>
        <v/>
      </c>
    </row>
    <row r="144">
      <c r="A144" s="38" t="n"/>
      <c r="B144" s="38" t="n"/>
      <c r="C144" s="38" t="n"/>
      <c r="D144" s="38" t="n"/>
      <c r="E144" s="38" t="n"/>
      <c r="F144" s="38" t="n"/>
      <c r="G144" s="39" t="n"/>
      <c r="H144" s="38" t="n"/>
      <c r="I144" s="38" t="n"/>
      <c r="J144" s="38" t="n"/>
      <c r="K144" s="37" t="n"/>
      <c r="L144" s="37" t="n"/>
      <c r="M144" s="14">
        <f>IF(COUNTA(A144:L144)=0,"",IF(A144="","Plan ID missing",IF(COUNTIF($A$4:$A$353,A144)&gt;1,"Duplicate Plan ID",IF(B144="","AIR-ID missing",IF(C144="","Gate / forum missing",IF(AND(I144="Planned",COUNTIFS($B$4:$B$353,B144,$C$4:$C$353,C144,$K$4:$K$353,K144&amp;"",$I$4:$I$353,"Planned")&gt;1),"More than one active plan for this AIR-ID, UC-ID scope and gate",IF(AND(E144="Not applicable",J144=""),"Not applicable needs rationale and authority ref",IF(AND(E144="Required",F144=""),"Required gate needs basis / triage ref",IF(L144="","Decision scope missing",IF(AND(L144="UC-ID specific",K144=""),"UC-ID required",IF(AND(L144="Shared system baseline",K144&lt;&gt;""),"Remove UC-ID or correct scope",IF(AND(G144&lt;&gt;"",NOT(ISNUMBER(G144))),"Target date is not a date",IF(E144="","Requirement missing",IF(I144="","Plan state missing","Check against source"))))))))))))))</f>
        <v/>
      </c>
    </row>
    <row r="145">
      <c r="A145" s="40" t="n"/>
      <c r="B145" s="40" t="n"/>
      <c r="C145" s="40" t="n"/>
      <c r="D145" s="40" t="n"/>
      <c r="E145" s="40" t="n"/>
      <c r="F145" s="40" t="n"/>
      <c r="G145" s="41" t="n"/>
      <c r="H145" s="40" t="n"/>
      <c r="I145" s="40" t="n"/>
      <c r="J145" s="40" t="n"/>
      <c r="K145" s="37" t="n"/>
      <c r="L145" s="37" t="n"/>
      <c r="M145" s="14">
        <f>IF(COUNTA(A145:L145)=0,"",IF(A145="","Plan ID missing",IF(COUNTIF($A$4:$A$353,A145)&gt;1,"Duplicate Plan ID",IF(B145="","AIR-ID missing",IF(C145="","Gate / forum missing",IF(AND(I145="Planned",COUNTIFS($B$4:$B$353,B145,$C$4:$C$353,C145,$K$4:$K$353,K145&amp;"",$I$4:$I$353,"Planned")&gt;1),"More than one active plan for this AIR-ID, UC-ID scope and gate",IF(AND(E145="Not applicable",J145=""),"Not applicable needs rationale and authority ref",IF(AND(E145="Required",F145=""),"Required gate needs basis / triage ref",IF(L145="","Decision scope missing",IF(AND(L145="UC-ID specific",K145=""),"UC-ID required",IF(AND(L145="Shared system baseline",K145&lt;&gt;""),"Remove UC-ID or correct scope",IF(AND(G145&lt;&gt;"",NOT(ISNUMBER(G145))),"Target date is not a date",IF(E145="","Requirement missing",IF(I145="","Plan state missing","Check against source"))))))))))))))</f>
        <v/>
      </c>
    </row>
    <row r="146">
      <c r="A146" s="38" t="n"/>
      <c r="B146" s="38" t="n"/>
      <c r="C146" s="38" t="n"/>
      <c r="D146" s="38" t="n"/>
      <c r="E146" s="38" t="n"/>
      <c r="F146" s="38" t="n"/>
      <c r="G146" s="39" t="n"/>
      <c r="H146" s="38" t="n"/>
      <c r="I146" s="38" t="n"/>
      <c r="J146" s="38" t="n"/>
      <c r="K146" s="37" t="n"/>
      <c r="L146" s="37" t="n"/>
      <c r="M146" s="14">
        <f>IF(COUNTA(A146:L146)=0,"",IF(A146="","Plan ID missing",IF(COUNTIF($A$4:$A$353,A146)&gt;1,"Duplicate Plan ID",IF(B146="","AIR-ID missing",IF(C146="","Gate / forum missing",IF(AND(I146="Planned",COUNTIFS($B$4:$B$353,B146,$C$4:$C$353,C146,$K$4:$K$353,K146&amp;"",$I$4:$I$353,"Planned")&gt;1),"More than one active plan for this AIR-ID, UC-ID scope and gate",IF(AND(E146="Not applicable",J146=""),"Not applicable needs rationale and authority ref",IF(AND(E146="Required",F146=""),"Required gate needs basis / triage ref",IF(L146="","Decision scope missing",IF(AND(L146="UC-ID specific",K146=""),"UC-ID required",IF(AND(L146="Shared system baseline",K146&lt;&gt;""),"Remove UC-ID or correct scope",IF(AND(G146&lt;&gt;"",NOT(ISNUMBER(G146))),"Target date is not a date",IF(E146="","Requirement missing",IF(I146="","Plan state missing","Check against source"))))))))))))))</f>
        <v/>
      </c>
    </row>
    <row r="147">
      <c r="A147" s="40" t="n"/>
      <c r="B147" s="40" t="n"/>
      <c r="C147" s="40" t="n"/>
      <c r="D147" s="40" t="n"/>
      <c r="E147" s="40" t="n"/>
      <c r="F147" s="40" t="n"/>
      <c r="G147" s="41" t="n"/>
      <c r="H147" s="40" t="n"/>
      <c r="I147" s="40" t="n"/>
      <c r="J147" s="40" t="n"/>
      <c r="K147" s="37" t="n"/>
      <c r="L147" s="37" t="n"/>
      <c r="M147" s="14">
        <f>IF(COUNTA(A147:L147)=0,"",IF(A147="","Plan ID missing",IF(COUNTIF($A$4:$A$353,A147)&gt;1,"Duplicate Plan ID",IF(B147="","AIR-ID missing",IF(C147="","Gate / forum missing",IF(AND(I147="Planned",COUNTIFS($B$4:$B$353,B147,$C$4:$C$353,C147,$K$4:$K$353,K147&amp;"",$I$4:$I$353,"Planned")&gt;1),"More than one active plan for this AIR-ID, UC-ID scope and gate",IF(AND(E147="Not applicable",J147=""),"Not applicable needs rationale and authority ref",IF(AND(E147="Required",F147=""),"Required gate needs basis / triage ref",IF(L147="","Decision scope missing",IF(AND(L147="UC-ID specific",K147=""),"UC-ID required",IF(AND(L147="Shared system baseline",K147&lt;&gt;""),"Remove UC-ID or correct scope",IF(AND(G147&lt;&gt;"",NOT(ISNUMBER(G147))),"Target date is not a date",IF(E147="","Requirement missing",IF(I147="","Plan state missing","Check against source"))))))))))))))</f>
        <v/>
      </c>
    </row>
    <row r="148">
      <c r="A148" s="38" t="n"/>
      <c r="B148" s="38" t="n"/>
      <c r="C148" s="38" t="n"/>
      <c r="D148" s="38" t="n"/>
      <c r="E148" s="38" t="n"/>
      <c r="F148" s="38" t="n"/>
      <c r="G148" s="39" t="n"/>
      <c r="H148" s="38" t="n"/>
      <c r="I148" s="38" t="n"/>
      <c r="J148" s="38" t="n"/>
      <c r="K148" s="37" t="n"/>
      <c r="L148" s="37" t="n"/>
      <c r="M148" s="14">
        <f>IF(COUNTA(A148:L148)=0,"",IF(A148="","Plan ID missing",IF(COUNTIF($A$4:$A$353,A148)&gt;1,"Duplicate Plan ID",IF(B148="","AIR-ID missing",IF(C148="","Gate / forum missing",IF(AND(I148="Planned",COUNTIFS($B$4:$B$353,B148,$C$4:$C$353,C148,$K$4:$K$353,K148&amp;"",$I$4:$I$353,"Planned")&gt;1),"More than one active plan for this AIR-ID, UC-ID scope and gate",IF(AND(E148="Not applicable",J148=""),"Not applicable needs rationale and authority ref",IF(AND(E148="Required",F148=""),"Required gate needs basis / triage ref",IF(L148="","Decision scope missing",IF(AND(L148="UC-ID specific",K148=""),"UC-ID required",IF(AND(L148="Shared system baseline",K148&lt;&gt;""),"Remove UC-ID or correct scope",IF(AND(G148&lt;&gt;"",NOT(ISNUMBER(G148))),"Target date is not a date",IF(E148="","Requirement missing",IF(I148="","Plan state missing","Check against source"))))))))))))))</f>
        <v/>
      </c>
    </row>
    <row r="149">
      <c r="A149" s="40" t="n"/>
      <c r="B149" s="40" t="n"/>
      <c r="C149" s="40" t="n"/>
      <c r="D149" s="40" t="n"/>
      <c r="E149" s="40" t="n"/>
      <c r="F149" s="40" t="n"/>
      <c r="G149" s="41" t="n"/>
      <c r="H149" s="40" t="n"/>
      <c r="I149" s="40" t="n"/>
      <c r="J149" s="40" t="n"/>
      <c r="K149" s="37" t="n"/>
      <c r="L149" s="37" t="n"/>
      <c r="M149" s="14">
        <f>IF(COUNTA(A149:L149)=0,"",IF(A149="","Plan ID missing",IF(COUNTIF($A$4:$A$353,A149)&gt;1,"Duplicate Plan ID",IF(B149="","AIR-ID missing",IF(C149="","Gate / forum missing",IF(AND(I149="Planned",COUNTIFS($B$4:$B$353,B149,$C$4:$C$353,C149,$K$4:$K$353,K149&amp;"",$I$4:$I$353,"Planned")&gt;1),"More than one active plan for this AIR-ID, UC-ID scope and gate",IF(AND(E149="Not applicable",J149=""),"Not applicable needs rationale and authority ref",IF(AND(E149="Required",F149=""),"Required gate needs basis / triage ref",IF(L149="","Decision scope missing",IF(AND(L149="UC-ID specific",K149=""),"UC-ID required",IF(AND(L149="Shared system baseline",K149&lt;&gt;""),"Remove UC-ID or correct scope",IF(AND(G149&lt;&gt;"",NOT(ISNUMBER(G149))),"Target date is not a date",IF(E149="","Requirement missing",IF(I149="","Plan state missing","Check against source"))))))))))))))</f>
        <v/>
      </c>
    </row>
    <row r="150">
      <c r="A150" s="38" t="n"/>
      <c r="B150" s="38" t="n"/>
      <c r="C150" s="38" t="n"/>
      <c r="D150" s="38" t="n"/>
      <c r="E150" s="38" t="n"/>
      <c r="F150" s="38" t="n"/>
      <c r="G150" s="39" t="n"/>
      <c r="H150" s="38" t="n"/>
      <c r="I150" s="38" t="n"/>
      <c r="J150" s="38" t="n"/>
      <c r="K150" s="37" t="n"/>
      <c r="L150" s="37" t="n"/>
      <c r="M150" s="14">
        <f>IF(COUNTA(A150:L150)=0,"",IF(A150="","Plan ID missing",IF(COUNTIF($A$4:$A$353,A150)&gt;1,"Duplicate Plan ID",IF(B150="","AIR-ID missing",IF(C150="","Gate / forum missing",IF(AND(I150="Planned",COUNTIFS($B$4:$B$353,B150,$C$4:$C$353,C150,$K$4:$K$353,K150&amp;"",$I$4:$I$353,"Planned")&gt;1),"More than one active plan for this AIR-ID, UC-ID scope and gate",IF(AND(E150="Not applicable",J150=""),"Not applicable needs rationale and authority ref",IF(AND(E150="Required",F150=""),"Required gate needs basis / triage ref",IF(L150="","Decision scope missing",IF(AND(L150="UC-ID specific",K150=""),"UC-ID required",IF(AND(L150="Shared system baseline",K150&lt;&gt;""),"Remove UC-ID or correct scope",IF(AND(G150&lt;&gt;"",NOT(ISNUMBER(G150))),"Target date is not a date",IF(E150="","Requirement missing",IF(I150="","Plan state missing","Check against source"))))))))))))))</f>
        <v/>
      </c>
    </row>
    <row r="151">
      <c r="A151" s="40" t="n"/>
      <c r="B151" s="40" t="n"/>
      <c r="C151" s="40" t="n"/>
      <c r="D151" s="40" t="n"/>
      <c r="E151" s="40" t="n"/>
      <c r="F151" s="40" t="n"/>
      <c r="G151" s="41" t="n"/>
      <c r="H151" s="40" t="n"/>
      <c r="I151" s="40" t="n"/>
      <c r="J151" s="40" t="n"/>
      <c r="K151" s="37" t="n"/>
      <c r="L151" s="37" t="n"/>
      <c r="M151" s="14">
        <f>IF(COUNTA(A151:L151)=0,"",IF(A151="","Plan ID missing",IF(COUNTIF($A$4:$A$353,A151)&gt;1,"Duplicate Plan ID",IF(B151="","AIR-ID missing",IF(C151="","Gate / forum missing",IF(AND(I151="Planned",COUNTIFS($B$4:$B$353,B151,$C$4:$C$353,C151,$K$4:$K$353,K151&amp;"",$I$4:$I$353,"Planned")&gt;1),"More than one active plan for this AIR-ID, UC-ID scope and gate",IF(AND(E151="Not applicable",J151=""),"Not applicable needs rationale and authority ref",IF(AND(E151="Required",F151=""),"Required gate needs basis / triage ref",IF(L151="","Decision scope missing",IF(AND(L151="UC-ID specific",K151=""),"UC-ID required",IF(AND(L151="Shared system baseline",K151&lt;&gt;""),"Remove UC-ID or correct scope",IF(AND(G151&lt;&gt;"",NOT(ISNUMBER(G151))),"Target date is not a date",IF(E151="","Requirement missing",IF(I151="","Plan state missing","Check against source"))))))))))))))</f>
        <v/>
      </c>
    </row>
    <row r="152">
      <c r="A152" s="38" t="n"/>
      <c r="B152" s="38" t="n"/>
      <c r="C152" s="38" t="n"/>
      <c r="D152" s="38" t="n"/>
      <c r="E152" s="38" t="n"/>
      <c r="F152" s="38" t="n"/>
      <c r="G152" s="39" t="n"/>
      <c r="H152" s="38" t="n"/>
      <c r="I152" s="38" t="n"/>
      <c r="J152" s="38" t="n"/>
      <c r="K152" s="37" t="n"/>
      <c r="L152" s="37" t="n"/>
      <c r="M152" s="14">
        <f>IF(COUNTA(A152:L152)=0,"",IF(A152="","Plan ID missing",IF(COUNTIF($A$4:$A$353,A152)&gt;1,"Duplicate Plan ID",IF(B152="","AIR-ID missing",IF(C152="","Gate / forum missing",IF(AND(I152="Planned",COUNTIFS($B$4:$B$353,B152,$C$4:$C$353,C152,$K$4:$K$353,K152&amp;"",$I$4:$I$353,"Planned")&gt;1),"More than one active plan for this AIR-ID, UC-ID scope and gate",IF(AND(E152="Not applicable",J152=""),"Not applicable needs rationale and authority ref",IF(AND(E152="Required",F152=""),"Required gate needs basis / triage ref",IF(L152="","Decision scope missing",IF(AND(L152="UC-ID specific",K152=""),"UC-ID required",IF(AND(L152="Shared system baseline",K152&lt;&gt;""),"Remove UC-ID or correct scope",IF(AND(G152&lt;&gt;"",NOT(ISNUMBER(G152))),"Target date is not a date",IF(E152="","Requirement missing",IF(I152="","Plan state missing","Check against source"))))))))))))))</f>
        <v/>
      </c>
    </row>
    <row r="153">
      <c r="A153" s="40" t="n"/>
      <c r="B153" s="40" t="n"/>
      <c r="C153" s="40" t="n"/>
      <c r="D153" s="40" t="n"/>
      <c r="E153" s="40" t="n"/>
      <c r="F153" s="40" t="n"/>
      <c r="G153" s="41" t="n"/>
      <c r="H153" s="40" t="n"/>
      <c r="I153" s="40" t="n"/>
      <c r="J153" s="40" t="n"/>
      <c r="K153" s="37" t="n"/>
      <c r="L153" s="37" t="n"/>
      <c r="M153" s="14">
        <f>IF(COUNTA(A153:L153)=0,"",IF(A153="","Plan ID missing",IF(COUNTIF($A$4:$A$353,A153)&gt;1,"Duplicate Plan ID",IF(B153="","AIR-ID missing",IF(C153="","Gate / forum missing",IF(AND(I153="Planned",COUNTIFS($B$4:$B$353,B153,$C$4:$C$353,C153,$K$4:$K$353,K153&amp;"",$I$4:$I$353,"Planned")&gt;1),"More than one active plan for this AIR-ID, UC-ID scope and gate",IF(AND(E153="Not applicable",J153=""),"Not applicable needs rationale and authority ref",IF(AND(E153="Required",F153=""),"Required gate needs basis / triage ref",IF(L153="","Decision scope missing",IF(AND(L153="UC-ID specific",K153=""),"UC-ID required",IF(AND(L153="Shared system baseline",K153&lt;&gt;""),"Remove UC-ID or correct scope",IF(AND(G153&lt;&gt;"",NOT(ISNUMBER(G153))),"Target date is not a date",IF(E153="","Requirement missing",IF(I153="","Plan state missing","Check against source"))))))))))))))</f>
        <v/>
      </c>
    </row>
    <row r="154">
      <c r="A154" s="38" t="n"/>
      <c r="B154" s="38" t="n"/>
      <c r="C154" s="38" t="n"/>
      <c r="D154" s="38" t="n"/>
      <c r="E154" s="38" t="n"/>
      <c r="F154" s="38" t="n"/>
      <c r="G154" s="39" t="n"/>
      <c r="H154" s="38" t="n"/>
      <c r="I154" s="38" t="n"/>
      <c r="J154" s="38" t="n"/>
      <c r="K154" s="37" t="n"/>
      <c r="L154" s="37" t="n"/>
      <c r="M154" s="14">
        <f>IF(COUNTA(A154:L154)=0,"",IF(A154="","Plan ID missing",IF(COUNTIF($A$4:$A$353,A154)&gt;1,"Duplicate Plan ID",IF(B154="","AIR-ID missing",IF(C154="","Gate / forum missing",IF(AND(I154="Planned",COUNTIFS($B$4:$B$353,B154,$C$4:$C$353,C154,$K$4:$K$353,K154&amp;"",$I$4:$I$353,"Planned")&gt;1),"More than one active plan for this AIR-ID, UC-ID scope and gate",IF(AND(E154="Not applicable",J154=""),"Not applicable needs rationale and authority ref",IF(AND(E154="Required",F154=""),"Required gate needs basis / triage ref",IF(L154="","Decision scope missing",IF(AND(L154="UC-ID specific",K154=""),"UC-ID required",IF(AND(L154="Shared system baseline",K154&lt;&gt;""),"Remove UC-ID or correct scope",IF(AND(G154&lt;&gt;"",NOT(ISNUMBER(G154))),"Target date is not a date",IF(E154="","Requirement missing",IF(I154="","Plan state missing","Check against source"))))))))))))))</f>
        <v/>
      </c>
    </row>
    <row r="155">
      <c r="A155" s="40" t="n"/>
      <c r="B155" s="40" t="n"/>
      <c r="C155" s="40" t="n"/>
      <c r="D155" s="40" t="n"/>
      <c r="E155" s="40" t="n"/>
      <c r="F155" s="40" t="n"/>
      <c r="G155" s="41" t="n"/>
      <c r="H155" s="40" t="n"/>
      <c r="I155" s="40" t="n"/>
      <c r="J155" s="40" t="n"/>
      <c r="K155" s="37" t="n"/>
      <c r="L155" s="37" t="n"/>
      <c r="M155" s="14">
        <f>IF(COUNTA(A155:L155)=0,"",IF(A155="","Plan ID missing",IF(COUNTIF($A$4:$A$353,A155)&gt;1,"Duplicate Plan ID",IF(B155="","AIR-ID missing",IF(C155="","Gate / forum missing",IF(AND(I155="Planned",COUNTIFS($B$4:$B$353,B155,$C$4:$C$353,C155,$K$4:$K$353,K155&amp;"",$I$4:$I$353,"Planned")&gt;1),"More than one active plan for this AIR-ID, UC-ID scope and gate",IF(AND(E155="Not applicable",J155=""),"Not applicable needs rationale and authority ref",IF(AND(E155="Required",F155=""),"Required gate needs basis / triage ref",IF(L155="","Decision scope missing",IF(AND(L155="UC-ID specific",K155=""),"UC-ID required",IF(AND(L155="Shared system baseline",K155&lt;&gt;""),"Remove UC-ID or correct scope",IF(AND(G155&lt;&gt;"",NOT(ISNUMBER(G155))),"Target date is not a date",IF(E155="","Requirement missing",IF(I155="","Plan state missing","Check against source"))))))))))))))</f>
        <v/>
      </c>
    </row>
    <row r="156">
      <c r="A156" s="38" t="n"/>
      <c r="B156" s="38" t="n"/>
      <c r="C156" s="38" t="n"/>
      <c r="D156" s="38" t="n"/>
      <c r="E156" s="38" t="n"/>
      <c r="F156" s="38" t="n"/>
      <c r="G156" s="39" t="n"/>
      <c r="H156" s="38" t="n"/>
      <c r="I156" s="38" t="n"/>
      <c r="J156" s="38" t="n"/>
      <c r="K156" s="37" t="n"/>
      <c r="L156" s="37" t="n"/>
      <c r="M156" s="14">
        <f>IF(COUNTA(A156:L156)=0,"",IF(A156="","Plan ID missing",IF(COUNTIF($A$4:$A$353,A156)&gt;1,"Duplicate Plan ID",IF(B156="","AIR-ID missing",IF(C156="","Gate / forum missing",IF(AND(I156="Planned",COUNTIFS($B$4:$B$353,B156,$C$4:$C$353,C156,$K$4:$K$353,K156&amp;"",$I$4:$I$353,"Planned")&gt;1),"More than one active plan for this AIR-ID, UC-ID scope and gate",IF(AND(E156="Not applicable",J156=""),"Not applicable needs rationale and authority ref",IF(AND(E156="Required",F156=""),"Required gate needs basis / triage ref",IF(L156="","Decision scope missing",IF(AND(L156="UC-ID specific",K156=""),"UC-ID required",IF(AND(L156="Shared system baseline",K156&lt;&gt;""),"Remove UC-ID or correct scope",IF(AND(G156&lt;&gt;"",NOT(ISNUMBER(G156))),"Target date is not a date",IF(E156="","Requirement missing",IF(I156="","Plan state missing","Check against source"))))))))))))))</f>
        <v/>
      </c>
    </row>
    <row r="157">
      <c r="A157" s="40" t="n"/>
      <c r="B157" s="40" t="n"/>
      <c r="C157" s="40" t="n"/>
      <c r="D157" s="40" t="n"/>
      <c r="E157" s="40" t="n"/>
      <c r="F157" s="40" t="n"/>
      <c r="G157" s="41" t="n"/>
      <c r="H157" s="40" t="n"/>
      <c r="I157" s="40" t="n"/>
      <c r="J157" s="40" t="n"/>
      <c r="K157" s="37" t="n"/>
      <c r="L157" s="37" t="n"/>
      <c r="M157" s="14">
        <f>IF(COUNTA(A157:L157)=0,"",IF(A157="","Plan ID missing",IF(COUNTIF($A$4:$A$353,A157)&gt;1,"Duplicate Plan ID",IF(B157="","AIR-ID missing",IF(C157="","Gate / forum missing",IF(AND(I157="Planned",COUNTIFS($B$4:$B$353,B157,$C$4:$C$353,C157,$K$4:$K$353,K157&amp;"",$I$4:$I$353,"Planned")&gt;1),"More than one active plan for this AIR-ID, UC-ID scope and gate",IF(AND(E157="Not applicable",J157=""),"Not applicable needs rationale and authority ref",IF(AND(E157="Required",F157=""),"Required gate needs basis / triage ref",IF(L157="","Decision scope missing",IF(AND(L157="UC-ID specific",K157=""),"UC-ID required",IF(AND(L157="Shared system baseline",K157&lt;&gt;""),"Remove UC-ID or correct scope",IF(AND(G157&lt;&gt;"",NOT(ISNUMBER(G157))),"Target date is not a date",IF(E157="","Requirement missing",IF(I157="","Plan state missing","Check against source"))))))))))))))</f>
        <v/>
      </c>
    </row>
    <row r="158">
      <c r="A158" s="38" t="n"/>
      <c r="B158" s="38" t="n"/>
      <c r="C158" s="38" t="n"/>
      <c r="D158" s="38" t="n"/>
      <c r="E158" s="38" t="n"/>
      <c r="F158" s="38" t="n"/>
      <c r="G158" s="39" t="n"/>
      <c r="H158" s="38" t="n"/>
      <c r="I158" s="38" t="n"/>
      <c r="J158" s="38" t="n"/>
      <c r="K158" s="37" t="n"/>
      <c r="L158" s="37" t="n"/>
      <c r="M158" s="14">
        <f>IF(COUNTA(A158:L158)=0,"",IF(A158="","Plan ID missing",IF(COUNTIF($A$4:$A$353,A158)&gt;1,"Duplicate Plan ID",IF(B158="","AIR-ID missing",IF(C158="","Gate / forum missing",IF(AND(I158="Planned",COUNTIFS($B$4:$B$353,B158,$C$4:$C$353,C158,$K$4:$K$353,K158&amp;"",$I$4:$I$353,"Planned")&gt;1),"More than one active plan for this AIR-ID, UC-ID scope and gate",IF(AND(E158="Not applicable",J158=""),"Not applicable needs rationale and authority ref",IF(AND(E158="Required",F158=""),"Required gate needs basis / triage ref",IF(L158="","Decision scope missing",IF(AND(L158="UC-ID specific",K158=""),"UC-ID required",IF(AND(L158="Shared system baseline",K158&lt;&gt;""),"Remove UC-ID or correct scope",IF(AND(G158&lt;&gt;"",NOT(ISNUMBER(G158))),"Target date is not a date",IF(E158="","Requirement missing",IF(I158="","Plan state missing","Check against source"))))))))))))))</f>
        <v/>
      </c>
    </row>
    <row r="159">
      <c r="A159" s="40" t="n"/>
      <c r="B159" s="40" t="n"/>
      <c r="C159" s="40" t="n"/>
      <c r="D159" s="40" t="n"/>
      <c r="E159" s="40" t="n"/>
      <c r="F159" s="40" t="n"/>
      <c r="G159" s="41" t="n"/>
      <c r="H159" s="40" t="n"/>
      <c r="I159" s="40" t="n"/>
      <c r="J159" s="40" t="n"/>
      <c r="K159" s="37" t="n"/>
      <c r="L159" s="37" t="n"/>
      <c r="M159" s="14">
        <f>IF(COUNTA(A159:L159)=0,"",IF(A159="","Plan ID missing",IF(COUNTIF($A$4:$A$353,A159)&gt;1,"Duplicate Plan ID",IF(B159="","AIR-ID missing",IF(C159="","Gate / forum missing",IF(AND(I159="Planned",COUNTIFS($B$4:$B$353,B159,$C$4:$C$353,C159,$K$4:$K$353,K159&amp;"",$I$4:$I$353,"Planned")&gt;1),"More than one active plan for this AIR-ID, UC-ID scope and gate",IF(AND(E159="Not applicable",J159=""),"Not applicable needs rationale and authority ref",IF(AND(E159="Required",F159=""),"Required gate needs basis / triage ref",IF(L159="","Decision scope missing",IF(AND(L159="UC-ID specific",K159=""),"UC-ID required",IF(AND(L159="Shared system baseline",K159&lt;&gt;""),"Remove UC-ID or correct scope",IF(AND(G159&lt;&gt;"",NOT(ISNUMBER(G159))),"Target date is not a date",IF(E159="","Requirement missing",IF(I159="","Plan state missing","Check against source"))))))))))))))</f>
        <v/>
      </c>
    </row>
    <row r="160">
      <c r="A160" s="38" t="n"/>
      <c r="B160" s="38" t="n"/>
      <c r="C160" s="38" t="n"/>
      <c r="D160" s="38" t="n"/>
      <c r="E160" s="38" t="n"/>
      <c r="F160" s="38" t="n"/>
      <c r="G160" s="39" t="n"/>
      <c r="H160" s="38" t="n"/>
      <c r="I160" s="38" t="n"/>
      <c r="J160" s="38" t="n"/>
      <c r="K160" s="37" t="n"/>
      <c r="L160" s="37" t="n"/>
      <c r="M160" s="14">
        <f>IF(COUNTA(A160:L160)=0,"",IF(A160="","Plan ID missing",IF(COUNTIF($A$4:$A$353,A160)&gt;1,"Duplicate Plan ID",IF(B160="","AIR-ID missing",IF(C160="","Gate / forum missing",IF(AND(I160="Planned",COUNTIFS($B$4:$B$353,B160,$C$4:$C$353,C160,$K$4:$K$353,K160&amp;"",$I$4:$I$353,"Planned")&gt;1),"More than one active plan for this AIR-ID, UC-ID scope and gate",IF(AND(E160="Not applicable",J160=""),"Not applicable needs rationale and authority ref",IF(AND(E160="Required",F160=""),"Required gate needs basis / triage ref",IF(L160="","Decision scope missing",IF(AND(L160="UC-ID specific",K160=""),"UC-ID required",IF(AND(L160="Shared system baseline",K160&lt;&gt;""),"Remove UC-ID or correct scope",IF(AND(G160&lt;&gt;"",NOT(ISNUMBER(G160))),"Target date is not a date",IF(E160="","Requirement missing",IF(I160="","Plan state missing","Check against source"))))))))))))))</f>
        <v/>
      </c>
    </row>
    <row r="161">
      <c r="A161" s="40" t="n"/>
      <c r="B161" s="40" t="n"/>
      <c r="C161" s="40" t="n"/>
      <c r="D161" s="40" t="n"/>
      <c r="E161" s="40" t="n"/>
      <c r="F161" s="40" t="n"/>
      <c r="G161" s="41" t="n"/>
      <c r="H161" s="40" t="n"/>
      <c r="I161" s="40" t="n"/>
      <c r="J161" s="40" t="n"/>
      <c r="K161" s="37" t="n"/>
      <c r="L161" s="37" t="n"/>
      <c r="M161" s="14">
        <f>IF(COUNTA(A161:L161)=0,"",IF(A161="","Plan ID missing",IF(COUNTIF($A$4:$A$353,A161)&gt;1,"Duplicate Plan ID",IF(B161="","AIR-ID missing",IF(C161="","Gate / forum missing",IF(AND(I161="Planned",COUNTIFS($B$4:$B$353,B161,$C$4:$C$353,C161,$K$4:$K$353,K161&amp;"",$I$4:$I$353,"Planned")&gt;1),"More than one active plan for this AIR-ID, UC-ID scope and gate",IF(AND(E161="Not applicable",J161=""),"Not applicable needs rationale and authority ref",IF(AND(E161="Required",F161=""),"Required gate needs basis / triage ref",IF(L161="","Decision scope missing",IF(AND(L161="UC-ID specific",K161=""),"UC-ID required",IF(AND(L161="Shared system baseline",K161&lt;&gt;""),"Remove UC-ID or correct scope",IF(AND(G161&lt;&gt;"",NOT(ISNUMBER(G161))),"Target date is not a date",IF(E161="","Requirement missing",IF(I161="","Plan state missing","Check against source"))))))))))))))</f>
        <v/>
      </c>
    </row>
    <row r="162">
      <c r="A162" s="38" t="n"/>
      <c r="B162" s="38" t="n"/>
      <c r="C162" s="38" t="n"/>
      <c r="D162" s="38" t="n"/>
      <c r="E162" s="38" t="n"/>
      <c r="F162" s="38" t="n"/>
      <c r="G162" s="39" t="n"/>
      <c r="H162" s="38" t="n"/>
      <c r="I162" s="38" t="n"/>
      <c r="J162" s="38" t="n"/>
      <c r="K162" s="37" t="n"/>
      <c r="L162" s="37" t="n"/>
      <c r="M162" s="14">
        <f>IF(COUNTA(A162:L162)=0,"",IF(A162="","Plan ID missing",IF(COUNTIF($A$4:$A$353,A162)&gt;1,"Duplicate Plan ID",IF(B162="","AIR-ID missing",IF(C162="","Gate / forum missing",IF(AND(I162="Planned",COUNTIFS($B$4:$B$353,B162,$C$4:$C$353,C162,$K$4:$K$353,K162&amp;"",$I$4:$I$353,"Planned")&gt;1),"More than one active plan for this AIR-ID, UC-ID scope and gate",IF(AND(E162="Not applicable",J162=""),"Not applicable needs rationale and authority ref",IF(AND(E162="Required",F162=""),"Required gate needs basis / triage ref",IF(L162="","Decision scope missing",IF(AND(L162="UC-ID specific",K162=""),"UC-ID required",IF(AND(L162="Shared system baseline",K162&lt;&gt;""),"Remove UC-ID or correct scope",IF(AND(G162&lt;&gt;"",NOT(ISNUMBER(G162))),"Target date is not a date",IF(E162="","Requirement missing",IF(I162="","Plan state missing","Check against source"))))))))))))))</f>
        <v/>
      </c>
    </row>
    <row r="163">
      <c r="A163" s="40" t="n"/>
      <c r="B163" s="40" t="n"/>
      <c r="C163" s="40" t="n"/>
      <c r="D163" s="40" t="n"/>
      <c r="E163" s="40" t="n"/>
      <c r="F163" s="40" t="n"/>
      <c r="G163" s="41" t="n"/>
      <c r="H163" s="40" t="n"/>
      <c r="I163" s="40" t="n"/>
      <c r="J163" s="40" t="n"/>
      <c r="K163" s="37" t="n"/>
      <c r="L163" s="37" t="n"/>
      <c r="M163" s="14">
        <f>IF(COUNTA(A163:L163)=0,"",IF(A163="","Plan ID missing",IF(COUNTIF($A$4:$A$353,A163)&gt;1,"Duplicate Plan ID",IF(B163="","AIR-ID missing",IF(C163="","Gate / forum missing",IF(AND(I163="Planned",COUNTIFS($B$4:$B$353,B163,$C$4:$C$353,C163,$K$4:$K$353,K163&amp;"",$I$4:$I$353,"Planned")&gt;1),"More than one active plan for this AIR-ID, UC-ID scope and gate",IF(AND(E163="Not applicable",J163=""),"Not applicable needs rationale and authority ref",IF(AND(E163="Required",F163=""),"Required gate needs basis / triage ref",IF(L163="","Decision scope missing",IF(AND(L163="UC-ID specific",K163=""),"UC-ID required",IF(AND(L163="Shared system baseline",K163&lt;&gt;""),"Remove UC-ID or correct scope",IF(AND(G163&lt;&gt;"",NOT(ISNUMBER(G163))),"Target date is not a date",IF(E163="","Requirement missing",IF(I163="","Plan state missing","Check against source"))))))))))))))</f>
        <v/>
      </c>
    </row>
    <row r="164">
      <c r="A164" s="38" t="n"/>
      <c r="B164" s="38" t="n"/>
      <c r="C164" s="38" t="n"/>
      <c r="D164" s="38" t="n"/>
      <c r="E164" s="38" t="n"/>
      <c r="F164" s="38" t="n"/>
      <c r="G164" s="39" t="n"/>
      <c r="H164" s="38" t="n"/>
      <c r="I164" s="38" t="n"/>
      <c r="J164" s="38" t="n"/>
      <c r="K164" s="37" t="n"/>
      <c r="L164" s="37" t="n"/>
      <c r="M164" s="14">
        <f>IF(COUNTA(A164:L164)=0,"",IF(A164="","Plan ID missing",IF(COUNTIF($A$4:$A$353,A164)&gt;1,"Duplicate Plan ID",IF(B164="","AIR-ID missing",IF(C164="","Gate / forum missing",IF(AND(I164="Planned",COUNTIFS($B$4:$B$353,B164,$C$4:$C$353,C164,$K$4:$K$353,K164&amp;"",$I$4:$I$353,"Planned")&gt;1),"More than one active plan for this AIR-ID, UC-ID scope and gate",IF(AND(E164="Not applicable",J164=""),"Not applicable needs rationale and authority ref",IF(AND(E164="Required",F164=""),"Required gate needs basis / triage ref",IF(L164="","Decision scope missing",IF(AND(L164="UC-ID specific",K164=""),"UC-ID required",IF(AND(L164="Shared system baseline",K164&lt;&gt;""),"Remove UC-ID or correct scope",IF(AND(G164&lt;&gt;"",NOT(ISNUMBER(G164))),"Target date is not a date",IF(E164="","Requirement missing",IF(I164="","Plan state missing","Check against source"))))))))))))))</f>
        <v/>
      </c>
    </row>
    <row r="165">
      <c r="A165" s="40" t="n"/>
      <c r="B165" s="40" t="n"/>
      <c r="C165" s="40" t="n"/>
      <c r="D165" s="40" t="n"/>
      <c r="E165" s="40" t="n"/>
      <c r="F165" s="40" t="n"/>
      <c r="G165" s="41" t="n"/>
      <c r="H165" s="40" t="n"/>
      <c r="I165" s="40" t="n"/>
      <c r="J165" s="40" t="n"/>
      <c r="K165" s="37" t="n"/>
      <c r="L165" s="37" t="n"/>
      <c r="M165" s="14">
        <f>IF(COUNTA(A165:L165)=0,"",IF(A165="","Plan ID missing",IF(COUNTIF($A$4:$A$353,A165)&gt;1,"Duplicate Plan ID",IF(B165="","AIR-ID missing",IF(C165="","Gate / forum missing",IF(AND(I165="Planned",COUNTIFS($B$4:$B$353,B165,$C$4:$C$353,C165,$K$4:$K$353,K165&amp;"",$I$4:$I$353,"Planned")&gt;1),"More than one active plan for this AIR-ID, UC-ID scope and gate",IF(AND(E165="Not applicable",J165=""),"Not applicable needs rationale and authority ref",IF(AND(E165="Required",F165=""),"Required gate needs basis / triage ref",IF(L165="","Decision scope missing",IF(AND(L165="UC-ID specific",K165=""),"UC-ID required",IF(AND(L165="Shared system baseline",K165&lt;&gt;""),"Remove UC-ID or correct scope",IF(AND(G165&lt;&gt;"",NOT(ISNUMBER(G165))),"Target date is not a date",IF(E165="","Requirement missing",IF(I165="","Plan state missing","Check against source"))))))))))))))</f>
        <v/>
      </c>
    </row>
    <row r="166">
      <c r="A166" s="38" t="n"/>
      <c r="B166" s="38" t="n"/>
      <c r="C166" s="38" t="n"/>
      <c r="D166" s="38" t="n"/>
      <c r="E166" s="38" t="n"/>
      <c r="F166" s="38" t="n"/>
      <c r="G166" s="39" t="n"/>
      <c r="H166" s="38" t="n"/>
      <c r="I166" s="38" t="n"/>
      <c r="J166" s="38" t="n"/>
      <c r="K166" s="37" t="n"/>
      <c r="L166" s="37" t="n"/>
      <c r="M166" s="14">
        <f>IF(COUNTA(A166:L166)=0,"",IF(A166="","Plan ID missing",IF(COUNTIF($A$4:$A$353,A166)&gt;1,"Duplicate Plan ID",IF(B166="","AIR-ID missing",IF(C166="","Gate / forum missing",IF(AND(I166="Planned",COUNTIFS($B$4:$B$353,B166,$C$4:$C$353,C166,$K$4:$K$353,K166&amp;"",$I$4:$I$353,"Planned")&gt;1),"More than one active plan for this AIR-ID, UC-ID scope and gate",IF(AND(E166="Not applicable",J166=""),"Not applicable needs rationale and authority ref",IF(AND(E166="Required",F166=""),"Required gate needs basis / triage ref",IF(L166="","Decision scope missing",IF(AND(L166="UC-ID specific",K166=""),"UC-ID required",IF(AND(L166="Shared system baseline",K166&lt;&gt;""),"Remove UC-ID or correct scope",IF(AND(G166&lt;&gt;"",NOT(ISNUMBER(G166))),"Target date is not a date",IF(E166="","Requirement missing",IF(I166="","Plan state missing","Check against source"))))))))))))))</f>
        <v/>
      </c>
    </row>
    <row r="167">
      <c r="A167" s="40" t="n"/>
      <c r="B167" s="40" t="n"/>
      <c r="C167" s="40" t="n"/>
      <c r="D167" s="40" t="n"/>
      <c r="E167" s="40" t="n"/>
      <c r="F167" s="40" t="n"/>
      <c r="G167" s="41" t="n"/>
      <c r="H167" s="40" t="n"/>
      <c r="I167" s="40" t="n"/>
      <c r="J167" s="40" t="n"/>
      <c r="K167" s="37" t="n"/>
      <c r="L167" s="37" t="n"/>
      <c r="M167" s="14">
        <f>IF(COUNTA(A167:L167)=0,"",IF(A167="","Plan ID missing",IF(COUNTIF($A$4:$A$353,A167)&gt;1,"Duplicate Plan ID",IF(B167="","AIR-ID missing",IF(C167="","Gate / forum missing",IF(AND(I167="Planned",COUNTIFS($B$4:$B$353,B167,$C$4:$C$353,C167,$K$4:$K$353,K167&amp;"",$I$4:$I$353,"Planned")&gt;1),"More than one active plan for this AIR-ID, UC-ID scope and gate",IF(AND(E167="Not applicable",J167=""),"Not applicable needs rationale and authority ref",IF(AND(E167="Required",F167=""),"Required gate needs basis / triage ref",IF(L167="","Decision scope missing",IF(AND(L167="UC-ID specific",K167=""),"UC-ID required",IF(AND(L167="Shared system baseline",K167&lt;&gt;""),"Remove UC-ID or correct scope",IF(AND(G167&lt;&gt;"",NOT(ISNUMBER(G167))),"Target date is not a date",IF(E167="","Requirement missing",IF(I167="","Plan state missing","Check against source"))))))))))))))</f>
        <v/>
      </c>
    </row>
    <row r="168">
      <c r="A168" s="38" t="n"/>
      <c r="B168" s="38" t="n"/>
      <c r="C168" s="38" t="n"/>
      <c r="D168" s="38" t="n"/>
      <c r="E168" s="38" t="n"/>
      <c r="F168" s="38" t="n"/>
      <c r="G168" s="39" t="n"/>
      <c r="H168" s="38" t="n"/>
      <c r="I168" s="38" t="n"/>
      <c r="J168" s="38" t="n"/>
      <c r="K168" s="37" t="n"/>
      <c r="L168" s="37" t="n"/>
      <c r="M168" s="14">
        <f>IF(COUNTA(A168:L168)=0,"",IF(A168="","Plan ID missing",IF(COUNTIF($A$4:$A$353,A168)&gt;1,"Duplicate Plan ID",IF(B168="","AIR-ID missing",IF(C168="","Gate / forum missing",IF(AND(I168="Planned",COUNTIFS($B$4:$B$353,B168,$C$4:$C$353,C168,$K$4:$K$353,K168&amp;"",$I$4:$I$353,"Planned")&gt;1),"More than one active plan for this AIR-ID, UC-ID scope and gate",IF(AND(E168="Not applicable",J168=""),"Not applicable needs rationale and authority ref",IF(AND(E168="Required",F168=""),"Required gate needs basis / triage ref",IF(L168="","Decision scope missing",IF(AND(L168="UC-ID specific",K168=""),"UC-ID required",IF(AND(L168="Shared system baseline",K168&lt;&gt;""),"Remove UC-ID or correct scope",IF(AND(G168&lt;&gt;"",NOT(ISNUMBER(G168))),"Target date is not a date",IF(E168="","Requirement missing",IF(I168="","Plan state missing","Check against source"))))))))))))))</f>
        <v/>
      </c>
    </row>
    <row r="169">
      <c r="A169" s="40" t="n"/>
      <c r="B169" s="40" t="n"/>
      <c r="C169" s="40" t="n"/>
      <c r="D169" s="40" t="n"/>
      <c r="E169" s="40" t="n"/>
      <c r="F169" s="40" t="n"/>
      <c r="G169" s="41" t="n"/>
      <c r="H169" s="40" t="n"/>
      <c r="I169" s="40" t="n"/>
      <c r="J169" s="40" t="n"/>
      <c r="K169" s="37" t="n"/>
      <c r="L169" s="37" t="n"/>
      <c r="M169" s="14">
        <f>IF(COUNTA(A169:L169)=0,"",IF(A169="","Plan ID missing",IF(COUNTIF($A$4:$A$353,A169)&gt;1,"Duplicate Plan ID",IF(B169="","AIR-ID missing",IF(C169="","Gate / forum missing",IF(AND(I169="Planned",COUNTIFS($B$4:$B$353,B169,$C$4:$C$353,C169,$K$4:$K$353,K169&amp;"",$I$4:$I$353,"Planned")&gt;1),"More than one active plan for this AIR-ID, UC-ID scope and gate",IF(AND(E169="Not applicable",J169=""),"Not applicable needs rationale and authority ref",IF(AND(E169="Required",F169=""),"Required gate needs basis / triage ref",IF(L169="","Decision scope missing",IF(AND(L169="UC-ID specific",K169=""),"UC-ID required",IF(AND(L169="Shared system baseline",K169&lt;&gt;""),"Remove UC-ID or correct scope",IF(AND(G169&lt;&gt;"",NOT(ISNUMBER(G169))),"Target date is not a date",IF(E169="","Requirement missing",IF(I169="","Plan state missing","Check against source"))))))))))))))</f>
        <v/>
      </c>
    </row>
    <row r="170">
      <c r="A170" s="38" t="n"/>
      <c r="B170" s="38" t="n"/>
      <c r="C170" s="38" t="n"/>
      <c r="D170" s="38" t="n"/>
      <c r="E170" s="38" t="n"/>
      <c r="F170" s="38" t="n"/>
      <c r="G170" s="39" t="n"/>
      <c r="H170" s="38" t="n"/>
      <c r="I170" s="38" t="n"/>
      <c r="J170" s="38" t="n"/>
      <c r="K170" s="37" t="n"/>
      <c r="L170" s="37" t="n"/>
      <c r="M170" s="14">
        <f>IF(COUNTA(A170:L170)=0,"",IF(A170="","Plan ID missing",IF(COUNTIF($A$4:$A$353,A170)&gt;1,"Duplicate Plan ID",IF(B170="","AIR-ID missing",IF(C170="","Gate / forum missing",IF(AND(I170="Planned",COUNTIFS($B$4:$B$353,B170,$C$4:$C$353,C170,$K$4:$K$353,K170&amp;"",$I$4:$I$353,"Planned")&gt;1),"More than one active plan for this AIR-ID, UC-ID scope and gate",IF(AND(E170="Not applicable",J170=""),"Not applicable needs rationale and authority ref",IF(AND(E170="Required",F170=""),"Required gate needs basis / triage ref",IF(L170="","Decision scope missing",IF(AND(L170="UC-ID specific",K170=""),"UC-ID required",IF(AND(L170="Shared system baseline",K170&lt;&gt;""),"Remove UC-ID or correct scope",IF(AND(G170&lt;&gt;"",NOT(ISNUMBER(G170))),"Target date is not a date",IF(E170="","Requirement missing",IF(I170="","Plan state missing","Check against source"))))))))))))))</f>
        <v/>
      </c>
    </row>
    <row r="171">
      <c r="A171" s="40" t="n"/>
      <c r="B171" s="40" t="n"/>
      <c r="C171" s="40" t="n"/>
      <c r="D171" s="40" t="n"/>
      <c r="E171" s="40" t="n"/>
      <c r="F171" s="40" t="n"/>
      <c r="G171" s="41" t="n"/>
      <c r="H171" s="40" t="n"/>
      <c r="I171" s="40" t="n"/>
      <c r="J171" s="40" t="n"/>
      <c r="K171" s="37" t="n"/>
      <c r="L171" s="37" t="n"/>
      <c r="M171" s="14">
        <f>IF(COUNTA(A171:L171)=0,"",IF(A171="","Plan ID missing",IF(COUNTIF($A$4:$A$353,A171)&gt;1,"Duplicate Plan ID",IF(B171="","AIR-ID missing",IF(C171="","Gate / forum missing",IF(AND(I171="Planned",COUNTIFS($B$4:$B$353,B171,$C$4:$C$353,C171,$K$4:$K$353,K171&amp;"",$I$4:$I$353,"Planned")&gt;1),"More than one active plan for this AIR-ID, UC-ID scope and gate",IF(AND(E171="Not applicable",J171=""),"Not applicable needs rationale and authority ref",IF(AND(E171="Required",F171=""),"Required gate needs basis / triage ref",IF(L171="","Decision scope missing",IF(AND(L171="UC-ID specific",K171=""),"UC-ID required",IF(AND(L171="Shared system baseline",K171&lt;&gt;""),"Remove UC-ID or correct scope",IF(AND(G171&lt;&gt;"",NOT(ISNUMBER(G171))),"Target date is not a date",IF(E171="","Requirement missing",IF(I171="","Plan state missing","Check against source"))))))))))))))</f>
        <v/>
      </c>
    </row>
    <row r="172">
      <c r="A172" s="38" t="n"/>
      <c r="B172" s="38" t="n"/>
      <c r="C172" s="38" t="n"/>
      <c r="D172" s="38" t="n"/>
      <c r="E172" s="38" t="n"/>
      <c r="F172" s="38" t="n"/>
      <c r="G172" s="39" t="n"/>
      <c r="H172" s="38" t="n"/>
      <c r="I172" s="38" t="n"/>
      <c r="J172" s="38" t="n"/>
      <c r="K172" s="37" t="n"/>
      <c r="L172" s="37" t="n"/>
      <c r="M172" s="14">
        <f>IF(COUNTA(A172:L172)=0,"",IF(A172="","Plan ID missing",IF(COUNTIF($A$4:$A$353,A172)&gt;1,"Duplicate Plan ID",IF(B172="","AIR-ID missing",IF(C172="","Gate / forum missing",IF(AND(I172="Planned",COUNTIFS($B$4:$B$353,B172,$C$4:$C$353,C172,$K$4:$K$353,K172&amp;"",$I$4:$I$353,"Planned")&gt;1),"More than one active plan for this AIR-ID, UC-ID scope and gate",IF(AND(E172="Not applicable",J172=""),"Not applicable needs rationale and authority ref",IF(AND(E172="Required",F172=""),"Required gate needs basis / triage ref",IF(L172="","Decision scope missing",IF(AND(L172="UC-ID specific",K172=""),"UC-ID required",IF(AND(L172="Shared system baseline",K172&lt;&gt;""),"Remove UC-ID or correct scope",IF(AND(G172&lt;&gt;"",NOT(ISNUMBER(G172))),"Target date is not a date",IF(E172="","Requirement missing",IF(I172="","Plan state missing","Check against source"))))))))))))))</f>
        <v/>
      </c>
    </row>
    <row r="173">
      <c r="A173" s="40" t="n"/>
      <c r="B173" s="40" t="n"/>
      <c r="C173" s="40" t="n"/>
      <c r="D173" s="40" t="n"/>
      <c r="E173" s="40" t="n"/>
      <c r="F173" s="40" t="n"/>
      <c r="G173" s="41" t="n"/>
      <c r="H173" s="40" t="n"/>
      <c r="I173" s="40" t="n"/>
      <c r="J173" s="40" t="n"/>
      <c r="K173" s="37" t="n"/>
      <c r="L173" s="37" t="n"/>
      <c r="M173" s="14">
        <f>IF(COUNTA(A173:L173)=0,"",IF(A173="","Plan ID missing",IF(COUNTIF($A$4:$A$353,A173)&gt;1,"Duplicate Plan ID",IF(B173="","AIR-ID missing",IF(C173="","Gate / forum missing",IF(AND(I173="Planned",COUNTIFS($B$4:$B$353,B173,$C$4:$C$353,C173,$K$4:$K$353,K173&amp;"",$I$4:$I$353,"Planned")&gt;1),"More than one active plan for this AIR-ID, UC-ID scope and gate",IF(AND(E173="Not applicable",J173=""),"Not applicable needs rationale and authority ref",IF(AND(E173="Required",F173=""),"Required gate needs basis / triage ref",IF(L173="","Decision scope missing",IF(AND(L173="UC-ID specific",K173=""),"UC-ID required",IF(AND(L173="Shared system baseline",K173&lt;&gt;""),"Remove UC-ID or correct scope",IF(AND(G173&lt;&gt;"",NOT(ISNUMBER(G173))),"Target date is not a date",IF(E173="","Requirement missing",IF(I173="","Plan state missing","Check against source"))))))))))))))</f>
        <v/>
      </c>
    </row>
    <row r="174">
      <c r="A174" s="38" t="n"/>
      <c r="B174" s="38" t="n"/>
      <c r="C174" s="38" t="n"/>
      <c r="D174" s="38" t="n"/>
      <c r="E174" s="38" t="n"/>
      <c r="F174" s="38" t="n"/>
      <c r="G174" s="39" t="n"/>
      <c r="H174" s="38" t="n"/>
      <c r="I174" s="38" t="n"/>
      <c r="J174" s="38" t="n"/>
      <c r="K174" s="37" t="n"/>
      <c r="L174" s="37" t="n"/>
      <c r="M174" s="14">
        <f>IF(COUNTA(A174:L174)=0,"",IF(A174="","Plan ID missing",IF(COUNTIF($A$4:$A$353,A174)&gt;1,"Duplicate Plan ID",IF(B174="","AIR-ID missing",IF(C174="","Gate / forum missing",IF(AND(I174="Planned",COUNTIFS($B$4:$B$353,B174,$C$4:$C$353,C174,$K$4:$K$353,K174&amp;"",$I$4:$I$353,"Planned")&gt;1),"More than one active plan for this AIR-ID, UC-ID scope and gate",IF(AND(E174="Not applicable",J174=""),"Not applicable needs rationale and authority ref",IF(AND(E174="Required",F174=""),"Required gate needs basis / triage ref",IF(L174="","Decision scope missing",IF(AND(L174="UC-ID specific",K174=""),"UC-ID required",IF(AND(L174="Shared system baseline",K174&lt;&gt;""),"Remove UC-ID or correct scope",IF(AND(G174&lt;&gt;"",NOT(ISNUMBER(G174))),"Target date is not a date",IF(E174="","Requirement missing",IF(I174="","Plan state missing","Check against source"))))))))))))))</f>
        <v/>
      </c>
    </row>
    <row r="175">
      <c r="A175" s="40" t="n"/>
      <c r="B175" s="40" t="n"/>
      <c r="C175" s="40" t="n"/>
      <c r="D175" s="40" t="n"/>
      <c r="E175" s="40" t="n"/>
      <c r="F175" s="40" t="n"/>
      <c r="G175" s="41" t="n"/>
      <c r="H175" s="40" t="n"/>
      <c r="I175" s="40" t="n"/>
      <c r="J175" s="40" t="n"/>
      <c r="K175" s="37" t="n"/>
      <c r="L175" s="37" t="n"/>
      <c r="M175" s="14">
        <f>IF(COUNTA(A175:L175)=0,"",IF(A175="","Plan ID missing",IF(COUNTIF($A$4:$A$353,A175)&gt;1,"Duplicate Plan ID",IF(B175="","AIR-ID missing",IF(C175="","Gate / forum missing",IF(AND(I175="Planned",COUNTIFS($B$4:$B$353,B175,$C$4:$C$353,C175,$K$4:$K$353,K175&amp;"",$I$4:$I$353,"Planned")&gt;1),"More than one active plan for this AIR-ID, UC-ID scope and gate",IF(AND(E175="Not applicable",J175=""),"Not applicable needs rationale and authority ref",IF(AND(E175="Required",F175=""),"Required gate needs basis / triage ref",IF(L175="","Decision scope missing",IF(AND(L175="UC-ID specific",K175=""),"UC-ID required",IF(AND(L175="Shared system baseline",K175&lt;&gt;""),"Remove UC-ID or correct scope",IF(AND(G175&lt;&gt;"",NOT(ISNUMBER(G175))),"Target date is not a date",IF(E175="","Requirement missing",IF(I175="","Plan state missing","Check against source"))))))))))))))</f>
        <v/>
      </c>
    </row>
    <row r="176">
      <c r="A176" s="38" t="n"/>
      <c r="B176" s="38" t="n"/>
      <c r="C176" s="38" t="n"/>
      <c r="D176" s="38" t="n"/>
      <c r="E176" s="38" t="n"/>
      <c r="F176" s="38" t="n"/>
      <c r="G176" s="39" t="n"/>
      <c r="H176" s="38" t="n"/>
      <c r="I176" s="38" t="n"/>
      <c r="J176" s="38" t="n"/>
      <c r="K176" s="37" t="n"/>
      <c r="L176" s="37" t="n"/>
      <c r="M176" s="14">
        <f>IF(COUNTA(A176:L176)=0,"",IF(A176="","Plan ID missing",IF(COUNTIF($A$4:$A$353,A176)&gt;1,"Duplicate Plan ID",IF(B176="","AIR-ID missing",IF(C176="","Gate / forum missing",IF(AND(I176="Planned",COUNTIFS($B$4:$B$353,B176,$C$4:$C$353,C176,$K$4:$K$353,K176&amp;"",$I$4:$I$353,"Planned")&gt;1),"More than one active plan for this AIR-ID, UC-ID scope and gate",IF(AND(E176="Not applicable",J176=""),"Not applicable needs rationale and authority ref",IF(AND(E176="Required",F176=""),"Required gate needs basis / triage ref",IF(L176="","Decision scope missing",IF(AND(L176="UC-ID specific",K176=""),"UC-ID required",IF(AND(L176="Shared system baseline",K176&lt;&gt;""),"Remove UC-ID or correct scope",IF(AND(G176&lt;&gt;"",NOT(ISNUMBER(G176))),"Target date is not a date",IF(E176="","Requirement missing",IF(I176="","Plan state missing","Check against source"))))))))))))))</f>
        <v/>
      </c>
    </row>
    <row r="177">
      <c r="A177" s="40" t="n"/>
      <c r="B177" s="40" t="n"/>
      <c r="C177" s="40" t="n"/>
      <c r="D177" s="40" t="n"/>
      <c r="E177" s="40" t="n"/>
      <c r="F177" s="40" t="n"/>
      <c r="G177" s="41" t="n"/>
      <c r="H177" s="40" t="n"/>
      <c r="I177" s="40" t="n"/>
      <c r="J177" s="40" t="n"/>
      <c r="K177" s="37" t="n"/>
      <c r="L177" s="37" t="n"/>
      <c r="M177" s="14">
        <f>IF(COUNTA(A177:L177)=0,"",IF(A177="","Plan ID missing",IF(COUNTIF($A$4:$A$353,A177)&gt;1,"Duplicate Plan ID",IF(B177="","AIR-ID missing",IF(C177="","Gate / forum missing",IF(AND(I177="Planned",COUNTIFS($B$4:$B$353,B177,$C$4:$C$353,C177,$K$4:$K$353,K177&amp;"",$I$4:$I$353,"Planned")&gt;1),"More than one active plan for this AIR-ID, UC-ID scope and gate",IF(AND(E177="Not applicable",J177=""),"Not applicable needs rationale and authority ref",IF(AND(E177="Required",F177=""),"Required gate needs basis / triage ref",IF(L177="","Decision scope missing",IF(AND(L177="UC-ID specific",K177=""),"UC-ID required",IF(AND(L177="Shared system baseline",K177&lt;&gt;""),"Remove UC-ID or correct scope",IF(AND(G177&lt;&gt;"",NOT(ISNUMBER(G177))),"Target date is not a date",IF(E177="","Requirement missing",IF(I177="","Plan state missing","Check against source"))))))))))))))</f>
        <v/>
      </c>
    </row>
    <row r="178">
      <c r="A178" s="38" t="n"/>
      <c r="B178" s="38" t="n"/>
      <c r="C178" s="38" t="n"/>
      <c r="D178" s="38" t="n"/>
      <c r="E178" s="38" t="n"/>
      <c r="F178" s="38" t="n"/>
      <c r="G178" s="39" t="n"/>
      <c r="H178" s="38" t="n"/>
      <c r="I178" s="38" t="n"/>
      <c r="J178" s="38" t="n"/>
      <c r="K178" s="37" t="n"/>
      <c r="L178" s="37" t="n"/>
      <c r="M178" s="14">
        <f>IF(COUNTA(A178:L178)=0,"",IF(A178="","Plan ID missing",IF(COUNTIF($A$4:$A$353,A178)&gt;1,"Duplicate Plan ID",IF(B178="","AIR-ID missing",IF(C178="","Gate / forum missing",IF(AND(I178="Planned",COUNTIFS($B$4:$B$353,B178,$C$4:$C$353,C178,$K$4:$K$353,K178&amp;"",$I$4:$I$353,"Planned")&gt;1),"More than one active plan for this AIR-ID, UC-ID scope and gate",IF(AND(E178="Not applicable",J178=""),"Not applicable needs rationale and authority ref",IF(AND(E178="Required",F178=""),"Required gate needs basis / triage ref",IF(L178="","Decision scope missing",IF(AND(L178="UC-ID specific",K178=""),"UC-ID required",IF(AND(L178="Shared system baseline",K178&lt;&gt;""),"Remove UC-ID or correct scope",IF(AND(G178&lt;&gt;"",NOT(ISNUMBER(G178))),"Target date is not a date",IF(E178="","Requirement missing",IF(I178="","Plan state missing","Check against source"))))))))))))))</f>
        <v/>
      </c>
    </row>
    <row r="179">
      <c r="A179" s="40" t="n"/>
      <c r="B179" s="40" t="n"/>
      <c r="C179" s="40" t="n"/>
      <c r="D179" s="40" t="n"/>
      <c r="E179" s="40" t="n"/>
      <c r="F179" s="40" t="n"/>
      <c r="G179" s="41" t="n"/>
      <c r="H179" s="40" t="n"/>
      <c r="I179" s="40" t="n"/>
      <c r="J179" s="40" t="n"/>
      <c r="K179" s="37" t="n"/>
      <c r="L179" s="37" t="n"/>
      <c r="M179" s="14">
        <f>IF(COUNTA(A179:L179)=0,"",IF(A179="","Plan ID missing",IF(COUNTIF($A$4:$A$353,A179)&gt;1,"Duplicate Plan ID",IF(B179="","AIR-ID missing",IF(C179="","Gate / forum missing",IF(AND(I179="Planned",COUNTIFS($B$4:$B$353,B179,$C$4:$C$353,C179,$K$4:$K$353,K179&amp;"",$I$4:$I$353,"Planned")&gt;1),"More than one active plan for this AIR-ID, UC-ID scope and gate",IF(AND(E179="Not applicable",J179=""),"Not applicable needs rationale and authority ref",IF(AND(E179="Required",F179=""),"Required gate needs basis / triage ref",IF(L179="","Decision scope missing",IF(AND(L179="UC-ID specific",K179=""),"UC-ID required",IF(AND(L179="Shared system baseline",K179&lt;&gt;""),"Remove UC-ID or correct scope",IF(AND(G179&lt;&gt;"",NOT(ISNUMBER(G179))),"Target date is not a date",IF(E179="","Requirement missing",IF(I179="","Plan state missing","Check against source"))))))))))))))</f>
        <v/>
      </c>
    </row>
    <row r="180">
      <c r="A180" s="38" t="n"/>
      <c r="B180" s="38" t="n"/>
      <c r="C180" s="38" t="n"/>
      <c r="D180" s="38" t="n"/>
      <c r="E180" s="38" t="n"/>
      <c r="F180" s="38" t="n"/>
      <c r="G180" s="39" t="n"/>
      <c r="H180" s="38" t="n"/>
      <c r="I180" s="38" t="n"/>
      <c r="J180" s="38" t="n"/>
      <c r="K180" s="37" t="n"/>
      <c r="L180" s="37" t="n"/>
      <c r="M180" s="14">
        <f>IF(COUNTA(A180:L180)=0,"",IF(A180="","Plan ID missing",IF(COUNTIF($A$4:$A$353,A180)&gt;1,"Duplicate Plan ID",IF(B180="","AIR-ID missing",IF(C180="","Gate / forum missing",IF(AND(I180="Planned",COUNTIFS($B$4:$B$353,B180,$C$4:$C$353,C180,$K$4:$K$353,K180&amp;"",$I$4:$I$353,"Planned")&gt;1),"More than one active plan for this AIR-ID, UC-ID scope and gate",IF(AND(E180="Not applicable",J180=""),"Not applicable needs rationale and authority ref",IF(AND(E180="Required",F180=""),"Required gate needs basis / triage ref",IF(L180="","Decision scope missing",IF(AND(L180="UC-ID specific",K180=""),"UC-ID required",IF(AND(L180="Shared system baseline",K180&lt;&gt;""),"Remove UC-ID or correct scope",IF(AND(G180&lt;&gt;"",NOT(ISNUMBER(G180))),"Target date is not a date",IF(E180="","Requirement missing",IF(I180="","Plan state missing","Check against source"))))))))))))))</f>
        <v/>
      </c>
    </row>
    <row r="181">
      <c r="A181" s="40" t="n"/>
      <c r="B181" s="40" t="n"/>
      <c r="C181" s="40" t="n"/>
      <c r="D181" s="40" t="n"/>
      <c r="E181" s="40" t="n"/>
      <c r="F181" s="40" t="n"/>
      <c r="G181" s="41" t="n"/>
      <c r="H181" s="40" t="n"/>
      <c r="I181" s="40" t="n"/>
      <c r="J181" s="40" t="n"/>
      <c r="K181" s="37" t="n"/>
      <c r="L181" s="37" t="n"/>
      <c r="M181" s="14">
        <f>IF(COUNTA(A181:L181)=0,"",IF(A181="","Plan ID missing",IF(COUNTIF($A$4:$A$353,A181)&gt;1,"Duplicate Plan ID",IF(B181="","AIR-ID missing",IF(C181="","Gate / forum missing",IF(AND(I181="Planned",COUNTIFS($B$4:$B$353,B181,$C$4:$C$353,C181,$K$4:$K$353,K181&amp;"",$I$4:$I$353,"Planned")&gt;1),"More than one active plan for this AIR-ID, UC-ID scope and gate",IF(AND(E181="Not applicable",J181=""),"Not applicable needs rationale and authority ref",IF(AND(E181="Required",F181=""),"Required gate needs basis / triage ref",IF(L181="","Decision scope missing",IF(AND(L181="UC-ID specific",K181=""),"UC-ID required",IF(AND(L181="Shared system baseline",K181&lt;&gt;""),"Remove UC-ID or correct scope",IF(AND(G181&lt;&gt;"",NOT(ISNUMBER(G181))),"Target date is not a date",IF(E181="","Requirement missing",IF(I181="","Plan state missing","Check against source"))))))))))))))</f>
        <v/>
      </c>
    </row>
    <row r="182">
      <c r="A182" s="38" t="n"/>
      <c r="B182" s="38" t="n"/>
      <c r="C182" s="38" t="n"/>
      <c r="D182" s="38" t="n"/>
      <c r="E182" s="38" t="n"/>
      <c r="F182" s="38" t="n"/>
      <c r="G182" s="39" t="n"/>
      <c r="H182" s="38" t="n"/>
      <c r="I182" s="38" t="n"/>
      <c r="J182" s="38" t="n"/>
      <c r="K182" s="37" t="n"/>
      <c r="L182" s="37" t="n"/>
      <c r="M182" s="14">
        <f>IF(COUNTA(A182:L182)=0,"",IF(A182="","Plan ID missing",IF(COUNTIF($A$4:$A$353,A182)&gt;1,"Duplicate Plan ID",IF(B182="","AIR-ID missing",IF(C182="","Gate / forum missing",IF(AND(I182="Planned",COUNTIFS($B$4:$B$353,B182,$C$4:$C$353,C182,$K$4:$K$353,K182&amp;"",$I$4:$I$353,"Planned")&gt;1),"More than one active plan for this AIR-ID, UC-ID scope and gate",IF(AND(E182="Not applicable",J182=""),"Not applicable needs rationale and authority ref",IF(AND(E182="Required",F182=""),"Required gate needs basis / triage ref",IF(L182="","Decision scope missing",IF(AND(L182="UC-ID specific",K182=""),"UC-ID required",IF(AND(L182="Shared system baseline",K182&lt;&gt;""),"Remove UC-ID or correct scope",IF(AND(G182&lt;&gt;"",NOT(ISNUMBER(G182))),"Target date is not a date",IF(E182="","Requirement missing",IF(I182="","Plan state missing","Check against source"))))))))))))))</f>
        <v/>
      </c>
    </row>
    <row r="183">
      <c r="A183" s="40" t="n"/>
      <c r="B183" s="40" t="n"/>
      <c r="C183" s="40" t="n"/>
      <c r="D183" s="40" t="n"/>
      <c r="E183" s="40" t="n"/>
      <c r="F183" s="40" t="n"/>
      <c r="G183" s="41" t="n"/>
      <c r="H183" s="40" t="n"/>
      <c r="I183" s="40" t="n"/>
      <c r="J183" s="40" t="n"/>
      <c r="K183" s="37" t="n"/>
      <c r="L183" s="37" t="n"/>
      <c r="M183" s="14">
        <f>IF(COUNTA(A183:L183)=0,"",IF(A183="","Plan ID missing",IF(COUNTIF($A$4:$A$353,A183)&gt;1,"Duplicate Plan ID",IF(B183="","AIR-ID missing",IF(C183="","Gate / forum missing",IF(AND(I183="Planned",COUNTIFS($B$4:$B$353,B183,$C$4:$C$353,C183,$K$4:$K$353,K183&amp;"",$I$4:$I$353,"Planned")&gt;1),"More than one active plan for this AIR-ID, UC-ID scope and gate",IF(AND(E183="Not applicable",J183=""),"Not applicable needs rationale and authority ref",IF(AND(E183="Required",F183=""),"Required gate needs basis / triage ref",IF(L183="","Decision scope missing",IF(AND(L183="UC-ID specific",K183=""),"UC-ID required",IF(AND(L183="Shared system baseline",K183&lt;&gt;""),"Remove UC-ID or correct scope",IF(AND(G183&lt;&gt;"",NOT(ISNUMBER(G183))),"Target date is not a date",IF(E183="","Requirement missing",IF(I183="","Plan state missing","Check against source"))))))))))))))</f>
        <v/>
      </c>
    </row>
    <row r="184">
      <c r="A184" s="38" t="n"/>
      <c r="B184" s="38" t="n"/>
      <c r="C184" s="38" t="n"/>
      <c r="D184" s="38" t="n"/>
      <c r="E184" s="38" t="n"/>
      <c r="F184" s="38" t="n"/>
      <c r="G184" s="39" t="n"/>
      <c r="H184" s="38" t="n"/>
      <c r="I184" s="38" t="n"/>
      <c r="J184" s="38" t="n"/>
      <c r="K184" s="37" t="n"/>
      <c r="L184" s="37" t="n"/>
      <c r="M184" s="14">
        <f>IF(COUNTA(A184:L184)=0,"",IF(A184="","Plan ID missing",IF(COUNTIF($A$4:$A$353,A184)&gt;1,"Duplicate Plan ID",IF(B184="","AIR-ID missing",IF(C184="","Gate / forum missing",IF(AND(I184="Planned",COUNTIFS($B$4:$B$353,B184,$C$4:$C$353,C184,$K$4:$K$353,K184&amp;"",$I$4:$I$353,"Planned")&gt;1),"More than one active plan for this AIR-ID, UC-ID scope and gate",IF(AND(E184="Not applicable",J184=""),"Not applicable needs rationale and authority ref",IF(AND(E184="Required",F184=""),"Required gate needs basis / triage ref",IF(L184="","Decision scope missing",IF(AND(L184="UC-ID specific",K184=""),"UC-ID required",IF(AND(L184="Shared system baseline",K184&lt;&gt;""),"Remove UC-ID or correct scope",IF(AND(G184&lt;&gt;"",NOT(ISNUMBER(G184))),"Target date is not a date",IF(E184="","Requirement missing",IF(I184="","Plan state missing","Check against source"))))))))))))))</f>
        <v/>
      </c>
    </row>
    <row r="185">
      <c r="A185" s="40" t="n"/>
      <c r="B185" s="40" t="n"/>
      <c r="C185" s="40" t="n"/>
      <c r="D185" s="40" t="n"/>
      <c r="E185" s="40" t="n"/>
      <c r="F185" s="40" t="n"/>
      <c r="G185" s="41" t="n"/>
      <c r="H185" s="40" t="n"/>
      <c r="I185" s="40" t="n"/>
      <c r="J185" s="40" t="n"/>
      <c r="K185" s="37" t="n"/>
      <c r="L185" s="37" t="n"/>
      <c r="M185" s="14">
        <f>IF(COUNTA(A185:L185)=0,"",IF(A185="","Plan ID missing",IF(COUNTIF($A$4:$A$353,A185)&gt;1,"Duplicate Plan ID",IF(B185="","AIR-ID missing",IF(C185="","Gate / forum missing",IF(AND(I185="Planned",COUNTIFS($B$4:$B$353,B185,$C$4:$C$353,C185,$K$4:$K$353,K185&amp;"",$I$4:$I$353,"Planned")&gt;1),"More than one active plan for this AIR-ID, UC-ID scope and gate",IF(AND(E185="Not applicable",J185=""),"Not applicable needs rationale and authority ref",IF(AND(E185="Required",F185=""),"Required gate needs basis / triage ref",IF(L185="","Decision scope missing",IF(AND(L185="UC-ID specific",K185=""),"UC-ID required",IF(AND(L185="Shared system baseline",K185&lt;&gt;""),"Remove UC-ID or correct scope",IF(AND(G185&lt;&gt;"",NOT(ISNUMBER(G185))),"Target date is not a date",IF(E185="","Requirement missing",IF(I185="","Plan state missing","Check against source"))))))))))))))</f>
        <v/>
      </c>
    </row>
    <row r="186">
      <c r="A186" s="38" t="n"/>
      <c r="B186" s="38" t="n"/>
      <c r="C186" s="38" t="n"/>
      <c r="D186" s="38" t="n"/>
      <c r="E186" s="38" t="n"/>
      <c r="F186" s="38" t="n"/>
      <c r="G186" s="39" t="n"/>
      <c r="H186" s="38" t="n"/>
      <c r="I186" s="38" t="n"/>
      <c r="J186" s="38" t="n"/>
      <c r="K186" s="37" t="n"/>
      <c r="L186" s="37" t="n"/>
      <c r="M186" s="14">
        <f>IF(COUNTA(A186:L186)=0,"",IF(A186="","Plan ID missing",IF(COUNTIF($A$4:$A$353,A186)&gt;1,"Duplicate Plan ID",IF(B186="","AIR-ID missing",IF(C186="","Gate / forum missing",IF(AND(I186="Planned",COUNTIFS($B$4:$B$353,B186,$C$4:$C$353,C186,$K$4:$K$353,K186&amp;"",$I$4:$I$353,"Planned")&gt;1),"More than one active plan for this AIR-ID, UC-ID scope and gate",IF(AND(E186="Not applicable",J186=""),"Not applicable needs rationale and authority ref",IF(AND(E186="Required",F186=""),"Required gate needs basis / triage ref",IF(L186="","Decision scope missing",IF(AND(L186="UC-ID specific",K186=""),"UC-ID required",IF(AND(L186="Shared system baseline",K186&lt;&gt;""),"Remove UC-ID or correct scope",IF(AND(G186&lt;&gt;"",NOT(ISNUMBER(G186))),"Target date is not a date",IF(E186="","Requirement missing",IF(I186="","Plan state missing","Check against source"))))))))))))))</f>
        <v/>
      </c>
    </row>
    <row r="187">
      <c r="A187" s="40" t="n"/>
      <c r="B187" s="40" t="n"/>
      <c r="C187" s="40" t="n"/>
      <c r="D187" s="40" t="n"/>
      <c r="E187" s="40" t="n"/>
      <c r="F187" s="40" t="n"/>
      <c r="G187" s="41" t="n"/>
      <c r="H187" s="40" t="n"/>
      <c r="I187" s="40" t="n"/>
      <c r="J187" s="40" t="n"/>
      <c r="K187" s="37" t="n"/>
      <c r="L187" s="37" t="n"/>
      <c r="M187" s="14">
        <f>IF(COUNTA(A187:L187)=0,"",IF(A187="","Plan ID missing",IF(COUNTIF($A$4:$A$353,A187)&gt;1,"Duplicate Plan ID",IF(B187="","AIR-ID missing",IF(C187="","Gate / forum missing",IF(AND(I187="Planned",COUNTIFS($B$4:$B$353,B187,$C$4:$C$353,C187,$K$4:$K$353,K187&amp;"",$I$4:$I$353,"Planned")&gt;1),"More than one active plan for this AIR-ID, UC-ID scope and gate",IF(AND(E187="Not applicable",J187=""),"Not applicable needs rationale and authority ref",IF(AND(E187="Required",F187=""),"Required gate needs basis / triage ref",IF(L187="","Decision scope missing",IF(AND(L187="UC-ID specific",K187=""),"UC-ID required",IF(AND(L187="Shared system baseline",K187&lt;&gt;""),"Remove UC-ID or correct scope",IF(AND(G187&lt;&gt;"",NOT(ISNUMBER(G187))),"Target date is not a date",IF(E187="","Requirement missing",IF(I187="","Plan state missing","Check against source"))))))))))))))</f>
        <v/>
      </c>
    </row>
    <row r="188">
      <c r="A188" s="38" t="n"/>
      <c r="B188" s="38" t="n"/>
      <c r="C188" s="38" t="n"/>
      <c r="D188" s="38" t="n"/>
      <c r="E188" s="38" t="n"/>
      <c r="F188" s="38" t="n"/>
      <c r="G188" s="39" t="n"/>
      <c r="H188" s="38" t="n"/>
      <c r="I188" s="38" t="n"/>
      <c r="J188" s="38" t="n"/>
      <c r="K188" s="37" t="n"/>
      <c r="L188" s="37" t="n"/>
      <c r="M188" s="14">
        <f>IF(COUNTA(A188:L188)=0,"",IF(A188="","Plan ID missing",IF(COUNTIF($A$4:$A$353,A188)&gt;1,"Duplicate Plan ID",IF(B188="","AIR-ID missing",IF(C188="","Gate / forum missing",IF(AND(I188="Planned",COUNTIFS($B$4:$B$353,B188,$C$4:$C$353,C188,$K$4:$K$353,K188&amp;"",$I$4:$I$353,"Planned")&gt;1),"More than one active plan for this AIR-ID, UC-ID scope and gate",IF(AND(E188="Not applicable",J188=""),"Not applicable needs rationale and authority ref",IF(AND(E188="Required",F188=""),"Required gate needs basis / triage ref",IF(L188="","Decision scope missing",IF(AND(L188="UC-ID specific",K188=""),"UC-ID required",IF(AND(L188="Shared system baseline",K188&lt;&gt;""),"Remove UC-ID or correct scope",IF(AND(G188&lt;&gt;"",NOT(ISNUMBER(G188))),"Target date is not a date",IF(E188="","Requirement missing",IF(I188="","Plan state missing","Check against source"))))))))))))))</f>
        <v/>
      </c>
    </row>
    <row r="189">
      <c r="A189" s="40" t="n"/>
      <c r="B189" s="40" t="n"/>
      <c r="C189" s="40" t="n"/>
      <c r="D189" s="40" t="n"/>
      <c r="E189" s="40" t="n"/>
      <c r="F189" s="40" t="n"/>
      <c r="G189" s="41" t="n"/>
      <c r="H189" s="40" t="n"/>
      <c r="I189" s="40" t="n"/>
      <c r="J189" s="40" t="n"/>
      <c r="K189" s="37" t="n"/>
      <c r="L189" s="37" t="n"/>
      <c r="M189" s="14">
        <f>IF(COUNTA(A189:L189)=0,"",IF(A189="","Plan ID missing",IF(COUNTIF($A$4:$A$353,A189)&gt;1,"Duplicate Plan ID",IF(B189="","AIR-ID missing",IF(C189="","Gate / forum missing",IF(AND(I189="Planned",COUNTIFS($B$4:$B$353,B189,$C$4:$C$353,C189,$K$4:$K$353,K189&amp;"",$I$4:$I$353,"Planned")&gt;1),"More than one active plan for this AIR-ID, UC-ID scope and gate",IF(AND(E189="Not applicable",J189=""),"Not applicable needs rationale and authority ref",IF(AND(E189="Required",F189=""),"Required gate needs basis / triage ref",IF(L189="","Decision scope missing",IF(AND(L189="UC-ID specific",K189=""),"UC-ID required",IF(AND(L189="Shared system baseline",K189&lt;&gt;""),"Remove UC-ID or correct scope",IF(AND(G189&lt;&gt;"",NOT(ISNUMBER(G189))),"Target date is not a date",IF(E189="","Requirement missing",IF(I189="","Plan state missing","Check against source"))))))))))))))</f>
        <v/>
      </c>
    </row>
    <row r="190">
      <c r="A190" s="38" t="n"/>
      <c r="B190" s="38" t="n"/>
      <c r="C190" s="38" t="n"/>
      <c r="D190" s="38" t="n"/>
      <c r="E190" s="38" t="n"/>
      <c r="F190" s="38" t="n"/>
      <c r="G190" s="39" t="n"/>
      <c r="H190" s="38" t="n"/>
      <c r="I190" s="38" t="n"/>
      <c r="J190" s="38" t="n"/>
      <c r="K190" s="37" t="n"/>
      <c r="L190" s="37" t="n"/>
      <c r="M190" s="14">
        <f>IF(COUNTA(A190:L190)=0,"",IF(A190="","Plan ID missing",IF(COUNTIF($A$4:$A$353,A190)&gt;1,"Duplicate Plan ID",IF(B190="","AIR-ID missing",IF(C190="","Gate / forum missing",IF(AND(I190="Planned",COUNTIFS($B$4:$B$353,B190,$C$4:$C$353,C190,$K$4:$K$353,K190&amp;"",$I$4:$I$353,"Planned")&gt;1),"More than one active plan for this AIR-ID, UC-ID scope and gate",IF(AND(E190="Not applicable",J190=""),"Not applicable needs rationale and authority ref",IF(AND(E190="Required",F190=""),"Required gate needs basis / triage ref",IF(L190="","Decision scope missing",IF(AND(L190="UC-ID specific",K190=""),"UC-ID required",IF(AND(L190="Shared system baseline",K190&lt;&gt;""),"Remove UC-ID or correct scope",IF(AND(G190&lt;&gt;"",NOT(ISNUMBER(G190))),"Target date is not a date",IF(E190="","Requirement missing",IF(I190="","Plan state missing","Check against source"))))))))))))))</f>
        <v/>
      </c>
    </row>
    <row r="191">
      <c r="A191" s="40" t="n"/>
      <c r="B191" s="40" t="n"/>
      <c r="C191" s="40" t="n"/>
      <c r="D191" s="40" t="n"/>
      <c r="E191" s="40" t="n"/>
      <c r="F191" s="40" t="n"/>
      <c r="G191" s="41" t="n"/>
      <c r="H191" s="40" t="n"/>
      <c r="I191" s="40" t="n"/>
      <c r="J191" s="40" t="n"/>
      <c r="K191" s="37" t="n"/>
      <c r="L191" s="37" t="n"/>
      <c r="M191" s="14">
        <f>IF(COUNTA(A191:L191)=0,"",IF(A191="","Plan ID missing",IF(COUNTIF($A$4:$A$353,A191)&gt;1,"Duplicate Plan ID",IF(B191="","AIR-ID missing",IF(C191="","Gate / forum missing",IF(AND(I191="Planned",COUNTIFS($B$4:$B$353,B191,$C$4:$C$353,C191,$K$4:$K$353,K191&amp;"",$I$4:$I$353,"Planned")&gt;1),"More than one active plan for this AIR-ID, UC-ID scope and gate",IF(AND(E191="Not applicable",J191=""),"Not applicable needs rationale and authority ref",IF(AND(E191="Required",F191=""),"Required gate needs basis / triage ref",IF(L191="","Decision scope missing",IF(AND(L191="UC-ID specific",K191=""),"UC-ID required",IF(AND(L191="Shared system baseline",K191&lt;&gt;""),"Remove UC-ID or correct scope",IF(AND(G191&lt;&gt;"",NOT(ISNUMBER(G191))),"Target date is not a date",IF(E191="","Requirement missing",IF(I191="","Plan state missing","Check against source"))))))))))))))</f>
        <v/>
      </c>
    </row>
    <row r="192">
      <c r="A192" s="38" t="n"/>
      <c r="B192" s="38" t="n"/>
      <c r="C192" s="38" t="n"/>
      <c r="D192" s="38" t="n"/>
      <c r="E192" s="38" t="n"/>
      <c r="F192" s="38" t="n"/>
      <c r="G192" s="39" t="n"/>
      <c r="H192" s="38" t="n"/>
      <c r="I192" s="38" t="n"/>
      <c r="J192" s="38" t="n"/>
      <c r="K192" s="37" t="n"/>
      <c r="L192" s="37" t="n"/>
      <c r="M192" s="14">
        <f>IF(COUNTA(A192:L192)=0,"",IF(A192="","Plan ID missing",IF(COUNTIF($A$4:$A$353,A192)&gt;1,"Duplicate Plan ID",IF(B192="","AIR-ID missing",IF(C192="","Gate / forum missing",IF(AND(I192="Planned",COUNTIFS($B$4:$B$353,B192,$C$4:$C$353,C192,$K$4:$K$353,K192&amp;"",$I$4:$I$353,"Planned")&gt;1),"More than one active plan for this AIR-ID, UC-ID scope and gate",IF(AND(E192="Not applicable",J192=""),"Not applicable needs rationale and authority ref",IF(AND(E192="Required",F192=""),"Required gate needs basis / triage ref",IF(L192="","Decision scope missing",IF(AND(L192="UC-ID specific",K192=""),"UC-ID required",IF(AND(L192="Shared system baseline",K192&lt;&gt;""),"Remove UC-ID or correct scope",IF(AND(G192&lt;&gt;"",NOT(ISNUMBER(G192))),"Target date is not a date",IF(E192="","Requirement missing",IF(I192="","Plan state missing","Check against source"))))))))))))))</f>
        <v/>
      </c>
    </row>
    <row r="193">
      <c r="A193" s="40" t="n"/>
      <c r="B193" s="40" t="n"/>
      <c r="C193" s="40" t="n"/>
      <c r="D193" s="40" t="n"/>
      <c r="E193" s="40" t="n"/>
      <c r="F193" s="40" t="n"/>
      <c r="G193" s="41" t="n"/>
      <c r="H193" s="40" t="n"/>
      <c r="I193" s="40" t="n"/>
      <c r="J193" s="40" t="n"/>
      <c r="K193" s="37" t="n"/>
      <c r="L193" s="37" t="n"/>
      <c r="M193" s="14">
        <f>IF(COUNTA(A193:L193)=0,"",IF(A193="","Plan ID missing",IF(COUNTIF($A$4:$A$353,A193)&gt;1,"Duplicate Plan ID",IF(B193="","AIR-ID missing",IF(C193="","Gate / forum missing",IF(AND(I193="Planned",COUNTIFS($B$4:$B$353,B193,$C$4:$C$353,C193,$K$4:$K$353,K193&amp;"",$I$4:$I$353,"Planned")&gt;1),"More than one active plan for this AIR-ID, UC-ID scope and gate",IF(AND(E193="Not applicable",J193=""),"Not applicable needs rationale and authority ref",IF(AND(E193="Required",F193=""),"Required gate needs basis / triage ref",IF(L193="","Decision scope missing",IF(AND(L193="UC-ID specific",K193=""),"UC-ID required",IF(AND(L193="Shared system baseline",K193&lt;&gt;""),"Remove UC-ID or correct scope",IF(AND(G193&lt;&gt;"",NOT(ISNUMBER(G193))),"Target date is not a date",IF(E193="","Requirement missing",IF(I193="","Plan state missing","Check against source"))))))))))))))</f>
        <v/>
      </c>
    </row>
    <row r="194">
      <c r="A194" s="38" t="n"/>
      <c r="B194" s="38" t="n"/>
      <c r="C194" s="38" t="n"/>
      <c r="D194" s="38" t="n"/>
      <c r="E194" s="38" t="n"/>
      <c r="F194" s="38" t="n"/>
      <c r="G194" s="39" t="n"/>
      <c r="H194" s="38" t="n"/>
      <c r="I194" s="38" t="n"/>
      <c r="J194" s="38" t="n"/>
      <c r="K194" s="37" t="n"/>
      <c r="L194" s="37" t="n"/>
      <c r="M194" s="14">
        <f>IF(COUNTA(A194:L194)=0,"",IF(A194="","Plan ID missing",IF(COUNTIF($A$4:$A$353,A194)&gt;1,"Duplicate Plan ID",IF(B194="","AIR-ID missing",IF(C194="","Gate / forum missing",IF(AND(I194="Planned",COUNTIFS($B$4:$B$353,B194,$C$4:$C$353,C194,$K$4:$K$353,K194&amp;"",$I$4:$I$353,"Planned")&gt;1),"More than one active plan for this AIR-ID, UC-ID scope and gate",IF(AND(E194="Not applicable",J194=""),"Not applicable needs rationale and authority ref",IF(AND(E194="Required",F194=""),"Required gate needs basis / triage ref",IF(L194="","Decision scope missing",IF(AND(L194="UC-ID specific",K194=""),"UC-ID required",IF(AND(L194="Shared system baseline",K194&lt;&gt;""),"Remove UC-ID or correct scope",IF(AND(G194&lt;&gt;"",NOT(ISNUMBER(G194))),"Target date is not a date",IF(E194="","Requirement missing",IF(I194="","Plan state missing","Check against source"))))))))))))))</f>
        <v/>
      </c>
    </row>
    <row r="195">
      <c r="A195" s="40" t="n"/>
      <c r="B195" s="40" t="n"/>
      <c r="C195" s="40" t="n"/>
      <c r="D195" s="40" t="n"/>
      <c r="E195" s="40" t="n"/>
      <c r="F195" s="40" t="n"/>
      <c r="G195" s="41" t="n"/>
      <c r="H195" s="40" t="n"/>
      <c r="I195" s="40" t="n"/>
      <c r="J195" s="40" t="n"/>
      <c r="K195" s="37" t="n"/>
      <c r="L195" s="37" t="n"/>
      <c r="M195" s="14">
        <f>IF(COUNTA(A195:L195)=0,"",IF(A195="","Plan ID missing",IF(COUNTIF($A$4:$A$353,A195)&gt;1,"Duplicate Plan ID",IF(B195="","AIR-ID missing",IF(C195="","Gate / forum missing",IF(AND(I195="Planned",COUNTIFS($B$4:$B$353,B195,$C$4:$C$353,C195,$K$4:$K$353,K195&amp;"",$I$4:$I$353,"Planned")&gt;1),"More than one active plan for this AIR-ID, UC-ID scope and gate",IF(AND(E195="Not applicable",J195=""),"Not applicable needs rationale and authority ref",IF(AND(E195="Required",F195=""),"Required gate needs basis / triage ref",IF(L195="","Decision scope missing",IF(AND(L195="UC-ID specific",K195=""),"UC-ID required",IF(AND(L195="Shared system baseline",K195&lt;&gt;""),"Remove UC-ID or correct scope",IF(AND(G195&lt;&gt;"",NOT(ISNUMBER(G195))),"Target date is not a date",IF(E195="","Requirement missing",IF(I195="","Plan state missing","Check against source"))))))))))))))</f>
        <v/>
      </c>
    </row>
    <row r="196">
      <c r="A196" s="38" t="n"/>
      <c r="B196" s="38" t="n"/>
      <c r="C196" s="38" t="n"/>
      <c r="D196" s="38" t="n"/>
      <c r="E196" s="38" t="n"/>
      <c r="F196" s="38" t="n"/>
      <c r="G196" s="39" t="n"/>
      <c r="H196" s="38" t="n"/>
      <c r="I196" s="38" t="n"/>
      <c r="J196" s="38" t="n"/>
      <c r="K196" s="37" t="n"/>
      <c r="L196" s="37" t="n"/>
      <c r="M196" s="14">
        <f>IF(COUNTA(A196:L196)=0,"",IF(A196="","Plan ID missing",IF(COUNTIF($A$4:$A$353,A196)&gt;1,"Duplicate Plan ID",IF(B196="","AIR-ID missing",IF(C196="","Gate / forum missing",IF(AND(I196="Planned",COUNTIFS($B$4:$B$353,B196,$C$4:$C$353,C196,$K$4:$K$353,K196&amp;"",$I$4:$I$353,"Planned")&gt;1),"More than one active plan for this AIR-ID, UC-ID scope and gate",IF(AND(E196="Not applicable",J196=""),"Not applicable needs rationale and authority ref",IF(AND(E196="Required",F196=""),"Required gate needs basis / triage ref",IF(L196="","Decision scope missing",IF(AND(L196="UC-ID specific",K196=""),"UC-ID required",IF(AND(L196="Shared system baseline",K196&lt;&gt;""),"Remove UC-ID or correct scope",IF(AND(G196&lt;&gt;"",NOT(ISNUMBER(G196))),"Target date is not a date",IF(E196="","Requirement missing",IF(I196="","Plan state missing","Check against source"))))))))))))))</f>
        <v/>
      </c>
    </row>
    <row r="197">
      <c r="A197" s="40" t="n"/>
      <c r="B197" s="40" t="n"/>
      <c r="C197" s="40" t="n"/>
      <c r="D197" s="40" t="n"/>
      <c r="E197" s="40" t="n"/>
      <c r="F197" s="40" t="n"/>
      <c r="G197" s="41" t="n"/>
      <c r="H197" s="40" t="n"/>
      <c r="I197" s="40" t="n"/>
      <c r="J197" s="40" t="n"/>
      <c r="K197" s="37" t="n"/>
      <c r="L197" s="37" t="n"/>
      <c r="M197" s="14">
        <f>IF(COUNTA(A197:L197)=0,"",IF(A197="","Plan ID missing",IF(COUNTIF($A$4:$A$353,A197)&gt;1,"Duplicate Plan ID",IF(B197="","AIR-ID missing",IF(C197="","Gate / forum missing",IF(AND(I197="Planned",COUNTIFS($B$4:$B$353,B197,$C$4:$C$353,C197,$K$4:$K$353,K197&amp;"",$I$4:$I$353,"Planned")&gt;1),"More than one active plan for this AIR-ID, UC-ID scope and gate",IF(AND(E197="Not applicable",J197=""),"Not applicable needs rationale and authority ref",IF(AND(E197="Required",F197=""),"Required gate needs basis / triage ref",IF(L197="","Decision scope missing",IF(AND(L197="UC-ID specific",K197=""),"UC-ID required",IF(AND(L197="Shared system baseline",K197&lt;&gt;""),"Remove UC-ID or correct scope",IF(AND(G197&lt;&gt;"",NOT(ISNUMBER(G197))),"Target date is not a date",IF(E197="","Requirement missing",IF(I197="","Plan state missing","Check against source"))))))))))))))</f>
        <v/>
      </c>
    </row>
    <row r="198">
      <c r="A198" s="38" t="n"/>
      <c r="B198" s="38" t="n"/>
      <c r="C198" s="38" t="n"/>
      <c r="D198" s="38" t="n"/>
      <c r="E198" s="38" t="n"/>
      <c r="F198" s="38" t="n"/>
      <c r="G198" s="39" t="n"/>
      <c r="H198" s="38" t="n"/>
      <c r="I198" s="38" t="n"/>
      <c r="J198" s="38" t="n"/>
      <c r="K198" s="37" t="n"/>
      <c r="L198" s="37" t="n"/>
      <c r="M198" s="14">
        <f>IF(COUNTA(A198:L198)=0,"",IF(A198="","Plan ID missing",IF(COUNTIF($A$4:$A$353,A198)&gt;1,"Duplicate Plan ID",IF(B198="","AIR-ID missing",IF(C198="","Gate / forum missing",IF(AND(I198="Planned",COUNTIFS($B$4:$B$353,B198,$C$4:$C$353,C198,$K$4:$K$353,K198&amp;"",$I$4:$I$353,"Planned")&gt;1),"More than one active plan for this AIR-ID, UC-ID scope and gate",IF(AND(E198="Not applicable",J198=""),"Not applicable needs rationale and authority ref",IF(AND(E198="Required",F198=""),"Required gate needs basis / triage ref",IF(L198="","Decision scope missing",IF(AND(L198="UC-ID specific",K198=""),"UC-ID required",IF(AND(L198="Shared system baseline",K198&lt;&gt;""),"Remove UC-ID or correct scope",IF(AND(G198&lt;&gt;"",NOT(ISNUMBER(G198))),"Target date is not a date",IF(E198="","Requirement missing",IF(I198="","Plan state missing","Check against source"))))))))))))))</f>
        <v/>
      </c>
    </row>
    <row r="199">
      <c r="A199" s="40" t="n"/>
      <c r="B199" s="40" t="n"/>
      <c r="C199" s="40" t="n"/>
      <c r="D199" s="40" t="n"/>
      <c r="E199" s="40" t="n"/>
      <c r="F199" s="40" t="n"/>
      <c r="G199" s="41" t="n"/>
      <c r="H199" s="40" t="n"/>
      <c r="I199" s="40" t="n"/>
      <c r="J199" s="40" t="n"/>
      <c r="K199" s="37" t="n"/>
      <c r="L199" s="37" t="n"/>
      <c r="M199" s="14">
        <f>IF(COUNTA(A199:L199)=0,"",IF(A199="","Plan ID missing",IF(COUNTIF($A$4:$A$353,A199)&gt;1,"Duplicate Plan ID",IF(B199="","AIR-ID missing",IF(C199="","Gate / forum missing",IF(AND(I199="Planned",COUNTIFS($B$4:$B$353,B199,$C$4:$C$353,C199,$K$4:$K$353,K199&amp;"",$I$4:$I$353,"Planned")&gt;1),"More than one active plan for this AIR-ID, UC-ID scope and gate",IF(AND(E199="Not applicable",J199=""),"Not applicable needs rationale and authority ref",IF(AND(E199="Required",F199=""),"Required gate needs basis / triage ref",IF(L199="","Decision scope missing",IF(AND(L199="UC-ID specific",K199=""),"UC-ID required",IF(AND(L199="Shared system baseline",K199&lt;&gt;""),"Remove UC-ID or correct scope",IF(AND(G199&lt;&gt;"",NOT(ISNUMBER(G199))),"Target date is not a date",IF(E199="","Requirement missing",IF(I199="","Plan state missing","Check against source"))))))))))))))</f>
        <v/>
      </c>
    </row>
    <row r="200">
      <c r="A200" s="38" t="n"/>
      <c r="B200" s="38" t="n"/>
      <c r="C200" s="38" t="n"/>
      <c r="D200" s="38" t="n"/>
      <c r="E200" s="38" t="n"/>
      <c r="F200" s="38" t="n"/>
      <c r="G200" s="39" t="n"/>
      <c r="H200" s="38" t="n"/>
      <c r="I200" s="38" t="n"/>
      <c r="J200" s="38" t="n"/>
      <c r="K200" s="37" t="n"/>
      <c r="L200" s="37" t="n"/>
      <c r="M200" s="14">
        <f>IF(COUNTA(A200:L200)=0,"",IF(A200="","Plan ID missing",IF(COUNTIF($A$4:$A$353,A200)&gt;1,"Duplicate Plan ID",IF(B200="","AIR-ID missing",IF(C200="","Gate / forum missing",IF(AND(I200="Planned",COUNTIFS($B$4:$B$353,B200,$C$4:$C$353,C200,$K$4:$K$353,K200&amp;"",$I$4:$I$353,"Planned")&gt;1),"More than one active plan for this AIR-ID, UC-ID scope and gate",IF(AND(E200="Not applicable",J200=""),"Not applicable needs rationale and authority ref",IF(AND(E200="Required",F200=""),"Required gate needs basis / triage ref",IF(L200="","Decision scope missing",IF(AND(L200="UC-ID specific",K200=""),"UC-ID required",IF(AND(L200="Shared system baseline",K200&lt;&gt;""),"Remove UC-ID or correct scope",IF(AND(G200&lt;&gt;"",NOT(ISNUMBER(G200))),"Target date is not a date",IF(E200="","Requirement missing",IF(I200="","Plan state missing","Check against source"))))))))))))))</f>
        <v/>
      </c>
    </row>
    <row r="201">
      <c r="A201" s="40" t="n"/>
      <c r="B201" s="40" t="n"/>
      <c r="C201" s="40" t="n"/>
      <c r="D201" s="40" t="n"/>
      <c r="E201" s="40" t="n"/>
      <c r="F201" s="40" t="n"/>
      <c r="G201" s="41" t="n"/>
      <c r="H201" s="40" t="n"/>
      <c r="I201" s="40" t="n"/>
      <c r="J201" s="40" t="n"/>
      <c r="K201" s="37" t="n"/>
      <c r="L201" s="37" t="n"/>
      <c r="M201" s="14">
        <f>IF(COUNTA(A201:L201)=0,"",IF(A201="","Plan ID missing",IF(COUNTIF($A$4:$A$353,A201)&gt;1,"Duplicate Plan ID",IF(B201="","AIR-ID missing",IF(C201="","Gate / forum missing",IF(AND(I201="Planned",COUNTIFS($B$4:$B$353,B201,$C$4:$C$353,C201,$K$4:$K$353,K201&amp;"",$I$4:$I$353,"Planned")&gt;1),"More than one active plan for this AIR-ID, UC-ID scope and gate",IF(AND(E201="Not applicable",J201=""),"Not applicable needs rationale and authority ref",IF(AND(E201="Required",F201=""),"Required gate needs basis / triage ref",IF(L201="","Decision scope missing",IF(AND(L201="UC-ID specific",K201=""),"UC-ID required",IF(AND(L201="Shared system baseline",K201&lt;&gt;""),"Remove UC-ID or correct scope",IF(AND(G201&lt;&gt;"",NOT(ISNUMBER(G201))),"Target date is not a date",IF(E201="","Requirement missing",IF(I201="","Plan state missing","Check against source"))))))))))))))</f>
        <v/>
      </c>
    </row>
    <row r="202">
      <c r="A202" s="38" t="n"/>
      <c r="B202" s="38" t="n"/>
      <c r="C202" s="38" t="n"/>
      <c r="D202" s="38" t="n"/>
      <c r="E202" s="38" t="n"/>
      <c r="F202" s="38" t="n"/>
      <c r="G202" s="39" t="n"/>
      <c r="H202" s="38" t="n"/>
      <c r="I202" s="38" t="n"/>
      <c r="J202" s="38" t="n"/>
      <c r="K202" s="37" t="n"/>
      <c r="L202" s="37" t="n"/>
      <c r="M202" s="14">
        <f>IF(COUNTA(A202:L202)=0,"",IF(A202="","Plan ID missing",IF(COUNTIF($A$4:$A$353,A202)&gt;1,"Duplicate Plan ID",IF(B202="","AIR-ID missing",IF(C202="","Gate / forum missing",IF(AND(I202="Planned",COUNTIFS($B$4:$B$353,B202,$C$4:$C$353,C202,$K$4:$K$353,K202&amp;"",$I$4:$I$353,"Planned")&gt;1),"More than one active plan for this AIR-ID, UC-ID scope and gate",IF(AND(E202="Not applicable",J202=""),"Not applicable needs rationale and authority ref",IF(AND(E202="Required",F202=""),"Required gate needs basis / triage ref",IF(L202="","Decision scope missing",IF(AND(L202="UC-ID specific",K202=""),"UC-ID required",IF(AND(L202="Shared system baseline",K202&lt;&gt;""),"Remove UC-ID or correct scope",IF(AND(G202&lt;&gt;"",NOT(ISNUMBER(G202))),"Target date is not a date",IF(E202="","Requirement missing",IF(I202="","Plan state missing","Check against source"))))))))))))))</f>
        <v/>
      </c>
    </row>
    <row r="203">
      <c r="A203" s="40" t="n"/>
      <c r="B203" s="40" t="n"/>
      <c r="C203" s="40" t="n"/>
      <c r="D203" s="40" t="n"/>
      <c r="E203" s="40" t="n"/>
      <c r="F203" s="40" t="n"/>
      <c r="G203" s="41" t="n"/>
      <c r="H203" s="40" t="n"/>
      <c r="I203" s="40" t="n"/>
      <c r="J203" s="40" t="n"/>
      <c r="K203" s="37" t="n"/>
      <c r="L203" s="37" t="n"/>
      <c r="M203" s="14">
        <f>IF(COUNTA(A203:L203)=0,"",IF(A203="","Plan ID missing",IF(COUNTIF($A$4:$A$353,A203)&gt;1,"Duplicate Plan ID",IF(B203="","AIR-ID missing",IF(C203="","Gate / forum missing",IF(AND(I203="Planned",COUNTIFS($B$4:$B$353,B203,$C$4:$C$353,C203,$K$4:$K$353,K203&amp;"",$I$4:$I$353,"Planned")&gt;1),"More than one active plan for this AIR-ID, UC-ID scope and gate",IF(AND(E203="Not applicable",J203=""),"Not applicable needs rationale and authority ref",IF(AND(E203="Required",F203=""),"Required gate needs basis / triage ref",IF(L203="","Decision scope missing",IF(AND(L203="UC-ID specific",K203=""),"UC-ID required",IF(AND(L203="Shared system baseline",K203&lt;&gt;""),"Remove UC-ID or correct scope",IF(AND(G203&lt;&gt;"",NOT(ISNUMBER(G203))),"Target date is not a date",IF(E203="","Requirement missing",IF(I203="","Plan state missing","Check against source"))))))))))))))</f>
        <v/>
      </c>
    </row>
    <row r="204">
      <c r="A204" s="38" t="n"/>
      <c r="B204" s="38" t="n"/>
      <c r="C204" s="38" t="n"/>
      <c r="D204" s="38" t="n"/>
      <c r="E204" s="38" t="n"/>
      <c r="F204" s="38" t="n"/>
      <c r="G204" s="39" t="n"/>
      <c r="H204" s="38" t="n"/>
      <c r="I204" s="38" t="n"/>
      <c r="J204" s="38" t="n"/>
      <c r="K204" s="37" t="n"/>
      <c r="L204" s="37" t="n"/>
      <c r="M204" s="14">
        <f>IF(COUNTA(A204:L204)=0,"",IF(A204="","Plan ID missing",IF(COUNTIF($A$4:$A$353,A204)&gt;1,"Duplicate Plan ID",IF(B204="","AIR-ID missing",IF(C204="","Gate / forum missing",IF(AND(I204="Planned",COUNTIFS($B$4:$B$353,B204,$C$4:$C$353,C204,$K$4:$K$353,K204&amp;"",$I$4:$I$353,"Planned")&gt;1),"More than one active plan for this AIR-ID, UC-ID scope and gate",IF(AND(E204="Not applicable",J204=""),"Not applicable needs rationale and authority ref",IF(AND(E204="Required",F204=""),"Required gate needs basis / triage ref",IF(L204="","Decision scope missing",IF(AND(L204="UC-ID specific",K204=""),"UC-ID required",IF(AND(L204="Shared system baseline",K204&lt;&gt;""),"Remove UC-ID or correct scope",IF(AND(G204&lt;&gt;"",NOT(ISNUMBER(G204))),"Target date is not a date",IF(E204="","Requirement missing",IF(I204="","Plan state missing","Check against source"))))))))))))))</f>
        <v/>
      </c>
    </row>
    <row r="205">
      <c r="A205" s="40" t="n"/>
      <c r="B205" s="40" t="n"/>
      <c r="C205" s="40" t="n"/>
      <c r="D205" s="40" t="n"/>
      <c r="E205" s="40" t="n"/>
      <c r="F205" s="40" t="n"/>
      <c r="G205" s="41" t="n"/>
      <c r="H205" s="40" t="n"/>
      <c r="I205" s="40" t="n"/>
      <c r="J205" s="40" t="n"/>
      <c r="K205" s="37" t="n"/>
      <c r="L205" s="37" t="n"/>
      <c r="M205" s="14">
        <f>IF(COUNTA(A205:L205)=0,"",IF(A205="","Plan ID missing",IF(COUNTIF($A$4:$A$353,A205)&gt;1,"Duplicate Plan ID",IF(B205="","AIR-ID missing",IF(C205="","Gate / forum missing",IF(AND(I205="Planned",COUNTIFS($B$4:$B$353,B205,$C$4:$C$353,C205,$K$4:$K$353,K205&amp;"",$I$4:$I$353,"Planned")&gt;1),"More than one active plan for this AIR-ID, UC-ID scope and gate",IF(AND(E205="Not applicable",J205=""),"Not applicable needs rationale and authority ref",IF(AND(E205="Required",F205=""),"Required gate needs basis / triage ref",IF(L205="","Decision scope missing",IF(AND(L205="UC-ID specific",K205=""),"UC-ID required",IF(AND(L205="Shared system baseline",K205&lt;&gt;""),"Remove UC-ID or correct scope",IF(AND(G205&lt;&gt;"",NOT(ISNUMBER(G205))),"Target date is not a date",IF(E205="","Requirement missing",IF(I205="","Plan state missing","Check against source"))))))))))))))</f>
        <v/>
      </c>
    </row>
    <row r="206">
      <c r="A206" s="38" t="n"/>
      <c r="B206" s="38" t="n"/>
      <c r="C206" s="38" t="n"/>
      <c r="D206" s="38" t="n"/>
      <c r="E206" s="38" t="n"/>
      <c r="F206" s="38" t="n"/>
      <c r="G206" s="39" t="n"/>
      <c r="H206" s="38" t="n"/>
      <c r="I206" s="38" t="n"/>
      <c r="J206" s="38" t="n"/>
      <c r="K206" s="37" t="n"/>
      <c r="L206" s="37" t="n"/>
      <c r="M206" s="14">
        <f>IF(COUNTA(A206:L206)=0,"",IF(A206="","Plan ID missing",IF(COUNTIF($A$4:$A$353,A206)&gt;1,"Duplicate Plan ID",IF(B206="","AIR-ID missing",IF(C206="","Gate / forum missing",IF(AND(I206="Planned",COUNTIFS($B$4:$B$353,B206,$C$4:$C$353,C206,$K$4:$K$353,K206&amp;"",$I$4:$I$353,"Planned")&gt;1),"More than one active plan for this AIR-ID, UC-ID scope and gate",IF(AND(E206="Not applicable",J206=""),"Not applicable needs rationale and authority ref",IF(AND(E206="Required",F206=""),"Required gate needs basis / triage ref",IF(L206="","Decision scope missing",IF(AND(L206="UC-ID specific",K206=""),"UC-ID required",IF(AND(L206="Shared system baseline",K206&lt;&gt;""),"Remove UC-ID or correct scope",IF(AND(G206&lt;&gt;"",NOT(ISNUMBER(G206))),"Target date is not a date",IF(E206="","Requirement missing",IF(I206="","Plan state missing","Check against source"))))))))))))))</f>
        <v/>
      </c>
    </row>
    <row r="207">
      <c r="A207" s="40" t="n"/>
      <c r="B207" s="40" t="n"/>
      <c r="C207" s="40" t="n"/>
      <c r="D207" s="40" t="n"/>
      <c r="E207" s="40" t="n"/>
      <c r="F207" s="40" t="n"/>
      <c r="G207" s="41" t="n"/>
      <c r="H207" s="40" t="n"/>
      <c r="I207" s="40" t="n"/>
      <c r="J207" s="40" t="n"/>
      <c r="K207" s="37" t="n"/>
      <c r="L207" s="37" t="n"/>
      <c r="M207" s="14">
        <f>IF(COUNTA(A207:L207)=0,"",IF(A207="","Plan ID missing",IF(COUNTIF($A$4:$A$353,A207)&gt;1,"Duplicate Plan ID",IF(B207="","AIR-ID missing",IF(C207="","Gate / forum missing",IF(AND(I207="Planned",COUNTIFS($B$4:$B$353,B207,$C$4:$C$353,C207,$K$4:$K$353,K207&amp;"",$I$4:$I$353,"Planned")&gt;1),"More than one active plan for this AIR-ID, UC-ID scope and gate",IF(AND(E207="Not applicable",J207=""),"Not applicable needs rationale and authority ref",IF(AND(E207="Required",F207=""),"Required gate needs basis / triage ref",IF(L207="","Decision scope missing",IF(AND(L207="UC-ID specific",K207=""),"UC-ID required",IF(AND(L207="Shared system baseline",K207&lt;&gt;""),"Remove UC-ID or correct scope",IF(AND(G207&lt;&gt;"",NOT(ISNUMBER(G207))),"Target date is not a date",IF(E207="","Requirement missing",IF(I207="","Plan state missing","Check against source"))))))))))))))</f>
        <v/>
      </c>
    </row>
    <row r="208">
      <c r="A208" s="38" t="n"/>
      <c r="B208" s="38" t="n"/>
      <c r="C208" s="38" t="n"/>
      <c r="D208" s="38" t="n"/>
      <c r="E208" s="38" t="n"/>
      <c r="F208" s="38" t="n"/>
      <c r="G208" s="39" t="n"/>
      <c r="H208" s="38" t="n"/>
      <c r="I208" s="38" t="n"/>
      <c r="J208" s="38" t="n"/>
      <c r="K208" s="37" t="n"/>
      <c r="L208" s="37" t="n"/>
      <c r="M208" s="14">
        <f>IF(COUNTA(A208:L208)=0,"",IF(A208="","Plan ID missing",IF(COUNTIF($A$4:$A$353,A208)&gt;1,"Duplicate Plan ID",IF(B208="","AIR-ID missing",IF(C208="","Gate / forum missing",IF(AND(I208="Planned",COUNTIFS($B$4:$B$353,B208,$C$4:$C$353,C208,$K$4:$K$353,K208&amp;"",$I$4:$I$353,"Planned")&gt;1),"More than one active plan for this AIR-ID, UC-ID scope and gate",IF(AND(E208="Not applicable",J208=""),"Not applicable needs rationale and authority ref",IF(AND(E208="Required",F208=""),"Required gate needs basis / triage ref",IF(L208="","Decision scope missing",IF(AND(L208="UC-ID specific",K208=""),"UC-ID required",IF(AND(L208="Shared system baseline",K208&lt;&gt;""),"Remove UC-ID or correct scope",IF(AND(G208&lt;&gt;"",NOT(ISNUMBER(G208))),"Target date is not a date",IF(E208="","Requirement missing",IF(I208="","Plan state missing","Check against source"))))))))))))))</f>
        <v/>
      </c>
    </row>
    <row r="209">
      <c r="A209" s="40" t="n"/>
      <c r="B209" s="40" t="n"/>
      <c r="C209" s="40" t="n"/>
      <c r="D209" s="40" t="n"/>
      <c r="E209" s="40" t="n"/>
      <c r="F209" s="40" t="n"/>
      <c r="G209" s="41" t="n"/>
      <c r="H209" s="40" t="n"/>
      <c r="I209" s="40" t="n"/>
      <c r="J209" s="40" t="n"/>
      <c r="K209" s="37" t="n"/>
      <c r="L209" s="37" t="n"/>
      <c r="M209" s="14">
        <f>IF(COUNTA(A209:L209)=0,"",IF(A209="","Plan ID missing",IF(COUNTIF($A$4:$A$353,A209)&gt;1,"Duplicate Plan ID",IF(B209="","AIR-ID missing",IF(C209="","Gate / forum missing",IF(AND(I209="Planned",COUNTIFS($B$4:$B$353,B209,$C$4:$C$353,C209,$K$4:$K$353,K209&amp;"",$I$4:$I$353,"Planned")&gt;1),"More than one active plan for this AIR-ID, UC-ID scope and gate",IF(AND(E209="Not applicable",J209=""),"Not applicable needs rationale and authority ref",IF(AND(E209="Required",F209=""),"Required gate needs basis / triage ref",IF(L209="","Decision scope missing",IF(AND(L209="UC-ID specific",K209=""),"UC-ID required",IF(AND(L209="Shared system baseline",K209&lt;&gt;""),"Remove UC-ID or correct scope",IF(AND(G209&lt;&gt;"",NOT(ISNUMBER(G209))),"Target date is not a date",IF(E209="","Requirement missing",IF(I209="","Plan state missing","Check against source"))))))))))))))</f>
        <v/>
      </c>
    </row>
    <row r="210">
      <c r="A210" s="38" t="n"/>
      <c r="B210" s="38" t="n"/>
      <c r="C210" s="38" t="n"/>
      <c r="D210" s="38" t="n"/>
      <c r="E210" s="38" t="n"/>
      <c r="F210" s="38" t="n"/>
      <c r="G210" s="39" t="n"/>
      <c r="H210" s="38" t="n"/>
      <c r="I210" s="38" t="n"/>
      <c r="J210" s="38" t="n"/>
      <c r="K210" s="37" t="n"/>
      <c r="L210" s="37" t="n"/>
      <c r="M210" s="14">
        <f>IF(COUNTA(A210:L210)=0,"",IF(A210="","Plan ID missing",IF(COUNTIF($A$4:$A$353,A210)&gt;1,"Duplicate Plan ID",IF(B210="","AIR-ID missing",IF(C210="","Gate / forum missing",IF(AND(I210="Planned",COUNTIFS($B$4:$B$353,B210,$C$4:$C$353,C210,$K$4:$K$353,K210&amp;"",$I$4:$I$353,"Planned")&gt;1),"More than one active plan for this AIR-ID, UC-ID scope and gate",IF(AND(E210="Not applicable",J210=""),"Not applicable needs rationale and authority ref",IF(AND(E210="Required",F210=""),"Required gate needs basis / triage ref",IF(L210="","Decision scope missing",IF(AND(L210="UC-ID specific",K210=""),"UC-ID required",IF(AND(L210="Shared system baseline",K210&lt;&gt;""),"Remove UC-ID or correct scope",IF(AND(G210&lt;&gt;"",NOT(ISNUMBER(G210))),"Target date is not a date",IF(E210="","Requirement missing",IF(I210="","Plan state missing","Check against source"))))))))))))))</f>
        <v/>
      </c>
    </row>
    <row r="211">
      <c r="A211" s="40" t="n"/>
      <c r="B211" s="40" t="n"/>
      <c r="C211" s="40" t="n"/>
      <c r="D211" s="40" t="n"/>
      <c r="E211" s="40" t="n"/>
      <c r="F211" s="40" t="n"/>
      <c r="G211" s="41" t="n"/>
      <c r="H211" s="40" t="n"/>
      <c r="I211" s="40" t="n"/>
      <c r="J211" s="40" t="n"/>
      <c r="K211" s="37" t="n"/>
      <c r="L211" s="37" t="n"/>
      <c r="M211" s="14">
        <f>IF(COUNTA(A211:L211)=0,"",IF(A211="","Plan ID missing",IF(COUNTIF($A$4:$A$353,A211)&gt;1,"Duplicate Plan ID",IF(B211="","AIR-ID missing",IF(C211="","Gate / forum missing",IF(AND(I211="Planned",COUNTIFS($B$4:$B$353,B211,$C$4:$C$353,C211,$K$4:$K$353,K211&amp;"",$I$4:$I$353,"Planned")&gt;1),"More than one active plan for this AIR-ID, UC-ID scope and gate",IF(AND(E211="Not applicable",J211=""),"Not applicable needs rationale and authority ref",IF(AND(E211="Required",F211=""),"Required gate needs basis / triage ref",IF(L211="","Decision scope missing",IF(AND(L211="UC-ID specific",K211=""),"UC-ID required",IF(AND(L211="Shared system baseline",K211&lt;&gt;""),"Remove UC-ID or correct scope",IF(AND(G211&lt;&gt;"",NOT(ISNUMBER(G211))),"Target date is not a date",IF(E211="","Requirement missing",IF(I211="","Plan state missing","Check against source"))))))))))))))</f>
        <v/>
      </c>
    </row>
    <row r="212">
      <c r="A212" s="38" t="n"/>
      <c r="B212" s="38" t="n"/>
      <c r="C212" s="38" t="n"/>
      <c r="D212" s="38" t="n"/>
      <c r="E212" s="38" t="n"/>
      <c r="F212" s="38" t="n"/>
      <c r="G212" s="39" t="n"/>
      <c r="H212" s="38" t="n"/>
      <c r="I212" s="38" t="n"/>
      <c r="J212" s="38" t="n"/>
      <c r="K212" s="37" t="n"/>
      <c r="L212" s="37" t="n"/>
      <c r="M212" s="14">
        <f>IF(COUNTA(A212:L212)=0,"",IF(A212="","Plan ID missing",IF(COUNTIF($A$4:$A$353,A212)&gt;1,"Duplicate Plan ID",IF(B212="","AIR-ID missing",IF(C212="","Gate / forum missing",IF(AND(I212="Planned",COUNTIFS($B$4:$B$353,B212,$C$4:$C$353,C212,$K$4:$K$353,K212&amp;"",$I$4:$I$353,"Planned")&gt;1),"More than one active plan for this AIR-ID, UC-ID scope and gate",IF(AND(E212="Not applicable",J212=""),"Not applicable needs rationale and authority ref",IF(AND(E212="Required",F212=""),"Required gate needs basis / triage ref",IF(L212="","Decision scope missing",IF(AND(L212="UC-ID specific",K212=""),"UC-ID required",IF(AND(L212="Shared system baseline",K212&lt;&gt;""),"Remove UC-ID or correct scope",IF(AND(G212&lt;&gt;"",NOT(ISNUMBER(G212))),"Target date is not a date",IF(E212="","Requirement missing",IF(I212="","Plan state missing","Check against source"))))))))))))))</f>
        <v/>
      </c>
    </row>
    <row r="213">
      <c r="A213" s="40" t="n"/>
      <c r="B213" s="40" t="n"/>
      <c r="C213" s="40" t="n"/>
      <c r="D213" s="40" t="n"/>
      <c r="E213" s="40" t="n"/>
      <c r="F213" s="40" t="n"/>
      <c r="G213" s="41" t="n"/>
      <c r="H213" s="40" t="n"/>
      <c r="I213" s="40" t="n"/>
      <c r="J213" s="40" t="n"/>
      <c r="K213" s="37" t="n"/>
      <c r="L213" s="37" t="n"/>
      <c r="M213" s="14">
        <f>IF(COUNTA(A213:L213)=0,"",IF(A213="","Plan ID missing",IF(COUNTIF($A$4:$A$353,A213)&gt;1,"Duplicate Plan ID",IF(B213="","AIR-ID missing",IF(C213="","Gate / forum missing",IF(AND(I213="Planned",COUNTIFS($B$4:$B$353,B213,$C$4:$C$353,C213,$K$4:$K$353,K213&amp;"",$I$4:$I$353,"Planned")&gt;1),"More than one active plan for this AIR-ID, UC-ID scope and gate",IF(AND(E213="Not applicable",J213=""),"Not applicable needs rationale and authority ref",IF(AND(E213="Required",F213=""),"Required gate needs basis / triage ref",IF(L213="","Decision scope missing",IF(AND(L213="UC-ID specific",K213=""),"UC-ID required",IF(AND(L213="Shared system baseline",K213&lt;&gt;""),"Remove UC-ID or correct scope",IF(AND(G213&lt;&gt;"",NOT(ISNUMBER(G213))),"Target date is not a date",IF(E213="","Requirement missing",IF(I213="","Plan state missing","Check against source"))))))))))))))</f>
        <v/>
      </c>
    </row>
    <row r="214">
      <c r="A214" s="38" t="n"/>
      <c r="B214" s="38" t="n"/>
      <c r="C214" s="38" t="n"/>
      <c r="D214" s="38" t="n"/>
      <c r="E214" s="38" t="n"/>
      <c r="F214" s="38" t="n"/>
      <c r="G214" s="39" t="n"/>
      <c r="H214" s="38" t="n"/>
      <c r="I214" s="38" t="n"/>
      <c r="J214" s="38" t="n"/>
      <c r="K214" s="37" t="n"/>
      <c r="L214" s="37" t="n"/>
      <c r="M214" s="14">
        <f>IF(COUNTA(A214:L214)=0,"",IF(A214="","Plan ID missing",IF(COUNTIF($A$4:$A$353,A214)&gt;1,"Duplicate Plan ID",IF(B214="","AIR-ID missing",IF(C214="","Gate / forum missing",IF(AND(I214="Planned",COUNTIFS($B$4:$B$353,B214,$C$4:$C$353,C214,$K$4:$K$353,K214&amp;"",$I$4:$I$353,"Planned")&gt;1),"More than one active plan for this AIR-ID, UC-ID scope and gate",IF(AND(E214="Not applicable",J214=""),"Not applicable needs rationale and authority ref",IF(AND(E214="Required",F214=""),"Required gate needs basis / triage ref",IF(L214="","Decision scope missing",IF(AND(L214="UC-ID specific",K214=""),"UC-ID required",IF(AND(L214="Shared system baseline",K214&lt;&gt;""),"Remove UC-ID or correct scope",IF(AND(G214&lt;&gt;"",NOT(ISNUMBER(G214))),"Target date is not a date",IF(E214="","Requirement missing",IF(I214="","Plan state missing","Check against source"))))))))))))))</f>
        <v/>
      </c>
    </row>
    <row r="215">
      <c r="A215" s="40" t="n"/>
      <c r="B215" s="40" t="n"/>
      <c r="C215" s="40" t="n"/>
      <c r="D215" s="40" t="n"/>
      <c r="E215" s="40" t="n"/>
      <c r="F215" s="40" t="n"/>
      <c r="G215" s="41" t="n"/>
      <c r="H215" s="40" t="n"/>
      <c r="I215" s="40" t="n"/>
      <c r="J215" s="40" t="n"/>
      <c r="K215" s="37" t="n"/>
      <c r="L215" s="37" t="n"/>
      <c r="M215" s="14">
        <f>IF(COUNTA(A215:L215)=0,"",IF(A215="","Plan ID missing",IF(COUNTIF($A$4:$A$353,A215)&gt;1,"Duplicate Plan ID",IF(B215="","AIR-ID missing",IF(C215="","Gate / forum missing",IF(AND(I215="Planned",COUNTIFS($B$4:$B$353,B215,$C$4:$C$353,C215,$K$4:$K$353,K215&amp;"",$I$4:$I$353,"Planned")&gt;1),"More than one active plan for this AIR-ID, UC-ID scope and gate",IF(AND(E215="Not applicable",J215=""),"Not applicable needs rationale and authority ref",IF(AND(E215="Required",F215=""),"Required gate needs basis / triage ref",IF(L215="","Decision scope missing",IF(AND(L215="UC-ID specific",K215=""),"UC-ID required",IF(AND(L215="Shared system baseline",K215&lt;&gt;""),"Remove UC-ID or correct scope",IF(AND(G215&lt;&gt;"",NOT(ISNUMBER(G215))),"Target date is not a date",IF(E215="","Requirement missing",IF(I215="","Plan state missing","Check against source"))))))))))))))</f>
        <v/>
      </c>
    </row>
    <row r="216">
      <c r="A216" s="38" t="n"/>
      <c r="B216" s="38" t="n"/>
      <c r="C216" s="38" t="n"/>
      <c r="D216" s="38" t="n"/>
      <c r="E216" s="38" t="n"/>
      <c r="F216" s="38" t="n"/>
      <c r="G216" s="39" t="n"/>
      <c r="H216" s="38" t="n"/>
      <c r="I216" s="38" t="n"/>
      <c r="J216" s="38" t="n"/>
      <c r="K216" s="37" t="n"/>
      <c r="L216" s="37" t="n"/>
      <c r="M216" s="14">
        <f>IF(COUNTA(A216:L216)=0,"",IF(A216="","Plan ID missing",IF(COUNTIF($A$4:$A$353,A216)&gt;1,"Duplicate Plan ID",IF(B216="","AIR-ID missing",IF(C216="","Gate / forum missing",IF(AND(I216="Planned",COUNTIFS($B$4:$B$353,B216,$C$4:$C$353,C216,$K$4:$K$353,K216&amp;"",$I$4:$I$353,"Planned")&gt;1),"More than one active plan for this AIR-ID, UC-ID scope and gate",IF(AND(E216="Not applicable",J216=""),"Not applicable needs rationale and authority ref",IF(AND(E216="Required",F216=""),"Required gate needs basis / triage ref",IF(L216="","Decision scope missing",IF(AND(L216="UC-ID specific",K216=""),"UC-ID required",IF(AND(L216="Shared system baseline",K216&lt;&gt;""),"Remove UC-ID or correct scope",IF(AND(G216&lt;&gt;"",NOT(ISNUMBER(G216))),"Target date is not a date",IF(E216="","Requirement missing",IF(I216="","Plan state missing","Check against source"))))))))))))))</f>
        <v/>
      </c>
    </row>
    <row r="217">
      <c r="A217" s="40" t="n"/>
      <c r="B217" s="40" t="n"/>
      <c r="C217" s="40" t="n"/>
      <c r="D217" s="40" t="n"/>
      <c r="E217" s="40" t="n"/>
      <c r="F217" s="40" t="n"/>
      <c r="G217" s="41" t="n"/>
      <c r="H217" s="40" t="n"/>
      <c r="I217" s="40" t="n"/>
      <c r="J217" s="40" t="n"/>
      <c r="K217" s="37" t="n"/>
      <c r="L217" s="37" t="n"/>
      <c r="M217" s="14">
        <f>IF(COUNTA(A217:L217)=0,"",IF(A217="","Plan ID missing",IF(COUNTIF($A$4:$A$353,A217)&gt;1,"Duplicate Plan ID",IF(B217="","AIR-ID missing",IF(C217="","Gate / forum missing",IF(AND(I217="Planned",COUNTIFS($B$4:$B$353,B217,$C$4:$C$353,C217,$K$4:$K$353,K217&amp;"",$I$4:$I$353,"Planned")&gt;1),"More than one active plan for this AIR-ID, UC-ID scope and gate",IF(AND(E217="Not applicable",J217=""),"Not applicable needs rationale and authority ref",IF(AND(E217="Required",F217=""),"Required gate needs basis / triage ref",IF(L217="","Decision scope missing",IF(AND(L217="UC-ID specific",K217=""),"UC-ID required",IF(AND(L217="Shared system baseline",K217&lt;&gt;""),"Remove UC-ID or correct scope",IF(AND(G217&lt;&gt;"",NOT(ISNUMBER(G217))),"Target date is not a date",IF(E217="","Requirement missing",IF(I217="","Plan state missing","Check against source"))))))))))))))</f>
        <v/>
      </c>
    </row>
    <row r="218">
      <c r="A218" s="38" t="n"/>
      <c r="B218" s="38" t="n"/>
      <c r="C218" s="38" t="n"/>
      <c r="D218" s="38" t="n"/>
      <c r="E218" s="38" t="n"/>
      <c r="F218" s="38" t="n"/>
      <c r="G218" s="39" t="n"/>
      <c r="H218" s="38" t="n"/>
      <c r="I218" s="38" t="n"/>
      <c r="J218" s="38" t="n"/>
      <c r="K218" s="37" t="n"/>
      <c r="L218" s="37" t="n"/>
      <c r="M218" s="14">
        <f>IF(COUNTA(A218:L218)=0,"",IF(A218="","Plan ID missing",IF(COUNTIF($A$4:$A$353,A218)&gt;1,"Duplicate Plan ID",IF(B218="","AIR-ID missing",IF(C218="","Gate / forum missing",IF(AND(I218="Planned",COUNTIFS($B$4:$B$353,B218,$C$4:$C$353,C218,$K$4:$K$353,K218&amp;"",$I$4:$I$353,"Planned")&gt;1),"More than one active plan for this AIR-ID, UC-ID scope and gate",IF(AND(E218="Not applicable",J218=""),"Not applicable needs rationale and authority ref",IF(AND(E218="Required",F218=""),"Required gate needs basis / triage ref",IF(L218="","Decision scope missing",IF(AND(L218="UC-ID specific",K218=""),"UC-ID required",IF(AND(L218="Shared system baseline",K218&lt;&gt;""),"Remove UC-ID or correct scope",IF(AND(G218&lt;&gt;"",NOT(ISNUMBER(G218))),"Target date is not a date",IF(E218="","Requirement missing",IF(I218="","Plan state missing","Check against source"))))))))))))))</f>
        <v/>
      </c>
    </row>
    <row r="219">
      <c r="A219" s="40" t="n"/>
      <c r="B219" s="40" t="n"/>
      <c r="C219" s="40" t="n"/>
      <c r="D219" s="40" t="n"/>
      <c r="E219" s="40" t="n"/>
      <c r="F219" s="40" t="n"/>
      <c r="G219" s="41" t="n"/>
      <c r="H219" s="40" t="n"/>
      <c r="I219" s="40" t="n"/>
      <c r="J219" s="40" t="n"/>
      <c r="K219" s="37" t="n"/>
      <c r="L219" s="37" t="n"/>
      <c r="M219" s="14">
        <f>IF(COUNTA(A219:L219)=0,"",IF(A219="","Plan ID missing",IF(COUNTIF($A$4:$A$353,A219)&gt;1,"Duplicate Plan ID",IF(B219="","AIR-ID missing",IF(C219="","Gate / forum missing",IF(AND(I219="Planned",COUNTIFS($B$4:$B$353,B219,$C$4:$C$353,C219,$K$4:$K$353,K219&amp;"",$I$4:$I$353,"Planned")&gt;1),"More than one active plan for this AIR-ID, UC-ID scope and gate",IF(AND(E219="Not applicable",J219=""),"Not applicable needs rationale and authority ref",IF(AND(E219="Required",F219=""),"Required gate needs basis / triage ref",IF(L219="","Decision scope missing",IF(AND(L219="UC-ID specific",K219=""),"UC-ID required",IF(AND(L219="Shared system baseline",K219&lt;&gt;""),"Remove UC-ID or correct scope",IF(AND(G219&lt;&gt;"",NOT(ISNUMBER(G219))),"Target date is not a date",IF(E219="","Requirement missing",IF(I219="","Plan state missing","Check against source"))))))))))))))</f>
        <v/>
      </c>
    </row>
    <row r="220">
      <c r="A220" s="38" t="n"/>
      <c r="B220" s="38" t="n"/>
      <c r="C220" s="38" t="n"/>
      <c r="D220" s="38" t="n"/>
      <c r="E220" s="38" t="n"/>
      <c r="F220" s="38" t="n"/>
      <c r="G220" s="39" t="n"/>
      <c r="H220" s="38" t="n"/>
      <c r="I220" s="38" t="n"/>
      <c r="J220" s="38" t="n"/>
      <c r="K220" s="37" t="n"/>
      <c r="L220" s="37" t="n"/>
      <c r="M220" s="14">
        <f>IF(COUNTA(A220:L220)=0,"",IF(A220="","Plan ID missing",IF(COUNTIF($A$4:$A$353,A220)&gt;1,"Duplicate Plan ID",IF(B220="","AIR-ID missing",IF(C220="","Gate / forum missing",IF(AND(I220="Planned",COUNTIFS($B$4:$B$353,B220,$C$4:$C$353,C220,$K$4:$K$353,K220&amp;"",$I$4:$I$353,"Planned")&gt;1),"More than one active plan for this AIR-ID, UC-ID scope and gate",IF(AND(E220="Not applicable",J220=""),"Not applicable needs rationale and authority ref",IF(AND(E220="Required",F220=""),"Required gate needs basis / triage ref",IF(L220="","Decision scope missing",IF(AND(L220="UC-ID specific",K220=""),"UC-ID required",IF(AND(L220="Shared system baseline",K220&lt;&gt;""),"Remove UC-ID or correct scope",IF(AND(G220&lt;&gt;"",NOT(ISNUMBER(G220))),"Target date is not a date",IF(E220="","Requirement missing",IF(I220="","Plan state missing","Check against source"))))))))))))))</f>
        <v/>
      </c>
    </row>
    <row r="221">
      <c r="A221" s="40" t="n"/>
      <c r="B221" s="40" t="n"/>
      <c r="C221" s="40" t="n"/>
      <c r="D221" s="40" t="n"/>
      <c r="E221" s="40" t="n"/>
      <c r="F221" s="40" t="n"/>
      <c r="G221" s="41" t="n"/>
      <c r="H221" s="40" t="n"/>
      <c r="I221" s="40" t="n"/>
      <c r="J221" s="40" t="n"/>
      <c r="K221" s="37" t="n"/>
      <c r="L221" s="37" t="n"/>
      <c r="M221" s="14">
        <f>IF(COUNTA(A221:L221)=0,"",IF(A221="","Plan ID missing",IF(COUNTIF($A$4:$A$353,A221)&gt;1,"Duplicate Plan ID",IF(B221="","AIR-ID missing",IF(C221="","Gate / forum missing",IF(AND(I221="Planned",COUNTIFS($B$4:$B$353,B221,$C$4:$C$353,C221,$K$4:$K$353,K221&amp;"",$I$4:$I$353,"Planned")&gt;1),"More than one active plan for this AIR-ID, UC-ID scope and gate",IF(AND(E221="Not applicable",J221=""),"Not applicable needs rationale and authority ref",IF(AND(E221="Required",F221=""),"Required gate needs basis / triage ref",IF(L221="","Decision scope missing",IF(AND(L221="UC-ID specific",K221=""),"UC-ID required",IF(AND(L221="Shared system baseline",K221&lt;&gt;""),"Remove UC-ID or correct scope",IF(AND(G221&lt;&gt;"",NOT(ISNUMBER(G221))),"Target date is not a date",IF(E221="","Requirement missing",IF(I221="","Plan state missing","Check against source"))))))))))))))</f>
        <v/>
      </c>
    </row>
    <row r="222">
      <c r="A222" s="38" t="n"/>
      <c r="B222" s="38" t="n"/>
      <c r="C222" s="38" t="n"/>
      <c r="D222" s="38" t="n"/>
      <c r="E222" s="38" t="n"/>
      <c r="F222" s="38" t="n"/>
      <c r="G222" s="39" t="n"/>
      <c r="H222" s="38" t="n"/>
      <c r="I222" s="38" t="n"/>
      <c r="J222" s="38" t="n"/>
      <c r="K222" s="37" t="n"/>
      <c r="L222" s="37" t="n"/>
      <c r="M222" s="14">
        <f>IF(COUNTA(A222:L222)=0,"",IF(A222="","Plan ID missing",IF(COUNTIF($A$4:$A$353,A222)&gt;1,"Duplicate Plan ID",IF(B222="","AIR-ID missing",IF(C222="","Gate / forum missing",IF(AND(I222="Planned",COUNTIFS($B$4:$B$353,B222,$C$4:$C$353,C222,$K$4:$K$353,K222&amp;"",$I$4:$I$353,"Planned")&gt;1),"More than one active plan for this AIR-ID, UC-ID scope and gate",IF(AND(E222="Not applicable",J222=""),"Not applicable needs rationale and authority ref",IF(AND(E222="Required",F222=""),"Required gate needs basis / triage ref",IF(L222="","Decision scope missing",IF(AND(L222="UC-ID specific",K222=""),"UC-ID required",IF(AND(L222="Shared system baseline",K222&lt;&gt;""),"Remove UC-ID or correct scope",IF(AND(G222&lt;&gt;"",NOT(ISNUMBER(G222))),"Target date is not a date",IF(E222="","Requirement missing",IF(I222="","Plan state missing","Check against source"))))))))))))))</f>
        <v/>
      </c>
    </row>
    <row r="223">
      <c r="A223" s="40" t="n"/>
      <c r="B223" s="40" t="n"/>
      <c r="C223" s="40" t="n"/>
      <c r="D223" s="40" t="n"/>
      <c r="E223" s="40" t="n"/>
      <c r="F223" s="40" t="n"/>
      <c r="G223" s="41" t="n"/>
      <c r="H223" s="40" t="n"/>
      <c r="I223" s="40" t="n"/>
      <c r="J223" s="40" t="n"/>
      <c r="K223" s="37" t="n"/>
      <c r="L223" s="37" t="n"/>
      <c r="M223" s="14">
        <f>IF(COUNTA(A223:L223)=0,"",IF(A223="","Plan ID missing",IF(COUNTIF($A$4:$A$353,A223)&gt;1,"Duplicate Plan ID",IF(B223="","AIR-ID missing",IF(C223="","Gate / forum missing",IF(AND(I223="Planned",COUNTIFS($B$4:$B$353,B223,$C$4:$C$353,C223,$K$4:$K$353,K223&amp;"",$I$4:$I$353,"Planned")&gt;1),"More than one active plan for this AIR-ID, UC-ID scope and gate",IF(AND(E223="Not applicable",J223=""),"Not applicable needs rationale and authority ref",IF(AND(E223="Required",F223=""),"Required gate needs basis / triage ref",IF(L223="","Decision scope missing",IF(AND(L223="UC-ID specific",K223=""),"UC-ID required",IF(AND(L223="Shared system baseline",K223&lt;&gt;""),"Remove UC-ID or correct scope",IF(AND(G223&lt;&gt;"",NOT(ISNUMBER(G223))),"Target date is not a date",IF(E223="","Requirement missing",IF(I223="","Plan state missing","Check against source"))))))))))))))</f>
        <v/>
      </c>
    </row>
    <row r="224">
      <c r="A224" s="38" t="n"/>
      <c r="B224" s="38" t="n"/>
      <c r="C224" s="38" t="n"/>
      <c r="D224" s="38" t="n"/>
      <c r="E224" s="38" t="n"/>
      <c r="F224" s="38" t="n"/>
      <c r="G224" s="39" t="n"/>
      <c r="H224" s="38" t="n"/>
      <c r="I224" s="38" t="n"/>
      <c r="J224" s="38" t="n"/>
      <c r="K224" s="37" t="n"/>
      <c r="L224" s="37" t="n"/>
      <c r="M224" s="14">
        <f>IF(COUNTA(A224:L224)=0,"",IF(A224="","Plan ID missing",IF(COUNTIF($A$4:$A$353,A224)&gt;1,"Duplicate Plan ID",IF(B224="","AIR-ID missing",IF(C224="","Gate / forum missing",IF(AND(I224="Planned",COUNTIFS($B$4:$B$353,B224,$C$4:$C$353,C224,$K$4:$K$353,K224&amp;"",$I$4:$I$353,"Planned")&gt;1),"More than one active plan for this AIR-ID, UC-ID scope and gate",IF(AND(E224="Not applicable",J224=""),"Not applicable needs rationale and authority ref",IF(AND(E224="Required",F224=""),"Required gate needs basis / triage ref",IF(L224="","Decision scope missing",IF(AND(L224="UC-ID specific",K224=""),"UC-ID required",IF(AND(L224="Shared system baseline",K224&lt;&gt;""),"Remove UC-ID or correct scope",IF(AND(G224&lt;&gt;"",NOT(ISNUMBER(G224))),"Target date is not a date",IF(E224="","Requirement missing",IF(I224="","Plan state missing","Check against source"))))))))))))))</f>
        <v/>
      </c>
    </row>
    <row r="225">
      <c r="A225" s="40" t="n"/>
      <c r="B225" s="40" t="n"/>
      <c r="C225" s="40" t="n"/>
      <c r="D225" s="40" t="n"/>
      <c r="E225" s="40" t="n"/>
      <c r="F225" s="40" t="n"/>
      <c r="G225" s="41" t="n"/>
      <c r="H225" s="40" t="n"/>
      <c r="I225" s="40" t="n"/>
      <c r="J225" s="40" t="n"/>
      <c r="K225" s="37" t="n"/>
      <c r="L225" s="37" t="n"/>
      <c r="M225" s="14">
        <f>IF(COUNTA(A225:L225)=0,"",IF(A225="","Plan ID missing",IF(COUNTIF($A$4:$A$353,A225)&gt;1,"Duplicate Plan ID",IF(B225="","AIR-ID missing",IF(C225="","Gate / forum missing",IF(AND(I225="Planned",COUNTIFS($B$4:$B$353,B225,$C$4:$C$353,C225,$K$4:$K$353,K225&amp;"",$I$4:$I$353,"Planned")&gt;1),"More than one active plan for this AIR-ID, UC-ID scope and gate",IF(AND(E225="Not applicable",J225=""),"Not applicable needs rationale and authority ref",IF(AND(E225="Required",F225=""),"Required gate needs basis / triage ref",IF(L225="","Decision scope missing",IF(AND(L225="UC-ID specific",K225=""),"UC-ID required",IF(AND(L225="Shared system baseline",K225&lt;&gt;""),"Remove UC-ID or correct scope",IF(AND(G225&lt;&gt;"",NOT(ISNUMBER(G225))),"Target date is not a date",IF(E225="","Requirement missing",IF(I225="","Plan state missing","Check against source"))))))))))))))</f>
        <v/>
      </c>
    </row>
    <row r="226">
      <c r="A226" s="38" t="n"/>
      <c r="B226" s="38" t="n"/>
      <c r="C226" s="38" t="n"/>
      <c r="D226" s="38" t="n"/>
      <c r="E226" s="38" t="n"/>
      <c r="F226" s="38" t="n"/>
      <c r="G226" s="39" t="n"/>
      <c r="H226" s="38" t="n"/>
      <c r="I226" s="38" t="n"/>
      <c r="J226" s="38" t="n"/>
      <c r="K226" s="37" t="n"/>
      <c r="L226" s="37" t="n"/>
      <c r="M226" s="14">
        <f>IF(COUNTA(A226:L226)=0,"",IF(A226="","Plan ID missing",IF(COUNTIF($A$4:$A$353,A226)&gt;1,"Duplicate Plan ID",IF(B226="","AIR-ID missing",IF(C226="","Gate / forum missing",IF(AND(I226="Planned",COUNTIFS($B$4:$B$353,B226,$C$4:$C$353,C226,$K$4:$K$353,K226&amp;"",$I$4:$I$353,"Planned")&gt;1),"More than one active plan for this AIR-ID, UC-ID scope and gate",IF(AND(E226="Not applicable",J226=""),"Not applicable needs rationale and authority ref",IF(AND(E226="Required",F226=""),"Required gate needs basis / triage ref",IF(L226="","Decision scope missing",IF(AND(L226="UC-ID specific",K226=""),"UC-ID required",IF(AND(L226="Shared system baseline",K226&lt;&gt;""),"Remove UC-ID or correct scope",IF(AND(G226&lt;&gt;"",NOT(ISNUMBER(G226))),"Target date is not a date",IF(E226="","Requirement missing",IF(I226="","Plan state missing","Check against source"))))))))))))))</f>
        <v/>
      </c>
    </row>
    <row r="227">
      <c r="A227" s="40" t="n"/>
      <c r="B227" s="40" t="n"/>
      <c r="C227" s="40" t="n"/>
      <c r="D227" s="40" t="n"/>
      <c r="E227" s="40" t="n"/>
      <c r="F227" s="40" t="n"/>
      <c r="G227" s="41" t="n"/>
      <c r="H227" s="40" t="n"/>
      <c r="I227" s="40" t="n"/>
      <c r="J227" s="40" t="n"/>
      <c r="K227" s="37" t="n"/>
      <c r="L227" s="37" t="n"/>
      <c r="M227" s="14">
        <f>IF(COUNTA(A227:L227)=0,"",IF(A227="","Plan ID missing",IF(COUNTIF($A$4:$A$353,A227)&gt;1,"Duplicate Plan ID",IF(B227="","AIR-ID missing",IF(C227="","Gate / forum missing",IF(AND(I227="Planned",COUNTIFS($B$4:$B$353,B227,$C$4:$C$353,C227,$K$4:$K$353,K227&amp;"",$I$4:$I$353,"Planned")&gt;1),"More than one active plan for this AIR-ID, UC-ID scope and gate",IF(AND(E227="Not applicable",J227=""),"Not applicable needs rationale and authority ref",IF(AND(E227="Required",F227=""),"Required gate needs basis / triage ref",IF(L227="","Decision scope missing",IF(AND(L227="UC-ID specific",K227=""),"UC-ID required",IF(AND(L227="Shared system baseline",K227&lt;&gt;""),"Remove UC-ID or correct scope",IF(AND(G227&lt;&gt;"",NOT(ISNUMBER(G227))),"Target date is not a date",IF(E227="","Requirement missing",IF(I227="","Plan state missing","Check against source"))))))))))))))</f>
        <v/>
      </c>
    </row>
    <row r="228">
      <c r="A228" s="38" t="n"/>
      <c r="B228" s="38" t="n"/>
      <c r="C228" s="38" t="n"/>
      <c r="D228" s="38" t="n"/>
      <c r="E228" s="38" t="n"/>
      <c r="F228" s="38" t="n"/>
      <c r="G228" s="39" t="n"/>
      <c r="H228" s="38" t="n"/>
      <c r="I228" s="38" t="n"/>
      <c r="J228" s="38" t="n"/>
      <c r="K228" s="37" t="n"/>
      <c r="L228" s="37" t="n"/>
      <c r="M228" s="14">
        <f>IF(COUNTA(A228:L228)=0,"",IF(A228="","Plan ID missing",IF(COUNTIF($A$4:$A$353,A228)&gt;1,"Duplicate Plan ID",IF(B228="","AIR-ID missing",IF(C228="","Gate / forum missing",IF(AND(I228="Planned",COUNTIFS($B$4:$B$353,B228,$C$4:$C$353,C228,$K$4:$K$353,K228&amp;"",$I$4:$I$353,"Planned")&gt;1),"More than one active plan for this AIR-ID, UC-ID scope and gate",IF(AND(E228="Not applicable",J228=""),"Not applicable needs rationale and authority ref",IF(AND(E228="Required",F228=""),"Required gate needs basis / triage ref",IF(L228="","Decision scope missing",IF(AND(L228="UC-ID specific",K228=""),"UC-ID required",IF(AND(L228="Shared system baseline",K228&lt;&gt;""),"Remove UC-ID or correct scope",IF(AND(G228&lt;&gt;"",NOT(ISNUMBER(G228))),"Target date is not a date",IF(E228="","Requirement missing",IF(I228="","Plan state missing","Check against source"))))))))))))))</f>
        <v/>
      </c>
    </row>
    <row r="229">
      <c r="A229" s="40" t="n"/>
      <c r="B229" s="40" t="n"/>
      <c r="C229" s="40" t="n"/>
      <c r="D229" s="40" t="n"/>
      <c r="E229" s="40" t="n"/>
      <c r="F229" s="40" t="n"/>
      <c r="G229" s="41" t="n"/>
      <c r="H229" s="40" t="n"/>
      <c r="I229" s="40" t="n"/>
      <c r="J229" s="40" t="n"/>
      <c r="K229" s="37" t="n"/>
      <c r="L229" s="37" t="n"/>
      <c r="M229" s="14">
        <f>IF(COUNTA(A229:L229)=0,"",IF(A229="","Plan ID missing",IF(COUNTIF($A$4:$A$353,A229)&gt;1,"Duplicate Plan ID",IF(B229="","AIR-ID missing",IF(C229="","Gate / forum missing",IF(AND(I229="Planned",COUNTIFS($B$4:$B$353,B229,$C$4:$C$353,C229,$K$4:$K$353,K229&amp;"",$I$4:$I$353,"Planned")&gt;1),"More than one active plan for this AIR-ID, UC-ID scope and gate",IF(AND(E229="Not applicable",J229=""),"Not applicable needs rationale and authority ref",IF(AND(E229="Required",F229=""),"Required gate needs basis / triage ref",IF(L229="","Decision scope missing",IF(AND(L229="UC-ID specific",K229=""),"UC-ID required",IF(AND(L229="Shared system baseline",K229&lt;&gt;""),"Remove UC-ID or correct scope",IF(AND(G229&lt;&gt;"",NOT(ISNUMBER(G229))),"Target date is not a date",IF(E229="","Requirement missing",IF(I229="","Plan state missing","Check against source"))))))))))))))</f>
        <v/>
      </c>
    </row>
    <row r="230">
      <c r="A230" s="38" t="n"/>
      <c r="B230" s="38" t="n"/>
      <c r="C230" s="38" t="n"/>
      <c r="D230" s="38" t="n"/>
      <c r="E230" s="38" t="n"/>
      <c r="F230" s="38" t="n"/>
      <c r="G230" s="39" t="n"/>
      <c r="H230" s="38" t="n"/>
      <c r="I230" s="38" t="n"/>
      <c r="J230" s="38" t="n"/>
      <c r="K230" s="37" t="n"/>
      <c r="L230" s="37" t="n"/>
      <c r="M230" s="14">
        <f>IF(COUNTA(A230:L230)=0,"",IF(A230="","Plan ID missing",IF(COUNTIF($A$4:$A$353,A230)&gt;1,"Duplicate Plan ID",IF(B230="","AIR-ID missing",IF(C230="","Gate / forum missing",IF(AND(I230="Planned",COUNTIFS($B$4:$B$353,B230,$C$4:$C$353,C230,$K$4:$K$353,K230&amp;"",$I$4:$I$353,"Planned")&gt;1),"More than one active plan for this AIR-ID, UC-ID scope and gate",IF(AND(E230="Not applicable",J230=""),"Not applicable needs rationale and authority ref",IF(AND(E230="Required",F230=""),"Required gate needs basis / triage ref",IF(L230="","Decision scope missing",IF(AND(L230="UC-ID specific",K230=""),"UC-ID required",IF(AND(L230="Shared system baseline",K230&lt;&gt;""),"Remove UC-ID or correct scope",IF(AND(G230&lt;&gt;"",NOT(ISNUMBER(G230))),"Target date is not a date",IF(E230="","Requirement missing",IF(I230="","Plan state missing","Check against source"))))))))))))))</f>
        <v/>
      </c>
    </row>
    <row r="231">
      <c r="A231" s="40" t="n"/>
      <c r="B231" s="40" t="n"/>
      <c r="C231" s="40" t="n"/>
      <c r="D231" s="40" t="n"/>
      <c r="E231" s="40" t="n"/>
      <c r="F231" s="40" t="n"/>
      <c r="G231" s="41" t="n"/>
      <c r="H231" s="40" t="n"/>
      <c r="I231" s="40" t="n"/>
      <c r="J231" s="40" t="n"/>
      <c r="K231" s="37" t="n"/>
      <c r="L231" s="37" t="n"/>
      <c r="M231" s="14">
        <f>IF(COUNTA(A231:L231)=0,"",IF(A231="","Plan ID missing",IF(COUNTIF($A$4:$A$353,A231)&gt;1,"Duplicate Plan ID",IF(B231="","AIR-ID missing",IF(C231="","Gate / forum missing",IF(AND(I231="Planned",COUNTIFS($B$4:$B$353,B231,$C$4:$C$353,C231,$K$4:$K$353,K231&amp;"",$I$4:$I$353,"Planned")&gt;1),"More than one active plan for this AIR-ID, UC-ID scope and gate",IF(AND(E231="Not applicable",J231=""),"Not applicable needs rationale and authority ref",IF(AND(E231="Required",F231=""),"Required gate needs basis / triage ref",IF(L231="","Decision scope missing",IF(AND(L231="UC-ID specific",K231=""),"UC-ID required",IF(AND(L231="Shared system baseline",K231&lt;&gt;""),"Remove UC-ID or correct scope",IF(AND(G231&lt;&gt;"",NOT(ISNUMBER(G231))),"Target date is not a date",IF(E231="","Requirement missing",IF(I231="","Plan state missing","Check against source"))))))))))))))</f>
        <v/>
      </c>
    </row>
    <row r="232">
      <c r="A232" s="38" t="n"/>
      <c r="B232" s="38" t="n"/>
      <c r="C232" s="38" t="n"/>
      <c r="D232" s="38" t="n"/>
      <c r="E232" s="38" t="n"/>
      <c r="F232" s="38" t="n"/>
      <c r="G232" s="39" t="n"/>
      <c r="H232" s="38" t="n"/>
      <c r="I232" s="38" t="n"/>
      <c r="J232" s="38" t="n"/>
      <c r="K232" s="37" t="n"/>
      <c r="L232" s="37" t="n"/>
      <c r="M232" s="14">
        <f>IF(COUNTA(A232:L232)=0,"",IF(A232="","Plan ID missing",IF(COUNTIF($A$4:$A$353,A232)&gt;1,"Duplicate Plan ID",IF(B232="","AIR-ID missing",IF(C232="","Gate / forum missing",IF(AND(I232="Planned",COUNTIFS($B$4:$B$353,B232,$C$4:$C$353,C232,$K$4:$K$353,K232&amp;"",$I$4:$I$353,"Planned")&gt;1),"More than one active plan for this AIR-ID, UC-ID scope and gate",IF(AND(E232="Not applicable",J232=""),"Not applicable needs rationale and authority ref",IF(AND(E232="Required",F232=""),"Required gate needs basis / triage ref",IF(L232="","Decision scope missing",IF(AND(L232="UC-ID specific",K232=""),"UC-ID required",IF(AND(L232="Shared system baseline",K232&lt;&gt;""),"Remove UC-ID or correct scope",IF(AND(G232&lt;&gt;"",NOT(ISNUMBER(G232))),"Target date is not a date",IF(E232="","Requirement missing",IF(I232="","Plan state missing","Check against source"))))))))))))))</f>
        <v/>
      </c>
    </row>
    <row r="233">
      <c r="A233" s="40" t="n"/>
      <c r="B233" s="40" t="n"/>
      <c r="C233" s="40" t="n"/>
      <c r="D233" s="40" t="n"/>
      <c r="E233" s="40" t="n"/>
      <c r="F233" s="40" t="n"/>
      <c r="G233" s="41" t="n"/>
      <c r="H233" s="40" t="n"/>
      <c r="I233" s="40" t="n"/>
      <c r="J233" s="40" t="n"/>
      <c r="K233" s="37" t="n"/>
      <c r="L233" s="37" t="n"/>
      <c r="M233" s="14">
        <f>IF(COUNTA(A233:L233)=0,"",IF(A233="","Plan ID missing",IF(COUNTIF($A$4:$A$353,A233)&gt;1,"Duplicate Plan ID",IF(B233="","AIR-ID missing",IF(C233="","Gate / forum missing",IF(AND(I233="Planned",COUNTIFS($B$4:$B$353,B233,$C$4:$C$353,C233,$K$4:$K$353,K233&amp;"",$I$4:$I$353,"Planned")&gt;1),"More than one active plan for this AIR-ID, UC-ID scope and gate",IF(AND(E233="Not applicable",J233=""),"Not applicable needs rationale and authority ref",IF(AND(E233="Required",F233=""),"Required gate needs basis / triage ref",IF(L233="","Decision scope missing",IF(AND(L233="UC-ID specific",K233=""),"UC-ID required",IF(AND(L233="Shared system baseline",K233&lt;&gt;""),"Remove UC-ID or correct scope",IF(AND(G233&lt;&gt;"",NOT(ISNUMBER(G233))),"Target date is not a date",IF(E233="","Requirement missing",IF(I233="","Plan state missing","Check against source"))))))))))))))</f>
        <v/>
      </c>
    </row>
    <row r="234">
      <c r="A234" s="38" t="n"/>
      <c r="B234" s="38" t="n"/>
      <c r="C234" s="38" t="n"/>
      <c r="D234" s="38" t="n"/>
      <c r="E234" s="38" t="n"/>
      <c r="F234" s="38" t="n"/>
      <c r="G234" s="39" t="n"/>
      <c r="H234" s="38" t="n"/>
      <c r="I234" s="38" t="n"/>
      <c r="J234" s="38" t="n"/>
      <c r="K234" s="37" t="n"/>
      <c r="L234" s="37" t="n"/>
      <c r="M234" s="14">
        <f>IF(COUNTA(A234:L234)=0,"",IF(A234="","Plan ID missing",IF(COUNTIF($A$4:$A$353,A234)&gt;1,"Duplicate Plan ID",IF(B234="","AIR-ID missing",IF(C234="","Gate / forum missing",IF(AND(I234="Planned",COUNTIFS($B$4:$B$353,B234,$C$4:$C$353,C234,$K$4:$K$353,K234&amp;"",$I$4:$I$353,"Planned")&gt;1),"More than one active plan for this AIR-ID, UC-ID scope and gate",IF(AND(E234="Not applicable",J234=""),"Not applicable needs rationale and authority ref",IF(AND(E234="Required",F234=""),"Required gate needs basis / triage ref",IF(L234="","Decision scope missing",IF(AND(L234="UC-ID specific",K234=""),"UC-ID required",IF(AND(L234="Shared system baseline",K234&lt;&gt;""),"Remove UC-ID or correct scope",IF(AND(G234&lt;&gt;"",NOT(ISNUMBER(G234))),"Target date is not a date",IF(E234="","Requirement missing",IF(I234="","Plan state missing","Check against source"))))))))))))))</f>
        <v/>
      </c>
    </row>
    <row r="235">
      <c r="A235" s="40" t="n"/>
      <c r="B235" s="40" t="n"/>
      <c r="C235" s="40" t="n"/>
      <c r="D235" s="40" t="n"/>
      <c r="E235" s="40" t="n"/>
      <c r="F235" s="40" t="n"/>
      <c r="G235" s="41" t="n"/>
      <c r="H235" s="40" t="n"/>
      <c r="I235" s="40" t="n"/>
      <c r="J235" s="40" t="n"/>
      <c r="K235" s="37" t="n"/>
      <c r="L235" s="37" t="n"/>
      <c r="M235" s="14">
        <f>IF(COUNTA(A235:L235)=0,"",IF(A235="","Plan ID missing",IF(COUNTIF($A$4:$A$353,A235)&gt;1,"Duplicate Plan ID",IF(B235="","AIR-ID missing",IF(C235="","Gate / forum missing",IF(AND(I235="Planned",COUNTIFS($B$4:$B$353,B235,$C$4:$C$353,C235,$K$4:$K$353,K235&amp;"",$I$4:$I$353,"Planned")&gt;1),"More than one active plan for this AIR-ID, UC-ID scope and gate",IF(AND(E235="Not applicable",J235=""),"Not applicable needs rationale and authority ref",IF(AND(E235="Required",F235=""),"Required gate needs basis / triage ref",IF(L235="","Decision scope missing",IF(AND(L235="UC-ID specific",K235=""),"UC-ID required",IF(AND(L235="Shared system baseline",K235&lt;&gt;""),"Remove UC-ID or correct scope",IF(AND(G235&lt;&gt;"",NOT(ISNUMBER(G235))),"Target date is not a date",IF(E235="","Requirement missing",IF(I235="","Plan state missing","Check against source"))))))))))))))</f>
        <v/>
      </c>
    </row>
    <row r="236">
      <c r="A236" s="38" t="n"/>
      <c r="B236" s="38" t="n"/>
      <c r="C236" s="38" t="n"/>
      <c r="D236" s="38" t="n"/>
      <c r="E236" s="38" t="n"/>
      <c r="F236" s="38" t="n"/>
      <c r="G236" s="39" t="n"/>
      <c r="H236" s="38" t="n"/>
      <c r="I236" s="38" t="n"/>
      <c r="J236" s="38" t="n"/>
      <c r="K236" s="37" t="n"/>
      <c r="L236" s="37" t="n"/>
      <c r="M236" s="14">
        <f>IF(COUNTA(A236:L236)=0,"",IF(A236="","Plan ID missing",IF(COUNTIF($A$4:$A$353,A236)&gt;1,"Duplicate Plan ID",IF(B236="","AIR-ID missing",IF(C236="","Gate / forum missing",IF(AND(I236="Planned",COUNTIFS($B$4:$B$353,B236,$C$4:$C$353,C236,$K$4:$K$353,K236&amp;"",$I$4:$I$353,"Planned")&gt;1),"More than one active plan for this AIR-ID, UC-ID scope and gate",IF(AND(E236="Not applicable",J236=""),"Not applicable needs rationale and authority ref",IF(AND(E236="Required",F236=""),"Required gate needs basis / triage ref",IF(L236="","Decision scope missing",IF(AND(L236="UC-ID specific",K236=""),"UC-ID required",IF(AND(L236="Shared system baseline",K236&lt;&gt;""),"Remove UC-ID or correct scope",IF(AND(G236&lt;&gt;"",NOT(ISNUMBER(G236))),"Target date is not a date",IF(E236="","Requirement missing",IF(I236="","Plan state missing","Check against source"))))))))))))))</f>
        <v/>
      </c>
    </row>
    <row r="237">
      <c r="A237" s="40" t="n"/>
      <c r="B237" s="40" t="n"/>
      <c r="C237" s="40" t="n"/>
      <c r="D237" s="40" t="n"/>
      <c r="E237" s="40" t="n"/>
      <c r="F237" s="40" t="n"/>
      <c r="G237" s="41" t="n"/>
      <c r="H237" s="40" t="n"/>
      <c r="I237" s="40" t="n"/>
      <c r="J237" s="40" t="n"/>
      <c r="K237" s="37" t="n"/>
      <c r="L237" s="37" t="n"/>
      <c r="M237" s="14">
        <f>IF(COUNTA(A237:L237)=0,"",IF(A237="","Plan ID missing",IF(COUNTIF($A$4:$A$353,A237)&gt;1,"Duplicate Plan ID",IF(B237="","AIR-ID missing",IF(C237="","Gate / forum missing",IF(AND(I237="Planned",COUNTIFS($B$4:$B$353,B237,$C$4:$C$353,C237,$K$4:$K$353,K237&amp;"",$I$4:$I$353,"Planned")&gt;1),"More than one active plan for this AIR-ID, UC-ID scope and gate",IF(AND(E237="Not applicable",J237=""),"Not applicable needs rationale and authority ref",IF(AND(E237="Required",F237=""),"Required gate needs basis / triage ref",IF(L237="","Decision scope missing",IF(AND(L237="UC-ID specific",K237=""),"UC-ID required",IF(AND(L237="Shared system baseline",K237&lt;&gt;""),"Remove UC-ID or correct scope",IF(AND(G237&lt;&gt;"",NOT(ISNUMBER(G237))),"Target date is not a date",IF(E237="","Requirement missing",IF(I237="","Plan state missing","Check against source"))))))))))))))</f>
        <v/>
      </c>
    </row>
    <row r="238">
      <c r="A238" s="38" t="n"/>
      <c r="B238" s="38" t="n"/>
      <c r="C238" s="38" t="n"/>
      <c r="D238" s="38" t="n"/>
      <c r="E238" s="38" t="n"/>
      <c r="F238" s="38" t="n"/>
      <c r="G238" s="39" t="n"/>
      <c r="H238" s="38" t="n"/>
      <c r="I238" s="38" t="n"/>
      <c r="J238" s="38" t="n"/>
      <c r="K238" s="37" t="n"/>
      <c r="L238" s="37" t="n"/>
      <c r="M238" s="14">
        <f>IF(COUNTA(A238:L238)=0,"",IF(A238="","Plan ID missing",IF(COUNTIF($A$4:$A$353,A238)&gt;1,"Duplicate Plan ID",IF(B238="","AIR-ID missing",IF(C238="","Gate / forum missing",IF(AND(I238="Planned",COUNTIFS($B$4:$B$353,B238,$C$4:$C$353,C238,$K$4:$K$353,K238&amp;"",$I$4:$I$353,"Planned")&gt;1),"More than one active plan for this AIR-ID, UC-ID scope and gate",IF(AND(E238="Not applicable",J238=""),"Not applicable needs rationale and authority ref",IF(AND(E238="Required",F238=""),"Required gate needs basis / triage ref",IF(L238="","Decision scope missing",IF(AND(L238="UC-ID specific",K238=""),"UC-ID required",IF(AND(L238="Shared system baseline",K238&lt;&gt;""),"Remove UC-ID or correct scope",IF(AND(G238&lt;&gt;"",NOT(ISNUMBER(G238))),"Target date is not a date",IF(E238="","Requirement missing",IF(I238="","Plan state missing","Check against source"))))))))))))))</f>
        <v/>
      </c>
    </row>
    <row r="239">
      <c r="A239" s="40" t="n"/>
      <c r="B239" s="40" t="n"/>
      <c r="C239" s="40" t="n"/>
      <c r="D239" s="40" t="n"/>
      <c r="E239" s="40" t="n"/>
      <c r="F239" s="40" t="n"/>
      <c r="G239" s="41" t="n"/>
      <c r="H239" s="40" t="n"/>
      <c r="I239" s="40" t="n"/>
      <c r="J239" s="40" t="n"/>
      <c r="K239" s="37" t="n"/>
      <c r="L239" s="37" t="n"/>
      <c r="M239" s="14">
        <f>IF(COUNTA(A239:L239)=0,"",IF(A239="","Plan ID missing",IF(COUNTIF($A$4:$A$353,A239)&gt;1,"Duplicate Plan ID",IF(B239="","AIR-ID missing",IF(C239="","Gate / forum missing",IF(AND(I239="Planned",COUNTIFS($B$4:$B$353,B239,$C$4:$C$353,C239,$K$4:$K$353,K239&amp;"",$I$4:$I$353,"Planned")&gt;1),"More than one active plan for this AIR-ID, UC-ID scope and gate",IF(AND(E239="Not applicable",J239=""),"Not applicable needs rationale and authority ref",IF(AND(E239="Required",F239=""),"Required gate needs basis / triage ref",IF(L239="","Decision scope missing",IF(AND(L239="UC-ID specific",K239=""),"UC-ID required",IF(AND(L239="Shared system baseline",K239&lt;&gt;""),"Remove UC-ID or correct scope",IF(AND(G239&lt;&gt;"",NOT(ISNUMBER(G239))),"Target date is not a date",IF(E239="","Requirement missing",IF(I239="","Plan state missing","Check against source"))))))))))))))</f>
        <v/>
      </c>
    </row>
    <row r="240">
      <c r="A240" s="38" t="n"/>
      <c r="B240" s="38" t="n"/>
      <c r="C240" s="38" t="n"/>
      <c r="D240" s="38" t="n"/>
      <c r="E240" s="38" t="n"/>
      <c r="F240" s="38" t="n"/>
      <c r="G240" s="39" t="n"/>
      <c r="H240" s="38" t="n"/>
      <c r="I240" s="38" t="n"/>
      <c r="J240" s="38" t="n"/>
      <c r="K240" s="37" t="n"/>
      <c r="L240" s="37" t="n"/>
      <c r="M240" s="14">
        <f>IF(COUNTA(A240:L240)=0,"",IF(A240="","Plan ID missing",IF(COUNTIF($A$4:$A$353,A240)&gt;1,"Duplicate Plan ID",IF(B240="","AIR-ID missing",IF(C240="","Gate / forum missing",IF(AND(I240="Planned",COUNTIFS($B$4:$B$353,B240,$C$4:$C$353,C240,$K$4:$K$353,K240&amp;"",$I$4:$I$353,"Planned")&gt;1),"More than one active plan for this AIR-ID, UC-ID scope and gate",IF(AND(E240="Not applicable",J240=""),"Not applicable needs rationale and authority ref",IF(AND(E240="Required",F240=""),"Required gate needs basis / triage ref",IF(L240="","Decision scope missing",IF(AND(L240="UC-ID specific",K240=""),"UC-ID required",IF(AND(L240="Shared system baseline",K240&lt;&gt;""),"Remove UC-ID or correct scope",IF(AND(G240&lt;&gt;"",NOT(ISNUMBER(G240))),"Target date is not a date",IF(E240="","Requirement missing",IF(I240="","Plan state missing","Check against source"))))))))))))))</f>
        <v/>
      </c>
    </row>
    <row r="241">
      <c r="A241" s="40" t="n"/>
      <c r="B241" s="40" t="n"/>
      <c r="C241" s="40" t="n"/>
      <c r="D241" s="40" t="n"/>
      <c r="E241" s="40" t="n"/>
      <c r="F241" s="40" t="n"/>
      <c r="G241" s="41" t="n"/>
      <c r="H241" s="40" t="n"/>
      <c r="I241" s="40" t="n"/>
      <c r="J241" s="40" t="n"/>
      <c r="K241" s="37" t="n"/>
      <c r="L241" s="37" t="n"/>
      <c r="M241" s="14">
        <f>IF(COUNTA(A241:L241)=0,"",IF(A241="","Plan ID missing",IF(COUNTIF($A$4:$A$353,A241)&gt;1,"Duplicate Plan ID",IF(B241="","AIR-ID missing",IF(C241="","Gate / forum missing",IF(AND(I241="Planned",COUNTIFS($B$4:$B$353,B241,$C$4:$C$353,C241,$K$4:$K$353,K241&amp;"",$I$4:$I$353,"Planned")&gt;1),"More than one active plan for this AIR-ID, UC-ID scope and gate",IF(AND(E241="Not applicable",J241=""),"Not applicable needs rationale and authority ref",IF(AND(E241="Required",F241=""),"Required gate needs basis / triage ref",IF(L241="","Decision scope missing",IF(AND(L241="UC-ID specific",K241=""),"UC-ID required",IF(AND(L241="Shared system baseline",K241&lt;&gt;""),"Remove UC-ID or correct scope",IF(AND(G241&lt;&gt;"",NOT(ISNUMBER(G241))),"Target date is not a date",IF(E241="","Requirement missing",IF(I241="","Plan state missing","Check against source"))))))))))))))</f>
        <v/>
      </c>
    </row>
    <row r="242">
      <c r="A242" s="38" t="n"/>
      <c r="B242" s="38" t="n"/>
      <c r="C242" s="38" t="n"/>
      <c r="D242" s="38" t="n"/>
      <c r="E242" s="38" t="n"/>
      <c r="F242" s="38" t="n"/>
      <c r="G242" s="39" t="n"/>
      <c r="H242" s="38" t="n"/>
      <c r="I242" s="38" t="n"/>
      <c r="J242" s="38" t="n"/>
      <c r="K242" s="37" t="n"/>
      <c r="L242" s="37" t="n"/>
      <c r="M242" s="14">
        <f>IF(COUNTA(A242:L242)=0,"",IF(A242="","Plan ID missing",IF(COUNTIF($A$4:$A$353,A242)&gt;1,"Duplicate Plan ID",IF(B242="","AIR-ID missing",IF(C242="","Gate / forum missing",IF(AND(I242="Planned",COUNTIFS($B$4:$B$353,B242,$C$4:$C$353,C242,$K$4:$K$353,K242&amp;"",$I$4:$I$353,"Planned")&gt;1),"More than one active plan for this AIR-ID, UC-ID scope and gate",IF(AND(E242="Not applicable",J242=""),"Not applicable needs rationale and authority ref",IF(AND(E242="Required",F242=""),"Required gate needs basis / triage ref",IF(L242="","Decision scope missing",IF(AND(L242="UC-ID specific",K242=""),"UC-ID required",IF(AND(L242="Shared system baseline",K242&lt;&gt;""),"Remove UC-ID or correct scope",IF(AND(G242&lt;&gt;"",NOT(ISNUMBER(G242))),"Target date is not a date",IF(E242="","Requirement missing",IF(I242="","Plan state missing","Check against source"))))))))))))))</f>
        <v/>
      </c>
    </row>
    <row r="243">
      <c r="A243" s="40" t="n"/>
      <c r="B243" s="40" t="n"/>
      <c r="C243" s="40" t="n"/>
      <c r="D243" s="40" t="n"/>
      <c r="E243" s="40" t="n"/>
      <c r="F243" s="40" t="n"/>
      <c r="G243" s="41" t="n"/>
      <c r="H243" s="40" t="n"/>
      <c r="I243" s="40" t="n"/>
      <c r="J243" s="40" t="n"/>
      <c r="K243" s="37" t="n"/>
      <c r="L243" s="37" t="n"/>
      <c r="M243" s="14">
        <f>IF(COUNTA(A243:L243)=0,"",IF(A243="","Plan ID missing",IF(COUNTIF($A$4:$A$353,A243)&gt;1,"Duplicate Plan ID",IF(B243="","AIR-ID missing",IF(C243="","Gate / forum missing",IF(AND(I243="Planned",COUNTIFS($B$4:$B$353,B243,$C$4:$C$353,C243,$K$4:$K$353,K243&amp;"",$I$4:$I$353,"Planned")&gt;1),"More than one active plan for this AIR-ID, UC-ID scope and gate",IF(AND(E243="Not applicable",J243=""),"Not applicable needs rationale and authority ref",IF(AND(E243="Required",F243=""),"Required gate needs basis / triage ref",IF(L243="","Decision scope missing",IF(AND(L243="UC-ID specific",K243=""),"UC-ID required",IF(AND(L243="Shared system baseline",K243&lt;&gt;""),"Remove UC-ID or correct scope",IF(AND(G243&lt;&gt;"",NOT(ISNUMBER(G243))),"Target date is not a date",IF(E243="","Requirement missing",IF(I243="","Plan state missing","Check against source"))))))))))))))</f>
        <v/>
      </c>
    </row>
    <row r="244">
      <c r="A244" s="38" t="n"/>
      <c r="B244" s="38" t="n"/>
      <c r="C244" s="38" t="n"/>
      <c r="D244" s="38" t="n"/>
      <c r="E244" s="38" t="n"/>
      <c r="F244" s="38" t="n"/>
      <c r="G244" s="39" t="n"/>
      <c r="H244" s="38" t="n"/>
      <c r="I244" s="38" t="n"/>
      <c r="J244" s="38" t="n"/>
      <c r="K244" s="37" t="n"/>
      <c r="L244" s="37" t="n"/>
      <c r="M244" s="14">
        <f>IF(COUNTA(A244:L244)=0,"",IF(A244="","Plan ID missing",IF(COUNTIF($A$4:$A$353,A244)&gt;1,"Duplicate Plan ID",IF(B244="","AIR-ID missing",IF(C244="","Gate / forum missing",IF(AND(I244="Planned",COUNTIFS($B$4:$B$353,B244,$C$4:$C$353,C244,$K$4:$K$353,K244&amp;"",$I$4:$I$353,"Planned")&gt;1),"More than one active plan for this AIR-ID, UC-ID scope and gate",IF(AND(E244="Not applicable",J244=""),"Not applicable needs rationale and authority ref",IF(AND(E244="Required",F244=""),"Required gate needs basis / triage ref",IF(L244="","Decision scope missing",IF(AND(L244="UC-ID specific",K244=""),"UC-ID required",IF(AND(L244="Shared system baseline",K244&lt;&gt;""),"Remove UC-ID or correct scope",IF(AND(G244&lt;&gt;"",NOT(ISNUMBER(G244))),"Target date is not a date",IF(E244="","Requirement missing",IF(I244="","Plan state missing","Check against source"))))))))))))))</f>
        <v/>
      </c>
    </row>
    <row r="245">
      <c r="A245" s="40" t="n"/>
      <c r="B245" s="40" t="n"/>
      <c r="C245" s="40" t="n"/>
      <c r="D245" s="40" t="n"/>
      <c r="E245" s="40" t="n"/>
      <c r="F245" s="40" t="n"/>
      <c r="G245" s="41" t="n"/>
      <c r="H245" s="40" t="n"/>
      <c r="I245" s="40" t="n"/>
      <c r="J245" s="40" t="n"/>
      <c r="K245" s="37" t="n"/>
      <c r="L245" s="37" t="n"/>
      <c r="M245" s="14">
        <f>IF(COUNTA(A245:L245)=0,"",IF(A245="","Plan ID missing",IF(COUNTIF($A$4:$A$353,A245)&gt;1,"Duplicate Plan ID",IF(B245="","AIR-ID missing",IF(C245="","Gate / forum missing",IF(AND(I245="Planned",COUNTIFS($B$4:$B$353,B245,$C$4:$C$353,C245,$K$4:$K$353,K245&amp;"",$I$4:$I$353,"Planned")&gt;1),"More than one active plan for this AIR-ID, UC-ID scope and gate",IF(AND(E245="Not applicable",J245=""),"Not applicable needs rationale and authority ref",IF(AND(E245="Required",F245=""),"Required gate needs basis / triage ref",IF(L245="","Decision scope missing",IF(AND(L245="UC-ID specific",K245=""),"UC-ID required",IF(AND(L245="Shared system baseline",K245&lt;&gt;""),"Remove UC-ID or correct scope",IF(AND(G245&lt;&gt;"",NOT(ISNUMBER(G245))),"Target date is not a date",IF(E245="","Requirement missing",IF(I245="","Plan state missing","Check against source"))))))))))))))</f>
        <v/>
      </c>
    </row>
    <row r="246">
      <c r="A246" s="38" t="n"/>
      <c r="B246" s="38" t="n"/>
      <c r="C246" s="38" t="n"/>
      <c r="D246" s="38" t="n"/>
      <c r="E246" s="38" t="n"/>
      <c r="F246" s="38" t="n"/>
      <c r="G246" s="39" t="n"/>
      <c r="H246" s="38" t="n"/>
      <c r="I246" s="38" t="n"/>
      <c r="J246" s="38" t="n"/>
      <c r="K246" s="37" t="n"/>
      <c r="L246" s="37" t="n"/>
      <c r="M246" s="14">
        <f>IF(COUNTA(A246:L246)=0,"",IF(A246="","Plan ID missing",IF(COUNTIF($A$4:$A$353,A246)&gt;1,"Duplicate Plan ID",IF(B246="","AIR-ID missing",IF(C246="","Gate / forum missing",IF(AND(I246="Planned",COUNTIFS($B$4:$B$353,B246,$C$4:$C$353,C246,$K$4:$K$353,K246&amp;"",$I$4:$I$353,"Planned")&gt;1),"More than one active plan for this AIR-ID, UC-ID scope and gate",IF(AND(E246="Not applicable",J246=""),"Not applicable needs rationale and authority ref",IF(AND(E246="Required",F246=""),"Required gate needs basis / triage ref",IF(L246="","Decision scope missing",IF(AND(L246="UC-ID specific",K246=""),"UC-ID required",IF(AND(L246="Shared system baseline",K246&lt;&gt;""),"Remove UC-ID or correct scope",IF(AND(G246&lt;&gt;"",NOT(ISNUMBER(G246))),"Target date is not a date",IF(E246="","Requirement missing",IF(I246="","Plan state missing","Check against source"))))))))))))))</f>
        <v/>
      </c>
    </row>
    <row r="247">
      <c r="A247" s="40" t="n"/>
      <c r="B247" s="40" t="n"/>
      <c r="C247" s="40" t="n"/>
      <c r="D247" s="40" t="n"/>
      <c r="E247" s="40" t="n"/>
      <c r="F247" s="40" t="n"/>
      <c r="G247" s="41" t="n"/>
      <c r="H247" s="40" t="n"/>
      <c r="I247" s="40" t="n"/>
      <c r="J247" s="40" t="n"/>
      <c r="K247" s="37" t="n"/>
      <c r="L247" s="37" t="n"/>
      <c r="M247" s="14">
        <f>IF(COUNTA(A247:L247)=0,"",IF(A247="","Plan ID missing",IF(COUNTIF($A$4:$A$353,A247)&gt;1,"Duplicate Plan ID",IF(B247="","AIR-ID missing",IF(C247="","Gate / forum missing",IF(AND(I247="Planned",COUNTIFS($B$4:$B$353,B247,$C$4:$C$353,C247,$K$4:$K$353,K247&amp;"",$I$4:$I$353,"Planned")&gt;1),"More than one active plan for this AIR-ID, UC-ID scope and gate",IF(AND(E247="Not applicable",J247=""),"Not applicable needs rationale and authority ref",IF(AND(E247="Required",F247=""),"Required gate needs basis / triage ref",IF(L247="","Decision scope missing",IF(AND(L247="UC-ID specific",K247=""),"UC-ID required",IF(AND(L247="Shared system baseline",K247&lt;&gt;""),"Remove UC-ID or correct scope",IF(AND(G247&lt;&gt;"",NOT(ISNUMBER(G247))),"Target date is not a date",IF(E247="","Requirement missing",IF(I247="","Plan state missing","Check against source"))))))))))))))</f>
        <v/>
      </c>
    </row>
    <row r="248">
      <c r="A248" s="38" t="n"/>
      <c r="B248" s="38" t="n"/>
      <c r="C248" s="38" t="n"/>
      <c r="D248" s="38" t="n"/>
      <c r="E248" s="38" t="n"/>
      <c r="F248" s="38" t="n"/>
      <c r="G248" s="39" t="n"/>
      <c r="H248" s="38" t="n"/>
      <c r="I248" s="38" t="n"/>
      <c r="J248" s="38" t="n"/>
      <c r="K248" s="37" t="n"/>
      <c r="L248" s="37" t="n"/>
      <c r="M248" s="14">
        <f>IF(COUNTA(A248:L248)=0,"",IF(A248="","Plan ID missing",IF(COUNTIF($A$4:$A$353,A248)&gt;1,"Duplicate Plan ID",IF(B248="","AIR-ID missing",IF(C248="","Gate / forum missing",IF(AND(I248="Planned",COUNTIFS($B$4:$B$353,B248,$C$4:$C$353,C248,$K$4:$K$353,K248&amp;"",$I$4:$I$353,"Planned")&gt;1),"More than one active plan for this AIR-ID, UC-ID scope and gate",IF(AND(E248="Not applicable",J248=""),"Not applicable needs rationale and authority ref",IF(AND(E248="Required",F248=""),"Required gate needs basis / triage ref",IF(L248="","Decision scope missing",IF(AND(L248="UC-ID specific",K248=""),"UC-ID required",IF(AND(L248="Shared system baseline",K248&lt;&gt;""),"Remove UC-ID or correct scope",IF(AND(G248&lt;&gt;"",NOT(ISNUMBER(G248))),"Target date is not a date",IF(E248="","Requirement missing",IF(I248="","Plan state missing","Check against source"))))))))))))))</f>
        <v/>
      </c>
    </row>
    <row r="249">
      <c r="A249" s="40" t="n"/>
      <c r="B249" s="40" t="n"/>
      <c r="C249" s="40" t="n"/>
      <c r="D249" s="40" t="n"/>
      <c r="E249" s="40" t="n"/>
      <c r="F249" s="40" t="n"/>
      <c r="G249" s="41" t="n"/>
      <c r="H249" s="40" t="n"/>
      <c r="I249" s="40" t="n"/>
      <c r="J249" s="40" t="n"/>
      <c r="K249" s="37" t="n"/>
      <c r="L249" s="37" t="n"/>
      <c r="M249" s="14">
        <f>IF(COUNTA(A249:L249)=0,"",IF(A249="","Plan ID missing",IF(COUNTIF($A$4:$A$353,A249)&gt;1,"Duplicate Plan ID",IF(B249="","AIR-ID missing",IF(C249="","Gate / forum missing",IF(AND(I249="Planned",COUNTIFS($B$4:$B$353,B249,$C$4:$C$353,C249,$K$4:$K$353,K249&amp;"",$I$4:$I$353,"Planned")&gt;1),"More than one active plan for this AIR-ID, UC-ID scope and gate",IF(AND(E249="Not applicable",J249=""),"Not applicable needs rationale and authority ref",IF(AND(E249="Required",F249=""),"Required gate needs basis / triage ref",IF(L249="","Decision scope missing",IF(AND(L249="UC-ID specific",K249=""),"UC-ID required",IF(AND(L249="Shared system baseline",K249&lt;&gt;""),"Remove UC-ID or correct scope",IF(AND(G249&lt;&gt;"",NOT(ISNUMBER(G249))),"Target date is not a date",IF(E249="","Requirement missing",IF(I249="","Plan state missing","Check against source"))))))))))))))</f>
        <v/>
      </c>
    </row>
    <row r="250">
      <c r="A250" s="38" t="n"/>
      <c r="B250" s="38" t="n"/>
      <c r="C250" s="38" t="n"/>
      <c r="D250" s="38" t="n"/>
      <c r="E250" s="38" t="n"/>
      <c r="F250" s="38" t="n"/>
      <c r="G250" s="39" t="n"/>
      <c r="H250" s="38" t="n"/>
      <c r="I250" s="38" t="n"/>
      <c r="J250" s="38" t="n"/>
      <c r="K250" s="37" t="n"/>
      <c r="L250" s="37" t="n"/>
      <c r="M250" s="14">
        <f>IF(COUNTA(A250:L250)=0,"",IF(A250="","Plan ID missing",IF(COUNTIF($A$4:$A$353,A250)&gt;1,"Duplicate Plan ID",IF(B250="","AIR-ID missing",IF(C250="","Gate / forum missing",IF(AND(I250="Planned",COUNTIFS($B$4:$B$353,B250,$C$4:$C$353,C250,$K$4:$K$353,K250&amp;"",$I$4:$I$353,"Planned")&gt;1),"More than one active plan for this AIR-ID, UC-ID scope and gate",IF(AND(E250="Not applicable",J250=""),"Not applicable needs rationale and authority ref",IF(AND(E250="Required",F250=""),"Required gate needs basis / triage ref",IF(L250="","Decision scope missing",IF(AND(L250="UC-ID specific",K250=""),"UC-ID required",IF(AND(L250="Shared system baseline",K250&lt;&gt;""),"Remove UC-ID or correct scope",IF(AND(G250&lt;&gt;"",NOT(ISNUMBER(G250))),"Target date is not a date",IF(E250="","Requirement missing",IF(I250="","Plan state missing","Check against source"))))))))))))))</f>
        <v/>
      </c>
    </row>
    <row r="251">
      <c r="A251" s="40" t="n"/>
      <c r="B251" s="40" t="n"/>
      <c r="C251" s="40" t="n"/>
      <c r="D251" s="40" t="n"/>
      <c r="E251" s="40" t="n"/>
      <c r="F251" s="40" t="n"/>
      <c r="G251" s="41" t="n"/>
      <c r="H251" s="40" t="n"/>
      <c r="I251" s="40" t="n"/>
      <c r="J251" s="40" t="n"/>
      <c r="K251" s="37" t="n"/>
      <c r="L251" s="37" t="n"/>
      <c r="M251" s="14">
        <f>IF(COUNTA(A251:L251)=0,"",IF(A251="","Plan ID missing",IF(COUNTIF($A$4:$A$353,A251)&gt;1,"Duplicate Plan ID",IF(B251="","AIR-ID missing",IF(C251="","Gate / forum missing",IF(AND(I251="Planned",COUNTIFS($B$4:$B$353,B251,$C$4:$C$353,C251,$K$4:$K$353,K251&amp;"",$I$4:$I$353,"Planned")&gt;1),"More than one active plan for this AIR-ID, UC-ID scope and gate",IF(AND(E251="Not applicable",J251=""),"Not applicable needs rationale and authority ref",IF(AND(E251="Required",F251=""),"Required gate needs basis / triage ref",IF(L251="","Decision scope missing",IF(AND(L251="UC-ID specific",K251=""),"UC-ID required",IF(AND(L251="Shared system baseline",K251&lt;&gt;""),"Remove UC-ID or correct scope",IF(AND(G251&lt;&gt;"",NOT(ISNUMBER(G251))),"Target date is not a date",IF(E251="","Requirement missing",IF(I251="","Plan state missing","Check against source"))))))))))))))</f>
        <v/>
      </c>
    </row>
    <row r="252">
      <c r="A252" s="38" t="n"/>
      <c r="B252" s="38" t="n"/>
      <c r="C252" s="38" t="n"/>
      <c r="D252" s="38" t="n"/>
      <c r="E252" s="38" t="n"/>
      <c r="F252" s="38" t="n"/>
      <c r="G252" s="39" t="n"/>
      <c r="H252" s="38" t="n"/>
      <c r="I252" s="38" t="n"/>
      <c r="J252" s="38" t="n"/>
      <c r="K252" s="37" t="n"/>
      <c r="L252" s="37" t="n"/>
      <c r="M252" s="14">
        <f>IF(COUNTA(A252:L252)=0,"",IF(A252="","Plan ID missing",IF(COUNTIF($A$4:$A$353,A252)&gt;1,"Duplicate Plan ID",IF(B252="","AIR-ID missing",IF(C252="","Gate / forum missing",IF(AND(I252="Planned",COUNTIFS($B$4:$B$353,B252,$C$4:$C$353,C252,$K$4:$K$353,K252&amp;"",$I$4:$I$353,"Planned")&gt;1),"More than one active plan for this AIR-ID, UC-ID scope and gate",IF(AND(E252="Not applicable",J252=""),"Not applicable needs rationale and authority ref",IF(AND(E252="Required",F252=""),"Required gate needs basis / triage ref",IF(L252="","Decision scope missing",IF(AND(L252="UC-ID specific",K252=""),"UC-ID required",IF(AND(L252="Shared system baseline",K252&lt;&gt;""),"Remove UC-ID or correct scope",IF(AND(G252&lt;&gt;"",NOT(ISNUMBER(G252))),"Target date is not a date",IF(E252="","Requirement missing",IF(I252="","Plan state missing","Check against source"))))))))))))))</f>
        <v/>
      </c>
    </row>
    <row r="253">
      <c r="A253" s="40" t="n"/>
      <c r="B253" s="40" t="n"/>
      <c r="C253" s="40" t="n"/>
      <c r="D253" s="40" t="n"/>
      <c r="E253" s="40" t="n"/>
      <c r="F253" s="40" t="n"/>
      <c r="G253" s="41" t="n"/>
      <c r="H253" s="40" t="n"/>
      <c r="I253" s="40" t="n"/>
      <c r="J253" s="40" t="n"/>
      <c r="K253" s="37" t="n"/>
      <c r="L253" s="37" t="n"/>
      <c r="M253" s="14">
        <f>IF(COUNTA(A253:L253)=0,"",IF(A253="","Plan ID missing",IF(COUNTIF($A$4:$A$353,A253)&gt;1,"Duplicate Plan ID",IF(B253="","AIR-ID missing",IF(C253="","Gate / forum missing",IF(AND(I253="Planned",COUNTIFS($B$4:$B$353,B253,$C$4:$C$353,C253,$K$4:$K$353,K253&amp;"",$I$4:$I$353,"Planned")&gt;1),"More than one active plan for this AIR-ID, UC-ID scope and gate",IF(AND(E253="Not applicable",J253=""),"Not applicable needs rationale and authority ref",IF(AND(E253="Required",F253=""),"Required gate needs basis / triage ref",IF(L253="","Decision scope missing",IF(AND(L253="UC-ID specific",K253=""),"UC-ID required",IF(AND(L253="Shared system baseline",K253&lt;&gt;""),"Remove UC-ID or correct scope",IF(AND(G253&lt;&gt;"",NOT(ISNUMBER(G253))),"Target date is not a date",IF(E253="","Requirement missing",IF(I253="","Plan state missing","Check against source"))))))))))))))</f>
        <v/>
      </c>
    </row>
    <row r="254">
      <c r="A254" s="38" t="n"/>
      <c r="B254" s="38" t="n"/>
      <c r="C254" s="38" t="n"/>
      <c r="D254" s="38" t="n"/>
      <c r="E254" s="38" t="n"/>
      <c r="F254" s="38" t="n"/>
      <c r="G254" s="39" t="n"/>
      <c r="H254" s="38" t="n"/>
      <c r="I254" s="38" t="n"/>
      <c r="J254" s="38" t="n"/>
      <c r="K254" s="37" t="n"/>
      <c r="L254" s="37" t="n"/>
      <c r="M254" s="14">
        <f>IF(COUNTA(A254:L254)=0,"",IF(A254="","Plan ID missing",IF(COUNTIF($A$4:$A$353,A254)&gt;1,"Duplicate Plan ID",IF(B254="","AIR-ID missing",IF(C254="","Gate / forum missing",IF(AND(I254="Planned",COUNTIFS($B$4:$B$353,B254,$C$4:$C$353,C254,$K$4:$K$353,K254&amp;"",$I$4:$I$353,"Planned")&gt;1),"More than one active plan for this AIR-ID, UC-ID scope and gate",IF(AND(E254="Not applicable",J254=""),"Not applicable needs rationale and authority ref",IF(AND(E254="Required",F254=""),"Required gate needs basis / triage ref",IF(L254="","Decision scope missing",IF(AND(L254="UC-ID specific",K254=""),"UC-ID required",IF(AND(L254="Shared system baseline",K254&lt;&gt;""),"Remove UC-ID or correct scope",IF(AND(G254&lt;&gt;"",NOT(ISNUMBER(G254))),"Target date is not a date",IF(E254="","Requirement missing",IF(I254="","Plan state missing","Check against source"))))))))))))))</f>
        <v/>
      </c>
    </row>
    <row r="255">
      <c r="A255" s="40" t="n"/>
      <c r="B255" s="40" t="n"/>
      <c r="C255" s="40" t="n"/>
      <c r="D255" s="40" t="n"/>
      <c r="E255" s="40" t="n"/>
      <c r="F255" s="40" t="n"/>
      <c r="G255" s="41" t="n"/>
      <c r="H255" s="40" t="n"/>
      <c r="I255" s="40" t="n"/>
      <c r="J255" s="40" t="n"/>
      <c r="K255" s="37" t="n"/>
      <c r="L255" s="37" t="n"/>
      <c r="M255" s="14">
        <f>IF(COUNTA(A255:L255)=0,"",IF(A255="","Plan ID missing",IF(COUNTIF($A$4:$A$353,A255)&gt;1,"Duplicate Plan ID",IF(B255="","AIR-ID missing",IF(C255="","Gate / forum missing",IF(AND(I255="Planned",COUNTIFS($B$4:$B$353,B255,$C$4:$C$353,C255,$K$4:$K$353,K255&amp;"",$I$4:$I$353,"Planned")&gt;1),"More than one active plan for this AIR-ID, UC-ID scope and gate",IF(AND(E255="Not applicable",J255=""),"Not applicable needs rationale and authority ref",IF(AND(E255="Required",F255=""),"Required gate needs basis / triage ref",IF(L255="","Decision scope missing",IF(AND(L255="UC-ID specific",K255=""),"UC-ID required",IF(AND(L255="Shared system baseline",K255&lt;&gt;""),"Remove UC-ID or correct scope",IF(AND(G255&lt;&gt;"",NOT(ISNUMBER(G255))),"Target date is not a date",IF(E255="","Requirement missing",IF(I255="","Plan state missing","Check against source"))))))))))))))</f>
        <v/>
      </c>
    </row>
    <row r="256">
      <c r="A256" s="38" t="n"/>
      <c r="B256" s="38" t="n"/>
      <c r="C256" s="38" t="n"/>
      <c r="D256" s="38" t="n"/>
      <c r="E256" s="38" t="n"/>
      <c r="F256" s="38" t="n"/>
      <c r="G256" s="39" t="n"/>
      <c r="H256" s="38" t="n"/>
      <c r="I256" s="38" t="n"/>
      <c r="J256" s="38" t="n"/>
      <c r="K256" s="37" t="n"/>
      <c r="L256" s="37" t="n"/>
      <c r="M256" s="14">
        <f>IF(COUNTA(A256:L256)=0,"",IF(A256="","Plan ID missing",IF(COUNTIF($A$4:$A$353,A256)&gt;1,"Duplicate Plan ID",IF(B256="","AIR-ID missing",IF(C256="","Gate / forum missing",IF(AND(I256="Planned",COUNTIFS($B$4:$B$353,B256,$C$4:$C$353,C256,$K$4:$K$353,K256&amp;"",$I$4:$I$353,"Planned")&gt;1),"More than one active plan for this AIR-ID, UC-ID scope and gate",IF(AND(E256="Not applicable",J256=""),"Not applicable needs rationale and authority ref",IF(AND(E256="Required",F256=""),"Required gate needs basis / triage ref",IF(L256="","Decision scope missing",IF(AND(L256="UC-ID specific",K256=""),"UC-ID required",IF(AND(L256="Shared system baseline",K256&lt;&gt;""),"Remove UC-ID or correct scope",IF(AND(G256&lt;&gt;"",NOT(ISNUMBER(G256))),"Target date is not a date",IF(E256="","Requirement missing",IF(I256="","Plan state missing","Check against source"))))))))))))))</f>
        <v/>
      </c>
    </row>
    <row r="257">
      <c r="A257" s="40" t="n"/>
      <c r="B257" s="40" t="n"/>
      <c r="C257" s="40" t="n"/>
      <c r="D257" s="40" t="n"/>
      <c r="E257" s="40" t="n"/>
      <c r="F257" s="40" t="n"/>
      <c r="G257" s="41" t="n"/>
      <c r="H257" s="40" t="n"/>
      <c r="I257" s="40" t="n"/>
      <c r="J257" s="40" t="n"/>
      <c r="K257" s="37" t="n"/>
      <c r="L257" s="37" t="n"/>
      <c r="M257" s="14">
        <f>IF(COUNTA(A257:L257)=0,"",IF(A257="","Plan ID missing",IF(COUNTIF($A$4:$A$353,A257)&gt;1,"Duplicate Plan ID",IF(B257="","AIR-ID missing",IF(C257="","Gate / forum missing",IF(AND(I257="Planned",COUNTIFS($B$4:$B$353,B257,$C$4:$C$353,C257,$K$4:$K$353,K257&amp;"",$I$4:$I$353,"Planned")&gt;1),"More than one active plan for this AIR-ID, UC-ID scope and gate",IF(AND(E257="Not applicable",J257=""),"Not applicable needs rationale and authority ref",IF(AND(E257="Required",F257=""),"Required gate needs basis / triage ref",IF(L257="","Decision scope missing",IF(AND(L257="UC-ID specific",K257=""),"UC-ID required",IF(AND(L257="Shared system baseline",K257&lt;&gt;""),"Remove UC-ID or correct scope",IF(AND(G257&lt;&gt;"",NOT(ISNUMBER(G257))),"Target date is not a date",IF(E257="","Requirement missing",IF(I257="","Plan state missing","Check against source"))))))))))))))</f>
        <v/>
      </c>
    </row>
    <row r="258">
      <c r="A258" s="38" t="n"/>
      <c r="B258" s="38" t="n"/>
      <c r="C258" s="38" t="n"/>
      <c r="D258" s="38" t="n"/>
      <c r="E258" s="38" t="n"/>
      <c r="F258" s="38" t="n"/>
      <c r="G258" s="39" t="n"/>
      <c r="H258" s="38" t="n"/>
      <c r="I258" s="38" t="n"/>
      <c r="J258" s="38" t="n"/>
      <c r="K258" s="37" t="n"/>
      <c r="L258" s="37" t="n"/>
      <c r="M258" s="14">
        <f>IF(COUNTA(A258:L258)=0,"",IF(A258="","Plan ID missing",IF(COUNTIF($A$4:$A$353,A258)&gt;1,"Duplicate Plan ID",IF(B258="","AIR-ID missing",IF(C258="","Gate / forum missing",IF(AND(I258="Planned",COUNTIFS($B$4:$B$353,B258,$C$4:$C$353,C258,$K$4:$K$353,K258&amp;"",$I$4:$I$353,"Planned")&gt;1),"More than one active plan for this AIR-ID, UC-ID scope and gate",IF(AND(E258="Not applicable",J258=""),"Not applicable needs rationale and authority ref",IF(AND(E258="Required",F258=""),"Required gate needs basis / triage ref",IF(L258="","Decision scope missing",IF(AND(L258="UC-ID specific",K258=""),"UC-ID required",IF(AND(L258="Shared system baseline",K258&lt;&gt;""),"Remove UC-ID or correct scope",IF(AND(G258&lt;&gt;"",NOT(ISNUMBER(G258))),"Target date is not a date",IF(E258="","Requirement missing",IF(I258="","Plan state missing","Check against source"))))))))))))))</f>
        <v/>
      </c>
    </row>
    <row r="259">
      <c r="A259" s="40" t="n"/>
      <c r="B259" s="40" t="n"/>
      <c r="C259" s="40" t="n"/>
      <c r="D259" s="40" t="n"/>
      <c r="E259" s="40" t="n"/>
      <c r="F259" s="40" t="n"/>
      <c r="G259" s="41" t="n"/>
      <c r="H259" s="40" t="n"/>
      <c r="I259" s="40" t="n"/>
      <c r="J259" s="40" t="n"/>
      <c r="K259" s="37" t="n"/>
      <c r="L259" s="37" t="n"/>
      <c r="M259" s="14">
        <f>IF(COUNTA(A259:L259)=0,"",IF(A259="","Plan ID missing",IF(COUNTIF($A$4:$A$353,A259)&gt;1,"Duplicate Plan ID",IF(B259="","AIR-ID missing",IF(C259="","Gate / forum missing",IF(AND(I259="Planned",COUNTIFS($B$4:$B$353,B259,$C$4:$C$353,C259,$K$4:$K$353,K259&amp;"",$I$4:$I$353,"Planned")&gt;1),"More than one active plan for this AIR-ID, UC-ID scope and gate",IF(AND(E259="Not applicable",J259=""),"Not applicable needs rationale and authority ref",IF(AND(E259="Required",F259=""),"Required gate needs basis / triage ref",IF(L259="","Decision scope missing",IF(AND(L259="UC-ID specific",K259=""),"UC-ID required",IF(AND(L259="Shared system baseline",K259&lt;&gt;""),"Remove UC-ID or correct scope",IF(AND(G259&lt;&gt;"",NOT(ISNUMBER(G259))),"Target date is not a date",IF(E259="","Requirement missing",IF(I259="","Plan state missing","Check against source"))))))))))))))</f>
        <v/>
      </c>
    </row>
    <row r="260">
      <c r="A260" s="38" t="n"/>
      <c r="B260" s="38" t="n"/>
      <c r="C260" s="38" t="n"/>
      <c r="D260" s="38" t="n"/>
      <c r="E260" s="38" t="n"/>
      <c r="F260" s="38" t="n"/>
      <c r="G260" s="39" t="n"/>
      <c r="H260" s="38" t="n"/>
      <c r="I260" s="38" t="n"/>
      <c r="J260" s="38" t="n"/>
      <c r="K260" s="37" t="n"/>
      <c r="L260" s="37" t="n"/>
      <c r="M260" s="14">
        <f>IF(COUNTA(A260:L260)=0,"",IF(A260="","Plan ID missing",IF(COUNTIF($A$4:$A$353,A260)&gt;1,"Duplicate Plan ID",IF(B260="","AIR-ID missing",IF(C260="","Gate / forum missing",IF(AND(I260="Planned",COUNTIFS($B$4:$B$353,B260,$C$4:$C$353,C260,$K$4:$K$353,K260&amp;"",$I$4:$I$353,"Planned")&gt;1),"More than one active plan for this AIR-ID, UC-ID scope and gate",IF(AND(E260="Not applicable",J260=""),"Not applicable needs rationale and authority ref",IF(AND(E260="Required",F260=""),"Required gate needs basis / triage ref",IF(L260="","Decision scope missing",IF(AND(L260="UC-ID specific",K260=""),"UC-ID required",IF(AND(L260="Shared system baseline",K260&lt;&gt;""),"Remove UC-ID or correct scope",IF(AND(G260&lt;&gt;"",NOT(ISNUMBER(G260))),"Target date is not a date",IF(E260="","Requirement missing",IF(I260="","Plan state missing","Check against source"))))))))))))))</f>
        <v/>
      </c>
    </row>
    <row r="261">
      <c r="A261" s="40" t="n"/>
      <c r="B261" s="40" t="n"/>
      <c r="C261" s="40" t="n"/>
      <c r="D261" s="40" t="n"/>
      <c r="E261" s="40" t="n"/>
      <c r="F261" s="40" t="n"/>
      <c r="G261" s="41" t="n"/>
      <c r="H261" s="40" t="n"/>
      <c r="I261" s="40" t="n"/>
      <c r="J261" s="40" t="n"/>
      <c r="K261" s="37" t="n"/>
      <c r="L261" s="37" t="n"/>
      <c r="M261" s="14">
        <f>IF(COUNTA(A261:L261)=0,"",IF(A261="","Plan ID missing",IF(COUNTIF($A$4:$A$353,A261)&gt;1,"Duplicate Plan ID",IF(B261="","AIR-ID missing",IF(C261="","Gate / forum missing",IF(AND(I261="Planned",COUNTIFS($B$4:$B$353,B261,$C$4:$C$353,C261,$K$4:$K$353,K261&amp;"",$I$4:$I$353,"Planned")&gt;1),"More than one active plan for this AIR-ID, UC-ID scope and gate",IF(AND(E261="Not applicable",J261=""),"Not applicable needs rationale and authority ref",IF(AND(E261="Required",F261=""),"Required gate needs basis / triage ref",IF(L261="","Decision scope missing",IF(AND(L261="UC-ID specific",K261=""),"UC-ID required",IF(AND(L261="Shared system baseline",K261&lt;&gt;""),"Remove UC-ID or correct scope",IF(AND(G261&lt;&gt;"",NOT(ISNUMBER(G261))),"Target date is not a date",IF(E261="","Requirement missing",IF(I261="","Plan state missing","Check against source"))))))))))))))</f>
        <v/>
      </c>
    </row>
    <row r="262">
      <c r="A262" s="38" t="n"/>
      <c r="B262" s="38" t="n"/>
      <c r="C262" s="38" t="n"/>
      <c r="D262" s="38" t="n"/>
      <c r="E262" s="38" t="n"/>
      <c r="F262" s="38" t="n"/>
      <c r="G262" s="39" t="n"/>
      <c r="H262" s="38" t="n"/>
      <c r="I262" s="38" t="n"/>
      <c r="J262" s="38" t="n"/>
      <c r="K262" s="37" t="n"/>
      <c r="L262" s="37" t="n"/>
      <c r="M262" s="14">
        <f>IF(COUNTA(A262:L262)=0,"",IF(A262="","Plan ID missing",IF(COUNTIF($A$4:$A$353,A262)&gt;1,"Duplicate Plan ID",IF(B262="","AIR-ID missing",IF(C262="","Gate / forum missing",IF(AND(I262="Planned",COUNTIFS($B$4:$B$353,B262,$C$4:$C$353,C262,$K$4:$K$353,K262&amp;"",$I$4:$I$353,"Planned")&gt;1),"More than one active plan for this AIR-ID, UC-ID scope and gate",IF(AND(E262="Not applicable",J262=""),"Not applicable needs rationale and authority ref",IF(AND(E262="Required",F262=""),"Required gate needs basis / triage ref",IF(L262="","Decision scope missing",IF(AND(L262="UC-ID specific",K262=""),"UC-ID required",IF(AND(L262="Shared system baseline",K262&lt;&gt;""),"Remove UC-ID or correct scope",IF(AND(G262&lt;&gt;"",NOT(ISNUMBER(G262))),"Target date is not a date",IF(E262="","Requirement missing",IF(I262="","Plan state missing","Check against source"))))))))))))))</f>
        <v/>
      </c>
    </row>
    <row r="263">
      <c r="A263" s="40" t="n"/>
      <c r="B263" s="40" t="n"/>
      <c r="C263" s="40" t="n"/>
      <c r="D263" s="40" t="n"/>
      <c r="E263" s="40" t="n"/>
      <c r="F263" s="40" t="n"/>
      <c r="G263" s="41" t="n"/>
      <c r="H263" s="40" t="n"/>
      <c r="I263" s="40" t="n"/>
      <c r="J263" s="40" t="n"/>
      <c r="K263" s="37" t="n"/>
      <c r="L263" s="37" t="n"/>
      <c r="M263" s="14">
        <f>IF(COUNTA(A263:L263)=0,"",IF(A263="","Plan ID missing",IF(COUNTIF($A$4:$A$353,A263)&gt;1,"Duplicate Plan ID",IF(B263="","AIR-ID missing",IF(C263="","Gate / forum missing",IF(AND(I263="Planned",COUNTIFS($B$4:$B$353,B263,$C$4:$C$353,C263,$K$4:$K$353,K263&amp;"",$I$4:$I$353,"Planned")&gt;1),"More than one active plan for this AIR-ID, UC-ID scope and gate",IF(AND(E263="Not applicable",J263=""),"Not applicable needs rationale and authority ref",IF(AND(E263="Required",F263=""),"Required gate needs basis / triage ref",IF(L263="","Decision scope missing",IF(AND(L263="UC-ID specific",K263=""),"UC-ID required",IF(AND(L263="Shared system baseline",K263&lt;&gt;""),"Remove UC-ID or correct scope",IF(AND(G263&lt;&gt;"",NOT(ISNUMBER(G263))),"Target date is not a date",IF(E263="","Requirement missing",IF(I263="","Plan state missing","Check against source"))))))))))))))</f>
        <v/>
      </c>
    </row>
    <row r="264">
      <c r="A264" s="38" t="n"/>
      <c r="B264" s="38" t="n"/>
      <c r="C264" s="38" t="n"/>
      <c r="D264" s="38" t="n"/>
      <c r="E264" s="38" t="n"/>
      <c r="F264" s="38" t="n"/>
      <c r="G264" s="39" t="n"/>
      <c r="H264" s="38" t="n"/>
      <c r="I264" s="38" t="n"/>
      <c r="J264" s="38" t="n"/>
      <c r="K264" s="37" t="n"/>
      <c r="L264" s="37" t="n"/>
      <c r="M264" s="14">
        <f>IF(COUNTA(A264:L264)=0,"",IF(A264="","Plan ID missing",IF(COUNTIF($A$4:$A$353,A264)&gt;1,"Duplicate Plan ID",IF(B264="","AIR-ID missing",IF(C264="","Gate / forum missing",IF(AND(I264="Planned",COUNTIFS($B$4:$B$353,B264,$C$4:$C$353,C264,$K$4:$K$353,K264&amp;"",$I$4:$I$353,"Planned")&gt;1),"More than one active plan for this AIR-ID, UC-ID scope and gate",IF(AND(E264="Not applicable",J264=""),"Not applicable needs rationale and authority ref",IF(AND(E264="Required",F264=""),"Required gate needs basis / triage ref",IF(L264="","Decision scope missing",IF(AND(L264="UC-ID specific",K264=""),"UC-ID required",IF(AND(L264="Shared system baseline",K264&lt;&gt;""),"Remove UC-ID or correct scope",IF(AND(G264&lt;&gt;"",NOT(ISNUMBER(G264))),"Target date is not a date",IF(E264="","Requirement missing",IF(I264="","Plan state missing","Check against source"))))))))))))))</f>
        <v/>
      </c>
    </row>
    <row r="265">
      <c r="A265" s="40" t="n"/>
      <c r="B265" s="40" t="n"/>
      <c r="C265" s="40" t="n"/>
      <c r="D265" s="40" t="n"/>
      <c r="E265" s="40" t="n"/>
      <c r="F265" s="40" t="n"/>
      <c r="G265" s="41" t="n"/>
      <c r="H265" s="40" t="n"/>
      <c r="I265" s="40" t="n"/>
      <c r="J265" s="40" t="n"/>
      <c r="K265" s="37" t="n"/>
      <c r="L265" s="37" t="n"/>
      <c r="M265" s="14">
        <f>IF(COUNTA(A265:L265)=0,"",IF(A265="","Plan ID missing",IF(COUNTIF($A$4:$A$353,A265)&gt;1,"Duplicate Plan ID",IF(B265="","AIR-ID missing",IF(C265="","Gate / forum missing",IF(AND(I265="Planned",COUNTIFS($B$4:$B$353,B265,$C$4:$C$353,C265,$K$4:$K$353,K265&amp;"",$I$4:$I$353,"Planned")&gt;1),"More than one active plan for this AIR-ID, UC-ID scope and gate",IF(AND(E265="Not applicable",J265=""),"Not applicable needs rationale and authority ref",IF(AND(E265="Required",F265=""),"Required gate needs basis / triage ref",IF(L265="","Decision scope missing",IF(AND(L265="UC-ID specific",K265=""),"UC-ID required",IF(AND(L265="Shared system baseline",K265&lt;&gt;""),"Remove UC-ID or correct scope",IF(AND(G265&lt;&gt;"",NOT(ISNUMBER(G265))),"Target date is not a date",IF(E265="","Requirement missing",IF(I265="","Plan state missing","Check against source"))))))))))))))</f>
        <v/>
      </c>
    </row>
    <row r="266">
      <c r="A266" s="38" t="n"/>
      <c r="B266" s="38" t="n"/>
      <c r="C266" s="38" t="n"/>
      <c r="D266" s="38" t="n"/>
      <c r="E266" s="38" t="n"/>
      <c r="F266" s="38" t="n"/>
      <c r="G266" s="39" t="n"/>
      <c r="H266" s="38" t="n"/>
      <c r="I266" s="38" t="n"/>
      <c r="J266" s="38" t="n"/>
      <c r="K266" s="37" t="n"/>
      <c r="L266" s="37" t="n"/>
      <c r="M266" s="14">
        <f>IF(COUNTA(A266:L266)=0,"",IF(A266="","Plan ID missing",IF(COUNTIF($A$4:$A$353,A266)&gt;1,"Duplicate Plan ID",IF(B266="","AIR-ID missing",IF(C266="","Gate / forum missing",IF(AND(I266="Planned",COUNTIFS($B$4:$B$353,B266,$C$4:$C$353,C266,$K$4:$K$353,K266&amp;"",$I$4:$I$353,"Planned")&gt;1),"More than one active plan for this AIR-ID, UC-ID scope and gate",IF(AND(E266="Not applicable",J266=""),"Not applicable needs rationale and authority ref",IF(AND(E266="Required",F266=""),"Required gate needs basis / triage ref",IF(L266="","Decision scope missing",IF(AND(L266="UC-ID specific",K266=""),"UC-ID required",IF(AND(L266="Shared system baseline",K266&lt;&gt;""),"Remove UC-ID or correct scope",IF(AND(G266&lt;&gt;"",NOT(ISNUMBER(G266))),"Target date is not a date",IF(E266="","Requirement missing",IF(I266="","Plan state missing","Check against source"))))))))))))))</f>
        <v/>
      </c>
    </row>
    <row r="267">
      <c r="A267" s="40" t="n"/>
      <c r="B267" s="40" t="n"/>
      <c r="C267" s="40" t="n"/>
      <c r="D267" s="40" t="n"/>
      <c r="E267" s="40" t="n"/>
      <c r="F267" s="40" t="n"/>
      <c r="G267" s="41" t="n"/>
      <c r="H267" s="40" t="n"/>
      <c r="I267" s="40" t="n"/>
      <c r="J267" s="40" t="n"/>
      <c r="K267" s="37" t="n"/>
      <c r="L267" s="37" t="n"/>
      <c r="M267" s="14">
        <f>IF(COUNTA(A267:L267)=0,"",IF(A267="","Plan ID missing",IF(COUNTIF($A$4:$A$353,A267)&gt;1,"Duplicate Plan ID",IF(B267="","AIR-ID missing",IF(C267="","Gate / forum missing",IF(AND(I267="Planned",COUNTIFS($B$4:$B$353,B267,$C$4:$C$353,C267,$K$4:$K$353,K267&amp;"",$I$4:$I$353,"Planned")&gt;1),"More than one active plan for this AIR-ID, UC-ID scope and gate",IF(AND(E267="Not applicable",J267=""),"Not applicable needs rationale and authority ref",IF(AND(E267="Required",F267=""),"Required gate needs basis / triage ref",IF(L267="","Decision scope missing",IF(AND(L267="UC-ID specific",K267=""),"UC-ID required",IF(AND(L267="Shared system baseline",K267&lt;&gt;""),"Remove UC-ID or correct scope",IF(AND(G267&lt;&gt;"",NOT(ISNUMBER(G267))),"Target date is not a date",IF(E267="","Requirement missing",IF(I267="","Plan state missing","Check against source"))))))))))))))</f>
        <v/>
      </c>
    </row>
    <row r="268">
      <c r="A268" s="38" t="n"/>
      <c r="B268" s="38" t="n"/>
      <c r="C268" s="38" t="n"/>
      <c r="D268" s="38" t="n"/>
      <c r="E268" s="38" t="n"/>
      <c r="F268" s="38" t="n"/>
      <c r="G268" s="39" t="n"/>
      <c r="H268" s="38" t="n"/>
      <c r="I268" s="38" t="n"/>
      <c r="J268" s="38" t="n"/>
      <c r="K268" s="37" t="n"/>
      <c r="L268" s="37" t="n"/>
      <c r="M268" s="14">
        <f>IF(COUNTA(A268:L268)=0,"",IF(A268="","Plan ID missing",IF(COUNTIF($A$4:$A$353,A268)&gt;1,"Duplicate Plan ID",IF(B268="","AIR-ID missing",IF(C268="","Gate / forum missing",IF(AND(I268="Planned",COUNTIFS($B$4:$B$353,B268,$C$4:$C$353,C268,$K$4:$K$353,K268&amp;"",$I$4:$I$353,"Planned")&gt;1),"More than one active plan for this AIR-ID, UC-ID scope and gate",IF(AND(E268="Not applicable",J268=""),"Not applicable needs rationale and authority ref",IF(AND(E268="Required",F268=""),"Required gate needs basis / triage ref",IF(L268="","Decision scope missing",IF(AND(L268="UC-ID specific",K268=""),"UC-ID required",IF(AND(L268="Shared system baseline",K268&lt;&gt;""),"Remove UC-ID or correct scope",IF(AND(G268&lt;&gt;"",NOT(ISNUMBER(G268))),"Target date is not a date",IF(E268="","Requirement missing",IF(I268="","Plan state missing","Check against source"))))))))))))))</f>
        <v/>
      </c>
    </row>
    <row r="269">
      <c r="A269" s="40" t="n"/>
      <c r="B269" s="40" t="n"/>
      <c r="C269" s="40" t="n"/>
      <c r="D269" s="40" t="n"/>
      <c r="E269" s="40" t="n"/>
      <c r="F269" s="40" t="n"/>
      <c r="G269" s="41" t="n"/>
      <c r="H269" s="40" t="n"/>
      <c r="I269" s="40" t="n"/>
      <c r="J269" s="40" t="n"/>
      <c r="K269" s="37" t="n"/>
      <c r="L269" s="37" t="n"/>
      <c r="M269" s="14">
        <f>IF(COUNTA(A269:L269)=0,"",IF(A269="","Plan ID missing",IF(COUNTIF($A$4:$A$353,A269)&gt;1,"Duplicate Plan ID",IF(B269="","AIR-ID missing",IF(C269="","Gate / forum missing",IF(AND(I269="Planned",COUNTIFS($B$4:$B$353,B269,$C$4:$C$353,C269,$K$4:$K$353,K269&amp;"",$I$4:$I$353,"Planned")&gt;1),"More than one active plan for this AIR-ID, UC-ID scope and gate",IF(AND(E269="Not applicable",J269=""),"Not applicable needs rationale and authority ref",IF(AND(E269="Required",F269=""),"Required gate needs basis / triage ref",IF(L269="","Decision scope missing",IF(AND(L269="UC-ID specific",K269=""),"UC-ID required",IF(AND(L269="Shared system baseline",K269&lt;&gt;""),"Remove UC-ID or correct scope",IF(AND(G269&lt;&gt;"",NOT(ISNUMBER(G269))),"Target date is not a date",IF(E269="","Requirement missing",IF(I269="","Plan state missing","Check against source"))))))))))))))</f>
        <v/>
      </c>
    </row>
    <row r="270">
      <c r="A270" s="38" t="n"/>
      <c r="B270" s="38" t="n"/>
      <c r="C270" s="38" t="n"/>
      <c r="D270" s="38" t="n"/>
      <c r="E270" s="38" t="n"/>
      <c r="F270" s="38" t="n"/>
      <c r="G270" s="39" t="n"/>
      <c r="H270" s="38" t="n"/>
      <c r="I270" s="38" t="n"/>
      <c r="J270" s="38" t="n"/>
      <c r="K270" s="37" t="n"/>
      <c r="L270" s="37" t="n"/>
      <c r="M270" s="14">
        <f>IF(COUNTA(A270:L270)=0,"",IF(A270="","Plan ID missing",IF(COUNTIF($A$4:$A$353,A270)&gt;1,"Duplicate Plan ID",IF(B270="","AIR-ID missing",IF(C270="","Gate / forum missing",IF(AND(I270="Planned",COUNTIFS($B$4:$B$353,B270,$C$4:$C$353,C270,$K$4:$K$353,K270&amp;"",$I$4:$I$353,"Planned")&gt;1),"More than one active plan for this AIR-ID, UC-ID scope and gate",IF(AND(E270="Not applicable",J270=""),"Not applicable needs rationale and authority ref",IF(AND(E270="Required",F270=""),"Required gate needs basis / triage ref",IF(L270="","Decision scope missing",IF(AND(L270="UC-ID specific",K270=""),"UC-ID required",IF(AND(L270="Shared system baseline",K270&lt;&gt;""),"Remove UC-ID or correct scope",IF(AND(G270&lt;&gt;"",NOT(ISNUMBER(G270))),"Target date is not a date",IF(E270="","Requirement missing",IF(I270="","Plan state missing","Check against source"))))))))))))))</f>
        <v/>
      </c>
    </row>
    <row r="271">
      <c r="A271" s="40" t="n"/>
      <c r="B271" s="40" t="n"/>
      <c r="C271" s="40" t="n"/>
      <c r="D271" s="40" t="n"/>
      <c r="E271" s="40" t="n"/>
      <c r="F271" s="40" t="n"/>
      <c r="G271" s="41" t="n"/>
      <c r="H271" s="40" t="n"/>
      <c r="I271" s="40" t="n"/>
      <c r="J271" s="40" t="n"/>
      <c r="K271" s="37" t="n"/>
      <c r="L271" s="37" t="n"/>
      <c r="M271" s="14">
        <f>IF(COUNTA(A271:L271)=0,"",IF(A271="","Plan ID missing",IF(COUNTIF($A$4:$A$353,A271)&gt;1,"Duplicate Plan ID",IF(B271="","AIR-ID missing",IF(C271="","Gate / forum missing",IF(AND(I271="Planned",COUNTIFS($B$4:$B$353,B271,$C$4:$C$353,C271,$K$4:$K$353,K271&amp;"",$I$4:$I$353,"Planned")&gt;1),"More than one active plan for this AIR-ID, UC-ID scope and gate",IF(AND(E271="Not applicable",J271=""),"Not applicable needs rationale and authority ref",IF(AND(E271="Required",F271=""),"Required gate needs basis / triage ref",IF(L271="","Decision scope missing",IF(AND(L271="UC-ID specific",K271=""),"UC-ID required",IF(AND(L271="Shared system baseline",K271&lt;&gt;""),"Remove UC-ID or correct scope",IF(AND(G271&lt;&gt;"",NOT(ISNUMBER(G271))),"Target date is not a date",IF(E271="","Requirement missing",IF(I271="","Plan state missing","Check against source"))))))))))))))</f>
        <v/>
      </c>
    </row>
    <row r="272">
      <c r="A272" s="38" t="n"/>
      <c r="B272" s="38" t="n"/>
      <c r="C272" s="38" t="n"/>
      <c r="D272" s="38" t="n"/>
      <c r="E272" s="38" t="n"/>
      <c r="F272" s="38" t="n"/>
      <c r="G272" s="39" t="n"/>
      <c r="H272" s="38" t="n"/>
      <c r="I272" s="38" t="n"/>
      <c r="J272" s="38" t="n"/>
      <c r="K272" s="37" t="n"/>
      <c r="L272" s="37" t="n"/>
      <c r="M272" s="14">
        <f>IF(COUNTA(A272:L272)=0,"",IF(A272="","Plan ID missing",IF(COUNTIF($A$4:$A$353,A272)&gt;1,"Duplicate Plan ID",IF(B272="","AIR-ID missing",IF(C272="","Gate / forum missing",IF(AND(I272="Planned",COUNTIFS($B$4:$B$353,B272,$C$4:$C$353,C272,$K$4:$K$353,K272&amp;"",$I$4:$I$353,"Planned")&gt;1),"More than one active plan for this AIR-ID, UC-ID scope and gate",IF(AND(E272="Not applicable",J272=""),"Not applicable needs rationale and authority ref",IF(AND(E272="Required",F272=""),"Required gate needs basis / triage ref",IF(L272="","Decision scope missing",IF(AND(L272="UC-ID specific",K272=""),"UC-ID required",IF(AND(L272="Shared system baseline",K272&lt;&gt;""),"Remove UC-ID or correct scope",IF(AND(G272&lt;&gt;"",NOT(ISNUMBER(G272))),"Target date is not a date",IF(E272="","Requirement missing",IF(I272="","Plan state missing","Check against source"))))))))))))))</f>
        <v/>
      </c>
    </row>
    <row r="273">
      <c r="A273" s="40" t="n"/>
      <c r="B273" s="40" t="n"/>
      <c r="C273" s="40" t="n"/>
      <c r="D273" s="40" t="n"/>
      <c r="E273" s="40" t="n"/>
      <c r="F273" s="40" t="n"/>
      <c r="G273" s="41" t="n"/>
      <c r="H273" s="40" t="n"/>
      <c r="I273" s="40" t="n"/>
      <c r="J273" s="40" t="n"/>
      <c r="K273" s="37" t="n"/>
      <c r="L273" s="37" t="n"/>
      <c r="M273" s="14">
        <f>IF(COUNTA(A273:L273)=0,"",IF(A273="","Plan ID missing",IF(COUNTIF($A$4:$A$353,A273)&gt;1,"Duplicate Plan ID",IF(B273="","AIR-ID missing",IF(C273="","Gate / forum missing",IF(AND(I273="Planned",COUNTIFS($B$4:$B$353,B273,$C$4:$C$353,C273,$K$4:$K$353,K273&amp;"",$I$4:$I$353,"Planned")&gt;1),"More than one active plan for this AIR-ID, UC-ID scope and gate",IF(AND(E273="Not applicable",J273=""),"Not applicable needs rationale and authority ref",IF(AND(E273="Required",F273=""),"Required gate needs basis / triage ref",IF(L273="","Decision scope missing",IF(AND(L273="UC-ID specific",K273=""),"UC-ID required",IF(AND(L273="Shared system baseline",K273&lt;&gt;""),"Remove UC-ID or correct scope",IF(AND(G273&lt;&gt;"",NOT(ISNUMBER(G273))),"Target date is not a date",IF(E273="","Requirement missing",IF(I273="","Plan state missing","Check against source"))))))))))))))</f>
        <v/>
      </c>
    </row>
    <row r="274">
      <c r="A274" s="38" t="n"/>
      <c r="B274" s="38" t="n"/>
      <c r="C274" s="38" t="n"/>
      <c r="D274" s="38" t="n"/>
      <c r="E274" s="38" t="n"/>
      <c r="F274" s="38" t="n"/>
      <c r="G274" s="39" t="n"/>
      <c r="H274" s="38" t="n"/>
      <c r="I274" s="38" t="n"/>
      <c r="J274" s="38" t="n"/>
      <c r="K274" s="37" t="n"/>
      <c r="L274" s="37" t="n"/>
      <c r="M274" s="14">
        <f>IF(COUNTA(A274:L274)=0,"",IF(A274="","Plan ID missing",IF(COUNTIF($A$4:$A$353,A274)&gt;1,"Duplicate Plan ID",IF(B274="","AIR-ID missing",IF(C274="","Gate / forum missing",IF(AND(I274="Planned",COUNTIFS($B$4:$B$353,B274,$C$4:$C$353,C274,$K$4:$K$353,K274&amp;"",$I$4:$I$353,"Planned")&gt;1),"More than one active plan for this AIR-ID, UC-ID scope and gate",IF(AND(E274="Not applicable",J274=""),"Not applicable needs rationale and authority ref",IF(AND(E274="Required",F274=""),"Required gate needs basis / triage ref",IF(L274="","Decision scope missing",IF(AND(L274="UC-ID specific",K274=""),"UC-ID required",IF(AND(L274="Shared system baseline",K274&lt;&gt;""),"Remove UC-ID or correct scope",IF(AND(G274&lt;&gt;"",NOT(ISNUMBER(G274))),"Target date is not a date",IF(E274="","Requirement missing",IF(I274="","Plan state missing","Check against source"))))))))))))))</f>
        <v/>
      </c>
    </row>
    <row r="275">
      <c r="A275" s="40" t="n"/>
      <c r="B275" s="40" t="n"/>
      <c r="C275" s="40" t="n"/>
      <c r="D275" s="40" t="n"/>
      <c r="E275" s="40" t="n"/>
      <c r="F275" s="40" t="n"/>
      <c r="G275" s="41" t="n"/>
      <c r="H275" s="40" t="n"/>
      <c r="I275" s="40" t="n"/>
      <c r="J275" s="40" t="n"/>
      <c r="K275" s="37" t="n"/>
      <c r="L275" s="37" t="n"/>
      <c r="M275" s="14">
        <f>IF(COUNTA(A275:L275)=0,"",IF(A275="","Plan ID missing",IF(COUNTIF($A$4:$A$353,A275)&gt;1,"Duplicate Plan ID",IF(B275="","AIR-ID missing",IF(C275="","Gate / forum missing",IF(AND(I275="Planned",COUNTIFS($B$4:$B$353,B275,$C$4:$C$353,C275,$K$4:$K$353,K275&amp;"",$I$4:$I$353,"Planned")&gt;1),"More than one active plan for this AIR-ID, UC-ID scope and gate",IF(AND(E275="Not applicable",J275=""),"Not applicable needs rationale and authority ref",IF(AND(E275="Required",F275=""),"Required gate needs basis / triage ref",IF(L275="","Decision scope missing",IF(AND(L275="UC-ID specific",K275=""),"UC-ID required",IF(AND(L275="Shared system baseline",K275&lt;&gt;""),"Remove UC-ID or correct scope",IF(AND(G275&lt;&gt;"",NOT(ISNUMBER(G275))),"Target date is not a date",IF(E275="","Requirement missing",IF(I275="","Plan state missing","Check against source"))))))))))))))</f>
        <v/>
      </c>
    </row>
    <row r="276">
      <c r="A276" s="38" t="n"/>
      <c r="B276" s="38" t="n"/>
      <c r="C276" s="38" t="n"/>
      <c r="D276" s="38" t="n"/>
      <c r="E276" s="38" t="n"/>
      <c r="F276" s="38" t="n"/>
      <c r="G276" s="39" t="n"/>
      <c r="H276" s="38" t="n"/>
      <c r="I276" s="38" t="n"/>
      <c r="J276" s="38" t="n"/>
      <c r="K276" s="37" t="n"/>
      <c r="L276" s="37" t="n"/>
      <c r="M276" s="14">
        <f>IF(COUNTA(A276:L276)=0,"",IF(A276="","Plan ID missing",IF(COUNTIF($A$4:$A$353,A276)&gt;1,"Duplicate Plan ID",IF(B276="","AIR-ID missing",IF(C276="","Gate / forum missing",IF(AND(I276="Planned",COUNTIFS($B$4:$B$353,B276,$C$4:$C$353,C276,$K$4:$K$353,K276&amp;"",$I$4:$I$353,"Planned")&gt;1),"More than one active plan for this AIR-ID, UC-ID scope and gate",IF(AND(E276="Not applicable",J276=""),"Not applicable needs rationale and authority ref",IF(AND(E276="Required",F276=""),"Required gate needs basis / triage ref",IF(L276="","Decision scope missing",IF(AND(L276="UC-ID specific",K276=""),"UC-ID required",IF(AND(L276="Shared system baseline",K276&lt;&gt;""),"Remove UC-ID or correct scope",IF(AND(G276&lt;&gt;"",NOT(ISNUMBER(G276))),"Target date is not a date",IF(E276="","Requirement missing",IF(I276="","Plan state missing","Check against source"))))))))))))))</f>
        <v/>
      </c>
    </row>
    <row r="277">
      <c r="A277" s="40" t="n"/>
      <c r="B277" s="40" t="n"/>
      <c r="C277" s="40" t="n"/>
      <c r="D277" s="40" t="n"/>
      <c r="E277" s="40" t="n"/>
      <c r="F277" s="40" t="n"/>
      <c r="G277" s="41" t="n"/>
      <c r="H277" s="40" t="n"/>
      <c r="I277" s="40" t="n"/>
      <c r="J277" s="40" t="n"/>
      <c r="K277" s="37" t="n"/>
      <c r="L277" s="37" t="n"/>
      <c r="M277" s="14">
        <f>IF(COUNTA(A277:L277)=0,"",IF(A277="","Plan ID missing",IF(COUNTIF($A$4:$A$353,A277)&gt;1,"Duplicate Plan ID",IF(B277="","AIR-ID missing",IF(C277="","Gate / forum missing",IF(AND(I277="Planned",COUNTIFS($B$4:$B$353,B277,$C$4:$C$353,C277,$K$4:$K$353,K277&amp;"",$I$4:$I$353,"Planned")&gt;1),"More than one active plan for this AIR-ID, UC-ID scope and gate",IF(AND(E277="Not applicable",J277=""),"Not applicable needs rationale and authority ref",IF(AND(E277="Required",F277=""),"Required gate needs basis / triage ref",IF(L277="","Decision scope missing",IF(AND(L277="UC-ID specific",K277=""),"UC-ID required",IF(AND(L277="Shared system baseline",K277&lt;&gt;""),"Remove UC-ID or correct scope",IF(AND(G277&lt;&gt;"",NOT(ISNUMBER(G277))),"Target date is not a date",IF(E277="","Requirement missing",IF(I277="","Plan state missing","Check against source"))))))))))))))</f>
        <v/>
      </c>
    </row>
    <row r="278">
      <c r="A278" s="38" t="n"/>
      <c r="B278" s="38" t="n"/>
      <c r="C278" s="38" t="n"/>
      <c r="D278" s="38" t="n"/>
      <c r="E278" s="38" t="n"/>
      <c r="F278" s="38" t="n"/>
      <c r="G278" s="39" t="n"/>
      <c r="H278" s="38" t="n"/>
      <c r="I278" s="38" t="n"/>
      <c r="J278" s="38" t="n"/>
      <c r="K278" s="37" t="n"/>
      <c r="L278" s="37" t="n"/>
      <c r="M278" s="14">
        <f>IF(COUNTA(A278:L278)=0,"",IF(A278="","Plan ID missing",IF(COUNTIF($A$4:$A$353,A278)&gt;1,"Duplicate Plan ID",IF(B278="","AIR-ID missing",IF(C278="","Gate / forum missing",IF(AND(I278="Planned",COUNTIFS($B$4:$B$353,B278,$C$4:$C$353,C278,$K$4:$K$353,K278&amp;"",$I$4:$I$353,"Planned")&gt;1),"More than one active plan for this AIR-ID, UC-ID scope and gate",IF(AND(E278="Not applicable",J278=""),"Not applicable needs rationale and authority ref",IF(AND(E278="Required",F278=""),"Required gate needs basis / triage ref",IF(L278="","Decision scope missing",IF(AND(L278="UC-ID specific",K278=""),"UC-ID required",IF(AND(L278="Shared system baseline",K278&lt;&gt;""),"Remove UC-ID or correct scope",IF(AND(G278&lt;&gt;"",NOT(ISNUMBER(G278))),"Target date is not a date",IF(E278="","Requirement missing",IF(I278="","Plan state missing","Check against source"))))))))))))))</f>
        <v/>
      </c>
    </row>
    <row r="279">
      <c r="A279" s="40" t="n"/>
      <c r="B279" s="40" t="n"/>
      <c r="C279" s="40" t="n"/>
      <c r="D279" s="40" t="n"/>
      <c r="E279" s="40" t="n"/>
      <c r="F279" s="40" t="n"/>
      <c r="G279" s="41" t="n"/>
      <c r="H279" s="40" t="n"/>
      <c r="I279" s="40" t="n"/>
      <c r="J279" s="40" t="n"/>
      <c r="K279" s="37" t="n"/>
      <c r="L279" s="37" t="n"/>
      <c r="M279" s="14">
        <f>IF(COUNTA(A279:L279)=0,"",IF(A279="","Plan ID missing",IF(COUNTIF($A$4:$A$353,A279)&gt;1,"Duplicate Plan ID",IF(B279="","AIR-ID missing",IF(C279="","Gate / forum missing",IF(AND(I279="Planned",COUNTIFS($B$4:$B$353,B279,$C$4:$C$353,C279,$K$4:$K$353,K279&amp;"",$I$4:$I$353,"Planned")&gt;1),"More than one active plan for this AIR-ID, UC-ID scope and gate",IF(AND(E279="Not applicable",J279=""),"Not applicable needs rationale and authority ref",IF(AND(E279="Required",F279=""),"Required gate needs basis / triage ref",IF(L279="","Decision scope missing",IF(AND(L279="UC-ID specific",K279=""),"UC-ID required",IF(AND(L279="Shared system baseline",K279&lt;&gt;""),"Remove UC-ID or correct scope",IF(AND(G279&lt;&gt;"",NOT(ISNUMBER(G279))),"Target date is not a date",IF(E279="","Requirement missing",IF(I279="","Plan state missing","Check against source"))))))))))))))</f>
        <v/>
      </c>
    </row>
    <row r="280">
      <c r="A280" s="38" t="n"/>
      <c r="B280" s="38" t="n"/>
      <c r="C280" s="38" t="n"/>
      <c r="D280" s="38" t="n"/>
      <c r="E280" s="38" t="n"/>
      <c r="F280" s="38" t="n"/>
      <c r="G280" s="39" t="n"/>
      <c r="H280" s="38" t="n"/>
      <c r="I280" s="38" t="n"/>
      <c r="J280" s="38" t="n"/>
      <c r="K280" s="37" t="n"/>
      <c r="L280" s="37" t="n"/>
      <c r="M280" s="14">
        <f>IF(COUNTA(A280:L280)=0,"",IF(A280="","Plan ID missing",IF(COUNTIF($A$4:$A$353,A280)&gt;1,"Duplicate Plan ID",IF(B280="","AIR-ID missing",IF(C280="","Gate / forum missing",IF(AND(I280="Planned",COUNTIFS($B$4:$B$353,B280,$C$4:$C$353,C280,$K$4:$K$353,K280&amp;"",$I$4:$I$353,"Planned")&gt;1),"More than one active plan for this AIR-ID, UC-ID scope and gate",IF(AND(E280="Not applicable",J280=""),"Not applicable needs rationale and authority ref",IF(AND(E280="Required",F280=""),"Required gate needs basis / triage ref",IF(L280="","Decision scope missing",IF(AND(L280="UC-ID specific",K280=""),"UC-ID required",IF(AND(L280="Shared system baseline",K280&lt;&gt;""),"Remove UC-ID or correct scope",IF(AND(G280&lt;&gt;"",NOT(ISNUMBER(G280))),"Target date is not a date",IF(E280="","Requirement missing",IF(I280="","Plan state missing","Check against source"))))))))))))))</f>
        <v/>
      </c>
    </row>
    <row r="281">
      <c r="A281" s="40" t="n"/>
      <c r="B281" s="40" t="n"/>
      <c r="C281" s="40" t="n"/>
      <c r="D281" s="40" t="n"/>
      <c r="E281" s="40" t="n"/>
      <c r="F281" s="40" t="n"/>
      <c r="G281" s="41" t="n"/>
      <c r="H281" s="40" t="n"/>
      <c r="I281" s="40" t="n"/>
      <c r="J281" s="40" t="n"/>
      <c r="K281" s="37" t="n"/>
      <c r="L281" s="37" t="n"/>
      <c r="M281" s="14">
        <f>IF(COUNTA(A281:L281)=0,"",IF(A281="","Plan ID missing",IF(COUNTIF($A$4:$A$353,A281)&gt;1,"Duplicate Plan ID",IF(B281="","AIR-ID missing",IF(C281="","Gate / forum missing",IF(AND(I281="Planned",COUNTIFS($B$4:$B$353,B281,$C$4:$C$353,C281,$K$4:$K$353,K281&amp;"",$I$4:$I$353,"Planned")&gt;1),"More than one active plan for this AIR-ID, UC-ID scope and gate",IF(AND(E281="Not applicable",J281=""),"Not applicable needs rationale and authority ref",IF(AND(E281="Required",F281=""),"Required gate needs basis / triage ref",IF(L281="","Decision scope missing",IF(AND(L281="UC-ID specific",K281=""),"UC-ID required",IF(AND(L281="Shared system baseline",K281&lt;&gt;""),"Remove UC-ID or correct scope",IF(AND(G281&lt;&gt;"",NOT(ISNUMBER(G281))),"Target date is not a date",IF(E281="","Requirement missing",IF(I281="","Plan state missing","Check against source"))))))))))))))</f>
        <v/>
      </c>
    </row>
    <row r="282">
      <c r="A282" s="38" t="n"/>
      <c r="B282" s="38" t="n"/>
      <c r="C282" s="38" t="n"/>
      <c r="D282" s="38" t="n"/>
      <c r="E282" s="38" t="n"/>
      <c r="F282" s="38" t="n"/>
      <c r="G282" s="39" t="n"/>
      <c r="H282" s="38" t="n"/>
      <c r="I282" s="38" t="n"/>
      <c r="J282" s="38" t="n"/>
      <c r="K282" s="37" t="n"/>
      <c r="L282" s="37" t="n"/>
      <c r="M282" s="14">
        <f>IF(COUNTA(A282:L282)=0,"",IF(A282="","Plan ID missing",IF(COUNTIF($A$4:$A$353,A282)&gt;1,"Duplicate Plan ID",IF(B282="","AIR-ID missing",IF(C282="","Gate / forum missing",IF(AND(I282="Planned",COUNTIFS($B$4:$B$353,B282,$C$4:$C$353,C282,$K$4:$K$353,K282&amp;"",$I$4:$I$353,"Planned")&gt;1),"More than one active plan for this AIR-ID, UC-ID scope and gate",IF(AND(E282="Not applicable",J282=""),"Not applicable needs rationale and authority ref",IF(AND(E282="Required",F282=""),"Required gate needs basis / triage ref",IF(L282="","Decision scope missing",IF(AND(L282="UC-ID specific",K282=""),"UC-ID required",IF(AND(L282="Shared system baseline",K282&lt;&gt;""),"Remove UC-ID or correct scope",IF(AND(G282&lt;&gt;"",NOT(ISNUMBER(G282))),"Target date is not a date",IF(E282="","Requirement missing",IF(I282="","Plan state missing","Check against source"))))))))))))))</f>
        <v/>
      </c>
    </row>
    <row r="283">
      <c r="A283" s="40" t="n"/>
      <c r="B283" s="40" t="n"/>
      <c r="C283" s="40" t="n"/>
      <c r="D283" s="40" t="n"/>
      <c r="E283" s="40" t="n"/>
      <c r="F283" s="40" t="n"/>
      <c r="G283" s="41" t="n"/>
      <c r="H283" s="40" t="n"/>
      <c r="I283" s="40" t="n"/>
      <c r="J283" s="40" t="n"/>
      <c r="K283" s="37" t="n"/>
      <c r="L283" s="37" t="n"/>
      <c r="M283" s="14">
        <f>IF(COUNTA(A283:L283)=0,"",IF(A283="","Plan ID missing",IF(COUNTIF($A$4:$A$353,A283)&gt;1,"Duplicate Plan ID",IF(B283="","AIR-ID missing",IF(C283="","Gate / forum missing",IF(AND(I283="Planned",COUNTIFS($B$4:$B$353,B283,$C$4:$C$353,C283,$K$4:$K$353,K283&amp;"",$I$4:$I$353,"Planned")&gt;1),"More than one active plan for this AIR-ID, UC-ID scope and gate",IF(AND(E283="Not applicable",J283=""),"Not applicable needs rationale and authority ref",IF(AND(E283="Required",F283=""),"Required gate needs basis / triage ref",IF(L283="","Decision scope missing",IF(AND(L283="UC-ID specific",K283=""),"UC-ID required",IF(AND(L283="Shared system baseline",K283&lt;&gt;""),"Remove UC-ID or correct scope",IF(AND(G283&lt;&gt;"",NOT(ISNUMBER(G283))),"Target date is not a date",IF(E283="","Requirement missing",IF(I283="","Plan state missing","Check against source"))))))))))))))</f>
        <v/>
      </c>
    </row>
    <row r="284">
      <c r="A284" s="38" t="n"/>
      <c r="B284" s="38" t="n"/>
      <c r="C284" s="38" t="n"/>
      <c r="D284" s="38" t="n"/>
      <c r="E284" s="38" t="n"/>
      <c r="F284" s="38" t="n"/>
      <c r="G284" s="39" t="n"/>
      <c r="H284" s="38" t="n"/>
      <c r="I284" s="38" t="n"/>
      <c r="J284" s="38" t="n"/>
      <c r="K284" s="37" t="n"/>
      <c r="L284" s="37" t="n"/>
      <c r="M284" s="14">
        <f>IF(COUNTA(A284:L284)=0,"",IF(A284="","Plan ID missing",IF(COUNTIF($A$4:$A$353,A284)&gt;1,"Duplicate Plan ID",IF(B284="","AIR-ID missing",IF(C284="","Gate / forum missing",IF(AND(I284="Planned",COUNTIFS($B$4:$B$353,B284,$C$4:$C$353,C284,$K$4:$K$353,K284&amp;"",$I$4:$I$353,"Planned")&gt;1),"More than one active plan for this AIR-ID, UC-ID scope and gate",IF(AND(E284="Not applicable",J284=""),"Not applicable needs rationale and authority ref",IF(AND(E284="Required",F284=""),"Required gate needs basis / triage ref",IF(L284="","Decision scope missing",IF(AND(L284="UC-ID specific",K284=""),"UC-ID required",IF(AND(L284="Shared system baseline",K284&lt;&gt;""),"Remove UC-ID or correct scope",IF(AND(G284&lt;&gt;"",NOT(ISNUMBER(G284))),"Target date is not a date",IF(E284="","Requirement missing",IF(I284="","Plan state missing","Check against source"))))))))))))))</f>
        <v/>
      </c>
    </row>
    <row r="285">
      <c r="A285" s="40" t="n"/>
      <c r="B285" s="40" t="n"/>
      <c r="C285" s="40" t="n"/>
      <c r="D285" s="40" t="n"/>
      <c r="E285" s="40" t="n"/>
      <c r="F285" s="40" t="n"/>
      <c r="G285" s="41" t="n"/>
      <c r="H285" s="40" t="n"/>
      <c r="I285" s="40" t="n"/>
      <c r="J285" s="40" t="n"/>
      <c r="K285" s="37" t="n"/>
      <c r="L285" s="37" t="n"/>
      <c r="M285" s="14">
        <f>IF(COUNTA(A285:L285)=0,"",IF(A285="","Plan ID missing",IF(COUNTIF($A$4:$A$353,A285)&gt;1,"Duplicate Plan ID",IF(B285="","AIR-ID missing",IF(C285="","Gate / forum missing",IF(AND(I285="Planned",COUNTIFS($B$4:$B$353,B285,$C$4:$C$353,C285,$K$4:$K$353,K285&amp;"",$I$4:$I$353,"Planned")&gt;1),"More than one active plan for this AIR-ID, UC-ID scope and gate",IF(AND(E285="Not applicable",J285=""),"Not applicable needs rationale and authority ref",IF(AND(E285="Required",F285=""),"Required gate needs basis / triage ref",IF(L285="","Decision scope missing",IF(AND(L285="UC-ID specific",K285=""),"UC-ID required",IF(AND(L285="Shared system baseline",K285&lt;&gt;""),"Remove UC-ID or correct scope",IF(AND(G285&lt;&gt;"",NOT(ISNUMBER(G285))),"Target date is not a date",IF(E285="","Requirement missing",IF(I285="","Plan state missing","Check against source"))))))))))))))</f>
        <v/>
      </c>
    </row>
    <row r="286">
      <c r="A286" s="38" t="n"/>
      <c r="B286" s="38" t="n"/>
      <c r="C286" s="38" t="n"/>
      <c r="D286" s="38" t="n"/>
      <c r="E286" s="38" t="n"/>
      <c r="F286" s="38" t="n"/>
      <c r="G286" s="39" t="n"/>
      <c r="H286" s="38" t="n"/>
      <c r="I286" s="38" t="n"/>
      <c r="J286" s="38" t="n"/>
      <c r="K286" s="37" t="n"/>
      <c r="L286" s="37" t="n"/>
      <c r="M286" s="14">
        <f>IF(COUNTA(A286:L286)=0,"",IF(A286="","Plan ID missing",IF(COUNTIF($A$4:$A$353,A286)&gt;1,"Duplicate Plan ID",IF(B286="","AIR-ID missing",IF(C286="","Gate / forum missing",IF(AND(I286="Planned",COUNTIFS($B$4:$B$353,B286,$C$4:$C$353,C286,$K$4:$K$353,K286&amp;"",$I$4:$I$353,"Planned")&gt;1),"More than one active plan for this AIR-ID, UC-ID scope and gate",IF(AND(E286="Not applicable",J286=""),"Not applicable needs rationale and authority ref",IF(AND(E286="Required",F286=""),"Required gate needs basis / triage ref",IF(L286="","Decision scope missing",IF(AND(L286="UC-ID specific",K286=""),"UC-ID required",IF(AND(L286="Shared system baseline",K286&lt;&gt;""),"Remove UC-ID or correct scope",IF(AND(G286&lt;&gt;"",NOT(ISNUMBER(G286))),"Target date is not a date",IF(E286="","Requirement missing",IF(I286="","Plan state missing","Check against source"))))))))))))))</f>
        <v/>
      </c>
    </row>
    <row r="287">
      <c r="A287" s="40" t="n"/>
      <c r="B287" s="40" t="n"/>
      <c r="C287" s="40" t="n"/>
      <c r="D287" s="40" t="n"/>
      <c r="E287" s="40" t="n"/>
      <c r="F287" s="40" t="n"/>
      <c r="G287" s="41" t="n"/>
      <c r="H287" s="40" t="n"/>
      <c r="I287" s="40" t="n"/>
      <c r="J287" s="40" t="n"/>
      <c r="K287" s="37" t="n"/>
      <c r="L287" s="37" t="n"/>
      <c r="M287" s="14">
        <f>IF(COUNTA(A287:L287)=0,"",IF(A287="","Plan ID missing",IF(COUNTIF($A$4:$A$353,A287)&gt;1,"Duplicate Plan ID",IF(B287="","AIR-ID missing",IF(C287="","Gate / forum missing",IF(AND(I287="Planned",COUNTIFS($B$4:$B$353,B287,$C$4:$C$353,C287,$K$4:$K$353,K287&amp;"",$I$4:$I$353,"Planned")&gt;1),"More than one active plan for this AIR-ID, UC-ID scope and gate",IF(AND(E287="Not applicable",J287=""),"Not applicable needs rationale and authority ref",IF(AND(E287="Required",F287=""),"Required gate needs basis / triage ref",IF(L287="","Decision scope missing",IF(AND(L287="UC-ID specific",K287=""),"UC-ID required",IF(AND(L287="Shared system baseline",K287&lt;&gt;""),"Remove UC-ID or correct scope",IF(AND(G287&lt;&gt;"",NOT(ISNUMBER(G287))),"Target date is not a date",IF(E287="","Requirement missing",IF(I287="","Plan state missing","Check against source"))))))))))))))</f>
        <v/>
      </c>
    </row>
    <row r="288">
      <c r="A288" s="38" t="n"/>
      <c r="B288" s="38" t="n"/>
      <c r="C288" s="38" t="n"/>
      <c r="D288" s="38" t="n"/>
      <c r="E288" s="38" t="n"/>
      <c r="F288" s="38" t="n"/>
      <c r="G288" s="39" t="n"/>
      <c r="H288" s="38" t="n"/>
      <c r="I288" s="38" t="n"/>
      <c r="J288" s="38" t="n"/>
      <c r="K288" s="37" t="n"/>
      <c r="L288" s="37" t="n"/>
      <c r="M288" s="14">
        <f>IF(COUNTA(A288:L288)=0,"",IF(A288="","Plan ID missing",IF(COUNTIF($A$4:$A$353,A288)&gt;1,"Duplicate Plan ID",IF(B288="","AIR-ID missing",IF(C288="","Gate / forum missing",IF(AND(I288="Planned",COUNTIFS($B$4:$B$353,B288,$C$4:$C$353,C288,$K$4:$K$353,K288&amp;"",$I$4:$I$353,"Planned")&gt;1),"More than one active plan for this AIR-ID, UC-ID scope and gate",IF(AND(E288="Not applicable",J288=""),"Not applicable needs rationale and authority ref",IF(AND(E288="Required",F288=""),"Required gate needs basis / triage ref",IF(L288="","Decision scope missing",IF(AND(L288="UC-ID specific",K288=""),"UC-ID required",IF(AND(L288="Shared system baseline",K288&lt;&gt;""),"Remove UC-ID or correct scope",IF(AND(G288&lt;&gt;"",NOT(ISNUMBER(G288))),"Target date is not a date",IF(E288="","Requirement missing",IF(I288="","Plan state missing","Check against source"))))))))))))))</f>
        <v/>
      </c>
    </row>
    <row r="289">
      <c r="A289" s="40" t="n"/>
      <c r="B289" s="40" t="n"/>
      <c r="C289" s="40" t="n"/>
      <c r="D289" s="40" t="n"/>
      <c r="E289" s="40" t="n"/>
      <c r="F289" s="40" t="n"/>
      <c r="G289" s="41" t="n"/>
      <c r="H289" s="40" t="n"/>
      <c r="I289" s="40" t="n"/>
      <c r="J289" s="40" t="n"/>
      <c r="K289" s="37" t="n"/>
      <c r="L289" s="37" t="n"/>
      <c r="M289" s="14">
        <f>IF(COUNTA(A289:L289)=0,"",IF(A289="","Plan ID missing",IF(COUNTIF($A$4:$A$353,A289)&gt;1,"Duplicate Plan ID",IF(B289="","AIR-ID missing",IF(C289="","Gate / forum missing",IF(AND(I289="Planned",COUNTIFS($B$4:$B$353,B289,$C$4:$C$353,C289,$K$4:$K$353,K289&amp;"",$I$4:$I$353,"Planned")&gt;1),"More than one active plan for this AIR-ID, UC-ID scope and gate",IF(AND(E289="Not applicable",J289=""),"Not applicable needs rationale and authority ref",IF(AND(E289="Required",F289=""),"Required gate needs basis / triage ref",IF(L289="","Decision scope missing",IF(AND(L289="UC-ID specific",K289=""),"UC-ID required",IF(AND(L289="Shared system baseline",K289&lt;&gt;""),"Remove UC-ID or correct scope",IF(AND(G289&lt;&gt;"",NOT(ISNUMBER(G289))),"Target date is not a date",IF(E289="","Requirement missing",IF(I289="","Plan state missing","Check against source"))))))))))))))</f>
        <v/>
      </c>
    </row>
    <row r="290">
      <c r="A290" s="38" t="n"/>
      <c r="B290" s="38" t="n"/>
      <c r="C290" s="38" t="n"/>
      <c r="D290" s="38" t="n"/>
      <c r="E290" s="38" t="n"/>
      <c r="F290" s="38" t="n"/>
      <c r="G290" s="39" t="n"/>
      <c r="H290" s="38" t="n"/>
      <c r="I290" s="38" t="n"/>
      <c r="J290" s="38" t="n"/>
      <c r="K290" s="37" t="n"/>
      <c r="L290" s="37" t="n"/>
      <c r="M290" s="14">
        <f>IF(COUNTA(A290:L290)=0,"",IF(A290="","Plan ID missing",IF(COUNTIF($A$4:$A$353,A290)&gt;1,"Duplicate Plan ID",IF(B290="","AIR-ID missing",IF(C290="","Gate / forum missing",IF(AND(I290="Planned",COUNTIFS($B$4:$B$353,B290,$C$4:$C$353,C290,$K$4:$K$353,K290&amp;"",$I$4:$I$353,"Planned")&gt;1),"More than one active plan for this AIR-ID, UC-ID scope and gate",IF(AND(E290="Not applicable",J290=""),"Not applicable needs rationale and authority ref",IF(AND(E290="Required",F290=""),"Required gate needs basis / triage ref",IF(L290="","Decision scope missing",IF(AND(L290="UC-ID specific",K290=""),"UC-ID required",IF(AND(L290="Shared system baseline",K290&lt;&gt;""),"Remove UC-ID or correct scope",IF(AND(G290&lt;&gt;"",NOT(ISNUMBER(G290))),"Target date is not a date",IF(E290="","Requirement missing",IF(I290="","Plan state missing","Check against source"))))))))))))))</f>
        <v/>
      </c>
    </row>
    <row r="291">
      <c r="A291" s="40" t="n"/>
      <c r="B291" s="40" t="n"/>
      <c r="C291" s="40" t="n"/>
      <c r="D291" s="40" t="n"/>
      <c r="E291" s="40" t="n"/>
      <c r="F291" s="40" t="n"/>
      <c r="G291" s="41" t="n"/>
      <c r="H291" s="40" t="n"/>
      <c r="I291" s="40" t="n"/>
      <c r="J291" s="40" t="n"/>
      <c r="K291" s="37" t="n"/>
      <c r="L291" s="37" t="n"/>
      <c r="M291" s="14">
        <f>IF(COUNTA(A291:L291)=0,"",IF(A291="","Plan ID missing",IF(COUNTIF($A$4:$A$353,A291)&gt;1,"Duplicate Plan ID",IF(B291="","AIR-ID missing",IF(C291="","Gate / forum missing",IF(AND(I291="Planned",COUNTIFS($B$4:$B$353,B291,$C$4:$C$353,C291,$K$4:$K$353,K291&amp;"",$I$4:$I$353,"Planned")&gt;1),"More than one active plan for this AIR-ID, UC-ID scope and gate",IF(AND(E291="Not applicable",J291=""),"Not applicable needs rationale and authority ref",IF(AND(E291="Required",F291=""),"Required gate needs basis / triage ref",IF(L291="","Decision scope missing",IF(AND(L291="UC-ID specific",K291=""),"UC-ID required",IF(AND(L291="Shared system baseline",K291&lt;&gt;""),"Remove UC-ID or correct scope",IF(AND(G291&lt;&gt;"",NOT(ISNUMBER(G291))),"Target date is not a date",IF(E291="","Requirement missing",IF(I291="","Plan state missing","Check against source"))))))))))))))</f>
        <v/>
      </c>
    </row>
    <row r="292">
      <c r="A292" s="38" t="n"/>
      <c r="B292" s="38" t="n"/>
      <c r="C292" s="38" t="n"/>
      <c r="D292" s="38" t="n"/>
      <c r="E292" s="38" t="n"/>
      <c r="F292" s="38" t="n"/>
      <c r="G292" s="39" t="n"/>
      <c r="H292" s="38" t="n"/>
      <c r="I292" s="38" t="n"/>
      <c r="J292" s="38" t="n"/>
      <c r="K292" s="37" t="n"/>
      <c r="L292" s="37" t="n"/>
      <c r="M292" s="14">
        <f>IF(COUNTA(A292:L292)=0,"",IF(A292="","Plan ID missing",IF(COUNTIF($A$4:$A$353,A292)&gt;1,"Duplicate Plan ID",IF(B292="","AIR-ID missing",IF(C292="","Gate / forum missing",IF(AND(I292="Planned",COUNTIFS($B$4:$B$353,B292,$C$4:$C$353,C292,$K$4:$K$353,K292&amp;"",$I$4:$I$353,"Planned")&gt;1),"More than one active plan for this AIR-ID, UC-ID scope and gate",IF(AND(E292="Not applicable",J292=""),"Not applicable needs rationale and authority ref",IF(AND(E292="Required",F292=""),"Required gate needs basis / triage ref",IF(L292="","Decision scope missing",IF(AND(L292="UC-ID specific",K292=""),"UC-ID required",IF(AND(L292="Shared system baseline",K292&lt;&gt;""),"Remove UC-ID or correct scope",IF(AND(G292&lt;&gt;"",NOT(ISNUMBER(G292))),"Target date is not a date",IF(E292="","Requirement missing",IF(I292="","Plan state missing","Check against source"))))))))))))))</f>
        <v/>
      </c>
    </row>
    <row r="293">
      <c r="A293" s="40" t="n"/>
      <c r="B293" s="40" t="n"/>
      <c r="C293" s="40" t="n"/>
      <c r="D293" s="40" t="n"/>
      <c r="E293" s="40" t="n"/>
      <c r="F293" s="40" t="n"/>
      <c r="G293" s="41" t="n"/>
      <c r="H293" s="40" t="n"/>
      <c r="I293" s="40" t="n"/>
      <c r="J293" s="40" t="n"/>
      <c r="K293" s="37" t="n"/>
      <c r="L293" s="37" t="n"/>
      <c r="M293" s="14">
        <f>IF(COUNTA(A293:L293)=0,"",IF(A293="","Plan ID missing",IF(COUNTIF($A$4:$A$353,A293)&gt;1,"Duplicate Plan ID",IF(B293="","AIR-ID missing",IF(C293="","Gate / forum missing",IF(AND(I293="Planned",COUNTIFS($B$4:$B$353,B293,$C$4:$C$353,C293,$K$4:$K$353,K293&amp;"",$I$4:$I$353,"Planned")&gt;1),"More than one active plan for this AIR-ID, UC-ID scope and gate",IF(AND(E293="Not applicable",J293=""),"Not applicable needs rationale and authority ref",IF(AND(E293="Required",F293=""),"Required gate needs basis / triage ref",IF(L293="","Decision scope missing",IF(AND(L293="UC-ID specific",K293=""),"UC-ID required",IF(AND(L293="Shared system baseline",K293&lt;&gt;""),"Remove UC-ID or correct scope",IF(AND(G293&lt;&gt;"",NOT(ISNUMBER(G293))),"Target date is not a date",IF(E293="","Requirement missing",IF(I293="","Plan state missing","Check against source"))))))))))))))</f>
        <v/>
      </c>
    </row>
    <row r="294">
      <c r="A294" s="38" t="n"/>
      <c r="B294" s="38" t="n"/>
      <c r="C294" s="38" t="n"/>
      <c r="D294" s="38" t="n"/>
      <c r="E294" s="38" t="n"/>
      <c r="F294" s="38" t="n"/>
      <c r="G294" s="39" t="n"/>
      <c r="H294" s="38" t="n"/>
      <c r="I294" s="38" t="n"/>
      <c r="J294" s="38" t="n"/>
      <c r="K294" s="37" t="n"/>
      <c r="L294" s="37" t="n"/>
      <c r="M294" s="14">
        <f>IF(COUNTA(A294:L294)=0,"",IF(A294="","Plan ID missing",IF(COUNTIF($A$4:$A$353,A294)&gt;1,"Duplicate Plan ID",IF(B294="","AIR-ID missing",IF(C294="","Gate / forum missing",IF(AND(I294="Planned",COUNTIFS($B$4:$B$353,B294,$C$4:$C$353,C294,$K$4:$K$353,K294&amp;"",$I$4:$I$353,"Planned")&gt;1),"More than one active plan for this AIR-ID, UC-ID scope and gate",IF(AND(E294="Not applicable",J294=""),"Not applicable needs rationale and authority ref",IF(AND(E294="Required",F294=""),"Required gate needs basis / triage ref",IF(L294="","Decision scope missing",IF(AND(L294="UC-ID specific",K294=""),"UC-ID required",IF(AND(L294="Shared system baseline",K294&lt;&gt;""),"Remove UC-ID or correct scope",IF(AND(G294&lt;&gt;"",NOT(ISNUMBER(G294))),"Target date is not a date",IF(E294="","Requirement missing",IF(I294="","Plan state missing","Check against source"))))))))))))))</f>
        <v/>
      </c>
    </row>
    <row r="295">
      <c r="A295" s="40" t="n"/>
      <c r="B295" s="40" t="n"/>
      <c r="C295" s="40" t="n"/>
      <c r="D295" s="40" t="n"/>
      <c r="E295" s="40" t="n"/>
      <c r="F295" s="40" t="n"/>
      <c r="G295" s="41" t="n"/>
      <c r="H295" s="40" t="n"/>
      <c r="I295" s="40" t="n"/>
      <c r="J295" s="40" t="n"/>
      <c r="K295" s="37" t="n"/>
      <c r="L295" s="37" t="n"/>
      <c r="M295" s="14">
        <f>IF(COUNTA(A295:L295)=0,"",IF(A295="","Plan ID missing",IF(COUNTIF($A$4:$A$353,A295)&gt;1,"Duplicate Plan ID",IF(B295="","AIR-ID missing",IF(C295="","Gate / forum missing",IF(AND(I295="Planned",COUNTIFS($B$4:$B$353,B295,$C$4:$C$353,C295,$K$4:$K$353,K295&amp;"",$I$4:$I$353,"Planned")&gt;1),"More than one active plan for this AIR-ID, UC-ID scope and gate",IF(AND(E295="Not applicable",J295=""),"Not applicable needs rationale and authority ref",IF(AND(E295="Required",F295=""),"Required gate needs basis / triage ref",IF(L295="","Decision scope missing",IF(AND(L295="UC-ID specific",K295=""),"UC-ID required",IF(AND(L295="Shared system baseline",K295&lt;&gt;""),"Remove UC-ID or correct scope",IF(AND(G295&lt;&gt;"",NOT(ISNUMBER(G295))),"Target date is not a date",IF(E295="","Requirement missing",IF(I295="","Plan state missing","Check against source"))))))))))))))</f>
        <v/>
      </c>
    </row>
    <row r="296">
      <c r="A296" s="38" t="n"/>
      <c r="B296" s="38" t="n"/>
      <c r="C296" s="38" t="n"/>
      <c r="D296" s="38" t="n"/>
      <c r="E296" s="38" t="n"/>
      <c r="F296" s="38" t="n"/>
      <c r="G296" s="39" t="n"/>
      <c r="H296" s="38" t="n"/>
      <c r="I296" s="38" t="n"/>
      <c r="J296" s="38" t="n"/>
      <c r="K296" s="37" t="n"/>
      <c r="L296" s="37" t="n"/>
      <c r="M296" s="14">
        <f>IF(COUNTA(A296:L296)=0,"",IF(A296="","Plan ID missing",IF(COUNTIF($A$4:$A$353,A296)&gt;1,"Duplicate Plan ID",IF(B296="","AIR-ID missing",IF(C296="","Gate / forum missing",IF(AND(I296="Planned",COUNTIFS($B$4:$B$353,B296,$C$4:$C$353,C296,$K$4:$K$353,K296&amp;"",$I$4:$I$353,"Planned")&gt;1),"More than one active plan for this AIR-ID, UC-ID scope and gate",IF(AND(E296="Not applicable",J296=""),"Not applicable needs rationale and authority ref",IF(AND(E296="Required",F296=""),"Required gate needs basis / triage ref",IF(L296="","Decision scope missing",IF(AND(L296="UC-ID specific",K296=""),"UC-ID required",IF(AND(L296="Shared system baseline",K296&lt;&gt;""),"Remove UC-ID or correct scope",IF(AND(G296&lt;&gt;"",NOT(ISNUMBER(G296))),"Target date is not a date",IF(E296="","Requirement missing",IF(I296="","Plan state missing","Check against source"))))))))))))))</f>
        <v/>
      </c>
    </row>
    <row r="297">
      <c r="A297" s="40" t="n"/>
      <c r="B297" s="40" t="n"/>
      <c r="C297" s="40" t="n"/>
      <c r="D297" s="40" t="n"/>
      <c r="E297" s="40" t="n"/>
      <c r="F297" s="40" t="n"/>
      <c r="G297" s="41" t="n"/>
      <c r="H297" s="40" t="n"/>
      <c r="I297" s="40" t="n"/>
      <c r="J297" s="40" t="n"/>
      <c r="K297" s="37" t="n"/>
      <c r="L297" s="37" t="n"/>
      <c r="M297" s="14">
        <f>IF(COUNTA(A297:L297)=0,"",IF(A297="","Plan ID missing",IF(COUNTIF($A$4:$A$353,A297)&gt;1,"Duplicate Plan ID",IF(B297="","AIR-ID missing",IF(C297="","Gate / forum missing",IF(AND(I297="Planned",COUNTIFS($B$4:$B$353,B297,$C$4:$C$353,C297,$K$4:$K$353,K297&amp;"",$I$4:$I$353,"Planned")&gt;1),"More than one active plan for this AIR-ID, UC-ID scope and gate",IF(AND(E297="Not applicable",J297=""),"Not applicable needs rationale and authority ref",IF(AND(E297="Required",F297=""),"Required gate needs basis / triage ref",IF(L297="","Decision scope missing",IF(AND(L297="UC-ID specific",K297=""),"UC-ID required",IF(AND(L297="Shared system baseline",K297&lt;&gt;""),"Remove UC-ID or correct scope",IF(AND(G297&lt;&gt;"",NOT(ISNUMBER(G297))),"Target date is not a date",IF(E297="","Requirement missing",IF(I297="","Plan state missing","Check against source"))))))))))))))</f>
        <v/>
      </c>
    </row>
    <row r="298">
      <c r="A298" s="38" t="n"/>
      <c r="B298" s="38" t="n"/>
      <c r="C298" s="38" t="n"/>
      <c r="D298" s="38" t="n"/>
      <c r="E298" s="38" t="n"/>
      <c r="F298" s="38" t="n"/>
      <c r="G298" s="39" t="n"/>
      <c r="H298" s="38" t="n"/>
      <c r="I298" s="38" t="n"/>
      <c r="J298" s="38" t="n"/>
      <c r="K298" s="37" t="n"/>
      <c r="L298" s="37" t="n"/>
      <c r="M298" s="14">
        <f>IF(COUNTA(A298:L298)=0,"",IF(A298="","Plan ID missing",IF(COUNTIF($A$4:$A$353,A298)&gt;1,"Duplicate Plan ID",IF(B298="","AIR-ID missing",IF(C298="","Gate / forum missing",IF(AND(I298="Planned",COUNTIFS($B$4:$B$353,B298,$C$4:$C$353,C298,$K$4:$K$353,K298&amp;"",$I$4:$I$353,"Planned")&gt;1),"More than one active plan for this AIR-ID, UC-ID scope and gate",IF(AND(E298="Not applicable",J298=""),"Not applicable needs rationale and authority ref",IF(AND(E298="Required",F298=""),"Required gate needs basis / triage ref",IF(L298="","Decision scope missing",IF(AND(L298="UC-ID specific",K298=""),"UC-ID required",IF(AND(L298="Shared system baseline",K298&lt;&gt;""),"Remove UC-ID or correct scope",IF(AND(G298&lt;&gt;"",NOT(ISNUMBER(G298))),"Target date is not a date",IF(E298="","Requirement missing",IF(I298="","Plan state missing","Check against source"))))))))))))))</f>
        <v/>
      </c>
    </row>
    <row r="299">
      <c r="A299" s="40" t="n"/>
      <c r="B299" s="40" t="n"/>
      <c r="C299" s="40" t="n"/>
      <c r="D299" s="40" t="n"/>
      <c r="E299" s="40" t="n"/>
      <c r="F299" s="40" t="n"/>
      <c r="G299" s="41" t="n"/>
      <c r="H299" s="40" t="n"/>
      <c r="I299" s="40" t="n"/>
      <c r="J299" s="40" t="n"/>
      <c r="K299" s="37" t="n"/>
      <c r="L299" s="37" t="n"/>
      <c r="M299" s="14">
        <f>IF(COUNTA(A299:L299)=0,"",IF(A299="","Plan ID missing",IF(COUNTIF($A$4:$A$353,A299)&gt;1,"Duplicate Plan ID",IF(B299="","AIR-ID missing",IF(C299="","Gate / forum missing",IF(AND(I299="Planned",COUNTIFS($B$4:$B$353,B299,$C$4:$C$353,C299,$K$4:$K$353,K299&amp;"",$I$4:$I$353,"Planned")&gt;1),"More than one active plan for this AIR-ID, UC-ID scope and gate",IF(AND(E299="Not applicable",J299=""),"Not applicable needs rationale and authority ref",IF(AND(E299="Required",F299=""),"Required gate needs basis / triage ref",IF(L299="","Decision scope missing",IF(AND(L299="UC-ID specific",K299=""),"UC-ID required",IF(AND(L299="Shared system baseline",K299&lt;&gt;""),"Remove UC-ID or correct scope",IF(AND(G299&lt;&gt;"",NOT(ISNUMBER(G299))),"Target date is not a date",IF(E299="","Requirement missing",IF(I299="","Plan state missing","Check against source"))))))))))))))</f>
        <v/>
      </c>
    </row>
    <row r="300">
      <c r="A300" s="38" t="n"/>
      <c r="B300" s="38" t="n"/>
      <c r="C300" s="38" t="n"/>
      <c r="D300" s="38" t="n"/>
      <c r="E300" s="38" t="n"/>
      <c r="F300" s="38" t="n"/>
      <c r="G300" s="39" t="n"/>
      <c r="H300" s="38" t="n"/>
      <c r="I300" s="38" t="n"/>
      <c r="J300" s="38" t="n"/>
      <c r="K300" s="37" t="n"/>
      <c r="L300" s="37" t="n"/>
      <c r="M300" s="14">
        <f>IF(COUNTA(A300:L300)=0,"",IF(A300="","Plan ID missing",IF(COUNTIF($A$4:$A$353,A300)&gt;1,"Duplicate Plan ID",IF(B300="","AIR-ID missing",IF(C300="","Gate / forum missing",IF(AND(I300="Planned",COUNTIFS($B$4:$B$353,B300,$C$4:$C$353,C300,$K$4:$K$353,K300&amp;"",$I$4:$I$353,"Planned")&gt;1),"More than one active plan for this AIR-ID, UC-ID scope and gate",IF(AND(E300="Not applicable",J300=""),"Not applicable needs rationale and authority ref",IF(AND(E300="Required",F300=""),"Required gate needs basis / triage ref",IF(L300="","Decision scope missing",IF(AND(L300="UC-ID specific",K300=""),"UC-ID required",IF(AND(L300="Shared system baseline",K300&lt;&gt;""),"Remove UC-ID or correct scope",IF(AND(G300&lt;&gt;"",NOT(ISNUMBER(G300))),"Target date is not a date",IF(E300="","Requirement missing",IF(I300="","Plan state missing","Check against source"))))))))))))))</f>
        <v/>
      </c>
    </row>
    <row r="301">
      <c r="A301" s="40" t="n"/>
      <c r="B301" s="40" t="n"/>
      <c r="C301" s="40" t="n"/>
      <c r="D301" s="40" t="n"/>
      <c r="E301" s="40" t="n"/>
      <c r="F301" s="40" t="n"/>
      <c r="G301" s="41" t="n"/>
      <c r="H301" s="40" t="n"/>
      <c r="I301" s="40" t="n"/>
      <c r="J301" s="40" t="n"/>
      <c r="K301" s="37" t="n"/>
      <c r="L301" s="37" t="n"/>
      <c r="M301" s="14">
        <f>IF(COUNTA(A301:L301)=0,"",IF(A301="","Plan ID missing",IF(COUNTIF($A$4:$A$353,A301)&gt;1,"Duplicate Plan ID",IF(B301="","AIR-ID missing",IF(C301="","Gate / forum missing",IF(AND(I301="Planned",COUNTIFS($B$4:$B$353,B301,$C$4:$C$353,C301,$K$4:$K$353,K301&amp;"",$I$4:$I$353,"Planned")&gt;1),"More than one active plan for this AIR-ID, UC-ID scope and gate",IF(AND(E301="Not applicable",J301=""),"Not applicable needs rationale and authority ref",IF(AND(E301="Required",F301=""),"Required gate needs basis / triage ref",IF(L301="","Decision scope missing",IF(AND(L301="UC-ID specific",K301=""),"UC-ID required",IF(AND(L301="Shared system baseline",K301&lt;&gt;""),"Remove UC-ID or correct scope",IF(AND(G301&lt;&gt;"",NOT(ISNUMBER(G301))),"Target date is not a date",IF(E301="","Requirement missing",IF(I301="","Plan state missing","Check against source"))))))))))))))</f>
        <v/>
      </c>
    </row>
    <row r="302">
      <c r="A302" s="38" t="n"/>
      <c r="B302" s="38" t="n"/>
      <c r="C302" s="38" t="n"/>
      <c r="D302" s="38" t="n"/>
      <c r="E302" s="38" t="n"/>
      <c r="F302" s="38" t="n"/>
      <c r="G302" s="39" t="n"/>
      <c r="H302" s="38" t="n"/>
      <c r="I302" s="38" t="n"/>
      <c r="J302" s="38" t="n"/>
      <c r="K302" s="37" t="n"/>
      <c r="L302" s="37" t="n"/>
      <c r="M302" s="14">
        <f>IF(COUNTA(A302:L302)=0,"",IF(A302="","Plan ID missing",IF(COUNTIF($A$4:$A$353,A302)&gt;1,"Duplicate Plan ID",IF(B302="","AIR-ID missing",IF(C302="","Gate / forum missing",IF(AND(I302="Planned",COUNTIFS($B$4:$B$353,B302,$C$4:$C$353,C302,$K$4:$K$353,K302&amp;"",$I$4:$I$353,"Planned")&gt;1),"More than one active plan for this AIR-ID, UC-ID scope and gate",IF(AND(E302="Not applicable",J302=""),"Not applicable needs rationale and authority ref",IF(AND(E302="Required",F302=""),"Required gate needs basis / triage ref",IF(L302="","Decision scope missing",IF(AND(L302="UC-ID specific",K302=""),"UC-ID required",IF(AND(L302="Shared system baseline",K302&lt;&gt;""),"Remove UC-ID or correct scope",IF(AND(G302&lt;&gt;"",NOT(ISNUMBER(G302))),"Target date is not a date",IF(E302="","Requirement missing",IF(I302="","Plan state missing","Check against source"))))))))))))))</f>
        <v/>
      </c>
    </row>
    <row r="303">
      <c r="A303" s="40" t="n"/>
      <c r="B303" s="40" t="n"/>
      <c r="C303" s="40" t="n"/>
      <c r="D303" s="40" t="n"/>
      <c r="E303" s="40" t="n"/>
      <c r="F303" s="40" t="n"/>
      <c r="G303" s="41" t="n"/>
      <c r="H303" s="40" t="n"/>
      <c r="I303" s="40" t="n"/>
      <c r="J303" s="40" t="n"/>
      <c r="K303" s="37" t="n"/>
      <c r="L303" s="37" t="n"/>
      <c r="M303" s="14">
        <f>IF(COUNTA(A303:L303)=0,"",IF(A303="","Plan ID missing",IF(COUNTIF($A$4:$A$353,A303)&gt;1,"Duplicate Plan ID",IF(B303="","AIR-ID missing",IF(C303="","Gate / forum missing",IF(AND(I303="Planned",COUNTIFS($B$4:$B$353,B303,$C$4:$C$353,C303,$K$4:$K$353,K303&amp;"",$I$4:$I$353,"Planned")&gt;1),"More than one active plan for this AIR-ID, UC-ID scope and gate",IF(AND(E303="Not applicable",J303=""),"Not applicable needs rationale and authority ref",IF(AND(E303="Required",F303=""),"Required gate needs basis / triage ref",IF(L303="","Decision scope missing",IF(AND(L303="UC-ID specific",K303=""),"UC-ID required",IF(AND(L303="Shared system baseline",K303&lt;&gt;""),"Remove UC-ID or correct scope",IF(AND(G303&lt;&gt;"",NOT(ISNUMBER(G303))),"Target date is not a date",IF(E303="","Requirement missing",IF(I303="","Plan state missing","Check against source"))))))))))))))</f>
        <v/>
      </c>
    </row>
    <row r="304">
      <c r="A304" s="38" t="n"/>
      <c r="B304" s="38" t="n"/>
      <c r="C304" s="38" t="n"/>
      <c r="D304" s="38" t="n"/>
      <c r="E304" s="38" t="n"/>
      <c r="F304" s="38" t="n"/>
      <c r="G304" s="39" t="n"/>
      <c r="H304" s="38" t="n"/>
      <c r="I304" s="38" t="n"/>
      <c r="J304" s="38" t="n"/>
      <c r="K304" s="37" t="n"/>
      <c r="L304" s="37" t="n"/>
      <c r="M304" s="14">
        <f>IF(COUNTA(A304:L304)=0,"",IF(A304="","Plan ID missing",IF(COUNTIF($A$4:$A$353,A304)&gt;1,"Duplicate Plan ID",IF(B304="","AIR-ID missing",IF(C304="","Gate / forum missing",IF(AND(I304="Planned",COUNTIFS($B$4:$B$353,B304,$C$4:$C$353,C304,$K$4:$K$353,K304&amp;"",$I$4:$I$353,"Planned")&gt;1),"More than one active plan for this AIR-ID, UC-ID scope and gate",IF(AND(E304="Not applicable",J304=""),"Not applicable needs rationale and authority ref",IF(AND(E304="Required",F304=""),"Required gate needs basis / triage ref",IF(L304="","Decision scope missing",IF(AND(L304="UC-ID specific",K304=""),"UC-ID required",IF(AND(L304="Shared system baseline",K304&lt;&gt;""),"Remove UC-ID or correct scope",IF(AND(G304&lt;&gt;"",NOT(ISNUMBER(G304))),"Target date is not a date",IF(E304="","Requirement missing",IF(I304="","Plan state missing","Check against source"))))))))))))))</f>
        <v/>
      </c>
    </row>
    <row r="305">
      <c r="A305" s="40" t="n"/>
      <c r="B305" s="40" t="n"/>
      <c r="C305" s="40" t="n"/>
      <c r="D305" s="40" t="n"/>
      <c r="E305" s="40" t="n"/>
      <c r="F305" s="40" t="n"/>
      <c r="G305" s="41" t="n"/>
      <c r="H305" s="40" t="n"/>
      <c r="I305" s="40" t="n"/>
      <c r="J305" s="40" t="n"/>
      <c r="K305" s="37" t="n"/>
      <c r="L305" s="37" t="n"/>
      <c r="M305" s="14">
        <f>IF(COUNTA(A305:L305)=0,"",IF(A305="","Plan ID missing",IF(COUNTIF($A$4:$A$353,A305)&gt;1,"Duplicate Plan ID",IF(B305="","AIR-ID missing",IF(C305="","Gate / forum missing",IF(AND(I305="Planned",COUNTIFS($B$4:$B$353,B305,$C$4:$C$353,C305,$K$4:$K$353,K305&amp;"",$I$4:$I$353,"Planned")&gt;1),"More than one active plan for this AIR-ID, UC-ID scope and gate",IF(AND(E305="Not applicable",J305=""),"Not applicable needs rationale and authority ref",IF(AND(E305="Required",F305=""),"Required gate needs basis / triage ref",IF(L305="","Decision scope missing",IF(AND(L305="UC-ID specific",K305=""),"UC-ID required",IF(AND(L305="Shared system baseline",K305&lt;&gt;""),"Remove UC-ID or correct scope",IF(AND(G305&lt;&gt;"",NOT(ISNUMBER(G305))),"Target date is not a date",IF(E305="","Requirement missing",IF(I305="","Plan state missing","Check against source"))))))))))))))</f>
        <v/>
      </c>
    </row>
    <row r="306">
      <c r="A306" s="38" t="n"/>
      <c r="B306" s="38" t="n"/>
      <c r="C306" s="38" t="n"/>
      <c r="D306" s="38" t="n"/>
      <c r="E306" s="38" t="n"/>
      <c r="F306" s="38" t="n"/>
      <c r="G306" s="39" t="n"/>
      <c r="H306" s="38" t="n"/>
      <c r="I306" s="38" t="n"/>
      <c r="J306" s="38" t="n"/>
      <c r="K306" s="37" t="n"/>
      <c r="L306" s="37" t="n"/>
      <c r="M306" s="14">
        <f>IF(COUNTA(A306:L306)=0,"",IF(A306="","Plan ID missing",IF(COUNTIF($A$4:$A$353,A306)&gt;1,"Duplicate Plan ID",IF(B306="","AIR-ID missing",IF(C306="","Gate / forum missing",IF(AND(I306="Planned",COUNTIFS($B$4:$B$353,B306,$C$4:$C$353,C306,$K$4:$K$353,K306&amp;"",$I$4:$I$353,"Planned")&gt;1),"More than one active plan for this AIR-ID, UC-ID scope and gate",IF(AND(E306="Not applicable",J306=""),"Not applicable needs rationale and authority ref",IF(AND(E306="Required",F306=""),"Required gate needs basis / triage ref",IF(L306="","Decision scope missing",IF(AND(L306="UC-ID specific",K306=""),"UC-ID required",IF(AND(L306="Shared system baseline",K306&lt;&gt;""),"Remove UC-ID or correct scope",IF(AND(G306&lt;&gt;"",NOT(ISNUMBER(G306))),"Target date is not a date",IF(E306="","Requirement missing",IF(I306="","Plan state missing","Check against source"))))))))))))))</f>
        <v/>
      </c>
    </row>
    <row r="307">
      <c r="A307" s="40" t="n"/>
      <c r="B307" s="40" t="n"/>
      <c r="C307" s="40" t="n"/>
      <c r="D307" s="40" t="n"/>
      <c r="E307" s="40" t="n"/>
      <c r="F307" s="40" t="n"/>
      <c r="G307" s="41" t="n"/>
      <c r="H307" s="40" t="n"/>
      <c r="I307" s="40" t="n"/>
      <c r="J307" s="40" t="n"/>
      <c r="K307" s="37" t="n"/>
      <c r="L307" s="37" t="n"/>
      <c r="M307" s="14">
        <f>IF(COUNTA(A307:L307)=0,"",IF(A307="","Plan ID missing",IF(COUNTIF($A$4:$A$353,A307)&gt;1,"Duplicate Plan ID",IF(B307="","AIR-ID missing",IF(C307="","Gate / forum missing",IF(AND(I307="Planned",COUNTIFS($B$4:$B$353,B307,$C$4:$C$353,C307,$K$4:$K$353,K307&amp;"",$I$4:$I$353,"Planned")&gt;1),"More than one active plan for this AIR-ID, UC-ID scope and gate",IF(AND(E307="Not applicable",J307=""),"Not applicable needs rationale and authority ref",IF(AND(E307="Required",F307=""),"Required gate needs basis / triage ref",IF(L307="","Decision scope missing",IF(AND(L307="UC-ID specific",K307=""),"UC-ID required",IF(AND(L307="Shared system baseline",K307&lt;&gt;""),"Remove UC-ID or correct scope",IF(AND(G307&lt;&gt;"",NOT(ISNUMBER(G307))),"Target date is not a date",IF(E307="","Requirement missing",IF(I307="","Plan state missing","Check against source"))))))))))))))</f>
        <v/>
      </c>
    </row>
    <row r="308">
      <c r="A308" s="38" t="n"/>
      <c r="B308" s="38" t="n"/>
      <c r="C308" s="38" t="n"/>
      <c r="D308" s="38" t="n"/>
      <c r="E308" s="38" t="n"/>
      <c r="F308" s="38" t="n"/>
      <c r="G308" s="39" t="n"/>
      <c r="H308" s="38" t="n"/>
      <c r="I308" s="38" t="n"/>
      <c r="J308" s="38" t="n"/>
      <c r="K308" s="37" t="n"/>
      <c r="L308" s="37" t="n"/>
      <c r="M308" s="14">
        <f>IF(COUNTA(A308:L308)=0,"",IF(A308="","Plan ID missing",IF(COUNTIF($A$4:$A$353,A308)&gt;1,"Duplicate Plan ID",IF(B308="","AIR-ID missing",IF(C308="","Gate / forum missing",IF(AND(I308="Planned",COUNTIFS($B$4:$B$353,B308,$C$4:$C$353,C308,$K$4:$K$353,K308&amp;"",$I$4:$I$353,"Planned")&gt;1),"More than one active plan for this AIR-ID, UC-ID scope and gate",IF(AND(E308="Not applicable",J308=""),"Not applicable needs rationale and authority ref",IF(AND(E308="Required",F308=""),"Required gate needs basis / triage ref",IF(L308="","Decision scope missing",IF(AND(L308="UC-ID specific",K308=""),"UC-ID required",IF(AND(L308="Shared system baseline",K308&lt;&gt;""),"Remove UC-ID or correct scope",IF(AND(G308&lt;&gt;"",NOT(ISNUMBER(G308))),"Target date is not a date",IF(E308="","Requirement missing",IF(I308="","Plan state missing","Check against source"))))))))))))))</f>
        <v/>
      </c>
    </row>
    <row r="309">
      <c r="A309" s="40" t="n"/>
      <c r="B309" s="40" t="n"/>
      <c r="C309" s="40" t="n"/>
      <c r="D309" s="40" t="n"/>
      <c r="E309" s="40" t="n"/>
      <c r="F309" s="40" t="n"/>
      <c r="G309" s="41" t="n"/>
      <c r="H309" s="40" t="n"/>
      <c r="I309" s="40" t="n"/>
      <c r="J309" s="40" t="n"/>
      <c r="K309" s="37" t="n"/>
      <c r="L309" s="37" t="n"/>
      <c r="M309" s="14">
        <f>IF(COUNTA(A309:L309)=0,"",IF(A309="","Plan ID missing",IF(COUNTIF($A$4:$A$353,A309)&gt;1,"Duplicate Plan ID",IF(B309="","AIR-ID missing",IF(C309="","Gate / forum missing",IF(AND(I309="Planned",COUNTIFS($B$4:$B$353,B309,$C$4:$C$353,C309,$K$4:$K$353,K309&amp;"",$I$4:$I$353,"Planned")&gt;1),"More than one active plan for this AIR-ID, UC-ID scope and gate",IF(AND(E309="Not applicable",J309=""),"Not applicable needs rationale and authority ref",IF(AND(E309="Required",F309=""),"Required gate needs basis / triage ref",IF(L309="","Decision scope missing",IF(AND(L309="UC-ID specific",K309=""),"UC-ID required",IF(AND(L309="Shared system baseline",K309&lt;&gt;""),"Remove UC-ID or correct scope",IF(AND(G309&lt;&gt;"",NOT(ISNUMBER(G309))),"Target date is not a date",IF(E309="","Requirement missing",IF(I309="","Plan state missing","Check against source"))))))))))))))</f>
        <v/>
      </c>
    </row>
    <row r="310">
      <c r="A310" s="38" t="n"/>
      <c r="B310" s="38" t="n"/>
      <c r="C310" s="38" t="n"/>
      <c r="D310" s="38" t="n"/>
      <c r="E310" s="38" t="n"/>
      <c r="F310" s="38" t="n"/>
      <c r="G310" s="39" t="n"/>
      <c r="H310" s="38" t="n"/>
      <c r="I310" s="38" t="n"/>
      <c r="J310" s="38" t="n"/>
      <c r="K310" s="37" t="n"/>
      <c r="L310" s="37" t="n"/>
      <c r="M310" s="14">
        <f>IF(COUNTA(A310:L310)=0,"",IF(A310="","Plan ID missing",IF(COUNTIF($A$4:$A$353,A310)&gt;1,"Duplicate Plan ID",IF(B310="","AIR-ID missing",IF(C310="","Gate / forum missing",IF(AND(I310="Planned",COUNTIFS($B$4:$B$353,B310,$C$4:$C$353,C310,$K$4:$K$353,K310&amp;"",$I$4:$I$353,"Planned")&gt;1),"More than one active plan for this AIR-ID, UC-ID scope and gate",IF(AND(E310="Not applicable",J310=""),"Not applicable needs rationale and authority ref",IF(AND(E310="Required",F310=""),"Required gate needs basis / triage ref",IF(L310="","Decision scope missing",IF(AND(L310="UC-ID specific",K310=""),"UC-ID required",IF(AND(L310="Shared system baseline",K310&lt;&gt;""),"Remove UC-ID or correct scope",IF(AND(G310&lt;&gt;"",NOT(ISNUMBER(G310))),"Target date is not a date",IF(E310="","Requirement missing",IF(I310="","Plan state missing","Check against source"))))))))))))))</f>
        <v/>
      </c>
    </row>
    <row r="311">
      <c r="A311" s="40" t="n"/>
      <c r="B311" s="40" t="n"/>
      <c r="C311" s="40" t="n"/>
      <c r="D311" s="40" t="n"/>
      <c r="E311" s="40" t="n"/>
      <c r="F311" s="40" t="n"/>
      <c r="G311" s="41" t="n"/>
      <c r="H311" s="40" t="n"/>
      <c r="I311" s="40" t="n"/>
      <c r="J311" s="40" t="n"/>
      <c r="K311" s="37" t="n"/>
      <c r="L311" s="37" t="n"/>
      <c r="M311" s="14">
        <f>IF(COUNTA(A311:L311)=0,"",IF(A311="","Plan ID missing",IF(COUNTIF($A$4:$A$353,A311)&gt;1,"Duplicate Plan ID",IF(B311="","AIR-ID missing",IF(C311="","Gate / forum missing",IF(AND(I311="Planned",COUNTIFS($B$4:$B$353,B311,$C$4:$C$353,C311,$K$4:$K$353,K311&amp;"",$I$4:$I$353,"Planned")&gt;1),"More than one active plan for this AIR-ID, UC-ID scope and gate",IF(AND(E311="Not applicable",J311=""),"Not applicable needs rationale and authority ref",IF(AND(E311="Required",F311=""),"Required gate needs basis / triage ref",IF(L311="","Decision scope missing",IF(AND(L311="UC-ID specific",K311=""),"UC-ID required",IF(AND(L311="Shared system baseline",K311&lt;&gt;""),"Remove UC-ID or correct scope",IF(AND(G311&lt;&gt;"",NOT(ISNUMBER(G311))),"Target date is not a date",IF(E311="","Requirement missing",IF(I311="","Plan state missing","Check against source"))))))))))))))</f>
        <v/>
      </c>
    </row>
    <row r="312">
      <c r="A312" s="38" t="n"/>
      <c r="B312" s="38" t="n"/>
      <c r="C312" s="38" t="n"/>
      <c r="D312" s="38" t="n"/>
      <c r="E312" s="38" t="n"/>
      <c r="F312" s="38" t="n"/>
      <c r="G312" s="39" t="n"/>
      <c r="H312" s="38" t="n"/>
      <c r="I312" s="38" t="n"/>
      <c r="J312" s="38" t="n"/>
      <c r="K312" s="37" t="n"/>
      <c r="L312" s="37" t="n"/>
      <c r="M312" s="14">
        <f>IF(COUNTA(A312:L312)=0,"",IF(A312="","Plan ID missing",IF(COUNTIF($A$4:$A$353,A312)&gt;1,"Duplicate Plan ID",IF(B312="","AIR-ID missing",IF(C312="","Gate / forum missing",IF(AND(I312="Planned",COUNTIFS($B$4:$B$353,B312,$C$4:$C$353,C312,$K$4:$K$353,K312&amp;"",$I$4:$I$353,"Planned")&gt;1),"More than one active plan for this AIR-ID, UC-ID scope and gate",IF(AND(E312="Not applicable",J312=""),"Not applicable needs rationale and authority ref",IF(AND(E312="Required",F312=""),"Required gate needs basis / triage ref",IF(L312="","Decision scope missing",IF(AND(L312="UC-ID specific",K312=""),"UC-ID required",IF(AND(L312="Shared system baseline",K312&lt;&gt;""),"Remove UC-ID or correct scope",IF(AND(G312&lt;&gt;"",NOT(ISNUMBER(G312))),"Target date is not a date",IF(E312="","Requirement missing",IF(I312="","Plan state missing","Check against source"))))))))))))))</f>
        <v/>
      </c>
    </row>
    <row r="313">
      <c r="A313" s="40" t="n"/>
      <c r="B313" s="40" t="n"/>
      <c r="C313" s="40" t="n"/>
      <c r="D313" s="40" t="n"/>
      <c r="E313" s="40" t="n"/>
      <c r="F313" s="40" t="n"/>
      <c r="G313" s="41" t="n"/>
      <c r="H313" s="40" t="n"/>
      <c r="I313" s="40" t="n"/>
      <c r="J313" s="40" t="n"/>
      <c r="K313" s="37" t="n"/>
      <c r="L313" s="37" t="n"/>
      <c r="M313" s="14">
        <f>IF(COUNTA(A313:L313)=0,"",IF(A313="","Plan ID missing",IF(COUNTIF($A$4:$A$353,A313)&gt;1,"Duplicate Plan ID",IF(B313="","AIR-ID missing",IF(C313="","Gate / forum missing",IF(AND(I313="Planned",COUNTIFS($B$4:$B$353,B313,$C$4:$C$353,C313,$K$4:$K$353,K313&amp;"",$I$4:$I$353,"Planned")&gt;1),"More than one active plan for this AIR-ID, UC-ID scope and gate",IF(AND(E313="Not applicable",J313=""),"Not applicable needs rationale and authority ref",IF(AND(E313="Required",F313=""),"Required gate needs basis / triage ref",IF(L313="","Decision scope missing",IF(AND(L313="UC-ID specific",K313=""),"UC-ID required",IF(AND(L313="Shared system baseline",K313&lt;&gt;""),"Remove UC-ID or correct scope",IF(AND(G313&lt;&gt;"",NOT(ISNUMBER(G313))),"Target date is not a date",IF(E313="","Requirement missing",IF(I313="","Plan state missing","Check against source"))))))))))))))</f>
        <v/>
      </c>
    </row>
    <row r="314">
      <c r="A314" s="38" t="n"/>
      <c r="B314" s="38" t="n"/>
      <c r="C314" s="38" t="n"/>
      <c r="D314" s="38" t="n"/>
      <c r="E314" s="38" t="n"/>
      <c r="F314" s="38" t="n"/>
      <c r="G314" s="39" t="n"/>
      <c r="H314" s="38" t="n"/>
      <c r="I314" s="38" t="n"/>
      <c r="J314" s="38" t="n"/>
      <c r="K314" s="37" t="n"/>
      <c r="L314" s="37" t="n"/>
      <c r="M314" s="14">
        <f>IF(COUNTA(A314:L314)=0,"",IF(A314="","Plan ID missing",IF(COUNTIF($A$4:$A$353,A314)&gt;1,"Duplicate Plan ID",IF(B314="","AIR-ID missing",IF(C314="","Gate / forum missing",IF(AND(I314="Planned",COUNTIFS($B$4:$B$353,B314,$C$4:$C$353,C314,$K$4:$K$353,K314&amp;"",$I$4:$I$353,"Planned")&gt;1),"More than one active plan for this AIR-ID, UC-ID scope and gate",IF(AND(E314="Not applicable",J314=""),"Not applicable needs rationale and authority ref",IF(AND(E314="Required",F314=""),"Required gate needs basis / triage ref",IF(L314="","Decision scope missing",IF(AND(L314="UC-ID specific",K314=""),"UC-ID required",IF(AND(L314="Shared system baseline",K314&lt;&gt;""),"Remove UC-ID or correct scope",IF(AND(G314&lt;&gt;"",NOT(ISNUMBER(G314))),"Target date is not a date",IF(E314="","Requirement missing",IF(I314="","Plan state missing","Check against source"))))))))))))))</f>
        <v/>
      </c>
    </row>
    <row r="315">
      <c r="A315" s="40" t="n"/>
      <c r="B315" s="40" t="n"/>
      <c r="C315" s="40" t="n"/>
      <c r="D315" s="40" t="n"/>
      <c r="E315" s="40" t="n"/>
      <c r="F315" s="40" t="n"/>
      <c r="G315" s="41" t="n"/>
      <c r="H315" s="40" t="n"/>
      <c r="I315" s="40" t="n"/>
      <c r="J315" s="40" t="n"/>
      <c r="K315" s="37" t="n"/>
      <c r="L315" s="37" t="n"/>
      <c r="M315" s="14">
        <f>IF(COUNTA(A315:L315)=0,"",IF(A315="","Plan ID missing",IF(COUNTIF($A$4:$A$353,A315)&gt;1,"Duplicate Plan ID",IF(B315="","AIR-ID missing",IF(C315="","Gate / forum missing",IF(AND(I315="Planned",COUNTIFS($B$4:$B$353,B315,$C$4:$C$353,C315,$K$4:$K$353,K315&amp;"",$I$4:$I$353,"Planned")&gt;1),"More than one active plan for this AIR-ID, UC-ID scope and gate",IF(AND(E315="Not applicable",J315=""),"Not applicable needs rationale and authority ref",IF(AND(E315="Required",F315=""),"Required gate needs basis / triage ref",IF(L315="","Decision scope missing",IF(AND(L315="UC-ID specific",K315=""),"UC-ID required",IF(AND(L315="Shared system baseline",K315&lt;&gt;""),"Remove UC-ID or correct scope",IF(AND(G315&lt;&gt;"",NOT(ISNUMBER(G315))),"Target date is not a date",IF(E315="","Requirement missing",IF(I315="","Plan state missing","Check against source"))))))))))))))</f>
        <v/>
      </c>
    </row>
    <row r="316">
      <c r="A316" s="38" t="n"/>
      <c r="B316" s="38" t="n"/>
      <c r="C316" s="38" t="n"/>
      <c r="D316" s="38" t="n"/>
      <c r="E316" s="38" t="n"/>
      <c r="F316" s="38" t="n"/>
      <c r="G316" s="39" t="n"/>
      <c r="H316" s="38" t="n"/>
      <c r="I316" s="38" t="n"/>
      <c r="J316" s="38" t="n"/>
      <c r="K316" s="37" t="n"/>
      <c r="L316" s="37" t="n"/>
      <c r="M316" s="14">
        <f>IF(COUNTA(A316:L316)=0,"",IF(A316="","Plan ID missing",IF(COUNTIF($A$4:$A$353,A316)&gt;1,"Duplicate Plan ID",IF(B316="","AIR-ID missing",IF(C316="","Gate / forum missing",IF(AND(I316="Planned",COUNTIFS($B$4:$B$353,B316,$C$4:$C$353,C316,$K$4:$K$353,K316&amp;"",$I$4:$I$353,"Planned")&gt;1),"More than one active plan for this AIR-ID, UC-ID scope and gate",IF(AND(E316="Not applicable",J316=""),"Not applicable needs rationale and authority ref",IF(AND(E316="Required",F316=""),"Required gate needs basis / triage ref",IF(L316="","Decision scope missing",IF(AND(L316="UC-ID specific",K316=""),"UC-ID required",IF(AND(L316="Shared system baseline",K316&lt;&gt;""),"Remove UC-ID or correct scope",IF(AND(G316&lt;&gt;"",NOT(ISNUMBER(G316))),"Target date is not a date",IF(E316="","Requirement missing",IF(I316="","Plan state missing","Check against source"))))))))))))))</f>
        <v/>
      </c>
    </row>
    <row r="317">
      <c r="A317" s="40" t="n"/>
      <c r="B317" s="40" t="n"/>
      <c r="C317" s="40" t="n"/>
      <c r="D317" s="40" t="n"/>
      <c r="E317" s="40" t="n"/>
      <c r="F317" s="40" t="n"/>
      <c r="G317" s="41" t="n"/>
      <c r="H317" s="40" t="n"/>
      <c r="I317" s="40" t="n"/>
      <c r="J317" s="40" t="n"/>
      <c r="K317" s="37" t="n"/>
      <c r="L317" s="37" t="n"/>
      <c r="M317" s="14">
        <f>IF(COUNTA(A317:L317)=0,"",IF(A317="","Plan ID missing",IF(COUNTIF($A$4:$A$353,A317)&gt;1,"Duplicate Plan ID",IF(B317="","AIR-ID missing",IF(C317="","Gate / forum missing",IF(AND(I317="Planned",COUNTIFS($B$4:$B$353,B317,$C$4:$C$353,C317,$K$4:$K$353,K317&amp;"",$I$4:$I$353,"Planned")&gt;1),"More than one active plan for this AIR-ID, UC-ID scope and gate",IF(AND(E317="Not applicable",J317=""),"Not applicable needs rationale and authority ref",IF(AND(E317="Required",F317=""),"Required gate needs basis / triage ref",IF(L317="","Decision scope missing",IF(AND(L317="UC-ID specific",K317=""),"UC-ID required",IF(AND(L317="Shared system baseline",K317&lt;&gt;""),"Remove UC-ID or correct scope",IF(AND(G317&lt;&gt;"",NOT(ISNUMBER(G317))),"Target date is not a date",IF(E317="","Requirement missing",IF(I317="","Plan state missing","Check against source"))))))))))))))</f>
        <v/>
      </c>
    </row>
    <row r="318">
      <c r="A318" s="38" t="n"/>
      <c r="B318" s="38" t="n"/>
      <c r="C318" s="38" t="n"/>
      <c r="D318" s="38" t="n"/>
      <c r="E318" s="38" t="n"/>
      <c r="F318" s="38" t="n"/>
      <c r="G318" s="39" t="n"/>
      <c r="H318" s="38" t="n"/>
      <c r="I318" s="38" t="n"/>
      <c r="J318" s="38" t="n"/>
      <c r="K318" s="37" t="n"/>
      <c r="L318" s="37" t="n"/>
      <c r="M318" s="14">
        <f>IF(COUNTA(A318:L318)=0,"",IF(A318="","Plan ID missing",IF(COUNTIF($A$4:$A$353,A318)&gt;1,"Duplicate Plan ID",IF(B318="","AIR-ID missing",IF(C318="","Gate / forum missing",IF(AND(I318="Planned",COUNTIFS($B$4:$B$353,B318,$C$4:$C$353,C318,$K$4:$K$353,K318&amp;"",$I$4:$I$353,"Planned")&gt;1),"More than one active plan for this AIR-ID, UC-ID scope and gate",IF(AND(E318="Not applicable",J318=""),"Not applicable needs rationale and authority ref",IF(AND(E318="Required",F318=""),"Required gate needs basis / triage ref",IF(L318="","Decision scope missing",IF(AND(L318="UC-ID specific",K318=""),"UC-ID required",IF(AND(L318="Shared system baseline",K318&lt;&gt;""),"Remove UC-ID or correct scope",IF(AND(G318&lt;&gt;"",NOT(ISNUMBER(G318))),"Target date is not a date",IF(E318="","Requirement missing",IF(I318="","Plan state missing","Check against source"))))))))))))))</f>
        <v/>
      </c>
    </row>
    <row r="319">
      <c r="A319" s="40" t="n"/>
      <c r="B319" s="40" t="n"/>
      <c r="C319" s="40" t="n"/>
      <c r="D319" s="40" t="n"/>
      <c r="E319" s="40" t="n"/>
      <c r="F319" s="40" t="n"/>
      <c r="G319" s="41" t="n"/>
      <c r="H319" s="40" t="n"/>
      <c r="I319" s="40" t="n"/>
      <c r="J319" s="40" t="n"/>
      <c r="K319" s="37" t="n"/>
      <c r="L319" s="37" t="n"/>
      <c r="M319" s="14">
        <f>IF(COUNTA(A319:L319)=0,"",IF(A319="","Plan ID missing",IF(COUNTIF($A$4:$A$353,A319)&gt;1,"Duplicate Plan ID",IF(B319="","AIR-ID missing",IF(C319="","Gate / forum missing",IF(AND(I319="Planned",COUNTIFS($B$4:$B$353,B319,$C$4:$C$353,C319,$K$4:$K$353,K319&amp;"",$I$4:$I$353,"Planned")&gt;1),"More than one active plan for this AIR-ID, UC-ID scope and gate",IF(AND(E319="Not applicable",J319=""),"Not applicable needs rationale and authority ref",IF(AND(E319="Required",F319=""),"Required gate needs basis / triage ref",IF(L319="","Decision scope missing",IF(AND(L319="UC-ID specific",K319=""),"UC-ID required",IF(AND(L319="Shared system baseline",K319&lt;&gt;""),"Remove UC-ID or correct scope",IF(AND(G319&lt;&gt;"",NOT(ISNUMBER(G319))),"Target date is not a date",IF(E319="","Requirement missing",IF(I319="","Plan state missing","Check against source"))))))))))))))</f>
        <v/>
      </c>
    </row>
    <row r="320">
      <c r="A320" s="38" t="n"/>
      <c r="B320" s="38" t="n"/>
      <c r="C320" s="38" t="n"/>
      <c r="D320" s="38" t="n"/>
      <c r="E320" s="38" t="n"/>
      <c r="F320" s="38" t="n"/>
      <c r="G320" s="39" t="n"/>
      <c r="H320" s="38" t="n"/>
      <c r="I320" s="38" t="n"/>
      <c r="J320" s="38" t="n"/>
      <c r="K320" s="37" t="n"/>
      <c r="L320" s="37" t="n"/>
      <c r="M320" s="14">
        <f>IF(COUNTA(A320:L320)=0,"",IF(A320="","Plan ID missing",IF(COUNTIF($A$4:$A$353,A320)&gt;1,"Duplicate Plan ID",IF(B320="","AIR-ID missing",IF(C320="","Gate / forum missing",IF(AND(I320="Planned",COUNTIFS($B$4:$B$353,B320,$C$4:$C$353,C320,$K$4:$K$353,K320&amp;"",$I$4:$I$353,"Planned")&gt;1),"More than one active plan for this AIR-ID, UC-ID scope and gate",IF(AND(E320="Not applicable",J320=""),"Not applicable needs rationale and authority ref",IF(AND(E320="Required",F320=""),"Required gate needs basis / triage ref",IF(L320="","Decision scope missing",IF(AND(L320="UC-ID specific",K320=""),"UC-ID required",IF(AND(L320="Shared system baseline",K320&lt;&gt;""),"Remove UC-ID or correct scope",IF(AND(G320&lt;&gt;"",NOT(ISNUMBER(G320))),"Target date is not a date",IF(E320="","Requirement missing",IF(I320="","Plan state missing","Check against source"))))))))))))))</f>
        <v/>
      </c>
    </row>
    <row r="321">
      <c r="A321" s="40" t="n"/>
      <c r="B321" s="40" t="n"/>
      <c r="C321" s="40" t="n"/>
      <c r="D321" s="40" t="n"/>
      <c r="E321" s="40" t="n"/>
      <c r="F321" s="40" t="n"/>
      <c r="G321" s="41" t="n"/>
      <c r="H321" s="40" t="n"/>
      <c r="I321" s="40" t="n"/>
      <c r="J321" s="40" t="n"/>
      <c r="K321" s="37" t="n"/>
      <c r="L321" s="37" t="n"/>
      <c r="M321" s="14">
        <f>IF(COUNTA(A321:L321)=0,"",IF(A321="","Plan ID missing",IF(COUNTIF($A$4:$A$353,A321)&gt;1,"Duplicate Plan ID",IF(B321="","AIR-ID missing",IF(C321="","Gate / forum missing",IF(AND(I321="Planned",COUNTIFS($B$4:$B$353,B321,$C$4:$C$353,C321,$K$4:$K$353,K321&amp;"",$I$4:$I$353,"Planned")&gt;1),"More than one active plan for this AIR-ID, UC-ID scope and gate",IF(AND(E321="Not applicable",J321=""),"Not applicable needs rationale and authority ref",IF(AND(E321="Required",F321=""),"Required gate needs basis / triage ref",IF(L321="","Decision scope missing",IF(AND(L321="UC-ID specific",K321=""),"UC-ID required",IF(AND(L321="Shared system baseline",K321&lt;&gt;""),"Remove UC-ID or correct scope",IF(AND(G321&lt;&gt;"",NOT(ISNUMBER(G321))),"Target date is not a date",IF(E321="","Requirement missing",IF(I321="","Plan state missing","Check against source"))))))))))))))</f>
        <v/>
      </c>
    </row>
    <row r="322">
      <c r="A322" s="38" t="n"/>
      <c r="B322" s="38" t="n"/>
      <c r="C322" s="38" t="n"/>
      <c r="D322" s="38" t="n"/>
      <c r="E322" s="38" t="n"/>
      <c r="F322" s="38" t="n"/>
      <c r="G322" s="39" t="n"/>
      <c r="H322" s="38" t="n"/>
      <c r="I322" s="38" t="n"/>
      <c r="J322" s="38" t="n"/>
      <c r="K322" s="37" t="n"/>
      <c r="L322" s="37" t="n"/>
      <c r="M322" s="14">
        <f>IF(COUNTA(A322:L322)=0,"",IF(A322="","Plan ID missing",IF(COUNTIF($A$4:$A$353,A322)&gt;1,"Duplicate Plan ID",IF(B322="","AIR-ID missing",IF(C322="","Gate / forum missing",IF(AND(I322="Planned",COUNTIFS($B$4:$B$353,B322,$C$4:$C$353,C322,$K$4:$K$353,K322&amp;"",$I$4:$I$353,"Planned")&gt;1),"More than one active plan for this AIR-ID, UC-ID scope and gate",IF(AND(E322="Not applicable",J322=""),"Not applicable needs rationale and authority ref",IF(AND(E322="Required",F322=""),"Required gate needs basis / triage ref",IF(L322="","Decision scope missing",IF(AND(L322="UC-ID specific",K322=""),"UC-ID required",IF(AND(L322="Shared system baseline",K322&lt;&gt;""),"Remove UC-ID or correct scope",IF(AND(G322&lt;&gt;"",NOT(ISNUMBER(G322))),"Target date is not a date",IF(E322="","Requirement missing",IF(I322="","Plan state missing","Check against source"))))))))))))))</f>
        <v/>
      </c>
    </row>
    <row r="323">
      <c r="A323" s="40" t="n"/>
      <c r="B323" s="40" t="n"/>
      <c r="C323" s="40" t="n"/>
      <c r="D323" s="40" t="n"/>
      <c r="E323" s="40" t="n"/>
      <c r="F323" s="40" t="n"/>
      <c r="G323" s="41" t="n"/>
      <c r="H323" s="40" t="n"/>
      <c r="I323" s="40" t="n"/>
      <c r="J323" s="40" t="n"/>
      <c r="K323" s="37" t="n"/>
      <c r="L323" s="37" t="n"/>
      <c r="M323" s="14">
        <f>IF(COUNTA(A323:L323)=0,"",IF(A323="","Plan ID missing",IF(COUNTIF($A$4:$A$353,A323)&gt;1,"Duplicate Plan ID",IF(B323="","AIR-ID missing",IF(C323="","Gate / forum missing",IF(AND(I323="Planned",COUNTIFS($B$4:$B$353,B323,$C$4:$C$353,C323,$K$4:$K$353,K323&amp;"",$I$4:$I$353,"Planned")&gt;1),"More than one active plan for this AIR-ID, UC-ID scope and gate",IF(AND(E323="Not applicable",J323=""),"Not applicable needs rationale and authority ref",IF(AND(E323="Required",F323=""),"Required gate needs basis / triage ref",IF(L323="","Decision scope missing",IF(AND(L323="UC-ID specific",K323=""),"UC-ID required",IF(AND(L323="Shared system baseline",K323&lt;&gt;""),"Remove UC-ID or correct scope",IF(AND(G323&lt;&gt;"",NOT(ISNUMBER(G323))),"Target date is not a date",IF(E323="","Requirement missing",IF(I323="","Plan state missing","Check against source"))))))))))))))</f>
        <v/>
      </c>
    </row>
    <row r="324">
      <c r="A324" s="38" t="n"/>
      <c r="B324" s="38" t="n"/>
      <c r="C324" s="38" t="n"/>
      <c r="D324" s="38" t="n"/>
      <c r="E324" s="38" t="n"/>
      <c r="F324" s="38" t="n"/>
      <c r="G324" s="39" t="n"/>
      <c r="H324" s="38" t="n"/>
      <c r="I324" s="38" t="n"/>
      <c r="J324" s="38" t="n"/>
      <c r="K324" s="37" t="n"/>
      <c r="L324" s="37" t="n"/>
      <c r="M324" s="14">
        <f>IF(COUNTA(A324:L324)=0,"",IF(A324="","Plan ID missing",IF(COUNTIF($A$4:$A$353,A324)&gt;1,"Duplicate Plan ID",IF(B324="","AIR-ID missing",IF(C324="","Gate / forum missing",IF(AND(I324="Planned",COUNTIFS($B$4:$B$353,B324,$C$4:$C$353,C324,$K$4:$K$353,K324&amp;"",$I$4:$I$353,"Planned")&gt;1),"More than one active plan for this AIR-ID, UC-ID scope and gate",IF(AND(E324="Not applicable",J324=""),"Not applicable needs rationale and authority ref",IF(AND(E324="Required",F324=""),"Required gate needs basis / triage ref",IF(L324="","Decision scope missing",IF(AND(L324="UC-ID specific",K324=""),"UC-ID required",IF(AND(L324="Shared system baseline",K324&lt;&gt;""),"Remove UC-ID or correct scope",IF(AND(G324&lt;&gt;"",NOT(ISNUMBER(G324))),"Target date is not a date",IF(E324="","Requirement missing",IF(I324="","Plan state missing","Check against source"))))))))))))))</f>
        <v/>
      </c>
    </row>
    <row r="325">
      <c r="A325" s="40" t="n"/>
      <c r="B325" s="40" t="n"/>
      <c r="C325" s="40" t="n"/>
      <c r="D325" s="40" t="n"/>
      <c r="E325" s="40" t="n"/>
      <c r="F325" s="40" t="n"/>
      <c r="G325" s="41" t="n"/>
      <c r="H325" s="40" t="n"/>
      <c r="I325" s="40" t="n"/>
      <c r="J325" s="40" t="n"/>
      <c r="K325" s="37" t="n"/>
      <c r="L325" s="37" t="n"/>
      <c r="M325" s="14">
        <f>IF(COUNTA(A325:L325)=0,"",IF(A325="","Plan ID missing",IF(COUNTIF($A$4:$A$353,A325)&gt;1,"Duplicate Plan ID",IF(B325="","AIR-ID missing",IF(C325="","Gate / forum missing",IF(AND(I325="Planned",COUNTIFS($B$4:$B$353,B325,$C$4:$C$353,C325,$K$4:$K$353,K325&amp;"",$I$4:$I$353,"Planned")&gt;1),"More than one active plan for this AIR-ID, UC-ID scope and gate",IF(AND(E325="Not applicable",J325=""),"Not applicable needs rationale and authority ref",IF(AND(E325="Required",F325=""),"Required gate needs basis / triage ref",IF(L325="","Decision scope missing",IF(AND(L325="UC-ID specific",K325=""),"UC-ID required",IF(AND(L325="Shared system baseline",K325&lt;&gt;""),"Remove UC-ID or correct scope",IF(AND(G325&lt;&gt;"",NOT(ISNUMBER(G325))),"Target date is not a date",IF(E325="","Requirement missing",IF(I325="","Plan state missing","Check against source"))))))))))))))</f>
        <v/>
      </c>
    </row>
    <row r="326">
      <c r="A326" s="38" t="n"/>
      <c r="B326" s="38" t="n"/>
      <c r="C326" s="38" t="n"/>
      <c r="D326" s="38" t="n"/>
      <c r="E326" s="38" t="n"/>
      <c r="F326" s="38" t="n"/>
      <c r="G326" s="39" t="n"/>
      <c r="H326" s="38" t="n"/>
      <c r="I326" s="38" t="n"/>
      <c r="J326" s="38" t="n"/>
      <c r="K326" s="37" t="n"/>
      <c r="L326" s="37" t="n"/>
      <c r="M326" s="14">
        <f>IF(COUNTA(A326:L326)=0,"",IF(A326="","Plan ID missing",IF(COUNTIF($A$4:$A$353,A326)&gt;1,"Duplicate Plan ID",IF(B326="","AIR-ID missing",IF(C326="","Gate / forum missing",IF(AND(I326="Planned",COUNTIFS($B$4:$B$353,B326,$C$4:$C$353,C326,$K$4:$K$353,K326&amp;"",$I$4:$I$353,"Planned")&gt;1),"More than one active plan for this AIR-ID, UC-ID scope and gate",IF(AND(E326="Not applicable",J326=""),"Not applicable needs rationale and authority ref",IF(AND(E326="Required",F326=""),"Required gate needs basis / triage ref",IF(L326="","Decision scope missing",IF(AND(L326="UC-ID specific",K326=""),"UC-ID required",IF(AND(L326="Shared system baseline",K326&lt;&gt;""),"Remove UC-ID or correct scope",IF(AND(G326&lt;&gt;"",NOT(ISNUMBER(G326))),"Target date is not a date",IF(E326="","Requirement missing",IF(I326="","Plan state missing","Check against source"))))))))))))))</f>
        <v/>
      </c>
    </row>
    <row r="327">
      <c r="A327" s="40" t="n"/>
      <c r="B327" s="40" t="n"/>
      <c r="C327" s="40" t="n"/>
      <c r="D327" s="40" t="n"/>
      <c r="E327" s="40" t="n"/>
      <c r="F327" s="40" t="n"/>
      <c r="G327" s="41" t="n"/>
      <c r="H327" s="40" t="n"/>
      <c r="I327" s="40" t="n"/>
      <c r="J327" s="40" t="n"/>
      <c r="K327" s="37" t="n"/>
      <c r="L327" s="37" t="n"/>
      <c r="M327" s="14">
        <f>IF(COUNTA(A327:L327)=0,"",IF(A327="","Plan ID missing",IF(COUNTIF($A$4:$A$353,A327)&gt;1,"Duplicate Plan ID",IF(B327="","AIR-ID missing",IF(C327="","Gate / forum missing",IF(AND(I327="Planned",COUNTIFS($B$4:$B$353,B327,$C$4:$C$353,C327,$K$4:$K$353,K327&amp;"",$I$4:$I$353,"Planned")&gt;1),"More than one active plan for this AIR-ID, UC-ID scope and gate",IF(AND(E327="Not applicable",J327=""),"Not applicable needs rationale and authority ref",IF(AND(E327="Required",F327=""),"Required gate needs basis / triage ref",IF(L327="","Decision scope missing",IF(AND(L327="UC-ID specific",K327=""),"UC-ID required",IF(AND(L327="Shared system baseline",K327&lt;&gt;""),"Remove UC-ID or correct scope",IF(AND(G327&lt;&gt;"",NOT(ISNUMBER(G327))),"Target date is not a date",IF(E327="","Requirement missing",IF(I327="","Plan state missing","Check against source"))))))))))))))</f>
        <v/>
      </c>
    </row>
    <row r="328">
      <c r="A328" s="38" t="n"/>
      <c r="B328" s="38" t="n"/>
      <c r="C328" s="38" t="n"/>
      <c r="D328" s="38" t="n"/>
      <c r="E328" s="38" t="n"/>
      <c r="F328" s="38" t="n"/>
      <c r="G328" s="39" t="n"/>
      <c r="H328" s="38" t="n"/>
      <c r="I328" s="38" t="n"/>
      <c r="J328" s="38" t="n"/>
      <c r="K328" s="37" t="n"/>
      <c r="L328" s="37" t="n"/>
      <c r="M328" s="14">
        <f>IF(COUNTA(A328:L328)=0,"",IF(A328="","Plan ID missing",IF(COUNTIF($A$4:$A$353,A328)&gt;1,"Duplicate Plan ID",IF(B328="","AIR-ID missing",IF(C328="","Gate / forum missing",IF(AND(I328="Planned",COUNTIFS($B$4:$B$353,B328,$C$4:$C$353,C328,$K$4:$K$353,K328&amp;"",$I$4:$I$353,"Planned")&gt;1),"More than one active plan for this AIR-ID, UC-ID scope and gate",IF(AND(E328="Not applicable",J328=""),"Not applicable needs rationale and authority ref",IF(AND(E328="Required",F328=""),"Required gate needs basis / triage ref",IF(L328="","Decision scope missing",IF(AND(L328="UC-ID specific",K328=""),"UC-ID required",IF(AND(L328="Shared system baseline",K328&lt;&gt;""),"Remove UC-ID or correct scope",IF(AND(G328&lt;&gt;"",NOT(ISNUMBER(G328))),"Target date is not a date",IF(E328="","Requirement missing",IF(I328="","Plan state missing","Check against source"))))))))))))))</f>
        <v/>
      </c>
    </row>
    <row r="329">
      <c r="A329" s="40" t="n"/>
      <c r="B329" s="40" t="n"/>
      <c r="C329" s="40" t="n"/>
      <c r="D329" s="40" t="n"/>
      <c r="E329" s="40" t="n"/>
      <c r="F329" s="40" t="n"/>
      <c r="G329" s="41" t="n"/>
      <c r="H329" s="40" t="n"/>
      <c r="I329" s="40" t="n"/>
      <c r="J329" s="40" t="n"/>
      <c r="K329" s="37" t="n"/>
      <c r="L329" s="37" t="n"/>
      <c r="M329" s="14">
        <f>IF(COUNTA(A329:L329)=0,"",IF(A329="","Plan ID missing",IF(COUNTIF($A$4:$A$353,A329)&gt;1,"Duplicate Plan ID",IF(B329="","AIR-ID missing",IF(C329="","Gate / forum missing",IF(AND(I329="Planned",COUNTIFS($B$4:$B$353,B329,$C$4:$C$353,C329,$K$4:$K$353,K329&amp;"",$I$4:$I$353,"Planned")&gt;1),"More than one active plan for this AIR-ID, UC-ID scope and gate",IF(AND(E329="Not applicable",J329=""),"Not applicable needs rationale and authority ref",IF(AND(E329="Required",F329=""),"Required gate needs basis / triage ref",IF(L329="","Decision scope missing",IF(AND(L329="UC-ID specific",K329=""),"UC-ID required",IF(AND(L329="Shared system baseline",K329&lt;&gt;""),"Remove UC-ID or correct scope",IF(AND(G329&lt;&gt;"",NOT(ISNUMBER(G329))),"Target date is not a date",IF(E329="","Requirement missing",IF(I329="","Plan state missing","Check against source"))))))))))))))</f>
        <v/>
      </c>
    </row>
    <row r="330">
      <c r="A330" s="38" t="n"/>
      <c r="B330" s="38" t="n"/>
      <c r="C330" s="38" t="n"/>
      <c r="D330" s="38" t="n"/>
      <c r="E330" s="38" t="n"/>
      <c r="F330" s="38" t="n"/>
      <c r="G330" s="39" t="n"/>
      <c r="H330" s="38" t="n"/>
      <c r="I330" s="38" t="n"/>
      <c r="J330" s="38" t="n"/>
      <c r="K330" s="37" t="n"/>
      <c r="L330" s="37" t="n"/>
      <c r="M330" s="14">
        <f>IF(COUNTA(A330:L330)=0,"",IF(A330="","Plan ID missing",IF(COUNTIF($A$4:$A$353,A330)&gt;1,"Duplicate Plan ID",IF(B330="","AIR-ID missing",IF(C330="","Gate / forum missing",IF(AND(I330="Planned",COUNTIFS($B$4:$B$353,B330,$C$4:$C$353,C330,$K$4:$K$353,K330&amp;"",$I$4:$I$353,"Planned")&gt;1),"More than one active plan for this AIR-ID, UC-ID scope and gate",IF(AND(E330="Not applicable",J330=""),"Not applicable needs rationale and authority ref",IF(AND(E330="Required",F330=""),"Required gate needs basis / triage ref",IF(L330="","Decision scope missing",IF(AND(L330="UC-ID specific",K330=""),"UC-ID required",IF(AND(L330="Shared system baseline",K330&lt;&gt;""),"Remove UC-ID or correct scope",IF(AND(G330&lt;&gt;"",NOT(ISNUMBER(G330))),"Target date is not a date",IF(E330="","Requirement missing",IF(I330="","Plan state missing","Check against source"))))))))))))))</f>
        <v/>
      </c>
    </row>
    <row r="331">
      <c r="A331" s="40" t="n"/>
      <c r="B331" s="40" t="n"/>
      <c r="C331" s="40" t="n"/>
      <c r="D331" s="40" t="n"/>
      <c r="E331" s="40" t="n"/>
      <c r="F331" s="40" t="n"/>
      <c r="G331" s="41" t="n"/>
      <c r="H331" s="40" t="n"/>
      <c r="I331" s="40" t="n"/>
      <c r="J331" s="40" t="n"/>
      <c r="K331" s="37" t="n"/>
      <c r="L331" s="37" t="n"/>
      <c r="M331" s="14">
        <f>IF(COUNTA(A331:L331)=0,"",IF(A331="","Plan ID missing",IF(COUNTIF($A$4:$A$353,A331)&gt;1,"Duplicate Plan ID",IF(B331="","AIR-ID missing",IF(C331="","Gate / forum missing",IF(AND(I331="Planned",COUNTIFS($B$4:$B$353,B331,$C$4:$C$353,C331,$K$4:$K$353,K331&amp;"",$I$4:$I$353,"Planned")&gt;1),"More than one active plan for this AIR-ID, UC-ID scope and gate",IF(AND(E331="Not applicable",J331=""),"Not applicable needs rationale and authority ref",IF(AND(E331="Required",F331=""),"Required gate needs basis / triage ref",IF(L331="","Decision scope missing",IF(AND(L331="UC-ID specific",K331=""),"UC-ID required",IF(AND(L331="Shared system baseline",K331&lt;&gt;""),"Remove UC-ID or correct scope",IF(AND(G331&lt;&gt;"",NOT(ISNUMBER(G331))),"Target date is not a date",IF(E331="","Requirement missing",IF(I331="","Plan state missing","Check against source"))))))))))))))</f>
        <v/>
      </c>
    </row>
    <row r="332">
      <c r="A332" s="38" t="n"/>
      <c r="B332" s="38" t="n"/>
      <c r="C332" s="38" t="n"/>
      <c r="D332" s="38" t="n"/>
      <c r="E332" s="38" t="n"/>
      <c r="F332" s="38" t="n"/>
      <c r="G332" s="39" t="n"/>
      <c r="H332" s="38" t="n"/>
      <c r="I332" s="38" t="n"/>
      <c r="J332" s="38" t="n"/>
      <c r="K332" s="37" t="n"/>
      <c r="L332" s="37" t="n"/>
      <c r="M332" s="14">
        <f>IF(COUNTA(A332:L332)=0,"",IF(A332="","Plan ID missing",IF(COUNTIF($A$4:$A$353,A332)&gt;1,"Duplicate Plan ID",IF(B332="","AIR-ID missing",IF(C332="","Gate / forum missing",IF(AND(I332="Planned",COUNTIFS($B$4:$B$353,B332,$C$4:$C$353,C332,$K$4:$K$353,K332&amp;"",$I$4:$I$353,"Planned")&gt;1),"More than one active plan for this AIR-ID, UC-ID scope and gate",IF(AND(E332="Not applicable",J332=""),"Not applicable needs rationale and authority ref",IF(AND(E332="Required",F332=""),"Required gate needs basis / triage ref",IF(L332="","Decision scope missing",IF(AND(L332="UC-ID specific",K332=""),"UC-ID required",IF(AND(L332="Shared system baseline",K332&lt;&gt;""),"Remove UC-ID or correct scope",IF(AND(G332&lt;&gt;"",NOT(ISNUMBER(G332))),"Target date is not a date",IF(E332="","Requirement missing",IF(I332="","Plan state missing","Check against source"))))))))))))))</f>
        <v/>
      </c>
    </row>
    <row r="333">
      <c r="A333" s="40" t="n"/>
      <c r="B333" s="40" t="n"/>
      <c r="C333" s="40" t="n"/>
      <c r="D333" s="40" t="n"/>
      <c r="E333" s="40" t="n"/>
      <c r="F333" s="40" t="n"/>
      <c r="G333" s="41" t="n"/>
      <c r="H333" s="40" t="n"/>
      <c r="I333" s="40" t="n"/>
      <c r="J333" s="40" t="n"/>
      <c r="K333" s="37" t="n"/>
      <c r="L333" s="37" t="n"/>
      <c r="M333" s="14">
        <f>IF(COUNTA(A333:L333)=0,"",IF(A333="","Plan ID missing",IF(COUNTIF($A$4:$A$353,A333)&gt;1,"Duplicate Plan ID",IF(B333="","AIR-ID missing",IF(C333="","Gate / forum missing",IF(AND(I333="Planned",COUNTIFS($B$4:$B$353,B333,$C$4:$C$353,C333,$K$4:$K$353,K333&amp;"",$I$4:$I$353,"Planned")&gt;1),"More than one active plan for this AIR-ID, UC-ID scope and gate",IF(AND(E333="Not applicable",J333=""),"Not applicable needs rationale and authority ref",IF(AND(E333="Required",F333=""),"Required gate needs basis / triage ref",IF(L333="","Decision scope missing",IF(AND(L333="UC-ID specific",K333=""),"UC-ID required",IF(AND(L333="Shared system baseline",K333&lt;&gt;""),"Remove UC-ID or correct scope",IF(AND(G333&lt;&gt;"",NOT(ISNUMBER(G333))),"Target date is not a date",IF(E333="","Requirement missing",IF(I333="","Plan state missing","Check against source"))))))))))))))</f>
        <v/>
      </c>
    </row>
    <row r="334">
      <c r="A334" s="38" t="n"/>
      <c r="B334" s="38" t="n"/>
      <c r="C334" s="38" t="n"/>
      <c r="D334" s="38" t="n"/>
      <c r="E334" s="38" t="n"/>
      <c r="F334" s="38" t="n"/>
      <c r="G334" s="39" t="n"/>
      <c r="H334" s="38" t="n"/>
      <c r="I334" s="38" t="n"/>
      <c r="J334" s="38" t="n"/>
      <c r="K334" s="37" t="n"/>
      <c r="L334" s="37" t="n"/>
      <c r="M334" s="14">
        <f>IF(COUNTA(A334:L334)=0,"",IF(A334="","Plan ID missing",IF(COUNTIF($A$4:$A$353,A334)&gt;1,"Duplicate Plan ID",IF(B334="","AIR-ID missing",IF(C334="","Gate / forum missing",IF(AND(I334="Planned",COUNTIFS($B$4:$B$353,B334,$C$4:$C$353,C334,$K$4:$K$353,K334&amp;"",$I$4:$I$353,"Planned")&gt;1),"More than one active plan for this AIR-ID, UC-ID scope and gate",IF(AND(E334="Not applicable",J334=""),"Not applicable needs rationale and authority ref",IF(AND(E334="Required",F334=""),"Required gate needs basis / triage ref",IF(L334="","Decision scope missing",IF(AND(L334="UC-ID specific",K334=""),"UC-ID required",IF(AND(L334="Shared system baseline",K334&lt;&gt;""),"Remove UC-ID or correct scope",IF(AND(G334&lt;&gt;"",NOT(ISNUMBER(G334))),"Target date is not a date",IF(E334="","Requirement missing",IF(I334="","Plan state missing","Check against source"))))))))))))))</f>
        <v/>
      </c>
    </row>
    <row r="335">
      <c r="A335" s="40" t="n"/>
      <c r="B335" s="40" t="n"/>
      <c r="C335" s="40" t="n"/>
      <c r="D335" s="40" t="n"/>
      <c r="E335" s="40" t="n"/>
      <c r="F335" s="40" t="n"/>
      <c r="G335" s="41" t="n"/>
      <c r="H335" s="40" t="n"/>
      <c r="I335" s="40" t="n"/>
      <c r="J335" s="40" t="n"/>
      <c r="K335" s="37" t="n"/>
      <c r="L335" s="37" t="n"/>
      <c r="M335" s="14">
        <f>IF(COUNTA(A335:L335)=0,"",IF(A335="","Plan ID missing",IF(COUNTIF($A$4:$A$353,A335)&gt;1,"Duplicate Plan ID",IF(B335="","AIR-ID missing",IF(C335="","Gate / forum missing",IF(AND(I335="Planned",COUNTIFS($B$4:$B$353,B335,$C$4:$C$353,C335,$K$4:$K$353,K335&amp;"",$I$4:$I$353,"Planned")&gt;1),"More than one active plan for this AIR-ID, UC-ID scope and gate",IF(AND(E335="Not applicable",J335=""),"Not applicable needs rationale and authority ref",IF(AND(E335="Required",F335=""),"Required gate needs basis / triage ref",IF(L335="","Decision scope missing",IF(AND(L335="UC-ID specific",K335=""),"UC-ID required",IF(AND(L335="Shared system baseline",K335&lt;&gt;""),"Remove UC-ID or correct scope",IF(AND(G335&lt;&gt;"",NOT(ISNUMBER(G335))),"Target date is not a date",IF(E335="","Requirement missing",IF(I335="","Plan state missing","Check against source"))))))))))))))</f>
        <v/>
      </c>
    </row>
    <row r="336">
      <c r="A336" s="38" t="n"/>
      <c r="B336" s="38" t="n"/>
      <c r="C336" s="38" t="n"/>
      <c r="D336" s="38" t="n"/>
      <c r="E336" s="38" t="n"/>
      <c r="F336" s="38" t="n"/>
      <c r="G336" s="39" t="n"/>
      <c r="H336" s="38" t="n"/>
      <c r="I336" s="38" t="n"/>
      <c r="J336" s="38" t="n"/>
      <c r="K336" s="37" t="n"/>
      <c r="L336" s="37" t="n"/>
      <c r="M336" s="14">
        <f>IF(COUNTA(A336:L336)=0,"",IF(A336="","Plan ID missing",IF(COUNTIF($A$4:$A$353,A336)&gt;1,"Duplicate Plan ID",IF(B336="","AIR-ID missing",IF(C336="","Gate / forum missing",IF(AND(I336="Planned",COUNTIFS($B$4:$B$353,B336,$C$4:$C$353,C336,$K$4:$K$353,K336&amp;"",$I$4:$I$353,"Planned")&gt;1),"More than one active plan for this AIR-ID, UC-ID scope and gate",IF(AND(E336="Not applicable",J336=""),"Not applicable needs rationale and authority ref",IF(AND(E336="Required",F336=""),"Required gate needs basis / triage ref",IF(L336="","Decision scope missing",IF(AND(L336="UC-ID specific",K336=""),"UC-ID required",IF(AND(L336="Shared system baseline",K336&lt;&gt;""),"Remove UC-ID or correct scope",IF(AND(G336&lt;&gt;"",NOT(ISNUMBER(G336))),"Target date is not a date",IF(E336="","Requirement missing",IF(I336="","Plan state missing","Check against source"))))))))))))))</f>
        <v/>
      </c>
    </row>
    <row r="337">
      <c r="A337" s="40" t="n"/>
      <c r="B337" s="40" t="n"/>
      <c r="C337" s="40" t="n"/>
      <c r="D337" s="40" t="n"/>
      <c r="E337" s="40" t="n"/>
      <c r="F337" s="40" t="n"/>
      <c r="G337" s="41" t="n"/>
      <c r="H337" s="40" t="n"/>
      <c r="I337" s="40" t="n"/>
      <c r="J337" s="40" t="n"/>
      <c r="K337" s="37" t="n"/>
      <c r="L337" s="37" t="n"/>
      <c r="M337" s="14">
        <f>IF(COUNTA(A337:L337)=0,"",IF(A337="","Plan ID missing",IF(COUNTIF($A$4:$A$353,A337)&gt;1,"Duplicate Plan ID",IF(B337="","AIR-ID missing",IF(C337="","Gate / forum missing",IF(AND(I337="Planned",COUNTIFS($B$4:$B$353,B337,$C$4:$C$353,C337,$K$4:$K$353,K337&amp;"",$I$4:$I$353,"Planned")&gt;1),"More than one active plan for this AIR-ID, UC-ID scope and gate",IF(AND(E337="Not applicable",J337=""),"Not applicable needs rationale and authority ref",IF(AND(E337="Required",F337=""),"Required gate needs basis / triage ref",IF(L337="","Decision scope missing",IF(AND(L337="UC-ID specific",K337=""),"UC-ID required",IF(AND(L337="Shared system baseline",K337&lt;&gt;""),"Remove UC-ID or correct scope",IF(AND(G337&lt;&gt;"",NOT(ISNUMBER(G337))),"Target date is not a date",IF(E337="","Requirement missing",IF(I337="","Plan state missing","Check against source"))))))))))))))</f>
        <v/>
      </c>
    </row>
    <row r="338">
      <c r="A338" s="38" t="n"/>
      <c r="B338" s="38" t="n"/>
      <c r="C338" s="38" t="n"/>
      <c r="D338" s="38" t="n"/>
      <c r="E338" s="38" t="n"/>
      <c r="F338" s="38" t="n"/>
      <c r="G338" s="39" t="n"/>
      <c r="H338" s="38" t="n"/>
      <c r="I338" s="38" t="n"/>
      <c r="J338" s="38" t="n"/>
      <c r="K338" s="37" t="n"/>
      <c r="L338" s="37" t="n"/>
      <c r="M338" s="14">
        <f>IF(COUNTA(A338:L338)=0,"",IF(A338="","Plan ID missing",IF(COUNTIF($A$4:$A$353,A338)&gt;1,"Duplicate Plan ID",IF(B338="","AIR-ID missing",IF(C338="","Gate / forum missing",IF(AND(I338="Planned",COUNTIFS($B$4:$B$353,B338,$C$4:$C$353,C338,$K$4:$K$353,K338&amp;"",$I$4:$I$353,"Planned")&gt;1),"More than one active plan for this AIR-ID, UC-ID scope and gate",IF(AND(E338="Not applicable",J338=""),"Not applicable needs rationale and authority ref",IF(AND(E338="Required",F338=""),"Required gate needs basis / triage ref",IF(L338="","Decision scope missing",IF(AND(L338="UC-ID specific",K338=""),"UC-ID required",IF(AND(L338="Shared system baseline",K338&lt;&gt;""),"Remove UC-ID or correct scope",IF(AND(G338&lt;&gt;"",NOT(ISNUMBER(G338))),"Target date is not a date",IF(E338="","Requirement missing",IF(I338="","Plan state missing","Check against source"))))))))))))))</f>
        <v/>
      </c>
    </row>
    <row r="339">
      <c r="A339" s="40" t="n"/>
      <c r="B339" s="40" t="n"/>
      <c r="C339" s="40" t="n"/>
      <c r="D339" s="40" t="n"/>
      <c r="E339" s="40" t="n"/>
      <c r="F339" s="40" t="n"/>
      <c r="G339" s="41" t="n"/>
      <c r="H339" s="40" t="n"/>
      <c r="I339" s="40" t="n"/>
      <c r="J339" s="40" t="n"/>
      <c r="K339" s="37" t="n"/>
      <c r="L339" s="37" t="n"/>
      <c r="M339" s="14">
        <f>IF(COUNTA(A339:L339)=0,"",IF(A339="","Plan ID missing",IF(COUNTIF($A$4:$A$353,A339)&gt;1,"Duplicate Plan ID",IF(B339="","AIR-ID missing",IF(C339="","Gate / forum missing",IF(AND(I339="Planned",COUNTIFS($B$4:$B$353,B339,$C$4:$C$353,C339,$K$4:$K$353,K339&amp;"",$I$4:$I$353,"Planned")&gt;1),"More than one active plan for this AIR-ID, UC-ID scope and gate",IF(AND(E339="Not applicable",J339=""),"Not applicable needs rationale and authority ref",IF(AND(E339="Required",F339=""),"Required gate needs basis / triage ref",IF(L339="","Decision scope missing",IF(AND(L339="UC-ID specific",K339=""),"UC-ID required",IF(AND(L339="Shared system baseline",K339&lt;&gt;""),"Remove UC-ID or correct scope",IF(AND(G339&lt;&gt;"",NOT(ISNUMBER(G339))),"Target date is not a date",IF(E339="","Requirement missing",IF(I339="","Plan state missing","Check against source"))))))))))))))</f>
        <v/>
      </c>
    </row>
    <row r="340">
      <c r="A340" s="38" t="n"/>
      <c r="B340" s="38" t="n"/>
      <c r="C340" s="38" t="n"/>
      <c r="D340" s="38" t="n"/>
      <c r="E340" s="38" t="n"/>
      <c r="F340" s="38" t="n"/>
      <c r="G340" s="39" t="n"/>
      <c r="H340" s="38" t="n"/>
      <c r="I340" s="38" t="n"/>
      <c r="J340" s="38" t="n"/>
      <c r="K340" s="37" t="n"/>
      <c r="L340" s="37" t="n"/>
      <c r="M340" s="14">
        <f>IF(COUNTA(A340:L340)=0,"",IF(A340="","Plan ID missing",IF(COUNTIF($A$4:$A$353,A340)&gt;1,"Duplicate Plan ID",IF(B340="","AIR-ID missing",IF(C340="","Gate / forum missing",IF(AND(I340="Planned",COUNTIFS($B$4:$B$353,B340,$C$4:$C$353,C340,$K$4:$K$353,K340&amp;"",$I$4:$I$353,"Planned")&gt;1),"More than one active plan for this AIR-ID, UC-ID scope and gate",IF(AND(E340="Not applicable",J340=""),"Not applicable needs rationale and authority ref",IF(AND(E340="Required",F340=""),"Required gate needs basis / triage ref",IF(L340="","Decision scope missing",IF(AND(L340="UC-ID specific",K340=""),"UC-ID required",IF(AND(L340="Shared system baseline",K340&lt;&gt;""),"Remove UC-ID or correct scope",IF(AND(G340&lt;&gt;"",NOT(ISNUMBER(G340))),"Target date is not a date",IF(E340="","Requirement missing",IF(I340="","Plan state missing","Check against source"))))))))))))))</f>
        <v/>
      </c>
    </row>
    <row r="341">
      <c r="A341" s="40" t="n"/>
      <c r="B341" s="40" t="n"/>
      <c r="C341" s="40" t="n"/>
      <c r="D341" s="40" t="n"/>
      <c r="E341" s="40" t="n"/>
      <c r="F341" s="40" t="n"/>
      <c r="G341" s="41" t="n"/>
      <c r="H341" s="40" t="n"/>
      <c r="I341" s="40" t="n"/>
      <c r="J341" s="40" t="n"/>
      <c r="K341" s="37" t="n"/>
      <c r="L341" s="37" t="n"/>
      <c r="M341" s="14">
        <f>IF(COUNTA(A341:L341)=0,"",IF(A341="","Plan ID missing",IF(COUNTIF($A$4:$A$353,A341)&gt;1,"Duplicate Plan ID",IF(B341="","AIR-ID missing",IF(C341="","Gate / forum missing",IF(AND(I341="Planned",COUNTIFS($B$4:$B$353,B341,$C$4:$C$353,C341,$K$4:$K$353,K341&amp;"",$I$4:$I$353,"Planned")&gt;1),"More than one active plan for this AIR-ID, UC-ID scope and gate",IF(AND(E341="Not applicable",J341=""),"Not applicable needs rationale and authority ref",IF(AND(E341="Required",F341=""),"Required gate needs basis / triage ref",IF(L341="","Decision scope missing",IF(AND(L341="UC-ID specific",K341=""),"UC-ID required",IF(AND(L341="Shared system baseline",K341&lt;&gt;""),"Remove UC-ID or correct scope",IF(AND(G341&lt;&gt;"",NOT(ISNUMBER(G341))),"Target date is not a date",IF(E341="","Requirement missing",IF(I341="","Plan state missing","Check against source"))))))))))))))</f>
        <v/>
      </c>
    </row>
    <row r="342">
      <c r="A342" s="38" t="n"/>
      <c r="B342" s="38" t="n"/>
      <c r="C342" s="38" t="n"/>
      <c r="D342" s="38" t="n"/>
      <c r="E342" s="38" t="n"/>
      <c r="F342" s="38" t="n"/>
      <c r="G342" s="39" t="n"/>
      <c r="H342" s="38" t="n"/>
      <c r="I342" s="38" t="n"/>
      <c r="J342" s="38" t="n"/>
      <c r="K342" s="37" t="n"/>
      <c r="L342" s="37" t="n"/>
      <c r="M342" s="14">
        <f>IF(COUNTA(A342:L342)=0,"",IF(A342="","Plan ID missing",IF(COUNTIF($A$4:$A$353,A342)&gt;1,"Duplicate Plan ID",IF(B342="","AIR-ID missing",IF(C342="","Gate / forum missing",IF(AND(I342="Planned",COUNTIFS($B$4:$B$353,B342,$C$4:$C$353,C342,$K$4:$K$353,K342&amp;"",$I$4:$I$353,"Planned")&gt;1),"More than one active plan for this AIR-ID, UC-ID scope and gate",IF(AND(E342="Not applicable",J342=""),"Not applicable needs rationale and authority ref",IF(AND(E342="Required",F342=""),"Required gate needs basis / triage ref",IF(L342="","Decision scope missing",IF(AND(L342="UC-ID specific",K342=""),"UC-ID required",IF(AND(L342="Shared system baseline",K342&lt;&gt;""),"Remove UC-ID or correct scope",IF(AND(G342&lt;&gt;"",NOT(ISNUMBER(G342))),"Target date is not a date",IF(E342="","Requirement missing",IF(I342="","Plan state missing","Check against source"))))))))))))))</f>
        <v/>
      </c>
    </row>
    <row r="343">
      <c r="A343" s="40" t="n"/>
      <c r="B343" s="40" t="n"/>
      <c r="C343" s="40" t="n"/>
      <c r="D343" s="40" t="n"/>
      <c r="E343" s="40" t="n"/>
      <c r="F343" s="40" t="n"/>
      <c r="G343" s="41" t="n"/>
      <c r="H343" s="40" t="n"/>
      <c r="I343" s="40" t="n"/>
      <c r="J343" s="40" t="n"/>
      <c r="K343" s="37" t="n"/>
      <c r="L343" s="37" t="n"/>
      <c r="M343" s="14">
        <f>IF(COUNTA(A343:L343)=0,"",IF(A343="","Plan ID missing",IF(COUNTIF($A$4:$A$353,A343)&gt;1,"Duplicate Plan ID",IF(B343="","AIR-ID missing",IF(C343="","Gate / forum missing",IF(AND(I343="Planned",COUNTIFS($B$4:$B$353,B343,$C$4:$C$353,C343,$K$4:$K$353,K343&amp;"",$I$4:$I$353,"Planned")&gt;1),"More than one active plan for this AIR-ID, UC-ID scope and gate",IF(AND(E343="Not applicable",J343=""),"Not applicable needs rationale and authority ref",IF(AND(E343="Required",F343=""),"Required gate needs basis / triage ref",IF(L343="","Decision scope missing",IF(AND(L343="UC-ID specific",K343=""),"UC-ID required",IF(AND(L343="Shared system baseline",K343&lt;&gt;""),"Remove UC-ID or correct scope",IF(AND(G343&lt;&gt;"",NOT(ISNUMBER(G343))),"Target date is not a date",IF(E343="","Requirement missing",IF(I343="","Plan state missing","Check against source"))))))))))))))</f>
        <v/>
      </c>
    </row>
    <row r="344">
      <c r="A344" s="38" t="n"/>
      <c r="B344" s="38" t="n"/>
      <c r="C344" s="38" t="n"/>
      <c r="D344" s="38" t="n"/>
      <c r="E344" s="38" t="n"/>
      <c r="F344" s="38" t="n"/>
      <c r="G344" s="39" t="n"/>
      <c r="H344" s="38" t="n"/>
      <c r="I344" s="38" t="n"/>
      <c r="J344" s="38" t="n"/>
      <c r="K344" s="37" t="n"/>
      <c r="L344" s="37" t="n"/>
      <c r="M344" s="14">
        <f>IF(COUNTA(A344:L344)=0,"",IF(A344="","Plan ID missing",IF(COUNTIF($A$4:$A$353,A344)&gt;1,"Duplicate Plan ID",IF(B344="","AIR-ID missing",IF(C344="","Gate / forum missing",IF(AND(I344="Planned",COUNTIFS($B$4:$B$353,B344,$C$4:$C$353,C344,$K$4:$K$353,K344&amp;"",$I$4:$I$353,"Planned")&gt;1),"More than one active plan for this AIR-ID, UC-ID scope and gate",IF(AND(E344="Not applicable",J344=""),"Not applicable needs rationale and authority ref",IF(AND(E344="Required",F344=""),"Required gate needs basis / triage ref",IF(L344="","Decision scope missing",IF(AND(L344="UC-ID specific",K344=""),"UC-ID required",IF(AND(L344="Shared system baseline",K344&lt;&gt;""),"Remove UC-ID or correct scope",IF(AND(G344&lt;&gt;"",NOT(ISNUMBER(G344))),"Target date is not a date",IF(E344="","Requirement missing",IF(I344="","Plan state missing","Check against source"))))))))))))))</f>
        <v/>
      </c>
    </row>
    <row r="345">
      <c r="A345" s="40" t="n"/>
      <c r="B345" s="40" t="n"/>
      <c r="C345" s="40" t="n"/>
      <c r="D345" s="40" t="n"/>
      <c r="E345" s="40" t="n"/>
      <c r="F345" s="40" t="n"/>
      <c r="G345" s="41" t="n"/>
      <c r="H345" s="40" t="n"/>
      <c r="I345" s="40" t="n"/>
      <c r="J345" s="40" t="n"/>
      <c r="K345" s="37" t="n"/>
      <c r="L345" s="37" t="n"/>
      <c r="M345" s="14">
        <f>IF(COUNTA(A345:L345)=0,"",IF(A345="","Plan ID missing",IF(COUNTIF($A$4:$A$353,A345)&gt;1,"Duplicate Plan ID",IF(B345="","AIR-ID missing",IF(C345="","Gate / forum missing",IF(AND(I345="Planned",COUNTIFS($B$4:$B$353,B345,$C$4:$C$353,C345,$K$4:$K$353,K345&amp;"",$I$4:$I$353,"Planned")&gt;1),"More than one active plan for this AIR-ID, UC-ID scope and gate",IF(AND(E345="Not applicable",J345=""),"Not applicable needs rationale and authority ref",IF(AND(E345="Required",F345=""),"Required gate needs basis / triage ref",IF(L345="","Decision scope missing",IF(AND(L345="UC-ID specific",K345=""),"UC-ID required",IF(AND(L345="Shared system baseline",K345&lt;&gt;""),"Remove UC-ID or correct scope",IF(AND(G345&lt;&gt;"",NOT(ISNUMBER(G345))),"Target date is not a date",IF(E345="","Requirement missing",IF(I345="","Plan state missing","Check against source"))))))))))))))</f>
        <v/>
      </c>
    </row>
    <row r="346">
      <c r="A346" s="38" t="n"/>
      <c r="B346" s="38" t="n"/>
      <c r="C346" s="38" t="n"/>
      <c r="D346" s="38" t="n"/>
      <c r="E346" s="38" t="n"/>
      <c r="F346" s="38" t="n"/>
      <c r="G346" s="39" t="n"/>
      <c r="H346" s="38" t="n"/>
      <c r="I346" s="38" t="n"/>
      <c r="J346" s="38" t="n"/>
      <c r="K346" s="37" t="n"/>
      <c r="L346" s="37" t="n"/>
      <c r="M346" s="14">
        <f>IF(COUNTA(A346:L346)=0,"",IF(A346="","Plan ID missing",IF(COUNTIF($A$4:$A$353,A346)&gt;1,"Duplicate Plan ID",IF(B346="","AIR-ID missing",IF(C346="","Gate / forum missing",IF(AND(I346="Planned",COUNTIFS($B$4:$B$353,B346,$C$4:$C$353,C346,$K$4:$K$353,K346&amp;"",$I$4:$I$353,"Planned")&gt;1),"More than one active plan for this AIR-ID, UC-ID scope and gate",IF(AND(E346="Not applicable",J346=""),"Not applicable needs rationale and authority ref",IF(AND(E346="Required",F346=""),"Required gate needs basis / triage ref",IF(L346="","Decision scope missing",IF(AND(L346="UC-ID specific",K346=""),"UC-ID required",IF(AND(L346="Shared system baseline",K346&lt;&gt;""),"Remove UC-ID or correct scope",IF(AND(G346&lt;&gt;"",NOT(ISNUMBER(G346))),"Target date is not a date",IF(E346="","Requirement missing",IF(I346="","Plan state missing","Check against source"))))))))))))))</f>
        <v/>
      </c>
    </row>
    <row r="347">
      <c r="A347" s="40" t="n"/>
      <c r="B347" s="40" t="n"/>
      <c r="C347" s="40" t="n"/>
      <c r="D347" s="40" t="n"/>
      <c r="E347" s="40" t="n"/>
      <c r="F347" s="40" t="n"/>
      <c r="G347" s="41" t="n"/>
      <c r="H347" s="40" t="n"/>
      <c r="I347" s="40" t="n"/>
      <c r="J347" s="40" t="n"/>
      <c r="K347" s="37" t="n"/>
      <c r="L347" s="37" t="n"/>
      <c r="M347" s="14">
        <f>IF(COUNTA(A347:L347)=0,"",IF(A347="","Plan ID missing",IF(COUNTIF($A$4:$A$353,A347)&gt;1,"Duplicate Plan ID",IF(B347="","AIR-ID missing",IF(C347="","Gate / forum missing",IF(AND(I347="Planned",COUNTIFS($B$4:$B$353,B347,$C$4:$C$353,C347,$K$4:$K$353,K347&amp;"",$I$4:$I$353,"Planned")&gt;1),"More than one active plan for this AIR-ID, UC-ID scope and gate",IF(AND(E347="Not applicable",J347=""),"Not applicable needs rationale and authority ref",IF(AND(E347="Required",F347=""),"Required gate needs basis / triage ref",IF(L347="","Decision scope missing",IF(AND(L347="UC-ID specific",K347=""),"UC-ID required",IF(AND(L347="Shared system baseline",K347&lt;&gt;""),"Remove UC-ID or correct scope",IF(AND(G347&lt;&gt;"",NOT(ISNUMBER(G347))),"Target date is not a date",IF(E347="","Requirement missing",IF(I347="","Plan state missing","Check against source"))))))))))))))</f>
        <v/>
      </c>
    </row>
    <row r="348">
      <c r="A348" s="38" t="n"/>
      <c r="B348" s="38" t="n"/>
      <c r="C348" s="38" t="n"/>
      <c r="D348" s="38" t="n"/>
      <c r="E348" s="38" t="n"/>
      <c r="F348" s="38" t="n"/>
      <c r="G348" s="39" t="n"/>
      <c r="H348" s="38" t="n"/>
      <c r="I348" s="38" t="n"/>
      <c r="J348" s="38" t="n"/>
      <c r="K348" s="37" t="n"/>
      <c r="L348" s="37" t="n"/>
      <c r="M348" s="14">
        <f>IF(COUNTA(A348:L348)=0,"",IF(A348="","Plan ID missing",IF(COUNTIF($A$4:$A$353,A348)&gt;1,"Duplicate Plan ID",IF(B348="","AIR-ID missing",IF(C348="","Gate / forum missing",IF(AND(I348="Planned",COUNTIFS($B$4:$B$353,B348,$C$4:$C$353,C348,$K$4:$K$353,K348&amp;"",$I$4:$I$353,"Planned")&gt;1),"More than one active plan for this AIR-ID, UC-ID scope and gate",IF(AND(E348="Not applicable",J348=""),"Not applicable needs rationale and authority ref",IF(AND(E348="Required",F348=""),"Required gate needs basis / triage ref",IF(L348="","Decision scope missing",IF(AND(L348="UC-ID specific",K348=""),"UC-ID required",IF(AND(L348="Shared system baseline",K348&lt;&gt;""),"Remove UC-ID or correct scope",IF(AND(G348&lt;&gt;"",NOT(ISNUMBER(G348))),"Target date is not a date",IF(E348="","Requirement missing",IF(I348="","Plan state missing","Check against source"))))))))))))))</f>
        <v/>
      </c>
    </row>
    <row r="349">
      <c r="A349" s="40" t="n"/>
      <c r="B349" s="40" t="n"/>
      <c r="C349" s="40" t="n"/>
      <c r="D349" s="40" t="n"/>
      <c r="E349" s="40" t="n"/>
      <c r="F349" s="40" t="n"/>
      <c r="G349" s="41" t="n"/>
      <c r="H349" s="40" t="n"/>
      <c r="I349" s="40" t="n"/>
      <c r="J349" s="40" t="n"/>
      <c r="K349" s="37" t="n"/>
      <c r="L349" s="37" t="n"/>
      <c r="M349" s="14">
        <f>IF(COUNTA(A349:L349)=0,"",IF(A349="","Plan ID missing",IF(COUNTIF($A$4:$A$353,A349)&gt;1,"Duplicate Plan ID",IF(B349="","AIR-ID missing",IF(C349="","Gate / forum missing",IF(AND(I349="Planned",COUNTIFS($B$4:$B$353,B349,$C$4:$C$353,C349,$K$4:$K$353,K349&amp;"",$I$4:$I$353,"Planned")&gt;1),"More than one active plan for this AIR-ID, UC-ID scope and gate",IF(AND(E349="Not applicable",J349=""),"Not applicable needs rationale and authority ref",IF(AND(E349="Required",F349=""),"Required gate needs basis / triage ref",IF(L349="","Decision scope missing",IF(AND(L349="UC-ID specific",K349=""),"UC-ID required",IF(AND(L349="Shared system baseline",K349&lt;&gt;""),"Remove UC-ID or correct scope",IF(AND(G349&lt;&gt;"",NOT(ISNUMBER(G349))),"Target date is not a date",IF(E349="","Requirement missing",IF(I349="","Plan state missing","Check against source"))))))))))))))</f>
        <v/>
      </c>
    </row>
    <row r="350">
      <c r="A350" s="38" t="n"/>
      <c r="B350" s="38" t="n"/>
      <c r="C350" s="38" t="n"/>
      <c r="D350" s="38" t="n"/>
      <c r="E350" s="38" t="n"/>
      <c r="F350" s="38" t="n"/>
      <c r="G350" s="39" t="n"/>
      <c r="H350" s="38" t="n"/>
      <c r="I350" s="38" t="n"/>
      <c r="J350" s="38" t="n"/>
      <c r="K350" s="37" t="n"/>
      <c r="L350" s="37" t="n"/>
      <c r="M350" s="14">
        <f>IF(COUNTA(A350:L350)=0,"",IF(A350="","Plan ID missing",IF(COUNTIF($A$4:$A$353,A350)&gt;1,"Duplicate Plan ID",IF(B350="","AIR-ID missing",IF(C350="","Gate / forum missing",IF(AND(I350="Planned",COUNTIFS($B$4:$B$353,B350,$C$4:$C$353,C350,$K$4:$K$353,K350&amp;"",$I$4:$I$353,"Planned")&gt;1),"More than one active plan for this AIR-ID, UC-ID scope and gate",IF(AND(E350="Not applicable",J350=""),"Not applicable needs rationale and authority ref",IF(AND(E350="Required",F350=""),"Required gate needs basis / triage ref",IF(L350="","Decision scope missing",IF(AND(L350="UC-ID specific",K350=""),"UC-ID required",IF(AND(L350="Shared system baseline",K350&lt;&gt;""),"Remove UC-ID or correct scope",IF(AND(G350&lt;&gt;"",NOT(ISNUMBER(G350))),"Target date is not a date",IF(E350="","Requirement missing",IF(I350="","Plan state missing","Check against source"))))))))))))))</f>
        <v/>
      </c>
    </row>
    <row r="351">
      <c r="A351" s="40" t="n"/>
      <c r="B351" s="40" t="n"/>
      <c r="C351" s="40" t="n"/>
      <c r="D351" s="40" t="n"/>
      <c r="E351" s="40" t="n"/>
      <c r="F351" s="40" t="n"/>
      <c r="G351" s="41" t="n"/>
      <c r="H351" s="40" t="n"/>
      <c r="I351" s="40" t="n"/>
      <c r="J351" s="40" t="n"/>
      <c r="K351" s="37" t="n"/>
      <c r="L351" s="37" t="n"/>
      <c r="M351" s="14">
        <f>IF(COUNTA(A351:L351)=0,"",IF(A351="","Plan ID missing",IF(COUNTIF($A$4:$A$353,A351)&gt;1,"Duplicate Plan ID",IF(B351="","AIR-ID missing",IF(C351="","Gate / forum missing",IF(AND(I351="Planned",COUNTIFS($B$4:$B$353,B351,$C$4:$C$353,C351,$K$4:$K$353,K351&amp;"",$I$4:$I$353,"Planned")&gt;1),"More than one active plan for this AIR-ID, UC-ID scope and gate",IF(AND(E351="Not applicable",J351=""),"Not applicable needs rationale and authority ref",IF(AND(E351="Required",F351=""),"Required gate needs basis / triage ref",IF(L351="","Decision scope missing",IF(AND(L351="UC-ID specific",K351=""),"UC-ID required",IF(AND(L351="Shared system baseline",K351&lt;&gt;""),"Remove UC-ID or correct scope",IF(AND(G351&lt;&gt;"",NOT(ISNUMBER(G351))),"Target date is not a date",IF(E351="","Requirement missing",IF(I351="","Plan state missing","Check against source"))))))))))))))</f>
        <v/>
      </c>
    </row>
    <row r="352">
      <c r="A352" s="38" t="n"/>
      <c r="B352" s="38" t="n"/>
      <c r="C352" s="38" t="n"/>
      <c r="D352" s="38" t="n"/>
      <c r="E352" s="38" t="n"/>
      <c r="F352" s="38" t="n"/>
      <c r="G352" s="39" t="n"/>
      <c r="H352" s="38" t="n"/>
      <c r="I352" s="38" t="n"/>
      <c r="J352" s="38" t="n"/>
      <c r="K352" s="37" t="n"/>
      <c r="L352" s="37" t="n"/>
      <c r="M352" s="14">
        <f>IF(COUNTA(A352:L352)=0,"",IF(A352="","Plan ID missing",IF(COUNTIF($A$4:$A$353,A352)&gt;1,"Duplicate Plan ID",IF(B352="","AIR-ID missing",IF(C352="","Gate / forum missing",IF(AND(I352="Planned",COUNTIFS($B$4:$B$353,B352,$C$4:$C$353,C352,$K$4:$K$353,K352&amp;"",$I$4:$I$353,"Planned")&gt;1),"More than one active plan for this AIR-ID, UC-ID scope and gate",IF(AND(E352="Not applicable",J352=""),"Not applicable needs rationale and authority ref",IF(AND(E352="Required",F352=""),"Required gate needs basis / triage ref",IF(L352="","Decision scope missing",IF(AND(L352="UC-ID specific",K352=""),"UC-ID required",IF(AND(L352="Shared system baseline",K352&lt;&gt;""),"Remove UC-ID or correct scope",IF(AND(G352&lt;&gt;"",NOT(ISNUMBER(G352))),"Target date is not a date",IF(E352="","Requirement missing",IF(I352="","Plan state missing","Check against source"))))))))))))))</f>
        <v/>
      </c>
    </row>
    <row r="353">
      <c r="A353" s="40" t="n"/>
      <c r="B353" s="40" t="n"/>
      <c r="C353" s="40" t="n"/>
      <c r="D353" s="40" t="n"/>
      <c r="E353" s="40" t="n"/>
      <c r="F353" s="40" t="n"/>
      <c r="G353" s="41" t="n"/>
      <c r="H353" s="40" t="n"/>
      <c r="I353" s="40" t="n"/>
      <c r="J353" s="40" t="n"/>
      <c r="K353" s="37" t="n"/>
      <c r="L353" s="37" t="n"/>
      <c r="M353" s="14">
        <f>IF(COUNTA(A353:L353)=0,"",IF(A353="","Plan ID missing",IF(COUNTIF($A$4:$A$353,A353)&gt;1,"Duplicate Plan ID",IF(B353="","AIR-ID missing",IF(C353="","Gate / forum missing",IF(AND(I353="Planned",COUNTIFS($B$4:$B$353,B353,$C$4:$C$353,C353,$K$4:$K$353,K353&amp;"",$I$4:$I$353,"Planned")&gt;1),"More than one active plan for this AIR-ID, UC-ID scope and gate",IF(AND(E353="Not applicable",J353=""),"Not applicable needs rationale and authority ref",IF(AND(E353="Required",F353=""),"Required gate needs basis / triage ref",IF(L353="","Decision scope missing",IF(AND(L353="UC-ID specific",K353=""),"UC-ID required",IF(AND(L353="Shared system baseline",K353&lt;&gt;""),"Remove UC-ID or correct scope",IF(AND(G353&lt;&gt;"",NOT(ISNUMBER(G353))),"Target date is not a date",IF(E353="","Requirement missing",IF(I353="","Plan state missing","Check against source"))))))))))))))</f>
        <v/>
      </c>
    </row>
  </sheetData>
  <sheetProtection sheet="1" objects="1" scenarios="1" formatCells="0" formatColumns="0" formatRows="0" autoFilter="0" sort="0" selectLockedCells="0" selectUnlockedCells="0"/>
  <mergeCells count="2">
    <mergeCell ref="A1:J1"/>
    <mergeCell ref="A2:J2"/>
  </mergeCells>
  <conditionalFormatting sqref="M4:M353">
    <cfRule type="expression" priority="1" dxfId="0">
      <formula>AND($M4&lt;&gt;"",$M4&lt;&gt;"Check against source")</formula>
    </cfRule>
  </conditionalFormatting>
  <dataValidations count="4">
    <dataValidation sqref="E4:E353" showDropDown="0" showInputMessage="0" showErrorMessage="1" allowBlank="1" errorTitle="Controlled value" error="Choose a value from the list." type="list">
      <formula1>"Required,Conditional,Not applicable"</formula1>
    </dataValidation>
    <dataValidation sqref="I4:I353" showDropDown="0" showInputMessage="0" showErrorMessage="1" allowBlank="1" errorTitle="Controlled value" error="Choose a value from the list." type="list">
      <formula1>"Planned,Complete,Superseded,Cancelled"</formula1>
    </dataValidation>
    <dataValidation sqref="L4:L353" showDropDown="0" showInputMessage="0" showErrorMessage="1" allowBlank="1" type="list" errorStyle="stop">
      <formula1>"UC-ID specific,Shared system baseline"</formula1>
    </dataValidation>
    <dataValidation sqref="C4:C353" showDropDown="0" showInputMessage="0" showErrorMessage="1" allowBlank="1" errorTitle="Controlled value" error="Choose the AIG-DEC-01 gate from the Lists sheet." type="list" errorStyle="stop">
      <formula1>Lists!$A$5:$A$14</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X553"/>
  <sheetViews>
    <sheetView showGridLines="0" workbookViewId="0">
      <pane xSplit="2" ySplit="3" topLeftCell="C4" activePane="bottomRight" state="frozen"/>
      <selection activeCell="A1" sqref="A1"/>
    </sheetView>
  </sheetViews>
  <sheetFormatPr baseColWidth="8" defaultRowHeight="15"/>
  <cols>
    <col width="19" customWidth="1" min="1" max="1"/>
    <col width="17" customWidth="1" min="2" max="2"/>
    <col width="19" customWidth="1" min="3" max="3"/>
    <col width="28" customWidth="1" min="4" max="4"/>
    <col width="21" customWidth="1" min="5" max="5"/>
    <col width="17" customWidth="1" min="6" max="6"/>
    <col width="24" customWidth="1" min="7" max="7"/>
    <col width="30" customWidth="1" min="8" max="8"/>
    <col width="30" customWidth="1" min="9" max="9"/>
    <col width="27" customWidth="1" min="10" max="10"/>
    <col width="30" customWidth="1" min="11" max="11"/>
    <col width="32" customWidth="1" min="12" max="12"/>
    <col width="25" customWidth="1" min="13" max="13"/>
    <col width="39" customWidth="1" min="14" max="14"/>
    <col width="34" customWidth="1" min="15" max="15"/>
    <col width="34" customWidth="1" min="16" max="16"/>
    <col width="34" customWidth="1" min="17" max="17"/>
    <col width="14" customWidth="1" min="18" max="18"/>
    <col width="30" customWidth="1" min="19" max="19"/>
    <col width="30" customWidth="1" min="20" max="20"/>
    <col width="30" customWidth="1" min="21" max="21"/>
    <col width="30" customWidth="1" min="22" max="22"/>
    <col width="22" customWidth="1" min="23" max="23"/>
    <col width="26" customWidth="1" min="24" max="24"/>
  </cols>
  <sheetData>
    <row r="1" ht="34" customHeight="1">
      <c r="A1" s="19" t="inlineStr">
        <is>
          <t>AIG-DEC-04 / GATE EVENTS — WHAT ACTUALLY HAPPENED</t>
        </is>
      </c>
      <c r="O1" s="14" t="n"/>
      <c r="P1" s="14" t="n"/>
      <c r="Q1" s="14" t="n"/>
    </row>
    <row r="2" ht="43" customHeight="1">
      <c r="A2" s="20" t="inlineStr">
        <is>
          <t>One dated occurrence per row. An assurance opinion is not a delegated approval. Decision events need the authoritative AIG-DEC-03 decision or approved-minutes reference.</t>
        </is>
      </c>
      <c r="O2" s="20" t="inlineStr">
        <is>
          <t>One dated event row per UC-ID (split multi-use decisions into suffixed Event IDs). UC-ID specific scope is mandatory for use approval; a shared baseline event is not UC approval. A precautionary pause (Playbook §4.7.17) is containment, not a decision: Event type “Precautionary pause (containment)”, Outcome “Paused — pending decision”, no AIG-DEC-03 ref needed; record the AIG-OPS-03 incident ref (V) and the follow-up decision due date (W). To lift the pause with the approval unchanged, record a Decision with Outcome “Resume” in a later row for the same AIR-ID and UC-ID (AIG-DEC-03 ref needed; new conditions go on Conditions rows).</t>
        </is>
      </c>
      <c r="P2" s="14" t="n"/>
      <c r="Q2" s="14" t="n"/>
    </row>
    <row r="3" ht="56" customHeight="1">
      <c r="A3" s="21" t="inlineStr">
        <is>
          <t>Event ID</t>
        </is>
      </c>
      <c r="B3" s="21" t="inlineStr">
        <is>
          <t>AIR-ID</t>
        </is>
      </c>
      <c r="C3" s="21" t="inlineStr">
        <is>
          <t>Plan ID (if any)</t>
        </is>
      </c>
      <c r="D3" s="21" t="inlineStr">
        <is>
          <t>Gate / forum</t>
        </is>
      </c>
      <c r="E3" s="21" t="inlineStr">
        <is>
          <t>Event type</t>
        </is>
      </c>
      <c r="F3" s="21" t="inlineStr">
        <is>
          <t>Date</t>
        </is>
      </c>
      <c r="G3" s="21" t="inlineStr">
        <is>
          <t>Outcome</t>
        </is>
      </c>
      <c r="H3" s="21" t="inlineStr">
        <is>
          <t>Decision-maker / role</t>
        </is>
      </c>
      <c r="I3" s="21" t="inlineStr">
        <is>
          <t>AIG-DEC-03 / minutes ref</t>
        </is>
      </c>
      <c r="J3" s="21" t="inlineStr">
        <is>
          <t>Assurance opinion ref</t>
        </is>
      </c>
      <c r="K3" s="21" t="inlineStr">
        <is>
          <t>Technical snapshot / as-at ref</t>
        </is>
      </c>
      <c r="L3" s="21" t="inlineStr">
        <is>
          <t>Next gate / action</t>
        </is>
      </c>
      <c r="M3" s="21" t="inlineStr">
        <is>
          <t>Recorded by</t>
        </is>
      </c>
      <c r="N3" s="21" t="inlineStr">
        <is>
          <t>Row check</t>
        </is>
      </c>
      <c r="O3" s="21" t="inlineStr">
        <is>
          <t>UC-ID(s) covered by this dated event</t>
        </is>
      </c>
      <c r="P3" s="21" t="inlineStr">
        <is>
          <t>Decision scope (UC-ID specific / Shared system baseline)</t>
        </is>
      </c>
      <c r="Q3" s="21" t="inlineStr">
        <is>
          <t>Decision-scope completeness prompt</t>
        </is>
      </c>
      <c r="R3" s="21" t="inlineStr">
        <is>
          <t>Time (hh:mm)</t>
        </is>
      </c>
      <c r="S3" s="21" t="inlineStr">
        <is>
          <t>Source (minutes / decision record / system)</t>
        </is>
      </c>
      <c r="T3" s="21" t="inlineStr">
        <is>
          <t>Evidence ID(s) (AIG-INV-04 Evidence index)</t>
        </is>
      </c>
      <c r="U3" s="21" t="inlineStr">
        <is>
          <t>Event-time lifecycle stage</t>
        </is>
      </c>
      <c r="V3" s="21" t="inlineStr">
        <is>
          <t>Incident ref (AIG-OPS-03), precautionary pause</t>
        </is>
      </c>
      <c r="W3" s="21" t="inlineStr">
        <is>
          <t>Follow-up decision due date (precautionary pause)</t>
        </is>
      </c>
      <c r="X3" s="21" t="inlineStr">
        <is>
          <t>Screening considered by the decision-maker (Yes / No)</t>
        </is>
      </c>
    </row>
    <row r="4">
      <c r="A4" s="38" t="n"/>
      <c r="B4" s="38" t="n"/>
      <c r="C4" s="38" t="n"/>
      <c r="D4" s="38" t="n"/>
      <c r="E4" s="38" t="n"/>
      <c r="F4" s="39" t="n"/>
      <c r="G4" s="38" t="n"/>
      <c r="H4" s="38" t="n"/>
      <c r="I4" s="38" t="n"/>
      <c r="J4" s="38" t="n"/>
      <c r="K4" s="38" t="n"/>
      <c r="L4" s="38" t="n"/>
      <c r="M4" s="38" t="n"/>
      <c r="N4" s="22">
        <f>IF(COUNTA(A4:M4,O4:P4,R4:X4)=0,"",IF(OR(A4="",B4="",F4=""),"Event ID, AIR-ID or date missing",IF(COUNTIF($A$4:$A$553,A4)&gt;1,"Duplicate Event ID",IF(E4="","Event type missing",IF(OR(NOT(ISNUMBER(F4)),F4&gt;TODAY()),"Date is not a real date or is in the future",IF(AND(C4&lt;&gt;"",COUNTIF('Gate plan'!$A$4:$A$353,C4)=0),"Plan ID not found in Gate plan",IF(AND(C4&lt;&gt;"",COUNTIFS('Gate plan'!$A$4:$A$353,C4,'Gate plan'!$B$4:$B$353,B4)=0),"Plan AIR-ID differs from event",IF(D4="","Gate / forum missing",IF(AND(E4="Precautionary pause (containment)",G4&lt;&gt;"Paused — pending decision"),"Precautionary pause: Outcome must be Paused, pending decision",IF(AND(E4="Precautionary pause (containment)",V4=""),"Precautionary pause: AIG-OPS-03 incident ref missing",IF(AND(E4="Precautionary pause (containment)",NOT(ISNUMBER(W4))),"Precautionary pause: follow-up decision due date missing",IF(AND(G4="Paused — pending decision",E4&lt;&gt;"Precautionary pause (containment)"),"Paused, pending decision is only for a Precautionary pause event",IF(AND(E4="Decision",OR(G4="",H4="",I4="")),"Outcome / delegation / decision ref missing",IF(AND(E4="Decision",NOT(OR(G4="Progress",G4="Progress with condition",G4="Return for evidence",G4="Pause",G4="Stop",G4="Suspend",G4="Decommission",G4="Re-authorise",G4="Resume"))),"Decision event needs a decision outcome",IF(AND(E4="Priority override",OR(H4="",I4="")),"Decision-maker / AIG-DEC-03 ref missing",IF(AND(E4="Priority override",G4&lt;&gt;"",G4&lt;&gt;"No decision"),"Priority override: Outcome blank or No decision",IF(AND(E4&lt;&gt;"Decision",OR(G4="Progress",G4="Progress with condition",G4="Return for evidence",G4="Pause",G4="Stop",G4="Suspend",G4="Decommission",G4="Re-authorise",G4="Resume")),"Outcome implies decision",IF(OR(ISNUMBER(SEARCH(",",O4)),ISNUMBER(SEARCH(";",O4))),"One UC-ID per event row — split this event",IF(AND(E4="Decision",OR(Q4="UC-ID REQUIRED",Q4="Decision scope missing",Q4="REMOVE UC-ID OR CORRECT SCOPE")),"Decision scope missing",IF(AND(G4="Progress with condition",COUNTIF(Conditions!$B$4:$B$553,A4)=0),"Progress with condition needs at least one Conditions row",IF(AND(C4&lt;&gt;"",COUNTIFS('Gate plan'!$A$4:$A$353,C4,'Gate plan'!$C$4:$C$353,D4)=0),"Plan gate differs from event gate",IF(AND(C4&lt;&gt;"",O4&lt;&gt;"",COUNTIFS('Gate plan'!$A$4:$A$353,C4,'Gate plan'!$K$4:$K$353,"&lt;&gt;")&gt;0,COUNTIFS('Gate plan'!$A$4:$A$353,C4,'Gate plan'!$K$4:$K$353,O4)=0),"Plan UC-ID differs from event UC-ID",IF(AND(E4="Assurance opinion",J4=""),"Assurance opinion ref missing",IF(AND(G4="Opinion only",E4&lt;&gt;"Assurance opinion",E4&lt;&gt;"Review only"),"Opinion only is for Assurance opinion or Review only events",IF(AND(G4="No decision",E4&lt;&gt;"Review only",E4&lt;&gt;"Priority override",E4&lt;&gt;"Intake / registration"),"No decision is for Review only, Priority override or Intake / registration events",IF(OR(ISNUMBER(SEARCH(" ",TRIM(O4))),ISNUMBER(SEARCH("/",O4))),"One UC-ID per event row: split this event",IF(AND(E4="Precautionary pause (containment)",ISNUMBER(W4),ISNUMBER(F4),W4&lt;F4),"Follow-up decision due date is before the pause",IF(AND(G4="Resume",IFERROR(LOOKUP(2,1/(($B$3:B3=B4)*($O$3:O3=O4)),$G$3:G3),"")&lt;&gt;"Paused — pending decision"),"Resume is only for the event straight after a Precautionary pause on the same AIR-ID and UC-ID (in an earlier row)",IF(AND(E4="Decision",OR(G4="Progress",G4="Progress with condition",G4="Re-authorise",G4="Resume"),X4&lt;&gt;"Yes"),"Decision-maker has not confirmed the screening was considered (column X)","Check against source")))))))))))))))))))))))))))))</f>
        <v/>
      </c>
      <c r="O4" s="38" t="n"/>
      <c r="P4" s="38" t="n"/>
      <c r="Q4" s="22">
        <f>IF(A4="","",IF(E4&lt;&gt;"Decision","",IF(P4="UC-ID specific",IF(O4="","UC-ID REQUIRED","Check source decision for each UC-ID"),IF(P4="Shared system baseline",IF(O4&lt;&gt;"","REMOVE UC-ID OR CORRECT SCOPE","Baseline only — NOT UC approval"),"Decision scope missing"))))</f>
        <v/>
      </c>
      <c r="R4" s="42" t="n"/>
      <c r="S4" s="38" t="n"/>
      <c r="T4" s="38" t="n"/>
      <c r="U4" s="38" t="n"/>
      <c r="V4" s="38" t="n"/>
      <c r="W4" s="39" t="n"/>
      <c r="X4" s="38" t="n"/>
    </row>
    <row r="5">
      <c r="A5" s="40" t="n"/>
      <c r="B5" s="40" t="n"/>
      <c r="C5" s="40" t="n"/>
      <c r="D5" s="40" t="n"/>
      <c r="E5" s="40" t="n"/>
      <c r="F5" s="41" t="n"/>
      <c r="G5" s="40" t="n"/>
      <c r="H5" s="40" t="n"/>
      <c r="I5" s="40" t="n"/>
      <c r="J5" s="40" t="n"/>
      <c r="K5" s="40" t="n"/>
      <c r="L5" s="40" t="n"/>
      <c r="M5" s="40" t="n"/>
      <c r="N5" s="24">
        <f>IF(COUNTA(A5:M5,O5:P5,R5:X5)=0,"",IF(OR(A5="",B5="",F5=""),"Event ID, AIR-ID or date missing",IF(COUNTIF($A$4:$A$553,A5)&gt;1,"Duplicate Event ID",IF(E5="","Event type missing",IF(OR(NOT(ISNUMBER(F5)),F5&gt;TODAY()),"Date is not a real date or is in the future",IF(AND(C5&lt;&gt;"",COUNTIF('Gate plan'!$A$4:$A$353,C5)=0),"Plan ID not found in Gate plan",IF(AND(C5&lt;&gt;"",COUNTIFS('Gate plan'!$A$4:$A$353,C5,'Gate plan'!$B$4:$B$353,B5)=0),"Plan AIR-ID differs from event",IF(D5="","Gate / forum missing",IF(AND(E5="Precautionary pause (containment)",G5&lt;&gt;"Paused — pending decision"),"Precautionary pause: Outcome must be Paused, pending decision",IF(AND(E5="Precautionary pause (containment)",V5=""),"Precautionary pause: AIG-OPS-03 incident ref missing",IF(AND(E5="Precautionary pause (containment)",NOT(ISNUMBER(W5))),"Precautionary pause: follow-up decision due date missing",IF(AND(G5="Paused — pending decision",E5&lt;&gt;"Precautionary pause (containment)"),"Paused, pending decision is only for a Precautionary pause event",IF(AND(E5="Decision",OR(G5="",H5="",I5="")),"Outcome / delegation / decision ref missing",IF(AND(E5="Decision",NOT(OR(G5="Progress",G5="Progress with condition",G5="Return for evidence",G5="Pause",G5="Stop",G5="Suspend",G5="Decommission",G5="Re-authorise",G5="Resume"))),"Decision event needs a decision outcome",IF(AND(E5="Priority override",OR(H5="",I5="")),"Decision-maker / AIG-DEC-03 ref missing",IF(AND(E5="Priority override",G5&lt;&gt;"",G5&lt;&gt;"No decision"),"Priority override: Outcome blank or No decision",IF(AND(E5&lt;&gt;"Decision",OR(G5="Progress",G5="Progress with condition",G5="Return for evidence",G5="Pause",G5="Stop",G5="Suspend",G5="Decommission",G5="Re-authorise",G5="Resume")),"Outcome implies decision",IF(OR(ISNUMBER(SEARCH(",",O5)),ISNUMBER(SEARCH(";",O5))),"One UC-ID per event row — split this event",IF(AND(E5="Decision",OR(Q5="UC-ID REQUIRED",Q5="Decision scope missing",Q5="REMOVE UC-ID OR CORRECT SCOPE")),"Decision scope missing",IF(AND(G5="Progress with condition",COUNTIF(Conditions!$B$4:$B$553,A5)=0),"Progress with condition needs at least one Conditions row",IF(AND(C5&lt;&gt;"",COUNTIFS('Gate plan'!$A$4:$A$353,C5,'Gate plan'!$C$4:$C$353,D5)=0),"Plan gate differs from event gate",IF(AND(C5&lt;&gt;"",O5&lt;&gt;"",COUNTIFS('Gate plan'!$A$4:$A$353,C5,'Gate plan'!$K$4:$K$353,"&lt;&gt;")&gt;0,COUNTIFS('Gate plan'!$A$4:$A$353,C5,'Gate plan'!$K$4:$K$353,O5)=0),"Plan UC-ID differs from event UC-ID",IF(AND(E5="Assurance opinion",J5=""),"Assurance opinion ref missing",IF(AND(G5="Opinion only",E5&lt;&gt;"Assurance opinion",E5&lt;&gt;"Review only"),"Opinion only is for Assurance opinion or Review only events",IF(AND(G5="No decision",E5&lt;&gt;"Review only",E5&lt;&gt;"Priority override",E5&lt;&gt;"Intake / registration"),"No decision is for Review only, Priority override or Intake / registration events",IF(OR(ISNUMBER(SEARCH(" ",TRIM(O5))),ISNUMBER(SEARCH("/",O5))),"One UC-ID per event row: split this event",IF(AND(E5="Precautionary pause (containment)",ISNUMBER(W5),ISNUMBER(F5),W5&lt;F5),"Follow-up decision due date is before the pause",IF(AND(G5="Resume",IFERROR(LOOKUP(2,1/(($B$3:B4=B5)*($O$3:O4=O5)),$G$3:G4),"")&lt;&gt;"Paused — pending decision"),"Resume is only for the event straight after a Precautionary pause on the same AIR-ID and UC-ID (in an earlier row)",IF(AND(E5="Decision",OR(G5="Progress",G5="Progress with condition",G5="Re-authorise",G5="Resume"),X5&lt;&gt;"Yes"),"Decision-maker has not confirmed the screening was considered (column X)","Check against source")))))))))))))))))))))))))))))</f>
        <v/>
      </c>
      <c r="O5" s="37" t="n"/>
      <c r="P5" s="37" t="n"/>
      <c r="Q5" s="14">
        <f>IF(A5="","",IF(E5&lt;&gt;"Decision","",IF(P5="UC-ID specific",IF(O5="","UC-ID REQUIRED","Check source decision for each UC-ID"),IF(P5="Shared system baseline",IF(O5&lt;&gt;"","REMOVE UC-ID OR CORRECT SCOPE","Baseline only — NOT UC approval"),"Decision scope missing"))))</f>
        <v/>
      </c>
      <c r="R5" s="43" t="n"/>
      <c r="S5" s="40" t="n"/>
      <c r="T5" s="40" t="n"/>
      <c r="U5" s="40" t="n"/>
      <c r="V5" s="40" t="n"/>
      <c r="W5" s="41" t="n"/>
      <c r="X5" s="38" t="n"/>
    </row>
    <row r="6">
      <c r="A6" s="38" t="n"/>
      <c r="B6" s="38" t="n"/>
      <c r="C6" s="38" t="n"/>
      <c r="D6" s="38" t="n"/>
      <c r="E6" s="38" t="n"/>
      <c r="F6" s="39" t="n"/>
      <c r="G6" s="38" t="n"/>
      <c r="H6" s="38" t="n"/>
      <c r="I6" s="38" t="n"/>
      <c r="J6" s="38" t="n"/>
      <c r="K6" s="38" t="n"/>
      <c r="L6" s="38" t="n"/>
      <c r="M6" s="38" t="n"/>
      <c r="N6" s="22">
        <f>IF(COUNTA(A6:M6,O6:P6,R6:X6)=0,"",IF(OR(A6="",B6="",F6=""),"Event ID, AIR-ID or date missing",IF(COUNTIF($A$4:$A$553,A6)&gt;1,"Duplicate Event ID",IF(E6="","Event type missing",IF(OR(NOT(ISNUMBER(F6)),F6&gt;TODAY()),"Date is not a real date or is in the future",IF(AND(C6&lt;&gt;"",COUNTIF('Gate plan'!$A$4:$A$353,C6)=0),"Plan ID not found in Gate plan",IF(AND(C6&lt;&gt;"",COUNTIFS('Gate plan'!$A$4:$A$353,C6,'Gate plan'!$B$4:$B$353,B6)=0),"Plan AIR-ID differs from event",IF(D6="","Gate / forum missing",IF(AND(E6="Precautionary pause (containment)",G6&lt;&gt;"Paused — pending decision"),"Precautionary pause: Outcome must be Paused, pending decision",IF(AND(E6="Precautionary pause (containment)",V6=""),"Precautionary pause: AIG-OPS-03 incident ref missing",IF(AND(E6="Precautionary pause (containment)",NOT(ISNUMBER(W6))),"Precautionary pause: follow-up decision due date missing",IF(AND(G6="Paused — pending decision",E6&lt;&gt;"Precautionary pause (containment)"),"Paused, pending decision is only for a Precautionary pause event",IF(AND(E6="Decision",OR(G6="",H6="",I6="")),"Outcome / delegation / decision ref missing",IF(AND(E6="Decision",NOT(OR(G6="Progress",G6="Progress with condition",G6="Return for evidence",G6="Pause",G6="Stop",G6="Suspend",G6="Decommission",G6="Re-authorise",G6="Resume"))),"Decision event needs a decision outcome",IF(AND(E6="Priority override",OR(H6="",I6="")),"Decision-maker / AIG-DEC-03 ref missing",IF(AND(E6="Priority override",G6&lt;&gt;"",G6&lt;&gt;"No decision"),"Priority override: Outcome blank or No decision",IF(AND(E6&lt;&gt;"Decision",OR(G6="Progress",G6="Progress with condition",G6="Return for evidence",G6="Pause",G6="Stop",G6="Suspend",G6="Decommission",G6="Re-authorise",G6="Resume")),"Outcome implies decision",IF(OR(ISNUMBER(SEARCH(",",O6)),ISNUMBER(SEARCH(";",O6))),"One UC-ID per event row — split this event",IF(AND(E6="Decision",OR(Q6="UC-ID REQUIRED",Q6="Decision scope missing",Q6="REMOVE UC-ID OR CORRECT SCOPE")),"Decision scope missing",IF(AND(G6="Progress with condition",COUNTIF(Conditions!$B$4:$B$553,A6)=0),"Progress with condition needs at least one Conditions row",IF(AND(C6&lt;&gt;"",COUNTIFS('Gate plan'!$A$4:$A$353,C6,'Gate plan'!$C$4:$C$353,D6)=0),"Plan gate differs from event gate",IF(AND(C6&lt;&gt;"",O6&lt;&gt;"",COUNTIFS('Gate plan'!$A$4:$A$353,C6,'Gate plan'!$K$4:$K$353,"&lt;&gt;")&gt;0,COUNTIFS('Gate plan'!$A$4:$A$353,C6,'Gate plan'!$K$4:$K$353,O6)=0),"Plan UC-ID differs from event UC-ID",IF(AND(E6="Assurance opinion",J6=""),"Assurance opinion ref missing",IF(AND(G6="Opinion only",E6&lt;&gt;"Assurance opinion",E6&lt;&gt;"Review only"),"Opinion only is for Assurance opinion or Review only events",IF(AND(G6="No decision",E6&lt;&gt;"Review only",E6&lt;&gt;"Priority override",E6&lt;&gt;"Intake / registration"),"No decision is for Review only, Priority override or Intake / registration events",IF(OR(ISNUMBER(SEARCH(" ",TRIM(O6))),ISNUMBER(SEARCH("/",O6))),"One UC-ID per event row: split this event",IF(AND(E6="Precautionary pause (containment)",ISNUMBER(W6),ISNUMBER(F6),W6&lt;F6),"Follow-up decision due date is before the pause",IF(AND(G6="Resume",IFERROR(LOOKUP(2,1/(($B$3:B5=B6)*($O$3:O5=O6)),$G$3:G5),"")&lt;&gt;"Paused — pending decision"),"Resume is only for the event straight after a Precautionary pause on the same AIR-ID and UC-ID (in an earlier row)",IF(AND(E6="Decision",OR(G6="Progress",G6="Progress with condition",G6="Re-authorise",G6="Resume"),X6&lt;&gt;"Yes"),"Decision-maker has not confirmed the screening was considered (column X)","Check against source")))))))))))))))))))))))))))))</f>
        <v/>
      </c>
      <c r="O6" s="37" t="n"/>
      <c r="P6" s="37" t="n"/>
      <c r="Q6" s="14">
        <f>IF(A6="","",IF(E6&lt;&gt;"Decision","",IF(P6="UC-ID specific",IF(O6="","UC-ID REQUIRED","Check source decision for each UC-ID"),IF(P6="Shared system baseline",IF(O6&lt;&gt;"","REMOVE UC-ID OR CORRECT SCOPE","Baseline only — NOT UC approval"),"Decision scope missing"))))</f>
        <v/>
      </c>
      <c r="R6" s="42" t="n"/>
      <c r="S6" s="38" t="n"/>
      <c r="T6" s="38" t="n"/>
      <c r="U6" s="38" t="n"/>
      <c r="V6" s="38" t="n"/>
      <c r="W6" s="39" t="n"/>
      <c r="X6" s="38" t="n"/>
    </row>
    <row r="7">
      <c r="A7" s="40" t="n"/>
      <c r="B7" s="40" t="n"/>
      <c r="C7" s="40" t="n"/>
      <c r="D7" s="40" t="n"/>
      <c r="E7" s="40" t="n"/>
      <c r="F7" s="41" t="n"/>
      <c r="G7" s="40" t="n"/>
      <c r="H7" s="40" t="n"/>
      <c r="I7" s="40" t="n"/>
      <c r="J7" s="40" t="n"/>
      <c r="K7" s="40" t="n"/>
      <c r="L7" s="40" t="n"/>
      <c r="M7" s="40" t="n"/>
      <c r="N7" s="24">
        <f>IF(COUNTA(A7:M7,O7:P7,R7:X7)=0,"",IF(OR(A7="",B7="",F7=""),"Event ID, AIR-ID or date missing",IF(COUNTIF($A$4:$A$553,A7)&gt;1,"Duplicate Event ID",IF(E7="","Event type missing",IF(OR(NOT(ISNUMBER(F7)),F7&gt;TODAY()),"Date is not a real date or is in the future",IF(AND(C7&lt;&gt;"",COUNTIF('Gate plan'!$A$4:$A$353,C7)=0),"Plan ID not found in Gate plan",IF(AND(C7&lt;&gt;"",COUNTIFS('Gate plan'!$A$4:$A$353,C7,'Gate plan'!$B$4:$B$353,B7)=0),"Plan AIR-ID differs from event",IF(D7="","Gate / forum missing",IF(AND(E7="Precautionary pause (containment)",G7&lt;&gt;"Paused — pending decision"),"Precautionary pause: Outcome must be Paused, pending decision",IF(AND(E7="Precautionary pause (containment)",V7=""),"Precautionary pause: AIG-OPS-03 incident ref missing",IF(AND(E7="Precautionary pause (containment)",NOT(ISNUMBER(W7))),"Precautionary pause: follow-up decision due date missing",IF(AND(G7="Paused — pending decision",E7&lt;&gt;"Precautionary pause (containment)"),"Paused, pending decision is only for a Precautionary pause event",IF(AND(E7="Decision",OR(G7="",H7="",I7="")),"Outcome / delegation / decision ref missing",IF(AND(E7="Decision",NOT(OR(G7="Progress",G7="Progress with condition",G7="Return for evidence",G7="Pause",G7="Stop",G7="Suspend",G7="Decommission",G7="Re-authorise",G7="Resume"))),"Decision event needs a decision outcome",IF(AND(E7="Priority override",OR(H7="",I7="")),"Decision-maker / AIG-DEC-03 ref missing",IF(AND(E7="Priority override",G7&lt;&gt;"",G7&lt;&gt;"No decision"),"Priority override: Outcome blank or No decision",IF(AND(E7&lt;&gt;"Decision",OR(G7="Progress",G7="Progress with condition",G7="Return for evidence",G7="Pause",G7="Stop",G7="Suspend",G7="Decommission",G7="Re-authorise",G7="Resume")),"Outcome implies decision",IF(OR(ISNUMBER(SEARCH(",",O7)),ISNUMBER(SEARCH(";",O7))),"One UC-ID per event row — split this event",IF(AND(E7="Decision",OR(Q7="UC-ID REQUIRED",Q7="Decision scope missing",Q7="REMOVE UC-ID OR CORRECT SCOPE")),"Decision scope missing",IF(AND(G7="Progress with condition",COUNTIF(Conditions!$B$4:$B$553,A7)=0),"Progress with condition needs at least one Conditions row",IF(AND(C7&lt;&gt;"",COUNTIFS('Gate plan'!$A$4:$A$353,C7,'Gate plan'!$C$4:$C$353,D7)=0),"Plan gate differs from event gate",IF(AND(C7&lt;&gt;"",O7&lt;&gt;"",COUNTIFS('Gate plan'!$A$4:$A$353,C7,'Gate plan'!$K$4:$K$353,"&lt;&gt;")&gt;0,COUNTIFS('Gate plan'!$A$4:$A$353,C7,'Gate plan'!$K$4:$K$353,O7)=0),"Plan UC-ID differs from event UC-ID",IF(AND(E7="Assurance opinion",J7=""),"Assurance opinion ref missing",IF(AND(G7="Opinion only",E7&lt;&gt;"Assurance opinion",E7&lt;&gt;"Review only"),"Opinion only is for Assurance opinion or Review only events",IF(AND(G7="No decision",E7&lt;&gt;"Review only",E7&lt;&gt;"Priority override",E7&lt;&gt;"Intake / registration"),"No decision is for Review only, Priority override or Intake / registration events",IF(OR(ISNUMBER(SEARCH(" ",TRIM(O7))),ISNUMBER(SEARCH("/",O7))),"One UC-ID per event row: split this event",IF(AND(E7="Precautionary pause (containment)",ISNUMBER(W7),ISNUMBER(F7),W7&lt;F7),"Follow-up decision due date is before the pause",IF(AND(G7="Resume",IFERROR(LOOKUP(2,1/(($B$3:B6=B7)*($O$3:O6=O7)),$G$3:G6),"")&lt;&gt;"Paused — pending decision"),"Resume is only for the event straight after a Precautionary pause on the same AIR-ID and UC-ID (in an earlier row)",IF(AND(E7="Decision",OR(G7="Progress",G7="Progress with condition",G7="Re-authorise",G7="Resume"),X7&lt;&gt;"Yes"),"Decision-maker has not confirmed the screening was considered (column X)","Check against source")))))))))))))))))))))))))))))</f>
        <v/>
      </c>
      <c r="O7" s="37" t="n"/>
      <c r="P7" s="37" t="n"/>
      <c r="Q7" s="14">
        <f>IF(A7="","",IF(E7&lt;&gt;"Decision","",IF(P7="UC-ID specific",IF(O7="","UC-ID REQUIRED","Check source decision for each UC-ID"),IF(P7="Shared system baseline",IF(O7&lt;&gt;"","REMOVE UC-ID OR CORRECT SCOPE","Baseline only — NOT UC approval"),"Decision scope missing"))))</f>
        <v/>
      </c>
      <c r="R7" s="43" t="n"/>
      <c r="S7" s="40" t="n"/>
      <c r="T7" s="40" t="n"/>
      <c r="U7" s="40" t="n"/>
      <c r="V7" s="40" t="n"/>
      <c r="W7" s="41" t="n"/>
      <c r="X7" s="38" t="n"/>
    </row>
    <row r="8">
      <c r="A8" s="38" t="n"/>
      <c r="B8" s="38" t="n"/>
      <c r="C8" s="38" t="n"/>
      <c r="D8" s="38" t="n"/>
      <c r="E8" s="38" t="n"/>
      <c r="F8" s="39" t="n"/>
      <c r="G8" s="38" t="n"/>
      <c r="H8" s="38" t="n"/>
      <c r="I8" s="38" t="n"/>
      <c r="J8" s="38" t="n"/>
      <c r="K8" s="38" t="n"/>
      <c r="L8" s="38" t="n"/>
      <c r="M8" s="38" t="n"/>
      <c r="N8" s="22">
        <f>IF(COUNTA(A8:M8,O8:P8,R8:X8)=0,"",IF(OR(A8="",B8="",F8=""),"Event ID, AIR-ID or date missing",IF(COUNTIF($A$4:$A$553,A8)&gt;1,"Duplicate Event ID",IF(E8="","Event type missing",IF(OR(NOT(ISNUMBER(F8)),F8&gt;TODAY()),"Date is not a real date or is in the future",IF(AND(C8&lt;&gt;"",COUNTIF('Gate plan'!$A$4:$A$353,C8)=0),"Plan ID not found in Gate plan",IF(AND(C8&lt;&gt;"",COUNTIFS('Gate plan'!$A$4:$A$353,C8,'Gate plan'!$B$4:$B$353,B8)=0),"Plan AIR-ID differs from event",IF(D8="","Gate / forum missing",IF(AND(E8="Precautionary pause (containment)",G8&lt;&gt;"Paused — pending decision"),"Precautionary pause: Outcome must be Paused, pending decision",IF(AND(E8="Precautionary pause (containment)",V8=""),"Precautionary pause: AIG-OPS-03 incident ref missing",IF(AND(E8="Precautionary pause (containment)",NOT(ISNUMBER(W8))),"Precautionary pause: follow-up decision due date missing",IF(AND(G8="Paused — pending decision",E8&lt;&gt;"Precautionary pause (containment)"),"Paused, pending decision is only for a Precautionary pause event",IF(AND(E8="Decision",OR(G8="",H8="",I8="")),"Outcome / delegation / decision ref missing",IF(AND(E8="Decision",NOT(OR(G8="Progress",G8="Progress with condition",G8="Return for evidence",G8="Pause",G8="Stop",G8="Suspend",G8="Decommission",G8="Re-authorise",G8="Resume"))),"Decision event needs a decision outcome",IF(AND(E8="Priority override",OR(H8="",I8="")),"Decision-maker / AIG-DEC-03 ref missing",IF(AND(E8="Priority override",G8&lt;&gt;"",G8&lt;&gt;"No decision"),"Priority override: Outcome blank or No decision",IF(AND(E8&lt;&gt;"Decision",OR(G8="Progress",G8="Progress with condition",G8="Return for evidence",G8="Pause",G8="Stop",G8="Suspend",G8="Decommission",G8="Re-authorise",G8="Resume")),"Outcome implies decision",IF(OR(ISNUMBER(SEARCH(",",O8)),ISNUMBER(SEARCH(";",O8))),"One UC-ID per event row — split this event",IF(AND(E8="Decision",OR(Q8="UC-ID REQUIRED",Q8="Decision scope missing",Q8="REMOVE UC-ID OR CORRECT SCOPE")),"Decision scope missing",IF(AND(G8="Progress with condition",COUNTIF(Conditions!$B$4:$B$553,A8)=0),"Progress with condition needs at least one Conditions row",IF(AND(C8&lt;&gt;"",COUNTIFS('Gate plan'!$A$4:$A$353,C8,'Gate plan'!$C$4:$C$353,D8)=0),"Plan gate differs from event gate",IF(AND(C8&lt;&gt;"",O8&lt;&gt;"",COUNTIFS('Gate plan'!$A$4:$A$353,C8,'Gate plan'!$K$4:$K$353,"&lt;&gt;")&gt;0,COUNTIFS('Gate plan'!$A$4:$A$353,C8,'Gate plan'!$K$4:$K$353,O8)=0),"Plan UC-ID differs from event UC-ID",IF(AND(E8="Assurance opinion",J8=""),"Assurance opinion ref missing",IF(AND(G8="Opinion only",E8&lt;&gt;"Assurance opinion",E8&lt;&gt;"Review only"),"Opinion only is for Assurance opinion or Review only events",IF(AND(G8="No decision",E8&lt;&gt;"Review only",E8&lt;&gt;"Priority override",E8&lt;&gt;"Intake / registration"),"No decision is for Review only, Priority override or Intake / registration events",IF(OR(ISNUMBER(SEARCH(" ",TRIM(O8))),ISNUMBER(SEARCH("/",O8))),"One UC-ID per event row: split this event",IF(AND(E8="Precautionary pause (containment)",ISNUMBER(W8),ISNUMBER(F8),W8&lt;F8),"Follow-up decision due date is before the pause",IF(AND(G8="Resume",IFERROR(LOOKUP(2,1/(($B$3:B7=B8)*($O$3:O7=O8)),$G$3:G7),"")&lt;&gt;"Paused — pending decision"),"Resume is only for the event straight after a Precautionary pause on the same AIR-ID and UC-ID (in an earlier row)",IF(AND(E8="Decision",OR(G8="Progress",G8="Progress with condition",G8="Re-authorise",G8="Resume"),X8&lt;&gt;"Yes"),"Decision-maker has not confirmed the screening was considered (column X)","Check against source")))))))))))))))))))))))))))))</f>
        <v/>
      </c>
      <c r="O8" s="37" t="n"/>
      <c r="P8" s="37" t="n"/>
      <c r="Q8" s="14">
        <f>IF(A8="","",IF(E8&lt;&gt;"Decision","",IF(P8="UC-ID specific",IF(O8="","UC-ID REQUIRED","Check source decision for each UC-ID"),IF(P8="Shared system baseline",IF(O8&lt;&gt;"","REMOVE UC-ID OR CORRECT SCOPE","Baseline only — NOT UC approval"),"Decision scope missing"))))</f>
        <v/>
      </c>
      <c r="R8" s="42" t="n"/>
      <c r="S8" s="38" t="n"/>
      <c r="T8" s="38" t="n"/>
      <c r="U8" s="38" t="n"/>
      <c r="V8" s="38" t="n"/>
      <c r="W8" s="39" t="n"/>
      <c r="X8" s="38" t="n"/>
    </row>
    <row r="9">
      <c r="A9" s="40" t="n"/>
      <c r="B9" s="40" t="n"/>
      <c r="C9" s="40" t="n"/>
      <c r="D9" s="40" t="n"/>
      <c r="E9" s="40" t="n"/>
      <c r="F9" s="41" t="n"/>
      <c r="G9" s="40" t="n"/>
      <c r="H9" s="40" t="n"/>
      <c r="I9" s="40" t="n"/>
      <c r="J9" s="40" t="n"/>
      <c r="K9" s="40" t="n"/>
      <c r="L9" s="40" t="n"/>
      <c r="M9" s="40" t="n"/>
      <c r="N9" s="24">
        <f>IF(COUNTA(A9:M9,O9:P9,R9:X9)=0,"",IF(OR(A9="",B9="",F9=""),"Event ID, AIR-ID or date missing",IF(COUNTIF($A$4:$A$553,A9)&gt;1,"Duplicate Event ID",IF(E9="","Event type missing",IF(OR(NOT(ISNUMBER(F9)),F9&gt;TODAY()),"Date is not a real date or is in the future",IF(AND(C9&lt;&gt;"",COUNTIF('Gate plan'!$A$4:$A$353,C9)=0),"Plan ID not found in Gate plan",IF(AND(C9&lt;&gt;"",COUNTIFS('Gate plan'!$A$4:$A$353,C9,'Gate plan'!$B$4:$B$353,B9)=0),"Plan AIR-ID differs from event",IF(D9="","Gate / forum missing",IF(AND(E9="Precautionary pause (containment)",G9&lt;&gt;"Paused — pending decision"),"Precautionary pause: Outcome must be Paused, pending decision",IF(AND(E9="Precautionary pause (containment)",V9=""),"Precautionary pause: AIG-OPS-03 incident ref missing",IF(AND(E9="Precautionary pause (containment)",NOT(ISNUMBER(W9))),"Precautionary pause: follow-up decision due date missing",IF(AND(G9="Paused — pending decision",E9&lt;&gt;"Precautionary pause (containment)"),"Paused, pending decision is only for a Precautionary pause event",IF(AND(E9="Decision",OR(G9="",H9="",I9="")),"Outcome / delegation / decision ref missing",IF(AND(E9="Decision",NOT(OR(G9="Progress",G9="Progress with condition",G9="Return for evidence",G9="Pause",G9="Stop",G9="Suspend",G9="Decommission",G9="Re-authorise",G9="Resume"))),"Decision event needs a decision outcome",IF(AND(E9="Priority override",OR(H9="",I9="")),"Decision-maker / AIG-DEC-03 ref missing",IF(AND(E9="Priority override",G9&lt;&gt;"",G9&lt;&gt;"No decision"),"Priority override: Outcome blank or No decision",IF(AND(E9&lt;&gt;"Decision",OR(G9="Progress",G9="Progress with condition",G9="Return for evidence",G9="Pause",G9="Stop",G9="Suspend",G9="Decommission",G9="Re-authorise",G9="Resume")),"Outcome implies decision",IF(OR(ISNUMBER(SEARCH(",",O9)),ISNUMBER(SEARCH(";",O9))),"One UC-ID per event row — split this event",IF(AND(E9="Decision",OR(Q9="UC-ID REQUIRED",Q9="Decision scope missing",Q9="REMOVE UC-ID OR CORRECT SCOPE")),"Decision scope missing",IF(AND(G9="Progress with condition",COUNTIF(Conditions!$B$4:$B$553,A9)=0),"Progress with condition needs at least one Conditions row",IF(AND(C9&lt;&gt;"",COUNTIFS('Gate plan'!$A$4:$A$353,C9,'Gate plan'!$C$4:$C$353,D9)=0),"Plan gate differs from event gate",IF(AND(C9&lt;&gt;"",O9&lt;&gt;"",COUNTIFS('Gate plan'!$A$4:$A$353,C9,'Gate plan'!$K$4:$K$353,"&lt;&gt;")&gt;0,COUNTIFS('Gate plan'!$A$4:$A$353,C9,'Gate plan'!$K$4:$K$353,O9)=0),"Plan UC-ID differs from event UC-ID",IF(AND(E9="Assurance opinion",J9=""),"Assurance opinion ref missing",IF(AND(G9="Opinion only",E9&lt;&gt;"Assurance opinion",E9&lt;&gt;"Review only"),"Opinion only is for Assurance opinion or Review only events",IF(AND(G9="No decision",E9&lt;&gt;"Review only",E9&lt;&gt;"Priority override",E9&lt;&gt;"Intake / registration"),"No decision is for Review only, Priority override or Intake / registration events",IF(OR(ISNUMBER(SEARCH(" ",TRIM(O9))),ISNUMBER(SEARCH("/",O9))),"One UC-ID per event row: split this event",IF(AND(E9="Precautionary pause (containment)",ISNUMBER(W9),ISNUMBER(F9),W9&lt;F9),"Follow-up decision due date is before the pause",IF(AND(G9="Resume",IFERROR(LOOKUP(2,1/(($B$3:B8=B9)*($O$3:O8=O9)),$G$3:G8),"")&lt;&gt;"Paused — pending decision"),"Resume is only for the event straight after a Precautionary pause on the same AIR-ID and UC-ID (in an earlier row)",IF(AND(E9="Decision",OR(G9="Progress",G9="Progress with condition",G9="Re-authorise",G9="Resume"),X9&lt;&gt;"Yes"),"Decision-maker has not confirmed the screening was considered (column X)","Check against source")))))))))))))))))))))))))))))</f>
        <v/>
      </c>
      <c r="O9" s="37" t="n"/>
      <c r="P9" s="37" t="n"/>
      <c r="Q9" s="14">
        <f>IF(A9="","",IF(E9&lt;&gt;"Decision","",IF(P9="UC-ID specific",IF(O9="","UC-ID REQUIRED","Check source decision for each UC-ID"),IF(P9="Shared system baseline",IF(O9&lt;&gt;"","REMOVE UC-ID OR CORRECT SCOPE","Baseline only — NOT UC approval"),"Decision scope missing"))))</f>
        <v/>
      </c>
      <c r="R9" s="43" t="n"/>
      <c r="S9" s="40" t="n"/>
      <c r="T9" s="40" t="n"/>
      <c r="U9" s="40" t="n"/>
      <c r="V9" s="40" t="n"/>
      <c r="W9" s="41" t="n"/>
      <c r="X9" s="38" t="n"/>
    </row>
    <row r="10">
      <c r="A10" s="38" t="n"/>
      <c r="B10" s="38" t="n"/>
      <c r="C10" s="38" t="n"/>
      <c r="D10" s="38" t="n"/>
      <c r="E10" s="38" t="n"/>
      <c r="F10" s="39" t="n"/>
      <c r="G10" s="38" t="n"/>
      <c r="H10" s="38" t="n"/>
      <c r="I10" s="38" t="n"/>
      <c r="J10" s="38" t="n"/>
      <c r="K10" s="38" t="n"/>
      <c r="L10" s="38" t="n"/>
      <c r="M10" s="38" t="n"/>
      <c r="N10" s="22">
        <f>IF(COUNTA(A10:M10,O10:P10,R10:X10)=0,"",IF(OR(A10="",B10="",F10=""),"Event ID, AIR-ID or date missing",IF(COUNTIF($A$4:$A$553,A10)&gt;1,"Duplicate Event ID",IF(E10="","Event type missing",IF(OR(NOT(ISNUMBER(F10)),F10&gt;TODAY()),"Date is not a real date or is in the future",IF(AND(C10&lt;&gt;"",COUNTIF('Gate plan'!$A$4:$A$353,C10)=0),"Plan ID not found in Gate plan",IF(AND(C10&lt;&gt;"",COUNTIFS('Gate plan'!$A$4:$A$353,C10,'Gate plan'!$B$4:$B$353,B10)=0),"Plan AIR-ID differs from event",IF(D10="","Gate / forum missing",IF(AND(E10="Precautionary pause (containment)",G10&lt;&gt;"Paused — pending decision"),"Precautionary pause: Outcome must be Paused, pending decision",IF(AND(E10="Precautionary pause (containment)",V10=""),"Precautionary pause: AIG-OPS-03 incident ref missing",IF(AND(E10="Precautionary pause (containment)",NOT(ISNUMBER(W10))),"Precautionary pause: follow-up decision due date missing",IF(AND(G10="Paused — pending decision",E10&lt;&gt;"Precautionary pause (containment)"),"Paused, pending decision is only for a Precautionary pause event",IF(AND(E10="Decision",OR(G10="",H10="",I10="")),"Outcome / delegation / decision ref missing",IF(AND(E10="Decision",NOT(OR(G10="Progress",G10="Progress with condition",G10="Return for evidence",G10="Pause",G10="Stop",G10="Suspend",G10="Decommission",G10="Re-authorise",G10="Resume"))),"Decision event needs a decision outcome",IF(AND(E10="Priority override",OR(H10="",I10="")),"Decision-maker / AIG-DEC-03 ref missing",IF(AND(E10="Priority override",G10&lt;&gt;"",G10&lt;&gt;"No decision"),"Priority override: Outcome blank or No decision",IF(AND(E10&lt;&gt;"Decision",OR(G10="Progress",G10="Progress with condition",G10="Return for evidence",G10="Pause",G10="Stop",G10="Suspend",G10="Decommission",G10="Re-authorise",G10="Resume")),"Outcome implies decision",IF(OR(ISNUMBER(SEARCH(",",O10)),ISNUMBER(SEARCH(";",O10))),"One UC-ID per event row — split this event",IF(AND(E10="Decision",OR(Q10="UC-ID REQUIRED",Q10="Decision scope missing",Q10="REMOVE UC-ID OR CORRECT SCOPE")),"Decision scope missing",IF(AND(G10="Progress with condition",COUNTIF(Conditions!$B$4:$B$553,A10)=0),"Progress with condition needs at least one Conditions row",IF(AND(C10&lt;&gt;"",COUNTIFS('Gate plan'!$A$4:$A$353,C10,'Gate plan'!$C$4:$C$353,D10)=0),"Plan gate differs from event gate",IF(AND(C10&lt;&gt;"",O10&lt;&gt;"",COUNTIFS('Gate plan'!$A$4:$A$353,C10,'Gate plan'!$K$4:$K$353,"&lt;&gt;")&gt;0,COUNTIFS('Gate plan'!$A$4:$A$353,C10,'Gate plan'!$K$4:$K$353,O10)=0),"Plan UC-ID differs from event UC-ID",IF(AND(E10="Assurance opinion",J10=""),"Assurance opinion ref missing",IF(AND(G10="Opinion only",E10&lt;&gt;"Assurance opinion",E10&lt;&gt;"Review only"),"Opinion only is for Assurance opinion or Review only events",IF(AND(G10="No decision",E10&lt;&gt;"Review only",E10&lt;&gt;"Priority override",E10&lt;&gt;"Intake / registration"),"No decision is for Review only, Priority override or Intake / registration events",IF(OR(ISNUMBER(SEARCH(" ",TRIM(O10))),ISNUMBER(SEARCH("/",O10))),"One UC-ID per event row: split this event",IF(AND(E10="Precautionary pause (containment)",ISNUMBER(W10),ISNUMBER(F10),W10&lt;F10),"Follow-up decision due date is before the pause",IF(AND(G10="Resume",IFERROR(LOOKUP(2,1/(($B$3:B9=B10)*($O$3:O9=O10)),$G$3:G9),"")&lt;&gt;"Paused — pending decision"),"Resume is only for the event straight after a Precautionary pause on the same AIR-ID and UC-ID (in an earlier row)",IF(AND(E10="Decision",OR(G10="Progress",G10="Progress with condition",G10="Re-authorise",G10="Resume"),X10&lt;&gt;"Yes"),"Decision-maker has not confirmed the screening was considered (column X)","Check against source")))))))))))))))))))))))))))))</f>
        <v/>
      </c>
      <c r="O10" s="37" t="n"/>
      <c r="P10" s="37" t="n"/>
      <c r="Q10" s="14">
        <f>IF(A10="","",IF(E10&lt;&gt;"Decision","",IF(P10="UC-ID specific",IF(O10="","UC-ID REQUIRED","Check source decision for each UC-ID"),IF(P10="Shared system baseline",IF(O10&lt;&gt;"","REMOVE UC-ID OR CORRECT SCOPE","Baseline only — NOT UC approval"),"Decision scope missing"))))</f>
        <v/>
      </c>
      <c r="R10" s="42" t="n"/>
      <c r="S10" s="38" t="n"/>
      <c r="T10" s="38" t="n"/>
      <c r="U10" s="38" t="n"/>
      <c r="V10" s="38" t="n"/>
      <c r="W10" s="39" t="n"/>
      <c r="X10" s="38" t="n"/>
    </row>
    <row r="11">
      <c r="A11" s="40" t="n"/>
      <c r="B11" s="40" t="n"/>
      <c r="C11" s="40" t="n"/>
      <c r="D11" s="40" t="n"/>
      <c r="E11" s="40" t="n"/>
      <c r="F11" s="41" t="n"/>
      <c r="G11" s="40" t="n"/>
      <c r="H11" s="40" t="n"/>
      <c r="I11" s="40" t="n"/>
      <c r="J11" s="40" t="n"/>
      <c r="K11" s="40" t="n"/>
      <c r="L11" s="40" t="n"/>
      <c r="M11" s="40" t="n"/>
      <c r="N11" s="24">
        <f>IF(COUNTA(A11:M11,O11:P11,R11:X11)=0,"",IF(OR(A11="",B11="",F11=""),"Event ID, AIR-ID or date missing",IF(COUNTIF($A$4:$A$553,A11)&gt;1,"Duplicate Event ID",IF(E11="","Event type missing",IF(OR(NOT(ISNUMBER(F11)),F11&gt;TODAY()),"Date is not a real date or is in the future",IF(AND(C11&lt;&gt;"",COUNTIF('Gate plan'!$A$4:$A$353,C11)=0),"Plan ID not found in Gate plan",IF(AND(C11&lt;&gt;"",COUNTIFS('Gate plan'!$A$4:$A$353,C11,'Gate plan'!$B$4:$B$353,B11)=0),"Plan AIR-ID differs from event",IF(D11="","Gate / forum missing",IF(AND(E11="Precautionary pause (containment)",G11&lt;&gt;"Paused — pending decision"),"Precautionary pause: Outcome must be Paused, pending decision",IF(AND(E11="Precautionary pause (containment)",V11=""),"Precautionary pause: AIG-OPS-03 incident ref missing",IF(AND(E11="Precautionary pause (containment)",NOT(ISNUMBER(W11))),"Precautionary pause: follow-up decision due date missing",IF(AND(G11="Paused — pending decision",E11&lt;&gt;"Precautionary pause (containment)"),"Paused, pending decision is only for a Precautionary pause event",IF(AND(E11="Decision",OR(G11="",H11="",I11="")),"Outcome / delegation / decision ref missing",IF(AND(E11="Decision",NOT(OR(G11="Progress",G11="Progress with condition",G11="Return for evidence",G11="Pause",G11="Stop",G11="Suspend",G11="Decommission",G11="Re-authorise",G11="Resume"))),"Decision event needs a decision outcome",IF(AND(E11="Priority override",OR(H11="",I11="")),"Decision-maker / AIG-DEC-03 ref missing",IF(AND(E11="Priority override",G11&lt;&gt;"",G11&lt;&gt;"No decision"),"Priority override: Outcome blank or No decision",IF(AND(E11&lt;&gt;"Decision",OR(G11="Progress",G11="Progress with condition",G11="Return for evidence",G11="Pause",G11="Stop",G11="Suspend",G11="Decommission",G11="Re-authorise",G11="Resume")),"Outcome implies decision",IF(OR(ISNUMBER(SEARCH(",",O11)),ISNUMBER(SEARCH(";",O11))),"One UC-ID per event row — split this event",IF(AND(E11="Decision",OR(Q11="UC-ID REQUIRED",Q11="Decision scope missing",Q11="REMOVE UC-ID OR CORRECT SCOPE")),"Decision scope missing",IF(AND(G11="Progress with condition",COUNTIF(Conditions!$B$4:$B$553,A11)=0),"Progress with condition needs at least one Conditions row",IF(AND(C11&lt;&gt;"",COUNTIFS('Gate plan'!$A$4:$A$353,C11,'Gate plan'!$C$4:$C$353,D11)=0),"Plan gate differs from event gate",IF(AND(C11&lt;&gt;"",O11&lt;&gt;"",COUNTIFS('Gate plan'!$A$4:$A$353,C11,'Gate plan'!$K$4:$K$353,"&lt;&gt;")&gt;0,COUNTIFS('Gate plan'!$A$4:$A$353,C11,'Gate plan'!$K$4:$K$353,O11)=0),"Plan UC-ID differs from event UC-ID",IF(AND(E11="Assurance opinion",J11=""),"Assurance opinion ref missing",IF(AND(G11="Opinion only",E11&lt;&gt;"Assurance opinion",E11&lt;&gt;"Review only"),"Opinion only is for Assurance opinion or Review only events",IF(AND(G11="No decision",E11&lt;&gt;"Review only",E11&lt;&gt;"Priority override",E11&lt;&gt;"Intake / registration"),"No decision is for Review only, Priority override or Intake / registration events",IF(OR(ISNUMBER(SEARCH(" ",TRIM(O11))),ISNUMBER(SEARCH("/",O11))),"One UC-ID per event row: split this event",IF(AND(E11="Precautionary pause (containment)",ISNUMBER(W11),ISNUMBER(F11),W11&lt;F11),"Follow-up decision due date is before the pause",IF(AND(G11="Resume",IFERROR(LOOKUP(2,1/(($B$3:B10=B11)*($O$3:O10=O11)),$G$3:G10),"")&lt;&gt;"Paused — pending decision"),"Resume is only for the event straight after a Precautionary pause on the same AIR-ID and UC-ID (in an earlier row)",IF(AND(E11="Decision",OR(G11="Progress",G11="Progress with condition",G11="Re-authorise",G11="Resume"),X11&lt;&gt;"Yes"),"Decision-maker has not confirmed the screening was considered (column X)","Check against source")))))))))))))))))))))))))))))</f>
        <v/>
      </c>
      <c r="O11" s="37" t="n"/>
      <c r="P11" s="37" t="n"/>
      <c r="Q11" s="14">
        <f>IF(A11="","",IF(E11&lt;&gt;"Decision","",IF(P11="UC-ID specific",IF(O11="","UC-ID REQUIRED","Check source decision for each UC-ID"),IF(P11="Shared system baseline",IF(O11&lt;&gt;"","REMOVE UC-ID OR CORRECT SCOPE","Baseline only — NOT UC approval"),"Decision scope missing"))))</f>
        <v/>
      </c>
      <c r="R11" s="43" t="n"/>
      <c r="S11" s="40" t="n"/>
      <c r="T11" s="40" t="n"/>
      <c r="U11" s="40" t="n"/>
      <c r="V11" s="40" t="n"/>
      <c r="W11" s="41" t="n"/>
      <c r="X11" s="38" t="n"/>
    </row>
    <row r="12">
      <c r="A12" s="38" t="n"/>
      <c r="B12" s="38" t="n"/>
      <c r="C12" s="38" t="n"/>
      <c r="D12" s="38" t="n"/>
      <c r="E12" s="38" t="n"/>
      <c r="F12" s="39" t="n"/>
      <c r="G12" s="38" t="n"/>
      <c r="H12" s="38" t="n"/>
      <c r="I12" s="38" t="n"/>
      <c r="J12" s="38" t="n"/>
      <c r="K12" s="38" t="n"/>
      <c r="L12" s="38" t="n"/>
      <c r="M12" s="38" t="n"/>
      <c r="N12" s="22">
        <f>IF(COUNTA(A12:M12,O12:P12,R12:X12)=0,"",IF(OR(A12="",B12="",F12=""),"Event ID, AIR-ID or date missing",IF(COUNTIF($A$4:$A$553,A12)&gt;1,"Duplicate Event ID",IF(E12="","Event type missing",IF(OR(NOT(ISNUMBER(F12)),F12&gt;TODAY()),"Date is not a real date or is in the future",IF(AND(C12&lt;&gt;"",COUNTIF('Gate plan'!$A$4:$A$353,C12)=0),"Plan ID not found in Gate plan",IF(AND(C12&lt;&gt;"",COUNTIFS('Gate plan'!$A$4:$A$353,C12,'Gate plan'!$B$4:$B$353,B12)=0),"Plan AIR-ID differs from event",IF(D12="","Gate / forum missing",IF(AND(E12="Precautionary pause (containment)",G12&lt;&gt;"Paused — pending decision"),"Precautionary pause: Outcome must be Paused, pending decision",IF(AND(E12="Precautionary pause (containment)",V12=""),"Precautionary pause: AIG-OPS-03 incident ref missing",IF(AND(E12="Precautionary pause (containment)",NOT(ISNUMBER(W12))),"Precautionary pause: follow-up decision due date missing",IF(AND(G12="Paused — pending decision",E12&lt;&gt;"Precautionary pause (containment)"),"Paused, pending decision is only for a Precautionary pause event",IF(AND(E12="Decision",OR(G12="",H12="",I12="")),"Outcome / delegation / decision ref missing",IF(AND(E12="Decision",NOT(OR(G12="Progress",G12="Progress with condition",G12="Return for evidence",G12="Pause",G12="Stop",G12="Suspend",G12="Decommission",G12="Re-authorise",G12="Resume"))),"Decision event needs a decision outcome",IF(AND(E12="Priority override",OR(H12="",I12="")),"Decision-maker / AIG-DEC-03 ref missing",IF(AND(E12="Priority override",G12&lt;&gt;"",G12&lt;&gt;"No decision"),"Priority override: Outcome blank or No decision",IF(AND(E12&lt;&gt;"Decision",OR(G12="Progress",G12="Progress with condition",G12="Return for evidence",G12="Pause",G12="Stop",G12="Suspend",G12="Decommission",G12="Re-authorise",G12="Resume")),"Outcome implies decision",IF(OR(ISNUMBER(SEARCH(",",O12)),ISNUMBER(SEARCH(";",O12))),"One UC-ID per event row — split this event",IF(AND(E12="Decision",OR(Q12="UC-ID REQUIRED",Q12="Decision scope missing",Q12="REMOVE UC-ID OR CORRECT SCOPE")),"Decision scope missing",IF(AND(G12="Progress with condition",COUNTIF(Conditions!$B$4:$B$553,A12)=0),"Progress with condition needs at least one Conditions row",IF(AND(C12&lt;&gt;"",COUNTIFS('Gate plan'!$A$4:$A$353,C12,'Gate plan'!$C$4:$C$353,D12)=0),"Plan gate differs from event gate",IF(AND(C12&lt;&gt;"",O12&lt;&gt;"",COUNTIFS('Gate plan'!$A$4:$A$353,C12,'Gate plan'!$K$4:$K$353,"&lt;&gt;")&gt;0,COUNTIFS('Gate plan'!$A$4:$A$353,C12,'Gate plan'!$K$4:$K$353,O12)=0),"Plan UC-ID differs from event UC-ID",IF(AND(E12="Assurance opinion",J12=""),"Assurance opinion ref missing",IF(AND(G12="Opinion only",E12&lt;&gt;"Assurance opinion",E12&lt;&gt;"Review only"),"Opinion only is for Assurance opinion or Review only events",IF(AND(G12="No decision",E12&lt;&gt;"Review only",E12&lt;&gt;"Priority override",E12&lt;&gt;"Intake / registration"),"No decision is for Review only, Priority override or Intake / registration events",IF(OR(ISNUMBER(SEARCH(" ",TRIM(O12))),ISNUMBER(SEARCH("/",O12))),"One UC-ID per event row: split this event",IF(AND(E12="Precautionary pause (containment)",ISNUMBER(W12),ISNUMBER(F12),W12&lt;F12),"Follow-up decision due date is before the pause",IF(AND(G12="Resume",IFERROR(LOOKUP(2,1/(($B$3:B11=B12)*($O$3:O11=O12)),$G$3:G11),"")&lt;&gt;"Paused — pending decision"),"Resume is only for the event straight after a Precautionary pause on the same AIR-ID and UC-ID (in an earlier row)",IF(AND(E12="Decision",OR(G12="Progress",G12="Progress with condition",G12="Re-authorise",G12="Resume"),X12&lt;&gt;"Yes"),"Decision-maker has not confirmed the screening was considered (column X)","Check against source")))))))))))))))))))))))))))))</f>
        <v/>
      </c>
      <c r="O12" s="37" t="n"/>
      <c r="P12" s="37" t="n"/>
      <c r="Q12" s="14">
        <f>IF(A12="","",IF(E12&lt;&gt;"Decision","",IF(P12="UC-ID specific",IF(O12="","UC-ID REQUIRED","Check source decision for each UC-ID"),IF(P12="Shared system baseline",IF(O12&lt;&gt;"","REMOVE UC-ID OR CORRECT SCOPE","Baseline only — NOT UC approval"),"Decision scope missing"))))</f>
        <v/>
      </c>
      <c r="R12" s="42" t="n"/>
      <c r="S12" s="38" t="n"/>
      <c r="T12" s="38" t="n"/>
      <c r="U12" s="38" t="n"/>
      <c r="V12" s="38" t="n"/>
      <c r="W12" s="39" t="n"/>
      <c r="X12" s="38" t="n"/>
    </row>
    <row r="13">
      <c r="A13" s="40" t="n"/>
      <c r="B13" s="40" t="n"/>
      <c r="C13" s="40" t="n"/>
      <c r="D13" s="40" t="n"/>
      <c r="E13" s="40" t="n"/>
      <c r="F13" s="41" t="n"/>
      <c r="G13" s="40" t="n"/>
      <c r="H13" s="40" t="n"/>
      <c r="I13" s="40" t="n"/>
      <c r="J13" s="40" t="n"/>
      <c r="K13" s="40" t="n"/>
      <c r="L13" s="40" t="n"/>
      <c r="M13" s="40" t="n"/>
      <c r="N13" s="24">
        <f>IF(COUNTA(A13:M13,O13:P13,R13:X13)=0,"",IF(OR(A13="",B13="",F13=""),"Event ID, AIR-ID or date missing",IF(COUNTIF($A$4:$A$553,A13)&gt;1,"Duplicate Event ID",IF(E13="","Event type missing",IF(OR(NOT(ISNUMBER(F13)),F13&gt;TODAY()),"Date is not a real date or is in the future",IF(AND(C13&lt;&gt;"",COUNTIF('Gate plan'!$A$4:$A$353,C13)=0),"Plan ID not found in Gate plan",IF(AND(C13&lt;&gt;"",COUNTIFS('Gate plan'!$A$4:$A$353,C13,'Gate plan'!$B$4:$B$353,B13)=0),"Plan AIR-ID differs from event",IF(D13="","Gate / forum missing",IF(AND(E13="Precautionary pause (containment)",G13&lt;&gt;"Paused — pending decision"),"Precautionary pause: Outcome must be Paused, pending decision",IF(AND(E13="Precautionary pause (containment)",V13=""),"Precautionary pause: AIG-OPS-03 incident ref missing",IF(AND(E13="Precautionary pause (containment)",NOT(ISNUMBER(W13))),"Precautionary pause: follow-up decision due date missing",IF(AND(G13="Paused — pending decision",E13&lt;&gt;"Precautionary pause (containment)"),"Paused, pending decision is only for a Precautionary pause event",IF(AND(E13="Decision",OR(G13="",H13="",I13="")),"Outcome / delegation / decision ref missing",IF(AND(E13="Decision",NOT(OR(G13="Progress",G13="Progress with condition",G13="Return for evidence",G13="Pause",G13="Stop",G13="Suspend",G13="Decommission",G13="Re-authorise",G13="Resume"))),"Decision event needs a decision outcome",IF(AND(E13="Priority override",OR(H13="",I13="")),"Decision-maker / AIG-DEC-03 ref missing",IF(AND(E13="Priority override",G13&lt;&gt;"",G13&lt;&gt;"No decision"),"Priority override: Outcome blank or No decision",IF(AND(E13&lt;&gt;"Decision",OR(G13="Progress",G13="Progress with condition",G13="Return for evidence",G13="Pause",G13="Stop",G13="Suspend",G13="Decommission",G13="Re-authorise",G13="Resume")),"Outcome implies decision",IF(OR(ISNUMBER(SEARCH(",",O13)),ISNUMBER(SEARCH(";",O13))),"One UC-ID per event row — split this event",IF(AND(E13="Decision",OR(Q13="UC-ID REQUIRED",Q13="Decision scope missing",Q13="REMOVE UC-ID OR CORRECT SCOPE")),"Decision scope missing",IF(AND(G13="Progress with condition",COUNTIF(Conditions!$B$4:$B$553,A13)=0),"Progress with condition needs at least one Conditions row",IF(AND(C13&lt;&gt;"",COUNTIFS('Gate plan'!$A$4:$A$353,C13,'Gate plan'!$C$4:$C$353,D13)=0),"Plan gate differs from event gate",IF(AND(C13&lt;&gt;"",O13&lt;&gt;"",COUNTIFS('Gate plan'!$A$4:$A$353,C13,'Gate plan'!$K$4:$K$353,"&lt;&gt;")&gt;0,COUNTIFS('Gate plan'!$A$4:$A$353,C13,'Gate plan'!$K$4:$K$353,O13)=0),"Plan UC-ID differs from event UC-ID",IF(AND(E13="Assurance opinion",J13=""),"Assurance opinion ref missing",IF(AND(G13="Opinion only",E13&lt;&gt;"Assurance opinion",E13&lt;&gt;"Review only"),"Opinion only is for Assurance opinion or Review only events",IF(AND(G13="No decision",E13&lt;&gt;"Review only",E13&lt;&gt;"Priority override",E13&lt;&gt;"Intake / registration"),"No decision is for Review only, Priority override or Intake / registration events",IF(OR(ISNUMBER(SEARCH(" ",TRIM(O13))),ISNUMBER(SEARCH("/",O13))),"One UC-ID per event row: split this event",IF(AND(E13="Precautionary pause (containment)",ISNUMBER(W13),ISNUMBER(F13),W13&lt;F13),"Follow-up decision due date is before the pause",IF(AND(G13="Resume",IFERROR(LOOKUP(2,1/(($B$3:B12=B13)*($O$3:O12=O13)),$G$3:G12),"")&lt;&gt;"Paused — pending decision"),"Resume is only for the event straight after a Precautionary pause on the same AIR-ID and UC-ID (in an earlier row)",IF(AND(E13="Decision",OR(G13="Progress",G13="Progress with condition",G13="Re-authorise",G13="Resume"),X13&lt;&gt;"Yes"),"Decision-maker has not confirmed the screening was considered (column X)","Check against source")))))))))))))))))))))))))))))</f>
        <v/>
      </c>
      <c r="O13" s="37" t="n"/>
      <c r="P13" s="37" t="n"/>
      <c r="Q13" s="14">
        <f>IF(A13="","",IF(E13&lt;&gt;"Decision","",IF(P13="UC-ID specific",IF(O13="","UC-ID REQUIRED","Check source decision for each UC-ID"),IF(P13="Shared system baseline",IF(O13&lt;&gt;"","REMOVE UC-ID OR CORRECT SCOPE","Baseline only — NOT UC approval"),"Decision scope missing"))))</f>
        <v/>
      </c>
      <c r="R13" s="43" t="n"/>
      <c r="S13" s="40" t="n"/>
      <c r="T13" s="40" t="n"/>
      <c r="U13" s="40" t="n"/>
      <c r="V13" s="40" t="n"/>
      <c r="W13" s="41" t="n"/>
      <c r="X13" s="38" t="n"/>
    </row>
    <row r="14">
      <c r="A14" s="38" t="n"/>
      <c r="B14" s="38" t="n"/>
      <c r="C14" s="38" t="n"/>
      <c r="D14" s="38" t="n"/>
      <c r="E14" s="38" t="n"/>
      <c r="F14" s="39" t="n"/>
      <c r="G14" s="38" t="n"/>
      <c r="H14" s="38" t="n"/>
      <c r="I14" s="38" t="n"/>
      <c r="J14" s="38" t="n"/>
      <c r="K14" s="38" t="n"/>
      <c r="L14" s="38" t="n"/>
      <c r="M14" s="38" t="n"/>
      <c r="N14" s="22">
        <f>IF(COUNTA(A14:M14,O14:P14,R14:X14)=0,"",IF(OR(A14="",B14="",F14=""),"Event ID, AIR-ID or date missing",IF(COUNTIF($A$4:$A$553,A14)&gt;1,"Duplicate Event ID",IF(E14="","Event type missing",IF(OR(NOT(ISNUMBER(F14)),F14&gt;TODAY()),"Date is not a real date or is in the future",IF(AND(C14&lt;&gt;"",COUNTIF('Gate plan'!$A$4:$A$353,C14)=0),"Plan ID not found in Gate plan",IF(AND(C14&lt;&gt;"",COUNTIFS('Gate plan'!$A$4:$A$353,C14,'Gate plan'!$B$4:$B$353,B14)=0),"Plan AIR-ID differs from event",IF(D14="","Gate / forum missing",IF(AND(E14="Precautionary pause (containment)",G14&lt;&gt;"Paused — pending decision"),"Precautionary pause: Outcome must be Paused, pending decision",IF(AND(E14="Precautionary pause (containment)",V14=""),"Precautionary pause: AIG-OPS-03 incident ref missing",IF(AND(E14="Precautionary pause (containment)",NOT(ISNUMBER(W14))),"Precautionary pause: follow-up decision due date missing",IF(AND(G14="Paused — pending decision",E14&lt;&gt;"Precautionary pause (containment)"),"Paused, pending decision is only for a Precautionary pause event",IF(AND(E14="Decision",OR(G14="",H14="",I14="")),"Outcome / delegation / decision ref missing",IF(AND(E14="Decision",NOT(OR(G14="Progress",G14="Progress with condition",G14="Return for evidence",G14="Pause",G14="Stop",G14="Suspend",G14="Decommission",G14="Re-authorise",G14="Resume"))),"Decision event needs a decision outcome",IF(AND(E14="Priority override",OR(H14="",I14="")),"Decision-maker / AIG-DEC-03 ref missing",IF(AND(E14="Priority override",G14&lt;&gt;"",G14&lt;&gt;"No decision"),"Priority override: Outcome blank or No decision",IF(AND(E14&lt;&gt;"Decision",OR(G14="Progress",G14="Progress with condition",G14="Return for evidence",G14="Pause",G14="Stop",G14="Suspend",G14="Decommission",G14="Re-authorise",G14="Resume")),"Outcome implies decision",IF(OR(ISNUMBER(SEARCH(",",O14)),ISNUMBER(SEARCH(";",O14))),"One UC-ID per event row — split this event",IF(AND(E14="Decision",OR(Q14="UC-ID REQUIRED",Q14="Decision scope missing",Q14="REMOVE UC-ID OR CORRECT SCOPE")),"Decision scope missing",IF(AND(G14="Progress with condition",COUNTIF(Conditions!$B$4:$B$553,A14)=0),"Progress with condition needs at least one Conditions row",IF(AND(C14&lt;&gt;"",COUNTIFS('Gate plan'!$A$4:$A$353,C14,'Gate plan'!$C$4:$C$353,D14)=0),"Plan gate differs from event gate",IF(AND(C14&lt;&gt;"",O14&lt;&gt;"",COUNTIFS('Gate plan'!$A$4:$A$353,C14,'Gate plan'!$K$4:$K$353,"&lt;&gt;")&gt;0,COUNTIFS('Gate plan'!$A$4:$A$353,C14,'Gate plan'!$K$4:$K$353,O14)=0),"Plan UC-ID differs from event UC-ID",IF(AND(E14="Assurance opinion",J14=""),"Assurance opinion ref missing",IF(AND(G14="Opinion only",E14&lt;&gt;"Assurance opinion",E14&lt;&gt;"Review only"),"Opinion only is for Assurance opinion or Review only events",IF(AND(G14="No decision",E14&lt;&gt;"Review only",E14&lt;&gt;"Priority override",E14&lt;&gt;"Intake / registration"),"No decision is for Review only, Priority override or Intake / registration events",IF(OR(ISNUMBER(SEARCH(" ",TRIM(O14))),ISNUMBER(SEARCH("/",O14))),"One UC-ID per event row: split this event",IF(AND(E14="Precautionary pause (containment)",ISNUMBER(W14),ISNUMBER(F14),W14&lt;F14),"Follow-up decision due date is before the pause",IF(AND(G14="Resume",IFERROR(LOOKUP(2,1/(($B$3:B13=B14)*($O$3:O13=O14)),$G$3:G13),"")&lt;&gt;"Paused — pending decision"),"Resume is only for the event straight after a Precautionary pause on the same AIR-ID and UC-ID (in an earlier row)",IF(AND(E14="Decision",OR(G14="Progress",G14="Progress with condition",G14="Re-authorise",G14="Resume"),X14&lt;&gt;"Yes"),"Decision-maker has not confirmed the screening was considered (column X)","Check against source")))))))))))))))))))))))))))))</f>
        <v/>
      </c>
      <c r="O14" s="37" t="n"/>
      <c r="P14" s="37" t="n"/>
      <c r="Q14" s="14">
        <f>IF(A14="","",IF(E14&lt;&gt;"Decision","",IF(P14="UC-ID specific",IF(O14="","UC-ID REQUIRED","Check source decision for each UC-ID"),IF(P14="Shared system baseline",IF(O14&lt;&gt;"","REMOVE UC-ID OR CORRECT SCOPE","Baseline only — NOT UC approval"),"Decision scope missing"))))</f>
        <v/>
      </c>
      <c r="R14" s="42" t="n"/>
      <c r="S14" s="38" t="n"/>
      <c r="T14" s="38" t="n"/>
      <c r="U14" s="38" t="n"/>
      <c r="V14" s="38" t="n"/>
      <c r="W14" s="39" t="n"/>
      <c r="X14" s="38" t="n"/>
    </row>
    <row r="15">
      <c r="A15" s="40" t="n"/>
      <c r="B15" s="40" t="n"/>
      <c r="C15" s="40" t="n"/>
      <c r="D15" s="40" t="n"/>
      <c r="E15" s="40" t="n"/>
      <c r="F15" s="41" t="n"/>
      <c r="G15" s="40" t="n"/>
      <c r="H15" s="40" t="n"/>
      <c r="I15" s="40" t="n"/>
      <c r="J15" s="40" t="n"/>
      <c r="K15" s="40" t="n"/>
      <c r="L15" s="40" t="n"/>
      <c r="M15" s="40" t="n"/>
      <c r="N15" s="24">
        <f>IF(COUNTA(A15:M15,O15:P15,R15:X15)=0,"",IF(OR(A15="",B15="",F15=""),"Event ID, AIR-ID or date missing",IF(COUNTIF($A$4:$A$553,A15)&gt;1,"Duplicate Event ID",IF(E15="","Event type missing",IF(OR(NOT(ISNUMBER(F15)),F15&gt;TODAY()),"Date is not a real date or is in the future",IF(AND(C15&lt;&gt;"",COUNTIF('Gate plan'!$A$4:$A$353,C15)=0),"Plan ID not found in Gate plan",IF(AND(C15&lt;&gt;"",COUNTIFS('Gate plan'!$A$4:$A$353,C15,'Gate plan'!$B$4:$B$353,B15)=0),"Plan AIR-ID differs from event",IF(D15="","Gate / forum missing",IF(AND(E15="Precautionary pause (containment)",G15&lt;&gt;"Paused — pending decision"),"Precautionary pause: Outcome must be Paused, pending decision",IF(AND(E15="Precautionary pause (containment)",V15=""),"Precautionary pause: AIG-OPS-03 incident ref missing",IF(AND(E15="Precautionary pause (containment)",NOT(ISNUMBER(W15))),"Precautionary pause: follow-up decision due date missing",IF(AND(G15="Paused — pending decision",E15&lt;&gt;"Precautionary pause (containment)"),"Paused, pending decision is only for a Precautionary pause event",IF(AND(E15="Decision",OR(G15="",H15="",I15="")),"Outcome / delegation / decision ref missing",IF(AND(E15="Decision",NOT(OR(G15="Progress",G15="Progress with condition",G15="Return for evidence",G15="Pause",G15="Stop",G15="Suspend",G15="Decommission",G15="Re-authorise",G15="Resume"))),"Decision event needs a decision outcome",IF(AND(E15="Priority override",OR(H15="",I15="")),"Decision-maker / AIG-DEC-03 ref missing",IF(AND(E15="Priority override",G15&lt;&gt;"",G15&lt;&gt;"No decision"),"Priority override: Outcome blank or No decision",IF(AND(E15&lt;&gt;"Decision",OR(G15="Progress",G15="Progress with condition",G15="Return for evidence",G15="Pause",G15="Stop",G15="Suspend",G15="Decommission",G15="Re-authorise",G15="Resume")),"Outcome implies decision",IF(OR(ISNUMBER(SEARCH(",",O15)),ISNUMBER(SEARCH(";",O15))),"One UC-ID per event row — split this event",IF(AND(E15="Decision",OR(Q15="UC-ID REQUIRED",Q15="Decision scope missing",Q15="REMOVE UC-ID OR CORRECT SCOPE")),"Decision scope missing",IF(AND(G15="Progress with condition",COUNTIF(Conditions!$B$4:$B$553,A15)=0),"Progress with condition needs at least one Conditions row",IF(AND(C15&lt;&gt;"",COUNTIFS('Gate plan'!$A$4:$A$353,C15,'Gate plan'!$C$4:$C$353,D15)=0),"Plan gate differs from event gate",IF(AND(C15&lt;&gt;"",O15&lt;&gt;"",COUNTIFS('Gate plan'!$A$4:$A$353,C15,'Gate plan'!$K$4:$K$353,"&lt;&gt;")&gt;0,COUNTIFS('Gate plan'!$A$4:$A$353,C15,'Gate plan'!$K$4:$K$353,O15)=0),"Plan UC-ID differs from event UC-ID",IF(AND(E15="Assurance opinion",J15=""),"Assurance opinion ref missing",IF(AND(G15="Opinion only",E15&lt;&gt;"Assurance opinion",E15&lt;&gt;"Review only"),"Opinion only is for Assurance opinion or Review only events",IF(AND(G15="No decision",E15&lt;&gt;"Review only",E15&lt;&gt;"Priority override",E15&lt;&gt;"Intake / registration"),"No decision is for Review only, Priority override or Intake / registration events",IF(OR(ISNUMBER(SEARCH(" ",TRIM(O15))),ISNUMBER(SEARCH("/",O15))),"One UC-ID per event row: split this event",IF(AND(E15="Precautionary pause (containment)",ISNUMBER(W15),ISNUMBER(F15),W15&lt;F15),"Follow-up decision due date is before the pause",IF(AND(G15="Resume",IFERROR(LOOKUP(2,1/(($B$3:B14=B15)*($O$3:O14=O15)),$G$3:G14),"")&lt;&gt;"Paused — pending decision"),"Resume is only for the event straight after a Precautionary pause on the same AIR-ID and UC-ID (in an earlier row)",IF(AND(E15="Decision",OR(G15="Progress",G15="Progress with condition",G15="Re-authorise",G15="Resume"),X15&lt;&gt;"Yes"),"Decision-maker has not confirmed the screening was considered (column X)","Check against source")))))))))))))))))))))))))))))</f>
        <v/>
      </c>
      <c r="O15" s="37" t="n"/>
      <c r="P15" s="37" t="n"/>
      <c r="Q15" s="14">
        <f>IF(A15="","",IF(E15&lt;&gt;"Decision","",IF(P15="UC-ID specific",IF(O15="","UC-ID REQUIRED","Check source decision for each UC-ID"),IF(P15="Shared system baseline",IF(O15&lt;&gt;"","REMOVE UC-ID OR CORRECT SCOPE","Baseline only — NOT UC approval"),"Decision scope missing"))))</f>
        <v/>
      </c>
      <c r="R15" s="43" t="n"/>
      <c r="S15" s="40" t="n"/>
      <c r="T15" s="40" t="n"/>
      <c r="U15" s="40" t="n"/>
      <c r="V15" s="40" t="n"/>
      <c r="W15" s="41" t="n"/>
      <c r="X15" s="38" t="n"/>
    </row>
    <row r="16">
      <c r="A16" s="38" t="n"/>
      <c r="B16" s="38" t="n"/>
      <c r="C16" s="38" t="n"/>
      <c r="D16" s="38" t="n"/>
      <c r="E16" s="38" t="n"/>
      <c r="F16" s="39" t="n"/>
      <c r="G16" s="38" t="n"/>
      <c r="H16" s="38" t="n"/>
      <c r="I16" s="38" t="n"/>
      <c r="J16" s="38" t="n"/>
      <c r="K16" s="38" t="n"/>
      <c r="L16" s="38" t="n"/>
      <c r="M16" s="38" t="n"/>
      <c r="N16" s="22">
        <f>IF(COUNTA(A16:M16,O16:P16,R16:X16)=0,"",IF(OR(A16="",B16="",F16=""),"Event ID, AIR-ID or date missing",IF(COUNTIF($A$4:$A$553,A16)&gt;1,"Duplicate Event ID",IF(E16="","Event type missing",IF(OR(NOT(ISNUMBER(F16)),F16&gt;TODAY()),"Date is not a real date or is in the future",IF(AND(C16&lt;&gt;"",COUNTIF('Gate plan'!$A$4:$A$353,C16)=0),"Plan ID not found in Gate plan",IF(AND(C16&lt;&gt;"",COUNTIFS('Gate plan'!$A$4:$A$353,C16,'Gate plan'!$B$4:$B$353,B16)=0),"Plan AIR-ID differs from event",IF(D16="","Gate / forum missing",IF(AND(E16="Precautionary pause (containment)",G16&lt;&gt;"Paused — pending decision"),"Precautionary pause: Outcome must be Paused, pending decision",IF(AND(E16="Precautionary pause (containment)",V16=""),"Precautionary pause: AIG-OPS-03 incident ref missing",IF(AND(E16="Precautionary pause (containment)",NOT(ISNUMBER(W16))),"Precautionary pause: follow-up decision due date missing",IF(AND(G16="Paused — pending decision",E16&lt;&gt;"Precautionary pause (containment)"),"Paused, pending decision is only for a Precautionary pause event",IF(AND(E16="Decision",OR(G16="",H16="",I16="")),"Outcome / delegation / decision ref missing",IF(AND(E16="Decision",NOT(OR(G16="Progress",G16="Progress with condition",G16="Return for evidence",G16="Pause",G16="Stop",G16="Suspend",G16="Decommission",G16="Re-authorise",G16="Resume"))),"Decision event needs a decision outcome",IF(AND(E16="Priority override",OR(H16="",I16="")),"Decision-maker / AIG-DEC-03 ref missing",IF(AND(E16="Priority override",G16&lt;&gt;"",G16&lt;&gt;"No decision"),"Priority override: Outcome blank or No decision",IF(AND(E16&lt;&gt;"Decision",OR(G16="Progress",G16="Progress with condition",G16="Return for evidence",G16="Pause",G16="Stop",G16="Suspend",G16="Decommission",G16="Re-authorise",G16="Resume")),"Outcome implies decision",IF(OR(ISNUMBER(SEARCH(",",O16)),ISNUMBER(SEARCH(";",O16))),"One UC-ID per event row — split this event",IF(AND(E16="Decision",OR(Q16="UC-ID REQUIRED",Q16="Decision scope missing",Q16="REMOVE UC-ID OR CORRECT SCOPE")),"Decision scope missing",IF(AND(G16="Progress with condition",COUNTIF(Conditions!$B$4:$B$553,A16)=0),"Progress with condition needs at least one Conditions row",IF(AND(C16&lt;&gt;"",COUNTIFS('Gate plan'!$A$4:$A$353,C16,'Gate plan'!$C$4:$C$353,D16)=0),"Plan gate differs from event gate",IF(AND(C16&lt;&gt;"",O16&lt;&gt;"",COUNTIFS('Gate plan'!$A$4:$A$353,C16,'Gate plan'!$K$4:$K$353,"&lt;&gt;")&gt;0,COUNTIFS('Gate plan'!$A$4:$A$353,C16,'Gate plan'!$K$4:$K$353,O16)=0),"Plan UC-ID differs from event UC-ID",IF(AND(E16="Assurance opinion",J16=""),"Assurance opinion ref missing",IF(AND(G16="Opinion only",E16&lt;&gt;"Assurance opinion",E16&lt;&gt;"Review only"),"Opinion only is for Assurance opinion or Review only events",IF(AND(G16="No decision",E16&lt;&gt;"Review only",E16&lt;&gt;"Priority override",E16&lt;&gt;"Intake / registration"),"No decision is for Review only, Priority override or Intake / registration events",IF(OR(ISNUMBER(SEARCH(" ",TRIM(O16))),ISNUMBER(SEARCH("/",O16))),"One UC-ID per event row: split this event",IF(AND(E16="Precautionary pause (containment)",ISNUMBER(W16),ISNUMBER(F16),W16&lt;F16),"Follow-up decision due date is before the pause",IF(AND(G16="Resume",IFERROR(LOOKUP(2,1/(($B$3:B15=B16)*($O$3:O15=O16)),$G$3:G15),"")&lt;&gt;"Paused — pending decision"),"Resume is only for the event straight after a Precautionary pause on the same AIR-ID and UC-ID (in an earlier row)",IF(AND(E16="Decision",OR(G16="Progress",G16="Progress with condition",G16="Re-authorise",G16="Resume"),X16&lt;&gt;"Yes"),"Decision-maker has not confirmed the screening was considered (column X)","Check against source")))))))))))))))))))))))))))))</f>
        <v/>
      </c>
      <c r="O16" s="37" t="n"/>
      <c r="P16" s="37" t="n"/>
      <c r="Q16" s="14">
        <f>IF(A16="","",IF(E16&lt;&gt;"Decision","",IF(P16="UC-ID specific",IF(O16="","UC-ID REQUIRED","Check source decision for each UC-ID"),IF(P16="Shared system baseline",IF(O16&lt;&gt;"","REMOVE UC-ID OR CORRECT SCOPE","Baseline only — NOT UC approval"),"Decision scope missing"))))</f>
        <v/>
      </c>
      <c r="R16" s="42" t="n"/>
      <c r="S16" s="38" t="n"/>
      <c r="T16" s="38" t="n"/>
      <c r="U16" s="38" t="n"/>
      <c r="V16" s="38" t="n"/>
      <c r="W16" s="39" t="n"/>
      <c r="X16" s="38" t="n"/>
    </row>
    <row r="17">
      <c r="A17" s="40" t="n"/>
      <c r="B17" s="40" t="n"/>
      <c r="C17" s="40" t="n"/>
      <c r="D17" s="40" t="n"/>
      <c r="E17" s="40" t="n"/>
      <c r="F17" s="41" t="n"/>
      <c r="G17" s="40" t="n"/>
      <c r="H17" s="40" t="n"/>
      <c r="I17" s="40" t="n"/>
      <c r="J17" s="40" t="n"/>
      <c r="K17" s="40" t="n"/>
      <c r="L17" s="40" t="n"/>
      <c r="M17" s="40" t="n"/>
      <c r="N17" s="24">
        <f>IF(COUNTA(A17:M17,O17:P17,R17:X17)=0,"",IF(OR(A17="",B17="",F17=""),"Event ID, AIR-ID or date missing",IF(COUNTIF($A$4:$A$553,A17)&gt;1,"Duplicate Event ID",IF(E17="","Event type missing",IF(OR(NOT(ISNUMBER(F17)),F17&gt;TODAY()),"Date is not a real date or is in the future",IF(AND(C17&lt;&gt;"",COUNTIF('Gate plan'!$A$4:$A$353,C17)=0),"Plan ID not found in Gate plan",IF(AND(C17&lt;&gt;"",COUNTIFS('Gate plan'!$A$4:$A$353,C17,'Gate plan'!$B$4:$B$353,B17)=0),"Plan AIR-ID differs from event",IF(D17="","Gate / forum missing",IF(AND(E17="Precautionary pause (containment)",G17&lt;&gt;"Paused — pending decision"),"Precautionary pause: Outcome must be Paused, pending decision",IF(AND(E17="Precautionary pause (containment)",V17=""),"Precautionary pause: AIG-OPS-03 incident ref missing",IF(AND(E17="Precautionary pause (containment)",NOT(ISNUMBER(W17))),"Precautionary pause: follow-up decision due date missing",IF(AND(G17="Paused — pending decision",E17&lt;&gt;"Precautionary pause (containment)"),"Paused, pending decision is only for a Precautionary pause event",IF(AND(E17="Decision",OR(G17="",H17="",I17="")),"Outcome / delegation / decision ref missing",IF(AND(E17="Decision",NOT(OR(G17="Progress",G17="Progress with condition",G17="Return for evidence",G17="Pause",G17="Stop",G17="Suspend",G17="Decommission",G17="Re-authorise",G17="Resume"))),"Decision event needs a decision outcome",IF(AND(E17="Priority override",OR(H17="",I17="")),"Decision-maker / AIG-DEC-03 ref missing",IF(AND(E17="Priority override",G17&lt;&gt;"",G17&lt;&gt;"No decision"),"Priority override: Outcome blank or No decision",IF(AND(E17&lt;&gt;"Decision",OR(G17="Progress",G17="Progress with condition",G17="Return for evidence",G17="Pause",G17="Stop",G17="Suspend",G17="Decommission",G17="Re-authorise",G17="Resume")),"Outcome implies decision",IF(OR(ISNUMBER(SEARCH(",",O17)),ISNUMBER(SEARCH(";",O17))),"One UC-ID per event row — split this event",IF(AND(E17="Decision",OR(Q17="UC-ID REQUIRED",Q17="Decision scope missing",Q17="REMOVE UC-ID OR CORRECT SCOPE")),"Decision scope missing",IF(AND(G17="Progress with condition",COUNTIF(Conditions!$B$4:$B$553,A17)=0),"Progress with condition needs at least one Conditions row",IF(AND(C17&lt;&gt;"",COUNTIFS('Gate plan'!$A$4:$A$353,C17,'Gate plan'!$C$4:$C$353,D17)=0),"Plan gate differs from event gate",IF(AND(C17&lt;&gt;"",O17&lt;&gt;"",COUNTIFS('Gate plan'!$A$4:$A$353,C17,'Gate plan'!$K$4:$K$353,"&lt;&gt;")&gt;0,COUNTIFS('Gate plan'!$A$4:$A$353,C17,'Gate plan'!$K$4:$K$353,O17)=0),"Plan UC-ID differs from event UC-ID",IF(AND(E17="Assurance opinion",J17=""),"Assurance opinion ref missing",IF(AND(G17="Opinion only",E17&lt;&gt;"Assurance opinion",E17&lt;&gt;"Review only"),"Opinion only is for Assurance opinion or Review only events",IF(AND(G17="No decision",E17&lt;&gt;"Review only",E17&lt;&gt;"Priority override",E17&lt;&gt;"Intake / registration"),"No decision is for Review only, Priority override or Intake / registration events",IF(OR(ISNUMBER(SEARCH(" ",TRIM(O17))),ISNUMBER(SEARCH("/",O17))),"One UC-ID per event row: split this event",IF(AND(E17="Precautionary pause (containment)",ISNUMBER(W17),ISNUMBER(F17),W17&lt;F17),"Follow-up decision due date is before the pause",IF(AND(G17="Resume",IFERROR(LOOKUP(2,1/(($B$3:B16=B17)*($O$3:O16=O17)),$G$3:G16),"")&lt;&gt;"Paused — pending decision"),"Resume is only for the event straight after a Precautionary pause on the same AIR-ID and UC-ID (in an earlier row)",IF(AND(E17="Decision",OR(G17="Progress",G17="Progress with condition",G17="Re-authorise",G17="Resume"),X17&lt;&gt;"Yes"),"Decision-maker has not confirmed the screening was considered (column X)","Check against source")))))))))))))))))))))))))))))</f>
        <v/>
      </c>
      <c r="O17" s="37" t="n"/>
      <c r="P17" s="37" t="n"/>
      <c r="Q17" s="14">
        <f>IF(A17="","",IF(E17&lt;&gt;"Decision","",IF(P17="UC-ID specific",IF(O17="","UC-ID REQUIRED","Check source decision for each UC-ID"),IF(P17="Shared system baseline",IF(O17&lt;&gt;"","REMOVE UC-ID OR CORRECT SCOPE","Baseline only — NOT UC approval"),"Decision scope missing"))))</f>
        <v/>
      </c>
      <c r="R17" s="43" t="n"/>
      <c r="S17" s="40" t="n"/>
      <c r="T17" s="40" t="n"/>
      <c r="U17" s="40" t="n"/>
      <c r="V17" s="40" t="n"/>
      <c r="W17" s="41" t="n"/>
      <c r="X17" s="38" t="n"/>
    </row>
    <row r="18">
      <c r="A18" s="38" t="n"/>
      <c r="B18" s="38" t="n"/>
      <c r="C18" s="38" t="n"/>
      <c r="D18" s="38" t="n"/>
      <c r="E18" s="38" t="n"/>
      <c r="F18" s="39" t="n"/>
      <c r="G18" s="38" t="n"/>
      <c r="H18" s="38" t="n"/>
      <c r="I18" s="38" t="n"/>
      <c r="J18" s="38" t="n"/>
      <c r="K18" s="38" t="n"/>
      <c r="L18" s="38" t="n"/>
      <c r="M18" s="38" t="n"/>
      <c r="N18" s="22">
        <f>IF(COUNTA(A18:M18,O18:P18,R18:X18)=0,"",IF(OR(A18="",B18="",F18=""),"Event ID, AIR-ID or date missing",IF(COUNTIF($A$4:$A$553,A18)&gt;1,"Duplicate Event ID",IF(E18="","Event type missing",IF(OR(NOT(ISNUMBER(F18)),F18&gt;TODAY()),"Date is not a real date or is in the future",IF(AND(C18&lt;&gt;"",COUNTIF('Gate plan'!$A$4:$A$353,C18)=0),"Plan ID not found in Gate plan",IF(AND(C18&lt;&gt;"",COUNTIFS('Gate plan'!$A$4:$A$353,C18,'Gate plan'!$B$4:$B$353,B18)=0),"Plan AIR-ID differs from event",IF(D18="","Gate / forum missing",IF(AND(E18="Precautionary pause (containment)",G18&lt;&gt;"Paused — pending decision"),"Precautionary pause: Outcome must be Paused, pending decision",IF(AND(E18="Precautionary pause (containment)",V18=""),"Precautionary pause: AIG-OPS-03 incident ref missing",IF(AND(E18="Precautionary pause (containment)",NOT(ISNUMBER(W18))),"Precautionary pause: follow-up decision due date missing",IF(AND(G18="Paused — pending decision",E18&lt;&gt;"Precautionary pause (containment)"),"Paused, pending decision is only for a Precautionary pause event",IF(AND(E18="Decision",OR(G18="",H18="",I18="")),"Outcome / delegation / decision ref missing",IF(AND(E18="Decision",NOT(OR(G18="Progress",G18="Progress with condition",G18="Return for evidence",G18="Pause",G18="Stop",G18="Suspend",G18="Decommission",G18="Re-authorise",G18="Resume"))),"Decision event needs a decision outcome",IF(AND(E18="Priority override",OR(H18="",I18="")),"Decision-maker / AIG-DEC-03 ref missing",IF(AND(E18="Priority override",G18&lt;&gt;"",G18&lt;&gt;"No decision"),"Priority override: Outcome blank or No decision",IF(AND(E18&lt;&gt;"Decision",OR(G18="Progress",G18="Progress with condition",G18="Return for evidence",G18="Pause",G18="Stop",G18="Suspend",G18="Decommission",G18="Re-authorise",G18="Resume")),"Outcome implies decision",IF(OR(ISNUMBER(SEARCH(",",O18)),ISNUMBER(SEARCH(";",O18))),"One UC-ID per event row — split this event",IF(AND(E18="Decision",OR(Q18="UC-ID REQUIRED",Q18="Decision scope missing",Q18="REMOVE UC-ID OR CORRECT SCOPE")),"Decision scope missing",IF(AND(G18="Progress with condition",COUNTIF(Conditions!$B$4:$B$553,A18)=0),"Progress with condition needs at least one Conditions row",IF(AND(C18&lt;&gt;"",COUNTIFS('Gate plan'!$A$4:$A$353,C18,'Gate plan'!$C$4:$C$353,D18)=0),"Plan gate differs from event gate",IF(AND(C18&lt;&gt;"",O18&lt;&gt;"",COUNTIFS('Gate plan'!$A$4:$A$353,C18,'Gate plan'!$K$4:$K$353,"&lt;&gt;")&gt;0,COUNTIFS('Gate plan'!$A$4:$A$353,C18,'Gate plan'!$K$4:$K$353,O18)=0),"Plan UC-ID differs from event UC-ID",IF(AND(E18="Assurance opinion",J18=""),"Assurance opinion ref missing",IF(AND(G18="Opinion only",E18&lt;&gt;"Assurance opinion",E18&lt;&gt;"Review only"),"Opinion only is for Assurance opinion or Review only events",IF(AND(G18="No decision",E18&lt;&gt;"Review only",E18&lt;&gt;"Priority override",E18&lt;&gt;"Intake / registration"),"No decision is for Review only, Priority override or Intake / registration events",IF(OR(ISNUMBER(SEARCH(" ",TRIM(O18))),ISNUMBER(SEARCH("/",O18))),"One UC-ID per event row: split this event",IF(AND(E18="Precautionary pause (containment)",ISNUMBER(W18),ISNUMBER(F18),W18&lt;F18),"Follow-up decision due date is before the pause",IF(AND(G18="Resume",IFERROR(LOOKUP(2,1/(($B$3:B17=B18)*($O$3:O17=O18)),$G$3:G17),"")&lt;&gt;"Paused — pending decision"),"Resume is only for the event straight after a Precautionary pause on the same AIR-ID and UC-ID (in an earlier row)",IF(AND(E18="Decision",OR(G18="Progress",G18="Progress with condition",G18="Re-authorise",G18="Resume"),X18&lt;&gt;"Yes"),"Decision-maker has not confirmed the screening was considered (column X)","Check against source")))))))))))))))))))))))))))))</f>
        <v/>
      </c>
      <c r="O18" s="37" t="n"/>
      <c r="P18" s="37" t="n"/>
      <c r="Q18" s="14">
        <f>IF(A18="","",IF(E18&lt;&gt;"Decision","",IF(P18="UC-ID specific",IF(O18="","UC-ID REQUIRED","Check source decision for each UC-ID"),IF(P18="Shared system baseline",IF(O18&lt;&gt;"","REMOVE UC-ID OR CORRECT SCOPE","Baseline only — NOT UC approval"),"Decision scope missing"))))</f>
        <v/>
      </c>
      <c r="R18" s="42" t="n"/>
      <c r="S18" s="38" t="n"/>
      <c r="T18" s="38" t="n"/>
      <c r="U18" s="38" t="n"/>
      <c r="V18" s="38" t="n"/>
      <c r="W18" s="39" t="n"/>
      <c r="X18" s="38" t="n"/>
    </row>
    <row r="19">
      <c r="A19" s="40" t="n"/>
      <c r="B19" s="40" t="n"/>
      <c r="C19" s="40" t="n"/>
      <c r="D19" s="40" t="n"/>
      <c r="E19" s="40" t="n"/>
      <c r="F19" s="41" t="n"/>
      <c r="G19" s="40" t="n"/>
      <c r="H19" s="40" t="n"/>
      <c r="I19" s="40" t="n"/>
      <c r="J19" s="40" t="n"/>
      <c r="K19" s="40" t="n"/>
      <c r="L19" s="40" t="n"/>
      <c r="M19" s="40" t="n"/>
      <c r="N19" s="24">
        <f>IF(COUNTA(A19:M19,O19:P19,R19:X19)=0,"",IF(OR(A19="",B19="",F19=""),"Event ID, AIR-ID or date missing",IF(COUNTIF($A$4:$A$553,A19)&gt;1,"Duplicate Event ID",IF(E19="","Event type missing",IF(OR(NOT(ISNUMBER(F19)),F19&gt;TODAY()),"Date is not a real date or is in the future",IF(AND(C19&lt;&gt;"",COUNTIF('Gate plan'!$A$4:$A$353,C19)=0),"Plan ID not found in Gate plan",IF(AND(C19&lt;&gt;"",COUNTIFS('Gate plan'!$A$4:$A$353,C19,'Gate plan'!$B$4:$B$353,B19)=0),"Plan AIR-ID differs from event",IF(D19="","Gate / forum missing",IF(AND(E19="Precautionary pause (containment)",G19&lt;&gt;"Paused — pending decision"),"Precautionary pause: Outcome must be Paused, pending decision",IF(AND(E19="Precautionary pause (containment)",V19=""),"Precautionary pause: AIG-OPS-03 incident ref missing",IF(AND(E19="Precautionary pause (containment)",NOT(ISNUMBER(W19))),"Precautionary pause: follow-up decision due date missing",IF(AND(G19="Paused — pending decision",E19&lt;&gt;"Precautionary pause (containment)"),"Paused, pending decision is only for a Precautionary pause event",IF(AND(E19="Decision",OR(G19="",H19="",I19="")),"Outcome / delegation / decision ref missing",IF(AND(E19="Decision",NOT(OR(G19="Progress",G19="Progress with condition",G19="Return for evidence",G19="Pause",G19="Stop",G19="Suspend",G19="Decommission",G19="Re-authorise",G19="Resume"))),"Decision event needs a decision outcome",IF(AND(E19="Priority override",OR(H19="",I19="")),"Decision-maker / AIG-DEC-03 ref missing",IF(AND(E19="Priority override",G19&lt;&gt;"",G19&lt;&gt;"No decision"),"Priority override: Outcome blank or No decision",IF(AND(E19&lt;&gt;"Decision",OR(G19="Progress",G19="Progress with condition",G19="Return for evidence",G19="Pause",G19="Stop",G19="Suspend",G19="Decommission",G19="Re-authorise",G19="Resume")),"Outcome implies decision",IF(OR(ISNUMBER(SEARCH(",",O19)),ISNUMBER(SEARCH(";",O19))),"One UC-ID per event row — split this event",IF(AND(E19="Decision",OR(Q19="UC-ID REQUIRED",Q19="Decision scope missing",Q19="REMOVE UC-ID OR CORRECT SCOPE")),"Decision scope missing",IF(AND(G19="Progress with condition",COUNTIF(Conditions!$B$4:$B$553,A19)=0),"Progress with condition needs at least one Conditions row",IF(AND(C19&lt;&gt;"",COUNTIFS('Gate plan'!$A$4:$A$353,C19,'Gate plan'!$C$4:$C$353,D19)=0),"Plan gate differs from event gate",IF(AND(C19&lt;&gt;"",O19&lt;&gt;"",COUNTIFS('Gate plan'!$A$4:$A$353,C19,'Gate plan'!$K$4:$K$353,"&lt;&gt;")&gt;0,COUNTIFS('Gate plan'!$A$4:$A$353,C19,'Gate plan'!$K$4:$K$353,O19)=0),"Plan UC-ID differs from event UC-ID",IF(AND(E19="Assurance opinion",J19=""),"Assurance opinion ref missing",IF(AND(G19="Opinion only",E19&lt;&gt;"Assurance opinion",E19&lt;&gt;"Review only"),"Opinion only is for Assurance opinion or Review only events",IF(AND(G19="No decision",E19&lt;&gt;"Review only",E19&lt;&gt;"Priority override",E19&lt;&gt;"Intake / registration"),"No decision is for Review only, Priority override or Intake / registration events",IF(OR(ISNUMBER(SEARCH(" ",TRIM(O19))),ISNUMBER(SEARCH("/",O19))),"One UC-ID per event row: split this event",IF(AND(E19="Precautionary pause (containment)",ISNUMBER(W19),ISNUMBER(F19),W19&lt;F19),"Follow-up decision due date is before the pause",IF(AND(G19="Resume",IFERROR(LOOKUP(2,1/(($B$3:B18=B19)*($O$3:O18=O19)),$G$3:G18),"")&lt;&gt;"Paused — pending decision"),"Resume is only for the event straight after a Precautionary pause on the same AIR-ID and UC-ID (in an earlier row)",IF(AND(E19="Decision",OR(G19="Progress",G19="Progress with condition",G19="Re-authorise",G19="Resume"),X19&lt;&gt;"Yes"),"Decision-maker has not confirmed the screening was considered (column X)","Check against source")))))))))))))))))))))))))))))</f>
        <v/>
      </c>
      <c r="O19" s="37" t="n"/>
      <c r="P19" s="37" t="n"/>
      <c r="Q19" s="14">
        <f>IF(A19="","",IF(E19&lt;&gt;"Decision","",IF(P19="UC-ID specific",IF(O19="","UC-ID REQUIRED","Check source decision for each UC-ID"),IF(P19="Shared system baseline",IF(O19&lt;&gt;"","REMOVE UC-ID OR CORRECT SCOPE","Baseline only — NOT UC approval"),"Decision scope missing"))))</f>
        <v/>
      </c>
      <c r="R19" s="43" t="n"/>
      <c r="S19" s="40" t="n"/>
      <c r="T19" s="40" t="n"/>
      <c r="U19" s="40" t="n"/>
      <c r="V19" s="40" t="n"/>
      <c r="W19" s="41" t="n"/>
      <c r="X19" s="38" t="n"/>
    </row>
    <row r="20">
      <c r="A20" s="38" t="n"/>
      <c r="B20" s="38" t="n"/>
      <c r="C20" s="38" t="n"/>
      <c r="D20" s="38" t="n"/>
      <c r="E20" s="38" t="n"/>
      <c r="F20" s="39" t="n"/>
      <c r="G20" s="38" t="n"/>
      <c r="H20" s="38" t="n"/>
      <c r="I20" s="38" t="n"/>
      <c r="J20" s="38" t="n"/>
      <c r="K20" s="38" t="n"/>
      <c r="L20" s="38" t="n"/>
      <c r="M20" s="38" t="n"/>
      <c r="N20" s="22">
        <f>IF(COUNTA(A20:M20,O20:P20,R20:X20)=0,"",IF(OR(A20="",B20="",F20=""),"Event ID, AIR-ID or date missing",IF(COUNTIF($A$4:$A$553,A20)&gt;1,"Duplicate Event ID",IF(E20="","Event type missing",IF(OR(NOT(ISNUMBER(F20)),F20&gt;TODAY()),"Date is not a real date or is in the future",IF(AND(C20&lt;&gt;"",COUNTIF('Gate plan'!$A$4:$A$353,C20)=0),"Plan ID not found in Gate plan",IF(AND(C20&lt;&gt;"",COUNTIFS('Gate plan'!$A$4:$A$353,C20,'Gate plan'!$B$4:$B$353,B20)=0),"Plan AIR-ID differs from event",IF(D20="","Gate / forum missing",IF(AND(E20="Precautionary pause (containment)",G20&lt;&gt;"Paused — pending decision"),"Precautionary pause: Outcome must be Paused, pending decision",IF(AND(E20="Precautionary pause (containment)",V20=""),"Precautionary pause: AIG-OPS-03 incident ref missing",IF(AND(E20="Precautionary pause (containment)",NOT(ISNUMBER(W20))),"Precautionary pause: follow-up decision due date missing",IF(AND(G20="Paused — pending decision",E20&lt;&gt;"Precautionary pause (containment)"),"Paused, pending decision is only for a Precautionary pause event",IF(AND(E20="Decision",OR(G20="",H20="",I20="")),"Outcome / delegation / decision ref missing",IF(AND(E20="Decision",NOT(OR(G20="Progress",G20="Progress with condition",G20="Return for evidence",G20="Pause",G20="Stop",G20="Suspend",G20="Decommission",G20="Re-authorise",G20="Resume"))),"Decision event needs a decision outcome",IF(AND(E20="Priority override",OR(H20="",I20="")),"Decision-maker / AIG-DEC-03 ref missing",IF(AND(E20="Priority override",G20&lt;&gt;"",G20&lt;&gt;"No decision"),"Priority override: Outcome blank or No decision",IF(AND(E20&lt;&gt;"Decision",OR(G20="Progress",G20="Progress with condition",G20="Return for evidence",G20="Pause",G20="Stop",G20="Suspend",G20="Decommission",G20="Re-authorise",G20="Resume")),"Outcome implies decision",IF(OR(ISNUMBER(SEARCH(",",O20)),ISNUMBER(SEARCH(";",O20))),"One UC-ID per event row — split this event",IF(AND(E20="Decision",OR(Q20="UC-ID REQUIRED",Q20="Decision scope missing",Q20="REMOVE UC-ID OR CORRECT SCOPE")),"Decision scope missing",IF(AND(G20="Progress with condition",COUNTIF(Conditions!$B$4:$B$553,A20)=0),"Progress with condition needs at least one Conditions row",IF(AND(C20&lt;&gt;"",COUNTIFS('Gate plan'!$A$4:$A$353,C20,'Gate plan'!$C$4:$C$353,D20)=0),"Plan gate differs from event gate",IF(AND(C20&lt;&gt;"",O20&lt;&gt;"",COUNTIFS('Gate plan'!$A$4:$A$353,C20,'Gate plan'!$K$4:$K$353,"&lt;&gt;")&gt;0,COUNTIFS('Gate plan'!$A$4:$A$353,C20,'Gate plan'!$K$4:$K$353,O20)=0),"Plan UC-ID differs from event UC-ID",IF(AND(E20="Assurance opinion",J20=""),"Assurance opinion ref missing",IF(AND(G20="Opinion only",E20&lt;&gt;"Assurance opinion",E20&lt;&gt;"Review only"),"Opinion only is for Assurance opinion or Review only events",IF(AND(G20="No decision",E20&lt;&gt;"Review only",E20&lt;&gt;"Priority override",E20&lt;&gt;"Intake / registration"),"No decision is for Review only, Priority override or Intake / registration events",IF(OR(ISNUMBER(SEARCH(" ",TRIM(O20))),ISNUMBER(SEARCH("/",O20))),"One UC-ID per event row: split this event",IF(AND(E20="Precautionary pause (containment)",ISNUMBER(W20),ISNUMBER(F20),W20&lt;F20),"Follow-up decision due date is before the pause",IF(AND(G20="Resume",IFERROR(LOOKUP(2,1/(($B$3:B19=B20)*($O$3:O19=O20)),$G$3:G19),"")&lt;&gt;"Paused — pending decision"),"Resume is only for the event straight after a Precautionary pause on the same AIR-ID and UC-ID (in an earlier row)",IF(AND(E20="Decision",OR(G20="Progress",G20="Progress with condition",G20="Re-authorise",G20="Resume"),X20&lt;&gt;"Yes"),"Decision-maker has not confirmed the screening was considered (column X)","Check against source")))))))))))))))))))))))))))))</f>
        <v/>
      </c>
      <c r="O20" s="37" t="n"/>
      <c r="P20" s="37" t="n"/>
      <c r="Q20" s="14">
        <f>IF(A20="","",IF(E20&lt;&gt;"Decision","",IF(P20="UC-ID specific",IF(O20="","UC-ID REQUIRED","Check source decision for each UC-ID"),IF(P20="Shared system baseline",IF(O20&lt;&gt;"","REMOVE UC-ID OR CORRECT SCOPE","Baseline only — NOT UC approval"),"Decision scope missing"))))</f>
        <v/>
      </c>
      <c r="R20" s="42" t="n"/>
      <c r="S20" s="38" t="n"/>
      <c r="T20" s="38" t="n"/>
      <c r="U20" s="38" t="n"/>
      <c r="V20" s="38" t="n"/>
      <c r="W20" s="39" t="n"/>
      <c r="X20" s="38" t="n"/>
    </row>
    <row r="21">
      <c r="A21" s="40" t="n"/>
      <c r="B21" s="40" t="n"/>
      <c r="C21" s="40" t="n"/>
      <c r="D21" s="40" t="n"/>
      <c r="E21" s="40" t="n"/>
      <c r="F21" s="41" t="n"/>
      <c r="G21" s="40" t="n"/>
      <c r="H21" s="40" t="n"/>
      <c r="I21" s="40" t="n"/>
      <c r="J21" s="40" t="n"/>
      <c r="K21" s="40" t="n"/>
      <c r="L21" s="40" t="n"/>
      <c r="M21" s="40" t="n"/>
      <c r="N21" s="24">
        <f>IF(COUNTA(A21:M21,O21:P21,R21:X21)=0,"",IF(OR(A21="",B21="",F21=""),"Event ID, AIR-ID or date missing",IF(COUNTIF($A$4:$A$553,A21)&gt;1,"Duplicate Event ID",IF(E21="","Event type missing",IF(OR(NOT(ISNUMBER(F21)),F21&gt;TODAY()),"Date is not a real date or is in the future",IF(AND(C21&lt;&gt;"",COUNTIF('Gate plan'!$A$4:$A$353,C21)=0),"Plan ID not found in Gate plan",IF(AND(C21&lt;&gt;"",COUNTIFS('Gate plan'!$A$4:$A$353,C21,'Gate plan'!$B$4:$B$353,B21)=0),"Plan AIR-ID differs from event",IF(D21="","Gate / forum missing",IF(AND(E21="Precautionary pause (containment)",G21&lt;&gt;"Paused — pending decision"),"Precautionary pause: Outcome must be Paused, pending decision",IF(AND(E21="Precautionary pause (containment)",V21=""),"Precautionary pause: AIG-OPS-03 incident ref missing",IF(AND(E21="Precautionary pause (containment)",NOT(ISNUMBER(W21))),"Precautionary pause: follow-up decision due date missing",IF(AND(G21="Paused — pending decision",E21&lt;&gt;"Precautionary pause (containment)"),"Paused, pending decision is only for a Precautionary pause event",IF(AND(E21="Decision",OR(G21="",H21="",I21="")),"Outcome / delegation / decision ref missing",IF(AND(E21="Decision",NOT(OR(G21="Progress",G21="Progress with condition",G21="Return for evidence",G21="Pause",G21="Stop",G21="Suspend",G21="Decommission",G21="Re-authorise",G21="Resume"))),"Decision event needs a decision outcome",IF(AND(E21="Priority override",OR(H21="",I21="")),"Decision-maker / AIG-DEC-03 ref missing",IF(AND(E21="Priority override",G21&lt;&gt;"",G21&lt;&gt;"No decision"),"Priority override: Outcome blank or No decision",IF(AND(E21&lt;&gt;"Decision",OR(G21="Progress",G21="Progress with condition",G21="Return for evidence",G21="Pause",G21="Stop",G21="Suspend",G21="Decommission",G21="Re-authorise",G21="Resume")),"Outcome implies decision",IF(OR(ISNUMBER(SEARCH(",",O21)),ISNUMBER(SEARCH(";",O21))),"One UC-ID per event row — split this event",IF(AND(E21="Decision",OR(Q21="UC-ID REQUIRED",Q21="Decision scope missing",Q21="REMOVE UC-ID OR CORRECT SCOPE")),"Decision scope missing",IF(AND(G21="Progress with condition",COUNTIF(Conditions!$B$4:$B$553,A21)=0),"Progress with condition needs at least one Conditions row",IF(AND(C21&lt;&gt;"",COUNTIFS('Gate plan'!$A$4:$A$353,C21,'Gate plan'!$C$4:$C$353,D21)=0),"Plan gate differs from event gate",IF(AND(C21&lt;&gt;"",O21&lt;&gt;"",COUNTIFS('Gate plan'!$A$4:$A$353,C21,'Gate plan'!$K$4:$K$353,"&lt;&gt;")&gt;0,COUNTIFS('Gate plan'!$A$4:$A$353,C21,'Gate plan'!$K$4:$K$353,O21)=0),"Plan UC-ID differs from event UC-ID",IF(AND(E21="Assurance opinion",J21=""),"Assurance opinion ref missing",IF(AND(G21="Opinion only",E21&lt;&gt;"Assurance opinion",E21&lt;&gt;"Review only"),"Opinion only is for Assurance opinion or Review only events",IF(AND(G21="No decision",E21&lt;&gt;"Review only",E21&lt;&gt;"Priority override",E21&lt;&gt;"Intake / registration"),"No decision is for Review only, Priority override or Intake / registration events",IF(OR(ISNUMBER(SEARCH(" ",TRIM(O21))),ISNUMBER(SEARCH("/",O21))),"One UC-ID per event row: split this event",IF(AND(E21="Precautionary pause (containment)",ISNUMBER(W21),ISNUMBER(F21),W21&lt;F21),"Follow-up decision due date is before the pause",IF(AND(G21="Resume",IFERROR(LOOKUP(2,1/(($B$3:B20=B21)*($O$3:O20=O21)),$G$3:G20),"")&lt;&gt;"Paused — pending decision"),"Resume is only for the event straight after a Precautionary pause on the same AIR-ID and UC-ID (in an earlier row)",IF(AND(E21="Decision",OR(G21="Progress",G21="Progress with condition",G21="Re-authorise",G21="Resume"),X21&lt;&gt;"Yes"),"Decision-maker has not confirmed the screening was considered (column X)","Check against source")))))))))))))))))))))))))))))</f>
        <v/>
      </c>
      <c r="O21" s="37" t="n"/>
      <c r="P21" s="37" t="n"/>
      <c r="Q21" s="14">
        <f>IF(A21="","",IF(E21&lt;&gt;"Decision","",IF(P21="UC-ID specific",IF(O21="","UC-ID REQUIRED","Check source decision for each UC-ID"),IF(P21="Shared system baseline",IF(O21&lt;&gt;"","REMOVE UC-ID OR CORRECT SCOPE","Baseline only — NOT UC approval"),"Decision scope missing"))))</f>
        <v/>
      </c>
      <c r="R21" s="43" t="n"/>
      <c r="S21" s="40" t="n"/>
      <c r="T21" s="40" t="n"/>
      <c r="U21" s="40" t="n"/>
      <c r="V21" s="40" t="n"/>
      <c r="W21" s="41" t="n"/>
      <c r="X21" s="38" t="n"/>
    </row>
    <row r="22">
      <c r="A22" s="38" t="n"/>
      <c r="B22" s="38" t="n"/>
      <c r="C22" s="38" t="n"/>
      <c r="D22" s="38" t="n"/>
      <c r="E22" s="38" t="n"/>
      <c r="F22" s="39" t="n"/>
      <c r="G22" s="38" t="n"/>
      <c r="H22" s="38" t="n"/>
      <c r="I22" s="38" t="n"/>
      <c r="J22" s="38" t="n"/>
      <c r="K22" s="38" t="n"/>
      <c r="L22" s="38" t="n"/>
      <c r="M22" s="38" t="n"/>
      <c r="N22" s="22">
        <f>IF(COUNTA(A22:M22,O22:P22,R22:X22)=0,"",IF(OR(A22="",B22="",F22=""),"Event ID, AIR-ID or date missing",IF(COUNTIF($A$4:$A$553,A22)&gt;1,"Duplicate Event ID",IF(E22="","Event type missing",IF(OR(NOT(ISNUMBER(F22)),F22&gt;TODAY()),"Date is not a real date or is in the future",IF(AND(C22&lt;&gt;"",COUNTIF('Gate plan'!$A$4:$A$353,C22)=0),"Plan ID not found in Gate plan",IF(AND(C22&lt;&gt;"",COUNTIFS('Gate plan'!$A$4:$A$353,C22,'Gate plan'!$B$4:$B$353,B22)=0),"Plan AIR-ID differs from event",IF(D22="","Gate / forum missing",IF(AND(E22="Precautionary pause (containment)",G22&lt;&gt;"Paused — pending decision"),"Precautionary pause: Outcome must be Paused, pending decision",IF(AND(E22="Precautionary pause (containment)",V22=""),"Precautionary pause: AIG-OPS-03 incident ref missing",IF(AND(E22="Precautionary pause (containment)",NOT(ISNUMBER(W22))),"Precautionary pause: follow-up decision due date missing",IF(AND(G22="Paused — pending decision",E22&lt;&gt;"Precautionary pause (containment)"),"Paused, pending decision is only for a Precautionary pause event",IF(AND(E22="Decision",OR(G22="",H22="",I22="")),"Outcome / delegation / decision ref missing",IF(AND(E22="Decision",NOT(OR(G22="Progress",G22="Progress with condition",G22="Return for evidence",G22="Pause",G22="Stop",G22="Suspend",G22="Decommission",G22="Re-authorise",G22="Resume"))),"Decision event needs a decision outcome",IF(AND(E22="Priority override",OR(H22="",I22="")),"Decision-maker / AIG-DEC-03 ref missing",IF(AND(E22="Priority override",G22&lt;&gt;"",G22&lt;&gt;"No decision"),"Priority override: Outcome blank or No decision",IF(AND(E22&lt;&gt;"Decision",OR(G22="Progress",G22="Progress with condition",G22="Return for evidence",G22="Pause",G22="Stop",G22="Suspend",G22="Decommission",G22="Re-authorise",G22="Resume")),"Outcome implies decision",IF(OR(ISNUMBER(SEARCH(",",O22)),ISNUMBER(SEARCH(";",O22))),"One UC-ID per event row — split this event",IF(AND(E22="Decision",OR(Q22="UC-ID REQUIRED",Q22="Decision scope missing",Q22="REMOVE UC-ID OR CORRECT SCOPE")),"Decision scope missing",IF(AND(G22="Progress with condition",COUNTIF(Conditions!$B$4:$B$553,A22)=0),"Progress with condition needs at least one Conditions row",IF(AND(C22&lt;&gt;"",COUNTIFS('Gate plan'!$A$4:$A$353,C22,'Gate plan'!$C$4:$C$353,D22)=0),"Plan gate differs from event gate",IF(AND(C22&lt;&gt;"",O22&lt;&gt;"",COUNTIFS('Gate plan'!$A$4:$A$353,C22,'Gate plan'!$K$4:$K$353,"&lt;&gt;")&gt;0,COUNTIFS('Gate plan'!$A$4:$A$353,C22,'Gate plan'!$K$4:$K$353,O22)=0),"Plan UC-ID differs from event UC-ID",IF(AND(E22="Assurance opinion",J22=""),"Assurance opinion ref missing",IF(AND(G22="Opinion only",E22&lt;&gt;"Assurance opinion",E22&lt;&gt;"Review only"),"Opinion only is for Assurance opinion or Review only events",IF(AND(G22="No decision",E22&lt;&gt;"Review only",E22&lt;&gt;"Priority override",E22&lt;&gt;"Intake / registration"),"No decision is for Review only, Priority override or Intake / registration events",IF(OR(ISNUMBER(SEARCH(" ",TRIM(O22))),ISNUMBER(SEARCH("/",O22))),"One UC-ID per event row: split this event",IF(AND(E22="Precautionary pause (containment)",ISNUMBER(W22),ISNUMBER(F22),W22&lt;F22),"Follow-up decision due date is before the pause",IF(AND(G22="Resume",IFERROR(LOOKUP(2,1/(($B$3:B21=B22)*($O$3:O21=O22)),$G$3:G21),"")&lt;&gt;"Paused — pending decision"),"Resume is only for the event straight after a Precautionary pause on the same AIR-ID and UC-ID (in an earlier row)",IF(AND(E22="Decision",OR(G22="Progress",G22="Progress with condition",G22="Re-authorise",G22="Resume"),X22&lt;&gt;"Yes"),"Decision-maker has not confirmed the screening was considered (column X)","Check against source")))))))))))))))))))))))))))))</f>
        <v/>
      </c>
      <c r="O22" s="37" t="n"/>
      <c r="P22" s="37" t="n"/>
      <c r="Q22" s="14">
        <f>IF(A22="","",IF(E22&lt;&gt;"Decision","",IF(P22="UC-ID specific",IF(O22="","UC-ID REQUIRED","Check source decision for each UC-ID"),IF(P22="Shared system baseline",IF(O22&lt;&gt;"","REMOVE UC-ID OR CORRECT SCOPE","Baseline only — NOT UC approval"),"Decision scope missing"))))</f>
        <v/>
      </c>
      <c r="R22" s="42" t="n"/>
      <c r="S22" s="38" t="n"/>
      <c r="T22" s="38" t="n"/>
      <c r="U22" s="38" t="n"/>
      <c r="V22" s="38" t="n"/>
      <c r="W22" s="39" t="n"/>
      <c r="X22" s="38" t="n"/>
    </row>
    <row r="23">
      <c r="A23" s="40" t="n"/>
      <c r="B23" s="40" t="n"/>
      <c r="C23" s="40" t="n"/>
      <c r="D23" s="40" t="n"/>
      <c r="E23" s="40" t="n"/>
      <c r="F23" s="41" t="n"/>
      <c r="G23" s="40" t="n"/>
      <c r="H23" s="40" t="n"/>
      <c r="I23" s="40" t="n"/>
      <c r="J23" s="40" t="n"/>
      <c r="K23" s="40" t="n"/>
      <c r="L23" s="40" t="n"/>
      <c r="M23" s="40" t="n"/>
      <c r="N23" s="24">
        <f>IF(COUNTA(A23:M23,O23:P23,R23:X23)=0,"",IF(OR(A23="",B23="",F23=""),"Event ID, AIR-ID or date missing",IF(COUNTIF($A$4:$A$553,A23)&gt;1,"Duplicate Event ID",IF(E23="","Event type missing",IF(OR(NOT(ISNUMBER(F23)),F23&gt;TODAY()),"Date is not a real date or is in the future",IF(AND(C23&lt;&gt;"",COUNTIF('Gate plan'!$A$4:$A$353,C23)=0),"Plan ID not found in Gate plan",IF(AND(C23&lt;&gt;"",COUNTIFS('Gate plan'!$A$4:$A$353,C23,'Gate plan'!$B$4:$B$353,B23)=0),"Plan AIR-ID differs from event",IF(D23="","Gate / forum missing",IF(AND(E23="Precautionary pause (containment)",G23&lt;&gt;"Paused — pending decision"),"Precautionary pause: Outcome must be Paused, pending decision",IF(AND(E23="Precautionary pause (containment)",V23=""),"Precautionary pause: AIG-OPS-03 incident ref missing",IF(AND(E23="Precautionary pause (containment)",NOT(ISNUMBER(W23))),"Precautionary pause: follow-up decision due date missing",IF(AND(G23="Paused — pending decision",E23&lt;&gt;"Precautionary pause (containment)"),"Paused, pending decision is only for a Precautionary pause event",IF(AND(E23="Decision",OR(G23="",H23="",I23="")),"Outcome / delegation / decision ref missing",IF(AND(E23="Decision",NOT(OR(G23="Progress",G23="Progress with condition",G23="Return for evidence",G23="Pause",G23="Stop",G23="Suspend",G23="Decommission",G23="Re-authorise",G23="Resume"))),"Decision event needs a decision outcome",IF(AND(E23="Priority override",OR(H23="",I23="")),"Decision-maker / AIG-DEC-03 ref missing",IF(AND(E23="Priority override",G23&lt;&gt;"",G23&lt;&gt;"No decision"),"Priority override: Outcome blank or No decision",IF(AND(E23&lt;&gt;"Decision",OR(G23="Progress",G23="Progress with condition",G23="Return for evidence",G23="Pause",G23="Stop",G23="Suspend",G23="Decommission",G23="Re-authorise",G23="Resume")),"Outcome implies decision",IF(OR(ISNUMBER(SEARCH(",",O23)),ISNUMBER(SEARCH(";",O23))),"One UC-ID per event row — split this event",IF(AND(E23="Decision",OR(Q23="UC-ID REQUIRED",Q23="Decision scope missing",Q23="REMOVE UC-ID OR CORRECT SCOPE")),"Decision scope missing",IF(AND(G23="Progress with condition",COUNTIF(Conditions!$B$4:$B$553,A23)=0),"Progress with condition needs at least one Conditions row",IF(AND(C23&lt;&gt;"",COUNTIFS('Gate plan'!$A$4:$A$353,C23,'Gate plan'!$C$4:$C$353,D23)=0),"Plan gate differs from event gate",IF(AND(C23&lt;&gt;"",O23&lt;&gt;"",COUNTIFS('Gate plan'!$A$4:$A$353,C23,'Gate plan'!$K$4:$K$353,"&lt;&gt;")&gt;0,COUNTIFS('Gate plan'!$A$4:$A$353,C23,'Gate plan'!$K$4:$K$353,O23)=0),"Plan UC-ID differs from event UC-ID",IF(AND(E23="Assurance opinion",J23=""),"Assurance opinion ref missing",IF(AND(G23="Opinion only",E23&lt;&gt;"Assurance opinion",E23&lt;&gt;"Review only"),"Opinion only is for Assurance opinion or Review only events",IF(AND(G23="No decision",E23&lt;&gt;"Review only",E23&lt;&gt;"Priority override",E23&lt;&gt;"Intake / registration"),"No decision is for Review only, Priority override or Intake / registration events",IF(OR(ISNUMBER(SEARCH(" ",TRIM(O23))),ISNUMBER(SEARCH("/",O23))),"One UC-ID per event row: split this event",IF(AND(E23="Precautionary pause (containment)",ISNUMBER(W23),ISNUMBER(F23),W23&lt;F23),"Follow-up decision due date is before the pause",IF(AND(G23="Resume",IFERROR(LOOKUP(2,1/(($B$3:B22=B23)*($O$3:O22=O23)),$G$3:G22),"")&lt;&gt;"Paused — pending decision"),"Resume is only for the event straight after a Precautionary pause on the same AIR-ID and UC-ID (in an earlier row)",IF(AND(E23="Decision",OR(G23="Progress",G23="Progress with condition",G23="Re-authorise",G23="Resume"),X23&lt;&gt;"Yes"),"Decision-maker has not confirmed the screening was considered (column X)","Check against source")))))))))))))))))))))))))))))</f>
        <v/>
      </c>
      <c r="O23" s="37" t="n"/>
      <c r="P23" s="37" t="n"/>
      <c r="Q23" s="14">
        <f>IF(A23="","",IF(E23&lt;&gt;"Decision","",IF(P23="UC-ID specific",IF(O23="","UC-ID REQUIRED","Check source decision for each UC-ID"),IF(P23="Shared system baseline",IF(O23&lt;&gt;"","REMOVE UC-ID OR CORRECT SCOPE","Baseline only — NOT UC approval"),"Decision scope missing"))))</f>
        <v/>
      </c>
      <c r="R23" s="43" t="n"/>
      <c r="S23" s="40" t="n"/>
      <c r="T23" s="40" t="n"/>
      <c r="U23" s="40" t="n"/>
      <c r="V23" s="40" t="n"/>
      <c r="W23" s="41" t="n"/>
      <c r="X23" s="38" t="n"/>
    </row>
    <row r="24">
      <c r="A24" s="38" t="n"/>
      <c r="B24" s="38" t="n"/>
      <c r="C24" s="38" t="n"/>
      <c r="D24" s="38" t="n"/>
      <c r="E24" s="38" t="n"/>
      <c r="F24" s="39" t="n"/>
      <c r="G24" s="38" t="n"/>
      <c r="H24" s="38" t="n"/>
      <c r="I24" s="38" t="n"/>
      <c r="J24" s="38" t="n"/>
      <c r="K24" s="38" t="n"/>
      <c r="L24" s="38" t="n"/>
      <c r="M24" s="38" t="n"/>
      <c r="N24" s="22">
        <f>IF(COUNTA(A24:M24,O24:P24,R24:X24)=0,"",IF(OR(A24="",B24="",F24=""),"Event ID, AIR-ID or date missing",IF(COUNTIF($A$4:$A$553,A24)&gt;1,"Duplicate Event ID",IF(E24="","Event type missing",IF(OR(NOT(ISNUMBER(F24)),F24&gt;TODAY()),"Date is not a real date or is in the future",IF(AND(C24&lt;&gt;"",COUNTIF('Gate plan'!$A$4:$A$353,C24)=0),"Plan ID not found in Gate plan",IF(AND(C24&lt;&gt;"",COUNTIFS('Gate plan'!$A$4:$A$353,C24,'Gate plan'!$B$4:$B$353,B24)=0),"Plan AIR-ID differs from event",IF(D24="","Gate / forum missing",IF(AND(E24="Precautionary pause (containment)",G24&lt;&gt;"Paused — pending decision"),"Precautionary pause: Outcome must be Paused, pending decision",IF(AND(E24="Precautionary pause (containment)",V24=""),"Precautionary pause: AIG-OPS-03 incident ref missing",IF(AND(E24="Precautionary pause (containment)",NOT(ISNUMBER(W24))),"Precautionary pause: follow-up decision due date missing",IF(AND(G24="Paused — pending decision",E24&lt;&gt;"Precautionary pause (containment)"),"Paused, pending decision is only for a Precautionary pause event",IF(AND(E24="Decision",OR(G24="",H24="",I24="")),"Outcome / delegation / decision ref missing",IF(AND(E24="Decision",NOT(OR(G24="Progress",G24="Progress with condition",G24="Return for evidence",G24="Pause",G24="Stop",G24="Suspend",G24="Decommission",G24="Re-authorise",G24="Resume"))),"Decision event needs a decision outcome",IF(AND(E24="Priority override",OR(H24="",I24="")),"Decision-maker / AIG-DEC-03 ref missing",IF(AND(E24="Priority override",G24&lt;&gt;"",G24&lt;&gt;"No decision"),"Priority override: Outcome blank or No decision",IF(AND(E24&lt;&gt;"Decision",OR(G24="Progress",G24="Progress with condition",G24="Return for evidence",G24="Pause",G24="Stop",G24="Suspend",G24="Decommission",G24="Re-authorise",G24="Resume")),"Outcome implies decision",IF(OR(ISNUMBER(SEARCH(",",O24)),ISNUMBER(SEARCH(";",O24))),"One UC-ID per event row — split this event",IF(AND(E24="Decision",OR(Q24="UC-ID REQUIRED",Q24="Decision scope missing",Q24="REMOVE UC-ID OR CORRECT SCOPE")),"Decision scope missing",IF(AND(G24="Progress with condition",COUNTIF(Conditions!$B$4:$B$553,A24)=0),"Progress with condition needs at least one Conditions row",IF(AND(C24&lt;&gt;"",COUNTIFS('Gate plan'!$A$4:$A$353,C24,'Gate plan'!$C$4:$C$353,D24)=0),"Plan gate differs from event gate",IF(AND(C24&lt;&gt;"",O24&lt;&gt;"",COUNTIFS('Gate plan'!$A$4:$A$353,C24,'Gate plan'!$K$4:$K$353,"&lt;&gt;")&gt;0,COUNTIFS('Gate plan'!$A$4:$A$353,C24,'Gate plan'!$K$4:$K$353,O24)=0),"Plan UC-ID differs from event UC-ID",IF(AND(E24="Assurance opinion",J24=""),"Assurance opinion ref missing",IF(AND(G24="Opinion only",E24&lt;&gt;"Assurance opinion",E24&lt;&gt;"Review only"),"Opinion only is for Assurance opinion or Review only events",IF(AND(G24="No decision",E24&lt;&gt;"Review only",E24&lt;&gt;"Priority override",E24&lt;&gt;"Intake / registration"),"No decision is for Review only, Priority override or Intake / registration events",IF(OR(ISNUMBER(SEARCH(" ",TRIM(O24))),ISNUMBER(SEARCH("/",O24))),"One UC-ID per event row: split this event",IF(AND(E24="Precautionary pause (containment)",ISNUMBER(W24),ISNUMBER(F24),W24&lt;F24),"Follow-up decision due date is before the pause",IF(AND(G24="Resume",IFERROR(LOOKUP(2,1/(($B$3:B23=B24)*($O$3:O23=O24)),$G$3:G23),"")&lt;&gt;"Paused — pending decision"),"Resume is only for the event straight after a Precautionary pause on the same AIR-ID and UC-ID (in an earlier row)",IF(AND(E24="Decision",OR(G24="Progress",G24="Progress with condition",G24="Re-authorise",G24="Resume"),X24&lt;&gt;"Yes"),"Decision-maker has not confirmed the screening was considered (column X)","Check against source")))))))))))))))))))))))))))))</f>
        <v/>
      </c>
      <c r="O24" s="37" t="n"/>
      <c r="P24" s="37" t="n"/>
      <c r="Q24" s="14">
        <f>IF(A24="","",IF(E24&lt;&gt;"Decision","",IF(P24="UC-ID specific",IF(O24="","UC-ID REQUIRED","Check source decision for each UC-ID"),IF(P24="Shared system baseline",IF(O24&lt;&gt;"","REMOVE UC-ID OR CORRECT SCOPE","Baseline only — NOT UC approval"),"Decision scope missing"))))</f>
        <v/>
      </c>
      <c r="R24" s="42" t="n"/>
      <c r="S24" s="38" t="n"/>
      <c r="T24" s="38" t="n"/>
      <c r="U24" s="38" t="n"/>
      <c r="V24" s="38" t="n"/>
      <c r="W24" s="39" t="n"/>
      <c r="X24" s="38" t="n"/>
    </row>
    <row r="25">
      <c r="A25" s="40" t="n"/>
      <c r="B25" s="40" t="n"/>
      <c r="C25" s="40" t="n"/>
      <c r="D25" s="40" t="n"/>
      <c r="E25" s="40" t="n"/>
      <c r="F25" s="41" t="n"/>
      <c r="G25" s="40" t="n"/>
      <c r="H25" s="40" t="n"/>
      <c r="I25" s="40" t="n"/>
      <c r="J25" s="40" t="n"/>
      <c r="K25" s="40" t="n"/>
      <c r="L25" s="40" t="n"/>
      <c r="M25" s="40" t="n"/>
      <c r="N25" s="24">
        <f>IF(COUNTA(A25:M25,O25:P25,R25:X25)=0,"",IF(OR(A25="",B25="",F25=""),"Event ID, AIR-ID or date missing",IF(COUNTIF($A$4:$A$553,A25)&gt;1,"Duplicate Event ID",IF(E25="","Event type missing",IF(OR(NOT(ISNUMBER(F25)),F25&gt;TODAY()),"Date is not a real date or is in the future",IF(AND(C25&lt;&gt;"",COUNTIF('Gate plan'!$A$4:$A$353,C25)=0),"Plan ID not found in Gate plan",IF(AND(C25&lt;&gt;"",COUNTIFS('Gate plan'!$A$4:$A$353,C25,'Gate plan'!$B$4:$B$353,B25)=0),"Plan AIR-ID differs from event",IF(D25="","Gate / forum missing",IF(AND(E25="Precautionary pause (containment)",G25&lt;&gt;"Paused — pending decision"),"Precautionary pause: Outcome must be Paused, pending decision",IF(AND(E25="Precautionary pause (containment)",V25=""),"Precautionary pause: AIG-OPS-03 incident ref missing",IF(AND(E25="Precautionary pause (containment)",NOT(ISNUMBER(W25))),"Precautionary pause: follow-up decision due date missing",IF(AND(G25="Paused — pending decision",E25&lt;&gt;"Precautionary pause (containment)"),"Paused, pending decision is only for a Precautionary pause event",IF(AND(E25="Decision",OR(G25="",H25="",I25="")),"Outcome / delegation / decision ref missing",IF(AND(E25="Decision",NOT(OR(G25="Progress",G25="Progress with condition",G25="Return for evidence",G25="Pause",G25="Stop",G25="Suspend",G25="Decommission",G25="Re-authorise",G25="Resume"))),"Decision event needs a decision outcome",IF(AND(E25="Priority override",OR(H25="",I25="")),"Decision-maker / AIG-DEC-03 ref missing",IF(AND(E25="Priority override",G25&lt;&gt;"",G25&lt;&gt;"No decision"),"Priority override: Outcome blank or No decision",IF(AND(E25&lt;&gt;"Decision",OR(G25="Progress",G25="Progress with condition",G25="Return for evidence",G25="Pause",G25="Stop",G25="Suspend",G25="Decommission",G25="Re-authorise",G25="Resume")),"Outcome implies decision",IF(OR(ISNUMBER(SEARCH(",",O25)),ISNUMBER(SEARCH(";",O25))),"One UC-ID per event row — split this event",IF(AND(E25="Decision",OR(Q25="UC-ID REQUIRED",Q25="Decision scope missing",Q25="REMOVE UC-ID OR CORRECT SCOPE")),"Decision scope missing",IF(AND(G25="Progress with condition",COUNTIF(Conditions!$B$4:$B$553,A25)=0),"Progress with condition needs at least one Conditions row",IF(AND(C25&lt;&gt;"",COUNTIFS('Gate plan'!$A$4:$A$353,C25,'Gate plan'!$C$4:$C$353,D25)=0),"Plan gate differs from event gate",IF(AND(C25&lt;&gt;"",O25&lt;&gt;"",COUNTIFS('Gate plan'!$A$4:$A$353,C25,'Gate plan'!$K$4:$K$353,"&lt;&gt;")&gt;0,COUNTIFS('Gate plan'!$A$4:$A$353,C25,'Gate plan'!$K$4:$K$353,O25)=0),"Plan UC-ID differs from event UC-ID",IF(AND(E25="Assurance opinion",J25=""),"Assurance opinion ref missing",IF(AND(G25="Opinion only",E25&lt;&gt;"Assurance opinion",E25&lt;&gt;"Review only"),"Opinion only is for Assurance opinion or Review only events",IF(AND(G25="No decision",E25&lt;&gt;"Review only",E25&lt;&gt;"Priority override",E25&lt;&gt;"Intake / registration"),"No decision is for Review only, Priority override or Intake / registration events",IF(OR(ISNUMBER(SEARCH(" ",TRIM(O25))),ISNUMBER(SEARCH("/",O25))),"One UC-ID per event row: split this event",IF(AND(E25="Precautionary pause (containment)",ISNUMBER(W25),ISNUMBER(F25),W25&lt;F25),"Follow-up decision due date is before the pause",IF(AND(G25="Resume",IFERROR(LOOKUP(2,1/(($B$3:B24=B25)*($O$3:O24=O25)),$G$3:G24),"")&lt;&gt;"Paused — pending decision"),"Resume is only for the event straight after a Precautionary pause on the same AIR-ID and UC-ID (in an earlier row)",IF(AND(E25="Decision",OR(G25="Progress",G25="Progress with condition",G25="Re-authorise",G25="Resume"),X25&lt;&gt;"Yes"),"Decision-maker has not confirmed the screening was considered (column X)","Check against source")))))))))))))))))))))))))))))</f>
        <v/>
      </c>
      <c r="O25" s="37" t="n"/>
      <c r="P25" s="37" t="n"/>
      <c r="Q25" s="14">
        <f>IF(A25="","",IF(E25&lt;&gt;"Decision","",IF(P25="UC-ID specific",IF(O25="","UC-ID REQUIRED","Check source decision for each UC-ID"),IF(P25="Shared system baseline",IF(O25&lt;&gt;"","REMOVE UC-ID OR CORRECT SCOPE","Baseline only — NOT UC approval"),"Decision scope missing"))))</f>
        <v/>
      </c>
      <c r="R25" s="43" t="n"/>
      <c r="S25" s="40" t="n"/>
      <c r="T25" s="40" t="n"/>
      <c r="U25" s="40" t="n"/>
      <c r="V25" s="40" t="n"/>
      <c r="W25" s="41" t="n"/>
      <c r="X25" s="38" t="n"/>
    </row>
    <row r="26">
      <c r="A26" s="38" t="n"/>
      <c r="B26" s="38" t="n"/>
      <c r="C26" s="38" t="n"/>
      <c r="D26" s="38" t="n"/>
      <c r="E26" s="38" t="n"/>
      <c r="F26" s="39" t="n"/>
      <c r="G26" s="38" t="n"/>
      <c r="H26" s="38" t="n"/>
      <c r="I26" s="38" t="n"/>
      <c r="J26" s="38" t="n"/>
      <c r="K26" s="38" t="n"/>
      <c r="L26" s="38" t="n"/>
      <c r="M26" s="38" t="n"/>
      <c r="N26" s="22">
        <f>IF(COUNTA(A26:M26,O26:P26,R26:X26)=0,"",IF(OR(A26="",B26="",F26=""),"Event ID, AIR-ID or date missing",IF(COUNTIF($A$4:$A$553,A26)&gt;1,"Duplicate Event ID",IF(E26="","Event type missing",IF(OR(NOT(ISNUMBER(F26)),F26&gt;TODAY()),"Date is not a real date or is in the future",IF(AND(C26&lt;&gt;"",COUNTIF('Gate plan'!$A$4:$A$353,C26)=0),"Plan ID not found in Gate plan",IF(AND(C26&lt;&gt;"",COUNTIFS('Gate plan'!$A$4:$A$353,C26,'Gate plan'!$B$4:$B$353,B26)=0),"Plan AIR-ID differs from event",IF(D26="","Gate / forum missing",IF(AND(E26="Precautionary pause (containment)",G26&lt;&gt;"Paused — pending decision"),"Precautionary pause: Outcome must be Paused, pending decision",IF(AND(E26="Precautionary pause (containment)",V26=""),"Precautionary pause: AIG-OPS-03 incident ref missing",IF(AND(E26="Precautionary pause (containment)",NOT(ISNUMBER(W26))),"Precautionary pause: follow-up decision due date missing",IF(AND(G26="Paused — pending decision",E26&lt;&gt;"Precautionary pause (containment)"),"Paused, pending decision is only for a Precautionary pause event",IF(AND(E26="Decision",OR(G26="",H26="",I26="")),"Outcome / delegation / decision ref missing",IF(AND(E26="Decision",NOT(OR(G26="Progress",G26="Progress with condition",G26="Return for evidence",G26="Pause",G26="Stop",G26="Suspend",G26="Decommission",G26="Re-authorise",G26="Resume"))),"Decision event needs a decision outcome",IF(AND(E26="Priority override",OR(H26="",I26="")),"Decision-maker / AIG-DEC-03 ref missing",IF(AND(E26="Priority override",G26&lt;&gt;"",G26&lt;&gt;"No decision"),"Priority override: Outcome blank or No decision",IF(AND(E26&lt;&gt;"Decision",OR(G26="Progress",G26="Progress with condition",G26="Return for evidence",G26="Pause",G26="Stop",G26="Suspend",G26="Decommission",G26="Re-authorise",G26="Resume")),"Outcome implies decision",IF(OR(ISNUMBER(SEARCH(",",O26)),ISNUMBER(SEARCH(";",O26))),"One UC-ID per event row — split this event",IF(AND(E26="Decision",OR(Q26="UC-ID REQUIRED",Q26="Decision scope missing",Q26="REMOVE UC-ID OR CORRECT SCOPE")),"Decision scope missing",IF(AND(G26="Progress with condition",COUNTIF(Conditions!$B$4:$B$553,A26)=0),"Progress with condition needs at least one Conditions row",IF(AND(C26&lt;&gt;"",COUNTIFS('Gate plan'!$A$4:$A$353,C26,'Gate plan'!$C$4:$C$353,D26)=0),"Plan gate differs from event gate",IF(AND(C26&lt;&gt;"",O26&lt;&gt;"",COUNTIFS('Gate plan'!$A$4:$A$353,C26,'Gate plan'!$K$4:$K$353,"&lt;&gt;")&gt;0,COUNTIFS('Gate plan'!$A$4:$A$353,C26,'Gate plan'!$K$4:$K$353,O26)=0),"Plan UC-ID differs from event UC-ID",IF(AND(E26="Assurance opinion",J26=""),"Assurance opinion ref missing",IF(AND(G26="Opinion only",E26&lt;&gt;"Assurance opinion",E26&lt;&gt;"Review only"),"Opinion only is for Assurance opinion or Review only events",IF(AND(G26="No decision",E26&lt;&gt;"Review only",E26&lt;&gt;"Priority override",E26&lt;&gt;"Intake / registration"),"No decision is for Review only, Priority override or Intake / registration events",IF(OR(ISNUMBER(SEARCH(" ",TRIM(O26))),ISNUMBER(SEARCH("/",O26))),"One UC-ID per event row: split this event",IF(AND(E26="Precautionary pause (containment)",ISNUMBER(W26),ISNUMBER(F26),W26&lt;F26),"Follow-up decision due date is before the pause",IF(AND(G26="Resume",IFERROR(LOOKUP(2,1/(($B$3:B25=B26)*($O$3:O25=O26)),$G$3:G25),"")&lt;&gt;"Paused — pending decision"),"Resume is only for the event straight after a Precautionary pause on the same AIR-ID and UC-ID (in an earlier row)",IF(AND(E26="Decision",OR(G26="Progress",G26="Progress with condition",G26="Re-authorise",G26="Resume"),X26&lt;&gt;"Yes"),"Decision-maker has not confirmed the screening was considered (column X)","Check against source")))))))))))))))))))))))))))))</f>
        <v/>
      </c>
      <c r="O26" s="37" t="n"/>
      <c r="P26" s="37" t="n"/>
      <c r="Q26" s="14">
        <f>IF(A26="","",IF(E26&lt;&gt;"Decision","",IF(P26="UC-ID specific",IF(O26="","UC-ID REQUIRED","Check source decision for each UC-ID"),IF(P26="Shared system baseline",IF(O26&lt;&gt;"","REMOVE UC-ID OR CORRECT SCOPE","Baseline only — NOT UC approval"),"Decision scope missing"))))</f>
        <v/>
      </c>
      <c r="R26" s="42" t="n"/>
      <c r="S26" s="38" t="n"/>
      <c r="T26" s="38" t="n"/>
      <c r="U26" s="38" t="n"/>
      <c r="V26" s="38" t="n"/>
      <c r="W26" s="39" t="n"/>
      <c r="X26" s="38" t="n"/>
    </row>
    <row r="27">
      <c r="A27" s="40" t="n"/>
      <c r="B27" s="40" t="n"/>
      <c r="C27" s="40" t="n"/>
      <c r="D27" s="40" t="n"/>
      <c r="E27" s="40" t="n"/>
      <c r="F27" s="41" t="n"/>
      <c r="G27" s="40" t="n"/>
      <c r="H27" s="40" t="n"/>
      <c r="I27" s="40" t="n"/>
      <c r="J27" s="40" t="n"/>
      <c r="K27" s="40" t="n"/>
      <c r="L27" s="40" t="n"/>
      <c r="M27" s="40" t="n"/>
      <c r="N27" s="24">
        <f>IF(COUNTA(A27:M27,O27:P27,R27:X27)=0,"",IF(OR(A27="",B27="",F27=""),"Event ID, AIR-ID or date missing",IF(COUNTIF($A$4:$A$553,A27)&gt;1,"Duplicate Event ID",IF(E27="","Event type missing",IF(OR(NOT(ISNUMBER(F27)),F27&gt;TODAY()),"Date is not a real date or is in the future",IF(AND(C27&lt;&gt;"",COUNTIF('Gate plan'!$A$4:$A$353,C27)=0),"Plan ID not found in Gate plan",IF(AND(C27&lt;&gt;"",COUNTIFS('Gate plan'!$A$4:$A$353,C27,'Gate plan'!$B$4:$B$353,B27)=0),"Plan AIR-ID differs from event",IF(D27="","Gate / forum missing",IF(AND(E27="Precautionary pause (containment)",G27&lt;&gt;"Paused — pending decision"),"Precautionary pause: Outcome must be Paused, pending decision",IF(AND(E27="Precautionary pause (containment)",V27=""),"Precautionary pause: AIG-OPS-03 incident ref missing",IF(AND(E27="Precautionary pause (containment)",NOT(ISNUMBER(W27))),"Precautionary pause: follow-up decision due date missing",IF(AND(G27="Paused — pending decision",E27&lt;&gt;"Precautionary pause (containment)"),"Paused, pending decision is only for a Precautionary pause event",IF(AND(E27="Decision",OR(G27="",H27="",I27="")),"Outcome / delegation / decision ref missing",IF(AND(E27="Decision",NOT(OR(G27="Progress",G27="Progress with condition",G27="Return for evidence",G27="Pause",G27="Stop",G27="Suspend",G27="Decommission",G27="Re-authorise",G27="Resume"))),"Decision event needs a decision outcome",IF(AND(E27="Priority override",OR(H27="",I27="")),"Decision-maker / AIG-DEC-03 ref missing",IF(AND(E27="Priority override",G27&lt;&gt;"",G27&lt;&gt;"No decision"),"Priority override: Outcome blank or No decision",IF(AND(E27&lt;&gt;"Decision",OR(G27="Progress",G27="Progress with condition",G27="Return for evidence",G27="Pause",G27="Stop",G27="Suspend",G27="Decommission",G27="Re-authorise",G27="Resume")),"Outcome implies decision",IF(OR(ISNUMBER(SEARCH(",",O27)),ISNUMBER(SEARCH(";",O27))),"One UC-ID per event row — split this event",IF(AND(E27="Decision",OR(Q27="UC-ID REQUIRED",Q27="Decision scope missing",Q27="REMOVE UC-ID OR CORRECT SCOPE")),"Decision scope missing",IF(AND(G27="Progress with condition",COUNTIF(Conditions!$B$4:$B$553,A27)=0),"Progress with condition needs at least one Conditions row",IF(AND(C27&lt;&gt;"",COUNTIFS('Gate plan'!$A$4:$A$353,C27,'Gate plan'!$C$4:$C$353,D27)=0),"Plan gate differs from event gate",IF(AND(C27&lt;&gt;"",O27&lt;&gt;"",COUNTIFS('Gate plan'!$A$4:$A$353,C27,'Gate plan'!$K$4:$K$353,"&lt;&gt;")&gt;0,COUNTIFS('Gate plan'!$A$4:$A$353,C27,'Gate plan'!$K$4:$K$353,O27)=0),"Plan UC-ID differs from event UC-ID",IF(AND(E27="Assurance opinion",J27=""),"Assurance opinion ref missing",IF(AND(G27="Opinion only",E27&lt;&gt;"Assurance opinion",E27&lt;&gt;"Review only"),"Opinion only is for Assurance opinion or Review only events",IF(AND(G27="No decision",E27&lt;&gt;"Review only",E27&lt;&gt;"Priority override",E27&lt;&gt;"Intake / registration"),"No decision is for Review only, Priority override or Intake / registration events",IF(OR(ISNUMBER(SEARCH(" ",TRIM(O27))),ISNUMBER(SEARCH("/",O27))),"One UC-ID per event row: split this event",IF(AND(E27="Precautionary pause (containment)",ISNUMBER(W27),ISNUMBER(F27),W27&lt;F27),"Follow-up decision due date is before the pause",IF(AND(G27="Resume",IFERROR(LOOKUP(2,1/(($B$3:B26=B27)*($O$3:O26=O27)),$G$3:G26),"")&lt;&gt;"Paused — pending decision"),"Resume is only for the event straight after a Precautionary pause on the same AIR-ID and UC-ID (in an earlier row)",IF(AND(E27="Decision",OR(G27="Progress",G27="Progress with condition",G27="Re-authorise",G27="Resume"),X27&lt;&gt;"Yes"),"Decision-maker has not confirmed the screening was considered (column X)","Check against source")))))))))))))))))))))))))))))</f>
        <v/>
      </c>
      <c r="O27" s="37" t="n"/>
      <c r="P27" s="37" t="n"/>
      <c r="Q27" s="14">
        <f>IF(A27="","",IF(E27&lt;&gt;"Decision","",IF(P27="UC-ID specific",IF(O27="","UC-ID REQUIRED","Check source decision for each UC-ID"),IF(P27="Shared system baseline",IF(O27&lt;&gt;"","REMOVE UC-ID OR CORRECT SCOPE","Baseline only — NOT UC approval"),"Decision scope missing"))))</f>
        <v/>
      </c>
      <c r="R27" s="43" t="n"/>
      <c r="S27" s="40" t="n"/>
      <c r="T27" s="40" t="n"/>
      <c r="U27" s="40" t="n"/>
      <c r="V27" s="40" t="n"/>
      <c r="W27" s="41" t="n"/>
      <c r="X27" s="38" t="n"/>
    </row>
    <row r="28">
      <c r="A28" s="38" t="n"/>
      <c r="B28" s="38" t="n"/>
      <c r="C28" s="38" t="n"/>
      <c r="D28" s="38" t="n"/>
      <c r="E28" s="38" t="n"/>
      <c r="F28" s="39" t="n"/>
      <c r="G28" s="38" t="n"/>
      <c r="H28" s="38" t="n"/>
      <c r="I28" s="38" t="n"/>
      <c r="J28" s="38" t="n"/>
      <c r="K28" s="38" t="n"/>
      <c r="L28" s="38" t="n"/>
      <c r="M28" s="38" t="n"/>
      <c r="N28" s="22">
        <f>IF(COUNTA(A28:M28,O28:P28,R28:X28)=0,"",IF(OR(A28="",B28="",F28=""),"Event ID, AIR-ID or date missing",IF(COUNTIF($A$4:$A$553,A28)&gt;1,"Duplicate Event ID",IF(E28="","Event type missing",IF(OR(NOT(ISNUMBER(F28)),F28&gt;TODAY()),"Date is not a real date or is in the future",IF(AND(C28&lt;&gt;"",COUNTIF('Gate plan'!$A$4:$A$353,C28)=0),"Plan ID not found in Gate plan",IF(AND(C28&lt;&gt;"",COUNTIFS('Gate plan'!$A$4:$A$353,C28,'Gate plan'!$B$4:$B$353,B28)=0),"Plan AIR-ID differs from event",IF(D28="","Gate / forum missing",IF(AND(E28="Precautionary pause (containment)",G28&lt;&gt;"Paused — pending decision"),"Precautionary pause: Outcome must be Paused, pending decision",IF(AND(E28="Precautionary pause (containment)",V28=""),"Precautionary pause: AIG-OPS-03 incident ref missing",IF(AND(E28="Precautionary pause (containment)",NOT(ISNUMBER(W28))),"Precautionary pause: follow-up decision due date missing",IF(AND(G28="Paused — pending decision",E28&lt;&gt;"Precautionary pause (containment)"),"Paused, pending decision is only for a Precautionary pause event",IF(AND(E28="Decision",OR(G28="",H28="",I28="")),"Outcome / delegation / decision ref missing",IF(AND(E28="Decision",NOT(OR(G28="Progress",G28="Progress with condition",G28="Return for evidence",G28="Pause",G28="Stop",G28="Suspend",G28="Decommission",G28="Re-authorise",G28="Resume"))),"Decision event needs a decision outcome",IF(AND(E28="Priority override",OR(H28="",I28="")),"Decision-maker / AIG-DEC-03 ref missing",IF(AND(E28="Priority override",G28&lt;&gt;"",G28&lt;&gt;"No decision"),"Priority override: Outcome blank or No decision",IF(AND(E28&lt;&gt;"Decision",OR(G28="Progress",G28="Progress with condition",G28="Return for evidence",G28="Pause",G28="Stop",G28="Suspend",G28="Decommission",G28="Re-authorise",G28="Resume")),"Outcome implies decision",IF(OR(ISNUMBER(SEARCH(",",O28)),ISNUMBER(SEARCH(";",O28))),"One UC-ID per event row — split this event",IF(AND(E28="Decision",OR(Q28="UC-ID REQUIRED",Q28="Decision scope missing",Q28="REMOVE UC-ID OR CORRECT SCOPE")),"Decision scope missing",IF(AND(G28="Progress with condition",COUNTIF(Conditions!$B$4:$B$553,A28)=0),"Progress with condition needs at least one Conditions row",IF(AND(C28&lt;&gt;"",COUNTIFS('Gate plan'!$A$4:$A$353,C28,'Gate plan'!$C$4:$C$353,D28)=0),"Plan gate differs from event gate",IF(AND(C28&lt;&gt;"",O28&lt;&gt;"",COUNTIFS('Gate plan'!$A$4:$A$353,C28,'Gate plan'!$K$4:$K$353,"&lt;&gt;")&gt;0,COUNTIFS('Gate plan'!$A$4:$A$353,C28,'Gate plan'!$K$4:$K$353,O28)=0),"Plan UC-ID differs from event UC-ID",IF(AND(E28="Assurance opinion",J28=""),"Assurance opinion ref missing",IF(AND(G28="Opinion only",E28&lt;&gt;"Assurance opinion",E28&lt;&gt;"Review only"),"Opinion only is for Assurance opinion or Review only events",IF(AND(G28="No decision",E28&lt;&gt;"Review only",E28&lt;&gt;"Priority override",E28&lt;&gt;"Intake / registration"),"No decision is for Review only, Priority override or Intake / registration events",IF(OR(ISNUMBER(SEARCH(" ",TRIM(O28))),ISNUMBER(SEARCH("/",O28))),"One UC-ID per event row: split this event",IF(AND(E28="Precautionary pause (containment)",ISNUMBER(W28),ISNUMBER(F28),W28&lt;F28),"Follow-up decision due date is before the pause",IF(AND(G28="Resume",IFERROR(LOOKUP(2,1/(($B$3:B27=B28)*($O$3:O27=O28)),$G$3:G27),"")&lt;&gt;"Paused — pending decision"),"Resume is only for the event straight after a Precautionary pause on the same AIR-ID and UC-ID (in an earlier row)",IF(AND(E28="Decision",OR(G28="Progress",G28="Progress with condition",G28="Re-authorise",G28="Resume"),X28&lt;&gt;"Yes"),"Decision-maker has not confirmed the screening was considered (column X)","Check against source")))))))))))))))))))))))))))))</f>
        <v/>
      </c>
      <c r="O28" s="37" t="n"/>
      <c r="P28" s="37" t="n"/>
      <c r="Q28" s="14">
        <f>IF(A28="","",IF(E28&lt;&gt;"Decision","",IF(P28="UC-ID specific",IF(O28="","UC-ID REQUIRED","Check source decision for each UC-ID"),IF(P28="Shared system baseline",IF(O28&lt;&gt;"","REMOVE UC-ID OR CORRECT SCOPE","Baseline only — NOT UC approval"),"Decision scope missing"))))</f>
        <v/>
      </c>
      <c r="R28" s="42" t="n"/>
      <c r="S28" s="38" t="n"/>
      <c r="T28" s="38" t="n"/>
      <c r="U28" s="38" t="n"/>
      <c r="V28" s="38" t="n"/>
      <c r="W28" s="39" t="n"/>
      <c r="X28" s="38" t="n"/>
    </row>
    <row r="29">
      <c r="A29" s="40" t="n"/>
      <c r="B29" s="40" t="n"/>
      <c r="C29" s="40" t="n"/>
      <c r="D29" s="40" t="n"/>
      <c r="E29" s="40" t="n"/>
      <c r="F29" s="41" t="n"/>
      <c r="G29" s="40" t="n"/>
      <c r="H29" s="40" t="n"/>
      <c r="I29" s="40" t="n"/>
      <c r="J29" s="40" t="n"/>
      <c r="K29" s="40" t="n"/>
      <c r="L29" s="40" t="n"/>
      <c r="M29" s="40" t="n"/>
      <c r="N29" s="24">
        <f>IF(COUNTA(A29:M29,O29:P29,R29:X29)=0,"",IF(OR(A29="",B29="",F29=""),"Event ID, AIR-ID or date missing",IF(COUNTIF($A$4:$A$553,A29)&gt;1,"Duplicate Event ID",IF(E29="","Event type missing",IF(OR(NOT(ISNUMBER(F29)),F29&gt;TODAY()),"Date is not a real date or is in the future",IF(AND(C29&lt;&gt;"",COUNTIF('Gate plan'!$A$4:$A$353,C29)=0),"Plan ID not found in Gate plan",IF(AND(C29&lt;&gt;"",COUNTIFS('Gate plan'!$A$4:$A$353,C29,'Gate plan'!$B$4:$B$353,B29)=0),"Plan AIR-ID differs from event",IF(D29="","Gate / forum missing",IF(AND(E29="Precautionary pause (containment)",G29&lt;&gt;"Paused — pending decision"),"Precautionary pause: Outcome must be Paused, pending decision",IF(AND(E29="Precautionary pause (containment)",V29=""),"Precautionary pause: AIG-OPS-03 incident ref missing",IF(AND(E29="Precautionary pause (containment)",NOT(ISNUMBER(W29))),"Precautionary pause: follow-up decision due date missing",IF(AND(G29="Paused — pending decision",E29&lt;&gt;"Precautionary pause (containment)"),"Paused, pending decision is only for a Precautionary pause event",IF(AND(E29="Decision",OR(G29="",H29="",I29="")),"Outcome / delegation / decision ref missing",IF(AND(E29="Decision",NOT(OR(G29="Progress",G29="Progress with condition",G29="Return for evidence",G29="Pause",G29="Stop",G29="Suspend",G29="Decommission",G29="Re-authorise",G29="Resume"))),"Decision event needs a decision outcome",IF(AND(E29="Priority override",OR(H29="",I29="")),"Decision-maker / AIG-DEC-03 ref missing",IF(AND(E29="Priority override",G29&lt;&gt;"",G29&lt;&gt;"No decision"),"Priority override: Outcome blank or No decision",IF(AND(E29&lt;&gt;"Decision",OR(G29="Progress",G29="Progress with condition",G29="Return for evidence",G29="Pause",G29="Stop",G29="Suspend",G29="Decommission",G29="Re-authorise",G29="Resume")),"Outcome implies decision",IF(OR(ISNUMBER(SEARCH(",",O29)),ISNUMBER(SEARCH(";",O29))),"One UC-ID per event row — split this event",IF(AND(E29="Decision",OR(Q29="UC-ID REQUIRED",Q29="Decision scope missing",Q29="REMOVE UC-ID OR CORRECT SCOPE")),"Decision scope missing",IF(AND(G29="Progress with condition",COUNTIF(Conditions!$B$4:$B$553,A29)=0),"Progress with condition needs at least one Conditions row",IF(AND(C29&lt;&gt;"",COUNTIFS('Gate plan'!$A$4:$A$353,C29,'Gate plan'!$C$4:$C$353,D29)=0),"Plan gate differs from event gate",IF(AND(C29&lt;&gt;"",O29&lt;&gt;"",COUNTIFS('Gate plan'!$A$4:$A$353,C29,'Gate plan'!$K$4:$K$353,"&lt;&gt;")&gt;0,COUNTIFS('Gate plan'!$A$4:$A$353,C29,'Gate plan'!$K$4:$K$353,O29)=0),"Plan UC-ID differs from event UC-ID",IF(AND(E29="Assurance opinion",J29=""),"Assurance opinion ref missing",IF(AND(G29="Opinion only",E29&lt;&gt;"Assurance opinion",E29&lt;&gt;"Review only"),"Opinion only is for Assurance opinion or Review only events",IF(AND(G29="No decision",E29&lt;&gt;"Review only",E29&lt;&gt;"Priority override",E29&lt;&gt;"Intake / registration"),"No decision is for Review only, Priority override or Intake / registration events",IF(OR(ISNUMBER(SEARCH(" ",TRIM(O29))),ISNUMBER(SEARCH("/",O29))),"One UC-ID per event row: split this event",IF(AND(E29="Precautionary pause (containment)",ISNUMBER(W29),ISNUMBER(F29),W29&lt;F29),"Follow-up decision due date is before the pause",IF(AND(G29="Resume",IFERROR(LOOKUP(2,1/(($B$3:B28=B29)*($O$3:O28=O29)),$G$3:G28),"")&lt;&gt;"Paused — pending decision"),"Resume is only for the event straight after a Precautionary pause on the same AIR-ID and UC-ID (in an earlier row)",IF(AND(E29="Decision",OR(G29="Progress",G29="Progress with condition",G29="Re-authorise",G29="Resume"),X29&lt;&gt;"Yes"),"Decision-maker has not confirmed the screening was considered (column X)","Check against source")))))))))))))))))))))))))))))</f>
        <v/>
      </c>
      <c r="O29" s="37" t="n"/>
      <c r="P29" s="37" t="n"/>
      <c r="Q29" s="14">
        <f>IF(A29="","",IF(E29&lt;&gt;"Decision","",IF(P29="UC-ID specific",IF(O29="","UC-ID REQUIRED","Check source decision for each UC-ID"),IF(P29="Shared system baseline",IF(O29&lt;&gt;"","REMOVE UC-ID OR CORRECT SCOPE","Baseline only — NOT UC approval"),"Decision scope missing"))))</f>
        <v/>
      </c>
      <c r="R29" s="43" t="n"/>
      <c r="S29" s="40" t="n"/>
      <c r="T29" s="40" t="n"/>
      <c r="U29" s="40" t="n"/>
      <c r="V29" s="40" t="n"/>
      <c r="W29" s="41" t="n"/>
      <c r="X29" s="38" t="n"/>
    </row>
    <row r="30">
      <c r="A30" s="38" t="n"/>
      <c r="B30" s="38" t="n"/>
      <c r="C30" s="38" t="n"/>
      <c r="D30" s="38" t="n"/>
      <c r="E30" s="38" t="n"/>
      <c r="F30" s="39" t="n"/>
      <c r="G30" s="38" t="n"/>
      <c r="H30" s="38" t="n"/>
      <c r="I30" s="38" t="n"/>
      <c r="J30" s="38" t="n"/>
      <c r="K30" s="38" t="n"/>
      <c r="L30" s="38" t="n"/>
      <c r="M30" s="38" t="n"/>
      <c r="N30" s="22">
        <f>IF(COUNTA(A30:M30,O30:P30,R30:X30)=0,"",IF(OR(A30="",B30="",F30=""),"Event ID, AIR-ID or date missing",IF(COUNTIF($A$4:$A$553,A30)&gt;1,"Duplicate Event ID",IF(E30="","Event type missing",IF(OR(NOT(ISNUMBER(F30)),F30&gt;TODAY()),"Date is not a real date or is in the future",IF(AND(C30&lt;&gt;"",COUNTIF('Gate plan'!$A$4:$A$353,C30)=0),"Plan ID not found in Gate plan",IF(AND(C30&lt;&gt;"",COUNTIFS('Gate plan'!$A$4:$A$353,C30,'Gate plan'!$B$4:$B$353,B30)=0),"Plan AIR-ID differs from event",IF(D30="","Gate / forum missing",IF(AND(E30="Precautionary pause (containment)",G30&lt;&gt;"Paused — pending decision"),"Precautionary pause: Outcome must be Paused, pending decision",IF(AND(E30="Precautionary pause (containment)",V30=""),"Precautionary pause: AIG-OPS-03 incident ref missing",IF(AND(E30="Precautionary pause (containment)",NOT(ISNUMBER(W30))),"Precautionary pause: follow-up decision due date missing",IF(AND(G30="Paused — pending decision",E30&lt;&gt;"Precautionary pause (containment)"),"Paused, pending decision is only for a Precautionary pause event",IF(AND(E30="Decision",OR(G30="",H30="",I30="")),"Outcome / delegation / decision ref missing",IF(AND(E30="Decision",NOT(OR(G30="Progress",G30="Progress with condition",G30="Return for evidence",G30="Pause",G30="Stop",G30="Suspend",G30="Decommission",G30="Re-authorise",G30="Resume"))),"Decision event needs a decision outcome",IF(AND(E30="Priority override",OR(H30="",I30="")),"Decision-maker / AIG-DEC-03 ref missing",IF(AND(E30="Priority override",G30&lt;&gt;"",G30&lt;&gt;"No decision"),"Priority override: Outcome blank or No decision",IF(AND(E30&lt;&gt;"Decision",OR(G30="Progress",G30="Progress with condition",G30="Return for evidence",G30="Pause",G30="Stop",G30="Suspend",G30="Decommission",G30="Re-authorise",G30="Resume")),"Outcome implies decision",IF(OR(ISNUMBER(SEARCH(",",O30)),ISNUMBER(SEARCH(";",O30))),"One UC-ID per event row — split this event",IF(AND(E30="Decision",OR(Q30="UC-ID REQUIRED",Q30="Decision scope missing",Q30="REMOVE UC-ID OR CORRECT SCOPE")),"Decision scope missing",IF(AND(G30="Progress with condition",COUNTIF(Conditions!$B$4:$B$553,A30)=0),"Progress with condition needs at least one Conditions row",IF(AND(C30&lt;&gt;"",COUNTIFS('Gate plan'!$A$4:$A$353,C30,'Gate plan'!$C$4:$C$353,D30)=0),"Plan gate differs from event gate",IF(AND(C30&lt;&gt;"",O30&lt;&gt;"",COUNTIFS('Gate plan'!$A$4:$A$353,C30,'Gate plan'!$K$4:$K$353,"&lt;&gt;")&gt;0,COUNTIFS('Gate plan'!$A$4:$A$353,C30,'Gate plan'!$K$4:$K$353,O30)=0),"Plan UC-ID differs from event UC-ID",IF(AND(E30="Assurance opinion",J30=""),"Assurance opinion ref missing",IF(AND(G30="Opinion only",E30&lt;&gt;"Assurance opinion",E30&lt;&gt;"Review only"),"Opinion only is for Assurance opinion or Review only events",IF(AND(G30="No decision",E30&lt;&gt;"Review only",E30&lt;&gt;"Priority override",E30&lt;&gt;"Intake / registration"),"No decision is for Review only, Priority override or Intake / registration events",IF(OR(ISNUMBER(SEARCH(" ",TRIM(O30))),ISNUMBER(SEARCH("/",O30))),"One UC-ID per event row: split this event",IF(AND(E30="Precautionary pause (containment)",ISNUMBER(W30),ISNUMBER(F30),W30&lt;F30),"Follow-up decision due date is before the pause",IF(AND(G30="Resume",IFERROR(LOOKUP(2,1/(($B$3:B29=B30)*($O$3:O29=O30)),$G$3:G29),"")&lt;&gt;"Paused — pending decision"),"Resume is only for the event straight after a Precautionary pause on the same AIR-ID and UC-ID (in an earlier row)",IF(AND(E30="Decision",OR(G30="Progress",G30="Progress with condition",G30="Re-authorise",G30="Resume"),X30&lt;&gt;"Yes"),"Decision-maker has not confirmed the screening was considered (column X)","Check against source")))))))))))))))))))))))))))))</f>
        <v/>
      </c>
      <c r="O30" s="37" t="n"/>
      <c r="P30" s="37" t="n"/>
      <c r="Q30" s="14">
        <f>IF(A30="","",IF(E30&lt;&gt;"Decision","",IF(P30="UC-ID specific",IF(O30="","UC-ID REQUIRED","Check source decision for each UC-ID"),IF(P30="Shared system baseline",IF(O30&lt;&gt;"","REMOVE UC-ID OR CORRECT SCOPE","Baseline only — NOT UC approval"),"Decision scope missing"))))</f>
        <v/>
      </c>
      <c r="R30" s="42" t="n"/>
      <c r="S30" s="38" t="n"/>
      <c r="T30" s="38" t="n"/>
      <c r="U30" s="38" t="n"/>
      <c r="V30" s="38" t="n"/>
      <c r="W30" s="39" t="n"/>
      <c r="X30" s="38" t="n"/>
    </row>
    <row r="31">
      <c r="A31" s="40" t="n"/>
      <c r="B31" s="40" t="n"/>
      <c r="C31" s="40" t="n"/>
      <c r="D31" s="40" t="n"/>
      <c r="E31" s="40" t="n"/>
      <c r="F31" s="41" t="n"/>
      <c r="G31" s="40" t="n"/>
      <c r="H31" s="40" t="n"/>
      <c r="I31" s="40" t="n"/>
      <c r="J31" s="40" t="n"/>
      <c r="K31" s="40" t="n"/>
      <c r="L31" s="40" t="n"/>
      <c r="M31" s="40" t="n"/>
      <c r="N31" s="24">
        <f>IF(COUNTA(A31:M31,O31:P31,R31:X31)=0,"",IF(OR(A31="",B31="",F31=""),"Event ID, AIR-ID or date missing",IF(COUNTIF($A$4:$A$553,A31)&gt;1,"Duplicate Event ID",IF(E31="","Event type missing",IF(OR(NOT(ISNUMBER(F31)),F31&gt;TODAY()),"Date is not a real date or is in the future",IF(AND(C31&lt;&gt;"",COUNTIF('Gate plan'!$A$4:$A$353,C31)=0),"Plan ID not found in Gate plan",IF(AND(C31&lt;&gt;"",COUNTIFS('Gate plan'!$A$4:$A$353,C31,'Gate plan'!$B$4:$B$353,B31)=0),"Plan AIR-ID differs from event",IF(D31="","Gate / forum missing",IF(AND(E31="Precautionary pause (containment)",G31&lt;&gt;"Paused — pending decision"),"Precautionary pause: Outcome must be Paused, pending decision",IF(AND(E31="Precautionary pause (containment)",V31=""),"Precautionary pause: AIG-OPS-03 incident ref missing",IF(AND(E31="Precautionary pause (containment)",NOT(ISNUMBER(W31))),"Precautionary pause: follow-up decision due date missing",IF(AND(G31="Paused — pending decision",E31&lt;&gt;"Precautionary pause (containment)"),"Paused, pending decision is only for a Precautionary pause event",IF(AND(E31="Decision",OR(G31="",H31="",I31="")),"Outcome / delegation / decision ref missing",IF(AND(E31="Decision",NOT(OR(G31="Progress",G31="Progress with condition",G31="Return for evidence",G31="Pause",G31="Stop",G31="Suspend",G31="Decommission",G31="Re-authorise",G31="Resume"))),"Decision event needs a decision outcome",IF(AND(E31="Priority override",OR(H31="",I31="")),"Decision-maker / AIG-DEC-03 ref missing",IF(AND(E31="Priority override",G31&lt;&gt;"",G31&lt;&gt;"No decision"),"Priority override: Outcome blank or No decision",IF(AND(E31&lt;&gt;"Decision",OR(G31="Progress",G31="Progress with condition",G31="Return for evidence",G31="Pause",G31="Stop",G31="Suspend",G31="Decommission",G31="Re-authorise",G31="Resume")),"Outcome implies decision",IF(OR(ISNUMBER(SEARCH(",",O31)),ISNUMBER(SEARCH(";",O31))),"One UC-ID per event row — split this event",IF(AND(E31="Decision",OR(Q31="UC-ID REQUIRED",Q31="Decision scope missing",Q31="REMOVE UC-ID OR CORRECT SCOPE")),"Decision scope missing",IF(AND(G31="Progress with condition",COUNTIF(Conditions!$B$4:$B$553,A31)=0),"Progress with condition needs at least one Conditions row",IF(AND(C31&lt;&gt;"",COUNTIFS('Gate plan'!$A$4:$A$353,C31,'Gate plan'!$C$4:$C$353,D31)=0),"Plan gate differs from event gate",IF(AND(C31&lt;&gt;"",O31&lt;&gt;"",COUNTIFS('Gate plan'!$A$4:$A$353,C31,'Gate plan'!$K$4:$K$353,"&lt;&gt;")&gt;0,COUNTIFS('Gate plan'!$A$4:$A$353,C31,'Gate plan'!$K$4:$K$353,O31)=0),"Plan UC-ID differs from event UC-ID",IF(AND(E31="Assurance opinion",J31=""),"Assurance opinion ref missing",IF(AND(G31="Opinion only",E31&lt;&gt;"Assurance opinion",E31&lt;&gt;"Review only"),"Opinion only is for Assurance opinion or Review only events",IF(AND(G31="No decision",E31&lt;&gt;"Review only",E31&lt;&gt;"Priority override",E31&lt;&gt;"Intake / registration"),"No decision is for Review only, Priority override or Intake / registration events",IF(OR(ISNUMBER(SEARCH(" ",TRIM(O31))),ISNUMBER(SEARCH("/",O31))),"One UC-ID per event row: split this event",IF(AND(E31="Precautionary pause (containment)",ISNUMBER(W31),ISNUMBER(F31),W31&lt;F31),"Follow-up decision due date is before the pause",IF(AND(G31="Resume",IFERROR(LOOKUP(2,1/(($B$3:B30=B31)*($O$3:O30=O31)),$G$3:G30),"")&lt;&gt;"Paused — pending decision"),"Resume is only for the event straight after a Precautionary pause on the same AIR-ID and UC-ID (in an earlier row)",IF(AND(E31="Decision",OR(G31="Progress",G31="Progress with condition",G31="Re-authorise",G31="Resume"),X31&lt;&gt;"Yes"),"Decision-maker has not confirmed the screening was considered (column X)","Check against source")))))))))))))))))))))))))))))</f>
        <v/>
      </c>
      <c r="O31" s="37" t="n"/>
      <c r="P31" s="37" t="n"/>
      <c r="Q31" s="14">
        <f>IF(A31="","",IF(E31&lt;&gt;"Decision","",IF(P31="UC-ID specific",IF(O31="","UC-ID REQUIRED","Check source decision for each UC-ID"),IF(P31="Shared system baseline",IF(O31&lt;&gt;"","REMOVE UC-ID OR CORRECT SCOPE","Baseline only — NOT UC approval"),"Decision scope missing"))))</f>
        <v/>
      </c>
      <c r="R31" s="43" t="n"/>
      <c r="S31" s="40" t="n"/>
      <c r="T31" s="40" t="n"/>
      <c r="U31" s="40" t="n"/>
      <c r="V31" s="40" t="n"/>
      <c r="W31" s="41" t="n"/>
      <c r="X31" s="38" t="n"/>
    </row>
    <row r="32">
      <c r="A32" s="38" t="n"/>
      <c r="B32" s="38" t="n"/>
      <c r="C32" s="38" t="n"/>
      <c r="D32" s="38" t="n"/>
      <c r="E32" s="38" t="n"/>
      <c r="F32" s="39" t="n"/>
      <c r="G32" s="38" t="n"/>
      <c r="H32" s="38" t="n"/>
      <c r="I32" s="38" t="n"/>
      <c r="J32" s="38" t="n"/>
      <c r="K32" s="38" t="n"/>
      <c r="L32" s="38" t="n"/>
      <c r="M32" s="38" t="n"/>
      <c r="N32" s="22">
        <f>IF(COUNTA(A32:M32,O32:P32,R32:X32)=0,"",IF(OR(A32="",B32="",F32=""),"Event ID, AIR-ID or date missing",IF(COUNTIF($A$4:$A$553,A32)&gt;1,"Duplicate Event ID",IF(E32="","Event type missing",IF(OR(NOT(ISNUMBER(F32)),F32&gt;TODAY()),"Date is not a real date or is in the future",IF(AND(C32&lt;&gt;"",COUNTIF('Gate plan'!$A$4:$A$353,C32)=0),"Plan ID not found in Gate plan",IF(AND(C32&lt;&gt;"",COUNTIFS('Gate plan'!$A$4:$A$353,C32,'Gate plan'!$B$4:$B$353,B32)=0),"Plan AIR-ID differs from event",IF(D32="","Gate / forum missing",IF(AND(E32="Precautionary pause (containment)",G32&lt;&gt;"Paused — pending decision"),"Precautionary pause: Outcome must be Paused, pending decision",IF(AND(E32="Precautionary pause (containment)",V32=""),"Precautionary pause: AIG-OPS-03 incident ref missing",IF(AND(E32="Precautionary pause (containment)",NOT(ISNUMBER(W32))),"Precautionary pause: follow-up decision due date missing",IF(AND(G32="Paused — pending decision",E32&lt;&gt;"Precautionary pause (containment)"),"Paused, pending decision is only for a Precautionary pause event",IF(AND(E32="Decision",OR(G32="",H32="",I32="")),"Outcome / delegation / decision ref missing",IF(AND(E32="Decision",NOT(OR(G32="Progress",G32="Progress with condition",G32="Return for evidence",G32="Pause",G32="Stop",G32="Suspend",G32="Decommission",G32="Re-authorise",G32="Resume"))),"Decision event needs a decision outcome",IF(AND(E32="Priority override",OR(H32="",I32="")),"Decision-maker / AIG-DEC-03 ref missing",IF(AND(E32="Priority override",G32&lt;&gt;"",G32&lt;&gt;"No decision"),"Priority override: Outcome blank or No decision",IF(AND(E32&lt;&gt;"Decision",OR(G32="Progress",G32="Progress with condition",G32="Return for evidence",G32="Pause",G32="Stop",G32="Suspend",G32="Decommission",G32="Re-authorise",G32="Resume")),"Outcome implies decision",IF(OR(ISNUMBER(SEARCH(",",O32)),ISNUMBER(SEARCH(";",O32))),"One UC-ID per event row — split this event",IF(AND(E32="Decision",OR(Q32="UC-ID REQUIRED",Q32="Decision scope missing",Q32="REMOVE UC-ID OR CORRECT SCOPE")),"Decision scope missing",IF(AND(G32="Progress with condition",COUNTIF(Conditions!$B$4:$B$553,A32)=0),"Progress with condition needs at least one Conditions row",IF(AND(C32&lt;&gt;"",COUNTIFS('Gate plan'!$A$4:$A$353,C32,'Gate plan'!$C$4:$C$353,D32)=0),"Plan gate differs from event gate",IF(AND(C32&lt;&gt;"",O32&lt;&gt;"",COUNTIFS('Gate plan'!$A$4:$A$353,C32,'Gate plan'!$K$4:$K$353,"&lt;&gt;")&gt;0,COUNTIFS('Gate plan'!$A$4:$A$353,C32,'Gate plan'!$K$4:$K$353,O32)=0),"Plan UC-ID differs from event UC-ID",IF(AND(E32="Assurance opinion",J32=""),"Assurance opinion ref missing",IF(AND(G32="Opinion only",E32&lt;&gt;"Assurance opinion",E32&lt;&gt;"Review only"),"Opinion only is for Assurance opinion or Review only events",IF(AND(G32="No decision",E32&lt;&gt;"Review only",E32&lt;&gt;"Priority override",E32&lt;&gt;"Intake / registration"),"No decision is for Review only, Priority override or Intake / registration events",IF(OR(ISNUMBER(SEARCH(" ",TRIM(O32))),ISNUMBER(SEARCH("/",O32))),"One UC-ID per event row: split this event",IF(AND(E32="Precautionary pause (containment)",ISNUMBER(W32),ISNUMBER(F32),W32&lt;F32),"Follow-up decision due date is before the pause",IF(AND(G32="Resume",IFERROR(LOOKUP(2,1/(($B$3:B31=B32)*($O$3:O31=O32)),$G$3:G31),"")&lt;&gt;"Paused — pending decision"),"Resume is only for the event straight after a Precautionary pause on the same AIR-ID and UC-ID (in an earlier row)",IF(AND(E32="Decision",OR(G32="Progress",G32="Progress with condition",G32="Re-authorise",G32="Resume"),X32&lt;&gt;"Yes"),"Decision-maker has not confirmed the screening was considered (column X)","Check against source")))))))))))))))))))))))))))))</f>
        <v/>
      </c>
      <c r="O32" s="37" t="n"/>
      <c r="P32" s="37" t="n"/>
      <c r="Q32" s="14">
        <f>IF(A32="","",IF(E32&lt;&gt;"Decision","",IF(P32="UC-ID specific",IF(O32="","UC-ID REQUIRED","Check source decision for each UC-ID"),IF(P32="Shared system baseline",IF(O32&lt;&gt;"","REMOVE UC-ID OR CORRECT SCOPE","Baseline only — NOT UC approval"),"Decision scope missing"))))</f>
        <v/>
      </c>
      <c r="R32" s="42" t="n"/>
      <c r="S32" s="38" t="n"/>
      <c r="T32" s="38" t="n"/>
      <c r="U32" s="38" t="n"/>
      <c r="V32" s="38" t="n"/>
      <c r="W32" s="39" t="n"/>
      <c r="X32" s="38" t="n"/>
    </row>
    <row r="33">
      <c r="A33" s="40" t="n"/>
      <c r="B33" s="40" t="n"/>
      <c r="C33" s="40" t="n"/>
      <c r="D33" s="40" t="n"/>
      <c r="E33" s="40" t="n"/>
      <c r="F33" s="41" t="n"/>
      <c r="G33" s="40" t="n"/>
      <c r="H33" s="40" t="n"/>
      <c r="I33" s="40" t="n"/>
      <c r="J33" s="40" t="n"/>
      <c r="K33" s="40" t="n"/>
      <c r="L33" s="40" t="n"/>
      <c r="M33" s="40" t="n"/>
      <c r="N33" s="24">
        <f>IF(COUNTA(A33:M33,O33:P33,R33:X33)=0,"",IF(OR(A33="",B33="",F33=""),"Event ID, AIR-ID or date missing",IF(COUNTIF($A$4:$A$553,A33)&gt;1,"Duplicate Event ID",IF(E33="","Event type missing",IF(OR(NOT(ISNUMBER(F33)),F33&gt;TODAY()),"Date is not a real date or is in the future",IF(AND(C33&lt;&gt;"",COUNTIF('Gate plan'!$A$4:$A$353,C33)=0),"Plan ID not found in Gate plan",IF(AND(C33&lt;&gt;"",COUNTIFS('Gate plan'!$A$4:$A$353,C33,'Gate plan'!$B$4:$B$353,B33)=0),"Plan AIR-ID differs from event",IF(D33="","Gate / forum missing",IF(AND(E33="Precautionary pause (containment)",G33&lt;&gt;"Paused — pending decision"),"Precautionary pause: Outcome must be Paused, pending decision",IF(AND(E33="Precautionary pause (containment)",V33=""),"Precautionary pause: AIG-OPS-03 incident ref missing",IF(AND(E33="Precautionary pause (containment)",NOT(ISNUMBER(W33))),"Precautionary pause: follow-up decision due date missing",IF(AND(G33="Paused — pending decision",E33&lt;&gt;"Precautionary pause (containment)"),"Paused, pending decision is only for a Precautionary pause event",IF(AND(E33="Decision",OR(G33="",H33="",I33="")),"Outcome / delegation / decision ref missing",IF(AND(E33="Decision",NOT(OR(G33="Progress",G33="Progress with condition",G33="Return for evidence",G33="Pause",G33="Stop",G33="Suspend",G33="Decommission",G33="Re-authorise",G33="Resume"))),"Decision event needs a decision outcome",IF(AND(E33="Priority override",OR(H33="",I33="")),"Decision-maker / AIG-DEC-03 ref missing",IF(AND(E33="Priority override",G33&lt;&gt;"",G33&lt;&gt;"No decision"),"Priority override: Outcome blank or No decision",IF(AND(E33&lt;&gt;"Decision",OR(G33="Progress",G33="Progress with condition",G33="Return for evidence",G33="Pause",G33="Stop",G33="Suspend",G33="Decommission",G33="Re-authorise",G33="Resume")),"Outcome implies decision",IF(OR(ISNUMBER(SEARCH(",",O33)),ISNUMBER(SEARCH(";",O33))),"One UC-ID per event row — split this event",IF(AND(E33="Decision",OR(Q33="UC-ID REQUIRED",Q33="Decision scope missing",Q33="REMOVE UC-ID OR CORRECT SCOPE")),"Decision scope missing",IF(AND(G33="Progress with condition",COUNTIF(Conditions!$B$4:$B$553,A33)=0),"Progress with condition needs at least one Conditions row",IF(AND(C33&lt;&gt;"",COUNTIFS('Gate plan'!$A$4:$A$353,C33,'Gate plan'!$C$4:$C$353,D33)=0),"Plan gate differs from event gate",IF(AND(C33&lt;&gt;"",O33&lt;&gt;"",COUNTIFS('Gate plan'!$A$4:$A$353,C33,'Gate plan'!$K$4:$K$353,"&lt;&gt;")&gt;0,COUNTIFS('Gate plan'!$A$4:$A$353,C33,'Gate plan'!$K$4:$K$353,O33)=0),"Plan UC-ID differs from event UC-ID",IF(AND(E33="Assurance opinion",J33=""),"Assurance opinion ref missing",IF(AND(G33="Opinion only",E33&lt;&gt;"Assurance opinion",E33&lt;&gt;"Review only"),"Opinion only is for Assurance opinion or Review only events",IF(AND(G33="No decision",E33&lt;&gt;"Review only",E33&lt;&gt;"Priority override",E33&lt;&gt;"Intake / registration"),"No decision is for Review only, Priority override or Intake / registration events",IF(OR(ISNUMBER(SEARCH(" ",TRIM(O33))),ISNUMBER(SEARCH("/",O33))),"One UC-ID per event row: split this event",IF(AND(E33="Precautionary pause (containment)",ISNUMBER(W33),ISNUMBER(F33),W33&lt;F33),"Follow-up decision due date is before the pause",IF(AND(G33="Resume",IFERROR(LOOKUP(2,1/(($B$3:B32=B33)*($O$3:O32=O33)),$G$3:G32),"")&lt;&gt;"Paused — pending decision"),"Resume is only for the event straight after a Precautionary pause on the same AIR-ID and UC-ID (in an earlier row)",IF(AND(E33="Decision",OR(G33="Progress",G33="Progress with condition",G33="Re-authorise",G33="Resume"),X33&lt;&gt;"Yes"),"Decision-maker has not confirmed the screening was considered (column X)","Check against source")))))))))))))))))))))))))))))</f>
        <v/>
      </c>
      <c r="O33" s="37" t="n"/>
      <c r="P33" s="37" t="n"/>
      <c r="Q33" s="14">
        <f>IF(A33="","",IF(E33&lt;&gt;"Decision","",IF(P33="UC-ID specific",IF(O33="","UC-ID REQUIRED","Check source decision for each UC-ID"),IF(P33="Shared system baseline",IF(O33&lt;&gt;"","REMOVE UC-ID OR CORRECT SCOPE","Baseline only — NOT UC approval"),"Decision scope missing"))))</f>
        <v/>
      </c>
      <c r="R33" s="43" t="n"/>
      <c r="S33" s="40" t="n"/>
      <c r="T33" s="40" t="n"/>
      <c r="U33" s="40" t="n"/>
      <c r="V33" s="40" t="n"/>
      <c r="W33" s="41" t="n"/>
      <c r="X33" s="38" t="n"/>
    </row>
    <row r="34">
      <c r="A34" s="38" t="n"/>
      <c r="B34" s="38" t="n"/>
      <c r="C34" s="38" t="n"/>
      <c r="D34" s="38" t="n"/>
      <c r="E34" s="38" t="n"/>
      <c r="F34" s="39" t="n"/>
      <c r="G34" s="38" t="n"/>
      <c r="H34" s="38" t="n"/>
      <c r="I34" s="38" t="n"/>
      <c r="J34" s="38" t="n"/>
      <c r="K34" s="38" t="n"/>
      <c r="L34" s="38" t="n"/>
      <c r="M34" s="38" t="n"/>
      <c r="N34" s="22">
        <f>IF(COUNTA(A34:M34,O34:P34,R34:X34)=0,"",IF(OR(A34="",B34="",F34=""),"Event ID, AIR-ID or date missing",IF(COUNTIF($A$4:$A$553,A34)&gt;1,"Duplicate Event ID",IF(E34="","Event type missing",IF(OR(NOT(ISNUMBER(F34)),F34&gt;TODAY()),"Date is not a real date or is in the future",IF(AND(C34&lt;&gt;"",COUNTIF('Gate plan'!$A$4:$A$353,C34)=0),"Plan ID not found in Gate plan",IF(AND(C34&lt;&gt;"",COUNTIFS('Gate plan'!$A$4:$A$353,C34,'Gate plan'!$B$4:$B$353,B34)=0),"Plan AIR-ID differs from event",IF(D34="","Gate / forum missing",IF(AND(E34="Precautionary pause (containment)",G34&lt;&gt;"Paused — pending decision"),"Precautionary pause: Outcome must be Paused, pending decision",IF(AND(E34="Precautionary pause (containment)",V34=""),"Precautionary pause: AIG-OPS-03 incident ref missing",IF(AND(E34="Precautionary pause (containment)",NOT(ISNUMBER(W34))),"Precautionary pause: follow-up decision due date missing",IF(AND(G34="Paused — pending decision",E34&lt;&gt;"Precautionary pause (containment)"),"Paused, pending decision is only for a Precautionary pause event",IF(AND(E34="Decision",OR(G34="",H34="",I34="")),"Outcome / delegation / decision ref missing",IF(AND(E34="Decision",NOT(OR(G34="Progress",G34="Progress with condition",G34="Return for evidence",G34="Pause",G34="Stop",G34="Suspend",G34="Decommission",G34="Re-authorise",G34="Resume"))),"Decision event needs a decision outcome",IF(AND(E34="Priority override",OR(H34="",I34="")),"Decision-maker / AIG-DEC-03 ref missing",IF(AND(E34="Priority override",G34&lt;&gt;"",G34&lt;&gt;"No decision"),"Priority override: Outcome blank or No decision",IF(AND(E34&lt;&gt;"Decision",OR(G34="Progress",G34="Progress with condition",G34="Return for evidence",G34="Pause",G34="Stop",G34="Suspend",G34="Decommission",G34="Re-authorise",G34="Resume")),"Outcome implies decision",IF(OR(ISNUMBER(SEARCH(",",O34)),ISNUMBER(SEARCH(";",O34))),"One UC-ID per event row — split this event",IF(AND(E34="Decision",OR(Q34="UC-ID REQUIRED",Q34="Decision scope missing",Q34="REMOVE UC-ID OR CORRECT SCOPE")),"Decision scope missing",IF(AND(G34="Progress with condition",COUNTIF(Conditions!$B$4:$B$553,A34)=0),"Progress with condition needs at least one Conditions row",IF(AND(C34&lt;&gt;"",COUNTIFS('Gate plan'!$A$4:$A$353,C34,'Gate plan'!$C$4:$C$353,D34)=0),"Plan gate differs from event gate",IF(AND(C34&lt;&gt;"",O34&lt;&gt;"",COUNTIFS('Gate plan'!$A$4:$A$353,C34,'Gate plan'!$K$4:$K$353,"&lt;&gt;")&gt;0,COUNTIFS('Gate plan'!$A$4:$A$353,C34,'Gate plan'!$K$4:$K$353,O34)=0),"Plan UC-ID differs from event UC-ID",IF(AND(E34="Assurance opinion",J34=""),"Assurance opinion ref missing",IF(AND(G34="Opinion only",E34&lt;&gt;"Assurance opinion",E34&lt;&gt;"Review only"),"Opinion only is for Assurance opinion or Review only events",IF(AND(G34="No decision",E34&lt;&gt;"Review only",E34&lt;&gt;"Priority override",E34&lt;&gt;"Intake / registration"),"No decision is for Review only, Priority override or Intake / registration events",IF(OR(ISNUMBER(SEARCH(" ",TRIM(O34))),ISNUMBER(SEARCH("/",O34))),"One UC-ID per event row: split this event",IF(AND(E34="Precautionary pause (containment)",ISNUMBER(W34),ISNUMBER(F34),W34&lt;F34),"Follow-up decision due date is before the pause",IF(AND(G34="Resume",IFERROR(LOOKUP(2,1/(($B$3:B33=B34)*($O$3:O33=O34)),$G$3:G33),"")&lt;&gt;"Paused — pending decision"),"Resume is only for the event straight after a Precautionary pause on the same AIR-ID and UC-ID (in an earlier row)",IF(AND(E34="Decision",OR(G34="Progress",G34="Progress with condition",G34="Re-authorise",G34="Resume"),X34&lt;&gt;"Yes"),"Decision-maker has not confirmed the screening was considered (column X)","Check against source")))))))))))))))))))))))))))))</f>
        <v/>
      </c>
      <c r="O34" s="37" t="n"/>
      <c r="P34" s="37" t="n"/>
      <c r="Q34" s="14">
        <f>IF(A34="","",IF(E34&lt;&gt;"Decision","",IF(P34="UC-ID specific",IF(O34="","UC-ID REQUIRED","Check source decision for each UC-ID"),IF(P34="Shared system baseline",IF(O34&lt;&gt;"","REMOVE UC-ID OR CORRECT SCOPE","Baseline only — NOT UC approval"),"Decision scope missing"))))</f>
        <v/>
      </c>
      <c r="R34" s="42" t="n"/>
      <c r="S34" s="38" t="n"/>
      <c r="T34" s="38" t="n"/>
      <c r="U34" s="38" t="n"/>
      <c r="V34" s="38" t="n"/>
      <c r="W34" s="39" t="n"/>
      <c r="X34" s="38" t="n"/>
    </row>
    <row r="35">
      <c r="A35" s="40" t="n"/>
      <c r="B35" s="40" t="n"/>
      <c r="C35" s="40" t="n"/>
      <c r="D35" s="40" t="n"/>
      <c r="E35" s="40" t="n"/>
      <c r="F35" s="41" t="n"/>
      <c r="G35" s="40" t="n"/>
      <c r="H35" s="40" t="n"/>
      <c r="I35" s="40" t="n"/>
      <c r="J35" s="40" t="n"/>
      <c r="K35" s="40" t="n"/>
      <c r="L35" s="40" t="n"/>
      <c r="M35" s="40" t="n"/>
      <c r="N35" s="24">
        <f>IF(COUNTA(A35:M35,O35:P35,R35:X35)=0,"",IF(OR(A35="",B35="",F35=""),"Event ID, AIR-ID or date missing",IF(COUNTIF($A$4:$A$553,A35)&gt;1,"Duplicate Event ID",IF(E35="","Event type missing",IF(OR(NOT(ISNUMBER(F35)),F35&gt;TODAY()),"Date is not a real date or is in the future",IF(AND(C35&lt;&gt;"",COUNTIF('Gate plan'!$A$4:$A$353,C35)=0),"Plan ID not found in Gate plan",IF(AND(C35&lt;&gt;"",COUNTIFS('Gate plan'!$A$4:$A$353,C35,'Gate plan'!$B$4:$B$353,B35)=0),"Plan AIR-ID differs from event",IF(D35="","Gate / forum missing",IF(AND(E35="Precautionary pause (containment)",G35&lt;&gt;"Paused — pending decision"),"Precautionary pause: Outcome must be Paused, pending decision",IF(AND(E35="Precautionary pause (containment)",V35=""),"Precautionary pause: AIG-OPS-03 incident ref missing",IF(AND(E35="Precautionary pause (containment)",NOT(ISNUMBER(W35))),"Precautionary pause: follow-up decision due date missing",IF(AND(G35="Paused — pending decision",E35&lt;&gt;"Precautionary pause (containment)"),"Paused, pending decision is only for a Precautionary pause event",IF(AND(E35="Decision",OR(G35="",H35="",I35="")),"Outcome / delegation / decision ref missing",IF(AND(E35="Decision",NOT(OR(G35="Progress",G35="Progress with condition",G35="Return for evidence",G35="Pause",G35="Stop",G35="Suspend",G35="Decommission",G35="Re-authorise",G35="Resume"))),"Decision event needs a decision outcome",IF(AND(E35="Priority override",OR(H35="",I35="")),"Decision-maker / AIG-DEC-03 ref missing",IF(AND(E35="Priority override",G35&lt;&gt;"",G35&lt;&gt;"No decision"),"Priority override: Outcome blank or No decision",IF(AND(E35&lt;&gt;"Decision",OR(G35="Progress",G35="Progress with condition",G35="Return for evidence",G35="Pause",G35="Stop",G35="Suspend",G35="Decommission",G35="Re-authorise",G35="Resume")),"Outcome implies decision",IF(OR(ISNUMBER(SEARCH(",",O35)),ISNUMBER(SEARCH(";",O35))),"One UC-ID per event row — split this event",IF(AND(E35="Decision",OR(Q35="UC-ID REQUIRED",Q35="Decision scope missing",Q35="REMOVE UC-ID OR CORRECT SCOPE")),"Decision scope missing",IF(AND(G35="Progress with condition",COUNTIF(Conditions!$B$4:$B$553,A35)=0),"Progress with condition needs at least one Conditions row",IF(AND(C35&lt;&gt;"",COUNTIFS('Gate plan'!$A$4:$A$353,C35,'Gate plan'!$C$4:$C$353,D35)=0),"Plan gate differs from event gate",IF(AND(C35&lt;&gt;"",O35&lt;&gt;"",COUNTIFS('Gate plan'!$A$4:$A$353,C35,'Gate plan'!$K$4:$K$353,"&lt;&gt;")&gt;0,COUNTIFS('Gate plan'!$A$4:$A$353,C35,'Gate plan'!$K$4:$K$353,O35)=0),"Plan UC-ID differs from event UC-ID",IF(AND(E35="Assurance opinion",J35=""),"Assurance opinion ref missing",IF(AND(G35="Opinion only",E35&lt;&gt;"Assurance opinion",E35&lt;&gt;"Review only"),"Opinion only is for Assurance opinion or Review only events",IF(AND(G35="No decision",E35&lt;&gt;"Review only",E35&lt;&gt;"Priority override",E35&lt;&gt;"Intake / registration"),"No decision is for Review only, Priority override or Intake / registration events",IF(OR(ISNUMBER(SEARCH(" ",TRIM(O35))),ISNUMBER(SEARCH("/",O35))),"One UC-ID per event row: split this event",IF(AND(E35="Precautionary pause (containment)",ISNUMBER(W35),ISNUMBER(F35),W35&lt;F35),"Follow-up decision due date is before the pause",IF(AND(G35="Resume",IFERROR(LOOKUP(2,1/(($B$3:B34=B35)*($O$3:O34=O35)),$G$3:G34),"")&lt;&gt;"Paused — pending decision"),"Resume is only for the event straight after a Precautionary pause on the same AIR-ID and UC-ID (in an earlier row)",IF(AND(E35="Decision",OR(G35="Progress",G35="Progress with condition",G35="Re-authorise",G35="Resume"),X35&lt;&gt;"Yes"),"Decision-maker has not confirmed the screening was considered (column X)","Check against source")))))))))))))))))))))))))))))</f>
        <v/>
      </c>
      <c r="O35" s="37" t="n"/>
      <c r="P35" s="37" t="n"/>
      <c r="Q35" s="14">
        <f>IF(A35="","",IF(E35&lt;&gt;"Decision","",IF(P35="UC-ID specific",IF(O35="","UC-ID REQUIRED","Check source decision for each UC-ID"),IF(P35="Shared system baseline",IF(O35&lt;&gt;"","REMOVE UC-ID OR CORRECT SCOPE","Baseline only — NOT UC approval"),"Decision scope missing"))))</f>
        <v/>
      </c>
      <c r="R35" s="43" t="n"/>
      <c r="S35" s="40" t="n"/>
      <c r="T35" s="40" t="n"/>
      <c r="U35" s="40" t="n"/>
      <c r="V35" s="40" t="n"/>
      <c r="W35" s="41" t="n"/>
      <c r="X35" s="38" t="n"/>
    </row>
    <row r="36">
      <c r="A36" s="38" t="n"/>
      <c r="B36" s="38" t="n"/>
      <c r="C36" s="38" t="n"/>
      <c r="D36" s="38" t="n"/>
      <c r="E36" s="38" t="n"/>
      <c r="F36" s="39" t="n"/>
      <c r="G36" s="38" t="n"/>
      <c r="H36" s="38" t="n"/>
      <c r="I36" s="38" t="n"/>
      <c r="J36" s="38" t="n"/>
      <c r="K36" s="38" t="n"/>
      <c r="L36" s="38" t="n"/>
      <c r="M36" s="38" t="n"/>
      <c r="N36" s="22">
        <f>IF(COUNTA(A36:M36,O36:P36,R36:X36)=0,"",IF(OR(A36="",B36="",F36=""),"Event ID, AIR-ID or date missing",IF(COUNTIF($A$4:$A$553,A36)&gt;1,"Duplicate Event ID",IF(E36="","Event type missing",IF(OR(NOT(ISNUMBER(F36)),F36&gt;TODAY()),"Date is not a real date or is in the future",IF(AND(C36&lt;&gt;"",COUNTIF('Gate plan'!$A$4:$A$353,C36)=0),"Plan ID not found in Gate plan",IF(AND(C36&lt;&gt;"",COUNTIFS('Gate plan'!$A$4:$A$353,C36,'Gate plan'!$B$4:$B$353,B36)=0),"Plan AIR-ID differs from event",IF(D36="","Gate / forum missing",IF(AND(E36="Precautionary pause (containment)",G36&lt;&gt;"Paused — pending decision"),"Precautionary pause: Outcome must be Paused, pending decision",IF(AND(E36="Precautionary pause (containment)",V36=""),"Precautionary pause: AIG-OPS-03 incident ref missing",IF(AND(E36="Precautionary pause (containment)",NOT(ISNUMBER(W36))),"Precautionary pause: follow-up decision due date missing",IF(AND(G36="Paused — pending decision",E36&lt;&gt;"Precautionary pause (containment)"),"Paused, pending decision is only for a Precautionary pause event",IF(AND(E36="Decision",OR(G36="",H36="",I36="")),"Outcome / delegation / decision ref missing",IF(AND(E36="Decision",NOT(OR(G36="Progress",G36="Progress with condition",G36="Return for evidence",G36="Pause",G36="Stop",G36="Suspend",G36="Decommission",G36="Re-authorise",G36="Resume"))),"Decision event needs a decision outcome",IF(AND(E36="Priority override",OR(H36="",I36="")),"Decision-maker / AIG-DEC-03 ref missing",IF(AND(E36="Priority override",G36&lt;&gt;"",G36&lt;&gt;"No decision"),"Priority override: Outcome blank or No decision",IF(AND(E36&lt;&gt;"Decision",OR(G36="Progress",G36="Progress with condition",G36="Return for evidence",G36="Pause",G36="Stop",G36="Suspend",G36="Decommission",G36="Re-authorise",G36="Resume")),"Outcome implies decision",IF(OR(ISNUMBER(SEARCH(",",O36)),ISNUMBER(SEARCH(";",O36))),"One UC-ID per event row — split this event",IF(AND(E36="Decision",OR(Q36="UC-ID REQUIRED",Q36="Decision scope missing",Q36="REMOVE UC-ID OR CORRECT SCOPE")),"Decision scope missing",IF(AND(G36="Progress with condition",COUNTIF(Conditions!$B$4:$B$553,A36)=0),"Progress with condition needs at least one Conditions row",IF(AND(C36&lt;&gt;"",COUNTIFS('Gate plan'!$A$4:$A$353,C36,'Gate plan'!$C$4:$C$353,D36)=0),"Plan gate differs from event gate",IF(AND(C36&lt;&gt;"",O36&lt;&gt;"",COUNTIFS('Gate plan'!$A$4:$A$353,C36,'Gate plan'!$K$4:$K$353,"&lt;&gt;")&gt;0,COUNTIFS('Gate plan'!$A$4:$A$353,C36,'Gate plan'!$K$4:$K$353,O36)=0),"Plan UC-ID differs from event UC-ID",IF(AND(E36="Assurance opinion",J36=""),"Assurance opinion ref missing",IF(AND(G36="Opinion only",E36&lt;&gt;"Assurance opinion",E36&lt;&gt;"Review only"),"Opinion only is for Assurance opinion or Review only events",IF(AND(G36="No decision",E36&lt;&gt;"Review only",E36&lt;&gt;"Priority override",E36&lt;&gt;"Intake / registration"),"No decision is for Review only, Priority override or Intake / registration events",IF(OR(ISNUMBER(SEARCH(" ",TRIM(O36))),ISNUMBER(SEARCH("/",O36))),"One UC-ID per event row: split this event",IF(AND(E36="Precautionary pause (containment)",ISNUMBER(W36),ISNUMBER(F36),W36&lt;F36),"Follow-up decision due date is before the pause",IF(AND(G36="Resume",IFERROR(LOOKUP(2,1/(($B$3:B35=B36)*($O$3:O35=O36)),$G$3:G35),"")&lt;&gt;"Paused — pending decision"),"Resume is only for the event straight after a Precautionary pause on the same AIR-ID and UC-ID (in an earlier row)",IF(AND(E36="Decision",OR(G36="Progress",G36="Progress with condition",G36="Re-authorise",G36="Resume"),X36&lt;&gt;"Yes"),"Decision-maker has not confirmed the screening was considered (column X)","Check against source")))))))))))))))))))))))))))))</f>
        <v/>
      </c>
      <c r="O36" s="37" t="n"/>
      <c r="P36" s="37" t="n"/>
      <c r="Q36" s="14">
        <f>IF(A36="","",IF(E36&lt;&gt;"Decision","",IF(P36="UC-ID specific",IF(O36="","UC-ID REQUIRED","Check source decision for each UC-ID"),IF(P36="Shared system baseline",IF(O36&lt;&gt;"","REMOVE UC-ID OR CORRECT SCOPE","Baseline only — NOT UC approval"),"Decision scope missing"))))</f>
        <v/>
      </c>
      <c r="R36" s="42" t="n"/>
      <c r="S36" s="38" t="n"/>
      <c r="T36" s="38" t="n"/>
      <c r="U36" s="38" t="n"/>
      <c r="V36" s="38" t="n"/>
      <c r="W36" s="39" t="n"/>
      <c r="X36" s="38" t="n"/>
    </row>
    <row r="37">
      <c r="A37" s="40" t="n"/>
      <c r="B37" s="40" t="n"/>
      <c r="C37" s="40" t="n"/>
      <c r="D37" s="40" t="n"/>
      <c r="E37" s="40" t="n"/>
      <c r="F37" s="41" t="n"/>
      <c r="G37" s="40" t="n"/>
      <c r="H37" s="40" t="n"/>
      <c r="I37" s="40" t="n"/>
      <c r="J37" s="40" t="n"/>
      <c r="K37" s="40" t="n"/>
      <c r="L37" s="40" t="n"/>
      <c r="M37" s="40" t="n"/>
      <c r="N37" s="24">
        <f>IF(COUNTA(A37:M37,O37:P37,R37:X37)=0,"",IF(OR(A37="",B37="",F37=""),"Event ID, AIR-ID or date missing",IF(COUNTIF($A$4:$A$553,A37)&gt;1,"Duplicate Event ID",IF(E37="","Event type missing",IF(OR(NOT(ISNUMBER(F37)),F37&gt;TODAY()),"Date is not a real date or is in the future",IF(AND(C37&lt;&gt;"",COUNTIF('Gate plan'!$A$4:$A$353,C37)=0),"Plan ID not found in Gate plan",IF(AND(C37&lt;&gt;"",COUNTIFS('Gate plan'!$A$4:$A$353,C37,'Gate plan'!$B$4:$B$353,B37)=0),"Plan AIR-ID differs from event",IF(D37="","Gate / forum missing",IF(AND(E37="Precautionary pause (containment)",G37&lt;&gt;"Paused — pending decision"),"Precautionary pause: Outcome must be Paused, pending decision",IF(AND(E37="Precautionary pause (containment)",V37=""),"Precautionary pause: AIG-OPS-03 incident ref missing",IF(AND(E37="Precautionary pause (containment)",NOT(ISNUMBER(W37))),"Precautionary pause: follow-up decision due date missing",IF(AND(G37="Paused — pending decision",E37&lt;&gt;"Precautionary pause (containment)"),"Paused, pending decision is only for a Precautionary pause event",IF(AND(E37="Decision",OR(G37="",H37="",I37="")),"Outcome / delegation / decision ref missing",IF(AND(E37="Decision",NOT(OR(G37="Progress",G37="Progress with condition",G37="Return for evidence",G37="Pause",G37="Stop",G37="Suspend",G37="Decommission",G37="Re-authorise",G37="Resume"))),"Decision event needs a decision outcome",IF(AND(E37="Priority override",OR(H37="",I37="")),"Decision-maker / AIG-DEC-03 ref missing",IF(AND(E37="Priority override",G37&lt;&gt;"",G37&lt;&gt;"No decision"),"Priority override: Outcome blank or No decision",IF(AND(E37&lt;&gt;"Decision",OR(G37="Progress",G37="Progress with condition",G37="Return for evidence",G37="Pause",G37="Stop",G37="Suspend",G37="Decommission",G37="Re-authorise",G37="Resume")),"Outcome implies decision",IF(OR(ISNUMBER(SEARCH(",",O37)),ISNUMBER(SEARCH(";",O37))),"One UC-ID per event row — split this event",IF(AND(E37="Decision",OR(Q37="UC-ID REQUIRED",Q37="Decision scope missing",Q37="REMOVE UC-ID OR CORRECT SCOPE")),"Decision scope missing",IF(AND(G37="Progress with condition",COUNTIF(Conditions!$B$4:$B$553,A37)=0),"Progress with condition needs at least one Conditions row",IF(AND(C37&lt;&gt;"",COUNTIFS('Gate plan'!$A$4:$A$353,C37,'Gate plan'!$C$4:$C$353,D37)=0),"Plan gate differs from event gate",IF(AND(C37&lt;&gt;"",O37&lt;&gt;"",COUNTIFS('Gate plan'!$A$4:$A$353,C37,'Gate plan'!$K$4:$K$353,"&lt;&gt;")&gt;0,COUNTIFS('Gate plan'!$A$4:$A$353,C37,'Gate plan'!$K$4:$K$353,O37)=0),"Plan UC-ID differs from event UC-ID",IF(AND(E37="Assurance opinion",J37=""),"Assurance opinion ref missing",IF(AND(G37="Opinion only",E37&lt;&gt;"Assurance opinion",E37&lt;&gt;"Review only"),"Opinion only is for Assurance opinion or Review only events",IF(AND(G37="No decision",E37&lt;&gt;"Review only",E37&lt;&gt;"Priority override",E37&lt;&gt;"Intake / registration"),"No decision is for Review only, Priority override or Intake / registration events",IF(OR(ISNUMBER(SEARCH(" ",TRIM(O37))),ISNUMBER(SEARCH("/",O37))),"One UC-ID per event row: split this event",IF(AND(E37="Precautionary pause (containment)",ISNUMBER(W37),ISNUMBER(F37),W37&lt;F37),"Follow-up decision due date is before the pause",IF(AND(G37="Resume",IFERROR(LOOKUP(2,1/(($B$3:B36=B37)*($O$3:O36=O37)),$G$3:G36),"")&lt;&gt;"Paused — pending decision"),"Resume is only for the event straight after a Precautionary pause on the same AIR-ID and UC-ID (in an earlier row)",IF(AND(E37="Decision",OR(G37="Progress",G37="Progress with condition",G37="Re-authorise",G37="Resume"),X37&lt;&gt;"Yes"),"Decision-maker has not confirmed the screening was considered (column X)","Check against source")))))))))))))))))))))))))))))</f>
        <v/>
      </c>
      <c r="O37" s="37" t="n"/>
      <c r="P37" s="37" t="n"/>
      <c r="Q37" s="14">
        <f>IF(A37="","",IF(E37&lt;&gt;"Decision","",IF(P37="UC-ID specific",IF(O37="","UC-ID REQUIRED","Check source decision for each UC-ID"),IF(P37="Shared system baseline",IF(O37&lt;&gt;"","REMOVE UC-ID OR CORRECT SCOPE","Baseline only — NOT UC approval"),"Decision scope missing"))))</f>
        <v/>
      </c>
      <c r="R37" s="43" t="n"/>
      <c r="S37" s="40" t="n"/>
      <c r="T37" s="40" t="n"/>
      <c r="U37" s="40" t="n"/>
      <c r="V37" s="40" t="n"/>
      <c r="W37" s="41" t="n"/>
      <c r="X37" s="38" t="n"/>
    </row>
    <row r="38">
      <c r="A38" s="38" t="n"/>
      <c r="B38" s="38" t="n"/>
      <c r="C38" s="38" t="n"/>
      <c r="D38" s="38" t="n"/>
      <c r="E38" s="38" t="n"/>
      <c r="F38" s="39" t="n"/>
      <c r="G38" s="38" t="n"/>
      <c r="H38" s="38" t="n"/>
      <c r="I38" s="38" t="n"/>
      <c r="J38" s="38" t="n"/>
      <c r="K38" s="38" t="n"/>
      <c r="L38" s="38" t="n"/>
      <c r="M38" s="38" t="n"/>
      <c r="N38" s="22">
        <f>IF(COUNTA(A38:M38,O38:P38,R38:X38)=0,"",IF(OR(A38="",B38="",F38=""),"Event ID, AIR-ID or date missing",IF(COUNTIF($A$4:$A$553,A38)&gt;1,"Duplicate Event ID",IF(E38="","Event type missing",IF(OR(NOT(ISNUMBER(F38)),F38&gt;TODAY()),"Date is not a real date or is in the future",IF(AND(C38&lt;&gt;"",COUNTIF('Gate plan'!$A$4:$A$353,C38)=0),"Plan ID not found in Gate plan",IF(AND(C38&lt;&gt;"",COUNTIFS('Gate plan'!$A$4:$A$353,C38,'Gate plan'!$B$4:$B$353,B38)=0),"Plan AIR-ID differs from event",IF(D38="","Gate / forum missing",IF(AND(E38="Precautionary pause (containment)",G38&lt;&gt;"Paused — pending decision"),"Precautionary pause: Outcome must be Paused, pending decision",IF(AND(E38="Precautionary pause (containment)",V38=""),"Precautionary pause: AIG-OPS-03 incident ref missing",IF(AND(E38="Precautionary pause (containment)",NOT(ISNUMBER(W38))),"Precautionary pause: follow-up decision due date missing",IF(AND(G38="Paused — pending decision",E38&lt;&gt;"Precautionary pause (containment)"),"Paused, pending decision is only for a Precautionary pause event",IF(AND(E38="Decision",OR(G38="",H38="",I38="")),"Outcome / delegation / decision ref missing",IF(AND(E38="Decision",NOT(OR(G38="Progress",G38="Progress with condition",G38="Return for evidence",G38="Pause",G38="Stop",G38="Suspend",G38="Decommission",G38="Re-authorise",G38="Resume"))),"Decision event needs a decision outcome",IF(AND(E38="Priority override",OR(H38="",I38="")),"Decision-maker / AIG-DEC-03 ref missing",IF(AND(E38="Priority override",G38&lt;&gt;"",G38&lt;&gt;"No decision"),"Priority override: Outcome blank or No decision",IF(AND(E38&lt;&gt;"Decision",OR(G38="Progress",G38="Progress with condition",G38="Return for evidence",G38="Pause",G38="Stop",G38="Suspend",G38="Decommission",G38="Re-authorise",G38="Resume")),"Outcome implies decision",IF(OR(ISNUMBER(SEARCH(",",O38)),ISNUMBER(SEARCH(";",O38))),"One UC-ID per event row — split this event",IF(AND(E38="Decision",OR(Q38="UC-ID REQUIRED",Q38="Decision scope missing",Q38="REMOVE UC-ID OR CORRECT SCOPE")),"Decision scope missing",IF(AND(G38="Progress with condition",COUNTIF(Conditions!$B$4:$B$553,A38)=0),"Progress with condition needs at least one Conditions row",IF(AND(C38&lt;&gt;"",COUNTIFS('Gate plan'!$A$4:$A$353,C38,'Gate plan'!$C$4:$C$353,D38)=0),"Plan gate differs from event gate",IF(AND(C38&lt;&gt;"",O38&lt;&gt;"",COUNTIFS('Gate plan'!$A$4:$A$353,C38,'Gate plan'!$K$4:$K$353,"&lt;&gt;")&gt;0,COUNTIFS('Gate plan'!$A$4:$A$353,C38,'Gate plan'!$K$4:$K$353,O38)=0),"Plan UC-ID differs from event UC-ID",IF(AND(E38="Assurance opinion",J38=""),"Assurance opinion ref missing",IF(AND(G38="Opinion only",E38&lt;&gt;"Assurance opinion",E38&lt;&gt;"Review only"),"Opinion only is for Assurance opinion or Review only events",IF(AND(G38="No decision",E38&lt;&gt;"Review only",E38&lt;&gt;"Priority override",E38&lt;&gt;"Intake / registration"),"No decision is for Review only, Priority override or Intake / registration events",IF(OR(ISNUMBER(SEARCH(" ",TRIM(O38))),ISNUMBER(SEARCH("/",O38))),"One UC-ID per event row: split this event",IF(AND(E38="Precautionary pause (containment)",ISNUMBER(W38),ISNUMBER(F38),W38&lt;F38),"Follow-up decision due date is before the pause",IF(AND(G38="Resume",IFERROR(LOOKUP(2,1/(($B$3:B37=B38)*($O$3:O37=O38)),$G$3:G37),"")&lt;&gt;"Paused — pending decision"),"Resume is only for the event straight after a Precautionary pause on the same AIR-ID and UC-ID (in an earlier row)",IF(AND(E38="Decision",OR(G38="Progress",G38="Progress with condition",G38="Re-authorise",G38="Resume"),X38&lt;&gt;"Yes"),"Decision-maker has not confirmed the screening was considered (column X)","Check against source")))))))))))))))))))))))))))))</f>
        <v/>
      </c>
      <c r="O38" s="37" t="n"/>
      <c r="P38" s="37" t="n"/>
      <c r="Q38" s="14">
        <f>IF(A38="","",IF(E38&lt;&gt;"Decision","",IF(P38="UC-ID specific",IF(O38="","UC-ID REQUIRED","Check source decision for each UC-ID"),IF(P38="Shared system baseline",IF(O38&lt;&gt;"","REMOVE UC-ID OR CORRECT SCOPE","Baseline only — NOT UC approval"),"Decision scope missing"))))</f>
        <v/>
      </c>
      <c r="R38" s="42" t="n"/>
      <c r="S38" s="38" t="n"/>
      <c r="T38" s="38" t="n"/>
      <c r="U38" s="38" t="n"/>
      <c r="V38" s="38" t="n"/>
      <c r="W38" s="39" t="n"/>
      <c r="X38" s="38" t="n"/>
    </row>
    <row r="39">
      <c r="A39" s="40" t="n"/>
      <c r="B39" s="40" t="n"/>
      <c r="C39" s="40" t="n"/>
      <c r="D39" s="40" t="n"/>
      <c r="E39" s="40" t="n"/>
      <c r="F39" s="41" t="n"/>
      <c r="G39" s="40" t="n"/>
      <c r="H39" s="40" t="n"/>
      <c r="I39" s="40" t="n"/>
      <c r="J39" s="40" t="n"/>
      <c r="K39" s="40" t="n"/>
      <c r="L39" s="40" t="n"/>
      <c r="M39" s="40" t="n"/>
      <c r="N39" s="24">
        <f>IF(COUNTA(A39:M39,O39:P39,R39:X39)=0,"",IF(OR(A39="",B39="",F39=""),"Event ID, AIR-ID or date missing",IF(COUNTIF($A$4:$A$553,A39)&gt;1,"Duplicate Event ID",IF(E39="","Event type missing",IF(OR(NOT(ISNUMBER(F39)),F39&gt;TODAY()),"Date is not a real date or is in the future",IF(AND(C39&lt;&gt;"",COUNTIF('Gate plan'!$A$4:$A$353,C39)=0),"Plan ID not found in Gate plan",IF(AND(C39&lt;&gt;"",COUNTIFS('Gate plan'!$A$4:$A$353,C39,'Gate plan'!$B$4:$B$353,B39)=0),"Plan AIR-ID differs from event",IF(D39="","Gate / forum missing",IF(AND(E39="Precautionary pause (containment)",G39&lt;&gt;"Paused — pending decision"),"Precautionary pause: Outcome must be Paused, pending decision",IF(AND(E39="Precautionary pause (containment)",V39=""),"Precautionary pause: AIG-OPS-03 incident ref missing",IF(AND(E39="Precautionary pause (containment)",NOT(ISNUMBER(W39))),"Precautionary pause: follow-up decision due date missing",IF(AND(G39="Paused — pending decision",E39&lt;&gt;"Precautionary pause (containment)"),"Paused, pending decision is only for a Precautionary pause event",IF(AND(E39="Decision",OR(G39="",H39="",I39="")),"Outcome / delegation / decision ref missing",IF(AND(E39="Decision",NOT(OR(G39="Progress",G39="Progress with condition",G39="Return for evidence",G39="Pause",G39="Stop",G39="Suspend",G39="Decommission",G39="Re-authorise",G39="Resume"))),"Decision event needs a decision outcome",IF(AND(E39="Priority override",OR(H39="",I39="")),"Decision-maker / AIG-DEC-03 ref missing",IF(AND(E39="Priority override",G39&lt;&gt;"",G39&lt;&gt;"No decision"),"Priority override: Outcome blank or No decision",IF(AND(E39&lt;&gt;"Decision",OR(G39="Progress",G39="Progress with condition",G39="Return for evidence",G39="Pause",G39="Stop",G39="Suspend",G39="Decommission",G39="Re-authorise",G39="Resume")),"Outcome implies decision",IF(OR(ISNUMBER(SEARCH(",",O39)),ISNUMBER(SEARCH(";",O39))),"One UC-ID per event row — split this event",IF(AND(E39="Decision",OR(Q39="UC-ID REQUIRED",Q39="Decision scope missing",Q39="REMOVE UC-ID OR CORRECT SCOPE")),"Decision scope missing",IF(AND(G39="Progress with condition",COUNTIF(Conditions!$B$4:$B$553,A39)=0),"Progress with condition needs at least one Conditions row",IF(AND(C39&lt;&gt;"",COUNTIFS('Gate plan'!$A$4:$A$353,C39,'Gate plan'!$C$4:$C$353,D39)=0),"Plan gate differs from event gate",IF(AND(C39&lt;&gt;"",O39&lt;&gt;"",COUNTIFS('Gate plan'!$A$4:$A$353,C39,'Gate plan'!$K$4:$K$353,"&lt;&gt;")&gt;0,COUNTIFS('Gate plan'!$A$4:$A$353,C39,'Gate plan'!$K$4:$K$353,O39)=0),"Plan UC-ID differs from event UC-ID",IF(AND(E39="Assurance opinion",J39=""),"Assurance opinion ref missing",IF(AND(G39="Opinion only",E39&lt;&gt;"Assurance opinion",E39&lt;&gt;"Review only"),"Opinion only is for Assurance opinion or Review only events",IF(AND(G39="No decision",E39&lt;&gt;"Review only",E39&lt;&gt;"Priority override",E39&lt;&gt;"Intake / registration"),"No decision is for Review only, Priority override or Intake / registration events",IF(OR(ISNUMBER(SEARCH(" ",TRIM(O39))),ISNUMBER(SEARCH("/",O39))),"One UC-ID per event row: split this event",IF(AND(E39="Precautionary pause (containment)",ISNUMBER(W39),ISNUMBER(F39),W39&lt;F39),"Follow-up decision due date is before the pause",IF(AND(G39="Resume",IFERROR(LOOKUP(2,1/(($B$3:B38=B39)*($O$3:O38=O39)),$G$3:G38),"")&lt;&gt;"Paused — pending decision"),"Resume is only for the event straight after a Precautionary pause on the same AIR-ID and UC-ID (in an earlier row)",IF(AND(E39="Decision",OR(G39="Progress",G39="Progress with condition",G39="Re-authorise",G39="Resume"),X39&lt;&gt;"Yes"),"Decision-maker has not confirmed the screening was considered (column X)","Check against source")))))))))))))))))))))))))))))</f>
        <v/>
      </c>
      <c r="O39" s="37" t="n"/>
      <c r="P39" s="37" t="n"/>
      <c r="Q39" s="14">
        <f>IF(A39="","",IF(E39&lt;&gt;"Decision","",IF(P39="UC-ID specific",IF(O39="","UC-ID REQUIRED","Check source decision for each UC-ID"),IF(P39="Shared system baseline",IF(O39&lt;&gt;"","REMOVE UC-ID OR CORRECT SCOPE","Baseline only — NOT UC approval"),"Decision scope missing"))))</f>
        <v/>
      </c>
      <c r="R39" s="43" t="n"/>
      <c r="S39" s="40" t="n"/>
      <c r="T39" s="40" t="n"/>
      <c r="U39" s="40" t="n"/>
      <c r="V39" s="40" t="n"/>
      <c r="W39" s="41" t="n"/>
      <c r="X39" s="38" t="n"/>
    </row>
    <row r="40">
      <c r="A40" s="38" t="n"/>
      <c r="B40" s="38" t="n"/>
      <c r="C40" s="38" t="n"/>
      <c r="D40" s="38" t="n"/>
      <c r="E40" s="38" t="n"/>
      <c r="F40" s="39" t="n"/>
      <c r="G40" s="38" t="n"/>
      <c r="H40" s="38" t="n"/>
      <c r="I40" s="38" t="n"/>
      <c r="J40" s="38" t="n"/>
      <c r="K40" s="38" t="n"/>
      <c r="L40" s="38" t="n"/>
      <c r="M40" s="38" t="n"/>
      <c r="N40" s="22">
        <f>IF(COUNTA(A40:M40,O40:P40,R40:X40)=0,"",IF(OR(A40="",B40="",F40=""),"Event ID, AIR-ID or date missing",IF(COUNTIF($A$4:$A$553,A40)&gt;1,"Duplicate Event ID",IF(E40="","Event type missing",IF(OR(NOT(ISNUMBER(F40)),F40&gt;TODAY()),"Date is not a real date or is in the future",IF(AND(C40&lt;&gt;"",COUNTIF('Gate plan'!$A$4:$A$353,C40)=0),"Plan ID not found in Gate plan",IF(AND(C40&lt;&gt;"",COUNTIFS('Gate plan'!$A$4:$A$353,C40,'Gate plan'!$B$4:$B$353,B40)=0),"Plan AIR-ID differs from event",IF(D40="","Gate / forum missing",IF(AND(E40="Precautionary pause (containment)",G40&lt;&gt;"Paused — pending decision"),"Precautionary pause: Outcome must be Paused, pending decision",IF(AND(E40="Precautionary pause (containment)",V40=""),"Precautionary pause: AIG-OPS-03 incident ref missing",IF(AND(E40="Precautionary pause (containment)",NOT(ISNUMBER(W40))),"Precautionary pause: follow-up decision due date missing",IF(AND(G40="Paused — pending decision",E40&lt;&gt;"Precautionary pause (containment)"),"Paused, pending decision is only for a Precautionary pause event",IF(AND(E40="Decision",OR(G40="",H40="",I40="")),"Outcome / delegation / decision ref missing",IF(AND(E40="Decision",NOT(OR(G40="Progress",G40="Progress with condition",G40="Return for evidence",G40="Pause",G40="Stop",G40="Suspend",G40="Decommission",G40="Re-authorise",G40="Resume"))),"Decision event needs a decision outcome",IF(AND(E40="Priority override",OR(H40="",I40="")),"Decision-maker / AIG-DEC-03 ref missing",IF(AND(E40="Priority override",G40&lt;&gt;"",G40&lt;&gt;"No decision"),"Priority override: Outcome blank or No decision",IF(AND(E40&lt;&gt;"Decision",OR(G40="Progress",G40="Progress with condition",G40="Return for evidence",G40="Pause",G40="Stop",G40="Suspend",G40="Decommission",G40="Re-authorise",G40="Resume")),"Outcome implies decision",IF(OR(ISNUMBER(SEARCH(",",O40)),ISNUMBER(SEARCH(";",O40))),"One UC-ID per event row — split this event",IF(AND(E40="Decision",OR(Q40="UC-ID REQUIRED",Q40="Decision scope missing",Q40="REMOVE UC-ID OR CORRECT SCOPE")),"Decision scope missing",IF(AND(G40="Progress with condition",COUNTIF(Conditions!$B$4:$B$553,A40)=0),"Progress with condition needs at least one Conditions row",IF(AND(C40&lt;&gt;"",COUNTIFS('Gate plan'!$A$4:$A$353,C40,'Gate plan'!$C$4:$C$353,D40)=0),"Plan gate differs from event gate",IF(AND(C40&lt;&gt;"",O40&lt;&gt;"",COUNTIFS('Gate plan'!$A$4:$A$353,C40,'Gate plan'!$K$4:$K$353,"&lt;&gt;")&gt;0,COUNTIFS('Gate plan'!$A$4:$A$353,C40,'Gate plan'!$K$4:$K$353,O40)=0),"Plan UC-ID differs from event UC-ID",IF(AND(E40="Assurance opinion",J40=""),"Assurance opinion ref missing",IF(AND(G40="Opinion only",E40&lt;&gt;"Assurance opinion",E40&lt;&gt;"Review only"),"Opinion only is for Assurance opinion or Review only events",IF(AND(G40="No decision",E40&lt;&gt;"Review only",E40&lt;&gt;"Priority override",E40&lt;&gt;"Intake / registration"),"No decision is for Review only, Priority override or Intake / registration events",IF(OR(ISNUMBER(SEARCH(" ",TRIM(O40))),ISNUMBER(SEARCH("/",O40))),"One UC-ID per event row: split this event",IF(AND(E40="Precautionary pause (containment)",ISNUMBER(W40),ISNUMBER(F40),W40&lt;F40),"Follow-up decision due date is before the pause",IF(AND(G40="Resume",IFERROR(LOOKUP(2,1/(($B$3:B39=B40)*($O$3:O39=O40)),$G$3:G39),"")&lt;&gt;"Paused — pending decision"),"Resume is only for the event straight after a Precautionary pause on the same AIR-ID and UC-ID (in an earlier row)",IF(AND(E40="Decision",OR(G40="Progress",G40="Progress with condition",G40="Re-authorise",G40="Resume"),X40&lt;&gt;"Yes"),"Decision-maker has not confirmed the screening was considered (column X)","Check against source")))))))))))))))))))))))))))))</f>
        <v/>
      </c>
      <c r="O40" s="37" t="n"/>
      <c r="P40" s="37" t="n"/>
      <c r="Q40" s="14">
        <f>IF(A40="","",IF(E40&lt;&gt;"Decision","",IF(P40="UC-ID specific",IF(O40="","UC-ID REQUIRED","Check source decision for each UC-ID"),IF(P40="Shared system baseline",IF(O40&lt;&gt;"","REMOVE UC-ID OR CORRECT SCOPE","Baseline only — NOT UC approval"),"Decision scope missing"))))</f>
        <v/>
      </c>
      <c r="R40" s="42" t="n"/>
      <c r="S40" s="38" t="n"/>
      <c r="T40" s="38" t="n"/>
      <c r="U40" s="38" t="n"/>
      <c r="V40" s="38" t="n"/>
      <c r="W40" s="39" t="n"/>
      <c r="X40" s="38" t="n"/>
    </row>
    <row r="41">
      <c r="A41" s="40" t="n"/>
      <c r="B41" s="40" t="n"/>
      <c r="C41" s="40" t="n"/>
      <c r="D41" s="40" t="n"/>
      <c r="E41" s="40" t="n"/>
      <c r="F41" s="41" t="n"/>
      <c r="G41" s="40" t="n"/>
      <c r="H41" s="40" t="n"/>
      <c r="I41" s="40" t="n"/>
      <c r="J41" s="40" t="n"/>
      <c r="K41" s="40" t="n"/>
      <c r="L41" s="40" t="n"/>
      <c r="M41" s="40" t="n"/>
      <c r="N41" s="24">
        <f>IF(COUNTA(A41:M41,O41:P41,R41:X41)=0,"",IF(OR(A41="",B41="",F41=""),"Event ID, AIR-ID or date missing",IF(COUNTIF($A$4:$A$553,A41)&gt;1,"Duplicate Event ID",IF(E41="","Event type missing",IF(OR(NOT(ISNUMBER(F41)),F41&gt;TODAY()),"Date is not a real date or is in the future",IF(AND(C41&lt;&gt;"",COUNTIF('Gate plan'!$A$4:$A$353,C41)=0),"Plan ID not found in Gate plan",IF(AND(C41&lt;&gt;"",COUNTIFS('Gate plan'!$A$4:$A$353,C41,'Gate plan'!$B$4:$B$353,B41)=0),"Plan AIR-ID differs from event",IF(D41="","Gate / forum missing",IF(AND(E41="Precautionary pause (containment)",G41&lt;&gt;"Paused — pending decision"),"Precautionary pause: Outcome must be Paused, pending decision",IF(AND(E41="Precautionary pause (containment)",V41=""),"Precautionary pause: AIG-OPS-03 incident ref missing",IF(AND(E41="Precautionary pause (containment)",NOT(ISNUMBER(W41))),"Precautionary pause: follow-up decision due date missing",IF(AND(G41="Paused — pending decision",E41&lt;&gt;"Precautionary pause (containment)"),"Paused, pending decision is only for a Precautionary pause event",IF(AND(E41="Decision",OR(G41="",H41="",I41="")),"Outcome / delegation / decision ref missing",IF(AND(E41="Decision",NOT(OR(G41="Progress",G41="Progress with condition",G41="Return for evidence",G41="Pause",G41="Stop",G41="Suspend",G41="Decommission",G41="Re-authorise",G41="Resume"))),"Decision event needs a decision outcome",IF(AND(E41="Priority override",OR(H41="",I41="")),"Decision-maker / AIG-DEC-03 ref missing",IF(AND(E41="Priority override",G41&lt;&gt;"",G41&lt;&gt;"No decision"),"Priority override: Outcome blank or No decision",IF(AND(E41&lt;&gt;"Decision",OR(G41="Progress",G41="Progress with condition",G41="Return for evidence",G41="Pause",G41="Stop",G41="Suspend",G41="Decommission",G41="Re-authorise",G41="Resume")),"Outcome implies decision",IF(OR(ISNUMBER(SEARCH(",",O41)),ISNUMBER(SEARCH(";",O41))),"One UC-ID per event row — split this event",IF(AND(E41="Decision",OR(Q41="UC-ID REQUIRED",Q41="Decision scope missing",Q41="REMOVE UC-ID OR CORRECT SCOPE")),"Decision scope missing",IF(AND(G41="Progress with condition",COUNTIF(Conditions!$B$4:$B$553,A41)=0),"Progress with condition needs at least one Conditions row",IF(AND(C41&lt;&gt;"",COUNTIFS('Gate plan'!$A$4:$A$353,C41,'Gate plan'!$C$4:$C$353,D41)=0),"Plan gate differs from event gate",IF(AND(C41&lt;&gt;"",O41&lt;&gt;"",COUNTIFS('Gate plan'!$A$4:$A$353,C41,'Gate plan'!$K$4:$K$353,"&lt;&gt;")&gt;0,COUNTIFS('Gate plan'!$A$4:$A$353,C41,'Gate plan'!$K$4:$K$353,O41)=0),"Plan UC-ID differs from event UC-ID",IF(AND(E41="Assurance opinion",J41=""),"Assurance opinion ref missing",IF(AND(G41="Opinion only",E41&lt;&gt;"Assurance opinion",E41&lt;&gt;"Review only"),"Opinion only is for Assurance opinion or Review only events",IF(AND(G41="No decision",E41&lt;&gt;"Review only",E41&lt;&gt;"Priority override",E41&lt;&gt;"Intake / registration"),"No decision is for Review only, Priority override or Intake / registration events",IF(OR(ISNUMBER(SEARCH(" ",TRIM(O41))),ISNUMBER(SEARCH("/",O41))),"One UC-ID per event row: split this event",IF(AND(E41="Precautionary pause (containment)",ISNUMBER(W41),ISNUMBER(F41),W41&lt;F41),"Follow-up decision due date is before the pause",IF(AND(G41="Resume",IFERROR(LOOKUP(2,1/(($B$3:B40=B41)*($O$3:O40=O41)),$G$3:G40),"")&lt;&gt;"Paused — pending decision"),"Resume is only for the event straight after a Precautionary pause on the same AIR-ID and UC-ID (in an earlier row)",IF(AND(E41="Decision",OR(G41="Progress",G41="Progress with condition",G41="Re-authorise",G41="Resume"),X41&lt;&gt;"Yes"),"Decision-maker has not confirmed the screening was considered (column X)","Check against source")))))))))))))))))))))))))))))</f>
        <v/>
      </c>
      <c r="O41" s="37" t="n"/>
      <c r="P41" s="37" t="n"/>
      <c r="Q41" s="14">
        <f>IF(A41="","",IF(E41&lt;&gt;"Decision","",IF(P41="UC-ID specific",IF(O41="","UC-ID REQUIRED","Check source decision for each UC-ID"),IF(P41="Shared system baseline",IF(O41&lt;&gt;"","REMOVE UC-ID OR CORRECT SCOPE","Baseline only — NOT UC approval"),"Decision scope missing"))))</f>
        <v/>
      </c>
      <c r="R41" s="43" t="n"/>
      <c r="S41" s="40" t="n"/>
      <c r="T41" s="40" t="n"/>
      <c r="U41" s="40" t="n"/>
      <c r="V41" s="40" t="n"/>
      <c r="W41" s="41" t="n"/>
      <c r="X41" s="38" t="n"/>
    </row>
    <row r="42">
      <c r="A42" s="38" t="n"/>
      <c r="B42" s="38" t="n"/>
      <c r="C42" s="38" t="n"/>
      <c r="D42" s="38" t="n"/>
      <c r="E42" s="38" t="n"/>
      <c r="F42" s="39" t="n"/>
      <c r="G42" s="38" t="n"/>
      <c r="H42" s="38" t="n"/>
      <c r="I42" s="38" t="n"/>
      <c r="J42" s="38" t="n"/>
      <c r="K42" s="38" t="n"/>
      <c r="L42" s="38" t="n"/>
      <c r="M42" s="38" t="n"/>
      <c r="N42" s="22">
        <f>IF(COUNTA(A42:M42,O42:P42,R42:X42)=0,"",IF(OR(A42="",B42="",F42=""),"Event ID, AIR-ID or date missing",IF(COUNTIF($A$4:$A$553,A42)&gt;1,"Duplicate Event ID",IF(E42="","Event type missing",IF(OR(NOT(ISNUMBER(F42)),F42&gt;TODAY()),"Date is not a real date or is in the future",IF(AND(C42&lt;&gt;"",COUNTIF('Gate plan'!$A$4:$A$353,C42)=0),"Plan ID not found in Gate plan",IF(AND(C42&lt;&gt;"",COUNTIFS('Gate plan'!$A$4:$A$353,C42,'Gate plan'!$B$4:$B$353,B42)=0),"Plan AIR-ID differs from event",IF(D42="","Gate / forum missing",IF(AND(E42="Precautionary pause (containment)",G42&lt;&gt;"Paused — pending decision"),"Precautionary pause: Outcome must be Paused, pending decision",IF(AND(E42="Precautionary pause (containment)",V42=""),"Precautionary pause: AIG-OPS-03 incident ref missing",IF(AND(E42="Precautionary pause (containment)",NOT(ISNUMBER(W42))),"Precautionary pause: follow-up decision due date missing",IF(AND(G42="Paused — pending decision",E42&lt;&gt;"Precautionary pause (containment)"),"Paused, pending decision is only for a Precautionary pause event",IF(AND(E42="Decision",OR(G42="",H42="",I42="")),"Outcome / delegation / decision ref missing",IF(AND(E42="Decision",NOT(OR(G42="Progress",G42="Progress with condition",G42="Return for evidence",G42="Pause",G42="Stop",G42="Suspend",G42="Decommission",G42="Re-authorise",G42="Resume"))),"Decision event needs a decision outcome",IF(AND(E42="Priority override",OR(H42="",I42="")),"Decision-maker / AIG-DEC-03 ref missing",IF(AND(E42="Priority override",G42&lt;&gt;"",G42&lt;&gt;"No decision"),"Priority override: Outcome blank or No decision",IF(AND(E42&lt;&gt;"Decision",OR(G42="Progress",G42="Progress with condition",G42="Return for evidence",G42="Pause",G42="Stop",G42="Suspend",G42="Decommission",G42="Re-authorise",G42="Resume")),"Outcome implies decision",IF(OR(ISNUMBER(SEARCH(",",O42)),ISNUMBER(SEARCH(";",O42))),"One UC-ID per event row — split this event",IF(AND(E42="Decision",OR(Q42="UC-ID REQUIRED",Q42="Decision scope missing",Q42="REMOVE UC-ID OR CORRECT SCOPE")),"Decision scope missing",IF(AND(G42="Progress with condition",COUNTIF(Conditions!$B$4:$B$553,A42)=0),"Progress with condition needs at least one Conditions row",IF(AND(C42&lt;&gt;"",COUNTIFS('Gate plan'!$A$4:$A$353,C42,'Gate plan'!$C$4:$C$353,D42)=0),"Plan gate differs from event gate",IF(AND(C42&lt;&gt;"",O42&lt;&gt;"",COUNTIFS('Gate plan'!$A$4:$A$353,C42,'Gate plan'!$K$4:$K$353,"&lt;&gt;")&gt;0,COUNTIFS('Gate plan'!$A$4:$A$353,C42,'Gate plan'!$K$4:$K$353,O42)=0),"Plan UC-ID differs from event UC-ID",IF(AND(E42="Assurance opinion",J42=""),"Assurance opinion ref missing",IF(AND(G42="Opinion only",E42&lt;&gt;"Assurance opinion",E42&lt;&gt;"Review only"),"Opinion only is for Assurance opinion or Review only events",IF(AND(G42="No decision",E42&lt;&gt;"Review only",E42&lt;&gt;"Priority override",E42&lt;&gt;"Intake / registration"),"No decision is for Review only, Priority override or Intake / registration events",IF(OR(ISNUMBER(SEARCH(" ",TRIM(O42))),ISNUMBER(SEARCH("/",O42))),"One UC-ID per event row: split this event",IF(AND(E42="Precautionary pause (containment)",ISNUMBER(W42),ISNUMBER(F42),W42&lt;F42),"Follow-up decision due date is before the pause",IF(AND(G42="Resume",IFERROR(LOOKUP(2,1/(($B$3:B41=B42)*($O$3:O41=O42)),$G$3:G41),"")&lt;&gt;"Paused — pending decision"),"Resume is only for the event straight after a Precautionary pause on the same AIR-ID and UC-ID (in an earlier row)",IF(AND(E42="Decision",OR(G42="Progress",G42="Progress with condition",G42="Re-authorise",G42="Resume"),X42&lt;&gt;"Yes"),"Decision-maker has not confirmed the screening was considered (column X)","Check against source")))))))))))))))))))))))))))))</f>
        <v/>
      </c>
      <c r="O42" s="37" t="n"/>
      <c r="P42" s="37" t="n"/>
      <c r="Q42" s="14">
        <f>IF(A42="","",IF(E42&lt;&gt;"Decision","",IF(P42="UC-ID specific",IF(O42="","UC-ID REQUIRED","Check source decision for each UC-ID"),IF(P42="Shared system baseline",IF(O42&lt;&gt;"","REMOVE UC-ID OR CORRECT SCOPE","Baseline only — NOT UC approval"),"Decision scope missing"))))</f>
        <v/>
      </c>
      <c r="R42" s="42" t="n"/>
      <c r="S42" s="38" t="n"/>
      <c r="T42" s="38" t="n"/>
      <c r="U42" s="38" t="n"/>
      <c r="V42" s="38" t="n"/>
      <c r="W42" s="39" t="n"/>
      <c r="X42" s="38" t="n"/>
    </row>
    <row r="43">
      <c r="A43" s="40" t="n"/>
      <c r="B43" s="40" t="n"/>
      <c r="C43" s="40" t="n"/>
      <c r="D43" s="40" t="n"/>
      <c r="E43" s="40" t="n"/>
      <c r="F43" s="41" t="n"/>
      <c r="G43" s="40" t="n"/>
      <c r="H43" s="40" t="n"/>
      <c r="I43" s="40" t="n"/>
      <c r="J43" s="40" t="n"/>
      <c r="K43" s="40" t="n"/>
      <c r="L43" s="40" t="n"/>
      <c r="M43" s="40" t="n"/>
      <c r="N43" s="24">
        <f>IF(COUNTA(A43:M43,O43:P43,R43:X43)=0,"",IF(OR(A43="",B43="",F43=""),"Event ID, AIR-ID or date missing",IF(COUNTIF($A$4:$A$553,A43)&gt;1,"Duplicate Event ID",IF(E43="","Event type missing",IF(OR(NOT(ISNUMBER(F43)),F43&gt;TODAY()),"Date is not a real date or is in the future",IF(AND(C43&lt;&gt;"",COUNTIF('Gate plan'!$A$4:$A$353,C43)=0),"Plan ID not found in Gate plan",IF(AND(C43&lt;&gt;"",COUNTIFS('Gate plan'!$A$4:$A$353,C43,'Gate plan'!$B$4:$B$353,B43)=0),"Plan AIR-ID differs from event",IF(D43="","Gate / forum missing",IF(AND(E43="Precautionary pause (containment)",G43&lt;&gt;"Paused — pending decision"),"Precautionary pause: Outcome must be Paused, pending decision",IF(AND(E43="Precautionary pause (containment)",V43=""),"Precautionary pause: AIG-OPS-03 incident ref missing",IF(AND(E43="Precautionary pause (containment)",NOT(ISNUMBER(W43))),"Precautionary pause: follow-up decision due date missing",IF(AND(G43="Paused — pending decision",E43&lt;&gt;"Precautionary pause (containment)"),"Paused, pending decision is only for a Precautionary pause event",IF(AND(E43="Decision",OR(G43="",H43="",I43="")),"Outcome / delegation / decision ref missing",IF(AND(E43="Decision",NOT(OR(G43="Progress",G43="Progress with condition",G43="Return for evidence",G43="Pause",G43="Stop",G43="Suspend",G43="Decommission",G43="Re-authorise",G43="Resume"))),"Decision event needs a decision outcome",IF(AND(E43="Priority override",OR(H43="",I43="")),"Decision-maker / AIG-DEC-03 ref missing",IF(AND(E43="Priority override",G43&lt;&gt;"",G43&lt;&gt;"No decision"),"Priority override: Outcome blank or No decision",IF(AND(E43&lt;&gt;"Decision",OR(G43="Progress",G43="Progress with condition",G43="Return for evidence",G43="Pause",G43="Stop",G43="Suspend",G43="Decommission",G43="Re-authorise",G43="Resume")),"Outcome implies decision",IF(OR(ISNUMBER(SEARCH(",",O43)),ISNUMBER(SEARCH(";",O43))),"One UC-ID per event row — split this event",IF(AND(E43="Decision",OR(Q43="UC-ID REQUIRED",Q43="Decision scope missing",Q43="REMOVE UC-ID OR CORRECT SCOPE")),"Decision scope missing",IF(AND(G43="Progress with condition",COUNTIF(Conditions!$B$4:$B$553,A43)=0),"Progress with condition needs at least one Conditions row",IF(AND(C43&lt;&gt;"",COUNTIFS('Gate plan'!$A$4:$A$353,C43,'Gate plan'!$C$4:$C$353,D43)=0),"Plan gate differs from event gate",IF(AND(C43&lt;&gt;"",O43&lt;&gt;"",COUNTIFS('Gate plan'!$A$4:$A$353,C43,'Gate plan'!$K$4:$K$353,"&lt;&gt;")&gt;0,COUNTIFS('Gate plan'!$A$4:$A$353,C43,'Gate plan'!$K$4:$K$353,O43)=0),"Plan UC-ID differs from event UC-ID",IF(AND(E43="Assurance opinion",J43=""),"Assurance opinion ref missing",IF(AND(G43="Opinion only",E43&lt;&gt;"Assurance opinion",E43&lt;&gt;"Review only"),"Opinion only is for Assurance opinion or Review only events",IF(AND(G43="No decision",E43&lt;&gt;"Review only",E43&lt;&gt;"Priority override",E43&lt;&gt;"Intake / registration"),"No decision is for Review only, Priority override or Intake / registration events",IF(OR(ISNUMBER(SEARCH(" ",TRIM(O43))),ISNUMBER(SEARCH("/",O43))),"One UC-ID per event row: split this event",IF(AND(E43="Precautionary pause (containment)",ISNUMBER(W43),ISNUMBER(F43),W43&lt;F43),"Follow-up decision due date is before the pause",IF(AND(G43="Resume",IFERROR(LOOKUP(2,1/(($B$3:B42=B43)*($O$3:O42=O43)),$G$3:G42),"")&lt;&gt;"Paused — pending decision"),"Resume is only for the event straight after a Precautionary pause on the same AIR-ID and UC-ID (in an earlier row)",IF(AND(E43="Decision",OR(G43="Progress",G43="Progress with condition",G43="Re-authorise",G43="Resume"),X43&lt;&gt;"Yes"),"Decision-maker has not confirmed the screening was considered (column X)","Check against source")))))))))))))))))))))))))))))</f>
        <v/>
      </c>
      <c r="O43" s="37" t="n"/>
      <c r="P43" s="37" t="n"/>
      <c r="Q43" s="14">
        <f>IF(A43="","",IF(E43&lt;&gt;"Decision","",IF(P43="UC-ID specific",IF(O43="","UC-ID REQUIRED","Check source decision for each UC-ID"),IF(P43="Shared system baseline",IF(O43&lt;&gt;"","REMOVE UC-ID OR CORRECT SCOPE","Baseline only — NOT UC approval"),"Decision scope missing"))))</f>
        <v/>
      </c>
      <c r="R43" s="43" t="n"/>
      <c r="S43" s="40" t="n"/>
      <c r="T43" s="40" t="n"/>
      <c r="U43" s="40" t="n"/>
      <c r="V43" s="40" t="n"/>
      <c r="W43" s="41" t="n"/>
      <c r="X43" s="38" t="n"/>
    </row>
    <row r="44">
      <c r="A44" s="38" t="n"/>
      <c r="B44" s="38" t="n"/>
      <c r="C44" s="38" t="n"/>
      <c r="D44" s="38" t="n"/>
      <c r="E44" s="38" t="n"/>
      <c r="F44" s="39" t="n"/>
      <c r="G44" s="38" t="n"/>
      <c r="H44" s="38" t="n"/>
      <c r="I44" s="38" t="n"/>
      <c r="J44" s="38" t="n"/>
      <c r="K44" s="38" t="n"/>
      <c r="L44" s="38" t="n"/>
      <c r="M44" s="38" t="n"/>
      <c r="N44" s="22">
        <f>IF(COUNTA(A44:M44,O44:P44,R44:X44)=0,"",IF(OR(A44="",B44="",F44=""),"Event ID, AIR-ID or date missing",IF(COUNTIF($A$4:$A$553,A44)&gt;1,"Duplicate Event ID",IF(E44="","Event type missing",IF(OR(NOT(ISNUMBER(F44)),F44&gt;TODAY()),"Date is not a real date or is in the future",IF(AND(C44&lt;&gt;"",COUNTIF('Gate plan'!$A$4:$A$353,C44)=0),"Plan ID not found in Gate plan",IF(AND(C44&lt;&gt;"",COUNTIFS('Gate plan'!$A$4:$A$353,C44,'Gate plan'!$B$4:$B$353,B44)=0),"Plan AIR-ID differs from event",IF(D44="","Gate / forum missing",IF(AND(E44="Precautionary pause (containment)",G44&lt;&gt;"Paused — pending decision"),"Precautionary pause: Outcome must be Paused, pending decision",IF(AND(E44="Precautionary pause (containment)",V44=""),"Precautionary pause: AIG-OPS-03 incident ref missing",IF(AND(E44="Precautionary pause (containment)",NOT(ISNUMBER(W44))),"Precautionary pause: follow-up decision due date missing",IF(AND(G44="Paused — pending decision",E44&lt;&gt;"Precautionary pause (containment)"),"Paused, pending decision is only for a Precautionary pause event",IF(AND(E44="Decision",OR(G44="",H44="",I44="")),"Outcome / delegation / decision ref missing",IF(AND(E44="Decision",NOT(OR(G44="Progress",G44="Progress with condition",G44="Return for evidence",G44="Pause",G44="Stop",G44="Suspend",G44="Decommission",G44="Re-authorise",G44="Resume"))),"Decision event needs a decision outcome",IF(AND(E44="Priority override",OR(H44="",I44="")),"Decision-maker / AIG-DEC-03 ref missing",IF(AND(E44="Priority override",G44&lt;&gt;"",G44&lt;&gt;"No decision"),"Priority override: Outcome blank or No decision",IF(AND(E44&lt;&gt;"Decision",OR(G44="Progress",G44="Progress with condition",G44="Return for evidence",G44="Pause",G44="Stop",G44="Suspend",G44="Decommission",G44="Re-authorise",G44="Resume")),"Outcome implies decision",IF(OR(ISNUMBER(SEARCH(",",O44)),ISNUMBER(SEARCH(";",O44))),"One UC-ID per event row — split this event",IF(AND(E44="Decision",OR(Q44="UC-ID REQUIRED",Q44="Decision scope missing",Q44="REMOVE UC-ID OR CORRECT SCOPE")),"Decision scope missing",IF(AND(G44="Progress with condition",COUNTIF(Conditions!$B$4:$B$553,A44)=0),"Progress with condition needs at least one Conditions row",IF(AND(C44&lt;&gt;"",COUNTIFS('Gate plan'!$A$4:$A$353,C44,'Gate plan'!$C$4:$C$353,D44)=0),"Plan gate differs from event gate",IF(AND(C44&lt;&gt;"",O44&lt;&gt;"",COUNTIFS('Gate plan'!$A$4:$A$353,C44,'Gate plan'!$K$4:$K$353,"&lt;&gt;")&gt;0,COUNTIFS('Gate plan'!$A$4:$A$353,C44,'Gate plan'!$K$4:$K$353,O44)=0),"Plan UC-ID differs from event UC-ID",IF(AND(E44="Assurance opinion",J44=""),"Assurance opinion ref missing",IF(AND(G44="Opinion only",E44&lt;&gt;"Assurance opinion",E44&lt;&gt;"Review only"),"Opinion only is for Assurance opinion or Review only events",IF(AND(G44="No decision",E44&lt;&gt;"Review only",E44&lt;&gt;"Priority override",E44&lt;&gt;"Intake / registration"),"No decision is for Review only, Priority override or Intake / registration events",IF(OR(ISNUMBER(SEARCH(" ",TRIM(O44))),ISNUMBER(SEARCH("/",O44))),"One UC-ID per event row: split this event",IF(AND(E44="Precautionary pause (containment)",ISNUMBER(W44),ISNUMBER(F44),W44&lt;F44),"Follow-up decision due date is before the pause",IF(AND(G44="Resume",IFERROR(LOOKUP(2,1/(($B$3:B43=B44)*($O$3:O43=O44)),$G$3:G43),"")&lt;&gt;"Paused — pending decision"),"Resume is only for the event straight after a Precautionary pause on the same AIR-ID and UC-ID (in an earlier row)",IF(AND(E44="Decision",OR(G44="Progress",G44="Progress with condition",G44="Re-authorise",G44="Resume"),X44&lt;&gt;"Yes"),"Decision-maker has not confirmed the screening was considered (column X)","Check against source")))))))))))))))))))))))))))))</f>
        <v/>
      </c>
      <c r="O44" s="37" t="n"/>
      <c r="P44" s="37" t="n"/>
      <c r="Q44" s="14">
        <f>IF(A44="","",IF(E44&lt;&gt;"Decision","",IF(P44="UC-ID specific",IF(O44="","UC-ID REQUIRED","Check source decision for each UC-ID"),IF(P44="Shared system baseline",IF(O44&lt;&gt;"","REMOVE UC-ID OR CORRECT SCOPE","Baseline only — NOT UC approval"),"Decision scope missing"))))</f>
        <v/>
      </c>
      <c r="R44" s="42" t="n"/>
      <c r="S44" s="38" t="n"/>
      <c r="T44" s="38" t="n"/>
      <c r="U44" s="38" t="n"/>
      <c r="V44" s="38" t="n"/>
      <c r="W44" s="39" t="n"/>
      <c r="X44" s="38" t="n"/>
    </row>
    <row r="45">
      <c r="A45" s="40" t="n"/>
      <c r="B45" s="40" t="n"/>
      <c r="C45" s="40" t="n"/>
      <c r="D45" s="40" t="n"/>
      <c r="E45" s="40" t="n"/>
      <c r="F45" s="41" t="n"/>
      <c r="G45" s="40" t="n"/>
      <c r="H45" s="40" t="n"/>
      <c r="I45" s="40" t="n"/>
      <c r="J45" s="40" t="n"/>
      <c r="K45" s="40" t="n"/>
      <c r="L45" s="40" t="n"/>
      <c r="M45" s="40" t="n"/>
      <c r="N45" s="24">
        <f>IF(COUNTA(A45:M45,O45:P45,R45:X45)=0,"",IF(OR(A45="",B45="",F45=""),"Event ID, AIR-ID or date missing",IF(COUNTIF($A$4:$A$553,A45)&gt;1,"Duplicate Event ID",IF(E45="","Event type missing",IF(OR(NOT(ISNUMBER(F45)),F45&gt;TODAY()),"Date is not a real date or is in the future",IF(AND(C45&lt;&gt;"",COUNTIF('Gate plan'!$A$4:$A$353,C45)=0),"Plan ID not found in Gate plan",IF(AND(C45&lt;&gt;"",COUNTIFS('Gate plan'!$A$4:$A$353,C45,'Gate plan'!$B$4:$B$353,B45)=0),"Plan AIR-ID differs from event",IF(D45="","Gate / forum missing",IF(AND(E45="Precautionary pause (containment)",G45&lt;&gt;"Paused — pending decision"),"Precautionary pause: Outcome must be Paused, pending decision",IF(AND(E45="Precautionary pause (containment)",V45=""),"Precautionary pause: AIG-OPS-03 incident ref missing",IF(AND(E45="Precautionary pause (containment)",NOT(ISNUMBER(W45))),"Precautionary pause: follow-up decision due date missing",IF(AND(G45="Paused — pending decision",E45&lt;&gt;"Precautionary pause (containment)"),"Paused, pending decision is only for a Precautionary pause event",IF(AND(E45="Decision",OR(G45="",H45="",I45="")),"Outcome / delegation / decision ref missing",IF(AND(E45="Decision",NOT(OR(G45="Progress",G45="Progress with condition",G45="Return for evidence",G45="Pause",G45="Stop",G45="Suspend",G45="Decommission",G45="Re-authorise",G45="Resume"))),"Decision event needs a decision outcome",IF(AND(E45="Priority override",OR(H45="",I45="")),"Decision-maker / AIG-DEC-03 ref missing",IF(AND(E45="Priority override",G45&lt;&gt;"",G45&lt;&gt;"No decision"),"Priority override: Outcome blank or No decision",IF(AND(E45&lt;&gt;"Decision",OR(G45="Progress",G45="Progress with condition",G45="Return for evidence",G45="Pause",G45="Stop",G45="Suspend",G45="Decommission",G45="Re-authorise",G45="Resume")),"Outcome implies decision",IF(OR(ISNUMBER(SEARCH(",",O45)),ISNUMBER(SEARCH(";",O45))),"One UC-ID per event row — split this event",IF(AND(E45="Decision",OR(Q45="UC-ID REQUIRED",Q45="Decision scope missing",Q45="REMOVE UC-ID OR CORRECT SCOPE")),"Decision scope missing",IF(AND(G45="Progress with condition",COUNTIF(Conditions!$B$4:$B$553,A45)=0),"Progress with condition needs at least one Conditions row",IF(AND(C45&lt;&gt;"",COUNTIFS('Gate plan'!$A$4:$A$353,C45,'Gate plan'!$C$4:$C$353,D45)=0),"Plan gate differs from event gate",IF(AND(C45&lt;&gt;"",O45&lt;&gt;"",COUNTIFS('Gate plan'!$A$4:$A$353,C45,'Gate plan'!$K$4:$K$353,"&lt;&gt;")&gt;0,COUNTIFS('Gate plan'!$A$4:$A$353,C45,'Gate plan'!$K$4:$K$353,O45)=0),"Plan UC-ID differs from event UC-ID",IF(AND(E45="Assurance opinion",J45=""),"Assurance opinion ref missing",IF(AND(G45="Opinion only",E45&lt;&gt;"Assurance opinion",E45&lt;&gt;"Review only"),"Opinion only is for Assurance opinion or Review only events",IF(AND(G45="No decision",E45&lt;&gt;"Review only",E45&lt;&gt;"Priority override",E45&lt;&gt;"Intake / registration"),"No decision is for Review only, Priority override or Intake / registration events",IF(OR(ISNUMBER(SEARCH(" ",TRIM(O45))),ISNUMBER(SEARCH("/",O45))),"One UC-ID per event row: split this event",IF(AND(E45="Precautionary pause (containment)",ISNUMBER(W45),ISNUMBER(F45),W45&lt;F45),"Follow-up decision due date is before the pause",IF(AND(G45="Resume",IFERROR(LOOKUP(2,1/(($B$3:B44=B45)*($O$3:O44=O45)),$G$3:G44),"")&lt;&gt;"Paused — pending decision"),"Resume is only for the event straight after a Precautionary pause on the same AIR-ID and UC-ID (in an earlier row)",IF(AND(E45="Decision",OR(G45="Progress",G45="Progress with condition",G45="Re-authorise",G45="Resume"),X45&lt;&gt;"Yes"),"Decision-maker has not confirmed the screening was considered (column X)","Check against source")))))))))))))))))))))))))))))</f>
        <v/>
      </c>
      <c r="O45" s="37" t="n"/>
      <c r="P45" s="37" t="n"/>
      <c r="Q45" s="14">
        <f>IF(A45="","",IF(E45&lt;&gt;"Decision","",IF(P45="UC-ID specific",IF(O45="","UC-ID REQUIRED","Check source decision for each UC-ID"),IF(P45="Shared system baseline",IF(O45&lt;&gt;"","REMOVE UC-ID OR CORRECT SCOPE","Baseline only — NOT UC approval"),"Decision scope missing"))))</f>
        <v/>
      </c>
      <c r="R45" s="43" t="n"/>
      <c r="S45" s="40" t="n"/>
      <c r="T45" s="40" t="n"/>
      <c r="U45" s="40" t="n"/>
      <c r="V45" s="40" t="n"/>
      <c r="W45" s="41" t="n"/>
      <c r="X45" s="38" t="n"/>
    </row>
    <row r="46">
      <c r="A46" s="38" t="n"/>
      <c r="B46" s="38" t="n"/>
      <c r="C46" s="38" t="n"/>
      <c r="D46" s="38" t="n"/>
      <c r="E46" s="38" t="n"/>
      <c r="F46" s="39" t="n"/>
      <c r="G46" s="38" t="n"/>
      <c r="H46" s="38" t="n"/>
      <c r="I46" s="38" t="n"/>
      <c r="J46" s="38" t="n"/>
      <c r="K46" s="38" t="n"/>
      <c r="L46" s="38" t="n"/>
      <c r="M46" s="38" t="n"/>
      <c r="N46" s="22">
        <f>IF(COUNTA(A46:M46,O46:P46,R46:X46)=0,"",IF(OR(A46="",B46="",F46=""),"Event ID, AIR-ID or date missing",IF(COUNTIF($A$4:$A$553,A46)&gt;1,"Duplicate Event ID",IF(E46="","Event type missing",IF(OR(NOT(ISNUMBER(F46)),F46&gt;TODAY()),"Date is not a real date or is in the future",IF(AND(C46&lt;&gt;"",COUNTIF('Gate plan'!$A$4:$A$353,C46)=0),"Plan ID not found in Gate plan",IF(AND(C46&lt;&gt;"",COUNTIFS('Gate plan'!$A$4:$A$353,C46,'Gate plan'!$B$4:$B$353,B46)=0),"Plan AIR-ID differs from event",IF(D46="","Gate / forum missing",IF(AND(E46="Precautionary pause (containment)",G46&lt;&gt;"Paused — pending decision"),"Precautionary pause: Outcome must be Paused, pending decision",IF(AND(E46="Precautionary pause (containment)",V46=""),"Precautionary pause: AIG-OPS-03 incident ref missing",IF(AND(E46="Precautionary pause (containment)",NOT(ISNUMBER(W46))),"Precautionary pause: follow-up decision due date missing",IF(AND(G46="Paused — pending decision",E46&lt;&gt;"Precautionary pause (containment)"),"Paused, pending decision is only for a Precautionary pause event",IF(AND(E46="Decision",OR(G46="",H46="",I46="")),"Outcome / delegation / decision ref missing",IF(AND(E46="Decision",NOT(OR(G46="Progress",G46="Progress with condition",G46="Return for evidence",G46="Pause",G46="Stop",G46="Suspend",G46="Decommission",G46="Re-authorise",G46="Resume"))),"Decision event needs a decision outcome",IF(AND(E46="Priority override",OR(H46="",I46="")),"Decision-maker / AIG-DEC-03 ref missing",IF(AND(E46="Priority override",G46&lt;&gt;"",G46&lt;&gt;"No decision"),"Priority override: Outcome blank or No decision",IF(AND(E46&lt;&gt;"Decision",OR(G46="Progress",G46="Progress with condition",G46="Return for evidence",G46="Pause",G46="Stop",G46="Suspend",G46="Decommission",G46="Re-authorise",G46="Resume")),"Outcome implies decision",IF(OR(ISNUMBER(SEARCH(",",O46)),ISNUMBER(SEARCH(";",O46))),"One UC-ID per event row — split this event",IF(AND(E46="Decision",OR(Q46="UC-ID REQUIRED",Q46="Decision scope missing",Q46="REMOVE UC-ID OR CORRECT SCOPE")),"Decision scope missing",IF(AND(G46="Progress with condition",COUNTIF(Conditions!$B$4:$B$553,A46)=0),"Progress with condition needs at least one Conditions row",IF(AND(C46&lt;&gt;"",COUNTIFS('Gate plan'!$A$4:$A$353,C46,'Gate plan'!$C$4:$C$353,D46)=0),"Plan gate differs from event gate",IF(AND(C46&lt;&gt;"",O46&lt;&gt;"",COUNTIFS('Gate plan'!$A$4:$A$353,C46,'Gate plan'!$K$4:$K$353,"&lt;&gt;")&gt;0,COUNTIFS('Gate plan'!$A$4:$A$353,C46,'Gate plan'!$K$4:$K$353,O46)=0),"Plan UC-ID differs from event UC-ID",IF(AND(E46="Assurance opinion",J46=""),"Assurance opinion ref missing",IF(AND(G46="Opinion only",E46&lt;&gt;"Assurance opinion",E46&lt;&gt;"Review only"),"Opinion only is for Assurance opinion or Review only events",IF(AND(G46="No decision",E46&lt;&gt;"Review only",E46&lt;&gt;"Priority override",E46&lt;&gt;"Intake / registration"),"No decision is for Review only, Priority override or Intake / registration events",IF(OR(ISNUMBER(SEARCH(" ",TRIM(O46))),ISNUMBER(SEARCH("/",O46))),"One UC-ID per event row: split this event",IF(AND(E46="Precautionary pause (containment)",ISNUMBER(W46),ISNUMBER(F46),W46&lt;F46),"Follow-up decision due date is before the pause",IF(AND(G46="Resume",IFERROR(LOOKUP(2,1/(($B$3:B45=B46)*($O$3:O45=O46)),$G$3:G45),"")&lt;&gt;"Paused — pending decision"),"Resume is only for the event straight after a Precautionary pause on the same AIR-ID and UC-ID (in an earlier row)",IF(AND(E46="Decision",OR(G46="Progress",G46="Progress with condition",G46="Re-authorise",G46="Resume"),X46&lt;&gt;"Yes"),"Decision-maker has not confirmed the screening was considered (column X)","Check against source")))))))))))))))))))))))))))))</f>
        <v/>
      </c>
      <c r="O46" s="37" t="n"/>
      <c r="P46" s="37" t="n"/>
      <c r="Q46" s="14">
        <f>IF(A46="","",IF(E46&lt;&gt;"Decision","",IF(P46="UC-ID specific",IF(O46="","UC-ID REQUIRED","Check source decision for each UC-ID"),IF(P46="Shared system baseline",IF(O46&lt;&gt;"","REMOVE UC-ID OR CORRECT SCOPE","Baseline only — NOT UC approval"),"Decision scope missing"))))</f>
        <v/>
      </c>
      <c r="R46" s="42" t="n"/>
      <c r="S46" s="38" t="n"/>
      <c r="T46" s="38" t="n"/>
      <c r="U46" s="38" t="n"/>
      <c r="V46" s="38" t="n"/>
      <c r="W46" s="39" t="n"/>
      <c r="X46" s="38" t="n"/>
    </row>
    <row r="47">
      <c r="A47" s="40" t="n"/>
      <c r="B47" s="40" t="n"/>
      <c r="C47" s="40" t="n"/>
      <c r="D47" s="40" t="n"/>
      <c r="E47" s="40" t="n"/>
      <c r="F47" s="41" t="n"/>
      <c r="G47" s="40" t="n"/>
      <c r="H47" s="40" t="n"/>
      <c r="I47" s="40" t="n"/>
      <c r="J47" s="40" t="n"/>
      <c r="K47" s="40" t="n"/>
      <c r="L47" s="40" t="n"/>
      <c r="M47" s="40" t="n"/>
      <c r="N47" s="24">
        <f>IF(COUNTA(A47:M47,O47:P47,R47:X47)=0,"",IF(OR(A47="",B47="",F47=""),"Event ID, AIR-ID or date missing",IF(COUNTIF($A$4:$A$553,A47)&gt;1,"Duplicate Event ID",IF(E47="","Event type missing",IF(OR(NOT(ISNUMBER(F47)),F47&gt;TODAY()),"Date is not a real date or is in the future",IF(AND(C47&lt;&gt;"",COUNTIF('Gate plan'!$A$4:$A$353,C47)=0),"Plan ID not found in Gate plan",IF(AND(C47&lt;&gt;"",COUNTIFS('Gate plan'!$A$4:$A$353,C47,'Gate plan'!$B$4:$B$353,B47)=0),"Plan AIR-ID differs from event",IF(D47="","Gate / forum missing",IF(AND(E47="Precautionary pause (containment)",G47&lt;&gt;"Paused — pending decision"),"Precautionary pause: Outcome must be Paused, pending decision",IF(AND(E47="Precautionary pause (containment)",V47=""),"Precautionary pause: AIG-OPS-03 incident ref missing",IF(AND(E47="Precautionary pause (containment)",NOT(ISNUMBER(W47))),"Precautionary pause: follow-up decision due date missing",IF(AND(G47="Paused — pending decision",E47&lt;&gt;"Precautionary pause (containment)"),"Paused, pending decision is only for a Precautionary pause event",IF(AND(E47="Decision",OR(G47="",H47="",I47="")),"Outcome / delegation / decision ref missing",IF(AND(E47="Decision",NOT(OR(G47="Progress",G47="Progress with condition",G47="Return for evidence",G47="Pause",G47="Stop",G47="Suspend",G47="Decommission",G47="Re-authorise",G47="Resume"))),"Decision event needs a decision outcome",IF(AND(E47="Priority override",OR(H47="",I47="")),"Decision-maker / AIG-DEC-03 ref missing",IF(AND(E47="Priority override",G47&lt;&gt;"",G47&lt;&gt;"No decision"),"Priority override: Outcome blank or No decision",IF(AND(E47&lt;&gt;"Decision",OR(G47="Progress",G47="Progress with condition",G47="Return for evidence",G47="Pause",G47="Stop",G47="Suspend",G47="Decommission",G47="Re-authorise",G47="Resume")),"Outcome implies decision",IF(OR(ISNUMBER(SEARCH(",",O47)),ISNUMBER(SEARCH(";",O47))),"One UC-ID per event row — split this event",IF(AND(E47="Decision",OR(Q47="UC-ID REQUIRED",Q47="Decision scope missing",Q47="REMOVE UC-ID OR CORRECT SCOPE")),"Decision scope missing",IF(AND(G47="Progress with condition",COUNTIF(Conditions!$B$4:$B$553,A47)=0),"Progress with condition needs at least one Conditions row",IF(AND(C47&lt;&gt;"",COUNTIFS('Gate plan'!$A$4:$A$353,C47,'Gate plan'!$C$4:$C$353,D47)=0),"Plan gate differs from event gate",IF(AND(C47&lt;&gt;"",O47&lt;&gt;"",COUNTIFS('Gate plan'!$A$4:$A$353,C47,'Gate plan'!$K$4:$K$353,"&lt;&gt;")&gt;0,COUNTIFS('Gate plan'!$A$4:$A$353,C47,'Gate plan'!$K$4:$K$353,O47)=0),"Plan UC-ID differs from event UC-ID",IF(AND(E47="Assurance opinion",J47=""),"Assurance opinion ref missing",IF(AND(G47="Opinion only",E47&lt;&gt;"Assurance opinion",E47&lt;&gt;"Review only"),"Opinion only is for Assurance opinion or Review only events",IF(AND(G47="No decision",E47&lt;&gt;"Review only",E47&lt;&gt;"Priority override",E47&lt;&gt;"Intake / registration"),"No decision is for Review only, Priority override or Intake / registration events",IF(OR(ISNUMBER(SEARCH(" ",TRIM(O47))),ISNUMBER(SEARCH("/",O47))),"One UC-ID per event row: split this event",IF(AND(E47="Precautionary pause (containment)",ISNUMBER(W47),ISNUMBER(F47),W47&lt;F47),"Follow-up decision due date is before the pause",IF(AND(G47="Resume",IFERROR(LOOKUP(2,1/(($B$3:B46=B47)*($O$3:O46=O47)),$G$3:G46),"")&lt;&gt;"Paused — pending decision"),"Resume is only for the event straight after a Precautionary pause on the same AIR-ID and UC-ID (in an earlier row)",IF(AND(E47="Decision",OR(G47="Progress",G47="Progress with condition",G47="Re-authorise",G47="Resume"),X47&lt;&gt;"Yes"),"Decision-maker has not confirmed the screening was considered (column X)","Check against source")))))))))))))))))))))))))))))</f>
        <v/>
      </c>
      <c r="O47" s="37" t="n"/>
      <c r="P47" s="37" t="n"/>
      <c r="Q47" s="14">
        <f>IF(A47="","",IF(E47&lt;&gt;"Decision","",IF(P47="UC-ID specific",IF(O47="","UC-ID REQUIRED","Check source decision for each UC-ID"),IF(P47="Shared system baseline",IF(O47&lt;&gt;"","REMOVE UC-ID OR CORRECT SCOPE","Baseline only — NOT UC approval"),"Decision scope missing"))))</f>
        <v/>
      </c>
      <c r="R47" s="43" t="n"/>
      <c r="S47" s="40" t="n"/>
      <c r="T47" s="40" t="n"/>
      <c r="U47" s="40" t="n"/>
      <c r="V47" s="40" t="n"/>
      <c r="W47" s="41" t="n"/>
      <c r="X47" s="38" t="n"/>
    </row>
    <row r="48">
      <c r="A48" s="38" t="n"/>
      <c r="B48" s="38" t="n"/>
      <c r="C48" s="38" t="n"/>
      <c r="D48" s="38" t="n"/>
      <c r="E48" s="38" t="n"/>
      <c r="F48" s="39" t="n"/>
      <c r="G48" s="38" t="n"/>
      <c r="H48" s="38" t="n"/>
      <c r="I48" s="38" t="n"/>
      <c r="J48" s="38" t="n"/>
      <c r="K48" s="38" t="n"/>
      <c r="L48" s="38" t="n"/>
      <c r="M48" s="38" t="n"/>
      <c r="N48" s="22">
        <f>IF(COUNTA(A48:M48,O48:P48,R48:X48)=0,"",IF(OR(A48="",B48="",F48=""),"Event ID, AIR-ID or date missing",IF(COUNTIF($A$4:$A$553,A48)&gt;1,"Duplicate Event ID",IF(E48="","Event type missing",IF(OR(NOT(ISNUMBER(F48)),F48&gt;TODAY()),"Date is not a real date or is in the future",IF(AND(C48&lt;&gt;"",COUNTIF('Gate plan'!$A$4:$A$353,C48)=0),"Plan ID not found in Gate plan",IF(AND(C48&lt;&gt;"",COUNTIFS('Gate plan'!$A$4:$A$353,C48,'Gate plan'!$B$4:$B$353,B48)=0),"Plan AIR-ID differs from event",IF(D48="","Gate / forum missing",IF(AND(E48="Precautionary pause (containment)",G48&lt;&gt;"Paused — pending decision"),"Precautionary pause: Outcome must be Paused, pending decision",IF(AND(E48="Precautionary pause (containment)",V48=""),"Precautionary pause: AIG-OPS-03 incident ref missing",IF(AND(E48="Precautionary pause (containment)",NOT(ISNUMBER(W48))),"Precautionary pause: follow-up decision due date missing",IF(AND(G48="Paused — pending decision",E48&lt;&gt;"Precautionary pause (containment)"),"Paused, pending decision is only for a Precautionary pause event",IF(AND(E48="Decision",OR(G48="",H48="",I48="")),"Outcome / delegation / decision ref missing",IF(AND(E48="Decision",NOT(OR(G48="Progress",G48="Progress with condition",G48="Return for evidence",G48="Pause",G48="Stop",G48="Suspend",G48="Decommission",G48="Re-authorise",G48="Resume"))),"Decision event needs a decision outcome",IF(AND(E48="Priority override",OR(H48="",I48="")),"Decision-maker / AIG-DEC-03 ref missing",IF(AND(E48="Priority override",G48&lt;&gt;"",G48&lt;&gt;"No decision"),"Priority override: Outcome blank or No decision",IF(AND(E48&lt;&gt;"Decision",OR(G48="Progress",G48="Progress with condition",G48="Return for evidence",G48="Pause",G48="Stop",G48="Suspend",G48="Decommission",G48="Re-authorise",G48="Resume")),"Outcome implies decision",IF(OR(ISNUMBER(SEARCH(",",O48)),ISNUMBER(SEARCH(";",O48))),"One UC-ID per event row — split this event",IF(AND(E48="Decision",OR(Q48="UC-ID REQUIRED",Q48="Decision scope missing",Q48="REMOVE UC-ID OR CORRECT SCOPE")),"Decision scope missing",IF(AND(G48="Progress with condition",COUNTIF(Conditions!$B$4:$B$553,A48)=0),"Progress with condition needs at least one Conditions row",IF(AND(C48&lt;&gt;"",COUNTIFS('Gate plan'!$A$4:$A$353,C48,'Gate plan'!$C$4:$C$353,D48)=0),"Plan gate differs from event gate",IF(AND(C48&lt;&gt;"",O48&lt;&gt;"",COUNTIFS('Gate plan'!$A$4:$A$353,C48,'Gate plan'!$K$4:$K$353,"&lt;&gt;")&gt;0,COUNTIFS('Gate plan'!$A$4:$A$353,C48,'Gate plan'!$K$4:$K$353,O48)=0),"Plan UC-ID differs from event UC-ID",IF(AND(E48="Assurance opinion",J48=""),"Assurance opinion ref missing",IF(AND(G48="Opinion only",E48&lt;&gt;"Assurance opinion",E48&lt;&gt;"Review only"),"Opinion only is for Assurance opinion or Review only events",IF(AND(G48="No decision",E48&lt;&gt;"Review only",E48&lt;&gt;"Priority override",E48&lt;&gt;"Intake / registration"),"No decision is for Review only, Priority override or Intake / registration events",IF(OR(ISNUMBER(SEARCH(" ",TRIM(O48))),ISNUMBER(SEARCH("/",O48))),"One UC-ID per event row: split this event",IF(AND(E48="Precautionary pause (containment)",ISNUMBER(W48),ISNUMBER(F48),W48&lt;F48),"Follow-up decision due date is before the pause",IF(AND(G48="Resume",IFERROR(LOOKUP(2,1/(($B$3:B47=B48)*($O$3:O47=O48)),$G$3:G47),"")&lt;&gt;"Paused — pending decision"),"Resume is only for the event straight after a Precautionary pause on the same AIR-ID and UC-ID (in an earlier row)",IF(AND(E48="Decision",OR(G48="Progress",G48="Progress with condition",G48="Re-authorise",G48="Resume"),X48&lt;&gt;"Yes"),"Decision-maker has not confirmed the screening was considered (column X)","Check against source")))))))))))))))))))))))))))))</f>
        <v/>
      </c>
      <c r="O48" s="37" t="n"/>
      <c r="P48" s="37" t="n"/>
      <c r="Q48" s="14">
        <f>IF(A48="","",IF(E48&lt;&gt;"Decision","",IF(P48="UC-ID specific",IF(O48="","UC-ID REQUIRED","Check source decision for each UC-ID"),IF(P48="Shared system baseline",IF(O48&lt;&gt;"","REMOVE UC-ID OR CORRECT SCOPE","Baseline only — NOT UC approval"),"Decision scope missing"))))</f>
        <v/>
      </c>
      <c r="R48" s="42" t="n"/>
      <c r="S48" s="38" t="n"/>
      <c r="T48" s="38" t="n"/>
      <c r="U48" s="38" t="n"/>
      <c r="V48" s="38" t="n"/>
      <c r="W48" s="39" t="n"/>
      <c r="X48" s="38" t="n"/>
    </row>
    <row r="49">
      <c r="A49" s="40" t="n"/>
      <c r="B49" s="40" t="n"/>
      <c r="C49" s="40" t="n"/>
      <c r="D49" s="40" t="n"/>
      <c r="E49" s="40" t="n"/>
      <c r="F49" s="41" t="n"/>
      <c r="G49" s="40" t="n"/>
      <c r="H49" s="40" t="n"/>
      <c r="I49" s="40" t="n"/>
      <c r="J49" s="40" t="n"/>
      <c r="K49" s="40" t="n"/>
      <c r="L49" s="40" t="n"/>
      <c r="M49" s="40" t="n"/>
      <c r="N49" s="24">
        <f>IF(COUNTA(A49:M49,O49:P49,R49:X49)=0,"",IF(OR(A49="",B49="",F49=""),"Event ID, AIR-ID or date missing",IF(COUNTIF($A$4:$A$553,A49)&gt;1,"Duplicate Event ID",IF(E49="","Event type missing",IF(OR(NOT(ISNUMBER(F49)),F49&gt;TODAY()),"Date is not a real date or is in the future",IF(AND(C49&lt;&gt;"",COUNTIF('Gate plan'!$A$4:$A$353,C49)=0),"Plan ID not found in Gate plan",IF(AND(C49&lt;&gt;"",COUNTIFS('Gate plan'!$A$4:$A$353,C49,'Gate plan'!$B$4:$B$353,B49)=0),"Plan AIR-ID differs from event",IF(D49="","Gate / forum missing",IF(AND(E49="Precautionary pause (containment)",G49&lt;&gt;"Paused — pending decision"),"Precautionary pause: Outcome must be Paused, pending decision",IF(AND(E49="Precautionary pause (containment)",V49=""),"Precautionary pause: AIG-OPS-03 incident ref missing",IF(AND(E49="Precautionary pause (containment)",NOT(ISNUMBER(W49))),"Precautionary pause: follow-up decision due date missing",IF(AND(G49="Paused — pending decision",E49&lt;&gt;"Precautionary pause (containment)"),"Paused, pending decision is only for a Precautionary pause event",IF(AND(E49="Decision",OR(G49="",H49="",I49="")),"Outcome / delegation / decision ref missing",IF(AND(E49="Decision",NOT(OR(G49="Progress",G49="Progress with condition",G49="Return for evidence",G49="Pause",G49="Stop",G49="Suspend",G49="Decommission",G49="Re-authorise",G49="Resume"))),"Decision event needs a decision outcome",IF(AND(E49="Priority override",OR(H49="",I49="")),"Decision-maker / AIG-DEC-03 ref missing",IF(AND(E49="Priority override",G49&lt;&gt;"",G49&lt;&gt;"No decision"),"Priority override: Outcome blank or No decision",IF(AND(E49&lt;&gt;"Decision",OR(G49="Progress",G49="Progress with condition",G49="Return for evidence",G49="Pause",G49="Stop",G49="Suspend",G49="Decommission",G49="Re-authorise",G49="Resume")),"Outcome implies decision",IF(OR(ISNUMBER(SEARCH(",",O49)),ISNUMBER(SEARCH(";",O49))),"One UC-ID per event row — split this event",IF(AND(E49="Decision",OR(Q49="UC-ID REQUIRED",Q49="Decision scope missing",Q49="REMOVE UC-ID OR CORRECT SCOPE")),"Decision scope missing",IF(AND(G49="Progress with condition",COUNTIF(Conditions!$B$4:$B$553,A49)=0),"Progress with condition needs at least one Conditions row",IF(AND(C49&lt;&gt;"",COUNTIFS('Gate plan'!$A$4:$A$353,C49,'Gate plan'!$C$4:$C$353,D49)=0),"Plan gate differs from event gate",IF(AND(C49&lt;&gt;"",O49&lt;&gt;"",COUNTIFS('Gate plan'!$A$4:$A$353,C49,'Gate plan'!$K$4:$K$353,"&lt;&gt;")&gt;0,COUNTIFS('Gate plan'!$A$4:$A$353,C49,'Gate plan'!$K$4:$K$353,O49)=0),"Plan UC-ID differs from event UC-ID",IF(AND(E49="Assurance opinion",J49=""),"Assurance opinion ref missing",IF(AND(G49="Opinion only",E49&lt;&gt;"Assurance opinion",E49&lt;&gt;"Review only"),"Opinion only is for Assurance opinion or Review only events",IF(AND(G49="No decision",E49&lt;&gt;"Review only",E49&lt;&gt;"Priority override",E49&lt;&gt;"Intake / registration"),"No decision is for Review only, Priority override or Intake / registration events",IF(OR(ISNUMBER(SEARCH(" ",TRIM(O49))),ISNUMBER(SEARCH("/",O49))),"One UC-ID per event row: split this event",IF(AND(E49="Precautionary pause (containment)",ISNUMBER(W49),ISNUMBER(F49),W49&lt;F49),"Follow-up decision due date is before the pause",IF(AND(G49="Resume",IFERROR(LOOKUP(2,1/(($B$3:B48=B49)*($O$3:O48=O49)),$G$3:G48),"")&lt;&gt;"Paused — pending decision"),"Resume is only for the event straight after a Precautionary pause on the same AIR-ID and UC-ID (in an earlier row)",IF(AND(E49="Decision",OR(G49="Progress",G49="Progress with condition",G49="Re-authorise",G49="Resume"),X49&lt;&gt;"Yes"),"Decision-maker has not confirmed the screening was considered (column X)","Check against source")))))))))))))))))))))))))))))</f>
        <v/>
      </c>
      <c r="O49" s="37" t="n"/>
      <c r="P49" s="37" t="n"/>
      <c r="Q49" s="14">
        <f>IF(A49="","",IF(E49&lt;&gt;"Decision","",IF(P49="UC-ID specific",IF(O49="","UC-ID REQUIRED","Check source decision for each UC-ID"),IF(P49="Shared system baseline",IF(O49&lt;&gt;"","REMOVE UC-ID OR CORRECT SCOPE","Baseline only — NOT UC approval"),"Decision scope missing"))))</f>
        <v/>
      </c>
      <c r="R49" s="43" t="n"/>
      <c r="S49" s="40" t="n"/>
      <c r="T49" s="40" t="n"/>
      <c r="U49" s="40" t="n"/>
      <c r="V49" s="40" t="n"/>
      <c r="W49" s="41" t="n"/>
      <c r="X49" s="38" t="n"/>
    </row>
    <row r="50">
      <c r="A50" s="38" t="n"/>
      <c r="B50" s="38" t="n"/>
      <c r="C50" s="38" t="n"/>
      <c r="D50" s="38" t="n"/>
      <c r="E50" s="38" t="n"/>
      <c r="F50" s="39" t="n"/>
      <c r="G50" s="38" t="n"/>
      <c r="H50" s="38" t="n"/>
      <c r="I50" s="38" t="n"/>
      <c r="J50" s="38" t="n"/>
      <c r="K50" s="38" t="n"/>
      <c r="L50" s="38" t="n"/>
      <c r="M50" s="38" t="n"/>
      <c r="N50" s="22">
        <f>IF(COUNTA(A50:M50,O50:P50,R50:X50)=0,"",IF(OR(A50="",B50="",F50=""),"Event ID, AIR-ID or date missing",IF(COUNTIF($A$4:$A$553,A50)&gt;1,"Duplicate Event ID",IF(E50="","Event type missing",IF(OR(NOT(ISNUMBER(F50)),F50&gt;TODAY()),"Date is not a real date or is in the future",IF(AND(C50&lt;&gt;"",COUNTIF('Gate plan'!$A$4:$A$353,C50)=0),"Plan ID not found in Gate plan",IF(AND(C50&lt;&gt;"",COUNTIFS('Gate plan'!$A$4:$A$353,C50,'Gate plan'!$B$4:$B$353,B50)=0),"Plan AIR-ID differs from event",IF(D50="","Gate / forum missing",IF(AND(E50="Precautionary pause (containment)",G50&lt;&gt;"Paused — pending decision"),"Precautionary pause: Outcome must be Paused, pending decision",IF(AND(E50="Precautionary pause (containment)",V50=""),"Precautionary pause: AIG-OPS-03 incident ref missing",IF(AND(E50="Precautionary pause (containment)",NOT(ISNUMBER(W50))),"Precautionary pause: follow-up decision due date missing",IF(AND(G50="Paused — pending decision",E50&lt;&gt;"Precautionary pause (containment)"),"Paused, pending decision is only for a Precautionary pause event",IF(AND(E50="Decision",OR(G50="",H50="",I50="")),"Outcome / delegation / decision ref missing",IF(AND(E50="Decision",NOT(OR(G50="Progress",G50="Progress with condition",G50="Return for evidence",G50="Pause",G50="Stop",G50="Suspend",G50="Decommission",G50="Re-authorise",G50="Resume"))),"Decision event needs a decision outcome",IF(AND(E50="Priority override",OR(H50="",I50="")),"Decision-maker / AIG-DEC-03 ref missing",IF(AND(E50="Priority override",G50&lt;&gt;"",G50&lt;&gt;"No decision"),"Priority override: Outcome blank or No decision",IF(AND(E50&lt;&gt;"Decision",OR(G50="Progress",G50="Progress with condition",G50="Return for evidence",G50="Pause",G50="Stop",G50="Suspend",G50="Decommission",G50="Re-authorise",G50="Resume")),"Outcome implies decision",IF(OR(ISNUMBER(SEARCH(",",O50)),ISNUMBER(SEARCH(";",O50))),"One UC-ID per event row — split this event",IF(AND(E50="Decision",OR(Q50="UC-ID REQUIRED",Q50="Decision scope missing",Q50="REMOVE UC-ID OR CORRECT SCOPE")),"Decision scope missing",IF(AND(G50="Progress with condition",COUNTIF(Conditions!$B$4:$B$553,A50)=0),"Progress with condition needs at least one Conditions row",IF(AND(C50&lt;&gt;"",COUNTIFS('Gate plan'!$A$4:$A$353,C50,'Gate plan'!$C$4:$C$353,D50)=0),"Plan gate differs from event gate",IF(AND(C50&lt;&gt;"",O50&lt;&gt;"",COUNTIFS('Gate plan'!$A$4:$A$353,C50,'Gate plan'!$K$4:$K$353,"&lt;&gt;")&gt;0,COUNTIFS('Gate plan'!$A$4:$A$353,C50,'Gate plan'!$K$4:$K$353,O50)=0),"Plan UC-ID differs from event UC-ID",IF(AND(E50="Assurance opinion",J50=""),"Assurance opinion ref missing",IF(AND(G50="Opinion only",E50&lt;&gt;"Assurance opinion",E50&lt;&gt;"Review only"),"Opinion only is for Assurance opinion or Review only events",IF(AND(G50="No decision",E50&lt;&gt;"Review only",E50&lt;&gt;"Priority override",E50&lt;&gt;"Intake / registration"),"No decision is for Review only, Priority override or Intake / registration events",IF(OR(ISNUMBER(SEARCH(" ",TRIM(O50))),ISNUMBER(SEARCH("/",O50))),"One UC-ID per event row: split this event",IF(AND(E50="Precautionary pause (containment)",ISNUMBER(W50),ISNUMBER(F50),W50&lt;F50),"Follow-up decision due date is before the pause",IF(AND(G50="Resume",IFERROR(LOOKUP(2,1/(($B$3:B49=B50)*($O$3:O49=O50)),$G$3:G49),"")&lt;&gt;"Paused — pending decision"),"Resume is only for the event straight after a Precautionary pause on the same AIR-ID and UC-ID (in an earlier row)",IF(AND(E50="Decision",OR(G50="Progress",G50="Progress with condition",G50="Re-authorise",G50="Resume"),X50&lt;&gt;"Yes"),"Decision-maker has not confirmed the screening was considered (column X)","Check against source")))))))))))))))))))))))))))))</f>
        <v/>
      </c>
      <c r="O50" s="37" t="n"/>
      <c r="P50" s="37" t="n"/>
      <c r="Q50" s="14">
        <f>IF(A50="","",IF(E50&lt;&gt;"Decision","",IF(P50="UC-ID specific",IF(O50="","UC-ID REQUIRED","Check source decision for each UC-ID"),IF(P50="Shared system baseline",IF(O50&lt;&gt;"","REMOVE UC-ID OR CORRECT SCOPE","Baseline only — NOT UC approval"),"Decision scope missing"))))</f>
        <v/>
      </c>
      <c r="R50" s="42" t="n"/>
      <c r="S50" s="38" t="n"/>
      <c r="T50" s="38" t="n"/>
      <c r="U50" s="38" t="n"/>
      <c r="V50" s="38" t="n"/>
      <c r="W50" s="39" t="n"/>
      <c r="X50" s="38" t="n"/>
    </row>
    <row r="51">
      <c r="A51" s="40" t="n"/>
      <c r="B51" s="40" t="n"/>
      <c r="C51" s="40" t="n"/>
      <c r="D51" s="40" t="n"/>
      <c r="E51" s="40" t="n"/>
      <c r="F51" s="41" t="n"/>
      <c r="G51" s="40" t="n"/>
      <c r="H51" s="40" t="n"/>
      <c r="I51" s="40" t="n"/>
      <c r="J51" s="40" t="n"/>
      <c r="K51" s="40" t="n"/>
      <c r="L51" s="40" t="n"/>
      <c r="M51" s="40" t="n"/>
      <c r="N51" s="24">
        <f>IF(COUNTA(A51:M51,O51:P51,R51:X51)=0,"",IF(OR(A51="",B51="",F51=""),"Event ID, AIR-ID or date missing",IF(COUNTIF($A$4:$A$553,A51)&gt;1,"Duplicate Event ID",IF(E51="","Event type missing",IF(OR(NOT(ISNUMBER(F51)),F51&gt;TODAY()),"Date is not a real date or is in the future",IF(AND(C51&lt;&gt;"",COUNTIF('Gate plan'!$A$4:$A$353,C51)=0),"Plan ID not found in Gate plan",IF(AND(C51&lt;&gt;"",COUNTIFS('Gate plan'!$A$4:$A$353,C51,'Gate plan'!$B$4:$B$353,B51)=0),"Plan AIR-ID differs from event",IF(D51="","Gate / forum missing",IF(AND(E51="Precautionary pause (containment)",G51&lt;&gt;"Paused — pending decision"),"Precautionary pause: Outcome must be Paused, pending decision",IF(AND(E51="Precautionary pause (containment)",V51=""),"Precautionary pause: AIG-OPS-03 incident ref missing",IF(AND(E51="Precautionary pause (containment)",NOT(ISNUMBER(W51))),"Precautionary pause: follow-up decision due date missing",IF(AND(G51="Paused — pending decision",E51&lt;&gt;"Precautionary pause (containment)"),"Paused, pending decision is only for a Precautionary pause event",IF(AND(E51="Decision",OR(G51="",H51="",I51="")),"Outcome / delegation / decision ref missing",IF(AND(E51="Decision",NOT(OR(G51="Progress",G51="Progress with condition",G51="Return for evidence",G51="Pause",G51="Stop",G51="Suspend",G51="Decommission",G51="Re-authorise",G51="Resume"))),"Decision event needs a decision outcome",IF(AND(E51="Priority override",OR(H51="",I51="")),"Decision-maker / AIG-DEC-03 ref missing",IF(AND(E51="Priority override",G51&lt;&gt;"",G51&lt;&gt;"No decision"),"Priority override: Outcome blank or No decision",IF(AND(E51&lt;&gt;"Decision",OR(G51="Progress",G51="Progress with condition",G51="Return for evidence",G51="Pause",G51="Stop",G51="Suspend",G51="Decommission",G51="Re-authorise",G51="Resume")),"Outcome implies decision",IF(OR(ISNUMBER(SEARCH(",",O51)),ISNUMBER(SEARCH(";",O51))),"One UC-ID per event row — split this event",IF(AND(E51="Decision",OR(Q51="UC-ID REQUIRED",Q51="Decision scope missing",Q51="REMOVE UC-ID OR CORRECT SCOPE")),"Decision scope missing",IF(AND(G51="Progress with condition",COUNTIF(Conditions!$B$4:$B$553,A51)=0),"Progress with condition needs at least one Conditions row",IF(AND(C51&lt;&gt;"",COUNTIFS('Gate plan'!$A$4:$A$353,C51,'Gate plan'!$C$4:$C$353,D51)=0),"Plan gate differs from event gate",IF(AND(C51&lt;&gt;"",O51&lt;&gt;"",COUNTIFS('Gate plan'!$A$4:$A$353,C51,'Gate plan'!$K$4:$K$353,"&lt;&gt;")&gt;0,COUNTIFS('Gate plan'!$A$4:$A$353,C51,'Gate plan'!$K$4:$K$353,O51)=0),"Plan UC-ID differs from event UC-ID",IF(AND(E51="Assurance opinion",J51=""),"Assurance opinion ref missing",IF(AND(G51="Opinion only",E51&lt;&gt;"Assurance opinion",E51&lt;&gt;"Review only"),"Opinion only is for Assurance opinion or Review only events",IF(AND(G51="No decision",E51&lt;&gt;"Review only",E51&lt;&gt;"Priority override",E51&lt;&gt;"Intake / registration"),"No decision is for Review only, Priority override or Intake / registration events",IF(OR(ISNUMBER(SEARCH(" ",TRIM(O51))),ISNUMBER(SEARCH("/",O51))),"One UC-ID per event row: split this event",IF(AND(E51="Precautionary pause (containment)",ISNUMBER(W51),ISNUMBER(F51),W51&lt;F51),"Follow-up decision due date is before the pause",IF(AND(G51="Resume",IFERROR(LOOKUP(2,1/(($B$3:B50=B51)*($O$3:O50=O51)),$G$3:G50),"")&lt;&gt;"Paused — pending decision"),"Resume is only for the event straight after a Precautionary pause on the same AIR-ID and UC-ID (in an earlier row)",IF(AND(E51="Decision",OR(G51="Progress",G51="Progress with condition",G51="Re-authorise",G51="Resume"),X51&lt;&gt;"Yes"),"Decision-maker has not confirmed the screening was considered (column X)","Check against source")))))))))))))))))))))))))))))</f>
        <v/>
      </c>
      <c r="O51" s="37" t="n"/>
      <c r="P51" s="37" t="n"/>
      <c r="Q51" s="14">
        <f>IF(A51="","",IF(E51&lt;&gt;"Decision","",IF(P51="UC-ID specific",IF(O51="","UC-ID REQUIRED","Check source decision for each UC-ID"),IF(P51="Shared system baseline",IF(O51&lt;&gt;"","REMOVE UC-ID OR CORRECT SCOPE","Baseline only — NOT UC approval"),"Decision scope missing"))))</f>
        <v/>
      </c>
      <c r="R51" s="43" t="n"/>
      <c r="S51" s="40" t="n"/>
      <c r="T51" s="40" t="n"/>
      <c r="U51" s="40" t="n"/>
      <c r="V51" s="40" t="n"/>
      <c r="W51" s="41" t="n"/>
      <c r="X51" s="38" t="n"/>
    </row>
    <row r="52">
      <c r="A52" s="38" t="n"/>
      <c r="B52" s="38" t="n"/>
      <c r="C52" s="38" t="n"/>
      <c r="D52" s="38" t="n"/>
      <c r="E52" s="38" t="n"/>
      <c r="F52" s="39" t="n"/>
      <c r="G52" s="38" t="n"/>
      <c r="H52" s="38" t="n"/>
      <c r="I52" s="38" t="n"/>
      <c r="J52" s="38" t="n"/>
      <c r="K52" s="38" t="n"/>
      <c r="L52" s="38" t="n"/>
      <c r="M52" s="38" t="n"/>
      <c r="N52" s="22">
        <f>IF(COUNTA(A52:M52,O52:P52,R52:X52)=0,"",IF(OR(A52="",B52="",F52=""),"Event ID, AIR-ID or date missing",IF(COUNTIF($A$4:$A$553,A52)&gt;1,"Duplicate Event ID",IF(E52="","Event type missing",IF(OR(NOT(ISNUMBER(F52)),F52&gt;TODAY()),"Date is not a real date or is in the future",IF(AND(C52&lt;&gt;"",COUNTIF('Gate plan'!$A$4:$A$353,C52)=0),"Plan ID not found in Gate plan",IF(AND(C52&lt;&gt;"",COUNTIFS('Gate plan'!$A$4:$A$353,C52,'Gate plan'!$B$4:$B$353,B52)=0),"Plan AIR-ID differs from event",IF(D52="","Gate / forum missing",IF(AND(E52="Precautionary pause (containment)",G52&lt;&gt;"Paused — pending decision"),"Precautionary pause: Outcome must be Paused, pending decision",IF(AND(E52="Precautionary pause (containment)",V52=""),"Precautionary pause: AIG-OPS-03 incident ref missing",IF(AND(E52="Precautionary pause (containment)",NOT(ISNUMBER(W52))),"Precautionary pause: follow-up decision due date missing",IF(AND(G52="Paused — pending decision",E52&lt;&gt;"Precautionary pause (containment)"),"Paused, pending decision is only for a Precautionary pause event",IF(AND(E52="Decision",OR(G52="",H52="",I52="")),"Outcome / delegation / decision ref missing",IF(AND(E52="Decision",NOT(OR(G52="Progress",G52="Progress with condition",G52="Return for evidence",G52="Pause",G52="Stop",G52="Suspend",G52="Decommission",G52="Re-authorise",G52="Resume"))),"Decision event needs a decision outcome",IF(AND(E52="Priority override",OR(H52="",I52="")),"Decision-maker / AIG-DEC-03 ref missing",IF(AND(E52="Priority override",G52&lt;&gt;"",G52&lt;&gt;"No decision"),"Priority override: Outcome blank or No decision",IF(AND(E52&lt;&gt;"Decision",OR(G52="Progress",G52="Progress with condition",G52="Return for evidence",G52="Pause",G52="Stop",G52="Suspend",G52="Decommission",G52="Re-authorise",G52="Resume")),"Outcome implies decision",IF(OR(ISNUMBER(SEARCH(",",O52)),ISNUMBER(SEARCH(";",O52))),"One UC-ID per event row — split this event",IF(AND(E52="Decision",OR(Q52="UC-ID REQUIRED",Q52="Decision scope missing",Q52="REMOVE UC-ID OR CORRECT SCOPE")),"Decision scope missing",IF(AND(G52="Progress with condition",COUNTIF(Conditions!$B$4:$B$553,A52)=0),"Progress with condition needs at least one Conditions row",IF(AND(C52&lt;&gt;"",COUNTIFS('Gate plan'!$A$4:$A$353,C52,'Gate plan'!$C$4:$C$353,D52)=0),"Plan gate differs from event gate",IF(AND(C52&lt;&gt;"",O52&lt;&gt;"",COUNTIFS('Gate plan'!$A$4:$A$353,C52,'Gate plan'!$K$4:$K$353,"&lt;&gt;")&gt;0,COUNTIFS('Gate plan'!$A$4:$A$353,C52,'Gate plan'!$K$4:$K$353,O52)=0),"Plan UC-ID differs from event UC-ID",IF(AND(E52="Assurance opinion",J52=""),"Assurance opinion ref missing",IF(AND(G52="Opinion only",E52&lt;&gt;"Assurance opinion",E52&lt;&gt;"Review only"),"Opinion only is for Assurance opinion or Review only events",IF(AND(G52="No decision",E52&lt;&gt;"Review only",E52&lt;&gt;"Priority override",E52&lt;&gt;"Intake / registration"),"No decision is for Review only, Priority override or Intake / registration events",IF(OR(ISNUMBER(SEARCH(" ",TRIM(O52))),ISNUMBER(SEARCH("/",O52))),"One UC-ID per event row: split this event",IF(AND(E52="Precautionary pause (containment)",ISNUMBER(W52),ISNUMBER(F52),W52&lt;F52),"Follow-up decision due date is before the pause",IF(AND(G52="Resume",IFERROR(LOOKUP(2,1/(($B$3:B51=B52)*($O$3:O51=O52)),$G$3:G51),"")&lt;&gt;"Paused — pending decision"),"Resume is only for the event straight after a Precautionary pause on the same AIR-ID and UC-ID (in an earlier row)",IF(AND(E52="Decision",OR(G52="Progress",G52="Progress with condition",G52="Re-authorise",G52="Resume"),X52&lt;&gt;"Yes"),"Decision-maker has not confirmed the screening was considered (column X)","Check against source")))))))))))))))))))))))))))))</f>
        <v/>
      </c>
      <c r="O52" s="37" t="n"/>
      <c r="P52" s="37" t="n"/>
      <c r="Q52" s="14">
        <f>IF(A52="","",IF(E52&lt;&gt;"Decision","",IF(P52="UC-ID specific",IF(O52="","UC-ID REQUIRED","Check source decision for each UC-ID"),IF(P52="Shared system baseline",IF(O52&lt;&gt;"","REMOVE UC-ID OR CORRECT SCOPE","Baseline only — NOT UC approval"),"Decision scope missing"))))</f>
        <v/>
      </c>
      <c r="R52" s="42" t="n"/>
      <c r="S52" s="38" t="n"/>
      <c r="T52" s="38" t="n"/>
      <c r="U52" s="38" t="n"/>
      <c r="V52" s="38" t="n"/>
      <c r="W52" s="39" t="n"/>
      <c r="X52" s="38" t="n"/>
    </row>
    <row r="53">
      <c r="A53" s="40" t="n"/>
      <c r="B53" s="40" t="n"/>
      <c r="C53" s="40" t="n"/>
      <c r="D53" s="40" t="n"/>
      <c r="E53" s="40" t="n"/>
      <c r="F53" s="41" t="n"/>
      <c r="G53" s="40" t="n"/>
      <c r="H53" s="40" t="n"/>
      <c r="I53" s="40" t="n"/>
      <c r="J53" s="40" t="n"/>
      <c r="K53" s="40" t="n"/>
      <c r="L53" s="40" t="n"/>
      <c r="M53" s="40" t="n"/>
      <c r="N53" s="24">
        <f>IF(COUNTA(A53:M53,O53:P53,R53:X53)=0,"",IF(OR(A53="",B53="",F53=""),"Event ID, AIR-ID or date missing",IF(COUNTIF($A$4:$A$553,A53)&gt;1,"Duplicate Event ID",IF(E53="","Event type missing",IF(OR(NOT(ISNUMBER(F53)),F53&gt;TODAY()),"Date is not a real date or is in the future",IF(AND(C53&lt;&gt;"",COUNTIF('Gate plan'!$A$4:$A$353,C53)=0),"Plan ID not found in Gate plan",IF(AND(C53&lt;&gt;"",COUNTIFS('Gate plan'!$A$4:$A$353,C53,'Gate plan'!$B$4:$B$353,B53)=0),"Plan AIR-ID differs from event",IF(D53="","Gate / forum missing",IF(AND(E53="Precautionary pause (containment)",G53&lt;&gt;"Paused — pending decision"),"Precautionary pause: Outcome must be Paused, pending decision",IF(AND(E53="Precautionary pause (containment)",V53=""),"Precautionary pause: AIG-OPS-03 incident ref missing",IF(AND(E53="Precautionary pause (containment)",NOT(ISNUMBER(W53))),"Precautionary pause: follow-up decision due date missing",IF(AND(G53="Paused — pending decision",E53&lt;&gt;"Precautionary pause (containment)"),"Paused, pending decision is only for a Precautionary pause event",IF(AND(E53="Decision",OR(G53="",H53="",I53="")),"Outcome / delegation / decision ref missing",IF(AND(E53="Decision",NOT(OR(G53="Progress",G53="Progress with condition",G53="Return for evidence",G53="Pause",G53="Stop",G53="Suspend",G53="Decommission",G53="Re-authorise",G53="Resume"))),"Decision event needs a decision outcome",IF(AND(E53="Priority override",OR(H53="",I53="")),"Decision-maker / AIG-DEC-03 ref missing",IF(AND(E53="Priority override",G53&lt;&gt;"",G53&lt;&gt;"No decision"),"Priority override: Outcome blank or No decision",IF(AND(E53&lt;&gt;"Decision",OR(G53="Progress",G53="Progress with condition",G53="Return for evidence",G53="Pause",G53="Stop",G53="Suspend",G53="Decommission",G53="Re-authorise",G53="Resume")),"Outcome implies decision",IF(OR(ISNUMBER(SEARCH(",",O53)),ISNUMBER(SEARCH(";",O53))),"One UC-ID per event row — split this event",IF(AND(E53="Decision",OR(Q53="UC-ID REQUIRED",Q53="Decision scope missing",Q53="REMOVE UC-ID OR CORRECT SCOPE")),"Decision scope missing",IF(AND(G53="Progress with condition",COUNTIF(Conditions!$B$4:$B$553,A53)=0),"Progress with condition needs at least one Conditions row",IF(AND(C53&lt;&gt;"",COUNTIFS('Gate plan'!$A$4:$A$353,C53,'Gate plan'!$C$4:$C$353,D53)=0),"Plan gate differs from event gate",IF(AND(C53&lt;&gt;"",O53&lt;&gt;"",COUNTIFS('Gate plan'!$A$4:$A$353,C53,'Gate plan'!$K$4:$K$353,"&lt;&gt;")&gt;0,COUNTIFS('Gate plan'!$A$4:$A$353,C53,'Gate plan'!$K$4:$K$353,O53)=0),"Plan UC-ID differs from event UC-ID",IF(AND(E53="Assurance opinion",J53=""),"Assurance opinion ref missing",IF(AND(G53="Opinion only",E53&lt;&gt;"Assurance opinion",E53&lt;&gt;"Review only"),"Opinion only is for Assurance opinion or Review only events",IF(AND(G53="No decision",E53&lt;&gt;"Review only",E53&lt;&gt;"Priority override",E53&lt;&gt;"Intake / registration"),"No decision is for Review only, Priority override or Intake / registration events",IF(OR(ISNUMBER(SEARCH(" ",TRIM(O53))),ISNUMBER(SEARCH("/",O53))),"One UC-ID per event row: split this event",IF(AND(E53="Precautionary pause (containment)",ISNUMBER(W53),ISNUMBER(F53),W53&lt;F53),"Follow-up decision due date is before the pause",IF(AND(G53="Resume",IFERROR(LOOKUP(2,1/(($B$3:B52=B53)*($O$3:O52=O53)),$G$3:G52),"")&lt;&gt;"Paused — pending decision"),"Resume is only for the event straight after a Precautionary pause on the same AIR-ID and UC-ID (in an earlier row)",IF(AND(E53="Decision",OR(G53="Progress",G53="Progress with condition",G53="Re-authorise",G53="Resume"),X53&lt;&gt;"Yes"),"Decision-maker has not confirmed the screening was considered (column X)","Check against source")))))))))))))))))))))))))))))</f>
        <v/>
      </c>
      <c r="O53" s="37" t="n"/>
      <c r="P53" s="37" t="n"/>
      <c r="Q53" s="14">
        <f>IF(A53="","",IF(E53&lt;&gt;"Decision","",IF(P53="UC-ID specific",IF(O53="","UC-ID REQUIRED","Check source decision for each UC-ID"),IF(P53="Shared system baseline",IF(O53&lt;&gt;"","REMOVE UC-ID OR CORRECT SCOPE","Baseline only — NOT UC approval"),"Decision scope missing"))))</f>
        <v/>
      </c>
      <c r="R53" s="43" t="n"/>
      <c r="S53" s="40" t="n"/>
      <c r="T53" s="40" t="n"/>
      <c r="U53" s="40" t="n"/>
      <c r="V53" s="40" t="n"/>
      <c r="W53" s="41" t="n"/>
      <c r="X53" s="38" t="n"/>
    </row>
    <row r="54">
      <c r="A54" s="38" t="n"/>
      <c r="B54" s="38" t="n"/>
      <c r="C54" s="38" t="n"/>
      <c r="D54" s="38" t="n"/>
      <c r="E54" s="38" t="n"/>
      <c r="F54" s="39" t="n"/>
      <c r="G54" s="38" t="n"/>
      <c r="H54" s="38" t="n"/>
      <c r="I54" s="38" t="n"/>
      <c r="J54" s="38" t="n"/>
      <c r="K54" s="38" t="n"/>
      <c r="L54" s="38" t="n"/>
      <c r="M54" s="38" t="n"/>
      <c r="N54" s="22">
        <f>IF(COUNTA(A54:M54,O54:P54,R54:X54)=0,"",IF(OR(A54="",B54="",F54=""),"Event ID, AIR-ID or date missing",IF(COUNTIF($A$4:$A$553,A54)&gt;1,"Duplicate Event ID",IF(E54="","Event type missing",IF(OR(NOT(ISNUMBER(F54)),F54&gt;TODAY()),"Date is not a real date or is in the future",IF(AND(C54&lt;&gt;"",COUNTIF('Gate plan'!$A$4:$A$353,C54)=0),"Plan ID not found in Gate plan",IF(AND(C54&lt;&gt;"",COUNTIFS('Gate plan'!$A$4:$A$353,C54,'Gate plan'!$B$4:$B$353,B54)=0),"Plan AIR-ID differs from event",IF(D54="","Gate / forum missing",IF(AND(E54="Precautionary pause (containment)",G54&lt;&gt;"Paused — pending decision"),"Precautionary pause: Outcome must be Paused, pending decision",IF(AND(E54="Precautionary pause (containment)",V54=""),"Precautionary pause: AIG-OPS-03 incident ref missing",IF(AND(E54="Precautionary pause (containment)",NOT(ISNUMBER(W54))),"Precautionary pause: follow-up decision due date missing",IF(AND(G54="Paused — pending decision",E54&lt;&gt;"Precautionary pause (containment)"),"Paused, pending decision is only for a Precautionary pause event",IF(AND(E54="Decision",OR(G54="",H54="",I54="")),"Outcome / delegation / decision ref missing",IF(AND(E54="Decision",NOT(OR(G54="Progress",G54="Progress with condition",G54="Return for evidence",G54="Pause",G54="Stop",G54="Suspend",G54="Decommission",G54="Re-authorise",G54="Resume"))),"Decision event needs a decision outcome",IF(AND(E54="Priority override",OR(H54="",I54="")),"Decision-maker / AIG-DEC-03 ref missing",IF(AND(E54="Priority override",G54&lt;&gt;"",G54&lt;&gt;"No decision"),"Priority override: Outcome blank or No decision",IF(AND(E54&lt;&gt;"Decision",OR(G54="Progress",G54="Progress with condition",G54="Return for evidence",G54="Pause",G54="Stop",G54="Suspend",G54="Decommission",G54="Re-authorise",G54="Resume")),"Outcome implies decision",IF(OR(ISNUMBER(SEARCH(",",O54)),ISNUMBER(SEARCH(";",O54))),"One UC-ID per event row — split this event",IF(AND(E54="Decision",OR(Q54="UC-ID REQUIRED",Q54="Decision scope missing",Q54="REMOVE UC-ID OR CORRECT SCOPE")),"Decision scope missing",IF(AND(G54="Progress with condition",COUNTIF(Conditions!$B$4:$B$553,A54)=0),"Progress with condition needs at least one Conditions row",IF(AND(C54&lt;&gt;"",COUNTIFS('Gate plan'!$A$4:$A$353,C54,'Gate plan'!$C$4:$C$353,D54)=0),"Plan gate differs from event gate",IF(AND(C54&lt;&gt;"",O54&lt;&gt;"",COUNTIFS('Gate plan'!$A$4:$A$353,C54,'Gate plan'!$K$4:$K$353,"&lt;&gt;")&gt;0,COUNTIFS('Gate plan'!$A$4:$A$353,C54,'Gate plan'!$K$4:$K$353,O54)=0),"Plan UC-ID differs from event UC-ID",IF(AND(E54="Assurance opinion",J54=""),"Assurance opinion ref missing",IF(AND(G54="Opinion only",E54&lt;&gt;"Assurance opinion",E54&lt;&gt;"Review only"),"Opinion only is for Assurance opinion or Review only events",IF(AND(G54="No decision",E54&lt;&gt;"Review only",E54&lt;&gt;"Priority override",E54&lt;&gt;"Intake / registration"),"No decision is for Review only, Priority override or Intake / registration events",IF(OR(ISNUMBER(SEARCH(" ",TRIM(O54))),ISNUMBER(SEARCH("/",O54))),"One UC-ID per event row: split this event",IF(AND(E54="Precautionary pause (containment)",ISNUMBER(W54),ISNUMBER(F54),W54&lt;F54),"Follow-up decision due date is before the pause",IF(AND(G54="Resume",IFERROR(LOOKUP(2,1/(($B$3:B53=B54)*($O$3:O53=O54)),$G$3:G53),"")&lt;&gt;"Paused — pending decision"),"Resume is only for the event straight after a Precautionary pause on the same AIR-ID and UC-ID (in an earlier row)",IF(AND(E54="Decision",OR(G54="Progress",G54="Progress with condition",G54="Re-authorise",G54="Resume"),X54&lt;&gt;"Yes"),"Decision-maker has not confirmed the screening was considered (column X)","Check against source")))))))))))))))))))))))))))))</f>
        <v/>
      </c>
      <c r="O54" s="37" t="n"/>
      <c r="P54" s="37" t="n"/>
      <c r="Q54" s="14">
        <f>IF(A54="","",IF(E54&lt;&gt;"Decision","",IF(P54="UC-ID specific",IF(O54="","UC-ID REQUIRED","Check source decision for each UC-ID"),IF(P54="Shared system baseline",IF(O54&lt;&gt;"","REMOVE UC-ID OR CORRECT SCOPE","Baseline only — NOT UC approval"),"Decision scope missing"))))</f>
        <v/>
      </c>
      <c r="R54" s="42" t="n"/>
      <c r="S54" s="38" t="n"/>
      <c r="T54" s="38" t="n"/>
      <c r="U54" s="38" t="n"/>
      <c r="V54" s="38" t="n"/>
      <c r="W54" s="39" t="n"/>
      <c r="X54" s="38" t="n"/>
    </row>
    <row r="55">
      <c r="A55" s="40" t="n"/>
      <c r="B55" s="40" t="n"/>
      <c r="C55" s="40" t="n"/>
      <c r="D55" s="40" t="n"/>
      <c r="E55" s="40" t="n"/>
      <c r="F55" s="41" t="n"/>
      <c r="G55" s="40" t="n"/>
      <c r="H55" s="40" t="n"/>
      <c r="I55" s="40" t="n"/>
      <c r="J55" s="40" t="n"/>
      <c r="K55" s="40" t="n"/>
      <c r="L55" s="40" t="n"/>
      <c r="M55" s="40" t="n"/>
      <c r="N55" s="24">
        <f>IF(COUNTA(A55:M55,O55:P55,R55:X55)=0,"",IF(OR(A55="",B55="",F55=""),"Event ID, AIR-ID or date missing",IF(COUNTIF($A$4:$A$553,A55)&gt;1,"Duplicate Event ID",IF(E55="","Event type missing",IF(OR(NOT(ISNUMBER(F55)),F55&gt;TODAY()),"Date is not a real date or is in the future",IF(AND(C55&lt;&gt;"",COUNTIF('Gate plan'!$A$4:$A$353,C55)=0),"Plan ID not found in Gate plan",IF(AND(C55&lt;&gt;"",COUNTIFS('Gate plan'!$A$4:$A$353,C55,'Gate plan'!$B$4:$B$353,B55)=0),"Plan AIR-ID differs from event",IF(D55="","Gate / forum missing",IF(AND(E55="Precautionary pause (containment)",G55&lt;&gt;"Paused — pending decision"),"Precautionary pause: Outcome must be Paused, pending decision",IF(AND(E55="Precautionary pause (containment)",V55=""),"Precautionary pause: AIG-OPS-03 incident ref missing",IF(AND(E55="Precautionary pause (containment)",NOT(ISNUMBER(W55))),"Precautionary pause: follow-up decision due date missing",IF(AND(G55="Paused — pending decision",E55&lt;&gt;"Precautionary pause (containment)"),"Paused, pending decision is only for a Precautionary pause event",IF(AND(E55="Decision",OR(G55="",H55="",I55="")),"Outcome / delegation / decision ref missing",IF(AND(E55="Decision",NOT(OR(G55="Progress",G55="Progress with condition",G55="Return for evidence",G55="Pause",G55="Stop",G55="Suspend",G55="Decommission",G55="Re-authorise",G55="Resume"))),"Decision event needs a decision outcome",IF(AND(E55="Priority override",OR(H55="",I55="")),"Decision-maker / AIG-DEC-03 ref missing",IF(AND(E55="Priority override",G55&lt;&gt;"",G55&lt;&gt;"No decision"),"Priority override: Outcome blank or No decision",IF(AND(E55&lt;&gt;"Decision",OR(G55="Progress",G55="Progress with condition",G55="Return for evidence",G55="Pause",G55="Stop",G55="Suspend",G55="Decommission",G55="Re-authorise",G55="Resume")),"Outcome implies decision",IF(OR(ISNUMBER(SEARCH(",",O55)),ISNUMBER(SEARCH(";",O55))),"One UC-ID per event row — split this event",IF(AND(E55="Decision",OR(Q55="UC-ID REQUIRED",Q55="Decision scope missing",Q55="REMOVE UC-ID OR CORRECT SCOPE")),"Decision scope missing",IF(AND(G55="Progress with condition",COUNTIF(Conditions!$B$4:$B$553,A55)=0),"Progress with condition needs at least one Conditions row",IF(AND(C55&lt;&gt;"",COUNTIFS('Gate plan'!$A$4:$A$353,C55,'Gate plan'!$C$4:$C$353,D55)=0),"Plan gate differs from event gate",IF(AND(C55&lt;&gt;"",O55&lt;&gt;"",COUNTIFS('Gate plan'!$A$4:$A$353,C55,'Gate plan'!$K$4:$K$353,"&lt;&gt;")&gt;0,COUNTIFS('Gate plan'!$A$4:$A$353,C55,'Gate plan'!$K$4:$K$353,O55)=0),"Plan UC-ID differs from event UC-ID",IF(AND(E55="Assurance opinion",J55=""),"Assurance opinion ref missing",IF(AND(G55="Opinion only",E55&lt;&gt;"Assurance opinion",E55&lt;&gt;"Review only"),"Opinion only is for Assurance opinion or Review only events",IF(AND(G55="No decision",E55&lt;&gt;"Review only",E55&lt;&gt;"Priority override",E55&lt;&gt;"Intake / registration"),"No decision is for Review only, Priority override or Intake / registration events",IF(OR(ISNUMBER(SEARCH(" ",TRIM(O55))),ISNUMBER(SEARCH("/",O55))),"One UC-ID per event row: split this event",IF(AND(E55="Precautionary pause (containment)",ISNUMBER(W55),ISNUMBER(F55),W55&lt;F55),"Follow-up decision due date is before the pause",IF(AND(G55="Resume",IFERROR(LOOKUP(2,1/(($B$3:B54=B55)*($O$3:O54=O55)),$G$3:G54),"")&lt;&gt;"Paused — pending decision"),"Resume is only for the event straight after a Precautionary pause on the same AIR-ID and UC-ID (in an earlier row)",IF(AND(E55="Decision",OR(G55="Progress",G55="Progress with condition",G55="Re-authorise",G55="Resume"),X55&lt;&gt;"Yes"),"Decision-maker has not confirmed the screening was considered (column X)","Check against source")))))))))))))))))))))))))))))</f>
        <v/>
      </c>
      <c r="O55" s="37" t="n"/>
      <c r="P55" s="37" t="n"/>
      <c r="Q55" s="14">
        <f>IF(A55="","",IF(E55&lt;&gt;"Decision","",IF(P55="UC-ID specific",IF(O55="","UC-ID REQUIRED","Check source decision for each UC-ID"),IF(P55="Shared system baseline",IF(O55&lt;&gt;"","REMOVE UC-ID OR CORRECT SCOPE","Baseline only — NOT UC approval"),"Decision scope missing"))))</f>
        <v/>
      </c>
      <c r="R55" s="43" t="n"/>
      <c r="S55" s="40" t="n"/>
      <c r="T55" s="40" t="n"/>
      <c r="U55" s="40" t="n"/>
      <c r="V55" s="40" t="n"/>
      <c r="W55" s="41" t="n"/>
      <c r="X55" s="38" t="n"/>
    </row>
    <row r="56">
      <c r="A56" s="38" t="n"/>
      <c r="B56" s="38" t="n"/>
      <c r="C56" s="38" t="n"/>
      <c r="D56" s="38" t="n"/>
      <c r="E56" s="38" t="n"/>
      <c r="F56" s="39" t="n"/>
      <c r="G56" s="38" t="n"/>
      <c r="H56" s="38" t="n"/>
      <c r="I56" s="38" t="n"/>
      <c r="J56" s="38" t="n"/>
      <c r="K56" s="38" t="n"/>
      <c r="L56" s="38" t="n"/>
      <c r="M56" s="38" t="n"/>
      <c r="N56" s="22">
        <f>IF(COUNTA(A56:M56,O56:P56,R56:X56)=0,"",IF(OR(A56="",B56="",F56=""),"Event ID, AIR-ID or date missing",IF(COUNTIF($A$4:$A$553,A56)&gt;1,"Duplicate Event ID",IF(E56="","Event type missing",IF(OR(NOT(ISNUMBER(F56)),F56&gt;TODAY()),"Date is not a real date or is in the future",IF(AND(C56&lt;&gt;"",COUNTIF('Gate plan'!$A$4:$A$353,C56)=0),"Plan ID not found in Gate plan",IF(AND(C56&lt;&gt;"",COUNTIFS('Gate plan'!$A$4:$A$353,C56,'Gate plan'!$B$4:$B$353,B56)=0),"Plan AIR-ID differs from event",IF(D56="","Gate / forum missing",IF(AND(E56="Precautionary pause (containment)",G56&lt;&gt;"Paused — pending decision"),"Precautionary pause: Outcome must be Paused, pending decision",IF(AND(E56="Precautionary pause (containment)",V56=""),"Precautionary pause: AIG-OPS-03 incident ref missing",IF(AND(E56="Precautionary pause (containment)",NOT(ISNUMBER(W56))),"Precautionary pause: follow-up decision due date missing",IF(AND(G56="Paused — pending decision",E56&lt;&gt;"Precautionary pause (containment)"),"Paused, pending decision is only for a Precautionary pause event",IF(AND(E56="Decision",OR(G56="",H56="",I56="")),"Outcome / delegation / decision ref missing",IF(AND(E56="Decision",NOT(OR(G56="Progress",G56="Progress with condition",G56="Return for evidence",G56="Pause",G56="Stop",G56="Suspend",G56="Decommission",G56="Re-authorise",G56="Resume"))),"Decision event needs a decision outcome",IF(AND(E56="Priority override",OR(H56="",I56="")),"Decision-maker / AIG-DEC-03 ref missing",IF(AND(E56="Priority override",G56&lt;&gt;"",G56&lt;&gt;"No decision"),"Priority override: Outcome blank or No decision",IF(AND(E56&lt;&gt;"Decision",OR(G56="Progress",G56="Progress with condition",G56="Return for evidence",G56="Pause",G56="Stop",G56="Suspend",G56="Decommission",G56="Re-authorise",G56="Resume")),"Outcome implies decision",IF(OR(ISNUMBER(SEARCH(",",O56)),ISNUMBER(SEARCH(";",O56))),"One UC-ID per event row — split this event",IF(AND(E56="Decision",OR(Q56="UC-ID REQUIRED",Q56="Decision scope missing",Q56="REMOVE UC-ID OR CORRECT SCOPE")),"Decision scope missing",IF(AND(G56="Progress with condition",COUNTIF(Conditions!$B$4:$B$553,A56)=0),"Progress with condition needs at least one Conditions row",IF(AND(C56&lt;&gt;"",COUNTIFS('Gate plan'!$A$4:$A$353,C56,'Gate plan'!$C$4:$C$353,D56)=0),"Plan gate differs from event gate",IF(AND(C56&lt;&gt;"",O56&lt;&gt;"",COUNTIFS('Gate plan'!$A$4:$A$353,C56,'Gate plan'!$K$4:$K$353,"&lt;&gt;")&gt;0,COUNTIFS('Gate plan'!$A$4:$A$353,C56,'Gate plan'!$K$4:$K$353,O56)=0),"Plan UC-ID differs from event UC-ID",IF(AND(E56="Assurance opinion",J56=""),"Assurance opinion ref missing",IF(AND(G56="Opinion only",E56&lt;&gt;"Assurance opinion",E56&lt;&gt;"Review only"),"Opinion only is for Assurance opinion or Review only events",IF(AND(G56="No decision",E56&lt;&gt;"Review only",E56&lt;&gt;"Priority override",E56&lt;&gt;"Intake / registration"),"No decision is for Review only, Priority override or Intake / registration events",IF(OR(ISNUMBER(SEARCH(" ",TRIM(O56))),ISNUMBER(SEARCH("/",O56))),"One UC-ID per event row: split this event",IF(AND(E56="Precautionary pause (containment)",ISNUMBER(W56),ISNUMBER(F56),W56&lt;F56),"Follow-up decision due date is before the pause",IF(AND(G56="Resume",IFERROR(LOOKUP(2,1/(($B$3:B55=B56)*($O$3:O55=O56)),$G$3:G55),"")&lt;&gt;"Paused — pending decision"),"Resume is only for the event straight after a Precautionary pause on the same AIR-ID and UC-ID (in an earlier row)",IF(AND(E56="Decision",OR(G56="Progress",G56="Progress with condition",G56="Re-authorise",G56="Resume"),X56&lt;&gt;"Yes"),"Decision-maker has not confirmed the screening was considered (column X)","Check against source")))))))))))))))))))))))))))))</f>
        <v/>
      </c>
      <c r="O56" s="37" t="n"/>
      <c r="P56" s="37" t="n"/>
      <c r="Q56" s="14">
        <f>IF(A56="","",IF(E56&lt;&gt;"Decision","",IF(P56="UC-ID specific",IF(O56="","UC-ID REQUIRED","Check source decision for each UC-ID"),IF(P56="Shared system baseline",IF(O56&lt;&gt;"","REMOVE UC-ID OR CORRECT SCOPE","Baseline only — NOT UC approval"),"Decision scope missing"))))</f>
        <v/>
      </c>
      <c r="R56" s="42" t="n"/>
      <c r="S56" s="38" t="n"/>
      <c r="T56" s="38" t="n"/>
      <c r="U56" s="38" t="n"/>
      <c r="V56" s="38" t="n"/>
      <c r="W56" s="39" t="n"/>
      <c r="X56" s="38" t="n"/>
    </row>
    <row r="57">
      <c r="A57" s="40" t="n"/>
      <c r="B57" s="40" t="n"/>
      <c r="C57" s="40" t="n"/>
      <c r="D57" s="40" t="n"/>
      <c r="E57" s="40" t="n"/>
      <c r="F57" s="41" t="n"/>
      <c r="G57" s="40" t="n"/>
      <c r="H57" s="40" t="n"/>
      <c r="I57" s="40" t="n"/>
      <c r="J57" s="40" t="n"/>
      <c r="K57" s="40" t="n"/>
      <c r="L57" s="40" t="n"/>
      <c r="M57" s="40" t="n"/>
      <c r="N57" s="24">
        <f>IF(COUNTA(A57:M57,O57:P57,R57:X57)=0,"",IF(OR(A57="",B57="",F57=""),"Event ID, AIR-ID or date missing",IF(COUNTIF($A$4:$A$553,A57)&gt;1,"Duplicate Event ID",IF(E57="","Event type missing",IF(OR(NOT(ISNUMBER(F57)),F57&gt;TODAY()),"Date is not a real date or is in the future",IF(AND(C57&lt;&gt;"",COUNTIF('Gate plan'!$A$4:$A$353,C57)=0),"Plan ID not found in Gate plan",IF(AND(C57&lt;&gt;"",COUNTIFS('Gate plan'!$A$4:$A$353,C57,'Gate plan'!$B$4:$B$353,B57)=0),"Plan AIR-ID differs from event",IF(D57="","Gate / forum missing",IF(AND(E57="Precautionary pause (containment)",G57&lt;&gt;"Paused — pending decision"),"Precautionary pause: Outcome must be Paused, pending decision",IF(AND(E57="Precautionary pause (containment)",V57=""),"Precautionary pause: AIG-OPS-03 incident ref missing",IF(AND(E57="Precautionary pause (containment)",NOT(ISNUMBER(W57))),"Precautionary pause: follow-up decision due date missing",IF(AND(G57="Paused — pending decision",E57&lt;&gt;"Precautionary pause (containment)"),"Paused, pending decision is only for a Precautionary pause event",IF(AND(E57="Decision",OR(G57="",H57="",I57="")),"Outcome / delegation / decision ref missing",IF(AND(E57="Decision",NOT(OR(G57="Progress",G57="Progress with condition",G57="Return for evidence",G57="Pause",G57="Stop",G57="Suspend",G57="Decommission",G57="Re-authorise",G57="Resume"))),"Decision event needs a decision outcome",IF(AND(E57="Priority override",OR(H57="",I57="")),"Decision-maker / AIG-DEC-03 ref missing",IF(AND(E57="Priority override",G57&lt;&gt;"",G57&lt;&gt;"No decision"),"Priority override: Outcome blank or No decision",IF(AND(E57&lt;&gt;"Decision",OR(G57="Progress",G57="Progress with condition",G57="Return for evidence",G57="Pause",G57="Stop",G57="Suspend",G57="Decommission",G57="Re-authorise",G57="Resume")),"Outcome implies decision",IF(OR(ISNUMBER(SEARCH(",",O57)),ISNUMBER(SEARCH(";",O57))),"One UC-ID per event row — split this event",IF(AND(E57="Decision",OR(Q57="UC-ID REQUIRED",Q57="Decision scope missing",Q57="REMOVE UC-ID OR CORRECT SCOPE")),"Decision scope missing",IF(AND(G57="Progress with condition",COUNTIF(Conditions!$B$4:$B$553,A57)=0),"Progress with condition needs at least one Conditions row",IF(AND(C57&lt;&gt;"",COUNTIFS('Gate plan'!$A$4:$A$353,C57,'Gate plan'!$C$4:$C$353,D57)=0),"Plan gate differs from event gate",IF(AND(C57&lt;&gt;"",O57&lt;&gt;"",COUNTIFS('Gate plan'!$A$4:$A$353,C57,'Gate plan'!$K$4:$K$353,"&lt;&gt;")&gt;0,COUNTIFS('Gate plan'!$A$4:$A$353,C57,'Gate plan'!$K$4:$K$353,O57)=0),"Plan UC-ID differs from event UC-ID",IF(AND(E57="Assurance opinion",J57=""),"Assurance opinion ref missing",IF(AND(G57="Opinion only",E57&lt;&gt;"Assurance opinion",E57&lt;&gt;"Review only"),"Opinion only is for Assurance opinion or Review only events",IF(AND(G57="No decision",E57&lt;&gt;"Review only",E57&lt;&gt;"Priority override",E57&lt;&gt;"Intake / registration"),"No decision is for Review only, Priority override or Intake / registration events",IF(OR(ISNUMBER(SEARCH(" ",TRIM(O57))),ISNUMBER(SEARCH("/",O57))),"One UC-ID per event row: split this event",IF(AND(E57="Precautionary pause (containment)",ISNUMBER(W57),ISNUMBER(F57),W57&lt;F57),"Follow-up decision due date is before the pause",IF(AND(G57="Resume",IFERROR(LOOKUP(2,1/(($B$3:B56=B57)*($O$3:O56=O57)),$G$3:G56),"")&lt;&gt;"Paused — pending decision"),"Resume is only for the event straight after a Precautionary pause on the same AIR-ID and UC-ID (in an earlier row)",IF(AND(E57="Decision",OR(G57="Progress",G57="Progress with condition",G57="Re-authorise",G57="Resume"),X57&lt;&gt;"Yes"),"Decision-maker has not confirmed the screening was considered (column X)","Check against source")))))))))))))))))))))))))))))</f>
        <v/>
      </c>
      <c r="O57" s="37" t="n"/>
      <c r="P57" s="37" t="n"/>
      <c r="Q57" s="14">
        <f>IF(A57="","",IF(E57&lt;&gt;"Decision","",IF(P57="UC-ID specific",IF(O57="","UC-ID REQUIRED","Check source decision for each UC-ID"),IF(P57="Shared system baseline",IF(O57&lt;&gt;"","REMOVE UC-ID OR CORRECT SCOPE","Baseline only — NOT UC approval"),"Decision scope missing"))))</f>
        <v/>
      </c>
      <c r="R57" s="43" t="n"/>
      <c r="S57" s="40" t="n"/>
      <c r="T57" s="40" t="n"/>
      <c r="U57" s="40" t="n"/>
      <c r="V57" s="40" t="n"/>
      <c r="W57" s="41" t="n"/>
      <c r="X57" s="38" t="n"/>
    </row>
    <row r="58">
      <c r="A58" s="38" t="n"/>
      <c r="B58" s="38" t="n"/>
      <c r="C58" s="38" t="n"/>
      <c r="D58" s="38" t="n"/>
      <c r="E58" s="38" t="n"/>
      <c r="F58" s="39" t="n"/>
      <c r="G58" s="38" t="n"/>
      <c r="H58" s="38" t="n"/>
      <c r="I58" s="38" t="n"/>
      <c r="J58" s="38" t="n"/>
      <c r="K58" s="38" t="n"/>
      <c r="L58" s="38" t="n"/>
      <c r="M58" s="38" t="n"/>
      <c r="N58" s="22">
        <f>IF(COUNTA(A58:M58,O58:P58,R58:X58)=0,"",IF(OR(A58="",B58="",F58=""),"Event ID, AIR-ID or date missing",IF(COUNTIF($A$4:$A$553,A58)&gt;1,"Duplicate Event ID",IF(E58="","Event type missing",IF(OR(NOT(ISNUMBER(F58)),F58&gt;TODAY()),"Date is not a real date or is in the future",IF(AND(C58&lt;&gt;"",COUNTIF('Gate plan'!$A$4:$A$353,C58)=0),"Plan ID not found in Gate plan",IF(AND(C58&lt;&gt;"",COUNTIFS('Gate plan'!$A$4:$A$353,C58,'Gate plan'!$B$4:$B$353,B58)=0),"Plan AIR-ID differs from event",IF(D58="","Gate / forum missing",IF(AND(E58="Precautionary pause (containment)",G58&lt;&gt;"Paused — pending decision"),"Precautionary pause: Outcome must be Paused, pending decision",IF(AND(E58="Precautionary pause (containment)",V58=""),"Precautionary pause: AIG-OPS-03 incident ref missing",IF(AND(E58="Precautionary pause (containment)",NOT(ISNUMBER(W58))),"Precautionary pause: follow-up decision due date missing",IF(AND(G58="Paused — pending decision",E58&lt;&gt;"Precautionary pause (containment)"),"Paused, pending decision is only for a Precautionary pause event",IF(AND(E58="Decision",OR(G58="",H58="",I58="")),"Outcome / delegation / decision ref missing",IF(AND(E58="Decision",NOT(OR(G58="Progress",G58="Progress with condition",G58="Return for evidence",G58="Pause",G58="Stop",G58="Suspend",G58="Decommission",G58="Re-authorise",G58="Resume"))),"Decision event needs a decision outcome",IF(AND(E58="Priority override",OR(H58="",I58="")),"Decision-maker / AIG-DEC-03 ref missing",IF(AND(E58="Priority override",G58&lt;&gt;"",G58&lt;&gt;"No decision"),"Priority override: Outcome blank or No decision",IF(AND(E58&lt;&gt;"Decision",OR(G58="Progress",G58="Progress with condition",G58="Return for evidence",G58="Pause",G58="Stop",G58="Suspend",G58="Decommission",G58="Re-authorise",G58="Resume")),"Outcome implies decision",IF(OR(ISNUMBER(SEARCH(",",O58)),ISNUMBER(SEARCH(";",O58))),"One UC-ID per event row — split this event",IF(AND(E58="Decision",OR(Q58="UC-ID REQUIRED",Q58="Decision scope missing",Q58="REMOVE UC-ID OR CORRECT SCOPE")),"Decision scope missing",IF(AND(G58="Progress with condition",COUNTIF(Conditions!$B$4:$B$553,A58)=0),"Progress with condition needs at least one Conditions row",IF(AND(C58&lt;&gt;"",COUNTIFS('Gate plan'!$A$4:$A$353,C58,'Gate plan'!$C$4:$C$353,D58)=0),"Plan gate differs from event gate",IF(AND(C58&lt;&gt;"",O58&lt;&gt;"",COUNTIFS('Gate plan'!$A$4:$A$353,C58,'Gate plan'!$K$4:$K$353,"&lt;&gt;")&gt;0,COUNTIFS('Gate plan'!$A$4:$A$353,C58,'Gate plan'!$K$4:$K$353,O58)=0),"Plan UC-ID differs from event UC-ID",IF(AND(E58="Assurance opinion",J58=""),"Assurance opinion ref missing",IF(AND(G58="Opinion only",E58&lt;&gt;"Assurance opinion",E58&lt;&gt;"Review only"),"Opinion only is for Assurance opinion or Review only events",IF(AND(G58="No decision",E58&lt;&gt;"Review only",E58&lt;&gt;"Priority override",E58&lt;&gt;"Intake / registration"),"No decision is for Review only, Priority override or Intake / registration events",IF(OR(ISNUMBER(SEARCH(" ",TRIM(O58))),ISNUMBER(SEARCH("/",O58))),"One UC-ID per event row: split this event",IF(AND(E58="Precautionary pause (containment)",ISNUMBER(W58),ISNUMBER(F58),W58&lt;F58),"Follow-up decision due date is before the pause",IF(AND(G58="Resume",IFERROR(LOOKUP(2,1/(($B$3:B57=B58)*($O$3:O57=O58)),$G$3:G57),"")&lt;&gt;"Paused — pending decision"),"Resume is only for the event straight after a Precautionary pause on the same AIR-ID and UC-ID (in an earlier row)",IF(AND(E58="Decision",OR(G58="Progress",G58="Progress with condition",G58="Re-authorise",G58="Resume"),X58&lt;&gt;"Yes"),"Decision-maker has not confirmed the screening was considered (column X)","Check against source")))))))))))))))))))))))))))))</f>
        <v/>
      </c>
      <c r="O58" s="37" t="n"/>
      <c r="P58" s="37" t="n"/>
      <c r="Q58" s="14">
        <f>IF(A58="","",IF(E58&lt;&gt;"Decision","",IF(P58="UC-ID specific",IF(O58="","UC-ID REQUIRED","Check source decision for each UC-ID"),IF(P58="Shared system baseline",IF(O58&lt;&gt;"","REMOVE UC-ID OR CORRECT SCOPE","Baseline only — NOT UC approval"),"Decision scope missing"))))</f>
        <v/>
      </c>
      <c r="R58" s="42" t="n"/>
      <c r="S58" s="38" t="n"/>
      <c r="T58" s="38" t="n"/>
      <c r="U58" s="38" t="n"/>
      <c r="V58" s="38" t="n"/>
      <c r="W58" s="39" t="n"/>
      <c r="X58" s="38" t="n"/>
    </row>
    <row r="59">
      <c r="A59" s="40" t="n"/>
      <c r="B59" s="40" t="n"/>
      <c r="C59" s="40" t="n"/>
      <c r="D59" s="40" t="n"/>
      <c r="E59" s="40" t="n"/>
      <c r="F59" s="41" t="n"/>
      <c r="G59" s="40" t="n"/>
      <c r="H59" s="40" t="n"/>
      <c r="I59" s="40" t="n"/>
      <c r="J59" s="40" t="n"/>
      <c r="K59" s="40" t="n"/>
      <c r="L59" s="40" t="n"/>
      <c r="M59" s="40" t="n"/>
      <c r="N59" s="24">
        <f>IF(COUNTA(A59:M59,O59:P59,R59:X59)=0,"",IF(OR(A59="",B59="",F59=""),"Event ID, AIR-ID or date missing",IF(COUNTIF($A$4:$A$553,A59)&gt;1,"Duplicate Event ID",IF(E59="","Event type missing",IF(OR(NOT(ISNUMBER(F59)),F59&gt;TODAY()),"Date is not a real date or is in the future",IF(AND(C59&lt;&gt;"",COUNTIF('Gate plan'!$A$4:$A$353,C59)=0),"Plan ID not found in Gate plan",IF(AND(C59&lt;&gt;"",COUNTIFS('Gate plan'!$A$4:$A$353,C59,'Gate plan'!$B$4:$B$353,B59)=0),"Plan AIR-ID differs from event",IF(D59="","Gate / forum missing",IF(AND(E59="Precautionary pause (containment)",G59&lt;&gt;"Paused — pending decision"),"Precautionary pause: Outcome must be Paused, pending decision",IF(AND(E59="Precautionary pause (containment)",V59=""),"Precautionary pause: AIG-OPS-03 incident ref missing",IF(AND(E59="Precautionary pause (containment)",NOT(ISNUMBER(W59))),"Precautionary pause: follow-up decision due date missing",IF(AND(G59="Paused — pending decision",E59&lt;&gt;"Precautionary pause (containment)"),"Paused, pending decision is only for a Precautionary pause event",IF(AND(E59="Decision",OR(G59="",H59="",I59="")),"Outcome / delegation / decision ref missing",IF(AND(E59="Decision",NOT(OR(G59="Progress",G59="Progress with condition",G59="Return for evidence",G59="Pause",G59="Stop",G59="Suspend",G59="Decommission",G59="Re-authorise",G59="Resume"))),"Decision event needs a decision outcome",IF(AND(E59="Priority override",OR(H59="",I59="")),"Decision-maker / AIG-DEC-03 ref missing",IF(AND(E59="Priority override",G59&lt;&gt;"",G59&lt;&gt;"No decision"),"Priority override: Outcome blank or No decision",IF(AND(E59&lt;&gt;"Decision",OR(G59="Progress",G59="Progress with condition",G59="Return for evidence",G59="Pause",G59="Stop",G59="Suspend",G59="Decommission",G59="Re-authorise",G59="Resume")),"Outcome implies decision",IF(OR(ISNUMBER(SEARCH(",",O59)),ISNUMBER(SEARCH(";",O59))),"One UC-ID per event row — split this event",IF(AND(E59="Decision",OR(Q59="UC-ID REQUIRED",Q59="Decision scope missing",Q59="REMOVE UC-ID OR CORRECT SCOPE")),"Decision scope missing",IF(AND(G59="Progress with condition",COUNTIF(Conditions!$B$4:$B$553,A59)=0),"Progress with condition needs at least one Conditions row",IF(AND(C59&lt;&gt;"",COUNTIFS('Gate plan'!$A$4:$A$353,C59,'Gate plan'!$C$4:$C$353,D59)=0),"Plan gate differs from event gate",IF(AND(C59&lt;&gt;"",O59&lt;&gt;"",COUNTIFS('Gate plan'!$A$4:$A$353,C59,'Gate plan'!$K$4:$K$353,"&lt;&gt;")&gt;0,COUNTIFS('Gate plan'!$A$4:$A$353,C59,'Gate plan'!$K$4:$K$353,O59)=0),"Plan UC-ID differs from event UC-ID",IF(AND(E59="Assurance opinion",J59=""),"Assurance opinion ref missing",IF(AND(G59="Opinion only",E59&lt;&gt;"Assurance opinion",E59&lt;&gt;"Review only"),"Opinion only is for Assurance opinion or Review only events",IF(AND(G59="No decision",E59&lt;&gt;"Review only",E59&lt;&gt;"Priority override",E59&lt;&gt;"Intake / registration"),"No decision is for Review only, Priority override or Intake / registration events",IF(OR(ISNUMBER(SEARCH(" ",TRIM(O59))),ISNUMBER(SEARCH("/",O59))),"One UC-ID per event row: split this event",IF(AND(E59="Precautionary pause (containment)",ISNUMBER(W59),ISNUMBER(F59),W59&lt;F59),"Follow-up decision due date is before the pause",IF(AND(G59="Resume",IFERROR(LOOKUP(2,1/(($B$3:B58=B59)*($O$3:O58=O59)),$G$3:G58),"")&lt;&gt;"Paused — pending decision"),"Resume is only for the event straight after a Precautionary pause on the same AIR-ID and UC-ID (in an earlier row)",IF(AND(E59="Decision",OR(G59="Progress",G59="Progress with condition",G59="Re-authorise",G59="Resume"),X59&lt;&gt;"Yes"),"Decision-maker has not confirmed the screening was considered (column X)","Check against source")))))))))))))))))))))))))))))</f>
        <v/>
      </c>
      <c r="O59" s="37" t="n"/>
      <c r="P59" s="37" t="n"/>
      <c r="Q59" s="14">
        <f>IF(A59="","",IF(E59&lt;&gt;"Decision","",IF(P59="UC-ID specific",IF(O59="","UC-ID REQUIRED","Check source decision for each UC-ID"),IF(P59="Shared system baseline",IF(O59&lt;&gt;"","REMOVE UC-ID OR CORRECT SCOPE","Baseline only — NOT UC approval"),"Decision scope missing"))))</f>
        <v/>
      </c>
      <c r="R59" s="43" t="n"/>
      <c r="S59" s="40" t="n"/>
      <c r="T59" s="40" t="n"/>
      <c r="U59" s="40" t="n"/>
      <c r="V59" s="40" t="n"/>
      <c r="W59" s="41" t="n"/>
      <c r="X59" s="38" t="n"/>
    </row>
    <row r="60">
      <c r="A60" s="38" t="n"/>
      <c r="B60" s="38" t="n"/>
      <c r="C60" s="38" t="n"/>
      <c r="D60" s="38" t="n"/>
      <c r="E60" s="38" t="n"/>
      <c r="F60" s="39" t="n"/>
      <c r="G60" s="38" t="n"/>
      <c r="H60" s="38" t="n"/>
      <c r="I60" s="38" t="n"/>
      <c r="J60" s="38" t="n"/>
      <c r="K60" s="38" t="n"/>
      <c r="L60" s="38" t="n"/>
      <c r="M60" s="38" t="n"/>
      <c r="N60" s="22">
        <f>IF(COUNTA(A60:M60,O60:P60,R60:X60)=0,"",IF(OR(A60="",B60="",F60=""),"Event ID, AIR-ID or date missing",IF(COUNTIF($A$4:$A$553,A60)&gt;1,"Duplicate Event ID",IF(E60="","Event type missing",IF(OR(NOT(ISNUMBER(F60)),F60&gt;TODAY()),"Date is not a real date or is in the future",IF(AND(C60&lt;&gt;"",COUNTIF('Gate plan'!$A$4:$A$353,C60)=0),"Plan ID not found in Gate plan",IF(AND(C60&lt;&gt;"",COUNTIFS('Gate plan'!$A$4:$A$353,C60,'Gate plan'!$B$4:$B$353,B60)=0),"Plan AIR-ID differs from event",IF(D60="","Gate / forum missing",IF(AND(E60="Precautionary pause (containment)",G60&lt;&gt;"Paused — pending decision"),"Precautionary pause: Outcome must be Paused, pending decision",IF(AND(E60="Precautionary pause (containment)",V60=""),"Precautionary pause: AIG-OPS-03 incident ref missing",IF(AND(E60="Precautionary pause (containment)",NOT(ISNUMBER(W60))),"Precautionary pause: follow-up decision due date missing",IF(AND(G60="Paused — pending decision",E60&lt;&gt;"Precautionary pause (containment)"),"Paused, pending decision is only for a Precautionary pause event",IF(AND(E60="Decision",OR(G60="",H60="",I60="")),"Outcome / delegation / decision ref missing",IF(AND(E60="Decision",NOT(OR(G60="Progress",G60="Progress with condition",G60="Return for evidence",G60="Pause",G60="Stop",G60="Suspend",G60="Decommission",G60="Re-authorise",G60="Resume"))),"Decision event needs a decision outcome",IF(AND(E60="Priority override",OR(H60="",I60="")),"Decision-maker / AIG-DEC-03 ref missing",IF(AND(E60="Priority override",G60&lt;&gt;"",G60&lt;&gt;"No decision"),"Priority override: Outcome blank or No decision",IF(AND(E60&lt;&gt;"Decision",OR(G60="Progress",G60="Progress with condition",G60="Return for evidence",G60="Pause",G60="Stop",G60="Suspend",G60="Decommission",G60="Re-authorise",G60="Resume")),"Outcome implies decision",IF(OR(ISNUMBER(SEARCH(",",O60)),ISNUMBER(SEARCH(";",O60))),"One UC-ID per event row — split this event",IF(AND(E60="Decision",OR(Q60="UC-ID REQUIRED",Q60="Decision scope missing",Q60="REMOVE UC-ID OR CORRECT SCOPE")),"Decision scope missing",IF(AND(G60="Progress with condition",COUNTIF(Conditions!$B$4:$B$553,A60)=0),"Progress with condition needs at least one Conditions row",IF(AND(C60&lt;&gt;"",COUNTIFS('Gate plan'!$A$4:$A$353,C60,'Gate plan'!$C$4:$C$353,D60)=0),"Plan gate differs from event gate",IF(AND(C60&lt;&gt;"",O60&lt;&gt;"",COUNTIFS('Gate plan'!$A$4:$A$353,C60,'Gate plan'!$K$4:$K$353,"&lt;&gt;")&gt;0,COUNTIFS('Gate plan'!$A$4:$A$353,C60,'Gate plan'!$K$4:$K$353,O60)=0),"Plan UC-ID differs from event UC-ID",IF(AND(E60="Assurance opinion",J60=""),"Assurance opinion ref missing",IF(AND(G60="Opinion only",E60&lt;&gt;"Assurance opinion",E60&lt;&gt;"Review only"),"Opinion only is for Assurance opinion or Review only events",IF(AND(G60="No decision",E60&lt;&gt;"Review only",E60&lt;&gt;"Priority override",E60&lt;&gt;"Intake / registration"),"No decision is for Review only, Priority override or Intake / registration events",IF(OR(ISNUMBER(SEARCH(" ",TRIM(O60))),ISNUMBER(SEARCH("/",O60))),"One UC-ID per event row: split this event",IF(AND(E60="Precautionary pause (containment)",ISNUMBER(W60),ISNUMBER(F60),W60&lt;F60),"Follow-up decision due date is before the pause",IF(AND(G60="Resume",IFERROR(LOOKUP(2,1/(($B$3:B59=B60)*($O$3:O59=O60)),$G$3:G59),"")&lt;&gt;"Paused — pending decision"),"Resume is only for the event straight after a Precautionary pause on the same AIR-ID and UC-ID (in an earlier row)",IF(AND(E60="Decision",OR(G60="Progress",G60="Progress with condition",G60="Re-authorise",G60="Resume"),X60&lt;&gt;"Yes"),"Decision-maker has not confirmed the screening was considered (column X)","Check against source")))))))))))))))))))))))))))))</f>
        <v/>
      </c>
      <c r="O60" s="37" t="n"/>
      <c r="P60" s="37" t="n"/>
      <c r="Q60" s="14">
        <f>IF(A60="","",IF(E60&lt;&gt;"Decision","",IF(P60="UC-ID specific",IF(O60="","UC-ID REQUIRED","Check source decision for each UC-ID"),IF(P60="Shared system baseline",IF(O60&lt;&gt;"","REMOVE UC-ID OR CORRECT SCOPE","Baseline only — NOT UC approval"),"Decision scope missing"))))</f>
        <v/>
      </c>
      <c r="R60" s="42" t="n"/>
      <c r="S60" s="38" t="n"/>
      <c r="T60" s="38" t="n"/>
      <c r="U60" s="38" t="n"/>
      <c r="V60" s="38" t="n"/>
      <c r="W60" s="39" t="n"/>
      <c r="X60" s="38" t="n"/>
    </row>
    <row r="61">
      <c r="A61" s="40" t="n"/>
      <c r="B61" s="40" t="n"/>
      <c r="C61" s="40" t="n"/>
      <c r="D61" s="40" t="n"/>
      <c r="E61" s="40" t="n"/>
      <c r="F61" s="41" t="n"/>
      <c r="G61" s="40" t="n"/>
      <c r="H61" s="40" t="n"/>
      <c r="I61" s="40" t="n"/>
      <c r="J61" s="40" t="n"/>
      <c r="K61" s="40" t="n"/>
      <c r="L61" s="40" t="n"/>
      <c r="M61" s="40" t="n"/>
      <c r="N61" s="24">
        <f>IF(COUNTA(A61:M61,O61:P61,R61:X61)=0,"",IF(OR(A61="",B61="",F61=""),"Event ID, AIR-ID or date missing",IF(COUNTIF($A$4:$A$553,A61)&gt;1,"Duplicate Event ID",IF(E61="","Event type missing",IF(OR(NOT(ISNUMBER(F61)),F61&gt;TODAY()),"Date is not a real date or is in the future",IF(AND(C61&lt;&gt;"",COUNTIF('Gate plan'!$A$4:$A$353,C61)=0),"Plan ID not found in Gate plan",IF(AND(C61&lt;&gt;"",COUNTIFS('Gate plan'!$A$4:$A$353,C61,'Gate plan'!$B$4:$B$353,B61)=0),"Plan AIR-ID differs from event",IF(D61="","Gate / forum missing",IF(AND(E61="Precautionary pause (containment)",G61&lt;&gt;"Paused — pending decision"),"Precautionary pause: Outcome must be Paused, pending decision",IF(AND(E61="Precautionary pause (containment)",V61=""),"Precautionary pause: AIG-OPS-03 incident ref missing",IF(AND(E61="Precautionary pause (containment)",NOT(ISNUMBER(W61))),"Precautionary pause: follow-up decision due date missing",IF(AND(G61="Paused — pending decision",E61&lt;&gt;"Precautionary pause (containment)"),"Paused, pending decision is only for a Precautionary pause event",IF(AND(E61="Decision",OR(G61="",H61="",I61="")),"Outcome / delegation / decision ref missing",IF(AND(E61="Decision",NOT(OR(G61="Progress",G61="Progress with condition",G61="Return for evidence",G61="Pause",G61="Stop",G61="Suspend",G61="Decommission",G61="Re-authorise",G61="Resume"))),"Decision event needs a decision outcome",IF(AND(E61="Priority override",OR(H61="",I61="")),"Decision-maker / AIG-DEC-03 ref missing",IF(AND(E61="Priority override",G61&lt;&gt;"",G61&lt;&gt;"No decision"),"Priority override: Outcome blank or No decision",IF(AND(E61&lt;&gt;"Decision",OR(G61="Progress",G61="Progress with condition",G61="Return for evidence",G61="Pause",G61="Stop",G61="Suspend",G61="Decommission",G61="Re-authorise",G61="Resume")),"Outcome implies decision",IF(OR(ISNUMBER(SEARCH(",",O61)),ISNUMBER(SEARCH(";",O61))),"One UC-ID per event row — split this event",IF(AND(E61="Decision",OR(Q61="UC-ID REQUIRED",Q61="Decision scope missing",Q61="REMOVE UC-ID OR CORRECT SCOPE")),"Decision scope missing",IF(AND(G61="Progress with condition",COUNTIF(Conditions!$B$4:$B$553,A61)=0),"Progress with condition needs at least one Conditions row",IF(AND(C61&lt;&gt;"",COUNTIFS('Gate plan'!$A$4:$A$353,C61,'Gate plan'!$C$4:$C$353,D61)=0),"Plan gate differs from event gate",IF(AND(C61&lt;&gt;"",O61&lt;&gt;"",COUNTIFS('Gate plan'!$A$4:$A$353,C61,'Gate plan'!$K$4:$K$353,"&lt;&gt;")&gt;0,COUNTIFS('Gate plan'!$A$4:$A$353,C61,'Gate plan'!$K$4:$K$353,O61)=0),"Plan UC-ID differs from event UC-ID",IF(AND(E61="Assurance opinion",J61=""),"Assurance opinion ref missing",IF(AND(G61="Opinion only",E61&lt;&gt;"Assurance opinion",E61&lt;&gt;"Review only"),"Opinion only is for Assurance opinion or Review only events",IF(AND(G61="No decision",E61&lt;&gt;"Review only",E61&lt;&gt;"Priority override",E61&lt;&gt;"Intake / registration"),"No decision is for Review only, Priority override or Intake / registration events",IF(OR(ISNUMBER(SEARCH(" ",TRIM(O61))),ISNUMBER(SEARCH("/",O61))),"One UC-ID per event row: split this event",IF(AND(E61="Precautionary pause (containment)",ISNUMBER(W61),ISNUMBER(F61),W61&lt;F61),"Follow-up decision due date is before the pause",IF(AND(G61="Resume",IFERROR(LOOKUP(2,1/(($B$3:B60=B61)*($O$3:O60=O61)),$G$3:G60),"")&lt;&gt;"Paused — pending decision"),"Resume is only for the event straight after a Precautionary pause on the same AIR-ID and UC-ID (in an earlier row)",IF(AND(E61="Decision",OR(G61="Progress",G61="Progress with condition",G61="Re-authorise",G61="Resume"),X61&lt;&gt;"Yes"),"Decision-maker has not confirmed the screening was considered (column X)","Check against source")))))))))))))))))))))))))))))</f>
        <v/>
      </c>
      <c r="O61" s="37" t="n"/>
      <c r="P61" s="37" t="n"/>
      <c r="Q61" s="14">
        <f>IF(A61="","",IF(E61&lt;&gt;"Decision","",IF(P61="UC-ID specific",IF(O61="","UC-ID REQUIRED","Check source decision for each UC-ID"),IF(P61="Shared system baseline",IF(O61&lt;&gt;"","REMOVE UC-ID OR CORRECT SCOPE","Baseline only — NOT UC approval"),"Decision scope missing"))))</f>
        <v/>
      </c>
      <c r="R61" s="43" t="n"/>
      <c r="S61" s="40" t="n"/>
      <c r="T61" s="40" t="n"/>
      <c r="U61" s="40" t="n"/>
      <c r="V61" s="40" t="n"/>
      <c r="W61" s="41" t="n"/>
      <c r="X61" s="38" t="n"/>
    </row>
    <row r="62">
      <c r="A62" s="38" t="n"/>
      <c r="B62" s="38" t="n"/>
      <c r="C62" s="38" t="n"/>
      <c r="D62" s="38" t="n"/>
      <c r="E62" s="38" t="n"/>
      <c r="F62" s="39" t="n"/>
      <c r="G62" s="38" t="n"/>
      <c r="H62" s="38" t="n"/>
      <c r="I62" s="38" t="n"/>
      <c r="J62" s="38" t="n"/>
      <c r="K62" s="38" t="n"/>
      <c r="L62" s="38" t="n"/>
      <c r="M62" s="38" t="n"/>
      <c r="N62" s="22">
        <f>IF(COUNTA(A62:M62,O62:P62,R62:X62)=0,"",IF(OR(A62="",B62="",F62=""),"Event ID, AIR-ID or date missing",IF(COUNTIF($A$4:$A$553,A62)&gt;1,"Duplicate Event ID",IF(E62="","Event type missing",IF(OR(NOT(ISNUMBER(F62)),F62&gt;TODAY()),"Date is not a real date or is in the future",IF(AND(C62&lt;&gt;"",COUNTIF('Gate plan'!$A$4:$A$353,C62)=0),"Plan ID not found in Gate plan",IF(AND(C62&lt;&gt;"",COUNTIFS('Gate plan'!$A$4:$A$353,C62,'Gate plan'!$B$4:$B$353,B62)=0),"Plan AIR-ID differs from event",IF(D62="","Gate / forum missing",IF(AND(E62="Precautionary pause (containment)",G62&lt;&gt;"Paused — pending decision"),"Precautionary pause: Outcome must be Paused, pending decision",IF(AND(E62="Precautionary pause (containment)",V62=""),"Precautionary pause: AIG-OPS-03 incident ref missing",IF(AND(E62="Precautionary pause (containment)",NOT(ISNUMBER(W62))),"Precautionary pause: follow-up decision due date missing",IF(AND(G62="Paused — pending decision",E62&lt;&gt;"Precautionary pause (containment)"),"Paused, pending decision is only for a Precautionary pause event",IF(AND(E62="Decision",OR(G62="",H62="",I62="")),"Outcome / delegation / decision ref missing",IF(AND(E62="Decision",NOT(OR(G62="Progress",G62="Progress with condition",G62="Return for evidence",G62="Pause",G62="Stop",G62="Suspend",G62="Decommission",G62="Re-authorise",G62="Resume"))),"Decision event needs a decision outcome",IF(AND(E62="Priority override",OR(H62="",I62="")),"Decision-maker / AIG-DEC-03 ref missing",IF(AND(E62="Priority override",G62&lt;&gt;"",G62&lt;&gt;"No decision"),"Priority override: Outcome blank or No decision",IF(AND(E62&lt;&gt;"Decision",OR(G62="Progress",G62="Progress with condition",G62="Return for evidence",G62="Pause",G62="Stop",G62="Suspend",G62="Decommission",G62="Re-authorise",G62="Resume")),"Outcome implies decision",IF(OR(ISNUMBER(SEARCH(",",O62)),ISNUMBER(SEARCH(";",O62))),"One UC-ID per event row — split this event",IF(AND(E62="Decision",OR(Q62="UC-ID REQUIRED",Q62="Decision scope missing",Q62="REMOVE UC-ID OR CORRECT SCOPE")),"Decision scope missing",IF(AND(G62="Progress with condition",COUNTIF(Conditions!$B$4:$B$553,A62)=0),"Progress with condition needs at least one Conditions row",IF(AND(C62&lt;&gt;"",COUNTIFS('Gate plan'!$A$4:$A$353,C62,'Gate plan'!$C$4:$C$353,D62)=0),"Plan gate differs from event gate",IF(AND(C62&lt;&gt;"",O62&lt;&gt;"",COUNTIFS('Gate plan'!$A$4:$A$353,C62,'Gate plan'!$K$4:$K$353,"&lt;&gt;")&gt;0,COUNTIFS('Gate plan'!$A$4:$A$353,C62,'Gate plan'!$K$4:$K$353,O62)=0),"Plan UC-ID differs from event UC-ID",IF(AND(E62="Assurance opinion",J62=""),"Assurance opinion ref missing",IF(AND(G62="Opinion only",E62&lt;&gt;"Assurance opinion",E62&lt;&gt;"Review only"),"Opinion only is for Assurance opinion or Review only events",IF(AND(G62="No decision",E62&lt;&gt;"Review only",E62&lt;&gt;"Priority override",E62&lt;&gt;"Intake / registration"),"No decision is for Review only, Priority override or Intake / registration events",IF(OR(ISNUMBER(SEARCH(" ",TRIM(O62))),ISNUMBER(SEARCH("/",O62))),"One UC-ID per event row: split this event",IF(AND(E62="Precautionary pause (containment)",ISNUMBER(W62),ISNUMBER(F62),W62&lt;F62),"Follow-up decision due date is before the pause",IF(AND(G62="Resume",IFERROR(LOOKUP(2,1/(($B$3:B61=B62)*($O$3:O61=O62)),$G$3:G61),"")&lt;&gt;"Paused — pending decision"),"Resume is only for the event straight after a Precautionary pause on the same AIR-ID and UC-ID (in an earlier row)",IF(AND(E62="Decision",OR(G62="Progress",G62="Progress with condition",G62="Re-authorise",G62="Resume"),X62&lt;&gt;"Yes"),"Decision-maker has not confirmed the screening was considered (column X)","Check against source")))))))))))))))))))))))))))))</f>
        <v/>
      </c>
      <c r="O62" s="37" t="n"/>
      <c r="P62" s="37" t="n"/>
      <c r="Q62" s="14">
        <f>IF(A62="","",IF(E62&lt;&gt;"Decision","",IF(P62="UC-ID specific",IF(O62="","UC-ID REQUIRED","Check source decision for each UC-ID"),IF(P62="Shared system baseline",IF(O62&lt;&gt;"","REMOVE UC-ID OR CORRECT SCOPE","Baseline only — NOT UC approval"),"Decision scope missing"))))</f>
        <v/>
      </c>
      <c r="R62" s="42" t="n"/>
      <c r="S62" s="38" t="n"/>
      <c r="T62" s="38" t="n"/>
      <c r="U62" s="38" t="n"/>
      <c r="V62" s="38" t="n"/>
      <c r="W62" s="39" t="n"/>
      <c r="X62" s="38" t="n"/>
    </row>
    <row r="63">
      <c r="A63" s="40" t="n"/>
      <c r="B63" s="40" t="n"/>
      <c r="C63" s="40" t="n"/>
      <c r="D63" s="40" t="n"/>
      <c r="E63" s="40" t="n"/>
      <c r="F63" s="41" t="n"/>
      <c r="G63" s="40" t="n"/>
      <c r="H63" s="40" t="n"/>
      <c r="I63" s="40" t="n"/>
      <c r="J63" s="40" t="n"/>
      <c r="K63" s="40" t="n"/>
      <c r="L63" s="40" t="n"/>
      <c r="M63" s="40" t="n"/>
      <c r="N63" s="24">
        <f>IF(COUNTA(A63:M63,O63:P63,R63:X63)=0,"",IF(OR(A63="",B63="",F63=""),"Event ID, AIR-ID or date missing",IF(COUNTIF($A$4:$A$553,A63)&gt;1,"Duplicate Event ID",IF(E63="","Event type missing",IF(OR(NOT(ISNUMBER(F63)),F63&gt;TODAY()),"Date is not a real date or is in the future",IF(AND(C63&lt;&gt;"",COUNTIF('Gate plan'!$A$4:$A$353,C63)=0),"Plan ID not found in Gate plan",IF(AND(C63&lt;&gt;"",COUNTIFS('Gate plan'!$A$4:$A$353,C63,'Gate plan'!$B$4:$B$353,B63)=0),"Plan AIR-ID differs from event",IF(D63="","Gate / forum missing",IF(AND(E63="Precautionary pause (containment)",G63&lt;&gt;"Paused — pending decision"),"Precautionary pause: Outcome must be Paused, pending decision",IF(AND(E63="Precautionary pause (containment)",V63=""),"Precautionary pause: AIG-OPS-03 incident ref missing",IF(AND(E63="Precautionary pause (containment)",NOT(ISNUMBER(W63))),"Precautionary pause: follow-up decision due date missing",IF(AND(G63="Paused — pending decision",E63&lt;&gt;"Precautionary pause (containment)"),"Paused, pending decision is only for a Precautionary pause event",IF(AND(E63="Decision",OR(G63="",H63="",I63="")),"Outcome / delegation / decision ref missing",IF(AND(E63="Decision",NOT(OR(G63="Progress",G63="Progress with condition",G63="Return for evidence",G63="Pause",G63="Stop",G63="Suspend",G63="Decommission",G63="Re-authorise",G63="Resume"))),"Decision event needs a decision outcome",IF(AND(E63="Priority override",OR(H63="",I63="")),"Decision-maker / AIG-DEC-03 ref missing",IF(AND(E63="Priority override",G63&lt;&gt;"",G63&lt;&gt;"No decision"),"Priority override: Outcome blank or No decision",IF(AND(E63&lt;&gt;"Decision",OR(G63="Progress",G63="Progress with condition",G63="Return for evidence",G63="Pause",G63="Stop",G63="Suspend",G63="Decommission",G63="Re-authorise",G63="Resume")),"Outcome implies decision",IF(OR(ISNUMBER(SEARCH(",",O63)),ISNUMBER(SEARCH(";",O63))),"One UC-ID per event row — split this event",IF(AND(E63="Decision",OR(Q63="UC-ID REQUIRED",Q63="Decision scope missing",Q63="REMOVE UC-ID OR CORRECT SCOPE")),"Decision scope missing",IF(AND(G63="Progress with condition",COUNTIF(Conditions!$B$4:$B$553,A63)=0),"Progress with condition needs at least one Conditions row",IF(AND(C63&lt;&gt;"",COUNTIFS('Gate plan'!$A$4:$A$353,C63,'Gate plan'!$C$4:$C$353,D63)=0),"Plan gate differs from event gate",IF(AND(C63&lt;&gt;"",O63&lt;&gt;"",COUNTIFS('Gate plan'!$A$4:$A$353,C63,'Gate plan'!$K$4:$K$353,"&lt;&gt;")&gt;0,COUNTIFS('Gate plan'!$A$4:$A$353,C63,'Gate plan'!$K$4:$K$353,O63)=0),"Plan UC-ID differs from event UC-ID",IF(AND(E63="Assurance opinion",J63=""),"Assurance opinion ref missing",IF(AND(G63="Opinion only",E63&lt;&gt;"Assurance opinion",E63&lt;&gt;"Review only"),"Opinion only is for Assurance opinion or Review only events",IF(AND(G63="No decision",E63&lt;&gt;"Review only",E63&lt;&gt;"Priority override",E63&lt;&gt;"Intake / registration"),"No decision is for Review only, Priority override or Intake / registration events",IF(OR(ISNUMBER(SEARCH(" ",TRIM(O63))),ISNUMBER(SEARCH("/",O63))),"One UC-ID per event row: split this event",IF(AND(E63="Precautionary pause (containment)",ISNUMBER(W63),ISNUMBER(F63),W63&lt;F63),"Follow-up decision due date is before the pause",IF(AND(G63="Resume",IFERROR(LOOKUP(2,1/(($B$3:B62=B63)*($O$3:O62=O63)),$G$3:G62),"")&lt;&gt;"Paused — pending decision"),"Resume is only for the event straight after a Precautionary pause on the same AIR-ID and UC-ID (in an earlier row)",IF(AND(E63="Decision",OR(G63="Progress",G63="Progress with condition",G63="Re-authorise",G63="Resume"),X63&lt;&gt;"Yes"),"Decision-maker has not confirmed the screening was considered (column X)","Check against source")))))))))))))))))))))))))))))</f>
        <v/>
      </c>
      <c r="O63" s="37" t="n"/>
      <c r="P63" s="37" t="n"/>
      <c r="Q63" s="14">
        <f>IF(A63="","",IF(E63&lt;&gt;"Decision","",IF(P63="UC-ID specific",IF(O63="","UC-ID REQUIRED","Check source decision for each UC-ID"),IF(P63="Shared system baseline",IF(O63&lt;&gt;"","REMOVE UC-ID OR CORRECT SCOPE","Baseline only — NOT UC approval"),"Decision scope missing"))))</f>
        <v/>
      </c>
      <c r="R63" s="43" t="n"/>
      <c r="S63" s="40" t="n"/>
      <c r="T63" s="40" t="n"/>
      <c r="U63" s="40" t="n"/>
      <c r="V63" s="40" t="n"/>
      <c r="W63" s="41" t="n"/>
      <c r="X63" s="38" t="n"/>
    </row>
    <row r="64">
      <c r="A64" s="38" t="n"/>
      <c r="B64" s="38" t="n"/>
      <c r="C64" s="38" t="n"/>
      <c r="D64" s="38" t="n"/>
      <c r="E64" s="38" t="n"/>
      <c r="F64" s="39" t="n"/>
      <c r="G64" s="38" t="n"/>
      <c r="H64" s="38" t="n"/>
      <c r="I64" s="38" t="n"/>
      <c r="J64" s="38" t="n"/>
      <c r="K64" s="38" t="n"/>
      <c r="L64" s="38" t="n"/>
      <c r="M64" s="38" t="n"/>
      <c r="N64" s="22">
        <f>IF(COUNTA(A64:M64,O64:P64,R64:X64)=0,"",IF(OR(A64="",B64="",F64=""),"Event ID, AIR-ID or date missing",IF(COUNTIF($A$4:$A$553,A64)&gt;1,"Duplicate Event ID",IF(E64="","Event type missing",IF(OR(NOT(ISNUMBER(F64)),F64&gt;TODAY()),"Date is not a real date or is in the future",IF(AND(C64&lt;&gt;"",COUNTIF('Gate plan'!$A$4:$A$353,C64)=0),"Plan ID not found in Gate plan",IF(AND(C64&lt;&gt;"",COUNTIFS('Gate plan'!$A$4:$A$353,C64,'Gate plan'!$B$4:$B$353,B64)=0),"Plan AIR-ID differs from event",IF(D64="","Gate / forum missing",IF(AND(E64="Precautionary pause (containment)",G64&lt;&gt;"Paused — pending decision"),"Precautionary pause: Outcome must be Paused, pending decision",IF(AND(E64="Precautionary pause (containment)",V64=""),"Precautionary pause: AIG-OPS-03 incident ref missing",IF(AND(E64="Precautionary pause (containment)",NOT(ISNUMBER(W64))),"Precautionary pause: follow-up decision due date missing",IF(AND(G64="Paused — pending decision",E64&lt;&gt;"Precautionary pause (containment)"),"Paused, pending decision is only for a Precautionary pause event",IF(AND(E64="Decision",OR(G64="",H64="",I64="")),"Outcome / delegation / decision ref missing",IF(AND(E64="Decision",NOT(OR(G64="Progress",G64="Progress with condition",G64="Return for evidence",G64="Pause",G64="Stop",G64="Suspend",G64="Decommission",G64="Re-authorise",G64="Resume"))),"Decision event needs a decision outcome",IF(AND(E64="Priority override",OR(H64="",I64="")),"Decision-maker / AIG-DEC-03 ref missing",IF(AND(E64="Priority override",G64&lt;&gt;"",G64&lt;&gt;"No decision"),"Priority override: Outcome blank or No decision",IF(AND(E64&lt;&gt;"Decision",OR(G64="Progress",G64="Progress with condition",G64="Return for evidence",G64="Pause",G64="Stop",G64="Suspend",G64="Decommission",G64="Re-authorise",G64="Resume")),"Outcome implies decision",IF(OR(ISNUMBER(SEARCH(",",O64)),ISNUMBER(SEARCH(";",O64))),"One UC-ID per event row — split this event",IF(AND(E64="Decision",OR(Q64="UC-ID REQUIRED",Q64="Decision scope missing",Q64="REMOVE UC-ID OR CORRECT SCOPE")),"Decision scope missing",IF(AND(G64="Progress with condition",COUNTIF(Conditions!$B$4:$B$553,A64)=0),"Progress with condition needs at least one Conditions row",IF(AND(C64&lt;&gt;"",COUNTIFS('Gate plan'!$A$4:$A$353,C64,'Gate plan'!$C$4:$C$353,D64)=0),"Plan gate differs from event gate",IF(AND(C64&lt;&gt;"",O64&lt;&gt;"",COUNTIFS('Gate plan'!$A$4:$A$353,C64,'Gate plan'!$K$4:$K$353,"&lt;&gt;")&gt;0,COUNTIFS('Gate plan'!$A$4:$A$353,C64,'Gate plan'!$K$4:$K$353,O64)=0),"Plan UC-ID differs from event UC-ID",IF(AND(E64="Assurance opinion",J64=""),"Assurance opinion ref missing",IF(AND(G64="Opinion only",E64&lt;&gt;"Assurance opinion",E64&lt;&gt;"Review only"),"Opinion only is for Assurance opinion or Review only events",IF(AND(G64="No decision",E64&lt;&gt;"Review only",E64&lt;&gt;"Priority override",E64&lt;&gt;"Intake / registration"),"No decision is for Review only, Priority override or Intake / registration events",IF(OR(ISNUMBER(SEARCH(" ",TRIM(O64))),ISNUMBER(SEARCH("/",O64))),"One UC-ID per event row: split this event",IF(AND(E64="Precautionary pause (containment)",ISNUMBER(W64),ISNUMBER(F64),W64&lt;F64),"Follow-up decision due date is before the pause",IF(AND(G64="Resume",IFERROR(LOOKUP(2,1/(($B$3:B63=B64)*($O$3:O63=O64)),$G$3:G63),"")&lt;&gt;"Paused — pending decision"),"Resume is only for the event straight after a Precautionary pause on the same AIR-ID and UC-ID (in an earlier row)",IF(AND(E64="Decision",OR(G64="Progress",G64="Progress with condition",G64="Re-authorise",G64="Resume"),X64&lt;&gt;"Yes"),"Decision-maker has not confirmed the screening was considered (column X)","Check against source")))))))))))))))))))))))))))))</f>
        <v/>
      </c>
      <c r="O64" s="37" t="n"/>
      <c r="P64" s="37" t="n"/>
      <c r="Q64" s="14">
        <f>IF(A64="","",IF(E64&lt;&gt;"Decision","",IF(P64="UC-ID specific",IF(O64="","UC-ID REQUIRED","Check source decision for each UC-ID"),IF(P64="Shared system baseline",IF(O64&lt;&gt;"","REMOVE UC-ID OR CORRECT SCOPE","Baseline only — NOT UC approval"),"Decision scope missing"))))</f>
        <v/>
      </c>
      <c r="R64" s="42" t="n"/>
      <c r="S64" s="38" t="n"/>
      <c r="T64" s="38" t="n"/>
      <c r="U64" s="38" t="n"/>
      <c r="V64" s="38" t="n"/>
      <c r="W64" s="39" t="n"/>
      <c r="X64" s="38" t="n"/>
    </row>
    <row r="65">
      <c r="A65" s="40" t="n"/>
      <c r="B65" s="40" t="n"/>
      <c r="C65" s="40" t="n"/>
      <c r="D65" s="40" t="n"/>
      <c r="E65" s="40" t="n"/>
      <c r="F65" s="41" t="n"/>
      <c r="G65" s="40" t="n"/>
      <c r="H65" s="40" t="n"/>
      <c r="I65" s="40" t="n"/>
      <c r="J65" s="40" t="n"/>
      <c r="K65" s="40" t="n"/>
      <c r="L65" s="40" t="n"/>
      <c r="M65" s="40" t="n"/>
      <c r="N65" s="24">
        <f>IF(COUNTA(A65:M65,O65:P65,R65:X65)=0,"",IF(OR(A65="",B65="",F65=""),"Event ID, AIR-ID or date missing",IF(COUNTIF($A$4:$A$553,A65)&gt;1,"Duplicate Event ID",IF(E65="","Event type missing",IF(OR(NOT(ISNUMBER(F65)),F65&gt;TODAY()),"Date is not a real date or is in the future",IF(AND(C65&lt;&gt;"",COUNTIF('Gate plan'!$A$4:$A$353,C65)=0),"Plan ID not found in Gate plan",IF(AND(C65&lt;&gt;"",COUNTIFS('Gate plan'!$A$4:$A$353,C65,'Gate plan'!$B$4:$B$353,B65)=0),"Plan AIR-ID differs from event",IF(D65="","Gate / forum missing",IF(AND(E65="Precautionary pause (containment)",G65&lt;&gt;"Paused — pending decision"),"Precautionary pause: Outcome must be Paused, pending decision",IF(AND(E65="Precautionary pause (containment)",V65=""),"Precautionary pause: AIG-OPS-03 incident ref missing",IF(AND(E65="Precautionary pause (containment)",NOT(ISNUMBER(W65))),"Precautionary pause: follow-up decision due date missing",IF(AND(G65="Paused — pending decision",E65&lt;&gt;"Precautionary pause (containment)"),"Paused, pending decision is only for a Precautionary pause event",IF(AND(E65="Decision",OR(G65="",H65="",I65="")),"Outcome / delegation / decision ref missing",IF(AND(E65="Decision",NOT(OR(G65="Progress",G65="Progress with condition",G65="Return for evidence",G65="Pause",G65="Stop",G65="Suspend",G65="Decommission",G65="Re-authorise",G65="Resume"))),"Decision event needs a decision outcome",IF(AND(E65="Priority override",OR(H65="",I65="")),"Decision-maker / AIG-DEC-03 ref missing",IF(AND(E65="Priority override",G65&lt;&gt;"",G65&lt;&gt;"No decision"),"Priority override: Outcome blank or No decision",IF(AND(E65&lt;&gt;"Decision",OR(G65="Progress",G65="Progress with condition",G65="Return for evidence",G65="Pause",G65="Stop",G65="Suspend",G65="Decommission",G65="Re-authorise",G65="Resume")),"Outcome implies decision",IF(OR(ISNUMBER(SEARCH(",",O65)),ISNUMBER(SEARCH(";",O65))),"One UC-ID per event row — split this event",IF(AND(E65="Decision",OR(Q65="UC-ID REQUIRED",Q65="Decision scope missing",Q65="REMOVE UC-ID OR CORRECT SCOPE")),"Decision scope missing",IF(AND(G65="Progress with condition",COUNTIF(Conditions!$B$4:$B$553,A65)=0),"Progress with condition needs at least one Conditions row",IF(AND(C65&lt;&gt;"",COUNTIFS('Gate plan'!$A$4:$A$353,C65,'Gate plan'!$C$4:$C$353,D65)=0),"Plan gate differs from event gate",IF(AND(C65&lt;&gt;"",O65&lt;&gt;"",COUNTIFS('Gate plan'!$A$4:$A$353,C65,'Gate plan'!$K$4:$K$353,"&lt;&gt;")&gt;0,COUNTIFS('Gate plan'!$A$4:$A$353,C65,'Gate plan'!$K$4:$K$353,O65)=0),"Plan UC-ID differs from event UC-ID",IF(AND(E65="Assurance opinion",J65=""),"Assurance opinion ref missing",IF(AND(G65="Opinion only",E65&lt;&gt;"Assurance opinion",E65&lt;&gt;"Review only"),"Opinion only is for Assurance opinion or Review only events",IF(AND(G65="No decision",E65&lt;&gt;"Review only",E65&lt;&gt;"Priority override",E65&lt;&gt;"Intake / registration"),"No decision is for Review only, Priority override or Intake / registration events",IF(OR(ISNUMBER(SEARCH(" ",TRIM(O65))),ISNUMBER(SEARCH("/",O65))),"One UC-ID per event row: split this event",IF(AND(E65="Precautionary pause (containment)",ISNUMBER(W65),ISNUMBER(F65),W65&lt;F65),"Follow-up decision due date is before the pause",IF(AND(G65="Resume",IFERROR(LOOKUP(2,1/(($B$3:B64=B65)*($O$3:O64=O65)),$G$3:G64),"")&lt;&gt;"Paused — pending decision"),"Resume is only for the event straight after a Precautionary pause on the same AIR-ID and UC-ID (in an earlier row)",IF(AND(E65="Decision",OR(G65="Progress",G65="Progress with condition",G65="Re-authorise",G65="Resume"),X65&lt;&gt;"Yes"),"Decision-maker has not confirmed the screening was considered (column X)","Check against source")))))))))))))))))))))))))))))</f>
        <v/>
      </c>
      <c r="O65" s="37" t="n"/>
      <c r="P65" s="37" t="n"/>
      <c r="Q65" s="14">
        <f>IF(A65="","",IF(E65&lt;&gt;"Decision","",IF(P65="UC-ID specific",IF(O65="","UC-ID REQUIRED","Check source decision for each UC-ID"),IF(P65="Shared system baseline",IF(O65&lt;&gt;"","REMOVE UC-ID OR CORRECT SCOPE","Baseline only — NOT UC approval"),"Decision scope missing"))))</f>
        <v/>
      </c>
      <c r="R65" s="43" t="n"/>
      <c r="S65" s="40" t="n"/>
      <c r="T65" s="40" t="n"/>
      <c r="U65" s="40" t="n"/>
      <c r="V65" s="40" t="n"/>
      <c r="W65" s="41" t="n"/>
      <c r="X65" s="38" t="n"/>
    </row>
    <row r="66">
      <c r="A66" s="38" t="n"/>
      <c r="B66" s="38" t="n"/>
      <c r="C66" s="38" t="n"/>
      <c r="D66" s="38" t="n"/>
      <c r="E66" s="38" t="n"/>
      <c r="F66" s="39" t="n"/>
      <c r="G66" s="38" t="n"/>
      <c r="H66" s="38" t="n"/>
      <c r="I66" s="38" t="n"/>
      <c r="J66" s="38" t="n"/>
      <c r="K66" s="38" t="n"/>
      <c r="L66" s="38" t="n"/>
      <c r="M66" s="38" t="n"/>
      <c r="N66" s="22">
        <f>IF(COUNTA(A66:M66,O66:P66,R66:X66)=0,"",IF(OR(A66="",B66="",F66=""),"Event ID, AIR-ID or date missing",IF(COUNTIF($A$4:$A$553,A66)&gt;1,"Duplicate Event ID",IF(E66="","Event type missing",IF(OR(NOT(ISNUMBER(F66)),F66&gt;TODAY()),"Date is not a real date or is in the future",IF(AND(C66&lt;&gt;"",COUNTIF('Gate plan'!$A$4:$A$353,C66)=0),"Plan ID not found in Gate plan",IF(AND(C66&lt;&gt;"",COUNTIFS('Gate plan'!$A$4:$A$353,C66,'Gate plan'!$B$4:$B$353,B66)=0),"Plan AIR-ID differs from event",IF(D66="","Gate / forum missing",IF(AND(E66="Precautionary pause (containment)",G66&lt;&gt;"Paused — pending decision"),"Precautionary pause: Outcome must be Paused, pending decision",IF(AND(E66="Precautionary pause (containment)",V66=""),"Precautionary pause: AIG-OPS-03 incident ref missing",IF(AND(E66="Precautionary pause (containment)",NOT(ISNUMBER(W66))),"Precautionary pause: follow-up decision due date missing",IF(AND(G66="Paused — pending decision",E66&lt;&gt;"Precautionary pause (containment)"),"Paused, pending decision is only for a Precautionary pause event",IF(AND(E66="Decision",OR(G66="",H66="",I66="")),"Outcome / delegation / decision ref missing",IF(AND(E66="Decision",NOT(OR(G66="Progress",G66="Progress with condition",G66="Return for evidence",G66="Pause",G66="Stop",G66="Suspend",G66="Decommission",G66="Re-authorise",G66="Resume"))),"Decision event needs a decision outcome",IF(AND(E66="Priority override",OR(H66="",I66="")),"Decision-maker / AIG-DEC-03 ref missing",IF(AND(E66="Priority override",G66&lt;&gt;"",G66&lt;&gt;"No decision"),"Priority override: Outcome blank or No decision",IF(AND(E66&lt;&gt;"Decision",OR(G66="Progress",G66="Progress with condition",G66="Return for evidence",G66="Pause",G66="Stop",G66="Suspend",G66="Decommission",G66="Re-authorise",G66="Resume")),"Outcome implies decision",IF(OR(ISNUMBER(SEARCH(",",O66)),ISNUMBER(SEARCH(";",O66))),"One UC-ID per event row — split this event",IF(AND(E66="Decision",OR(Q66="UC-ID REQUIRED",Q66="Decision scope missing",Q66="REMOVE UC-ID OR CORRECT SCOPE")),"Decision scope missing",IF(AND(G66="Progress with condition",COUNTIF(Conditions!$B$4:$B$553,A66)=0),"Progress with condition needs at least one Conditions row",IF(AND(C66&lt;&gt;"",COUNTIFS('Gate plan'!$A$4:$A$353,C66,'Gate plan'!$C$4:$C$353,D66)=0),"Plan gate differs from event gate",IF(AND(C66&lt;&gt;"",O66&lt;&gt;"",COUNTIFS('Gate plan'!$A$4:$A$353,C66,'Gate plan'!$K$4:$K$353,"&lt;&gt;")&gt;0,COUNTIFS('Gate plan'!$A$4:$A$353,C66,'Gate plan'!$K$4:$K$353,O66)=0),"Plan UC-ID differs from event UC-ID",IF(AND(E66="Assurance opinion",J66=""),"Assurance opinion ref missing",IF(AND(G66="Opinion only",E66&lt;&gt;"Assurance opinion",E66&lt;&gt;"Review only"),"Opinion only is for Assurance opinion or Review only events",IF(AND(G66="No decision",E66&lt;&gt;"Review only",E66&lt;&gt;"Priority override",E66&lt;&gt;"Intake / registration"),"No decision is for Review only, Priority override or Intake / registration events",IF(OR(ISNUMBER(SEARCH(" ",TRIM(O66))),ISNUMBER(SEARCH("/",O66))),"One UC-ID per event row: split this event",IF(AND(E66="Precautionary pause (containment)",ISNUMBER(W66),ISNUMBER(F66),W66&lt;F66),"Follow-up decision due date is before the pause",IF(AND(G66="Resume",IFERROR(LOOKUP(2,1/(($B$3:B65=B66)*($O$3:O65=O66)),$G$3:G65),"")&lt;&gt;"Paused — pending decision"),"Resume is only for the event straight after a Precautionary pause on the same AIR-ID and UC-ID (in an earlier row)",IF(AND(E66="Decision",OR(G66="Progress",G66="Progress with condition",G66="Re-authorise",G66="Resume"),X66&lt;&gt;"Yes"),"Decision-maker has not confirmed the screening was considered (column X)","Check against source")))))))))))))))))))))))))))))</f>
        <v/>
      </c>
      <c r="O66" s="37" t="n"/>
      <c r="P66" s="37" t="n"/>
      <c r="Q66" s="14">
        <f>IF(A66="","",IF(E66&lt;&gt;"Decision","",IF(P66="UC-ID specific",IF(O66="","UC-ID REQUIRED","Check source decision for each UC-ID"),IF(P66="Shared system baseline",IF(O66&lt;&gt;"","REMOVE UC-ID OR CORRECT SCOPE","Baseline only — NOT UC approval"),"Decision scope missing"))))</f>
        <v/>
      </c>
      <c r="R66" s="42" t="n"/>
      <c r="S66" s="38" t="n"/>
      <c r="T66" s="38" t="n"/>
      <c r="U66" s="38" t="n"/>
      <c r="V66" s="38" t="n"/>
      <c r="W66" s="39" t="n"/>
      <c r="X66" s="38" t="n"/>
    </row>
    <row r="67">
      <c r="A67" s="40" t="n"/>
      <c r="B67" s="40" t="n"/>
      <c r="C67" s="40" t="n"/>
      <c r="D67" s="40" t="n"/>
      <c r="E67" s="40" t="n"/>
      <c r="F67" s="41" t="n"/>
      <c r="G67" s="40" t="n"/>
      <c r="H67" s="40" t="n"/>
      <c r="I67" s="40" t="n"/>
      <c r="J67" s="40" t="n"/>
      <c r="K67" s="40" t="n"/>
      <c r="L67" s="40" t="n"/>
      <c r="M67" s="40" t="n"/>
      <c r="N67" s="24">
        <f>IF(COUNTA(A67:M67,O67:P67,R67:X67)=0,"",IF(OR(A67="",B67="",F67=""),"Event ID, AIR-ID or date missing",IF(COUNTIF($A$4:$A$553,A67)&gt;1,"Duplicate Event ID",IF(E67="","Event type missing",IF(OR(NOT(ISNUMBER(F67)),F67&gt;TODAY()),"Date is not a real date or is in the future",IF(AND(C67&lt;&gt;"",COUNTIF('Gate plan'!$A$4:$A$353,C67)=0),"Plan ID not found in Gate plan",IF(AND(C67&lt;&gt;"",COUNTIFS('Gate plan'!$A$4:$A$353,C67,'Gate plan'!$B$4:$B$353,B67)=0),"Plan AIR-ID differs from event",IF(D67="","Gate / forum missing",IF(AND(E67="Precautionary pause (containment)",G67&lt;&gt;"Paused — pending decision"),"Precautionary pause: Outcome must be Paused, pending decision",IF(AND(E67="Precautionary pause (containment)",V67=""),"Precautionary pause: AIG-OPS-03 incident ref missing",IF(AND(E67="Precautionary pause (containment)",NOT(ISNUMBER(W67))),"Precautionary pause: follow-up decision due date missing",IF(AND(G67="Paused — pending decision",E67&lt;&gt;"Precautionary pause (containment)"),"Paused, pending decision is only for a Precautionary pause event",IF(AND(E67="Decision",OR(G67="",H67="",I67="")),"Outcome / delegation / decision ref missing",IF(AND(E67="Decision",NOT(OR(G67="Progress",G67="Progress with condition",G67="Return for evidence",G67="Pause",G67="Stop",G67="Suspend",G67="Decommission",G67="Re-authorise",G67="Resume"))),"Decision event needs a decision outcome",IF(AND(E67="Priority override",OR(H67="",I67="")),"Decision-maker / AIG-DEC-03 ref missing",IF(AND(E67="Priority override",G67&lt;&gt;"",G67&lt;&gt;"No decision"),"Priority override: Outcome blank or No decision",IF(AND(E67&lt;&gt;"Decision",OR(G67="Progress",G67="Progress with condition",G67="Return for evidence",G67="Pause",G67="Stop",G67="Suspend",G67="Decommission",G67="Re-authorise",G67="Resume")),"Outcome implies decision",IF(OR(ISNUMBER(SEARCH(",",O67)),ISNUMBER(SEARCH(";",O67))),"One UC-ID per event row — split this event",IF(AND(E67="Decision",OR(Q67="UC-ID REQUIRED",Q67="Decision scope missing",Q67="REMOVE UC-ID OR CORRECT SCOPE")),"Decision scope missing",IF(AND(G67="Progress with condition",COUNTIF(Conditions!$B$4:$B$553,A67)=0),"Progress with condition needs at least one Conditions row",IF(AND(C67&lt;&gt;"",COUNTIFS('Gate plan'!$A$4:$A$353,C67,'Gate plan'!$C$4:$C$353,D67)=0),"Plan gate differs from event gate",IF(AND(C67&lt;&gt;"",O67&lt;&gt;"",COUNTIFS('Gate plan'!$A$4:$A$353,C67,'Gate plan'!$K$4:$K$353,"&lt;&gt;")&gt;0,COUNTIFS('Gate plan'!$A$4:$A$353,C67,'Gate plan'!$K$4:$K$353,O67)=0),"Plan UC-ID differs from event UC-ID",IF(AND(E67="Assurance opinion",J67=""),"Assurance opinion ref missing",IF(AND(G67="Opinion only",E67&lt;&gt;"Assurance opinion",E67&lt;&gt;"Review only"),"Opinion only is for Assurance opinion or Review only events",IF(AND(G67="No decision",E67&lt;&gt;"Review only",E67&lt;&gt;"Priority override",E67&lt;&gt;"Intake / registration"),"No decision is for Review only, Priority override or Intake / registration events",IF(OR(ISNUMBER(SEARCH(" ",TRIM(O67))),ISNUMBER(SEARCH("/",O67))),"One UC-ID per event row: split this event",IF(AND(E67="Precautionary pause (containment)",ISNUMBER(W67),ISNUMBER(F67),W67&lt;F67),"Follow-up decision due date is before the pause",IF(AND(G67="Resume",IFERROR(LOOKUP(2,1/(($B$3:B66=B67)*($O$3:O66=O67)),$G$3:G66),"")&lt;&gt;"Paused — pending decision"),"Resume is only for the event straight after a Precautionary pause on the same AIR-ID and UC-ID (in an earlier row)",IF(AND(E67="Decision",OR(G67="Progress",G67="Progress with condition",G67="Re-authorise",G67="Resume"),X67&lt;&gt;"Yes"),"Decision-maker has not confirmed the screening was considered (column X)","Check against source")))))))))))))))))))))))))))))</f>
        <v/>
      </c>
      <c r="O67" s="37" t="n"/>
      <c r="P67" s="37" t="n"/>
      <c r="Q67" s="14">
        <f>IF(A67="","",IF(E67&lt;&gt;"Decision","",IF(P67="UC-ID specific",IF(O67="","UC-ID REQUIRED","Check source decision for each UC-ID"),IF(P67="Shared system baseline",IF(O67&lt;&gt;"","REMOVE UC-ID OR CORRECT SCOPE","Baseline only — NOT UC approval"),"Decision scope missing"))))</f>
        <v/>
      </c>
      <c r="R67" s="43" t="n"/>
      <c r="S67" s="40" t="n"/>
      <c r="T67" s="40" t="n"/>
      <c r="U67" s="40" t="n"/>
      <c r="V67" s="40" t="n"/>
      <c r="W67" s="41" t="n"/>
      <c r="X67" s="38" t="n"/>
    </row>
    <row r="68">
      <c r="A68" s="38" t="n"/>
      <c r="B68" s="38" t="n"/>
      <c r="C68" s="38" t="n"/>
      <c r="D68" s="38" t="n"/>
      <c r="E68" s="38" t="n"/>
      <c r="F68" s="39" t="n"/>
      <c r="G68" s="38" t="n"/>
      <c r="H68" s="38" t="n"/>
      <c r="I68" s="38" t="n"/>
      <c r="J68" s="38" t="n"/>
      <c r="K68" s="38" t="n"/>
      <c r="L68" s="38" t="n"/>
      <c r="M68" s="38" t="n"/>
      <c r="N68" s="22">
        <f>IF(COUNTA(A68:M68,O68:P68,R68:X68)=0,"",IF(OR(A68="",B68="",F68=""),"Event ID, AIR-ID or date missing",IF(COUNTIF($A$4:$A$553,A68)&gt;1,"Duplicate Event ID",IF(E68="","Event type missing",IF(OR(NOT(ISNUMBER(F68)),F68&gt;TODAY()),"Date is not a real date or is in the future",IF(AND(C68&lt;&gt;"",COUNTIF('Gate plan'!$A$4:$A$353,C68)=0),"Plan ID not found in Gate plan",IF(AND(C68&lt;&gt;"",COUNTIFS('Gate plan'!$A$4:$A$353,C68,'Gate plan'!$B$4:$B$353,B68)=0),"Plan AIR-ID differs from event",IF(D68="","Gate / forum missing",IF(AND(E68="Precautionary pause (containment)",G68&lt;&gt;"Paused — pending decision"),"Precautionary pause: Outcome must be Paused, pending decision",IF(AND(E68="Precautionary pause (containment)",V68=""),"Precautionary pause: AIG-OPS-03 incident ref missing",IF(AND(E68="Precautionary pause (containment)",NOT(ISNUMBER(W68))),"Precautionary pause: follow-up decision due date missing",IF(AND(G68="Paused — pending decision",E68&lt;&gt;"Precautionary pause (containment)"),"Paused, pending decision is only for a Precautionary pause event",IF(AND(E68="Decision",OR(G68="",H68="",I68="")),"Outcome / delegation / decision ref missing",IF(AND(E68="Decision",NOT(OR(G68="Progress",G68="Progress with condition",G68="Return for evidence",G68="Pause",G68="Stop",G68="Suspend",G68="Decommission",G68="Re-authorise",G68="Resume"))),"Decision event needs a decision outcome",IF(AND(E68="Priority override",OR(H68="",I68="")),"Decision-maker / AIG-DEC-03 ref missing",IF(AND(E68="Priority override",G68&lt;&gt;"",G68&lt;&gt;"No decision"),"Priority override: Outcome blank or No decision",IF(AND(E68&lt;&gt;"Decision",OR(G68="Progress",G68="Progress with condition",G68="Return for evidence",G68="Pause",G68="Stop",G68="Suspend",G68="Decommission",G68="Re-authorise",G68="Resume")),"Outcome implies decision",IF(OR(ISNUMBER(SEARCH(",",O68)),ISNUMBER(SEARCH(";",O68))),"One UC-ID per event row — split this event",IF(AND(E68="Decision",OR(Q68="UC-ID REQUIRED",Q68="Decision scope missing",Q68="REMOVE UC-ID OR CORRECT SCOPE")),"Decision scope missing",IF(AND(G68="Progress with condition",COUNTIF(Conditions!$B$4:$B$553,A68)=0),"Progress with condition needs at least one Conditions row",IF(AND(C68&lt;&gt;"",COUNTIFS('Gate plan'!$A$4:$A$353,C68,'Gate plan'!$C$4:$C$353,D68)=0),"Plan gate differs from event gate",IF(AND(C68&lt;&gt;"",O68&lt;&gt;"",COUNTIFS('Gate plan'!$A$4:$A$353,C68,'Gate plan'!$K$4:$K$353,"&lt;&gt;")&gt;0,COUNTIFS('Gate plan'!$A$4:$A$353,C68,'Gate plan'!$K$4:$K$353,O68)=0),"Plan UC-ID differs from event UC-ID",IF(AND(E68="Assurance opinion",J68=""),"Assurance opinion ref missing",IF(AND(G68="Opinion only",E68&lt;&gt;"Assurance opinion",E68&lt;&gt;"Review only"),"Opinion only is for Assurance opinion or Review only events",IF(AND(G68="No decision",E68&lt;&gt;"Review only",E68&lt;&gt;"Priority override",E68&lt;&gt;"Intake / registration"),"No decision is for Review only, Priority override or Intake / registration events",IF(OR(ISNUMBER(SEARCH(" ",TRIM(O68))),ISNUMBER(SEARCH("/",O68))),"One UC-ID per event row: split this event",IF(AND(E68="Precautionary pause (containment)",ISNUMBER(W68),ISNUMBER(F68),W68&lt;F68),"Follow-up decision due date is before the pause",IF(AND(G68="Resume",IFERROR(LOOKUP(2,1/(($B$3:B67=B68)*($O$3:O67=O68)),$G$3:G67),"")&lt;&gt;"Paused — pending decision"),"Resume is only for the event straight after a Precautionary pause on the same AIR-ID and UC-ID (in an earlier row)",IF(AND(E68="Decision",OR(G68="Progress",G68="Progress with condition",G68="Re-authorise",G68="Resume"),X68&lt;&gt;"Yes"),"Decision-maker has not confirmed the screening was considered (column X)","Check against source")))))))))))))))))))))))))))))</f>
        <v/>
      </c>
      <c r="O68" s="37" t="n"/>
      <c r="P68" s="37" t="n"/>
      <c r="Q68" s="14">
        <f>IF(A68="","",IF(E68&lt;&gt;"Decision","",IF(P68="UC-ID specific",IF(O68="","UC-ID REQUIRED","Check source decision for each UC-ID"),IF(P68="Shared system baseline",IF(O68&lt;&gt;"","REMOVE UC-ID OR CORRECT SCOPE","Baseline only — NOT UC approval"),"Decision scope missing"))))</f>
        <v/>
      </c>
      <c r="R68" s="42" t="n"/>
      <c r="S68" s="38" t="n"/>
      <c r="T68" s="38" t="n"/>
      <c r="U68" s="38" t="n"/>
      <c r="V68" s="38" t="n"/>
      <c r="W68" s="39" t="n"/>
      <c r="X68" s="38" t="n"/>
    </row>
    <row r="69">
      <c r="A69" s="40" t="n"/>
      <c r="B69" s="40" t="n"/>
      <c r="C69" s="40" t="n"/>
      <c r="D69" s="40" t="n"/>
      <c r="E69" s="40" t="n"/>
      <c r="F69" s="41" t="n"/>
      <c r="G69" s="40" t="n"/>
      <c r="H69" s="40" t="n"/>
      <c r="I69" s="40" t="n"/>
      <c r="J69" s="40" t="n"/>
      <c r="K69" s="40" t="n"/>
      <c r="L69" s="40" t="n"/>
      <c r="M69" s="40" t="n"/>
      <c r="N69" s="24">
        <f>IF(COUNTA(A69:M69,O69:P69,R69:X69)=0,"",IF(OR(A69="",B69="",F69=""),"Event ID, AIR-ID or date missing",IF(COUNTIF($A$4:$A$553,A69)&gt;1,"Duplicate Event ID",IF(E69="","Event type missing",IF(OR(NOT(ISNUMBER(F69)),F69&gt;TODAY()),"Date is not a real date or is in the future",IF(AND(C69&lt;&gt;"",COUNTIF('Gate plan'!$A$4:$A$353,C69)=0),"Plan ID not found in Gate plan",IF(AND(C69&lt;&gt;"",COUNTIFS('Gate plan'!$A$4:$A$353,C69,'Gate plan'!$B$4:$B$353,B69)=0),"Plan AIR-ID differs from event",IF(D69="","Gate / forum missing",IF(AND(E69="Precautionary pause (containment)",G69&lt;&gt;"Paused — pending decision"),"Precautionary pause: Outcome must be Paused, pending decision",IF(AND(E69="Precautionary pause (containment)",V69=""),"Precautionary pause: AIG-OPS-03 incident ref missing",IF(AND(E69="Precautionary pause (containment)",NOT(ISNUMBER(W69))),"Precautionary pause: follow-up decision due date missing",IF(AND(G69="Paused — pending decision",E69&lt;&gt;"Precautionary pause (containment)"),"Paused, pending decision is only for a Precautionary pause event",IF(AND(E69="Decision",OR(G69="",H69="",I69="")),"Outcome / delegation / decision ref missing",IF(AND(E69="Decision",NOT(OR(G69="Progress",G69="Progress with condition",G69="Return for evidence",G69="Pause",G69="Stop",G69="Suspend",G69="Decommission",G69="Re-authorise",G69="Resume"))),"Decision event needs a decision outcome",IF(AND(E69="Priority override",OR(H69="",I69="")),"Decision-maker / AIG-DEC-03 ref missing",IF(AND(E69="Priority override",G69&lt;&gt;"",G69&lt;&gt;"No decision"),"Priority override: Outcome blank or No decision",IF(AND(E69&lt;&gt;"Decision",OR(G69="Progress",G69="Progress with condition",G69="Return for evidence",G69="Pause",G69="Stop",G69="Suspend",G69="Decommission",G69="Re-authorise",G69="Resume")),"Outcome implies decision",IF(OR(ISNUMBER(SEARCH(",",O69)),ISNUMBER(SEARCH(";",O69))),"One UC-ID per event row — split this event",IF(AND(E69="Decision",OR(Q69="UC-ID REQUIRED",Q69="Decision scope missing",Q69="REMOVE UC-ID OR CORRECT SCOPE")),"Decision scope missing",IF(AND(G69="Progress with condition",COUNTIF(Conditions!$B$4:$B$553,A69)=0),"Progress with condition needs at least one Conditions row",IF(AND(C69&lt;&gt;"",COUNTIFS('Gate plan'!$A$4:$A$353,C69,'Gate plan'!$C$4:$C$353,D69)=0),"Plan gate differs from event gate",IF(AND(C69&lt;&gt;"",O69&lt;&gt;"",COUNTIFS('Gate plan'!$A$4:$A$353,C69,'Gate plan'!$K$4:$K$353,"&lt;&gt;")&gt;0,COUNTIFS('Gate plan'!$A$4:$A$353,C69,'Gate plan'!$K$4:$K$353,O69)=0),"Plan UC-ID differs from event UC-ID",IF(AND(E69="Assurance opinion",J69=""),"Assurance opinion ref missing",IF(AND(G69="Opinion only",E69&lt;&gt;"Assurance opinion",E69&lt;&gt;"Review only"),"Opinion only is for Assurance opinion or Review only events",IF(AND(G69="No decision",E69&lt;&gt;"Review only",E69&lt;&gt;"Priority override",E69&lt;&gt;"Intake / registration"),"No decision is for Review only, Priority override or Intake / registration events",IF(OR(ISNUMBER(SEARCH(" ",TRIM(O69))),ISNUMBER(SEARCH("/",O69))),"One UC-ID per event row: split this event",IF(AND(E69="Precautionary pause (containment)",ISNUMBER(W69),ISNUMBER(F69),W69&lt;F69),"Follow-up decision due date is before the pause",IF(AND(G69="Resume",IFERROR(LOOKUP(2,1/(($B$3:B68=B69)*($O$3:O68=O69)),$G$3:G68),"")&lt;&gt;"Paused — pending decision"),"Resume is only for the event straight after a Precautionary pause on the same AIR-ID and UC-ID (in an earlier row)",IF(AND(E69="Decision",OR(G69="Progress",G69="Progress with condition",G69="Re-authorise",G69="Resume"),X69&lt;&gt;"Yes"),"Decision-maker has not confirmed the screening was considered (column X)","Check against source")))))))))))))))))))))))))))))</f>
        <v/>
      </c>
      <c r="O69" s="37" t="n"/>
      <c r="P69" s="37" t="n"/>
      <c r="Q69" s="14">
        <f>IF(A69="","",IF(E69&lt;&gt;"Decision","",IF(P69="UC-ID specific",IF(O69="","UC-ID REQUIRED","Check source decision for each UC-ID"),IF(P69="Shared system baseline",IF(O69&lt;&gt;"","REMOVE UC-ID OR CORRECT SCOPE","Baseline only — NOT UC approval"),"Decision scope missing"))))</f>
        <v/>
      </c>
      <c r="R69" s="43" t="n"/>
      <c r="S69" s="40" t="n"/>
      <c r="T69" s="40" t="n"/>
      <c r="U69" s="40" t="n"/>
      <c r="V69" s="40" t="n"/>
      <c r="W69" s="41" t="n"/>
      <c r="X69" s="38" t="n"/>
    </row>
    <row r="70">
      <c r="A70" s="38" t="n"/>
      <c r="B70" s="38" t="n"/>
      <c r="C70" s="38" t="n"/>
      <c r="D70" s="38" t="n"/>
      <c r="E70" s="38" t="n"/>
      <c r="F70" s="39" t="n"/>
      <c r="G70" s="38" t="n"/>
      <c r="H70" s="38" t="n"/>
      <c r="I70" s="38" t="n"/>
      <c r="J70" s="38" t="n"/>
      <c r="K70" s="38" t="n"/>
      <c r="L70" s="38" t="n"/>
      <c r="M70" s="38" t="n"/>
      <c r="N70" s="22">
        <f>IF(COUNTA(A70:M70,O70:P70,R70:X70)=0,"",IF(OR(A70="",B70="",F70=""),"Event ID, AIR-ID or date missing",IF(COUNTIF($A$4:$A$553,A70)&gt;1,"Duplicate Event ID",IF(E70="","Event type missing",IF(OR(NOT(ISNUMBER(F70)),F70&gt;TODAY()),"Date is not a real date or is in the future",IF(AND(C70&lt;&gt;"",COUNTIF('Gate plan'!$A$4:$A$353,C70)=0),"Plan ID not found in Gate plan",IF(AND(C70&lt;&gt;"",COUNTIFS('Gate plan'!$A$4:$A$353,C70,'Gate plan'!$B$4:$B$353,B70)=0),"Plan AIR-ID differs from event",IF(D70="","Gate / forum missing",IF(AND(E70="Precautionary pause (containment)",G70&lt;&gt;"Paused — pending decision"),"Precautionary pause: Outcome must be Paused, pending decision",IF(AND(E70="Precautionary pause (containment)",V70=""),"Precautionary pause: AIG-OPS-03 incident ref missing",IF(AND(E70="Precautionary pause (containment)",NOT(ISNUMBER(W70))),"Precautionary pause: follow-up decision due date missing",IF(AND(G70="Paused — pending decision",E70&lt;&gt;"Precautionary pause (containment)"),"Paused, pending decision is only for a Precautionary pause event",IF(AND(E70="Decision",OR(G70="",H70="",I70="")),"Outcome / delegation / decision ref missing",IF(AND(E70="Decision",NOT(OR(G70="Progress",G70="Progress with condition",G70="Return for evidence",G70="Pause",G70="Stop",G70="Suspend",G70="Decommission",G70="Re-authorise",G70="Resume"))),"Decision event needs a decision outcome",IF(AND(E70="Priority override",OR(H70="",I70="")),"Decision-maker / AIG-DEC-03 ref missing",IF(AND(E70="Priority override",G70&lt;&gt;"",G70&lt;&gt;"No decision"),"Priority override: Outcome blank or No decision",IF(AND(E70&lt;&gt;"Decision",OR(G70="Progress",G70="Progress with condition",G70="Return for evidence",G70="Pause",G70="Stop",G70="Suspend",G70="Decommission",G70="Re-authorise",G70="Resume")),"Outcome implies decision",IF(OR(ISNUMBER(SEARCH(",",O70)),ISNUMBER(SEARCH(";",O70))),"One UC-ID per event row — split this event",IF(AND(E70="Decision",OR(Q70="UC-ID REQUIRED",Q70="Decision scope missing",Q70="REMOVE UC-ID OR CORRECT SCOPE")),"Decision scope missing",IF(AND(G70="Progress with condition",COUNTIF(Conditions!$B$4:$B$553,A70)=0),"Progress with condition needs at least one Conditions row",IF(AND(C70&lt;&gt;"",COUNTIFS('Gate plan'!$A$4:$A$353,C70,'Gate plan'!$C$4:$C$353,D70)=0),"Plan gate differs from event gate",IF(AND(C70&lt;&gt;"",O70&lt;&gt;"",COUNTIFS('Gate plan'!$A$4:$A$353,C70,'Gate plan'!$K$4:$K$353,"&lt;&gt;")&gt;0,COUNTIFS('Gate plan'!$A$4:$A$353,C70,'Gate plan'!$K$4:$K$353,O70)=0),"Plan UC-ID differs from event UC-ID",IF(AND(E70="Assurance opinion",J70=""),"Assurance opinion ref missing",IF(AND(G70="Opinion only",E70&lt;&gt;"Assurance opinion",E70&lt;&gt;"Review only"),"Opinion only is for Assurance opinion or Review only events",IF(AND(G70="No decision",E70&lt;&gt;"Review only",E70&lt;&gt;"Priority override",E70&lt;&gt;"Intake / registration"),"No decision is for Review only, Priority override or Intake / registration events",IF(OR(ISNUMBER(SEARCH(" ",TRIM(O70))),ISNUMBER(SEARCH("/",O70))),"One UC-ID per event row: split this event",IF(AND(E70="Precautionary pause (containment)",ISNUMBER(W70),ISNUMBER(F70),W70&lt;F70),"Follow-up decision due date is before the pause",IF(AND(G70="Resume",IFERROR(LOOKUP(2,1/(($B$3:B69=B70)*($O$3:O69=O70)),$G$3:G69),"")&lt;&gt;"Paused — pending decision"),"Resume is only for the event straight after a Precautionary pause on the same AIR-ID and UC-ID (in an earlier row)",IF(AND(E70="Decision",OR(G70="Progress",G70="Progress with condition",G70="Re-authorise",G70="Resume"),X70&lt;&gt;"Yes"),"Decision-maker has not confirmed the screening was considered (column X)","Check against source")))))))))))))))))))))))))))))</f>
        <v/>
      </c>
      <c r="O70" s="37" t="n"/>
      <c r="P70" s="37" t="n"/>
      <c r="Q70" s="14">
        <f>IF(A70="","",IF(E70&lt;&gt;"Decision","",IF(P70="UC-ID specific",IF(O70="","UC-ID REQUIRED","Check source decision for each UC-ID"),IF(P70="Shared system baseline",IF(O70&lt;&gt;"","REMOVE UC-ID OR CORRECT SCOPE","Baseline only — NOT UC approval"),"Decision scope missing"))))</f>
        <v/>
      </c>
      <c r="R70" s="42" t="n"/>
      <c r="S70" s="38" t="n"/>
      <c r="T70" s="38" t="n"/>
      <c r="U70" s="38" t="n"/>
      <c r="V70" s="38" t="n"/>
      <c r="W70" s="39" t="n"/>
      <c r="X70" s="38" t="n"/>
    </row>
    <row r="71">
      <c r="A71" s="40" t="n"/>
      <c r="B71" s="40" t="n"/>
      <c r="C71" s="40" t="n"/>
      <c r="D71" s="40" t="n"/>
      <c r="E71" s="40" t="n"/>
      <c r="F71" s="41" t="n"/>
      <c r="G71" s="40" t="n"/>
      <c r="H71" s="40" t="n"/>
      <c r="I71" s="40" t="n"/>
      <c r="J71" s="40" t="n"/>
      <c r="K71" s="40" t="n"/>
      <c r="L71" s="40" t="n"/>
      <c r="M71" s="40" t="n"/>
      <c r="N71" s="24">
        <f>IF(COUNTA(A71:M71,O71:P71,R71:X71)=0,"",IF(OR(A71="",B71="",F71=""),"Event ID, AIR-ID or date missing",IF(COUNTIF($A$4:$A$553,A71)&gt;1,"Duplicate Event ID",IF(E71="","Event type missing",IF(OR(NOT(ISNUMBER(F71)),F71&gt;TODAY()),"Date is not a real date or is in the future",IF(AND(C71&lt;&gt;"",COUNTIF('Gate plan'!$A$4:$A$353,C71)=0),"Plan ID not found in Gate plan",IF(AND(C71&lt;&gt;"",COUNTIFS('Gate plan'!$A$4:$A$353,C71,'Gate plan'!$B$4:$B$353,B71)=0),"Plan AIR-ID differs from event",IF(D71="","Gate / forum missing",IF(AND(E71="Precautionary pause (containment)",G71&lt;&gt;"Paused — pending decision"),"Precautionary pause: Outcome must be Paused, pending decision",IF(AND(E71="Precautionary pause (containment)",V71=""),"Precautionary pause: AIG-OPS-03 incident ref missing",IF(AND(E71="Precautionary pause (containment)",NOT(ISNUMBER(W71))),"Precautionary pause: follow-up decision due date missing",IF(AND(G71="Paused — pending decision",E71&lt;&gt;"Precautionary pause (containment)"),"Paused, pending decision is only for a Precautionary pause event",IF(AND(E71="Decision",OR(G71="",H71="",I71="")),"Outcome / delegation / decision ref missing",IF(AND(E71="Decision",NOT(OR(G71="Progress",G71="Progress with condition",G71="Return for evidence",G71="Pause",G71="Stop",G71="Suspend",G71="Decommission",G71="Re-authorise",G71="Resume"))),"Decision event needs a decision outcome",IF(AND(E71="Priority override",OR(H71="",I71="")),"Decision-maker / AIG-DEC-03 ref missing",IF(AND(E71="Priority override",G71&lt;&gt;"",G71&lt;&gt;"No decision"),"Priority override: Outcome blank or No decision",IF(AND(E71&lt;&gt;"Decision",OR(G71="Progress",G71="Progress with condition",G71="Return for evidence",G71="Pause",G71="Stop",G71="Suspend",G71="Decommission",G71="Re-authorise",G71="Resume")),"Outcome implies decision",IF(OR(ISNUMBER(SEARCH(",",O71)),ISNUMBER(SEARCH(";",O71))),"One UC-ID per event row — split this event",IF(AND(E71="Decision",OR(Q71="UC-ID REQUIRED",Q71="Decision scope missing",Q71="REMOVE UC-ID OR CORRECT SCOPE")),"Decision scope missing",IF(AND(G71="Progress with condition",COUNTIF(Conditions!$B$4:$B$553,A71)=0),"Progress with condition needs at least one Conditions row",IF(AND(C71&lt;&gt;"",COUNTIFS('Gate plan'!$A$4:$A$353,C71,'Gate plan'!$C$4:$C$353,D71)=0),"Plan gate differs from event gate",IF(AND(C71&lt;&gt;"",O71&lt;&gt;"",COUNTIFS('Gate plan'!$A$4:$A$353,C71,'Gate plan'!$K$4:$K$353,"&lt;&gt;")&gt;0,COUNTIFS('Gate plan'!$A$4:$A$353,C71,'Gate plan'!$K$4:$K$353,O71)=0),"Plan UC-ID differs from event UC-ID",IF(AND(E71="Assurance opinion",J71=""),"Assurance opinion ref missing",IF(AND(G71="Opinion only",E71&lt;&gt;"Assurance opinion",E71&lt;&gt;"Review only"),"Opinion only is for Assurance opinion or Review only events",IF(AND(G71="No decision",E71&lt;&gt;"Review only",E71&lt;&gt;"Priority override",E71&lt;&gt;"Intake / registration"),"No decision is for Review only, Priority override or Intake / registration events",IF(OR(ISNUMBER(SEARCH(" ",TRIM(O71))),ISNUMBER(SEARCH("/",O71))),"One UC-ID per event row: split this event",IF(AND(E71="Precautionary pause (containment)",ISNUMBER(W71),ISNUMBER(F71),W71&lt;F71),"Follow-up decision due date is before the pause",IF(AND(G71="Resume",IFERROR(LOOKUP(2,1/(($B$3:B70=B71)*($O$3:O70=O71)),$G$3:G70),"")&lt;&gt;"Paused — pending decision"),"Resume is only for the event straight after a Precautionary pause on the same AIR-ID and UC-ID (in an earlier row)",IF(AND(E71="Decision",OR(G71="Progress",G71="Progress with condition",G71="Re-authorise",G71="Resume"),X71&lt;&gt;"Yes"),"Decision-maker has not confirmed the screening was considered (column X)","Check against source")))))))))))))))))))))))))))))</f>
        <v/>
      </c>
      <c r="O71" s="37" t="n"/>
      <c r="P71" s="37" t="n"/>
      <c r="Q71" s="14">
        <f>IF(A71="","",IF(E71&lt;&gt;"Decision","",IF(P71="UC-ID specific",IF(O71="","UC-ID REQUIRED","Check source decision for each UC-ID"),IF(P71="Shared system baseline",IF(O71&lt;&gt;"","REMOVE UC-ID OR CORRECT SCOPE","Baseline only — NOT UC approval"),"Decision scope missing"))))</f>
        <v/>
      </c>
      <c r="R71" s="43" t="n"/>
      <c r="S71" s="40" t="n"/>
      <c r="T71" s="40" t="n"/>
      <c r="U71" s="40" t="n"/>
      <c r="V71" s="40" t="n"/>
      <c r="W71" s="41" t="n"/>
      <c r="X71" s="38" t="n"/>
    </row>
    <row r="72">
      <c r="A72" s="38" t="n"/>
      <c r="B72" s="38" t="n"/>
      <c r="C72" s="38" t="n"/>
      <c r="D72" s="38" t="n"/>
      <c r="E72" s="38" t="n"/>
      <c r="F72" s="39" t="n"/>
      <c r="G72" s="38" t="n"/>
      <c r="H72" s="38" t="n"/>
      <c r="I72" s="38" t="n"/>
      <c r="J72" s="38" t="n"/>
      <c r="K72" s="38" t="n"/>
      <c r="L72" s="38" t="n"/>
      <c r="M72" s="38" t="n"/>
      <c r="N72" s="22">
        <f>IF(COUNTA(A72:M72,O72:P72,R72:X72)=0,"",IF(OR(A72="",B72="",F72=""),"Event ID, AIR-ID or date missing",IF(COUNTIF($A$4:$A$553,A72)&gt;1,"Duplicate Event ID",IF(E72="","Event type missing",IF(OR(NOT(ISNUMBER(F72)),F72&gt;TODAY()),"Date is not a real date or is in the future",IF(AND(C72&lt;&gt;"",COUNTIF('Gate plan'!$A$4:$A$353,C72)=0),"Plan ID not found in Gate plan",IF(AND(C72&lt;&gt;"",COUNTIFS('Gate plan'!$A$4:$A$353,C72,'Gate plan'!$B$4:$B$353,B72)=0),"Plan AIR-ID differs from event",IF(D72="","Gate / forum missing",IF(AND(E72="Precautionary pause (containment)",G72&lt;&gt;"Paused — pending decision"),"Precautionary pause: Outcome must be Paused, pending decision",IF(AND(E72="Precautionary pause (containment)",V72=""),"Precautionary pause: AIG-OPS-03 incident ref missing",IF(AND(E72="Precautionary pause (containment)",NOT(ISNUMBER(W72))),"Precautionary pause: follow-up decision due date missing",IF(AND(G72="Paused — pending decision",E72&lt;&gt;"Precautionary pause (containment)"),"Paused, pending decision is only for a Precautionary pause event",IF(AND(E72="Decision",OR(G72="",H72="",I72="")),"Outcome / delegation / decision ref missing",IF(AND(E72="Decision",NOT(OR(G72="Progress",G72="Progress with condition",G72="Return for evidence",G72="Pause",G72="Stop",G72="Suspend",G72="Decommission",G72="Re-authorise",G72="Resume"))),"Decision event needs a decision outcome",IF(AND(E72="Priority override",OR(H72="",I72="")),"Decision-maker / AIG-DEC-03 ref missing",IF(AND(E72="Priority override",G72&lt;&gt;"",G72&lt;&gt;"No decision"),"Priority override: Outcome blank or No decision",IF(AND(E72&lt;&gt;"Decision",OR(G72="Progress",G72="Progress with condition",G72="Return for evidence",G72="Pause",G72="Stop",G72="Suspend",G72="Decommission",G72="Re-authorise",G72="Resume")),"Outcome implies decision",IF(OR(ISNUMBER(SEARCH(",",O72)),ISNUMBER(SEARCH(";",O72))),"One UC-ID per event row — split this event",IF(AND(E72="Decision",OR(Q72="UC-ID REQUIRED",Q72="Decision scope missing",Q72="REMOVE UC-ID OR CORRECT SCOPE")),"Decision scope missing",IF(AND(G72="Progress with condition",COUNTIF(Conditions!$B$4:$B$553,A72)=0),"Progress with condition needs at least one Conditions row",IF(AND(C72&lt;&gt;"",COUNTIFS('Gate plan'!$A$4:$A$353,C72,'Gate plan'!$C$4:$C$353,D72)=0),"Plan gate differs from event gate",IF(AND(C72&lt;&gt;"",O72&lt;&gt;"",COUNTIFS('Gate plan'!$A$4:$A$353,C72,'Gate plan'!$K$4:$K$353,"&lt;&gt;")&gt;0,COUNTIFS('Gate plan'!$A$4:$A$353,C72,'Gate plan'!$K$4:$K$353,O72)=0),"Plan UC-ID differs from event UC-ID",IF(AND(E72="Assurance opinion",J72=""),"Assurance opinion ref missing",IF(AND(G72="Opinion only",E72&lt;&gt;"Assurance opinion",E72&lt;&gt;"Review only"),"Opinion only is for Assurance opinion or Review only events",IF(AND(G72="No decision",E72&lt;&gt;"Review only",E72&lt;&gt;"Priority override",E72&lt;&gt;"Intake / registration"),"No decision is for Review only, Priority override or Intake / registration events",IF(OR(ISNUMBER(SEARCH(" ",TRIM(O72))),ISNUMBER(SEARCH("/",O72))),"One UC-ID per event row: split this event",IF(AND(E72="Precautionary pause (containment)",ISNUMBER(W72),ISNUMBER(F72),W72&lt;F72),"Follow-up decision due date is before the pause",IF(AND(G72="Resume",IFERROR(LOOKUP(2,1/(($B$3:B71=B72)*($O$3:O71=O72)),$G$3:G71),"")&lt;&gt;"Paused — pending decision"),"Resume is only for the event straight after a Precautionary pause on the same AIR-ID and UC-ID (in an earlier row)",IF(AND(E72="Decision",OR(G72="Progress",G72="Progress with condition",G72="Re-authorise",G72="Resume"),X72&lt;&gt;"Yes"),"Decision-maker has not confirmed the screening was considered (column X)","Check against source")))))))))))))))))))))))))))))</f>
        <v/>
      </c>
      <c r="O72" s="37" t="n"/>
      <c r="P72" s="37" t="n"/>
      <c r="Q72" s="14">
        <f>IF(A72="","",IF(E72&lt;&gt;"Decision","",IF(P72="UC-ID specific",IF(O72="","UC-ID REQUIRED","Check source decision for each UC-ID"),IF(P72="Shared system baseline",IF(O72&lt;&gt;"","REMOVE UC-ID OR CORRECT SCOPE","Baseline only — NOT UC approval"),"Decision scope missing"))))</f>
        <v/>
      </c>
      <c r="R72" s="42" t="n"/>
      <c r="S72" s="38" t="n"/>
      <c r="T72" s="38" t="n"/>
      <c r="U72" s="38" t="n"/>
      <c r="V72" s="38" t="n"/>
      <c r="W72" s="39" t="n"/>
      <c r="X72" s="38" t="n"/>
    </row>
    <row r="73">
      <c r="A73" s="40" t="n"/>
      <c r="B73" s="40" t="n"/>
      <c r="C73" s="40" t="n"/>
      <c r="D73" s="40" t="n"/>
      <c r="E73" s="40" t="n"/>
      <c r="F73" s="41" t="n"/>
      <c r="G73" s="40" t="n"/>
      <c r="H73" s="40" t="n"/>
      <c r="I73" s="40" t="n"/>
      <c r="J73" s="40" t="n"/>
      <c r="K73" s="40" t="n"/>
      <c r="L73" s="40" t="n"/>
      <c r="M73" s="40" t="n"/>
      <c r="N73" s="24">
        <f>IF(COUNTA(A73:M73,O73:P73,R73:X73)=0,"",IF(OR(A73="",B73="",F73=""),"Event ID, AIR-ID or date missing",IF(COUNTIF($A$4:$A$553,A73)&gt;1,"Duplicate Event ID",IF(E73="","Event type missing",IF(OR(NOT(ISNUMBER(F73)),F73&gt;TODAY()),"Date is not a real date or is in the future",IF(AND(C73&lt;&gt;"",COUNTIF('Gate plan'!$A$4:$A$353,C73)=0),"Plan ID not found in Gate plan",IF(AND(C73&lt;&gt;"",COUNTIFS('Gate plan'!$A$4:$A$353,C73,'Gate plan'!$B$4:$B$353,B73)=0),"Plan AIR-ID differs from event",IF(D73="","Gate / forum missing",IF(AND(E73="Precautionary pause (containment)",G73&lt;&gt;"Paused — pending decision"),"Precautionary pause: Outcome must be Paused, pending decision",IF(AND(E73="Precautionary pause (containment)",V73=""),"Precautionary pause: AIG-OPS-03 incident ref missing",IF(AND(E73="Precautionary pause (containment)",NOT(ISNUMBER(W73))),"Precautionary pause: follow-up decision due date missing",IF(AND(G73="Paused — pending decision",E73&lt;&gt;"Precautionary pause (containment)"),"Paused, pending decision is only for a Precautionary pause event",IF(AND(E73="Decision",OR(G73="",H73="",I73="")),"Outcome / delegation / decision ref missing",IF(AND(E73="Decision",NOT(OR(G73="Progress",G73="Progress with condition",G73="Return for evidence",G73="Pause",G73="Stop",G73="Suspend",G73="Decommission",G73="Re-authorise",G73="Resume"))),"Decision event needs a decision outcome",IF(AND(E73="Priority override",OR(H73="",I73="")),"Decision-maker / AIG-DEC-03 ref missing",IF(AND(E73="Priority override",G73&lt;&gt;"",G73&lt;&gt;"No decision"),"Priority override: Outcome blank or No decision",IF(AND(E73&lt;&gt;"Decision",OR(G73="Progress",G73="Progress with condition",G73="Return for evidence",G73="Pause",G73="Stop",G73="Suspend",G73="Decommission",G73="Re-authorise",G73="Resume")),"Outcome implies decision",IF(OR(ISNUMBER(SEARCH(",",O73)),ISNUMBER(SEARCH(";",O73))),"One UC-ID per event row — split this event",IF(AND(E73="Decision",OR(Q73="UC-ID REQUIRED",Q73="Decision scope missing",Q73="REMOVE UC-ID OR CORRECT SCOPE")),"Decision scope missing",IF(AND(G73="Progress with condition",COUNTIF(Conditions!$B$4:$B$553,A73)=0),"Progress with condition needs at least one Conditions row",IF(AND(C73&lt;&gt;"",COUNTIFS('Gate plan'!$A$4:$A$353,C73,'Gate plan'!$C$4:$C$353,D73)=0),"Plan gate differs from event gate",IF(AND(C73&lt;&gt;"",O73&lt;&gt;"",COUNTIFS('Gate plan'!$A$4:$A$353,C73,'Gate plan'!$K$4:$K$353,"&lt;&gt;")&gt;0,COUNTIFS('Gate plan'!$A$4:$A$353,C73,'Gate plan'!$K$4:$K$353,O73)=0),"Plan UC-ID differs from event UC-ID",IF(AND(E73="Assurance opinion",J73=""),"Assurance opinion ref missing",IF(AND(G73="Opinion only",E73&lt;&gt;"Assurance opinion",E73&lt;&gt;"Review only"),"Opinion only is for Assurance opinion or Review only events",IF(AND(G73="No decision",E73&lt;&gt;"Review only",E73&lt;&gt;"Priority override",E73&lt;&gt;"Intake / registration"),"No decision is for Review only, Priority override or Intake / registration events",IF(OR(ISNUMBER(SEARCH(" ",TRIM(O73))),ISNUMBER(SEARCH("/",O73))),"One UC-ID per event row: split this event",IF(AND(E73="Precautionary pause (containment)",ISNUMBER(W73),ISNUMBER(F73),W73&lt;F73),"Follow-up decision due date is before the pause",IF(AND(G73="Resume",IFERROR(LOOKUP(2,1/(($B$3:B72=B73)*($O$3:O72=O73)),$G$3:G72),"")&lt;&gt;"Paused — pending decision"),"Resume is only for the event straight after a Precautionary pause on the same AIR-ID and UC-ID (in an earlier row)",IF(AND(E73="Decision",OR(G73="Progress",G73="Progress with condition",G73="Re-authorise",G73="Resume"),X73&lt;&gt;"Yes"),"Decision-maker has not confirmed the screening was considered (column X)","Check against source")))))))))))))))))))))))))))))</f>
        <v/>
      </c>
      <c r="O73" s="37" t="n"/>
      <c r="P73" s="37" t="n"/>
      <c r="Q73" s="14">
        <f>IF(A73="","",IF(E73&lt;&gt;"Decision","",IF(P73="UC-ID specific",IF(O73="","UC-ID REQUIRED","Check source decision for each UC-ID"),IF(P73="Shared system baseline",IF(O73&lt;&gt;"","REMOVE UC-ID OR CORRECT SCOPE","Baseline only — NOT UC approval"),"Decision scope missing"))))</f>
        <v/>
      </c>
      <c r="R73" s="43" t="n"/>
      <c r="S73" s="40" t="n"/>
      <c r="T73" s="40" t="n"/>
      <c r="U73" s="40" t="n"/>
      <c r="V73" s="40" t="n"/>
      <c r="W73" s="41" t="n"/>
      <c r="X73" s="38" t="n"/>
    </row>
    <row r="74">
      <c r="A74" s="38" t="n"/>
      <c r="B74" s="38" t="n"/>
      <c r="C74" s="38" t="n"/>
      <c r="D74" s="38" t="n"/>
      <c r="E74" s="38" t="n"/>
      <c r="F74" s="39" t="n"/>
      <c r="G74" s="38" t="n"/>
      <c r="H74" s="38" t="n"/>
      <c r="I74" s="38" t="n"/>
      <c r="J74" s="38" t="n"/>
      <c r="K74" s="38" t="n"/>
      <c r="L74" s="38" t="n"/>
      <c r="M74" s="38" t="n"/>
      <c r="N74" s="22">
        <f>IF(COUNTA(A74:M74,O74:P74,R74:X74)=0,"",IF(OR(A74="",B74="",F74=""),"Event ID, AIR-ID or date missing",IF(COUNTIF($A$4:$A$553,A74)&gt;1,"Duplicate Event ID",IF(E74="","Event type missing",IF(OR(NOT(ISNUMBER(F74)),F74&gt;TODAY()),"Date is not a real date or is in the future",IF(AND(C74&lt;&gt;"",COUNTIF('Gate plan'!$A$4:$A$353,C74)=0),"Plan ID not found in Gate plan",IF(AND(C74&lt;&gt;"",COUNTIFS('Gate plan'!$A$4:$A$353,C74,'Gate plan'!$B$4:$B$353,B74)=0),"Plan AIR-ID differs from event",IF(D74="","Gate / forum missing",IF(AND(E74="Precautionary pause (containment)",G74&lt;&gt;"Paused — pending decision"),"Precautionary pause: Outcome must be Paused, pending decision",IF(AND(E74="Precautionary pause (containment)",V74=""),"Precautionary pause: AIG-OPS-03 incident ref missing",IF(AND(E74="Precautionary pause (containment)",NOT(ISNUMBER(W74))),"Precautionary pause: follow-up decision due date missing",IF(AND(G74="Paused — pending decision",E74&lt;&gt;"Precautionary pause (containment)"),"Paused, pending decision is only for a Precautionary pause event",IF(AND(E74="Decision",OR(G74="",H74="",I74="")),"Outcome / delegation / decision ref missing",IF(AND(E74="Decision",NOT(OR(G74="Progress",G74="Progress with condition",G74="Return for evidence",G74="Pause",G74="Stop",G74="Suspend",G74="Decommission",G74="Re-authorise",G74="Resume"))),"Decision event needs a decision outcome",IF(AND(E74="Priority override",OR(H74="",I74="")),"Decision-maker / AIG-DEC-03 ref missing",IF(AND(E74="Priority override",G74&lt;&gt;"",G74&lt;&gt;"No decision"),"Priority override: Outcome blank or No decision",IF(AND(E74&lt;&gt;"Decision",OR(G74="Progress",G74="Progress with condition",G74="Return for evidence",G74="Pause",G74="Stop",G74="Suspend",G74="Decommission",G74="Re-authorise",G74="Resume")),"Outcome implies decision",IF(OR(ISNUMBER(SEARCH(",",O74)),ISNUMBER(SEARCH(";",O74))),"One UC-ID per event row — split this event",IF(AND(E74="Decision",OR(Q74="UC-ID REQUIRED",Q74="Decision scope missing",Q74="REMOVE UC-ID OR CORRECT SCOPE")),"Decision scope missing",IF(AND(G74="Progress with condition",COUNTIF(Conditions!$B$4:$B$553,A74)=0),"Progress with condition needs at least one Conditions row",IF(AND(C74&lt;&gt;"",COUNTIFS('Gate plan'!$A$4:$A$353,C74,'Gate plan'!$C$4:$C$353,D74)=0),"Plan gate differs from event gate",IF(AND(C74&lt;&gt;"",O74&lt;&gt;"",COUNTIFS('Gate plan'!$A$4:$A$353,C74,'Gate plan'!$K$4:$K$353,"&lt;&gt;")&gt;0,COUNTIFS('Gate plan'!$A$4:$A$353,C74,'Gate plan'!$K$4:$K$353,O74)=0),"Plan UC-ID differs from event UC-ID",IF(AND(E74="Assurance opinion",J74=""),"Assurance opinion ref missing",IF(AND(G74="Opinion only",E74&lt;&gt;"Assurance opinion",E74&lt;&gt;"Review only"),"Opinion only is for Assurance opinion or Review only events",IF(AND(G74="No decision",E74&lt;&gt;"Review only",E74&lt;&gt;"Priority override",E74&lt;&gt;"Intake / registration"),"No decision is for Review only, Priority override or Intake / registration events",IF(OR(ISNUMBER(SEARCH(" ",TRIM(O74))),ISNUMBER(SEARCH("/",O74))),"One UC-ID per event row: split this event",IF(AND(E74="Precautionary pause (containment)",ISNUMBER(W74),ISNUMBER(F74),W74&lt;F74),"Follow-up decision due date is before the pause",IF(AND(G74="Resume",IFERROR(LOOKUP(2,1/(($B$3:B73=B74)*($O$3:O73=O74)),$G$3:G73),"")&lt;&gt;"Paused — pending decision"),"Resume is only for the event straight after a Precautionary pause on the same AIR-ID and UC-ID (in an earlier row)",IF(AND(E74="Decision",OR(G74="Progress",G74="Progress with condition",G74="Re-authorise",G74="Resume"),X74&lt;&gt;"Yes"),"Decision-maker has not confirmed the screening was considered (column X)","Check against source")))))))))))))))))))))))))))))</f>
        <v/>
      </c>
      <c r="O74" s="37" t="n"/>
      <c r="P74" s="37" t="n"/>
      <c r="Q74" s="14">
        <f>IF(A74="","",IF(E74&lt;&gt;"Decision","",IF(P74="UC-ID specific",IF(O74="","UC-ID REQUIRED","Check source decision for each UC-ID"),IF(P74="Shared system baseline",IF(O74&lt;&gt;"","REMOVE UC-ID OR CORRECT SCOPE","Baseline only — NOT UC approval"),"Decision scope missing"))))</f>
        <v/>
      </c>
      <c r="R74" s="42" t="n"/>
      <c r="S74" s="38" t="n"/>
      <c r="T74" s="38" t="n"/>
      <c r="U74" s="38" t="n"/>
      <c r="V74" s="38" t="n"/>
      <c r="W74" s="39" t="n"/>
      <c r="X74" s="38" t="n"/>
    </row>
    <row r="75">
      <c r="A75" s="40" t="n"/>
      <c r="B75" s="40" t="n"/>
      <c r="C75" s="40" t="n"/>
      <c r="D75" s="40" t="n"/>
      <c r="E75" s="40" t="n"/>
      <c r="F75" s="41" t="n"/>
      <c r="G75" s="40" t="n"/>
      <c r="H75" s="40" t="n"/>
      <c r="I75" s="40" t="n"/>
      <c r="J75" s="40" t="n"/>
      <c r="K75" s="40" t="n"/>
      <c r="L75" s="40" t="n"/>
      <c r="M75" s="40" t="n"/>
      <c r="N75" s="24">
        <f>IF(COUNTA(A75:M75,O75:P75,R75:X75)=0,"",IF(OR(A75="",B75="",F75=""),"Event ID, AIR-ID or date missing",IF(COUNTIF($A$4:$A$553,A75)&gt;1,"Duplicate Event ID",IF(E75="","Event type missing",IF(OR(NOT(ISNUMBER(F75)),F75&gt;TODAY()),"Date is not a real date or is in the future",IF(AND(C75&lt;&gt;"",COUNTIF('Gate plan'!$A$4:$A$353,C75)=0),"Plan ID not found in Gate plan",IF(AND(C75&lt;&gt;"",COUNTIFS('Gate plan'!$A$4:$A$353,C75,'Gate plan'!$B$4:$B$353,B75)=0),"Plan AIR-ID differs from event",IF(D75="","Gate / forum missing",IF(AND(E75="Precautionary pause (containment)",G75&lt;&gt;"Paused — pending decision"),"Precautionary pause: Outcome must be Paused, pending decision",IF(AND(E75="Precautionary pause (containment)",V75=""),"Precautionary pause: AIG-OPS-03 incident ref missing",IF(AND(E75="Precautionary pause (containment)",NOT(ISNUMBER(W75))),"Precautionary pause: follow-up decision due date missing",IF(AND(G75="Paused — pending decision",E75&lt;&gt;"Precautionary pause (containment)"),"Paused, pending decision is only for a Precautionary pause event",IF(AND(E75="Decision",OR(G75="",H75="",I75="")),"Outcome / delegation / decision ref missing",IF(AND(E75="Decision",NOT(OR(G75="Progress",G75="Progress with condition",G75="Return for evidence",G75="Pause",G75="Stop",G75="Suspend",G75="Decommission",G75="Re-authorise",G75="Resume"))),"Decision event needs a decision outcome",IF(AND(E75="Priority override",OR(H75="",I75="")),"Decision-maker / AIG-DEC-03 ref missing",IF(AND(E75="Priority override",G75&lt;&gt;"",G75&lt;&gt;"No decision"),"Priority override: Outcome blank or No decision",IF(AND(E75&lt;&gt;"Decision",OR(G75="Progress",G75="Progress with condition",G75="Return for evidence",G75="Pause",G75="Stop",G75="Suspend",G75="Decommission",G75="Re-authorise",G75="Resume")),"Outcome implies decision",IF(OR(ISNUMBER(SEARCH(",",O75)),ISNUMBER(SEARCH(";",O75))),"One UC-ID per event row — split this event",IF(AND(E75="Decision",OR(Q75="UC-ID REQUIRED",Q75="Decision scope missing",Q75="REMOVE UC-ID OR CORRECT SCOPE")),"Decision scope missing",IF(AND(G75="Progress with condition",COUNTIF(Conditions!$B$4:$B$553,A75)=0),"Progress with condition needs at least one Conditions row",IF(AND(C75&lt;&gt;"",COUNTIFS('Gate plan'!$A$4:$A$353,C75,'Gate plan'!$C$4:$C$353,D75)=0),"Plan gate differs from event gate",IF(AND(C75&lt;&gt;"",O75&lt;&gt;"",COUNTIFS('Gate plan'!$A$4:$A$353,C75,'Gate plan'!$K$4:$K$353,"&lt;&gt;")&gt;0,COUNTIFS('Gate plan'!$A$4:$A$353,C75,'Gate plan'!$K$4:$K$353,O75)=0),"Plan UC-ID differs from event UC-ID",IF(AND(E75="Assurance opinion",J75=""),"Assurance opinion ref missing",IF(AND(G75="Opinion only",E75&lt;&gt;"Assurance opinion",E75&lt;&gt;"Review only"),"Opinion only is for Assurance opinion or Review only events",IF(AND(G75="No decision",E75&lt;&gt;"Review only",E75&lt;&gt;"Priority override",E75&lt;&gt;"Intake / registration"),"No decision is for Review only, Priority override or Intake / registration events",IF(OR(ISNUMBER(SEARCH(" ",TRIM(O75))),ISNUMBER(SEARCH("/",O75))),"One UC-ID per event row: split this event",IF(AND(E75="Precautionary pause (containment)",ISNUMBER(W75),ISNUMBER(F75),W75&lt;F75),"Follow-up decision due date is before the pause",IF(AND(G75="Resume",IFERROR(LOOKUP(2,1/(($B$3:B74=B75)*($O$3:O74=O75)),$G$3:G74),"")&lt;&gt;"Paused — pending decision"),"Resume is only for the event straight after a Precautionary pause on the same AIR-ID and UC-ID (in an earlier row)",IF(AND(E75="Decision",OR(G75="Progress",G75="Progress with condition",G75="Re-authorise",G75="Resume"),X75&lt;&gt;"Yes"),"Decision-maker has not confirmed the screening was considered (column X)","Check against source")))))))))))))))))))))))))))))</f>
        <v/>
      </c>
      <c r="O75" s="37" t="n"/>
      <c r="P75" s="37" t="n"/>
      <c r="Q75" s="14">
        <f>IF(A75="","",IF(E75&lt;&gt;"Decision","",IF(P75="UC-ID specific",IF(O75="","UC-ID REQUIRED","Check source decision for each UC-ID"),IF(P75="Shared system baseline",IF(O75&lt;&gt;"","REMOVE UC-ID OR CORRECT SCOPE","Baseline only — NOT UC approval"),"Decision scope missing"))))</f>
        <v/>
      </c>
      <c r="R75" s="43" t="n"/>
      <c r="S75" s="40" t="n"/>
      <c r="T75" s="40" t="n"/>
      <c r="U75" s="40" t="n"/>
      <c r="V75" s="40" t="n"/>
      <c r="W75" s="41" t="n"/>
      <c r="X75" s="38" t="n"/>
    </row>
    <row r="76">
      <c r="A76" s="38" t="n"/>
      <c r="B76" s="38" t="n"/>
      <c r="C76" s="38" t="n"/>
      <c r="D76" s="38" t="n"/>
      <c r="E76" s="38" t="n"/>
      <c r="F76" s="39" t="n"/>
      <c r="G76" s="38" t="n"/>
      <c r="H76" s="38" t="n"/>
      <c r="I76" s="38" t="n"/>
      <c r="J76" s="38" t="n"/>
      <c r="K76" s="38" t="n"/>
      <c r="L76" s="38" t="n"/>
      <c r="M76" s="38" t="n"/>
      <c r="N76" s="22">
        <f>IF(COUNTA(A76:M76,O76:P76,R76:X76)=0,"",IF(OR(A76="",B76="",F76=""),"Event ID, AIR-ID or date missing",IF(COUNTIF($A$4:$A$553,A76)&gt;1,"Duplicate Event ID",IF(E76="","Event type missing",IF(OR(NOT(ISNUMBER(F76)),F76&gt;TODAY()),"Date is not a real date or is in the future",IF(AND(C76&lt;&gt;"",COUNTIF('Gate plan'!$A$4:$A$353,C76)=0),"Plan ID not found in Gate plan",IF(AND(C76&lt;&gt;"",COUNTIFS('Gate plan'!$A$4:$A$353,C76,'Gate plan'!$B$4:$B$353,B76)=0),"Plan AIR-ID differs from event",IF(D76="","Gate / forum missing",IF(AND(E76="Precautionary pause (containment)",G76&lt;&gt;"Paused — pending decision"),"Precautionary pause: Outcome must be Paused, pending decision",IF(AND(E76="Precautionary pause (containment)",V76=""),"Precautionary pause: AIG-OPS-03 incident ref missing",IF(AND(E76="Precautionary pause (containment)",NOT(ISNUMBER(W76))),"Precautionary pause: follow-up decision due date missing",IF(AND(G76="Paused — pending decision",E76&lt;&gt;"Precautionary pause (containment)"),"Paused, pending decision is only for a Precautionary pause event",IF(AND(E76="Decision",OR(G76="",H76="",I76="")),"Outcome / delegation / decision ref missing",IF(AND(E76="Decision",NOT(OR(G76="Progress",G76="Progress with condition",G76="Return for evidence",G76="Pause",G76="Stop",G76="Suspend",G76="Decommission",G76="Re-authorise",G76="Resume"))),"Decision event needs a decision outcome",IF(AND(E76="Priority override",OR(H76="",I76="")),"Decision-maker / AIG-DEC-03 ref missing",IF(AND(E76="Priority override",G76&lt;&gt;"",G76&lt;&gt;"No decision"),"Priority override: Outcome blank or No decision",IF(AND(E76&lt;&gt;"Decision",OR(G76="Progress",G76="Progress with condition",G76="Return for evidence",G76="Pause",G76="Stop",G76="Suspend",G76="Decommission",G76="Re-authorise",G76="Resume")),"Outcome implies decision",IF(OR(ISNUMBER(SEARCH(",",O76)),ISNUMBER(SEARCH(";",O76))),"One UC-ID per event row — split this event",IF(AND(E76="Decision",OR(Q76="UC-ID REQUIRED",Q76="Decision scope missing",Q76="REMOVE UC-ID OR CORRECT SCOPE")),"Decision scope missing",IF(AND(G76="Progress with condition",COUNTIF(Conditions!$B$4:$B$553,A76)=0),"Progress with condition needs at least one Conditions row",IF(AND(C76&lt;&gt;"",COUNTIFS('Gate plan'!$A$4:$A$353,C76,'Gate plan'!$C$4:$C$353,D76)=0),"Plan gate differs from event gate",IF(AND(C76&lt;&gt;"",O76&lt;&gt;"",COUNTIFS('Gate plan'!$A$4:$A$353,C76,'Gate plan'!$K$4:$K$353,"&lt;&gt;")&gt;0,COUNTIFS('Gate plan'!$A$4:$A$353,C76,'Gate plan'!$K$4:$K$353,O76)=0),"Plan UC-ID differs from event UC-ID",IF(AND(E76="Assurance opinion",J76=""),"Assurance opinion ref missing",IF(AND(G76="Opinion only",E76&lt;&gt;"Assurance opinion",E76&lt;&gt;"Review only"),"Opinion only is for Assurance opinion or Review only events",IF(AND(G76="No decision",E76&lt;&gt;"Review only",E76&lt;&gt;"Priority override",E76&lt;&gt;"Intake / registration"),"No decision is for Review only, Priority override or Intake / registration events",IF(OR(ISNUMBER(SEARCH(" ",TRIM(O76))),ISNUMBER(SEARCH("/",O76))),"One UC-ID per event row: split this event",IF(AND(E76="Precautionary pause (containment)",ISNUMBER(W76),ISNUMBER(F76),W76&lt;F76),"Follow-up decision due date is before the pause",IF(AND(G76="Resume",IFERROR(LOOKUP(2,1/(($B$3:B75=B76)*($O$3:O75=O76)),$G$3:G75),"")&lt;&gt;"Paused — pending decision"),"Resume is only for the event straight after a Precautionary pause on the same AIR-ID and UC-ID (in an earlier row)",IF(AND(E76="Decision",OR(G76="Progress",G76="Progress with condition",G76="Re-authorise",G76="Resume"),X76&lt;&gt;"Yes"),"Decision-maker has not confirmed the screening was considered (column X)","Check against source")))))))))))))))))))))))))))))</f>
        <v/>
      </c>
      <c r="O76" s="37" t="n"/>
      <c r="P76" s="37" t="n"/>
      <c r="Q76" s="14">
        <f>IF(A76="","",IF(E76&lt;&gt;"Decision","",IF(P76="UC-ID specific",IF(O76="","UC-ID REQUIRED","Check source decision for each UC-ID"),IF(P76="Shared system baseline",IF(O76&lt;&gt;"","REMOVE UC-ID OR CORRECT SCOPE","Baseline only — NOT UC approval"),"Decision scope missing"))))</f>
        <v/>
      </c>
      <c r="R76" s="42" t="n"/>
      <c r="S76" s="38" t="n"/>
      <c r="T76" s="38" t="n"/>
      <c r="U76" s="38" t="n"/>
      <c r="V76" s="38" t="n"/>
      <c r="W76" s="39" t="n"/>
      <c r="X76" s="38" t="n"/>
    </row>
    <row r="77">
      <c r="A77" s="40" t="n"/>
      <c r="B77" s="40" t="n"/>
      <c r="C77" s="40" t="n"/>
      <c r="D77" s="40" t="n"/>
      <c r="E77" s="40" t="n"/>
      <c r="F77" s="41" t="n"/>
      <c r="G77" s="40" t="n"/>
      <c r="H77" s="40" t="n"/>
      <c r="I77" s="40" t="n"/>
      <c r="J77" s="40" t="n"/>
      <c r="K77" s="40" t="n"/>
      <c r="L77" s="40" t="n"/>
      <c r="M77" s="40" t="n"/>
      <c r="N77" s="24">
        <f>IF(COUNTA(A77:M77,O77:P77,R77:X77)=0,"",IF(OR(A77="",B77="",F77=""),"Event ID, AIR-ID or date missing",IF(COUNTIF($A$4:$A$553,A77)&gt;1,"Duplicate Event ID",IF(E77="","Event type missing",IF(OR(NOT(ISNUMBER(F77)),F77&gt;TODAY()),"Date is not a real date or is in the future",IF(AND(C77&lt;&gt;"",COUNTIF('Gate plan'!$A$4:$A$353,C77)=0),"Plan ID not found in Gate plan",IF(AND(C77&lt;&gt;"",COUNTIFS('Gate plan'!$A$4:$A$353,C77,'Gate plan'!$B$4:$B$353,B77)=0),"Plan AIR-ID differs from event",IF(D77="","Gate / forum missing",IF(AND(E77="Precautionary pause (containment)",G77&lt;&gt;"Paused — pending decision"),"Precautionary pause: Outcome must be Paused, pending decision",IF(AND(E77="Precautionary pause (containment)",V77=""),"Precautionary pause: AIG-OPS-03 incident ref missing",IF(AND(E77="Precautionary pause (containment)",NOT(ISNUMBER(W77))),"Precautionary pause: follow-up decision due date missing",IF(AND(G77="Paused — pending decision",E77&lt;&gt;"Precautionary pause (containment)"),"Paused, pending decision is only for a Precautionary pause event",IF(AND(E77="Decision",OR(G77="",H77="",I77="")),"Outcome / delegation / decision ref missing",IF(AND(E77="Decision",NOT(OR(G77="Progress",G77="Progress with condition",G77="Return for evidence",G77="Pause",G77="Stop",G77="Suspend",G77="Decommission",G77="Re-authorise",G77="Resume"))),"Decision event needs a decision outcome",IF(AND(E77="Priority override",OR(H77="",I77="")),"Decision-maker / AIG-DEC-03 ref missing",IF(AND(E77="Priority override",G77&lt;&gt;"",G77&lt;&gt;"No decision"),"Priority override: Outcome blank or No decision",IF(AND(E77&lt;&gt;"Decision",OR(G77="Progress",G77="Progress with condition",G77="Return for evidence",G77="Pause",G77="Stop",G77="Suspend",G77="Decommission",G77="Re-authorise",G77="Resume")),"Outcome implies decision",IF(OR(ISNUMBER(SEARCH(",",O77)),ISNUMBER(SEARCH(";",O77))),"One UC-ID per event row — split this event",IF(AND(E77="Decision",OR(Q77="UC-ID REQUIRED",Q77="Decision scope missing",Q77="REMOVE UC-ID OR CORRECT SCOPE")),"Decision scope missing",IF(AND(G77="Progress with condition",COUNTIF(Conditions!$B$4:$B$553,A77)=0),"Progress with condition needs at least one Conditions row",IF(AND(C77&lt;&gt;"",COUNTIFS('Gate plan'!$A$4:$A$353,C77,'Gate plan'!$C$4:$C$353,D77)=0),"Plan gate differs from event gate",IF(AND(C77&lt;&gt;"",O77&lt;&gt;"",COUNTIFS('Gate plan'!$A$4:$A$353,C77,'Gate plan'!$K$4:$K$353,"&lt;&gt;")&gt;0,COUNTIFS('Gate plan'!$A$4:$A$353,C77,'Gate plan'!$K$4:$K$353,O77)=0),"Plan UC-ID differs from event UC-ID",IF(AND(E77="Assurance opinion",J77=""),"Assurance opinion ref missing",IF(AND(G77="Opinion only",E77&lt;&gt;"Assurance opinion",E77&lt;&gt;"Review only"),"Opinion only is for Assurance opinion or Review only events",IF(AND(G77="No decision",E77&lt;&gt;"Review only",E77&lt;&gt;"Priority override",E77&lt;&gt;"Intake / registration"),"No decision is for Review only, Priority override or Intake / registration events",IF(OR(ISNUMBER(SEARCH(" ",TRIM(O77))),ISNUMBER(SEARCH("/",O77))),"One UC-ID per event row: split this event",IF(AND(E77="Precautionary pause (containment)",ISNUMBER(W77),ISNUMBER(F77),W77&lt;F77),"Follow-up decision due date is before the pause",IF(AND(G77="Resume",IFERROR(LOOKUP(2,1/(($B$3:B76=B77)*($O$3:O76=O77)),$G$3:G76),"")&lt;&gt;"Paused — pending decision"),"Resume is only for the event straight after a Precautionary pause on the same AIR-ID and UC-ID (in an earlier row)",IF(AND(E77="Decision",OR(G77="Progress",G77="Progress with condition",G77="Re-authorise",G77="Resume"),X77&lt;&gt;"Yes"),"Decision-maker has not confirmed the screening was considered (column X)","Check against source")))))))))))))))))))))))))))))</f>
        <v/>
      </c>
      <c r="O77" s="37" t="n"/>
      <c r="P77" s="37" t="n"/>
      <c r="Q77" s="14">
        <f>IF(A77="","",IF(E77&lt;&gt;"Decision","",IF(P77="UC-ID specific",IF(O77="","UC-ID REQUIRED","Check source decision for each UC-ID"),IF(P77="Shared system baseline",IF(O77&lt;&gt;"","REMOVE UC-ID OR CORRECT SCOPE","Baseline only — NOT UC approval"),"Decision scope missing"))))</f>
        <v/>
      </c>
      <c r="R77" s="43" t="n"/>
      <c r="S77" s="40" t="n"/>
      <c r="T77" s="40" t="n"/>
      <c r="U77" s="40" t="n"/>
      <c r="V77" s="40" t="n"/>
      <c r="W77" s="41" t="n"/>
      <c r="X77" s="38" t="n"/>
    </row>
    <row r="78">
      <c r="A78" s="38" t="n"/>
      <c r="B78" s="38" t="n"/>
      <c r="C78" s="38" t="n"/>
      <c r="D78" s="38" t="n"/>
      <c r="E78" s="38" t="n"/>
      <c r="F78" s="39" t="n"/>
      <c r="G78" s="38" t="n"/>
      <c r="H78" s="38" t="n"/>
      <c r="I78" s="38" t="n"/>
      <c r="J78" s="38" t="n"/>
      <c r="K78" s="38" t="n"/>
      <c r="L78" s="38" t="n"/>
      <c r="M78" s="38" t="n"/>
      <c r="N78" s="22">
        <f>IF(COUNTA(A78:M78,O78:P78,R78:X78)=0,"",IF(OR(A78="",B78="",F78=""),"Event ID, AIR-ID or date missing",IF(COUNTIF($A$4:$A$553,A78)&gt;1,"Duplicate Event ID",IF(E78="","Event type missing",IF(OR(NOT(ISNUMBER(F78)),F78&gt;TODAY()),"Date is not a real date or is in the future",IF(AND(C78&lt;&gt;"",COUNTIF('Gate plan'!$A$4:$A$353,C78)=0),"Plan ID not found in Gate plan",IF(AND(C78&lt;&gt;"",COUNTIFS('Gate plan'!$A$4:$A$353,C78,'Gate plan'!$B$4:$B$353,B78)=0),"Plan AIR-ID differs from event",IF(D78="","Gate / forum missing",IF(AND(E78="Precautionary pause (containment)",G78&lt;&gt;"Paused — pending decision"),"Precautionary pause: Outcome must be Paused, pending decision",IF(AND(E78="Precautionary pause (containment)",V78=""),"Precautionary pause: AIG-OPS-03 incident ref missing",IF(AND(E78="Precautionary pause (containment)",NOT(ISNUMBER(W78))),"Precautionary pause: follow-up decision due date missing",IF(AND(G78="Paused — pending decision",E78&lt;&gt;"Precautionary pause (containment)"),"Paused, pending decision is only for a Precautionary pause event",IF(AND(E78="Decision",OR(G78="",H78="",I78="")),"Outcome / delegation / decision ref missing",IF(AND(E78="Decision",NOT(OR(G78="Progress",G78="Progress with condition",G78="Return for evidence",G78="Pause",G78="Stop",G78="Suspend",G78="Decommission",G78="Re-authorise",G78="Resume"))),"Decision event needs a decision outcome",IF(AND(E78="Priority override",OR(H78="",I78="")),"Decision-maker / AIG-DEC-03 ref missing",IF(AND(E78="Priority override",G78&lt;&gt;"",G78&lt;&gt;"No decision"),"Priority override: Outcome blank or No decision",IF(AND(E78&lt;&gt;"Decision",OR(G78="Progress",G78="Progress with condition",G78="Return for evidence",G78="Pause",G78="Stop",G78="Suspend",G78="Decommission",G78="Re-authorise",G78="Resume")),"Outcome implies decision",IF(OR(ISNUMBER(SEARCH(",",O78)),ISNUMBER(SEARCH(";",O78))),"One UC-ID per event row — split this event",IF(AND(E78="Decision",OR(Q78="UC-ID REQUIRED",Q78="Decision scope missing",Q78="REMOVE UC-ID OR CORRECT SCOPE")),"Decision scope missing",IF(AND(G78="Progress with condition",COUNTIF(Conditions!$B$4:$B$553,A78)=0),"Progress with condition needs at least one Conditions row",IF(AND(C78&lt;&gt;"",COUNTIFS('Gate plan'!$A$4:$A$353,C78,'Gate plan'!$C$4:$C$353,D78)=0),"Plan gate differs from event gate",IF(AND(C78&lt;&gt;"",O78&lt;&gt;"",COUNTIFS('Gate plan'!$A$4:$A$353,C78,'Gate plan'!$K$4:$K$353,"&lt;&gt;")&gt;0,COUNTIFS('Gate plan'!$A$4:$A$353,C78,'Gate plan'!$K$4:$K$353,O78)=0),"Plan UC-ID differs from event UC-ID",IF(AND(E78="Assurance opinion",J78=""),"Assurance opinion ref missing",IF(AND(G78="Opinion only",E78&lt;&gt;"Assurance opinion",E78&lt;&gt;"Review only"),"Opinion only is for Assurance opinion or Review only events",IF(AND(G78="No decision",E78&lt;&gt;"Review only",E78&lt;&gt;"Priority override",E78&lt;&gt;"Intake / registration"),"No decision is for Review only, Priority override or Intake / registration events",IF(OR(ISNUMBER(SEARCH(" ",TRIM(O78))),ISNUMBER(SEARCH("/",O78))),"One UC-ID per event row: split this event",IF(AND(E78="Precautionary pause (containment)",ISNUMBER(W78),ISNUMBER(F78),W78&lt;F78),"Follow-up decision due date is before the pause",IF(AND(G78="Resume",IFERROR(LOOKUP(2,1/(($B$3:B77=B78)*($O$3:O77=O78)),$G$3:G77),"")&lt;&gt;"Paused — pending decision"),"Resume is only for the event straight after a Precautionary pause on the same AIR-ID and UC-ID (in an earlier row)",IF(AND(E78="Decision",OR(G78="Progress",G78="Progress with condition",G78="Re-authorise",G78="Resume"),X78&lt;&gt;"Yes"),"Decision-maker has not confirmed the screening was considered (column X)","Check against source")))))))))))))))))))))))))))))</f>
        <v/>
      </c>
      <c r="O78" s="37" t="n"/>
      <c r="P78" s="37" t="n"/>
      <c r="Q78" s="14">
        <f>IF(A78="","",IF(E78&lt;&gt;"Decision","",IF(P78="UC-ID specific",IF(O78="","UC-ID REQUIRED","Check source decision for each UC-ID"),IF(P78="Shared system baseline",IF(O78&lt;&gt;"","REMOVE UC-ID OR CORRECT SCOPE","Baseline only — NOT UC approval"),"Decision scope missing"))))</f>
        <v/>
      </c>
      <c r="R78" s="42" t="n"/>
      <c r="S78" s="38" t="n"/>
      <c r="T78" s="38" t="n"/>
      <c r="U78" s="38" t="n"/>
      <c r="V78" s="38" t="n"/>
      <c r="W78" s="39" t="n"/>
      <c r="X78" s="38" t="n"/>
    </row>
    <row r="79">
      <c r="A79" s="40" t="n"/>
      <c r="B79" s="40" t="n"/>
      <c r="C79" s="40" t="n"/>
      <c r="D79" s="40" t="n"/>
      <c r="E79" s="40" t="n"/>
      <c r="F79" s="41" t="n"/>
      <c r="G79" s="40" t="n"/>
      <c r="H79" s="40" t="n"/>
      <c r="I79" s="40" t="n"/>
      <c r="J79" s="40" t="n"/>
      <c r="K79" s="40" t="n"/>
      <c r="L79" s="40" t="n"/>
      <c r="M79" s="40" t="n"/>
      <c r="N79" s="24">
        <f>IF(COUNTA(A79:M79,O79:P79,R79:X79)=0,"",IF(OR(A79="",B79="",F79=""),"Event ID, AIR-ID or date missing",IF(COUNTIF($A$4:$A$553,A79)&gt;1,"Duplicate Event ID",IF(E79="","Event type missing",IF(OR(NOT(ISNUMBER(F79)),F79&gt;TODAY()),"Date is not a real date or is in the future",IF(AND(C79&lt;&gt;"",COUNTIF('Gate plan'!$A$4:$A$353,C79)=0),"Plan ID not found in Gate plan",IF(AND(C79&lt;&gt;"",COUNTIFS('Gate plan'!$A$4:$A$353,C79,'Gate plan'!$B$4:$B$353,B79)=0),"Plan AIR-ID differs from event",IF(D79="","Gate / forum missing",IF(AND(E79="Precautionary pause (containment)",G79&lt;&gt;"Paused — pending decision"),"Precautionary pause: Outcome must be Paused, pending decision",IF(AND(E79="Precautionary pause (containment)",V79=""),"Precautionary pause: AIG-OPS-03 incident ref missing",IF(AND(E79="Precautionary pause (containment)",NOT(ISNUMBER(W79))),"Precautionary pause: follow-up decision due date missing",IF(AND(G79="Paused — pending decision",E79&lt;&gt;"Precautionary pause (containment)"),"Paused, pending decision is only for a Precautionary pause event",IF(AND(E79="Decision",OR(G79="",H79="",I79="")),"Outcome / delegation / decision ref missing",IF(AND(E79="Decision",NOT(OR(G79="Progress",G79="Progress with condition",G79="Return for evidence",G79="Pause",G79="Stop",G79="Suspend",G79="Decommission",G79="Re-authorise",G79="Resume"))),"Decision event needs a decision outcome",IF(AND(E79="Priority override",OR(H79="",I79="")),"Decision-maker / AIG-DEC-03 ref missing",IF(AND(E79="Priority override",G79&lt;&gt;"",G79&lt;&gt;"No decision"),"Priority override: Outcome blank or No decision",IF(AND(E79&lt;&gt;"Decision",OR(G79="Progress",G79="Progress with condition",G79="Return for evidence",G79="Pause",G79="Stop",G79="Suspend",G79="Decommission",G79="Re-authorise",G79="Resume")),"Outcome implies decision",IF(OR(ISNUMBER(SEARCH(",",O79)),ISNUMBER(SEARCH(";",O79))),"One UC-ID per event row — split this event",IF(AND(E79="Decision",OR(Q79="UC-ID REQUIRED",Q79="Decision scope missing",Q79="REMOVE UC-ID OR CORRECT SCOPE")),"Decision scope missing",IF(AND(G79="Progress with condition",COUNTIF(Conditions!$B$4:$B$553,A79)=0),"Progress with condition needs at least one Conditions row",IF(AND(C79&lt;&gt;"",COUNTIFS('Gate plan'!$A$4:$A$353,C79,'Gate plan'!$C$4:$C$353,D79)=0),"Plan gate differs from event gate",IF(AND(C79&lt;&gt;"",O79&lt;&gt;"",COUNTIFS('Gate plan'!$A$4:$A$353,C79,'Gate plan'!$K$4:$K$353,"&lt;&gt;")&gt;0,COUNTIFS('Gate plan'!$A$4:$A$353,C79,'Gate plan'!$K$4:$K$353,O79)=0),"Plan UC-ID differs from event UC-ID",IF(AND(E79="Assurance opinion",J79=""),"Assurance opinion ref missing",IF(AND(G79="Opinion only",E79&lt;&gt;"Assurance opinion",E79&lt;&gt;"Review only"),"Opinion only is for Assurance opinion or Review only events",IF(AND(G79="No decision",E79&lt;&gt;"Review only",E79&lt;&gt;"Priority override",E79&lt;&gt;"Intake / registration"),"No decision is for Review only, Priority override or Intake / registration events",IF(OR(ISNUMBER(SEARCH(" ",TRIM(O79))),ISNUMBER(SEARCH("/",O79))),"One UC-ID per event row: split this event",IF(AND(E79="Precautionary pause (containment)",ISNUMBER(W79),ISNUMBER(F79),W79&lt;F79),"Follow-up decision due date is before the pause",IF(AND(G79="Resume",IFERROR(LOOKUP(2,1/(($B$3:B78=B79)*($O$3:O78=O79)),$G$3:G78),"")&lt;&gt;"Paused — pending decision"),"Resume is only for the event straight after a Precautionary pause on the same AIR-ID and UC-ID (in an earlier row)",IF(AND(E79="Decision",OR(G79="Progress",G79="Progress with condition",G79="Re-authorise",G79="Resume"),X79&lt;&gt;"Yes"),"Decision-maker has not confirmed the screening was considered (column X)","Check against source")))))))))))))))))))))))))))))</f>
        <v/>
      </c>
      <c r="O79" s="37" t="n"/>
      <c r="P79" s="37" t="n"/>
      <c r="Q79" s="14">
        <f>IF(A79="","",IF(E79&lt;&gt;"Decision","",IF(P79="UC-ID specific",IF(O79="","UC-ID REQUIRED","Check source decision for each UC-ID"),IF(P79="Shared system baseline",IF(O79&lt;&gt;"","REMOVE UC-ID OR CORRECT SCOPE","Baseline only — NOT UC approval"),"Decision scope missing"))))</f>
        <v/>
      </c>
      <c r="R79" s="43" t="n"/>
      <c r="S79" s="40" t="n"/>
      <c r="T79" s="40" t="n"/>
      <c r="U79" s="40" t="n"/>
      <c r="V79" s="40" t="n"/>
      <c r="W79" s="41" t="n"/>
      <c r="X79" s="38" t="n"/>
    </row>
    <row r="80">
      <c r="A80" s="38" t="n"/>
      <c r="B80" s="38" t="n"/>
      <c r="C80" s="38" t="n"/>
      <c r="D80" s="38" t="n"/>
      <c r="E80" s="38" t="n"/>
      <c r="F80" s="39" t="n"/>
      <c r="G80" s="38" t="n"/>
      <c r="H80" s="38" t="n"/>
      <c r="I80" s="38" t="n"/>
      <c r="J80" s="38" t="n"/>
      <c r="K80" s="38" t="n"/>
      <c r="L80" s="38" t="n"/>
      <c r="M80" s="38" t="n"/>
      <c r="N80" s="22">
        <f>IF(COUNTA(A80:M80,O80:P80,R80:X80)=0,"",IF(OR(A80="",B80="",F80=""),"Event ID, AIR-ID or date missing",IF(COUNTIF($A$4:$A$553,A80)&gt;1,"Duplicate Event ID",IF(E80="","Event type missing",IF(OR(NOT(ISNUMBER(F80)),F80&gt;TODAY()),"Date is not a real date or is in the future",IF(AND(C80&lt;&gt;"",COUNTIF('Gate plan'!$A$4:$A$353,C80)=0),"Plan ID not found in Gate plan",IF(AND(C80&lt;&gt;"",COUNTIFS('Gate plan'!$A$4:$A$353,C80,'Gate plan'!$B$4:$B$353,B80)=0),"Plan AIR-ID differs from event",IF(D80="","Gate / forum missing",IF(AND(E80="Precautionary pause (containment)",G80&lt;&gt;"Paused — pending decision"),"Precautionary pause: Outcome must be Paused, pending decision",IF(AND(E80="Precautionary pause (containment)",V80=""),"Precautionary pause: AIG-OPS-03 incident ref missing",IF(AND(E80="Precautionary pause (containment)",NOT(ISNUMBER(W80))),"Precautionary pause: follow-up decision due date missing",IF(AND(G80="Paused — pending decision",E80&lt;&gt;"Precautionary pause (containment)"),"Paused, pending decision is only for a Precautionary pause event",IF(AND(E80="Decision",OR(G80="",H80="",I80="")),"Outcome / delegation / decision ref missing",IF(AND(E80="Decision",NOT(OR(G80="Progress",G80="Progress with condition",G80="Return for evidence",G80="Pause",G80="Stop",G80="Suspend",G80="Decommission",G80="Re-authorise",G80="Resume"))),"Decision event needs a decision outcome",IF(AND(E80="Priority override",OR(H80="",I80="")),"Decision-maker / AIG-DEC-03 ref missing",IF(AND(E80="Priority override",G80&lt;&gt;"",G80&lt;&gt;"No decision"),"Priority override: Outcome blank or No decision",IF(AND(E80&lt;&gt;"Decision",OR(G80="Progress",G80="Progress with condition",G80="Return for evidence",G80="Pause",G80="Stop",G80="Suspend",G80="Decommission",G80="Re-authorise",G80="Resume")),"Outcome implies decision",IF(OR(ISNUMBER(SEARCH(",",O80)),ISNUMBER(SEARCH(";",O80))),"One UC-ID per event row — split this event",IF(AND(E80="Decision",OR(Q80="UC-ID REQUIRED",Q80="Decision scope missing",Q80="REMOVE UC-ID OR CORRECT SCOPE")),"Decision scope missing",IF(AND(G80="Progress with condition",COUNTIF(Conditions!$B$4:$B$553,A80)=0),"Progress with condition needs at least one Conditions row",IF(AND(C80&lt;&gt;"",COUNTIFS('Gate plan'!$A$4:$A$353,C80,'Gate plan'!$C$4:$C$353,D80)=0),"Plan gate differs from event gate",IF(AND(C80&lt;&gt;"",O80&lt;&gt;"",COUNTIFS('Gate plan'!$A$4:$A$353,C80,'Gate plan'!$K$4:$K$353,"&lt;&gt;")&gt;0,COUNTIFS('Gate plan'!$A$4:$A$353,C80,'Gate plan'!$K$4:$K$353,O80)=0),"Plan UC-ID differs from event UC-ID",IF(AND(E80="Assurance opinion",J80=""),"Assurance opinion ref missing",IF(AND(G80="Opinion only",E80&lt;&gt;"Assurance opinion",E80&lt;&gt;"Review only"),"Opinion only is for Assurance opinion or Review only events",IF(AND(G80="No decision",E80&lt;&gt;"Review only",E80&lt;&gt;"Priority override",E80&lt;&gt;"Intake / registration"),"No decision is for Review only, Priority override or Intake / registration events",IF(OR(ISNUMBER(SEARCH(" ",TRIM(O80))),ISNUMBER(SEARCH("/",O80))),"One UC-ID per event row: split this event",IF(AND(E80="Precautionary pause (containment)",ISNUMBER(W80),ISNUMBER(F80),W80&lt;F80),"Follow-up decision due date is before the pause",IF(AND(G80="Resume",IFERROR(LOOKUP(2,1/(($B$3:B79=B80)*($O$3:O79=O80)),$G$3:G79),"")&lt;&gt;"Paused — pending decision"),"Resume is only for the event straight after a Precautionary pause on the same AIR-ID and UC-ID (in an earlier row)",IF(AND(E80="Decision",OR(G80="Progress",G80="Progress with condition",G80="Re-authorise",G80="Resume"),X80&lt;&gt;"Yes"),"Decision-maker has not confirmed the screening was considered (column X)","Check against source")))))))))))))))))))))))))))))</f>
        <v/>
      </c>
      <c r="O80" s="37" t="n"/>
      <c r="P80" s="37" t="n"/>
      <c r="Q80" s="14">
        <f>IF(A80="","",IF(E80&lt;&gt;"Decision","",IF(P80="UC-ID specific",IF(O80="","UC-ID REQUIRED","Check source decision for each UC-ID"),IF(P80="Shared system baseline",IF(O80&lt;&gt;"","REMOVE UC-ID OR CORRECT SCOPE","Baseline only — NOT UC approval"),"Decision scope missing"))))</f>
        <v/>
      </c>
      <c r="R80" s="42" t="n"/>
      <c r="S80" s="38" t="n"/>
      <c r="T80" s="38" t="n"/>
      <c r="U80" s="38" t="n"/>
      <c r="V80" s="38" t="n"/>
      <c r="W80" s="39" t="n"/>
      <c r="X80" s="38" t="n"/>
    </row>
    <row r="81">
      <c r="A81" s="40" t="n"/>
      <c r="B81" s="40" t="n"/>
      <c r="C81" s="40" t="n"/>
      <c r="D81" s="40" t="n"/>
      <c r="E81" s="40" t="n"/>
      <c r="F81" s="41" t="n"/>
      <c r="G81" s="40" t="n"/>
      <c r="H81" s="40" t="n"/>
      <c r="I81" s="40" t="n"/>
      <c r="J81" s="40" t="n"/>
      <c r="K81" s="40" t="n"/>
      <c r="L81" s="40" t="n"/>
      <c r="M81" s="40" t="n"/>
      <c r="N81" s="24">
        <f>IF(COUNTA(A81:M81,O81:P81,R81:X81)=0,"",IF(OR(A81="",B81="",F81=""),"Event ID, AIR-ID or date missing",IF(COUNTIF($A$4:$A$553,A81)&gt;1,"Duplicate Event ID",IF(E81="","Event type missing",IF(OR(NOT(ISNUMBER(F81)),F81&gt;TODAY()),"Date is not a real date or is in the future",IF(AND(C81&lt;&gt;"",COUNTIF('Gate plan'!$A$4:$A$353,C81)=0),"Plan ID not found in Gate plan",IF(AND(C81&lt;&gt;"",COUNTIFS('Gate plan'!$A$4:$A$353,C81,'Gate plan'!$B$4:$B$353,B81)=0),"Plan AIR-ID differs from event",IF(D81="","Gate / forum missing",IF(AND(E81="Precautionary pause (containment)",G81&lt;&gt;"Paused — pending decision"),"Precautionary pause: Outcome must be Paused, pending decision",IF(AND(E81="Precautionary pause (containment)",V81=""),"Precautionary pause: AIG-OPS-03 incident ref missing",IF(AND(E81="Precautionary pause (containment)",NOT(ISNUMBER(W81))),"Precautionary pause: follow-up decision due date missing",IF(AND(G81="Paused — pending decision",E81&lt;&gt;"Precautionary pause (containment)"),"Paused, pending decision is only for a Precautionary pause event",IF(AND(E81="Decision",OR(G81="",H81="",I81="")),"Outcome / delegation / decision ref missing",IF(AND(E81="Decision",NOT(OR(G81="Progress",G81="Progress with condition",G81="Return for evidence",G81="Pause",G81="Stop",G81="Suspend",G81="Decommission",G81="Re-authorise",G81="Resume"))),"Decision event needs a decision outcome",IF(AND(E81="Priority override",OR(H81="",I81="")),"Decision-maker / AIG-DEC-03 ref missing",IF(AND(E81="Priority override",G81&lt;&gt;"",G81&lt;&gt;"No decision"),"Priority override: Outcome blank or No decision",IF(AND(E81&lt;&gt;"Decision",OR(G81="Progress",G81="Progress with condition",G81="Return for evidence",G81="Pause",G81="Stop",G81="Suspend",G81="Decommission",G81="Re-authorise",G81="Resume")),"Outcome implies decision",IF(OR(ISNUMBER(SEARCH(",",O81)),ISNUMBER(SEARCH(";",O81))),"One UC-ID per event row — split this event",IF(AND(E81="Decision",OR(Q81="UC-ID REQUIRED",Q81="Decision scope missing",Q81="REMOVE UC-ID OR CORRECT SCOPE")),"Decision scope missing",IF(AND(G81="Progress with condition",COUNTIF(Conditions!$B$4:$B$553,A81)=0),"Progress with condition needs at least one Conditions row",IF(AND(C81&lt;&gt;"",COUNTIFS('Gate plan'!$A$4:$A$353,C81,'Gate plan'!$C$4:$C$353,D81)=0),"Plan gate differs from event gate",IF(AND(C81&lt;&gt;"",O81&lt;&gt;"",COUNTIFS('Gate plan'!$A$4:$A$353,C81,'Gate plan'!$K$4:$K$353,"&lt;&gt;")&gt;0,COUNTIFS('Gate plan'!$A$4:$A$353,C81,'Gate plan'!$K$4:$K$353,O81)=0),"Plan UC-ID differs from event UC-ID",IF(AND(E81="Assurance opinion",J81=""),"Assurance opinion ref missing",IF(AND(G81="Opinion only",E81&lt;&gt;"Assurance opinion",E81&lt;&gt;"Review only"),"Opinion only is for Assurance opinion or Review only events",IF(AND(G81="No decision",E81&lt;&gt;"Review only",E81&lt;&gt;"Priority override",E81&lt;&gt;"Intake / registration"),"No decision is for Review only, Priority override or Intake / registration events",IF(OR(ISNUMBER(SEARCH(" ",TRIM(O81))),ISNUMBER(SEARCH("/",O81))),"One UC-ID per event row: split this event",IF(AND(E81="Precautionary pause (containment)",ISNUMBER(W81),ISNUMBER(F81),W81&lt;F81),"Follow-up decision due date is before the pause",IF(AND(G81="Resume",IFERROR(LOOKUP(2,1/(($B$3:B80=B81)*($O$3:O80=O81)),$G$3:G80),"")&lt;&gt;"Paused — pending decision"),"Resume is only for the event straight after a Precautionary pause on the same AIR-ID and UC-ID (in an earlier row)",IF(AND(E81="Decision",OR(G81="Progress",G81="Progress with condition",G81="Re-authorise",G81="Resume"),X81&lt;&gt;"Yes"),"Decision-maker has not confirmed the screening was considered (column X)","Check against source")))))))))))))))))))))))))))))</f>
        <v/>
      </c>
      <c r="O81" s="37" t="n"/>
      <c r="P81" s="37" t="n"/>
      <c r="Q81" s="14">
        <f>IF(A81="","",IF(E81&lt;&gt;"Decision","",IF(P81="UC-ID specific",IF(O81="","UC-ID REQUIRED","Check source decision for each UC-ID"),IF(P81="Shared system baseline",IF(O81&lt;&gt;"","REMOVE UC-ID OR CORRECT SCOPE","Baseline only — NOT UC approval"),"Decision scope missing"))))</f>
        <v/>
      </c>
      <c r="R81" s="43" t="n"/>
      <c r="S81" s="40" t="n"/>
      <c r="T81" s="40" t="n"/>
      <c r="U81" s="40" t="n"/>
      <c r="V81" s="40" t="n"/>
      <c r="W81" s="41" t="n"/>
      <c r="X81" s="38" t="n"/>
    </row>
    <row r="82">
      <c r="A82" s="38" t="n"/>
      <c r="B82" s="38" t="n"/>
      <c r="C82" s="38" t="n"/>
      <c r="D82" s="38" t="n"/>
      <c r="E82" s="38" t="n"/>
      <c r="F82" s="39" t="n"/>
      <c r="G82" s="38" t="n"/>
      <c r="H82" s="38" t="n"/>
      <c r="I82" s="38" t="n"/>
      <c r="J82" s="38" t="n"/>
      <c r="K82" s="38" t="n"/>
      <c r="L82" s="38" t="n"/>
      <c r="M82" s="38" t="n"/>
      <c r="N82" s="22">
        <f>IF(COUNTA(A82:M82,O82:P82,R82:X82)=0,"",IF(OR(A82="",B82="",F82=""),"Event ID, AIR-ID or date missing",IF(COUNTIF($A$4:$A$553,A82)&gt;1,"Duplicate Event ID",IF(E82="","Event type missing",IF(OR(NOT(ISNUMBER(F82)),F82&gt;TODAY()),"Date is not a real date or is in the future",IF(AND(C82&lt;&gt;"",COUNTIF('Gate plan'!$A$4:$A$353,C82)=0),"Plan ID not found in Gate plan",IF(AND(C82&lt;&gt;"",COUNTIFS('Gate plan'!$A$4:$A$353,C82,'Gate plan'!$B$4:$B$353,B82)=0),"Plan AIR-ID differs from event",IF(D82="","Gate / forum missing",IF(AND(E82="Precautionary pause (containment)",G82&lt;&gt;"Paused — pending decision"),"Precautionary pause: Outcome must be Paused, pending decision",IF(AND(E82="Precautionary pause (containment)",V82=""),"Precautionary pause: AIG-OPS-03 incident ref missing",IF(AND(E82="Precautionary pause (containment)",NOT(ISNUMBER(W82))),"Precautionary pause: follow-up decision due date missing",IF(AND(G82="Paused — pending decision",E82&lt;&gt;"Precautionary pause (containment)"),"Paused, pending decision is only for a Precautionary pause event",IF(AND(E82="Decision",OR(G82="",H82="",I82="")),"Outcome / delegation / decision ref missing",IF(AND(E82="Decision",NOT(OR(G82="Progress",G82="Progress with condition",G82="Return for evidence",G82="Pause",G82="Stop",G82="Suspend",G82="Decommission",G82="Re-authorise",G82="Resume"))),"Decision event needs a decision outcome",IF(AND(E82="Priority override",OR(H82="",I82="")),"Decision-maker / AIG-DEC-03 ref missing",IF(AND(E82="Priority override",G82&lt;&gt;"",G82&lt;&gt;"No decision"),"Priority override: Outcome blank or No decision",IF(AND(E82&lt;&gt;"Decision",OR(G82="Progress",G82="Progress with condition",G82="Return for evidence",G82="Pause",G82="Stop",G82="Suspend",G82="Decommission",G82="Re-authorise",G82="Resume")),"Outcome implies decision",IF(OR(ISNUMBER(SEARCH(",",O82)),ISNUMBER(SEARCH(";",O82))),"One UC-ID per event row — split this event",IF(AND(E82="Decision",OR(Q82="UC-ID REQUIRED",Q82="Decision scope missing",Q82="REMOVE UC-ID OR CORRECT SCOPE")),"Decision scope missing",IF(AND(G82="Progress with condition",COUNTIF(Conditions!$B$4:$B$553,A82)=0),"Progress with condition needs at least one Conditions row",IF(AND(C82&lt;&gt;"",COUNTIFS('Gate plan'!$A$4:$A$353,C82,'Gate plan'!$C$4:$C$353,D82)=0),"Plan gate differs from event gate",IF(AND(C82&lt;&gt;"",O82&lt;&gt;"",COUNTIFS('Gate plan'!$A$4:$A$353,C82,'Gate plan'!$K$4:$K$353,"&lt;&gt;")&gt;0,COUNTIFS('Gate plan'!$A$4:$A$353,C82,'Gate plan'!$K$4:$K$353,O82)=0),"Plan UC-ID differs from event UC-ID",IF(AND(E82="Assurance opinion",J82=""),"Assurance opinion ref missing",IF(AND(G82="Opinion only",E82&lt;&gt;"Assurance opinion",E82&lt;&gt;"Review only"),"Opinion only is for Assurance opinion or Review only events",IF(AND(G82="No decision",E82&lt;&gt;"Review only",E82&lt;&gt;"Priority override",E82&lt;&gt;"Intake / registration"),"No decision is for Review only, Priority override or Intake / registration events",IF(OR(ISNUMBER(SEARCH(" ",TRIM(O82))),ISNUMBER(SEARCH("/",O82))),"One UC-ID per event row: split this event",IF(AND(E82="Precautionary pause (containment)",ISNUMBER(W82),ISNUMBER(F82),W82&lt;F82),"Follow-up decision due date is before the pause",IF(AND(G82="Resume",IFERROR(LOOKUP(2,1/(($B$3:B81=B82)*($O$3:O81=O82)),$G$3:G81),"")&lt;&gt;"Paused — pending decision"),"Resume is only for the event straight after a Precautionary pause on the same AIR-ID and UC-ID (in an earlier row)",IF(AND(E82="Decision",OR(G82="Progress",G82="Progress with condition",G82="Re-authorise",G82="Resume"),X82&lt;&gt;"Yes"),"Decision-maker has not confirmed the screening was considered (column X)","Check against source")))))))))))))))))))))))))))))</f>
        <v/>
      </c>
      <c r="O82" s="37" t="n"/>
      <c r="P82" s="37" t="n"/>
      <c r="Q82" s="14">
        <f>IF(A82="","",IF(E82&lt;&gt;"Decision","",IF(P82="UC-ID specific",IF(O82="","UC-ID REQUIRED","Check source decision for each UC-ID"),IF(P82="Shared system baseline",IF(O82&lt;&gt;"","REMOVE UC-ID OR CORRECT SCOPE","Baseline only — NOT UC approval"),"Decision scope missing"))))</f>
        <v/>
      </c>
      <c r="R82" s="42" t="n"/>
      <c r="S82" s="38" t="n"/>
      <c r="T82" s="38" t="n"/>
      <c r="U82" s="38" t="n"/>
      <c r="V82" s="38" t="n"/>
      <c r="W82" s="39" t="n"/>
      <c r="X82" s="38" t="n"/>
    </row>
    <row r="83">
      <c r="A83" s="40" t="n"/>
      <c r="B83" s="40" t="n"/>
      <c r="C83" s="40" t="n"/>
      <c r="D83" s="40" t="n"/>
      <c r="E83" s="40" t="n"/>
      <c r="F83" s="41" t="n"/>
      <c r="G83" s="40" t="n"/>
      <c r="H83" s="40" t="n"/>
      <c r="I83" s="40" t="n"/>
      <c r="J83" s="40" t="n"/>
      <c r="K83" s="40" t="n"/>
      <c r="L83" s="40" t="n"/>
      <c r="M83" s="40" t="n"/>
      <c r="N83" s="24">
        <f>IF(COUNTA(A83:M83,O83:P83,R83:X83)=0,"",IF(OR(A83="",B83="",F83=""),"Event ID, AIR-ID or date missing",IF(COUNTIF($A$4:$A$553,A83)&gt;1,"Duplicate Event ID",IF(E83="","Event type missing",IF(OR(NOT(ISNUMBER(F83)),F83&gt;TODAY()),"Date is not a real date or is in the future",IF(AND(C83&lt;&gt;"",COUNTIF('Gate plan'!$A$4:$A$353,C83)=0),"Plan ID not found in Gate plan",IF(AND(C83&lt;&gt;"",COUNTIFS('Gate plan'!$A$4:$A$353,C83,'Gate plan'!$B$4:$B$353,B83)=0),"Plan AIR-ID differs from event",IF(D83="","Gate / forum missing",IF(AND(E83="Precautionary pause (containment)",G83&lt;&gt;"Paused — pending decision"),"Precautionary pause: Outcome must be Paused, pending decision",IF(AND(E83="Precautionary pause (containment)",V83=""),"Precautionary pause: AIG-OPS-03 incident ref missing",IF(AND(E83="Precautionary pause (containment)",NOT(ISNUMBER(W83))),"Precautionary pause: follow-up decision due date missing",IF(AND(G83="Paused — pending decision",E83&lt;&gt;"Precautionary pause (containment)"),"Paused, pending decision is only for a Precautionary pause event",IF(AND(E83="Decision",OR(G83="",H83="",I83="")),"Outcome / delegation / decision ref missing",IF(AND(E83="Decision",NOT(OR(G83="Progress",G83="Progress with condition",G83="Return for evidence",G83="Pause",G83="Stop",G83="Suspend",G83="Decommission",G83="Re-authorise",G83="Resume"))),"Decision event needs a decision outcome",IF(AND(E83="Priority override",OR(H83="",I83="")),"Decision-maker / AIG-DEC-03 ref missing",IF(AND(E83="Priority override",G83&lt;&gt;"",G83&lt;&gt;"No decision"),"Priority override: Outcome blank or No decision",IF(AND(E83&lt;&gt;"Decision",OR(G83="Progress",G83="Progress with condition",G83="Return for evidence",G83="Pause",G83="Stop",G83="Suspend",G83="Decommission",G83="Re-authorise",G83="Resume")),"Outcome implies decision",IF(OR(ISNUMBER(SEARCH(",",O83)),ISNUMBER(SEARCH(";",O83))),"One UC-ID per event row — split this event",IF(AND(E83="Decision",OR(Q83="UC-ID REQUIRED",Q83="Decision scope missing",Q83="REMOVE UC-ID OR CORRECT SCOPE")),"Decision scope missing",IF(AND(G83="Progress with condition",COUNTIF(Conditions!$B$4:$B$553,A83)=0),"Progress with condition needs at least one Conditions row",IF(AND(C83&lt;&gt;"",COUNTIFS('Gate plan'!$A$4:$A$353,C83,'Gate plan'!$C$4:$C$353,D83)=0),"Plan gate differs from event gate",IF(AND(C83&lt;&gt;"",O83&lt;&gt;"",COUNTIFS('Gate plan'!$A$4:$A$353,C83,'Gate plan'!$K$4:$K$353,"&lt;&gt;")&gt;0,COUNTIFS('Gate plan'!$A$4:$A$353,C83,'Gate plan'!$K$4:$K$353,O83)=0),"Plan UC-ID differs from event UC-ID",IF(AND(E83="Assurance opinion",J83=""),"Assurance opinion ref missing",IF(AND(G83="Opinion only",E83&lt;&gt;"Assurance opinion",E83&lt;&gt;"Review only"),"Opinion only is for Assurance opinion or Review only events",IF(AND(G83="No decision",E83&lt;&gt;"Review only",E83&lt;&gt;"Priority override",E83&lt;&gt;"Intake / registration"),"No decision is for Review only, Priority override or Intake / registration events",IF(OR(ISNUMBER(SEARCH(" ",TRIM(O83))),ISNUMBER(SEARCH("/",O83))),"One UC-ID per event row: split this event",IF(AND(E83="Precautionary pause (containment)",ISNUMBER(W83),ISNUMBER(F83),W83&lt;F83),"Follow-up decision due date is before the pause",IF(AND(G83="Resume",IFERROR(LOOKUP(2,1/(($B$3:B82=B83)*($O$3:O82=O83)),$G$3:G82),"")&lt;&gt;"Paused — pending decision"),"Resume is only for the event straight after a Precautionary pause on the same AIR-ID and UC-ID (in an earlier row)",IF(AND(E83="Decision",OR(G83="Progress",G83="Progress with condition",G83="Re-authorise",G83="Resume"),X83&lt;&gt;"Yes"),"Decision-maker has not confirmed the screening was considered (column X)","Check against source")))))))))))))))))))))))))))))</f>
        <v/>
      </c>
      <c r="O83" s="37" t="n"/>
      <c r="P83" s="37" t="n"/>
      <c r="Q83" s="14">
        <f>IF(A83="","",IF(E83&lt;&gt;"Decision","",IF(P83="UC-ID specific",IF(O83="","UC-ID REQUIRED","Check source decision for each UC-ID"),IF(P83="Shared system baseline",IF(O83&lt;&gt;"","REMOVE UC-ID OR CORRECT SCOPE","Baseline only — NOT UC approval"),"Decision scope missing"))))</f>
        <v/>
      </c>
      <c r="R83" s="43" t="n"/>
      <c r="S83" s="40" t="n"/>
      <c r="T83" s="40" t="n"/>
      <c r="U83" s="40" t="n"/>
      <c r="V83" s="40" t="n"/>
      <c r="W83" s="41" t="n"/>
      <c r="X83" s="38" t="n"/>
    </row>
    <row r="84">
      <c r="A84" s="38" t="n"/>
      <c r="B84" s="38" t="n"/>
      <c r="C84" s="38" t="n"/>
      <c r="D84" s="38" t="n"/>
      <c r="E84" s="38" t="n"/>
      <c r="F84" s="39" t="n"/>
      <c r="G84" s="38" t="n"/>
      <c r="H84" s="38" t="n"/>
      <c r="I84" s="38" t="n"/>
      <c r="J84" s="38" t="n"/>
      <c r="K84" s="38" t="n"/>
      <c r="L84" s="38" t="n"/>
      <c r="M84" s="38" t="n"/>
      <c r="N84" s="22">
        <f>IF(COUNTA(A84:M84,O84:P84,R84:X84)=0,"",IF(OR(A84="",B84="",F84=""),"Event ID, AIR-ID or date missing",IF(COUNTIF($A$4:$A$553,A84)&gt;1,"Duplicate Event ID",IF(E84="","Event type missing",IF(OR(NOT(ISNUMBER(F84)),F84&gt;TODAY()),"Date is not a real date or is in the future",IF(AND(C84&lt;&gt;"",COUNTIF('Gate plan'!$A$4:$A$353,C84)=0),"Plan ID not found in Gate plan",IF(AND(C84&lt;&gt;"",COUNTIFS('Gate plan'!$A$4:$A$353,C84,'Gate plan'!$B$4:$B$353,B84)=0),"Plan AIR-ID differs from event",IF(D84="","Gate / forum missing",IF(AND(E84="Precautionary pause (containment)",G84&lt;&gt;"Paused — pending decision"),"Precautionary pause: Outcome must be Paused, pending decision",IF(AND(E84="Precautionary pause (containment)",V84=""),"Precautionary pause: AIG-OPS-03 incident ref missing",IF(AND(E84="Precautionary pause (containment)",NOT(ISNUMBER(W84))),"Precautionary pause: follow-up decision due date missing",IF(AND(G84="Paused — pending decision",E84&lt;&gt;"Precautionary pause (containment)"),"Paused, pending decision is only for a Precautionary pause event",IF(AND(E84="Decision",OR(G84="",H84="",I84="")),"Outcome / delegation / decision ref missing",IF(AND(E84="Decision",NOT(OR(G84="Progress",G84="Progress with condition",G84="Return for evidence",G84="Pause",G84="Stop",G84="Suspend",G84="Decommission",G84="Re-authorise",G84="Resume"))),"Decision event needs a decision outcome",IF(AND(E84="Priority override",OR(H84="",I84="")),"Decision-maker / AIG-DEC-03 ref missing",IF(AND(E84="Priority override",G84&lt;&gt;"",G84&lt;&gt;"No decision"),"Priority override: Outcome blank or No decision",IF(AND(E84&lt;&gt;"Decision",OR(G84="Progress",G84="Progress with condition",G84="Return for evidence",G84="Pause",G84="Stop",G84="Suspend",G84="Decommission",G84="Re-authorise",G84="Resume")),"Outcome implies decision",IF(OR(ISNUMBER(SEARCH(",",O84)),ISNUMBER(SEARCH(";",O84))),"One UC-ID per event row — split this event",IF(AND(E84="Decision",OR(Q84="UC-ID REQUIRED",Q84="Decision scope missing",Q84="REMOVE UC-ID OR CORRECT SCOPE")),"Decision scope missing",IF(AND(G84="Progress with condition",COUNTIF(Conditions!$B$4:$B$553,A84)=0),"Progress with condition needs at least one Conditions row",IF(AND(C84&lt;&gt;"",COUNTIFS('Gate plan'!$A$4:$A$353,C84,'Gate plan'!$C$4:$C$353,D84)=0),"Plan gate differs from event gate",IF(AND(C84&lt;&gt;"",O84&lt;&gt;"",COUNTIFS('Gate plan'!$A$4:$A$353,C84,'Gate plan'!$K$4:$K$353,"&lt;&gt;")&gt;0,COUNTIFS('Gate plan'!$A$4:$A$353,C84,'Gate plan'!$K$4:$K$353,O84)=0),"Plan UC-ID differs from event UC-ID",IF(AND(E84="Assurance opinion",J84=""),"Assurance opinion ref missing",IF(AND(G84="Opinion only",E84&lt;&gt;"Assurance opinion",E84&lt;&gt;"Review only"),"Opinion only is for Assurance opinion or Review only events",IF(AND(G84="No decision",E84&lt;&gt;"Review only",E84&lt;&gt;"Priority override",E84&lt;&gt;"Intake / registration"),"No decision is for Review only, Priority override or Intake / registration events",IF(OR(ISNUMBER(SEARCH(" ",TRIM(O84))),ISNUMBER(SEARCH("/",O84))),"One UC-ID per event row: split this event",IF(AND(E84="Precautionary pause (containment)",ISNUMBER(W84),ISNUMBER(F84),W84&lt;F84),"Follow-up decision due date is before the pause",IF(AND(G84="Resume",IFERROR(LOOKUP(2,1/(($B$3:B83=B84)*($O$3:O83=O84)),$G$3:G83),"")&lt;&gt;"Paused — pending decision"),"Resume is only for the event straight after a Precautionary pause on the same AIR-ID and UC-ID (in an earlier row)",IF(AND(E84="Decision",OR(G84="Progress",G84="Progress with condition",G84="Re-authorise",G84="Resume"),X84&lt;&gt;"Yes"),"Decision-maker has not confirmed the screening was considered (column X)","Check against source")))))))))))))))))))))))))))))</f>
        <v/>
      </c>
      <c r="O84" s="37" t="n"/>
      <c r="P84" s="37" t="n"/>
      <c r="Q84" s="14">
        <f>IF(A84="","",IF(E84&lt;&gt;"Decision","",IF(P84="UC-ID specific",IF(O84="","UC-ID REQUIRED","Check source decision for each UC-ID"),IF(P84="Shared system baseline",IF(O84&lt;&gt;"","REMOVE UC-ID OR CORRECT SCOPE","Baseline only — NOT UC approval"),"Decision scope missing"))))</f>
        <v/>
      </c>
      <c r="R84" s="42" t="n"/>
      <c r="S84" s="38" t="n"/>
      <c r="T84" s="38" t="n"/>
      <c r="U84" s="38" t="n"/>
      <c r="V84" s="38" t="n"/>
      <c r="W84" s="39" t="n"/>
      <c r="X84" s="38" t="n"/>
    </row>
    <row r="85">
      <c r="A85" s="40" t="n"/>
      <c r="B85" s="40" t="n"/>
      <c r="C85" s="40" t="n"/>
      <c r="D85" s="40" t="n"/>
      <c r="E85" s="40" t="n"/>
      <c r="F85" s="41" t="n"/>
      <c r="G85" s="40" t="n"/>
      <c r="H85" s="40" t="n"/>
      <c r="I85" s="40" t="n"/>
      <c r="J85" s="40" t="n"/>
      <c r="K85" s="40" t="n"/>
      <c r="L85" s="40" t="n"/>
      <c r="M85" s="40" t="n"/>
      <c r="N85" s="24">
        <f>IF(COUNTA(A85:M85,O85:P85,R85:X85)=0,"",IF(OR(A85="",B85="",F85=""),"Event ID, AIR-ID or date missing",IF(COUNTIF($A$4:$A$553,A85)&gt;1,"Duplicate Event ID",IF(E85="","Event type missing",IF(OR(NOT(ISNUMBER(F85)),F85&gt;TODAY()),"Date is not a real date or is in the future",IF(AND(C85&lt;&gt;"",COUNTIF('Gate plan'!$A$4:$A$353,C85)=0),"Plan ID not found in Gate plan",IF(AND(C85&lt;&gt;"",COUNTIFS('Gate plan'!$A$4:$A$353,C85,'Gate plan'!$B$4:$B$353,B85)=0),"Plan AIR-ID differs from event",IF(D85="","Gate / forum missing",IF(AND(E85="Precautionary pause (containment)",G85&lt;&gt;"Paused — pending decision"),"Precautionary pause: Outcome must be Paused, pending decision",IF(AND(E85="Precautionary pause (containment)",V85=""),"Precautionary pause: AIG-OPS-03 incident ref missing",IF(AND(E85="Precautionary pause (containment)",NOT(ISNUMBER(W85))),"Precautionary pause: follow-up decision due date missing",IF(AND(G85="Paused — pending decision",E85&lt;&gt;"Precautionary pause (containment)"),"Paused, pending decision is only for a Precautionary pause event",IF(AND(E85="Decision",OR(G85="",H85="",I85="")),"Outcome / delegation / decision ref missing",IF(AND(E85="Decision",NOT(OR(G85="Progress",G85="Progress with condition",G85="Return for evidence",G85="Pause",G85="Stop",G85="Suspend",G85="Decommission",G85="Re-authorise",G85="Resume"))),"Decision event needs a decision outcome",IF(AND(E85="Priority override",OR(H85="",I85="")),"Decision-maker / AIG-DEC-03 ref missing",IF(AND(E85="Priority override",G85&lt;&gt;"",G85&lt;&gt;"No decision"),"Priority override: Outcome blank or No decision",IF(AND(E85&lt;&gt;"Decision",OR(G85="Progress",G85="Progress with condition",G85="Return for evidence",G85="Pause",G85="Stop",G85="Suspend",G85="Decommission",G85="Re-authorise",G85="Resume")),"Outcome implies decision",IF(OR(ISNUMBER(SEARCH(",",O85)),ISNUMBER(SEARCH(";",O85))),"One UC-ID per event row — split this event",IF(AND(E85="Decision",OR(Q85="UC-ID REQUIRED",Q85="Decision scope missing",Q85="REMOVE UC-ID OR CORRECT SCOPE")),"Decision scope missing",IF(AND(G85="Progress with condition",COUNTIF(Conditions!$B$4:$B$553,A85)=0),"Progress with condition needs at least one Conditions row",IF(AND(C85&lt;&gt;"",COUNTIFS('Gate plan'!$A$4:$A$353,C85,'Gate plan'!$C$4:$C$353,D85)=0),"Plan gate differs from event gate",IF(AND(C85&lt;&gt;"",O85&lt;&gt;"",COUNTIFS('Gate plan'!$A$4:$A$353,C85,'Gate plan'!$K$4:$K$353,"&lt;&gt;")&gt;0,COUNTIFS('Gate plan'!$A$4:$A$353,C85,'Gate plan'!$K$4:$K$353,O85)=0),"Plan UC-ID differs from event UC-ID",IF(AND(E85="Assurance opinion",J85=""),"Assurance opinion ref missing",IF(AND(G85="Opinion only",E85&lt;&gt;"Assurance opinion",E85&lt;&gt;"Review only"),"Opinion only is for Assurance opinion or Review only events",IF(AND(G85="No decision",E85&lt;&gt;"Review only",E85&lt;&gt;"Priority override",E85&lt;&gt;"Intake / registration"),"No decision is for Review only, Priority override or Intake / registration events",IF(OR(ISNUMBER(SEARCH(" ",TRIM(O85))),ISNUMBER(SEARCH("/",O85))),"One UC-ID per event row: split this event",IF(AND(E85="Precautionary pause (containment)",ISNUMBER(W85),ISNUMBER(F85),W85&lt;F85),"Follow-up decision due date is before the pause",IF(AND(G85="Resume",IFERROR(LOOKUP(2,1/(($B$3:B84=B85)*($O$3:O84=O85)),$G$3:G84),"")&lt;&gt;"Paused — pending decision"),"Resume is only for the event straight after a Precautionary pause on the same AIR-ID and UC-ID (in an earlier row)",IF(AND(E85="Decision",OR(G85="Progress",G85="Progress with condition",G85="Re-authorise",G85="Resume"),X85&lt;&gt;"Yes"),"Decision-maker has not confirmed the screening was considered (column X)","Check against source")))))))))))))))))))))))))))))</f>
        <v/>
      </c>
      <c r="O85" s="37" t="n"/>
      <c r="P85" s="37" t="n"/>
      <c r="Q85" s="14">
        <f>IF(A85="","",IF(E85&lt;&gt;"Decision","",IF(P85="UC-ID specific",IF(O85="","UC-ID REQUIRED","Check source decision for each UC-ID"),IF(P85="Shared system baseline",IF(O85&lt;&gt;"","REMOVE UC-ID OR CORRECT SCOPE","Baseline only — NOT UC approval"),"Decision scope missing"))))</f>
        <v/>
      </c>
      <c r="R85" s="43" t="n"/>
      <c r="S85" s="40" t="n"/>
      <c r="T85" s="40" t="n"/>
      <c r="U85" s="40" t="n"/>
      <c r="V85" s="40" t="n"/>
      <c r="W85" s="41" t="n"/>
      <c r="X85" s="38" t="n"/>
    </row>
    <row r="86">
      <c r="A86" s="38" t="n"/>
      <c r="B86" s="38" t="n"/>
      <c r="C86" s="38" t="n"/>
      <c r="D86" s="38" t="n"/>
      <c r="E86" s="38" t="n"/>
      <c r="F86" s="39" t="n"/>
      <c r="G86" s="38" t="n"/>
      <c r="H86" s="38" t="n"/>
      <c r="I86" s="38" t="n"/>
      <c r="J86" s="38" t="n"/>
      <c r="K86" s="38" t="n"/>
      <c r="L86" s="38" t="n"/>
      <c r="M86" s="38" t="n"/>
      <c r="N86" s="22">
        <f>IF(COUNTA(A86:M86,O86:P86,R86:X86)=0,"",IF(OR(A86="",B86="",F86=""),"Event ID, AIR-ID or date missing",IF(COUNTIF($A$4:$A$553,A86)&gt;1,"Duplicate Event ID",IF(E86="","Event type missing",IF(OR(NOT(ISNUMBER(F86)),F86&gt;TODAY()),"Date is not a real date or is in the future",IF(AND(C86&lt;&gt;"",COUNTIF('Gate plan'!$A$4:$A$353,C86)=0),"Plan ID not found in Gate plan",IF(AND(C86&lt;&gt;"",COUNTIFS('Gate plan'!$A$4:$A$353,C86,'Gate plan'!$B$4:$B$353,B86)=0),"Plan AIR-ID differs from event",IF(D86="","Gate / forum missing",IF(AND(E86="Precautionary pause (containment)",G86&lt;&gt;"Paused — pending decision"),"Precautionary pause: Outcome must be Paused, pending decision",IF(AND(E86="Precautionary pause (containment)",V86=""),"Precautionary pause: AIG-OPS-03 incident ref missing",IF(AND(E86="Precautionary pause (containment)",NOT(ISNUMBER(W86))),"Precautionary pause: follow-up decision due date missing",IF(AND(G86="Paused — pending decision",E86&lt;&gt;"Precautionary pause (containment)"),"Paused, pending decision is only for a Precautionary pause event",IF(AND(E86="Decision",OR(G86="",H86="",I86="")),"Outcome / delegation / decision ref missing",IF(AND(E86="Decision",NOT(OR(G86="Progress",G86="Progress with condition",G86="Return for evidence",G86="Pause",G86="Stop",G86="Suspend",G86="Decommission",G86="Re-authorise",G86="Resume"))),"Decision event needs a decision outcome",IF(AND(E86="Priority override",OR(H86="",I86="")),"Decision-maker / AIG-DEC-03 ref missing",IF(AND(E86="Priority override",G86&lt;&gt;"",G86&lt;&gt;"No decision"),"Priority override: Outcome blank or No decision",IF(AND(E86&lt;&gt;"Decision",OR(G86="Progress",G86="Progress with condition",G86="Return for evidence",G86="Pause",G86="Stop",G86="Suspend",G86="Decommission",G86="Re-authorise",G86="Resume")),"Outcome implies decision",IF(OR(ISNUMBER(SEARCH(",",O86)),ISNUMBER(SEARCH(";",O86))),"One UC-ID per event row — split this event",IF(AND(E86="Decision",OR(Q86="UC-ID REQUIRED",Q86="Decision scope missing",Q86="REMOVE UC-ID OR CORRECT SCOPE")),"Decision scope missing",IF(AND(G86="Progress with condition",COUNTIF(Conditions!$B$4:$B$553,A86)=0),"Progress with condition needs at least one Conditions row",IF(AND(C86&lt;&gt;"",COUNTIFS('Gate plan'!$A$4:$A$353,C86,'Gate plan'!$C$4:$C$353,D86)=0),"Plan gate differs from event gate",IF(AND(C86&lt;&gt;"",O86&lt;&gt;"",COUNTIFS('Gate plan'!$A$4:$A$353,C86,'Gate plan'!$K$4:$K$353,"&lt;&gt;")&gt;0,COUNTIFS('Gate plan'!$A$4:$A$353,C86,'Gate plan'!$K$4:$K$353,O86)=0),"Plan UC-ID differs from event UC-ID",IF(AND(E86="Assurance opinion",J86=""),"Assurance opinion ref missing",IF(AND(G86="Opinion only",E86&lt;&gt;"Assurance opinion",E86&lt;&gt;"Review only"),"Opinion only is for Assurance opinion or Review only events",IF(AND(G86="No decision",E86&lt;&gt;"Review only",E86&lt;&gt;"Priority override",E86&lt;&gt;"Intake / registration"),"No decision is for Review only, Priority override or Intake / registration events",IF(OR(ISNUMBER(SEARCH(" ",TRIM(O86))),ISNUMBER(SEARCH("/",O86))),"One UC-ID per event row: split this event",IF(AND(E86="Precautionary pause (containment)",ISNUMBER(W86),ISNUMBER(F86),W86&lt;F86),"Follow-up decision due date is before the pause",IF(AND(G86="Resume",IFERROR(LOOKUP(2,1/(($B$3:B85=B86)*($O$3:O85=O86)),$G$3:G85),"")&lt;&gt;"Paused — pending decision"),"Resume is only for the event straight after a Precautionary pause on the same AIR-ID and UC-ID (in an earlier row)",IF(AND(E86="Decision",OR(G86="Progress",G86="Progress with condition",G86="Re-authorise",G86="Resume"),X86&lt;&gt;"Yes"),"Decision-maker has not confirmed the screening was considered (column X)","Check against source")))))))))))))))))))))))))))))</f>
        <v/>
      </c>
      <c r="O86" s="37" t="n"/>
      <c r="P86" s="37" t="n"/>
      <c r="Q86" s="14">
        <f>IF(A86="","",IF(E86&lt;&gt;"Decision","",IF(P86="UC-ID specific",IF(O86="","UC-ID REQUIRED","Check source decision for each UC-ID"),IF(P86="Shared system baseline",IF(O86&lt;&gt;"","REMOVE UC-ID OR CORRECT SCOPE","Baseline only — NOT UC approval"),"Decision scope missing"))))</f>
        <v/>
      </c>
      <c r="R86" s="42" t="n"/>
      <c r="S86" s="38" t="n"/>
      <c r="T86" s="38" t="n"/>
      <c r="U86" s="38" t="n"/>
      <c r="V86" s="38" t="n"/>
      <c r="W86" s="39" t="n"/>
      <c r="X86" s="38" t="n"/>
    </row>
    <row r="87">
      <c r="A87" s="40" t="n"/>
      <c r="B87" s="40" t="n"/>
      <c r="C87" s="40" t="n"/>
      <c r="D87" s="40" t="n"/>
      <c r="E87" s="40" t="n"/>
      <c r="F87" s="41" t="n"/>
      <c r="G87" s="40" t="n"/>
      <c r="H87" s="40" t="n"/>
      <c r="I87" s="40" t="n"/>
      <c r="J87" s="40" t="n"/>
      <c r="K87" s="40" t="n"/>
      <c r="L87" s="40" t="n"/>
      <c r="M87" s="40" t="n"/>
      <c r="N87" s="24">
        <f>IF(COUNTA(A87:M87,O87:P87,R87:X87)=0,"",IF(OR(A87="",B87="",F87=""),"Event ID, AIR-ID or date missing",IF(COUNTIF($A$4:$A$553,A87)&gt;1,"Duplicate Event ID",IF(E87="","Event type missing",IF(OR(NOT(ISNUMBER(F87)),F87&gt;TODAY()),"Date is not a real date or is in the future",IF(AND(C87&lt;&gt;"",COUNTIF('Gate plan'!$A$4:$A$353,C87)=0),"Plan ID not found in Gate plan",IF(AND(C87&lt;&gt;"",COUNTIFS('Gate plan'!$A$4:$A$353,C87,'Gate plan'!$B$4:$B$353,B87)=0),"Plan AIR-ID differs from event",IF(D87="","Gate / forum missing",IF(AND(E87="Precautionary pause (containment)",G87&lt;&gt;"Paused — pending decision"),"Precautionary pause: Outcome must be Paused, pending decision",IF(AND(E87="Precautionary pause (containment)",V87=""),"Precautionary pause: AIG-OPS-03 incident ref missing",IF(AND(E87="Precautionary pause (containment)",NOT(ISNUMBER(W87))),"Precautionary pause: follow-up decision due date missing",IF(AND(G87="Paused — pending decision",E87&lt;&gt;"Precautionary pause (containment)"),"Paused, pending decision is only for a Precautionary pause event",IF(AND(E87="Decision",OR(G87="",H87="",I87="")),"Outcome / delegation / decision ref missing",IF(AND(E87="Decision",NOT(OR(G87="Progress",G87="Progress with condition",G87="Return for evidence",G87="Pause",G87="Stop",G87="Suspend",G87="Decommission",G87="Re-authorise",G87="Resume"))),"Decision event needs a decision outcome",IF(AND(E87="Priority override",OR(H87="",I87="")),"Decision-maker / AIG-DEC-03 ref missing",IF(AND(E87="Priority override",G87&lt;&gt;"",G87&lt;&gt;"No decision"),"Priority override: Outcome blank or No decision",IF(AND(E87&lt;&gt;"Decision",OR(G87="Progress",G87="Progress with condition",G87="Return for evidence",G87="Pause",G87="Stop",G87="Suspend",G87="Decommission",G87="Re-authorise",G87="Resume")),"Outcome implies decision",IF(OR(ISNUMBER(SEARCH(",",O87)),ISNUMBER(SEARCH(";",O87))),"One UC-ID per event row — split this event",IF(AND(E87="Decision",OR(Q87="UC-ID REQUIRED",Q87="Decision scope missing",Q87="REMOVE UC-ID OR CORRECT SCOPE")),"Decision scope missing",IF(AND(G87="Progress with condition",COUNTIF(Conditions!$B$4:$B$553,A87)=0),"Progress with condition needs at least one Conditions row",IF(AND(C87&lt;&gt;"",COUNTIFS('Gate plan'!$A$4:$A$353,C87,'Gate plan'!$C$4:$C$353,D87)=0),"Plan gate differs from event gate",IF(AND(C87&lt;&gt;"",O87&lt;&gt;"",COUNTIFS('Gate plan'!$A$4:$A$353,C87,'Gate plan'!$K$4:$K$353,"&lt;&gt;")&gt;0,COUNTIFS('Gate plan'!$A$4:$A$353,C87,'Gate plan'!$K$4:$K$353,O87)=0),"Plan UC-ID differs from event UC-ID",IF(AND(E87="Assurance opinion",J87=""),"Assurance opinion ref missing",IF(AND(G87="Opinion only",E87&lt;&gt;"Assurance opinion",E87&lt;&gt;"Review only"),"Opinion only is for Assurance opinion or Review only events",IF(AND(G87="No decision",E87&lt;&gt;"Review only",E87&lt;&gt;"Priority override",E87&lt;&gt;"Intake / registration"),"No decision is for Review only, Priority override or Intake / registration events",IF(OR(ISNUMBER(SEARCH(" ",TRIM(O87))),ISNUMBER(SEARCH("/",O87))),"One UC-ID per event row: split this event",IF(AND(E87="Precautionary pause (containment)",ISNUMBER(W87),ISNUMBER(F87),W87&lt;F87),"Follow-up decision due date is before the pause",IF(AND(G87="Resume",IFERROR(LOOKUP(2,1/(($B$3:B86=B87)*($O$3:O86=O87)),$G$3:G86),"")&lt;&gt;"Paused — pending decision"),"Resume is only for the event straight after a Precautionary pause on the same AIR-ID and UC-ID (in an earlier row)",IF(AND(E87="Decision",OR(G87="Progress",G87="Progress with condition",G87="Re-authorise",G87="Resume"),X87&lt;&gt;"Yes"),"Decision-maker has not confirmed the screening was considered (column X)","Check against source")))))))))))))))))))))))))))))</f>
        <v/>
      </c>
      <c r="O87" s="37" t="n"/>
      <c r="P87" s="37" t="n"/>
      <c r="Q87" s="14">
        <f>IF(A87="","",IF(E87&lt;&gt;"Decision","",IF(P87="UC-ID specific",IF(O87="","UC-ID REQUIRED","Check source decision for each UC-ID"),IF(P87="Shared system baseline",IF(O87&lt;&gt;"","REMOVE UC-ID OR CORRECT SCOPE","Baseline only — NOT UC approval"),"Decision scope missing"))))</f>
        <v/>
      </c>
      <c r="R87" s="43" t="n"/>
      <c r="S87" s="40" t="n"/>
      <c r="T87" s="40" t="n"/>
      <c r="U87" s="40" t="n"/>
      <c r="V87" s="40" t="n"/>
      <c r="W87" s="41" t="n"/>
      <c r="X87" s="38" t="n"/>
    </row>
    <row r="88">
      <c r="A88" s="38" t="n"/>
      <c r="B88" s="38" t="n"/>
      <c r="C88" s="38" t="n"/>
      <c r="D88" s="38" t="n"/>
      <c r="E88" s="38" t="n"/>
      <c r="F88" s="39" t="n"/>
      <c r="G88" s="38" t="n"/>
      <c r="H88" s="38" t="n"/>
      <c r="I88" s="38" t="n"/>
      <c r="J88" s="38" t="n"/>
      <c r="K88" s="38" t="n"/>
      <c r="L88" s="38" t="n"/>
      <c r="M88" s="38" t="n"/>
      <c r="N88" s="22">
        <f>IF(COUNTA(A88:M88,O88:P88,R88:X88)=0,"",IF(OR(A88="",B88="",F88=""),"Event ID, AIR-ID or date missing",IF(COUNTIF($A$4:$A$553,A88)&gt;1,"Duplicate Event ID",IF(E88="","Event type missing",IF(OR(NOT(ISNUMBER(F88)),F88&gt;TODAY()),"Date is not a real date or is in the future",IF(AND(C88&lt;&gt;"",COUNTIF('Gate plan'!$A$4:$A$353,C88)=0),"Plan ID not found in Gate plan",IF(AND(C88&lt;&gt;"",COUNTIFS('Gate plan'!$A$4:$A$353,C88,'Gate plan'!$B$4:$B$353,B88)=0),"Plan AIR-ID differs from event",IF(D88="","Gate / forum missing",IF(AND(E88="Precautionary pause (containment)",G88&lt;&gt;"Paused — pending decision"),"Precautionary pause: Outcome must be Paused, pending decision",IF(AND(E88="Precautionary pause (containment)",V88=""),"Precautionary pause: AIG-OPS-03 incident ref missing",IF(AND(E88="Precautionary pause (containment)",NOT(ISNUMBER(W88))),"Precautionary pause: follow-up decision due date missing",IF(AND(G88="Paused — pending decision",E88&lt;&gt;"Precautionary pause (containment)"),"Paused, pending decision is only for a Precautionary pause event",IF(AND(E88="Decision",OR(G88="",H88="",I88="")),"Outcome / delegation / decision ref missing",IF(AND(E88="Decision",NOT(OR(G88="Progress",G88="Progress with condition",G88="Return for evidence",G88="Pause",G88="Stop",G88="Suspend",G88="Decommission",G88="Re-authorise",G88="Resume"))),"Decision event needs a decision outcome",IF(AND(E88="Priority override",OR(H88="",I88="")),"Decision-maker / AIG-DEC-03 ref missing",IF(AND(E88="Priority override",G88&lt;&gt;"",G88&lt;&gt;"No decision"),"Priority override: Outcome blank or No decision",IF(AND(E88&lt;&gt;"Decision",OR(G88="Progress",G88="Progress with condition",G88="Return for evidence",G88="Pause",G88="Stop",G88="Suspend",G88="Decommission",G88="Re-authorise",G88="Resume")),"Outcome implies decision",IF(OR(ISNUMBER(SEARCH(",",O88)),ISNUMBER(SEARCH(";",O88))),"One UC-ID per event row — split this event",IF(AND(E88="Decision",OR(Q88="UC-ID REQUIRED",Q88="Decision scope missing",Q88="REMOVE UC-ID OR CORRECT SCOPE")),"Decision scope missing",IF(AND(G88="Progress with condition",COUNTIF(Conditions!$B$4:$B$553,A88)=0),"Progress with condition needs at least one Conditions row",IF(AND(C88&lt;&gt;"",COUNTIFS('Gate plan'!$A$4:$A$353,C88,'Gate plan'!$C$4:$C$353,D88)=0),"Plan gate differs from event gate",IF(AND(C88&lt;&gt;"",O88&lt;&gt;"",COUNTIFS('Gate plan'!$A$4:$A$353,C88,'Gate plan'!$K$4:$K$353,"&lt;&gt;")&gt;0,COUNTIFS('Gate plan'!$A$4:$A$353,C88,'Gate plan'!$K$4:$K$353,O88)=0),"Plan UC-ID differs from event UC-ID",IF(AND(E88="Assurance opinion",J88=""),"Assurance opinion ref missing",IF(AND(G88="Opinion only",E88&lt;&gt;"Assurance opinion",E88&lt;&gt;"Review only"),"Opinion only is for Assurance opinion or Review only events",IF(AND(G88="No decision",E88&lt;&gt;"Review only",E88&lt;&gt;"Priority override",E88&lt;&gt;"Intake / registration"),"No decision is for Review only, Priority override or Intake / registration events",IF(OR(ISNUMBER(SEARCH(" ",TRIM(O88))),ISNUMBER(SEARCH("/",O88))),"One UC-ID per event row: split this event",IF(AND(E88="Precautionary pause (containment)",ISNUMBER(W88),ISNUMBER(F88),W88&lt;F88),"Follow-up decision due date is before the pause",IF(AND(G88="Resume",IFERROR(LOOKUP(2,1/(($B$3:B87=B88)*($O$3:O87=O88)),$G$3:G87),"")&lt;&gt;"Paused — pending decision"),"Resume is only for the event straight after a Precautionary pause on the same AIR-ID and UC-ID (in an earlier row)",IF(AND(E88="Decision",OR(G88="Progress",G88="Progress with condition",G88="Re-authorise",G88="Resume"),X88&lt;&gt;"Yes"),"Decision-maker has not confirmed the screening was considered (column X)","Check against source")))))))))))))))))))))))))))))</f>
        <v/>
      </c>
      <c r="O88" s="37" t="n"/>
      <c r="P88" s="37" t="n"/>
      <c r="Q88" s="14">
        <f>IF(A88="","",IF(E88&lt;&gt;"Decision","",IF(P88="UC-ID specific",IF(O88="","UC-ID REQUIRED","Check source decision for each UC-ID"),IF(P88="Shared system baseline",IF(O88&lt;&gt;"","REMOVE UC-ID OR CORRECT SCOPE","Baseline only — NOT UC approval"),"Decision scope missing"))))</f>
        <v/>
      </c>
      <c r="R88" s="42" t="n"/>
      <c r="S88" s="38" t="n"/>
      <c r="T88" s="38" t="n"/>
      <c r="U88" s="38" t="n"/>
      <c r="V88" s="38" t="n"/>
      <c r="W88" s="39" t="n"/>
      <c r="X88" s="38" t="n"/>
    </row>
    <row r="89">
      <c r="A89" s="40" t="n"/>
      <c r="B89" s="40" t="n"/>
      <c r="C89" s="40" t="n"/>
      <c r="D89" s="40" t="n"/>
      <c r="E89" s="40" t="n"/>
      <c r="F89" s="41" t="n"/>
      <c r="G89" s="40" t="n"/>
      <c r="H89" s="40" t="n"/>
      <c r="I89" s="40" t="n"/>
      <c r="J89" s="40" t="n"/>
      <c r="K89" s="40" t="n"/>
      <c r="L89" s="40" t="n"/>
      <c r="M89" s="40" t="n"/>
      <c r="N89" s="24">
        <f>IF(COUNTA(A89:M89,O89:P89,R89:X89)=0,"",IF(OR(A89="",B89="",F89=""),"Event ID, AIR-ID or date missing",IF(COUNTIF($A$4:$A$553,A89)&gt;1,"Duplicate Event ID",IF(E89="","Event type missing",IF(OR(NOT(ISNUMBER(F89)),F89&gt;TODAY()),"Date is not a real date or is in the future",IF(AND(C89&lt;&gt;"",COUNTIF('Gate plan'!$A$4:$A$353,C89)=0),"Plan ID not found in Gate plan",IF(AND(C89&lt;&gt;"",COUNTIFS('Gate plan'!$A$4:$A$353,C89,'Gate plan'!$B$4:$B$353,B89)=0),"Plan AIR-ID differs from event",IF(D89="","Gate / forum missing",IF(AND(E89="Precautionary pause (containment)",G89&lt;&gt;"Paused — pending decision"),"Precautionary pause: Outcome must be Paused, pending decision",IF(AND(E89="Precautionary pause (containment)",V89=""),"Precautionary pause: AIG-OPS-03 incident ref missing",IF(AND(E89="Precautionary pause (containment)",NOT(ISNUMBER(W89))),"Precautionary pause: follow-up decision due date missing",IF(AND(G89="Paused — pending decision",E89&lt;&gt;"Precautionary pause (containment)"),"Paused, pending decision is only for a Precautionary pause event",IF(AND(E89="Decision",OR(G89="",H89="",I89="")),"Outcome / delegation / decision ref missing",IF(AND(E89="Decision",NOT(OR(G89="Progress",G89="Progress with condition",G89="Return for evidence",G89="Pause",G89="Stop",G89="Suspend",G89="Decommission",G89="Re-authorise",G89="Resume"))),"Decision event needs a decision outcome",IF(AND(E89="Priority override",OR(H89="",I89="")),"Decision-maker / AIG-DEC-03 ref missing",IF(AND(E89="Priority override",G89&lt;&gt;"",G89&lt;&gt;"No decision"),"Priority override: Outcome blank or No decision",IF(AND(E89&lt;&gt;"Decision",OR(G89="Progress",G89="Progress with condition",G89="Return for evidence",G89="Pause",G89="Stop",G89="Suspend",G89="Decommission",G89="Re-authorise",G89="Resume")),"Outcome implies decision",IF(OR(ISNUMBER(SEARCH(",",O89)),ISNUMBER(SEARCH(";",O89))),"One UC-ID per event row — split this event",IF(AND(E89="Decision",OR(Q89="UC-ID REQUIRED",Q89="Decision scope missing",Q89="REMOVE UC-ID OR CORRECT SCOPE")),"Decision scope missing",IF(AND(G89="Progress with condition",COUNTIF(Conditions!$B$4:$B$553,A89)=0),"Progress with condition needs at least one Conditions row",IF(AND(C89&lt;&gt;"",COUNTIFS('Gate plan'!$A$4:$A$353,C89,'Gate plan'!$C$4:$C$353,D89)=0),"Plan gate differs from event gate",IF(AND(C89&lt;&gt;"",O89&lt;&gt;"",COUNTIFS('Gate plan'!$A$4:$A$353,C89,'Gate plan'!$K$4:$K$353,"&lt;&gt;")&gt;0,COUNTIFS('Gate plan'!$A$4:$A$353,C89,'Gate plan'!$K$4:$K$353,O89)=0),"Plan UC-ID differs from event UC-ID",IF(AND(E89="Assurance opinion",J89=""),"Assurance opinion ref missing",IF(AND(G89="Opinion only",E89&lt;&gt;"Assurance opinion",E89&lt;&gt;"Review only"),"Opinion only is for Assurance opinion or Review only events",IF(AND(G89="No decision",E89&lt;&gt;"Review only",E89&lt;&gt;"Priority override",E89&lt;&gt;"Intake / registration"),"No decision is for Review only, Priority override or Intake / registration events",IF(OR(ISNUMBER(SEARCH(" ",TRIM(O89))),ISNUMBER(SEARCH("/",O89))),"One UC-ID per event row: split this event",IF(AND(E89="Precautionary pause (containment)",ISNUMBER(W89),ISNUMBER(F89),W89&lt;F89),"Follow-up decision due date is before the pause",IF(AND(G89="Resume",IFERROR(LOOKUP(2,1/(($B$3:B88=B89)*($O$3:O88=O89)),$G$3:G88),"")&lt;&gt;"Paused — pending decision"),"Resume is only for the event straight after a Precautionary pause on the same AIR-ID and UC-ID (in an earlier row)",IF(AND(E89="Decision",OR(G89="Progress",G89="Progress with condition",G89="Re-authorise",G89="Resume"),X89&lt;&gt;"Yes"),"Decision-maker has not confirmed the screening was considered (column X)","Check against source")))))))))))))))))))))))))))))</f>
        <v/>
      </c>
      <c r="O89" s="37" t="n"/>
      <c r="P89" s="37" t="n"/>
      <c r="Q89" s="14">
        <f>IF(A89="","",IF(E89&lt;&gt;"Decision","",IF(P89="UC-ID specific",IF(O89="","UC-ID REQUIRED","Check source decision for each UC-ID"),IF(P89="Shared system baseline",IF(O89&lt;&gt;"","REMOVE UC-ID OR CORRECT SCOPE","Baseline only — NOT UC approval"),"Decision scope missing"))))</f>
        <v/>
      </c>
      <c r="R89" s="43" t="n"/>
      <c r="S89" s="40" t="n"/>
      <c r="T89" s="40" t="n"/>
      <c r="U89" s="40" t="n"/>
      <c r="V89" s="40" t="n"/>
      <c r="W89" s="41" t="n"/>
      <c r="X89" s="38" t="n"/>
    </row>
    <row r="90">
      <c r="A90" s="38" t="n"/>
      <c r="B90" s="38" t="n"/>
      <c r="C90" s="38" t="n"/>
      <c r="D90" s="38" t="n"/>
      <c r="E90" s="38" t="n"/>
      <c r="F90" s="39" t="n"/>
      <c r="G90" s="38" t="n"/>
      <c r="H90" s="38" t="n"/>
      <c r="I90" s="38" t="n"/>
      <c r="J90" s="38" t="n"/>
      <c r="K90" s="38" t="n"/>
      <c r="L90" s="38" t="n"/>
      <c r="M90" s="38" t="n"/>
      <c r="N90" s="22">
        <f>IF(COUNTA(A90:M90,O90:P90,R90:X90)=0,"",IF(OR(A90="",B90="",F90=""),"Event ID, AIR-ID or date missing",IF(COUNTIF($A$4:$A$553,A90)&gt;1,"Duplicate Event ID",IF(E90="","Event type missing",IF(OR(NOT(ISNUMBER(F90)),F90&gt;TODAY()),"Date is not a real date or is in the future",IF(AND(C90&lt;&gt;"",COUNTIF('Gate plan'!$A$4:$A$353,C90)=0),"Plan ID not found in Gate plan",IF(AND(C90&lt;&gt;"",COUNTIFS('Gate plan'!$A$4:$A$353,C90,'Gate plan'!$B$4:$B$353,B90)=0),"Plan AIR-ID differs from event",IF(D90="","Gate / forum missing",IF(AND(E90="Precautionary pause (containment)",G90&lt;&gt;"Paused — pending decision"),"Precautionary pause: Outcome must be Paused, pending decision",IF(AND(E90="Precautionary pause (containment)",V90=""),"Precautionary pause: AIG-OPS-03 incident ref missing",IF(AND(E90="Precautionary pause (containment)",NOT(ISNUMBER(W90))),"Precautionary pause: follow-up decision due date missing",IF(AND(G90="Paused — pending decision",E90&lt;&gt;"Precautionary pause (containment)"),"Paused, pending decision is only for a Precautionary pause event",IF(AND(E90="Decision",OR(G90="",H90="",I90="")),"Outcome / delegation / decision ref missing",IF(AND(E90="Decision",NOT(OR(G90="Progress",G90="Progress with condition",G90="Return for evidence",G90="Pause",G90="Stop",G90="Suspend",G90="Decommission",G90="Re-authorise",G90="Resume"))),"Decision event needs a decision outcome",IF(AND(E90="Priority override",OR(H90="",I90="")),"Decision-maker / AIG-DEC-03 ref missing",IF(AND(E90="Priority override",G90&lt;&gt;"",G90&lt;&gt;"No decision"),"Priority override: Outcome blank or No decision",IF(AND(E90&lt;&gt;"Decision",OR(G90="Progress",G90="Progress with condition",G90="Return for evidence",G90="Pause",G90="Stop",G90="Suspend",G90="Decommission",G90="Re-authorise",G90="Resume")),"Outcome implies decision",IF(OR(ISNUMBER(SEARCH(",",O90)),ISNUMBER(SEARCH(";",O90))),"One UC-ID per event row — split this event",IF(AND(E90="Decision",OR(Q90="UC-ID REQUIRED",Q90="Decision scope missing",Q90="REMOVE UC-ID OR CORRECT SCOPE")),"Decision scope missing",IF(AND(G90="Progress with condition",COUNTIF(Conditions!$B$4:$B$553,A90)=0),"Progress with condition needs at least one Conditions row",IF(AND(C90&lt;&gt;"",COUNTIFS('Gate plan'!$A$4:$A$353,C90,'Gate plan'!$C$4:$C$353,D90)=0),"Plan gate differs from event gate",IF(AND(C90&lt;&gt;"",O90&lt;&gt;"",COUNTIFS('Gate plan'!$A$4:$A$353,C90,'Gate plan'!$K$4:$K$353,"&lt;&gt;")&gt;0,COUNTIFS('Gate plan'!$A$4:$A$353,C90,'Gate plan'!$K$4:$K$353,O90)=0),"Plan UC-ID differs from event UC-ID",IF(AND(E90="Assurance opinion",J90=""),"Assurance opinion ref missing",IF(AND(G90="Opinion only",E90&lt;&gt;"Assurance opinion",E90&lt;&gt;"Review only"),"Opinion only is for Assurance opinion or Review only events",IF(AND(G90="No decision",E90&lt;&gt;"Review only",E90&lt;&gt;"Priority override",E90&lt;&gt;"Intake / registration"),"No decision is for Review only, Priority override or Intake / registration events",IF(OR(ISNUMBER(SEARCH(" ",TRIM(O90))),ISNUMBER(SEARCH("/",O90))),"One UC-ID per event row: split this event",IF(AND(E90="Precautionary pause (containment)",ISNUMBER(W90),ISNUMBER(F90),W90&lt;F90),"Follow-up decision due date is before the pause",IF(AND(G90="Resume",IFERROR(LOOKUP(2,1/(($B$3:B89=B90)*($O$3:O89=O90)),$G$3:G89),"")&lt;&gt;"Paused — pending decision"),"Resume is only for the event straight after a Precautionary pause on the same AIR-ID and UC-ID (in an earlier row)",IF(AND(E90="Decision",OR(G90="Progress",G90="Progress with condition",G90="Re-authorise",G90="Resume"),X90&lt;&gt;"Yes"),"Decision-maker has not confirmed the screening was considered (column X)","Check against source")))))))))))))))))))))))))))))</f>
        <v/>
      </c>
      <c r="O90" s="37" t="n"/>
      <c r="P90" s="37" t="n"/>
      <c r="Q90" s="14">
        <f>IF(A90="","",IF(E90&lt;&gt;"Decision","",IF(P90="UC-ID specific",IF(O90="","UC-ID REQUIRED","Check source decision for each UC-ID"),IF(P90="Shared system baseline",IF(O90&lt;&gt;"","REMOVE UC-ID OR CORRECT SCOPE","Baseline only — NOT UC approval"),"Decision scope missing"))))</f>
        <v/>
      </c>
      <c r="R90" s="42" t="n"/>
      <c r="S90" s="38" t="n"/>
      <c r="T90" s="38" t="n"/>
      <c r="U90" s="38" t="n"/>
      <c r="V90" s="38" t="n"/>
      <c r="W90" s="39" t="n"/>
      <c r="X90" s="38" t="n"/>
    </row>
    <row r="91">
      <c r="A91" s="40" t="n"/>
      <c r="B91" s="40" t="n"/>
      <c r="C91" s="40" t="n"/>
      <c r="D91" s="40" t="n"/>
      <c r="E91" s="40" t="n"/>
      <c r="F91" s="41" t="n"/>
      <c r="G91" s="40" t="n"/>
      <c r="H91" s="40" t="n"/>
      <c r="I91" s="40" t="n"/>
      <c r="J91" s="40" t="n"/>
      <c r="K91" s="40" t="n"/>
      <c r="L91" s="40" t="n"/>
      <c r="M91" s="40" t="n"/>
      <c r="N91" s="24">
        <f>IF(COUNTA(A91:M91,O91:P91,R91:X91)=0,"",IF(OR(A91="",B91="",F91=""),"Event ID, AIR-ID or date missing",IF(COUNTIF($A$4:$A$553,A91)&gt;1,"Duplicate Event ID",IF(E91="","Event type missing",IF(OR(NOT(ISNUMBER(F91)),F91&gt;TODAY()),"Date is not a real date or is in the future",IF(AND(C91&lt;&gt;"",COUNTIF('Gate plan'!$A$4:$A$353,C91)=0),"Plan ID not found in Gate plan",IF(AND(C91&lt;&gt;"",COUNTIFS('Gate plan'!$A$4:$A$353,C91,'Gate plan'!$B$4:$B$353,B91)=0),"Plan AIR-ID differs from event",IF(D91="","Gate / forum missing",IF(AND(E91="Precautionary pause (containment)",G91&lt;&gt;"Paused — pending decision"),"Precautionary pause: Outcome must be Paused, pending decision",IF(AND(E91="Precautionary pause (containment)",V91=""),"Precautionary pause: AIG-OPS-03 incident ref missing",IF(AND(E91="Precautionary pause (containment)",NOT(ISNUMBER(W91))),"Precautionary pause: follow-up decision due date missing",IF(AND(G91="Paused — pending decision",E91&lt;&gt;"Precautionary pause (containment)"),"Paused, pending decision is only for a Precautionary pause event",IF(AND(E91="Decision",OR(G91="",H91="",I91="")),"Outcome / delegation / decision ref missing",IF(AND(E91="Decision",NOT(OR(G91="Progress",G91="Progress with condition",G91="Return for evidence",G91="Pause",G91="Stop",G91="Suspend",G91="Decommission",G91="Re-authorise",G91="Resume"))),"Decision event needs a decision outcome",IF(AND(E91="Priority override",OR(H91="",I91="")),"Decision-maker / AIG-DEC-03 ref missing",IF(AND(E91="Priority override",G91&lt;&gt;"",G91&lt;&gt;"No decision"),"Priority override: Outcome blank or No decision",IF(AND(E91&lt;&gt;"Decision",OR(G91="Progress",G91="Progress with condition",G91="Return for evidence",G91="Pause",G91="Stop",G91="Suspend",G91="Decommission",G91="Re-authorise",G91="Resume")),"Outcome implies decision",IF(OR(ISNUMBER(SEARCH(",",O91)),ISNUMBER(SEARCH(";",O91))),"One UC-ID per event row — split this event",IF(AND(E91="Decision",OR(Q91="UC-ID REQUIRED",Q91="Decision scope missing",Q91="REMOVE UC-ID OR CORRECT SCOPE")),"Decision scope missing",IF(AND(G91="Progress with condition",COUNTIF(Conditions!$B$4:$B$553,A91)=0),"Progress with condition needs at least one Conditions row",IF(AND(C91&lt;&gt;"",COUNTIFS('Gate plan'!$A$4:$A$353,C91,'Gate plan'!$C$4:$C$353,D91)=0),"Plan gate differs from event gate",IF(AND(C91&lt;&gt;"",O91&lt;&gt;"",COUNTIFS('Gate plan'!$A$4:$A$353,C91,'Gate plan'!$K$4:$K$353,"&lt;&gt;")&gt;0,COUNTIFS('Gate plan'!$A$4:$A$353,C91,'Gate plan'!$K$4:$K$353,O91)=0),"Plan UC-ID differs from event UC-ID",IF(AND(E91="Assurance opinion",J91=""),"Assurance opinion ref missing",IF(AND(G91="Opinion only",E91&lt;&gt;"Assurance opinion",E91&lt;&gt;"Review only"),"Opinion only is for Assurance opinion or Review only events",IF(AND(G91="No decision",E91&lt;&gt;"Review only",E91&lt;&gt;"Priority override",E91&lt;&gt;"Intake / registration"),"No decision is for Review only, Priority override or Intake / registration events",IF(OR(ISNUMBER(SEARCH(" ",TRIM(O91))),ISNUMBER(SEARCH("/",O91))),"One UC-ID per event row: split this event",IF(AND(E91="Precautionary pause (containment)",ISNUMBER(W91),ISNUMBER(F91),W91&lt;F91),"Follow-up decision due date is before the pause",IF(AND(G91="Resume",IFERROR(LOOKUP(2,1/(($B$3:B90=B91)*($O$3:O90=O91)),$G$3:G90),"")&lt;&gt;"Paused — pending decision"),"Resume is only for the event straight after a Precautionary pause on the same AIR-ID and UC-ID (in an earlier row)",IF(AND(E91="Decision",OR(G91="Progress",G91="Progress with condition",G91="Re-authorise",G91="Resume"),X91&lt;&gt;"Yes"),"Decision-maker has not confirmed the screening was considered (column X)","Check against source")))))))))))))))))))))))))))))</f>
        <v/>
      </c>
      <c r="O91" s="37" t="n"/>
      <c r="P91" s="37" t="n"/>
      <c r="Q91" s="14">
        <f>IF(A91="","",IF(E91&lt;&gt;"Decision","",IF(P91="UC-ID specific",IF(O91="","UC-ID REQUIRED","Check source decision for each UC-ID"),IF(P91="Shared system baseline",IF(O91&lt;&gt;"","REMOVE UC-ID OR CORRECT SCOPE","Baseline only — NOT UC approval"),"Decision scope missing"))))</f>
        <v/>
      </c>
      <c r="R91" s="43" t="n"/>
      <c r="S91" s="40" t="n"/>
      <c r="T91" s="40" t="n"/>
      <c r="U91" s="40" t="n"/>
      <c r="V91" s="40" t="n"/>
      <c r="W91" s="41" t="n"/>
      <c r="X91" s="38" t="n"/>
    </row>
    <row r="92">
      <c r="A92" s="38" t="n"/>
      <c r="B92" s="38" t="n"/>
      <c r="C92" s="38" t="n"/>
      <c r="D92" s="38" t="n"/>
      <c r="E92" s="38" t="n"/>
      <c r="F92" s="39" t="n"/>
      <c r="G92" s="38" t="n"/>
      <c r="H92" s="38" t="n"/>
      <c r="I92" s="38" t="n"/>
      <c r="J92" s="38" t="n"/>
      <c r="K92" s="38" t="n"/>
      <c r="L92" s="38" t="n"/>
      <c r="M92" s="38" t="n"/>
      <c r="N92" s="22">
        <f>IF(COUNTA(A92:M92,O92:P92,R92:X92)=0,"",IF(OR(A92="",B92="",F92=""),"Event ID, AIR-ID or date missing",IF(COUNTIF($A$4:$A$553,A92)&gt;1,"Duplicate Event ID",IF(E92="","Event type missing",IF(OR(NOT(ISNUMBER(F92)),F92&gt;TODAY()),"Date is not a real date or is in the future",IF(AND(C92&lt;&gt;"",COUNTIF('Gate plan'!$A$4:$A$353,C92)=0),"Plan ID not found in Gate plan",IF(AND(C92&lt;&gt;"",COUNTIFS('Gate plan'!$A$4:$A$353,C92,'Gate plan'!$B$4:$B$353,B92)=0),"Plan AIR-ID differs from event",IF(D92="","Gate / forum missing",IF(AND(E92="Precautionary pause (containment)",G92&lt;&gt;"Paused — pending decision"),"Precautionary pause: Outcome must be Paused, pending decision",IF(AND(E92="Precautionary pause (containment)",V92=""),"Precautionary pause: AIG-OPS-03 incident ref missing",IF(AND(E92="Precautionary pause (containment)",NOT(ISNUMBER(W92))),"Precautionary pause: follow-up decision due date missing",IF(AND(G92="Paused — pending decision",E92&lt;&gt;"Precautionary pause (containment)"),"Paused, pending decision is only for a Precautionary pause event",IF(AND(E92="Decision",OR(G92="",H92="",I92="")),"Outcome / delegation / decision ref missing",IF(AND(E92="Decision",NOT(OR(G92="Progress",G92="Progress with condition",G92="Return for evidence",G92="Pause",G92="Stop",G92="Suspend",G92="Decommission",G92="Re-authorise",G92="Resume"))),"Decision event needs a decision outcome",IF(AND(E92="Priority override",OR(H92="",I92="")),"Decision-maker / AIG-DEC-03 ref missing",IF(AND(E92="Priority override",G92&lt;&gt;"",G92&lt;&gt;"No decision"),"Priority override: Outcome blank or No decision",IF(AND(E92&lt;&gt;"Decision",OR(G92="Progress",G92="Progress with condition",G92="Return for evidence",G92="Pause",G92="Stop",G92="Suspend",G92="Decommission",G92="Re-authorise",G92="Resume")),"Outcome implies decision",IF(OR(ISNUMBER(SEARCH(",",O92)),ISNUMBER(SEARCH(";",O92))),"One UC-ID per event row — split this event",IF(AND(E92="Decision",OR(Q92="UC-ID REQUIRED",Q92="Decision scope missing",Q92="REMOVE UC-ID OR CORRECT SCOPE")),"Decision scope missing",IF(AND(G92="Progress with condition",COUNTIF(Conditions!$B$4:$B$553,A92)=0),"Progress with condition needs at least one Conditions row",IF(AND(C92&lt;&gt;"",COUNTIFS('Gate plan'!$A$4:$A$353,C92,'Gate plan'!$C$4:$C$353,D92)=0),"Plan gate differs from event gate",IF(AND(C92&lt;&gt;"",O92&lt;&gt;"",COUNTIFS('Gate plan'!$A$4:$A$353,C92,'Gate plan'!$K$4:$K$353,"&lt;&gt;")&gt;0,COUNTIFS('Gate plan'!$A$4:$A$353,C92,'Gate plan'!$K$4:$K$353,O92)=0),"Plan UC-ID differs from event UC-ID",IF(AND(E92="Assurance opinion",J92=""),"Assurance opinion ref missing",IF(AND(G92="Opinion only",E92&lt;&gt;"Assurance opinion",E92&lt;&gt;"Review only"),"Opinion only is for Assurance opinion or Review only events",IF(AND(G92="No decision",E92&lt;&gt;"Review only",E92&lt;&gt;"Priority override",E92&lt;&gt;"Intake / registration"),"No decision is for Review only, Priority override or Intake / registration events",IF(OR(ISNUMBER(SEARCH(" ",TRIM(O92))),ISNUMBER(SEARCH("/",O92))),"One UC-ID per event row: split this event",IF(AND(E92="Precautionary pause (containment)",ISNUMBER(W92),ISNUMBER(F92),W92&lt;F92),"Follow-up decision due date is before the pause",IF(AND(G92="Resume",IFERROR(LOOKUP(2,1/(($B$3:B91=B92)*($O$3:O91=O92)),$G$3:G91),"")&lt;&gt;"Paused — pending decision"),"Resume is only for the event straight after a Precautionary pause on the same AIR-ID and UC-ID (in an earlier row)",IF(AND(E92="Decision",OR(G92="Progress",G92="Progress with condition",G92="Re-authorise",G92="Resume"),X92&lt;&gt;"Yes"),"Decision-maker has not confirmed the screening was considered (column X)","Check against source")))))))))))))))))))))))))))))</f>
        <v/>
      </c>
      <c r="O92" s="37" t="n"/>
      <c r="P92" s="37" t="n"/>
      <c r="Q92" s="14">
        <f>IF(A92="","",IF(E92&lt;&gt;"Decision","",IF(P92="UC-ID specific",IF(O92="","UC-ID REQUIRED","Check source decision for each UC-ID"),IF(P92="Shared system baseline",IF(O92&lt;&gt;"","REMOVE UC-ID OR CORRECT SCOPE","Baseline only — NOT UC approval"),"Decision scope missing"))))</f>
        <v/>
      </c>
      <c r="R92" s="42" t="n"/>
      <c r="S92" s="38" t="n"/>
      <c r="T92" s="38" t="n"/>
      <c r="U92" s="38" t="n"/>
      <c r="V92" s="38" t="n"/>
      <c r="W92" s="39" t="n"/>
      <c r="X92" s="38" t="n"/>
    </row>
    <row r="93">
      <c r="A93" s="40" t="n"/>
      <c r="B93" s="40" t="n"/>
      <c r="C93" s="40" t="n"/>
      <c r="D93" s="40" t="n"/>
      <c r="E93" s="40" t="n"/>
      <c r="F93" s="41" t="n"/>
      <c r="G93" s="40" t="n"/>
      <c r="H93" s="40" t="n"/>
      <c r="I93" s="40" t="n"/>
      <c r="J93" s="40" t="n"/>
      <c r="K93" s="40" t="n"/>
      <c r="L93" s="40" t="n"/>
      <c r="M93" s="40" t="n"/>
      <c r="N93" s="24">
        <f>IF(COUNTA(A93:M93,O93:P93,R93:X93)=0,"",IF(OR(A93="",B93="",F93=""),"Event ID, AIR-ID or date missing",IF(COUNTIF($A$4:$A$553,A93)&gt;1,"Duplicate Event ID",IF(E93="","Event type missing",IF(OR(NOT(ISNUMBER(F93)),F93&gt;TODAY()),"Date is not a real date or is in the future",IF(AND(C93&lt;&gt;"",COUNTIF('Gate plan'!$A$4:$A$353,C93)=0),"Plan ID not found in Gate plan",IF(AND(C93&lt;&gt;"",COUNTIFS('Gate plan'!$A$4:$A$353,C93,'Gate plan'!$B$4:$B$353,B93)=0),"Plan AIR-ID differs from event",IF(D93="","Gate / forum missing",IF(AND(E93="Precautionary pause (containment)",G93&lt;&gt;"Paused — pending decision"),"Precautionary pause: Outcome must be Paused, pending decision",IF(AND(E93="Precautionary pause (containment)",V93=""),"Precautionary pause: AIG-OPS-03 incident ref missing",IF(AND(E93="Precautionary pause (containment)",NOT(ISNUMBER(W93))),"Precautionary pause: follow-up decision due date missing",IF(AND(G93="Paused — pending decision",E93&lt;&gt;"Precautionary pause (containment)"),"Paused, pending decision is only for a Precautionary pause event",IF(AND(E93="Decision",OR(G93="",H93="",I93="")),"Outcome / delegation / decision ref missing",IF(AND(E93="Decision",NOT(OR(G93="Progress",G93="Progress with condition",G93="Return for evidence",G93="Pause",G93="Stop",G93="Suspend",G93="Decommission",G93="Re-authorise",G93="Resume"))),"Decision event needs a decision outcome",IF(AND(E93="Priority override",OR(H93="",I93="")),"Decision-maker / AIG-DEC-03 ref missing",IF(AND(E93="Priority override",G93&lt;&gt;"",G93&lt;&gt;"No decision"),"Priority override: Outcome blank or No decision",IF(AND(E93&lt;&gt;"Decision",OR(G93="Progress",G93="Progress with condition",G93="Return for evidence",G93="Pause",G93="Stop",G93="Suspend",G93="Decommission",G93="Re-authorise",G93="Resume")),"Outcome implies decision",IF(OR(ISNUMBER(SEARCH(",",O93)),ISNUMBER(SEARCH(";",O93))),"One UC-ID per event row — split this event",IF(AND(E93="Decision",OR(Q93="UC-ID REQUIRED",Q93="Decision scope missing",Q93="REMOVE UC-ID OR CORRECT SCOPE")),"Decision scope missing",IF(AND(G93="Progress with condition",COUNTIF(Conditions!$B$4:$B$553,A93)=0),"Progress with condition needs at least one Conditions row",IF(AND(C93&lt;&gt;"",COUNTIFS('Gate plan'!$A$4:$A$353,C93,'Gate plan'!$C$4:$C$353,D93)=0),"Plan gate differs from event gate",IF(AND(C93&lt;&gt;"",O93&lt;&gt;"",COUNTIFS('Gate plan'!$A$4:$A$353,C93,'Gate plan'!$K$4:$K$353,"&lt;&gt;")&gt;0,COUNTIFS('Gate plan'!$A$4:$A$353,C93,'Gate plan'!$K$4:$K$353,O93)=0),"Plan UC-ID differs from event UC-ID",IF(AND(E93="Assurance opinion",J93=""),"Assurance opinion ref missing",IF(AND(G93="Opinion only",E93&lt;&gt;"Assurance opinion",E93&lt;&gt;"Review only"),"Opinion only is for Assurance opinion or Review only events",IF(AND(G93="No decision",E93&lt;&gt;"Review only",E93&lt;&gt;"Priority override",E93&lt;&gt;"Intake / registration"),"No decision is for Review only, Priority override or Intake / registration events",IF(OR(ISNUMBER(SEARCH(" ",TRIM(O93))),ISNUMBER(SEARCH("/",O93))),"One UC-ID per event row: split this event",IF(AND(E93="Precautionary pause (containment)",ISNUMBER(W93),ISNUMBER(F93),W93&lt;F93),"Follow-up decision due date is before the pause",IF(AND(G93="Resume",IFERROR(LOOKUP(2,1/(($B$3:B92=B93)*($O$3:O92=O93)),$G$3:G92),"")&lt;&gt;"Paused — pending decision"),"Resume is only for the event straight after a Precautionary pause on the same AIR-ID and UC-ID (in an earlier row)",IF(AND(E93="Decision",OR(G93="Progress",G93="Progress with condition",G93="Re-authorise",G93="Resume"),X93&lt;&gt;"Yes"),"Decision-maker has not confirmed the screening was considered (column X)","Check against source")))))))))))))))))))))))))))))</f>
        <v/>
      </c>
      <c r="O93" s="37" t="n"/>
      <c r="P93" s="37" t="n"/>
      <c r="Q93" s="14">
        <f>IF(A93="","",IF(E93&lt;&gt;"Decision","",IF(P93="UC-ID specific",IF(O93="","UC-ID REQUIRED","Check source decision for each UC-ID"),IF(P93="Shared system baseline",IF(O93&lt;&gt;"","REMOVE UC-ID OR CORRECT SCOPE","Baseline only — NOT UC approval"),"Decision scope missing"))))</f>
        <v/>
      </c>
      <c r="R93" s="43" t="n"/>
      <c r="S93" s="40" t="n"/>
      <c r="T93" s="40" t="n"/>
      <c r="U93" s="40" t="n"/>
      <c r="V93" s="40" t="n"/>
      <c r="W93" s="41" t="n"/>
      <c r="X93" s="38" t="n"/>
    </row>
    <row r="94">
      <c r="A94" s="38" t="n"/>
      <c r="B94" s="38" t="n"/>
      <c r="C94" s="38" t="n"/>
      <c r="D94" s="38" t="n"/>
      <c r="E94" s="38" t="n"/>
      <c r="F94" s="39" t="n"/>
      <c r="G94" s="38" t="n"/>
      <c r="H94" s="38" t="n"/>
      <c r="I94" s="38" t="n"/>
      <c r="J94" s="38" t="n"/>
      <c r="K94" s="38" t="n"/>
      <c r="L94" s="38" t="n"/>
      <c r="M94" s="38" t="n"/>
      <c r="N94" s="22">
        <f>IF(COUNTA(A94:M94,O94:P94,R94:X94)=0,"",IF(OR(A94="",B94="",F94=""),"Event ID, AIR-ID or date missing",IF(COUNTIF($A$4:$A$553,A94)&gt;1,"Duplicate Event ID",IF(E94="","Event type missing",IF(OR(NOT(ISNUMBER(F94)),F94&gt;TODAY()),"Date is not a real date or is in the future",IF(AND(C94&lt;&gt;"",COUNTIF('Gate plan'!$A$4:$A$353,C94)=0),"Plan ID not found in Gate plan",IF(AND(C94&lt;&gt;"",COUNTIFS('Gate plan'!$A$4:$A$353,C94,'Gate plan'!$B$4:$B$353,B94)=0),"Plan AIR-ID differs from event",IF(D94="","Gate / forum missing",IF(AND(E94="Precautionary pause (containment)",G94&lt;&gt;"Paused — pending decision"),"Precautionary pause: Outcome must be Paused, pending decision",IF(AND(E94="Precautionary pause (containment)",V94=""),"Precautionary pause: AIG-OPS-03 incident ref missing",IF(AND(E94="Precautionary pause (containment)",NOT(ISNUMBER(W94))),"Precautionary pause: follow-up decision due date missing",IF(AND(G94="Paused — pending decision",E94&lt;&gt;"Precautionary pause (containment)"),"Paused, pending decision is only for a Precautionary pause event",IF(AND(E94="Decision",OR(G94="",H94="",I94="")),"Outcome / delegation / decision ref missing",IF(AND(E94="Decision",NOT(OR(G94="Progress",G94="Progress with condition",G94="Return for evidence",G94="Pause",G94="Stop",G94="Suspend",G94="Decommission",G94="Re-authorise",G94="Resume"))),"Decision event needs a decision outcome",IF(AND(E94="Priority override",OR(H94="",I94="")),"Decision-maker / AIG-DEC-03 ref missing",IF(AND(E94="Priority override",G94&lt;&gt;"",G94&lt;&gt;"No decision"),"Priority override: Outcome blank or No decision",IF(AND(E94&lt;&gt;"Decision",OR(G94="Progress",G94="Progress with condition",G94="Return for evidence",G94="Pause",G94="Stop",G94="Suspend",G94="Decommission",G94="Re-authorise",G94="Resume")),"Outcome implies decision",IF(OR(ISNUMBER(SEARCH(",",O94)),ISNUMBER(SEARCH(";",O94))),"One UC-ID per event row — split this event",IF(AND(E94="Decision",OR(Q94="UC-ID REQUIRED",Q94="Decision scope missing",Q94="REMOVE UC-ID OR CORRECT SCOPE")),"Decision scope missing",IF(AND(G94="Progress with condition",COUNTIF(Conditions!$B$4:$B$553,A94)=0),"Progress with condition needs at least one Conditions row",IF(AND(C94&lt;&gt;"",COUNTIFS('Gate plan'!$A$4:$A$353,C94,'Gate plan'!$C$4:$C$353,D94)=0),"Plan gate differs from event gate",IF(AND(C94&lt;&gt;"",O94&lt;&gt;"",COUNTIFS('Gate plan'!$A$4:$A$353,C94,'Gate plan'!$K$4:$K$353,"&lt;&gt;")&gt;0,COUNTIFS('Gate plan'!$A$4:$A$353,C94,'Gate plan'!$K$4:$K$353,O94)=0),"Plan UC-ID differs from event UC-ID",IF(AND(E94="Assurance opinion",J94=""),"Assurance opinion ref missing",IF(AND(G94="Opinion only",E94&lt;&gt;"Assurance opinion",E94&lt;&gt;"Review only"),"Opinion only is for Assurance opinion or Review only events",IF(AND(G94="No decision",E94&lt;&gt;"Review only",E94&lt;&gt;"Priority override",E94&lt;&gt;"Intake / registration"),"No decision is for Review only, Priority override or Intake / registration events",IF(OR(ISNUMBER(SEARCH(" ",TRIM(O94))),ISNUMBER(SEARCH("/",O94))),"One UC-ID per event row: split this event",IF(AND(E94="Precautionary pause (containment)",ISNUMBER(W94),ISNUMBER(F94),W94&lt;F94),"Follow-up decision due date is before the pause",IF(AND(G94="Resume",IFERROR(LOOKUP(2,1/(($B$3:B93=B94)*($O$3:O93=O94)),$G$3:G93),"")&lt;&gt;"Paused — pending decision"),"Resume is only for the event straight after a Precautionary pause on the same AIR-ID and UC-ID (in an earlier row)",IF(AND(E94="Decision",OR(G94="Progress",G94="Progress with condition",G94="Re-authorise",G94="Resume"),X94&lt;&gt;"Yes"),"Decision-maker has not confirmed the screening was considered (column X)","Check against source")))))))))))))))))))))))))))))</f>
        <v/>
      </c>
      <c r="O94" s="37" t="n"/>
      <c r="P94" s="37" t="n"/>
      <c r="Q94" s="14">
        <f>IF(A94="","",IF(E94&lt;&gt;"Decision","",IF(P94="UC-ID specific",IF(O94="","UC-ID REQUIRED","Check source decision for each UC-ID"),IF(P94="Shared system baseline",IF(O94&lt;&gt;"","REMOVE UC-ID OR CORRECT SCOPE","Baseline only — NOT UC approval"),"Decision scope missing"))))</f>
        <v/>
      </c>
      <c r="R94" s="42" t="n"/>
      <c r="S94" s="38" t="n"/>
      <c r="T94" s="38" t="n"/>
      <c r="U94" s="38" t="n"/>
      <c r="V94" s="38" t="n"/>
      <c r="W94" s="39" t="n"/>
      <c r="X94" s="38" t="n"/>
    </row>
    <row r="95">
      <c r="A95" s="40" t="n"/>
      <c r="B95" s="40" t="n"/>
      <c r="C95" s="40" t="n"/>
      <c r="D95" s="40" t="n"/>
      <c r="E95" s="40" t="n"/>
      <c r="F95" s="41" t="n"/>
      <c r="G95" s="40" t="n"/>
      <c r="H95" s="40" t="n"/>
      <c r="I95" s="40" t="n"/>
      <c r="J95" s="40" t="n"/>
      <c r="K95" s="40" t="n"/>
      <c r="L95" s="40" t="n"/>
      <c r="M95" s="40" t="n"/>
      <c r="N95" s="24">
        <f>IF(COUNTA(A95:M95,O95:P95,R95:X95)=0,"",IF(OR(A95="",B95="",F95=""),"Event ID, AIR-ID or date missing",IF(COUNTIF($A$4:$A$553,A95)&gt;1,"Duplicate Event ID",IF(E95="","Event type missing",IF(OR(NOT(ISNUMBER(F95)),F95&gt;TODAY()),"Date is not a real date or is in the future",IF(AND(C95&lt;&gt;"",COUNTIF('Gate plan'!$A$4:$A$353,C95)=0),"Plan ID not found in Gate plan",IF(AND(C95&lt;&gt;"",COUNTIFS('Gate plan'!$A$4:$A$353,C95,'Gate plan'!$B$4:$B$353,B95)=0),"Plan AIR-ID differs from event",IF(D95="","Gate / forum missing",IF(AND(E95="Precautionary pause (containment)",G95&lt;&gt;"Paused — pending decision"),"Precautionary pause: Outcome must be Paused, pending decision",IF(AND(E95="Precautionary pause (containment)",V95=""),"Precautionary pause: AIG-OPS-03 incident ref missing",IF(AND(E95="Precautionary pause (containment)",NOT(ISNUMBER(W95))),"Precautionary pause: follow-up decision due date missing",IF(AND(G95="Paused — pending decision",E95&lt;&gt;"Precautionary pause (containment)"),"Paused, pending decision is only for a Precautionary pause event",IF(AND(E95="Decision",OR(G95="",H95="",I95="")),"Outcome / delegation / decision ref missing",IF(AND(E95="Decision",NOT(OR(G95="Progress",G95="Progress with condition",G95="Return for evidence",G95="Pause",G95="Stop",G95="Suspend",G95="Decommission",G95="Re-authorise",G95="Resume"))),"Decision event needs a decision outcome",IF(AND(E95="Priority override",OR(H95="",I95="")),"Decision-maker / AIG-DEC-03 ref missing",IF(AND(E95="Priority override",G95&lt;&gt;"",G95&lt;&gt;"No decision"),"Priority override: Outcome blank or No decision",IF(AND(E95&lt;&gt;"Decision",OR(G95="Progress",G95="Progress with condition",G95="Return for evidence",G95="Pause",G95="Stop",G95="Suspend",G95="Decommission",G95="Re-authorise",G95="Resume")),"Outcome implies decision",IF(OR(ISNUMBER(SEARCH(",",O95)),ISNUMBER(SEARCH(";",O95))),"One UC-ID per event row — split this event",IF(AND(E95="Decision",OR(Q95="UC-ID REQUIRED",Q95="Decision scope missing",Q95="REMOVE UC-ID OR CORRECT SCOPE")),"Decision scope missing",IF(AND(G95="Progress with condition",COUNTIF(Conditions!$B$4:$B$553,A95)=0),"Progress with condition needs at least one Conditions row",IF(AND(C95&lt;&gt;"",COUNTIFS('Gate plan'!$A$4:$A$353,C95,'Gate plan'!$C$4:$C$353,D95)=0),"Plan gate differs from event gate",IF(AND(C95&lt;&gt;"",O95&lt;&gt;"",COUNTIFS('Gate plan'!$A$4:$A$353,C95,'Gate plan'!$K$4:$K$353,"&lt;&gt;")&gt;0,COUNTIFS('Gate plan'!$A$4:$A$353,C95,'Gate plan'!$K$4:$K$353,O95)=0),"Plan UC-ID differs from event UC-ID",IF(AND(E95="Assurance opinion",J95=""),"Assurance opinion ref missing",IF(AND(G95="Opinion only",E95&lt;&gt;"Assurance opinion",E95&lt;&gt;"Review only"),"Opinion only is for Assurance opinion or Review only events",IF(AND(G95="No decision",E95&lt;&gt;"Review only",E95&lt;&gt;"Priority override",E95&lt;&gt;"Intake / registration"),"No decision is for Review only, Priority override or Intake / registration events",IF(OR(ISNUMBER(SEARCH(" ",TRIM(O95))),ISNUMBER(SEARCH("/",O95))),"One UC-ID per event row: split this event",IF(AND(E95="Precautionary pause (containment)",ISNUMBER(W95),ISNUMBER(F95),W95&lt;F95),"Follow-up decision due date is before the pause",IF(AND(G95="Resume",IFERROR(LOOKUP(2,1/(($B$3:B94=B95)*($O$3:O94=O95)),$G$3:G94),"")&lt;&gt;"Paused — pending decision"),"Resume is only for the event straight after a Precautionary pause on the same AIR-ID and UC-ID (in an earlier row)",IF(AND(E95="Decision",OR(G95="Progress",G95="Progress with condition",G95="Re-authorise",G95="Resume"),X95&lt;&gt;"Yes"),"Decision-maker has not confirmed the screening was considered (column X)","Check against source")))))))))))))))))))))))))))))</f>
        <v/>
      </c>
      <c r="O95" s="37" t="n"/>
      <c r="P95" s="37" t="n"/>
      <c r="Q95" s="14">
        <f>IF(A95="","",IF(E95&lt;&gt;"Decision","",IF(P95="UC-ID specific",IF(O95="","UC-ID REQUIRED","Check source decision for each UC-ID"),IF(P95="Shared system baseline",IF(O95&lt;&gt;"","REMOVE UC-ID OR CORRECT SCOPE","Baseline only — NOT UC approval"),"Decision scope missing"))))</f>
        <v/>
      </c>
      <c r="R95" s="43" t="n"/>
      <c r="S95" s="40" t="n"/>
      <c r="T95" s="40" t="n"/>
      <c r="U95" s="40" t="n"/>
      <c r="V95" s="40" t="n"/>
      <c r="W95" s="41" t="n"/>
      <c r="X95" s="38" t="n"/>
    </row>
    <row r="96">
      <c r="A96" s="38" t="n"/>
      <c r="B96" s="38" t="n"/>
      <c r="C96" s="38" t="n"/>
      <c r="D96" s="38" t="n"/>
      <c r="E96" s="38" t="n"/>
      <c r="F96" s="39" t="n"/>
      <c r="G96" s="38" t="n"/>
      <c r="H96" s="38" t="n"/>
      <c r="I96" s="38" t="n"/>
      <c r="J96" s="38" t="n"/>
      <c r="K96" s="38" t="n"/>
      <c r="L96" s="38" t="n"/>
      <c r="M96" s="38" t="n"/>
      <c r="N96" s="22">
        <f>IF(COUNTA(A96:M96,O96:P96,R96:X96)=0,"",IF(OR(A96="",B96="",F96=""),"Event ID, AIR-ID or date missing",IF(COUNTIF($A$4:$A$553,A96)&gt;1,"Duplicate Event ID",IF(E96="","Event type missing",IF(OR(NOT(ISNUMBER(F96)),F96&gt;TODAY()),"Date is not a real date or is in the future",IF(AND(C96&lt;&gt;"",COUNTIF('Gate plan'!$A$4:$A$353,C96)=0),"Plan ID not found in Gate plan",IF(AND(C96&lt;&gt;"",COUNTIFS('Gate plan'!$A$4:$A$353,C96,'Gate plan'!$B$4:$B$353,B96)=0),"Plan AIR-ID differs from event",IF(D96="","Gate / forum missing",IF(AND(E96="Precautionary pause (containment)",G96&lt;&gt;"Paused — pending decision"),"Precautionary pause: Outcome must be Paused, pending decision",IF(AND(E96="Precautionary pause (containment)",V96=""),"Precautionary pause: AIG-OPS-03 incident ref missing",IF(AND(E96="Precautionary pause (containment)",NOT(ISNUMBER(W96))),"Precautionary pause: follow-up decision due date missing",IF(AND(G96="Paused — pending decision",E96&lt;&gt;"Precautionary pause (containment)"),"Paused, pending decision is only for a Precautionary pause event",IF(AND(E96="Decision",OR(G96="",H96="",I96="")),"Outcome / delegation / decision ref missing",IF(AND(E96="Decision",NOT(OR(G96="Progress",G96="Progress with condition",G96="Return for evidence",G96="Pause",G96="Stop",G96="Suspend",G96="Decommission",G96="Re-authorise",G96="Resume"))),"Decision event needs a decision outcome",IF(AND(E96="Priority override",OR(H96="",I96="")),"Decision-maker / AIG-DEC-03 ref missing",IF(AND(E96="Priority override",G96&lt;&gt;"",G96&lt;&gt;"No decision"),"Priority override: Outcome blank or No decision",IF(AND(E96&lt;&gt;"Decision",OR(G96="Progress",G96="Progress with condition",G96="Return for evidence",G96="Pause",G96="Stop",G96="Suspend",G96="Decommission",G96="Re-authorise",G96="Resume")),"Outcome implies decision",IF(OR(ISNUMBER(SEARCH(",",O96)),ISNUMBER(SEARCH(";",O96))),"One UC-ID per event row — split this event",IF(AND(E96="Decision",OR(Q96="UC-ID REQUIRED",Q96="Decision scope missing",Q96="REMOVE UC-ID OR CORRECT SCOPE")),"Decision scope missing",IF(AND(G96="Progress with condition",COUNTIF(Conditions!$B$4:$B$553,A96)=0),"Progress with condition needs at least one Conditions row",IF(AND(C96&lt;&gt;"",COUNTIFS('Gate plan'!$A$4:$A$353,C96,'Gate plan'!$C$4:$C$353,D96)=0),"Plan gate differs from event gate",IF(AND(C96&lt;&gt;"",O96&lt;&gt;"",COUNTIFS('Gate plan'!$A$4:$A$353,C96,'Gate plan'!$K$4:$K$353,"&lt;&gt;")&gt;0,COUNTIFS('Gate plan'!$A$4:$A$353,C96,'Gate plan'!$K$4:$K$353,O96)=0),"Plan UC-ID differs from event UC-ID",IF(AND(E96="Assurance opinion",J96=""),"Assurance opinion ref missing",IF(AND(G96="Opinion only",E96&lt;&gt;"Assurance opinion",E96&lt;&gt;"Review only"),"Opinion only is for Assurance opinion or Review only events",IF(AND(G96="No decision",E96&lt;&gt;"Review only",E96&lt;&gt;"Priority override",E96&lt;&gt;"Intake / registration"),"No decision is for Review only, Priority override or Intake / registration events",IF(OR(ISNUMBER(SEARCH(" ",TRIM(O96))),ISNUMBER(SEARCH("/",O96))),"One UC-ID per event row: split this event",IF(AND(E96="Precautionary pause (containment)",ISNUMBER(W96),ISNUMBER(F96),W96&lt;F96),"Follow-up decision due date is before the pause",IF(AND(G96="Resume",IFERROR(LOOKUP(2,1/(($B$3:B95=B96)*($O$3:O95=O96)),$G$3:G95),"")&lt;&gt;"Paused — pending decision"),"Resume is only for the event straight after a Precautionary pause on the same AIR-ID and UC-ID (in an earlier row)",IF(AND(E96="Decision",OR(G96="Progress",G96="Progress with condition",G96="Re-authorise",G96="Resume"),X96&lt;&gt;"Yes"),"Decision-maker has not confirmed the screening was considered (column X)","Check against source")))))))))))))))))))))))))))))</f>
        <v/>
      </c>
      <c r="O96" s="37" t="n"/>
      <c r="P96" s="37" t="n"/>
      <c r="Q96" s="14">
        <f>IF(A96="","",IF(E96&lt;&gt;"Decision","",IF(P96="UC-ID specific",IF(O96="","UC-ID REQUIRED","Check source decision for each UC-ID"),IF(P96="Shared system baseline",IF(O96&lt;&gt;"","REMOVE UC-ID OR CORRECT SCOPE","Baseline only — NOT UC approval"),"Decision scope missing"))))</f>
        <v/>
      </c>
      <c r="R96" s="42" t="n"/>
      <c r="S96" s="38" t="n"/>
      <c r="T96" s="38" t="n"/>
      <c r="U96" s="38" t="n"/>
      <c r="V96" s="38" t="n"/>
      <c r="W96" s="39" t="n"/>
      <c r="X96" s="38" t="n"/>
    </row>
    <row r="97">
      <c r="A97" s="40" t="n"/>
      <c r="B97" s="40" t="n"/>
      <c r="C97" s="40" t="n"/>
      <c r="D97" s="40" t="n"/>
      <c r="E97" s="40" t="n"/>
      <c r="F97" s="41" t="n"/>
      <c r="G97" s="40" t="n"/>
      <c r="H97" s="40" t="n"/>
      <c r="I97" s="40" t="n"/>
      <c r="J97" s="40" t="n"/>
      <c r="K97" s="40" t="n"/>
      <c r="L97" s="40" t="n"/>
      <c r="M97" s="40" t="n"/>
      <c r="N97" s="24">
        <f>IF(COUNTA(A97:M97,O97:P97,R97:X97)=0,"",IF(OR(A97="",B97="",F97=""),"Event ID, AIR-ID or date missing",IF(COUNTIF($A$4:$A$553,A97)&gt;1,"Duplicate Event ID",IF(E97="","Event type missing",IF(OR(NOT(ISNUMBER(F97)),F97&gt;TODAY()),"Date is not a real date or is in the future",IF(AND(C97&lt;&gt;"",COUNTIF('Gate plan'!$A$4:$A$353,C97)=0),"Plan ID not found in Gate plan",IF(AND(C97&lt;&gt;"",COUNTIFS('Gate plan'!$A$4:$A$353,C97,'Gate plan'!$B$4:$B$353,B97)=0),"Plan AIR-ID differs from event",IF(D97="","Gate / forum missing",IF(AND(E97="Precautionary pause (containment)",G97&lt;&gt;"Paused — pending decision"),"Precautionary pause: Outcome must be Paused, pending decision",IF(AND(E97="Precautionary pause (containment)",V97=""),"Precautionary pause: AIG-OPS-03 incident ref missing",IF(AND(E97="Precautionary pause (containment)",NOT(ISNUMBER(W97))),"Precautionary pause: follow-up decision due date missing",IF(AND(G97="Paused — pending decision",E97&lt;&gt;"Precautionary pause (containment)"),"Paused, pending decision is only for a Precautionary pause event",IF(AND(E97="Decision",OR(G97="",H97="",I97="")),"Outcome / delegation / decision ref missing",IF(AND(E97="Decision",NOT(OR(G97="Progress",G97="Progress with condition",G97="Return for evidence",G97="Pause",G97="Stop",G97="Suspend",G97="Decommission",G97="Re-authorise",G97="Resume"))),"Decision event needs a decision outcome",IF(AND(E97="Priority override",OR(H97="",I97="")),"Decision-maker / AIG-DEC-03 ref missing",IF(AND(E97="Priority override",G97&lt;&gt;"",G97&lt;&gt;"No decision"),"Priority override: Outcome blank or No decision",IF(AND(E97&lt;&gt;"Decision",OR(G97="Progress",G97="Progress with condition",G97="Return for evidence",G97="Pause",G97="Stop",G97="Suspend",G97="Decommission",G97="Re-authorise",G97="Resume")),"Outcome implies decision",IF(OR(ISNUMBER(SEARCH(",",O97)),ISNUMBER(SEARCH(";",O97))),"One UC-ID per event row — split this event",IF(AND(E97="Decision",OR(Q97="UC-ID REQUIRED",Q97="Decision scope missing",Q97="REMOVE UC-ID OR CORRECT SCOPE")),"Decision scope missing",IF(AND(G97="Progress with condition",COUNTIF(Conditions!$B$4:$B$553,A97)=0),"Progress with condition needs at least one Conditions row",IF(AND(C97&lt;&gt;"",COUNTIFS('Gate plan'!$A$4:$A$353,C97,'Gate plan'!$C$4:$C$353,D97)=0),"Plan gate differs from event gate",IF(AND(C97&lt;&gt;"",O97&lt;&gt;"",COUNTIFS('Gate plan'!$A$4:$A$353,C97,'Gate plan'!$K$4:$K$353,"&lt;&gt;")&gt;0,COUNTIFS('Gate plan'!$A$4:$A$353,C97,'Gate plan'!$K$4:$K$353,O97)=0),"Plan UC-ID differs from event UC-ID",IF(AND(E97="Assurance opinion",J97=""),"Assurance opinion ref missing",IF(AND(G97="Opinion only",E97&lt;&gt;"Assurance opinion",E97&lt;&gt;"Review only"),"Opinion only is for Assurance opinion or Review only events",IF(AND(G97="No decision",E97&lt;&gt;"Review only",E97&lt;&gt;"Priority override",E97&lt;&gt;"Intake / registration"),"No decision is for Review only, Priority override or Intake / registration events",IF(OR(ISNUMBER(SEARCH(" ",TRIM(O97))),ISNUMBER(SEARCH("/",O97))),"One UC-ID per event row: split this event",IF(AND(E97="Precautionary pause (containment)",ISNUMBER(W97),ISNUMBER(F97),W97&lt;F97),"Follow-up decision due date is before the pause",IF(AND(G97="Resume",IFERROR(LOOKUP(2,1/(($B$3:B96=B97)*($O$3:O96=O97)),$G$3:G96),"")&lt;&gt;"Paused — pending decision"),"Resume is only for the event straight after a Precautionary pause on the same AIR-ID and UC-ID (in an earlier row)",IF(AND(E97="Decision",OR(G97="Progress",G97="Progress with condition",G97="Re-authorise",G97="Resume"),X97&lt;&gt;"Yes"),"Decision-maker has not confirmed the screening was considered (column X)","Check against source")))))))))))))))))))))))))))))</f>
        <v/>
      </c>
      <c r="O97" s="37" t="n"/>
      <c r="P97" s="37" t="n"/>
      <c r="Q97" s="14">
        <f>IF(A97="","",IF(E97&lt;&gt;"Decision","",IF(P97="UC-ID specific",IF(O97="","UC-ID REQUIRED","Check source decision for each UC-ID"),IF(P97="Shared system baseline",IF(O97&lt;&gt;"","REMOVE UC-ID OR CORRECT SCOPE","Baseline only — NOT UC approval"),"Decision scope missing"))))</f>
        <v/>
      </c>
      <c r="R97" s="43" t="n"/>
      <c r="S97" s="40" t="n"/>
      <c r="T97" s="40" t="n"/>
      <c r="U97" s="40" t="n"/>
      <c r="V97" s="40" t="n"/>
      <c r="W97" s="41" t="n"/>
      <c r="X97" s="38" t="n"/>
    </row>
    <row r="98">
      <c r="A98" s="38" t="n"/>
      <c r="B98" s="38" t="n"/>
      <c r="C98" s="38" t="n"/>
      <c r="D98" s="38" t="n"/>
      <c r="E98" s="38" t="n"/>
      <c r="F98" s="39" t="n"/>
      <c r="G98" s="38" t="n"/>
      <c r="H98" s="38" t="n"/>
      <c r="I98" s="38" t="n"/>
      <c r="J98" s="38" t="n"/>
      <c r="K98" s="38" t="n"/>
      <c r="L98" s="38" t="n"/>
      <c r="M98" s="38" t="n"/>
      <c r="N98" s="22">
        <f>IF(COUNTA(A98:M98,O98:P98,R98:X98)=0,"",IF(OR(A98="",B98="",F98=""),"Event ID, AIR-ID or date missing",IF(COUNTIF($A$4:$A$553,A98)&gt;1,"Duplicate Event ID",IF(E98="","Event type missing",IF(OR(NOT(ISNUMBER(F98)),F98&gt;TODAY()),"Date is not a real date or is in the future",IF(AND(C98&lt;&gt;"",COUNTIF('Gate plan'!$A$4:$A$353,C98)=0),"Plan ID not found in Gate plan",IF(AND(C98&lt;&gt;"",COUNTIFS('Gate plan'!$A$4:$A$353,C98,'Gate plan'!$B$4:$B$353,B98)=0),"Plan AIR-ID differs from event",IF(D98="","Gate / forum missing",IF(AND(E98="Precautionary pause (containment)",G98&lt;&gt;"Paused — pending decision"),"Precautionary pause: Outcome must be Paused, pending decision",IF(AND(E98="Precautionary pause (containment)",V98=""),"Precautionary pause: AIG-OPS-03 incident ref missing",IF(AND(E98="Precautionary pause (containment)",NOT(ISNUMBER(W98))),"Precautionary pause: follow-up decision due date missing",IF(AND(G98="Paused — pending decision",E98&lt;&gt;"Precautionary pause (containment)"),"Paused, pending decision is only for a Precautionary pause event",IF(AND(E98="Decision",OR(G98="",H98="",I98="")),"Outcome / delegation / decision ref missing",IF(AND(E98="Decision",NOT(OR(G98="Progress",G98="Progress with condition",G98="Return for evidence",G98="Pause",G98="Stop",G98="Suspend",G98="Decommission",G98="Re-authorise",G98="Resume"))),"Decision event needs a decision outcome",IF(AND(E98="Priority override",OR(H98="",I98="")),"Decision-maker / AIG-DEC-03 ref missing",IF(AND(E98="Priority override",G98&lt;&gt;"",G98&lt;&gt;"No decision"),"Priority override: Outcome blank or No decision",IF(AND(E98&lt;&gt;"Decision",OR(G98="Progress",G98="Progress with condition",G98="Return for evidence",G98="Pause",G98="Stop",G98="Suspend",G98="Decommission",G98="Re-authorise",G98="Resume")),"Outcome implies decision",IF(OR(ISNUMBER(SEARCH(",",O98)),ISNUMBER(SEARCH(";",O98))),"One UC-ID per event row — split this event",IF(AND(E98="Decision",OR(Q98="UC-ID REQUIRED",Q98="Decision scope missing",Q98="REMOVE UC-ID OR CORRECT SCOPE")),"Decision scope missing",IF(AND(G98="Progress with condition",COUNTIF(Conditions!$B$4:$B$553,A98)=0),"Progress with condition needs at least one Conditions row",IF(AND(C98&lt;&gt;"",COUNTIFS('Gate plan'!$A$4:$A$353,C98,'Gate plan'!$C$4:$C$353,D98)=0),"Plan gate differs from event gate",IF(AND(C98&lt;&gt;"",O98&lt;&gt;"",COUNTIFS('Gate plan'!$A$4:$A$353,C98,'Gate plan'!$K$4:$K$353,"&lt;&gt;")&gt;0,COUNTIFS('Gate plan'!$A$4:$A$353,C98,'Gate plan'!$K$4:$K$353,O98)=0),"Plan UC-ID differs from event UC-ID",IF(AND(E98="Assurance opinion",J98=""),"Assurance opinion ref missing",IF(AND(G98="Opinion only",E98&lt;&gt;"Assurance opinion",E98&lt;&gt;"Review only"),"Opinion only is for Assurance opinion or Review only events",IF(AND(G98="No decision",E98&lt;&gt;"Review only",E98&lt;&gt;"Priority override",E98&lt;&gt;"Intake / registration"),"No decision is for Review only, Priority override or Intake / registration events",IF(OR(ISNUMBER(SEARCH(" ",TRIM(O98))),ISNUMBER(SEARCH("/",O98))),"One UC-ID per event row: split this event",IF(AND(E98="Precautionary pause (containment)",ISNUMBER(W98),ISNUMBER(F98),W98&lt;F98),"Follow-up decision due date is before the pause",IF(AND(G98="Resume",IFERROR(LOOKUP(2,1/(($B$3:B97=B98)*($O$3:O97=O98)),$G$3:G97),"")&lt;&gt;"Paused — pending decision"),"Resume is only for the event straight after a Precautionary pause on the same AIR-ID and UC-ID (in an earlier row)",IF(AND(E98="Decision",OR(G98="Progress",G98="Progress with condition",G98="Re-authorise",G98="Resume"),X98&lt;&gt;"Yes"),"Decision-maker has not confirmed the screening was considered (column X)","Check against source")))))))))))))))))))))))))))))</f>
        <v/>
      </c>
      <c r="O98" s="37" t="n"/>
      <c r="P98" s="37" t="n"/>
      <c r="Q98" s="14">
        <f>IF(A98="","",IF(E98&lt;&gt;"Decision","",IF(P98="UC-ID specific",IF(O98="","UC-ID REQUIRED","Check source decision for each UC-ID"),IF(P98="Shared system baseline",IF(O98&lt;&gt;"","REMOVE UC-ID OR CORRECT SCOPE","Baseline only — NOT UC approval"),"Decision scope missing"))))</f>
        <v/>
      </c>
      <c r="R98" s="42" t="n"/>
      <c r="S98" s="38" t="n"/>
      <c r="T98" s="38" t="n"/>
      <c r="U98" s="38" t="n"/>
      <c r="V98" s="38" t="n"/>
      <c r="W98" s="39" t="n"/>
      <c r="X98" s="38" t="n"/>
    </row>
    <row r="99">
      <c r="A99" s="40" t="n"/>
      <c r="B99" s="40" t="n"/>
      <c r="C99" s="40" t="n"/>
      <c r="D99" s="40" t="n"/>
      <c r="E99" s="40" t="n"/>
      <c r="F99" s="41" t="n"/>
      <c r="G99" s="40" t="n"/>
      <c r="H99" s="40" t="n"/>
      <c r="I99" s="40" t="n"/>
      <c r="J99" s="40" t="n"/>
      <c r="K99" s="40" t="n"/>
      <c r="L99" s="40" t="n"/>
      <c r="M99" s="40" t="n"/>
      <c r="N99" s="24">
        <f>IF(COUNTA(A99:M99,O99:P99,R99:X99)=0,"",IF(OR(A99="",B99="",F99=""),"Event ID, AIR-ID or date missing",IF(COUNTIF($A$4:$A$553,A99)&gt;1,"Duplicate Event ID",IF(E99="","Event type missing",IF(OR(NOT(ISNUMBER(F99)),F99&gt;TODAY()),"Date is not a real date or is in the future",IF(AND(C99&lt;&gt;"",COUNTIF('Gate plan'!$A$4:$A$353,C99)=0),"Plan ID not found in Gate plan",IF(AND(C99&lt;&gt;"",COUNTIFS('Gate plan'!$A$4:$A$353,C99,'Gate plan'!$B$4:$B$353,B99)=0),"Plan AIR-ID differs from event",IF(D99="","Gate / forum missing",IF(AND(E99="Precautionary pause (containment)",G99&lt;&gt;"Paused — pending decision"),"Precautionary pause: Outcome must be Paused, pending decision",IF(AND(E99="Precautionary pause (containment)",V99=""),"Precautionary pause: AIG-OPS-03 incident ref missing",IF(AND(E99="Precautionary pause (containment)",NOT(ISNUMBER(W99))),"Precautionary pause: follow-up decision due date missing",IF(AND(G99="Paused — pending decision",E99&lt;&gt;"Precautionary pause (containment)"),"Paused, pending decision is only for a Precautionary pause event",IF(AND(E99="Decision",OR(G99="",H99="",I99="")),"Outcome / delegation / decision ref missing",IF(AND(E99="Decision",NOT(OR(G99="Progress",G99="Progress with condition",G99="Return for evidence",G99="Pause",G99="Stop",G99="Suspend",G99="Decommission",G99="Re-authorise",G99="Resume"))),"Decision event needs a decision outcome",IF(AND(E99="Priority override",OR(H99="",I99="")),"Decision-maker / AIG-DEC-03 ref missing",IF(AND(E99="Priority override",G99&lt;&gt;"",G99&lt;&gt;"No decision"),"Priority override: Outcome blank or No decision",IF(AND(E99&lt;&gt;"Decision",OR(G99="Progress",G99="Progress with condition",G99="Return for evidence",G99="Pause",G99="Stop",G99="Suspend",G99="Decommission",G99="Re-authorise",G99="Resume")),"Outcome implies decision",IF(OR(ISNUMBER(SEARCH(",",O99)),ISNUMBER(SEARCH(";",O99))),"One UC-ID per event row — split this event",IF(AND(E99="Decision",OR(Q99="UC-ID REQUIRED",Q99="Decision scope missing",Q99="REMOVE UC-ID OR CORRECT SCOPE")),"Decision scope missing",IF(AND(G99="Progress with condition",COUNTIF(Conditions!$B$4:$B$553,A99)=0),"Progress with condition needs at least one Conditions row",IF(AND(C99&lt;&gt;"",COUNTIFS('Gate plan'!$A$4:$A$353,C99,'Gate plan'!$C$4:$C$353,D99)=0),"Plan gate differs from event gate",IF(AND(C99&lt;&gt;"",O99&lt;&gt;"",COUNTIFS('Gate plan'!$A$4:$A$353,C99,'Gate plan'!$K$4:$K$353,"&lt;&gt;")&gt;0,COUNTIFS('Gate plan'!$A$4:$A$353,C99,'Gate plan'!$K$4:$K$353,O99)=0),"Plan UC-ID differs from event UC-ID",IF(AND(E99="Assurance opinion",J99=""),"Assurance opinion ref missing",IF(AND(G99="Opinion only",E99&lt;&gt;"Assurance opinion",E99&lt;&gt;"Review only"),"Opinion only is for Assurance opinion or Review only events",IF(AND(G99="No decision",E99&lt;&gt;"Review only",E99&lt;&gt;"Priority override",E99&lt;&gt;"Intake / registration"),"No decision is for Review only, Priority override or Intake / registration events",IF(OR(ISNUMBER(SEARCH(" ",TRIM(O99))),ISNUMBER(SEARCH("/",O99))),"One UC-ID per event row: split this event",IF(AND(E99="Precautionary pause (containment)",ISNUMBER(W99),ISNUMBER(F99),W99&lt;F99),"Follow-up decision due date is before the pause",IF(AND(G99="Resume",IFERROR(LOOKUP(2,1/(($B$3:B98=B99)*($O$3:O98=O99)),$G$3:G98),"")&lt;&gt;"Paused — pending decision"),"Resume is only for the event straight after a Precautionary pause on the same AIR-ID and UC-ID (in an earlier row)",IF(AND(E99="Decision",OR(G99="Progress",G99="Progress with condition",G99="Re-authorise",G99="Resume"),X99&lt;&gt;"Yes"),"Decision-maker has not confirmed the screening was considered (column X)","Check against source")))))))))))))))))))))))))))))</f>
        <v/>
      </c>
      <c r="O99" s="37" t="n"/>
      <c r="P99" s="37" t="n"/>
      <c r="Q99" s="14">
        <f>IF(A99="","",IF(E99&lt;&gt;"Decision","",IF(P99="UC-ID specific",IF(O99="","UC-ID REQUIRED","Check source decision for each UC-ID"),IF(P99="Shared system baseline",IF(O99&lt;&gt;"","REMOVE UC-ID OR CORRECT SCOPE","Baseline only — NOT UC approval"),"Decision scope missing"))))</f>
        <v/>
      </c>
      <c r="R99" s="43" t="n"/>
      <c r="S99" s="40" t="n"/>
      <c r="T99" s="40" t="n"/>
      <c r="U99" s="40" t="n"/>
      <c r="V99" s="40" t="n"/>
      <c r="W99" s="41" t="n"/>
      <c r="X99" s="38" t="n"/>
    </row>
    <row r="100">
      <c r="A100" s="38" t="n"/>
      <c r="B100" s="38" t="n"/>
      <c r="C100" s="38" t="n"/>
      <c r="D100" s="38" t="n"/>
      <c r="E100" s="38" t="n"/>
      <c r="F100" s="39" t="n"/>
      <c r="G100" s="38" t="n"/>
      <c r="H100" s="38" t="n"/>
      <c r="I100" s="38" t="n"/>
      <c r="J100" s="38" t="n"/>
      <c r="K100" s="38" t="n"/>
      <c r="L100" s="38" t="n"/>
      <c r="M100" s="38" t="n"/>
      <c r="N100" s="22">
        <f>IF(COUNTA(A100:M100,O100:P100,R100:X100)=0,"",IF(OR(A100="",B100="",F100=""),"Event ID, AIR-ID or date missing",IF(COUNTIF($A$4:$A$553,A100)&gt;1,"Duplicate Event ID",IF(E100="","Event type missing",IF(OR(NOT(ISNUMBER(F100)),F100&gt;TODAY()),"Date is not a real date or is in the future",IF(AND(C100&lt;&gt;"",COUNTIF('Gate plan'!$A$4:$A$353,C100)=0),"Plan ID not found in Gate plan",IF(AND(C100&lt;&gt;"",COUNTIFS('Gate plan'!$A$4:$A$353,C100,'Gate plan'!$B$4:$B$353,B100)=0),"Plan AIR-ID differs from event",IF(D100="","Gate / forum missing",IF(AND(E100="Precautionary pause (containment)",G100&lt;&gt;"Paused — pending decision"),"Precautionary pause: Outcome must be Paused, pending decision",IF(AND(E100="Precautionary pause (containment)",V100=""),"Precautionary pause: AIG-OPS-03 incident ref missing",IF(AND(E100="Precautionary pause (containment)",NOT(ISNUMBER(W100))),"Precautionary pause: follow-up decision due date missing",IF(AND(G100="Paused — pending decision",E100&lt;&gt;"Precautionary pause (containment)"),"Paused, pending decision is only for a Precautionary pause event",IF(AND(E100="Decision",OR(G100="",H100="",I100="")),"Outcome / delegation / decision ref missing",IF(AND(E100="Decision",NOT(OR(G100="Progress",G100="Progress with condition",G100="Return for evidence",G100="Pause",G100="Stop",G100="Suspend",G100="Decommission",G100="Re-authorise",G100="Resume"))),"Decision event needs a decision outcome",IF(AND(E100="Priority override",OR(H100="",I100="")),"Decision-maker / AIG-DEC-03 ref missing",IF(AND(E100="Priority override",G100&lt;&gt;"",G100&lt;&gt;"No decision"),"Priority override: Outcome blank or No decision",IF(AND(E100&lt;&gt;"Decision",OR(G100="Progress",G100="Progress with condition",G100="Return for evidence",G100="Pause",G100="Stop",G100="Suspend",G100="Decommission",G100="Re-authorise",G100="Resume")),"Outcome implies decision",IF(OR(ISNUMBER(SEARCH(",",O100)),ISNUMBER(SEARCH(";",O100))),"One UC-ID per event row — split this event",IF(AND(E100="Decision",OR(Q100="UC-ID REQUIRED",Q100="Decision scope missing",Q100="REMOVE UC-ID OR CORRECT SCOPE")),"Decision scope missing",IF(AND(G100="Progress with condition",COUNTIF(Conditions!$B$4:$B$553,A100)=0),"Progress with condition needs at least one Conditions row",IF(AND(C100&lt;&gt;"",COUNTIFS('Gate plan'!$A$4:$A$353,C100,'Gate plan'!$C$4:$C$353,D100)=0),"Plan gate differs from event gate",IF(AND(C100&lt;&gt;"",O100&lt;&gt;"",COUNTIFS('Gate plan'!$A$4:$A$353,C100,'Gate plan'!$K$4:$K$353,"&lt;&gt;")&gt;0,COUNTIFS('Gate plan'!$A$4:$A$353,C100,'Gate plan'!$K$4:$K$353,O100)=0),"Plan UC-ID differs from event UC-ID",IF(AND(E100="Assurance opinion",J100=""),"Assurance opinion ref missing",IF(AND(G100="Opinion only",E100&lt;&gt;"Assurance opinion",E100&lt;&gt;"Review only"),"Opinion only is for Assurance opinion or Review only events",IF(AND(G100="No decision",E100&lt;&gt;"Review only",E100&lt;&gt;"Priority override",E100&lt;&gt;"Intake / registration"),"No decision is for Review only, Priority override or Intake / registration events",IF(OR(ISNUMBER(SEARCH(" ",TRIM(O100))),ISNUMBER(SEARCH("/",O100))),"One UC-ID per event row: split this event",IF(AND(E100="Precautionary pause (containment)",ISNUMBER(W100),ISNUMBER(F100),W100&lt;F100),"Follow-up decision due date is before the pause",IF(AND(G100="Resume",IFERROR(LOOKUP(2,1/(($B$3:B99=B100)*($O$3:O99=O100)),$G$3:G99),"")&lt;&gt;"Paused — pending decision"),"Resume is only for the event straight after a Precautionary pause on the same AIR-ID and UC-ID (in an earlier row)",IF(AND(E100="Decision",OR(G100="Progress",G100="Progress with condition",G100="Re-authorise",G100="Resume"),X100&lt;&gt;"Yes"),"Decision-maker has not confirmed the screening was considered (column X)","Check against source")))))))))))))))))))))))))))))</f>
        <v/>
      </c>
      <c r="O100" s="37" t="n"/>
      <c r="P100" s="37" t="n"/>
      <c r="Q100" s="14">
        <f>IF(A100="","",IF(E100&lt;&gt;"Decision","",IF(P100="UC-ID specific",IF(O100="","UC-ID REQUIRED","Check source decision for each UC-ID"),IF(P100="Shared system baseline",IF(O100&lt;&gt;"","REMOVE UC-ID OR CORRECT SCOPE","Baseline only — NOT UC approval"),"Decision scope missing"))))</f>
        <v/>
      </c>
      <c r="R100" s="42" t="n"/>
      <c r="S100" s="38" t="n"/>
      <c r="T100" s="38" t="n"/>
      <c r="U100" s="38" t="n"/>
      <c r="V100" s="38" t="n"/>
      <c r="W100" s="39" t="n"/>
      <c r="X100" s="38" t="n"/>
    </row>
    <row r="101">
      <c r="A101" s="40" t="n"/>
      <c r="B101" s="40" t="n"/>
      <c r="C101" s="40" t="n"/>
      <c r="D101" s="40" t="n"/>
      <c r="E101" s="40" t="n"/>
      <c r="F101" s="41" t="n"/>
      <c r="G101" s="40" t="n"/>
      <c r="H101" s="40" t="n"/>
      <c r="I101" s="40" t="n"/>
      <c r="J101" s="40" t="n"/>
      <c r="K101" s="40" t="n"/>
      <c r="L101" s="40" t="n"/>
      <c r="M101" s="40" t="n"/>
      <c r="N101" s="24">
        <f>IF(COUNTA(A101:M101,O101:P101,R101:X101)=0,"",IF(OR(A101="",B101="",F101=""),"Event ID, AIR-ID or date missing",IF(COUNTIF($A$4:$A$553,A101)&gt;1,"Duplicate Event ID",IF(E101="","Event type missing",IF(OR(NOT(ISNUMBER(F101)),F101&gt;TODAY()),"Date is not a real date or is in the future",IF(AND(C101&lt;&gt;"",COUNTIF('Gate plan'!$A$4:$A$353,C101)=0),"Plan ID not found in Gate plan",IF(AND(C101&lt;&gt;"",COUNTIFS('Gate plan'!$A$4:$A$353,C101,'Gate plan'!$B$4:$B$353,B101)=0),"Plan AIR-ID differs from event",IF(D101="","Gate / forum missing",IF(AND(E101="Precautionary pause (containment)",G101&lt;&gt;"Paused — pending decision"),"Precautionary pause: Outcome must be Paused, pending decision",IF(AND(E101="Precautionary pause (containment)",V101=""),"Precautionary pause: AIG-OPS-03 incident ref missing",IF(AND(E101="Precautionary pause (containment)",NOT(ISNUMBER(W101))),"Precautionary pause: follow-up decision due date missing",IF(AND(G101="Paused — pending decision",E101&lt;&gt;"Precautionary pause (containment)"),"Paused, pending decision is only for a Precautionary pause event",IF(AND(E101="Decision",OR(G101="",H101="",I101="")),"Outcome / delegation / decision ref missing",IF(AND(E101="Decision",NOT(OR(G101="Progress",G101="Progress with condition",G101="Return for evidence",G101="Pause",G101="Stop",G101="Suspend",G101="Decommission",G101="Re-authorise",G101="Resume"))),"Decision event needs a decision outcome",IF(AND(E101="Priority override",OR(H101="",I101="")),"Decision-maker / AIG-DEC-03 ref missing",IF(AND(E101="Priority override",G101&lt;&gt;"",G101&lt;&gt;"No decision"),"Priority override: Outcome blank or No decision",IF(AND(E101&lt;&gt;"Decision",OR(G101="Progress",G101="Progress with condition",G101="Return for evidence",G101="Pause",G101="Stop",G101="Suspend",G101="Decommission",G101="Re-authorise",G101="Resume")),"Outcome implies decision",IF(OR(ISNUMBER(SEARCH(",",O101)),ISNUMBER(SEARCH(";",O101))),"One UC-ID per event row — split this event",IF(AND(E101="Decision",OR(Q101="UC-ID REQUIRED",Q101="Decision scope missing",Q101="REMOVE UC-ID OR CORRECT SCOPE")),"Decision scope missing",IF(AND(G101="Progress with condition",COUNTIF(Conditions!$B$4:$B$553,A101)=0),"Progress with condition needs at least one Conditions row",IF(AND(C101&lt;&gt;"",COUNTIFS('Gate plan'!$A$4:$A$353,C101,'Gate plan'!$C$4:$C$353,D101)=0),"Plan gate differs from event gate",IF(AND(C101&lt;&gt;"",O101&lt;&gt;"",COUNTIFS('Gate plan'!$A$4:$A$353,C101,'Gate plan'!$K$4:$K$353,"&lt;&gt;")&gt;0,COUNTIFS('Gate plan'!$A$4:$A$353,C101,'Gate plan'!$K$4:$K$353,O101)=0),"Plan UC-ID differs from event UC-ID",IF(AND(E101="Assurance opinion",J101=""),"Assurance opinion ref missing",IF(AND(G101="Opinion only",E101&lt;&gt;"Assurance opinion",E101&lt;&gt;"Review only"),"Opinion only is for Assurance opinion or Review only events",IF(AND(G101="No decision",E101&lt;&gt;"Review only",E101&lt;&gt;"Priority override",E101&lt;&gt;"Intake / registration"),"No decision is for Review only, Priority override or Intake / registration events",IF(OR(ISNUMBER(SEARCH(" ",TRIM(O101))),ISNUMBER(SEARCH("/",O101))),"One UC-ID per event row: split this event",IF(AND(E101="Precautionary pause (containment)",ISNUMBER(W101),ISNUMBER(F101),W101&lt;F101),"Follow-up decision due date is before the pause",IF(AND(G101="Resume",IFERROR(LOOKUP(2,1/(($B$3:B100=B101)*($O$3:O100=O101)),$G$3:G100),"")&lt;&gt;"Paused — pending decision"),"Resume is only for the event straight after a Precautionary pause on the same AIR-ID and UC-ID (in an earlier row)",IF(AND(E101="Decision",OR(G101="Progress",G101="Progress with condition",G101="Re-authorise",G101="Resume"),X101&lt;&gt;"Yes"),"Decision-maker has not confirmed the screening was considered (column X)","Check against source")))))))))))))))))))))))))))))</f>
        <v/>
      </c>
      <c r="O101" s="37" t="n"/>
      <c r="P101" s="37" t="n"/>
      <c r="Q101" s="14">
        <f>IF(A101="","",IF(E101&lt;&gt;"Decision","",IF(P101="UC-ID specific",IF(O101="","UC-ID REQUIRED","Check source decision for each UC-ID"),IF(P101="Shared system baseline",IF(O101&lt;&gt;"","REMOVE UC-ID OR CORRECT SCOPE","Baseline only — NOT UC approval"),"Decision scope missing"))))</f>
        <v/>
      </c>
      <c r="R101" s="43" t="n"/>
      <c r="S101" s="40" t="n"/>
      <c r="T101" s="40" t="n"/>
      <c r="U101" s="40" t="n"/>
      <c r="V101" s="40" t="n"/>
      <c r="W101" s="41" t="n"/>
      <c r="X101" s="38" t="n"/>
    </row>
    <row r="102">
      <c r="A102" s="38" t="n"/>
      <c r="B102" s="38" t="n"/>
      <c r="C102" s="38" t="n"/>
      <c r="D102" s="38" t="n"/>
      <c r="E102" s="38" t="n"/>
      <c r="F102" s="39" t="n"/>
      <c r="G102" s="38" t="n"/>
      <c r="H102" s="38" t="n"/>
      <c r="I102" s="38" t="n"/>
      <c r="J102" s="38" t="n"/>
      <c r="K102" s="38" t="n"/>
      <c r="L102" s="38" t="n"/>
      <c r="M102" s="38" t="n"/>
      <c r="N102" s="22">
        <f>IF(COUNTA(A102:M102,O102:P102,R102:X102)=0,"",IF(OR(A102="",B102="",F102=""),"Event ID, AIR-ID or date missing",IF(COUNTIF($A$4:$A$553,A102)&gt;1,"Duplicate Event ID",IF(E102="","Event type missing",IF(OR(NOT(ISNUMBER(F102)),F102&gt;TODAY()),"Date is not a real date or is in the future",IF(AND(C102&lt;&gt;"",COUNTIF('Gate plan'!$A$4:$A$353,C102)=0),"Plan ID not found in Gate plan",IF(AND(C102&lt;&gt;"",COUNTIFS('Gate plan'!$A$4:$A$353,C102,'Gate plan'!$B$4:$B$353,B102)=0),"Plan AIR-ID differs from event",IF(D102="","Gate / forum missing",IF(AND(E102="Precautionary pause (containment)",G102&lt;&gt;"Paused — pending decision"),"Precautionary pause: Outcome must be Paused, pending decision",IF(AND(E102="Precautionary pause (containment)",V102=""),"Precautionary pause: AIG-OPS-03 incident ref missing",IF(AND(E102="Precautionary pause (containment)",NOT(ISNUMBER(W102))),"Precautionary pause: follow-up decision due date missing",IF(AND(G102="Paused — pending decision",E102&lt;&gt;"Precautionary pause (containment)"),"Paused, pending decision is only for a Precautionary pause event",IF(AND(E102="Decision",OR(G102="",H102="",I102="")),"Outcome / delegation / decision ref missing",IF(AND(E102="Decision",NOT(OR(G102="Progress",G102="Progress with condition",G102="Return for evidence",G102="Pause",G102="Stop",G102="Suspend",G102="Decommission",G102="Re-authorise",G102="Resume"))),"Decision event needs a decision outcome",IF(AND(E102="Priority override",OR(H102="",I102="")),"Decision-maker / AIG-DEC-03 ref missing",IF(AND(E102="Priority override",G102&lt;&gt;"",G102&lt;&gt;"No decision"),"Priority override: Outcome blank or No decision",IF(AND(E102&lt;&gt;"Decision",OR(G102="Progress",G102="Progress with condition",G102="Return for evidence",G102="Pause",G102="Stop",G102="Suspend",G102="Decommission",G102="Re-authorise",G102="Resume")),"Outcome implies decision",IF(OR(ISNUMBER(SEARCH(",",O102)),ISNUMBER(SEARCH(";",O102))),"One UC-ID per event row — split this event",IF(AND(E102="Decision",OR(Q102="UC-ID REQUIRED",Q102="Decision scope missing",Q102="REMOVE UC-ID OR CORRECT SCOPE")),"Decision scope missing",IF(AND(G102="Progress with condition",COUNTIF(Conditions!$B$4:$B$553,A102)=0),"Progress with condition needs at least one Conditions row",IF(AND(C102&lt;&gt;"",COUNTIFS('Gate plan'!$A$4:$A$353,C102,'Gate plan'!$C$4:$C$353,D102)=0),"Plan gate differs from event gate",IF(AND(C102&lt;&gt;"",O102&lt;&gt;"",COUNTIFS('Gate plan'!$A$4:$A$353,C102,'Gate plan'!$K$4:$K$353,"&lt;&gt;")&gt;0,COUNTIFS('Gate plan'!$A$4:$A$353,C102,'Gate plan'!$K$4:$K$353,O102)=0),"Plan UC-ID differs from event UC-ID",IF(AND(E102="Assurance opinion",J102=""),"Assurance opinion ref missing",IF(AND(G102="Opinion only",E102&lt;&gt;"Assurance opinion",E102&lt;&gt;"Review only"),"Opinion only is for Assurance opinion or Review only events",IF(AND(G102="No decision",E102&lt;&gt;"Review only",E102&lt;&gt;"Priority override",E102&lt;&gt;"Intake / registration"),"No decision is for Review only, Priority override or Intake / registration events",IF(OR(ISNUMBER(SEARCH(" ",TRIM(O102))),ISNUMBER(SEARCH("/",O102))),"One UC-ID per event row: split this event",IF(AND(E102="Precautionary pause (containment)",ISNUMBER(W102),ISNUMBER(F102),W102&lt;F102),"Follow-up decision due date is before the pause",IF(AND(G102="Resume",IFERROR(LOOKUP(2,1/(($B$3:B101=B102)*($O$3:O101=O102)),$G$3:G101),"")&lt;&gt;"Paused — pending decision"),"Resume is only for the event straight after a Precautionary pause on the same AIR-ID and UC-ID (in an earlier row)",IF(AND(E102="Decision",OR(G102="Progress",G102="Progress with condition",G102="Re-authorise",G102="Resume"),X102&lt;&gt;"Yes"),"Decision-maker has not confirmed the screening was considered (column X)","Check against source")))))))))))))))))))))))))))))</f>
        <v/>
      </c>
      <c r="O102" s="37" t="n"/>
      <c r="P102" s="37" t="n"/>
      <c r="Q102" s="14">
        <f>IF(A102="","",IF(E102&lt;&gt;"Decision","",IF(P102="UC-ID specific",IF(O102="","UC-ID REQUIRED","Check source decision for each UC-ID"),IF(P102="Shared system baseline",IF(O102&lt;&gt;"","REMOVE UC-ID OR CORRECT SCOPE","Baseline only — NOT UC approval"),"Decision scope missing"))))</f>
        <v/>
      </c>
      <c r="R102" s="42" t="n"/>
      <c r="S102" s="38" t="n"/>
      <c r="T102" s="38" t="n"/>
      <c r="U102" s="38" t="n"/>
      <c r="V102" s="38" t="n"/>
      <c r="W102" s="39" t="n"/>
      <c r="X102" s="38" t="n"/>
    </row>
    <row r="103">
      <c r="A103" s="40" t="n"/>
      <c r="B103" s="40" t="n"/>
      <c r="C103" s="40" t="n"/>
      <c r="D103" s="40" t="n"/>
      <c r="E103" s="40" t="n"/>
      <c r="F103" s="41" t="n"/>
      <c r="G103" s="40" t="n"/>
      <c r="H103" s="40" t="n"/>
      <c r="I103" s="40" t="n"/>
      <c r="J103" s="40" t="n"/>
      <c r="K103" s="40" t="n"/>
      <c r="L103" s="40" t="n"/>
      <c r="M103" s="40" t="n"/>
      <c r="N103" s="24">
        <f>IF(COUNTA(A103:M103,O103:P103,R103:X103)=0,"",IF(OR(A103="",B103="",F103=""),"Event ID, AIR-ID or date missing",IF(COUNTIF($A$4:$A$553,A103)&gt;1,"Duplicate Event ID",IF(E103="","Event type missing",IF(OR(NOT(ISNUMBER(F103)),F103&gt;TODAY()),"Date is not a real date or is in the future",IF(AND(C103&lt;&gt;"",COUNTIF('Gate plan'!$A$4:$A$353,C103)=0),"Plan ID not found in Gate plan",IF(AND(C103&lt;&gt;"",COUNTIFS('Gate plan'!$A$4:$A$353,C103,'Gate plan'!$B$4:$B$353,B103)=0),"Plan AIR-ID differs from event",IF(D103="","Gate / forum missing",IF(AND(E103="Precautionary pause (containment)",G103&lt;&gt;"Paused — pending decision"),"Precautionary pause: Outcome must be Paused, pending decision",IF(AND(E103="Precautionary pause (containment)",V103=""),"Precautionary pause: AIG-OPS-03 incident ref missing",IF(AND(E103="Precautionary pause (containment)",NOT(ISNUMBER(W103))),"Precautionary pause: follow-up decision due date missing",IF(AND(G103="Paused — pending decision",E103&lt;&gt;"Precautionary pause (containment)"),"Paused, pending decision is only for a Precautionary pause event",IF(AND(E103="Decision",OR(G103="",H103="",I103="")),"Outcome / delegation / decision ref missing",IF(AND(E103="Decision",NOT(OR(G103="Progress",G103="Progress with condition",G103="Return for evidence",G103="Pause",G103="Stop",G103="Suspend",G103="Decommission",G103="Re-authorise",G103="Resume"))),"Decision event needs a decision outcome",IF(AND(E103="Priority override",OR(H103="",I103="")),"Decision-maker / AIG-DEC-03 ref missing",IF(AND(E103="Priority override",G103&lt;&gt;"",G103&lt;&gt;"No decision"),"Priority override: Outcome blank or No decision",IF(AND(E103&lt;&gt;"Decision",OR(G103="Progress",G103="Progress with condition",G103="Return for evidence",G103="Pause",G103="Stop",G103="Suspend",G103="Decommission",G103="Re-authorise",G103="Resume")),"Outcome implies decision",IF(OR(ISNUMBER(SEARCH(",",O103)),ISNUMBER(SEARCH(";",O103))),"One UC-ID per event row — split this event",IF(AND(E103="Decision",OR(Q103="UC-ID REQUIRED",Q103="Decision scope missing",Q103="REMOVE UC-ID OR CORRECT SCOPE")),"Decision scope missing",IF(AND(G103="Progress with condition",COUNTIF(Conditions!$B$4:$B$553,A103)=0),"Progress with condition needs at least one Conditions row",IF(AND(C103&lt;&gt;"",COUNTIFS('Gate plan'!$A$4:$A$353,C103,'Gate plan'!$C$4:$C$353,D103)=0),"Plan gate differs from event gate",IF(AND(C103&lt;&gt;"",O103&lt;&gt;"",COUNTIFS('Gate plan'!$A$4:$A$353,C103,'Gate plan'!$K$4:$K$353,"&lt;&gt;")&gt;0,COUNTIFS('Gate plan'!$A$4:$A$353,C103,'Gate plan'!$K$4:$K$353,O103)=0),"Plan UC-ID differs from event UC-ID",IF(AND(E103="Assurance opinion",J103=""),"Assurance opinion ref missing",IF(AND(G103="Opinion only",E103&lt;&gt;"Assurance opinion",E103&lt;&gt;"Review only"),"Opinion only is for Assurance opinion or Review only events",IF(AND(G103="No decision",E103&lt;&gt;"Review only",E103&lt;&gt;"Priority override",E103&lt;&gt;"Intake / registration"),"No decision is for Review only, Priority override or Intake / registration events",IF(OR(ISNUMBER(SEARCH(" ",TRIM(O103))),ISNUMBER(SEARCH("/",O103))),"One UC-ID per event row: split this event",IF(AND(E103="Precautionary pause (containment)",ISNUMBER(W103),ISNUMBER(F103),W103&lt;F103),"Follow-up decision due date is before the pause",IF(AND(G103="Resume",IFERROR(LOOKUP(2,1/(($B$3:B102=B103)*($O$3:O102=O103)),$G$3:G102),"")&lt;&gt;"Paused — pending decision"),"Resume is only for the event straight after a Precautionary pause on the same AIR-ID and UC-ID (in an earlier row)",IF(AND(E103="Decision",OR(G103="Progress",G103="Progress with condition",G103="Re-authorise",G103="Resume"),X103&lt;&gt;"Yes"),"Decision-maker has not confirmed the screening was considered (column X)","Check against source")))))))))))))))))))))))))))))</f>
        <v/>
      </c>
      <c r="O103" s="37" t="n"/>
      <c r="P103" s="37" t="n"/>
      <c r="Q103" s="14">
        <f>IF(A103="","",IF(E103&lt;&gt;"Decision","",IF(P103="UC-ID specific",IF(O103="","UC-ID REQUIRED","Check source decision for each UC-ID"),IF(P103="Shared system baseline",IF(O103&lt;&gt;"","REMOVE UC-ID OR CORRECT SCOPE","Baseline only — NOT UC approval"),"Decision scope missing"))))</f>
        <v/>
      </c>
      <c r="R103" s="43" t="n"/>
      <c r="S103" s="40" t="n"/>
      <c r="T103" s="40" t="n"/>
      <c r="U103" s="40" t="n"/>
      <c r="V103" s="40" t="n"/>
      <c r="W103" s="41" t="n"/>
      <c r="X103" s="38" t="n"/>
    </row>
    <row r="104">
      <c r="A104" s="38" t="n"/>
      <c r="B104" s="38" t="n"/>
      <c r="C104" s="38" t="n"/>
      <c r="D104" s="38" t="n"/>
      <c r="E104" s="38" t="n"/>
      <c r="F104" s="39" t="n"/>
      <c r="G104" s="38" t="n"/>
      <c r="H104" s="38" t="n"/>
      <c r="I104" s="38" t="n"/>
      <c r="J104" s="38" t="n"/>
      <c r="K104" s="38" t="n"/>
      <c r="L104" s="38" t="n"/>
      <c r="M104" s="38" t="n"/>
      <c r="N104" s="22">
        <f>IF(COUNTA(A104:M104,O104:P104,R104:X104)=0,"",IF(OR(A104="",B104="",F104=""),"Event ID, AIR-ID or date missing",IF(COUNTIF($A$4:$A$553,A104)&gt;1,"Duplicate Event ID",IF(E104="","Event type missing",IF(OR(NOT(ISNUMBER(F104)),F104&gt;TODAY()),"Date is not a real date or is in the future",IF(AND(C104&lt;&gt;"",COUNTIF('Gate plan'!$A$4:$A$353,C104)=0),"Plan ID not found in Gate plan",IF(AND(C104&lt;&gt;"",COUNTIFS('Gate plan'!$A$4:$A$353,C104,'Gate plan'!$B$4:$B$353,B104)=0),"Plan AIR-ID differs from event",IF(D104="","Gate / forum missing",IF(AND(E104="Precautionary pause (containment)",G104&lt;&gt;"Paused — pending decision"),"Precautionary pause: Outcome must be Paused, pending decision",IF(AND(E104="Precautionary pause (containment)",V104=""),"Precautionary pause: AIG-OPS-03 incident ref missing",IF(AND(E104="Precautionary pause (containment)",NOT(ISNUMBER(W104))),"Precautionary pause: follow-up decision due date missing",IF(AND(G104="Paused — pending decision",E104&lt;&gt;"Precautionary pause (containment)"),"Paused, pending decision is only for a Precautionary pause event",IF(AND(E104="Decision",OR(G104="",H104="",I104="")),"Outcome / delegation / decision ref missing",IF(AND(E104="Decision",NOT(OR(G104="Progress",G104="Progress with condition",G104="Return for evidence",G104="Pause",G104="Stop",G104="Suspend",G104="Decommission",G104="Re-authorise",G104="Resume"))),"Decision event needs a decision outcome",IF(AND(E104="Priority override",OR(H104="",I104="")),"Decision-maker / AIG-DEC-03 ref missing",IF(AND(E104="Priority override",G104&lt;&gt;"",G104&lt;&gt;"No decision"),"Priority override: Outcome blank or No decision",IF(AND(E104&lt;&gt;"Decision",OR(G104="Progress",G104="Progress with condition",G104="Return for evidence",G104="Pause",G104="Stop",G104="Suspend",G104="Decommission",G104="Re-authorise",G104="Resume")),"Outcome implies decision",IF(OR(ISNUMBER(SEARCH(",",O104)),ISNUMBER(SEARCH(";",O104))),"One UC-ID per event row — split this event",IF(AND(E104="Decision",OR(Q104="UC-ID REQUIRED",Q104="Decision scope missing",Q104="REMOVE UC-ID OR CORRECT SCOPE")),"Decision scope missing",IF(AND(G104="Progress with condition",COUNTIF(Conditions!$B$4:$B$553,A104)=0),"Progress with condition needs at least one Conditions row",IF(AND(C104&lt;&gt;"",COUNTIFS('Gate plan'!$A$4:$A$353,C104,'Gate plan'!$C$4:$C$353,D104)=0),"Plan gate differs from event gate",IF(AND(C104&lt;&gt;"",O104&lt;&gt;"",COUNTIFS('Gate plan'!$A$4:$A$353,C104,'Gate plan'!$K$4:$K$353,"&lt;&gt;")&gt;0,COUNTIFS('Gate plan'!$A$4:$A$353,C104,'Gate plan'!$K$4:$K$353,O104)=0),"Plan UC-ID differs from event UC-ID",IF(AND(E104="Assurance opinion",J104=""),"Assurance opinion ref missing",IF(AND(G104="Opinion only",E104&lt;&gt;"Assurance opinion",E104&lt;&gt;"Review only"),"Opinion only is for Assurance opinion or Review only events",IF(AND(G104="No decision",E104&lt;&gt;"Review only",E104&lt;&gt;"Priority override",E104&lt;&gt;"Intake / registration"),"No decision is for Review only, Priority override or Intake / registration events",IF(OR(ISNUMBER(SEARCH(" ",TRIM(O104))),ISNUMBER(SEARCH("/",O104))),"One UC-ID per event row: split this event",IF(AND(E104="Precautionary pause (containment)",ISNUMBER(W104),ISNUMBER(F104),W104&lt;F104),"Follow-up decision due date is before the pause",IF(AND(G104="Resume",IFERROR(LOOKUP(2,1/(($B$3:B103=B104)*($O$3:O103=O104)),$G$3:G103),"")&lt;&gt;"Paused — pending decision"),"Resume is only for the event straight after a Precautionary pause on the same AIR-ID and UC-ID (in an earlier row)",IF(AND(E104="Decision",OR(G104="Progress",G104="Progress with condition",G104="Re-authorise",G104="Resume"),X104&lt;&gt;"Yes"),"Decision-maker has not confirmed the screening was considered (column X)","Check against source")))))))))))))))))))))))))))))</f>
        <v/>
      </c>
      <c r="O104" s="37" t="n"/>
      <c r="P104" s="37" t="n"/>
      <c r="Q104" s="14">
        <f>IF(A104="","",IF(E104&lt;&gt;"Decision","",IF(P104="UC-ID specific",IF(O104="","UC-ID REQUIRED","Check source decision for each UC-ID"),IF(P104="Shared system baseline",IF(O104&lt;&gt;"","REMOVE UC-ID OR CORRECT SCOPE","Baseline only — NOT UC approval"),"Decision scope missing"))))</f>
        <v/>
      </c>
      <c r="R104" s="42" t="n"/>
      <c r="S104" s="38" t="n"/>
      <c r="T104" s="38" t="n"/>
      <c r="U104" s="38" t="n"/>
      <c r="V104" s="38" t="n"/>
      <c r="W104" s="39" t="n"/>
      <c r="X104" s="38" t="n"/>
    </row>
    <row r="105">
      <c r="A105" s="40" t="n"/>
      <c r="B105" s="40" t="n"/>
      <c r="C105" s="40" t="n"/>
      <c r="D105" s="40" t="n"/>
      <c r="E105" s="40" t="n"/>
      <c r="F105" s="41" t="n"/>
      <c r="G105" s="40" t="n"/>
      <c r="H105" s="40" t="n"/>
      <c r="I105" s="40" t="n"/>
      <c r="J105" s="40" t="n"/>
      <c r="K105" s="40" t="n"/>
      <c r="L105" s="40" t="n"/>
      <c r="M105" s="40" t="n"/>
      <c r="N105" s="24">
        <f>IF(COUNTA(A105:M105,O105:P105,R105:X105)=0,"",IF(OR(A105="",B105="",F105=""),"Event ID, AIR-ID or date missing",IF(COUNTIF($A$4:$A$553,A105)&gt;1,"Duplicate Event ID",IF(E105="","Event type missing",IF(OR(NOT(ISNUMBER(F105)),F105&gt;TODAY()),"Date is not a real date or is in the future",IF(AND(C105&lt;&gt;"",COUNTIF('Gate plan'!$A$4:$A$353,C105)=0),"Plan ID not found in Gate plan",IF(AND(C105&lt;&gt;"",COUNTIFS('Gate plan'!$A$4:$A$353,C105,'Gate plan'!$B$4:$B$353,B105)=0),"Plan AIR-ID differs from event",IF(D105="","Gate / forum missing",IF(AND(E105="Precautionary pause (containment)",G105&lt;&gt;"Paused — pending decision"),"Precautionary pause: Outcome must be Paused, pending decision",IF(AND(E105="Precautionary pause (containment)",V105=""),"Precautionary pause: AIG-OPS-03 incident ref missing",IF(AND(E105="Precautionary pause (containment)",NOT(ISNUMBER(W105))),"Precautionary pause: follow-up decision due date missing",IF(AND(G105="Paused — pending decision",E105&lt;&gt;"Precautionary pause (containment)"),"Paused, pending decision is only for a Precautionary pause event",IF(AND(E105="Decision",OR(G105="",H105="",I105="")),"Outcome / delegation / decision ref missing",IF(AND(E105="Decision",NOT(OR(G105="Progress",G105="Progress with condition",G105="Return for evidence",G105="Pause",G105="Stop",G105="Suspend",G105="Decommission",G105="Re-authorise",G105="Resume"))),"Decision event needs a decision outcome",IF(AND(E105="Priority override",OR(H105="",I105="")),"Decision-maker / AIG-DEC-03 ref missing",IF(AND(E105="Priority override",G105&lt;&gt;"",G105&lt;&gt;"No decision"),"Priority override: Outcome blank or No decision",IF(AND(E105&lt;&gt;"Decision",OR(G105="Progress",G105="Progress with condition",G105="Return for evidence",G105="Pause",G105="Stop",G105="Suspend",G105="Decommission",G105="Re-authorise",G105="Resume")),"Outcome implies decision",IF(OR(ISNUMBER(SEARCH(",",O105)),ISNUMBER(SEARCH(";",O105))),"One UC-ID per event row — split this event",IF(AND(E105="Decision",OR(Q105="UC-ID REQUIRED",Q105="Decision scope missing",Q105="REMOVE UC-ID OR CORRECT SCOPE")),"Decision scope missing",IF(AND(G105="Progress with condition",COUNTIF(Conditions!$B$4:$B$553,A105)=0),"Progress with condition needs at least one Conditions row",IF(AND(C105&lt;&gt;"",COUNTIFS('Gate plan'!$A$4:$A$353,C105,'Gate plan'!$C$4:$C$353,D105)=0),"Plan gate differs from event gate",IF(AND(C105&lt;&gt;"",O105&lt;&gt;"",COUNTIFS('Gate plan'!$A$4:$A$353,C105,'Gate plan'!$K$4:$K$353,"&lt;&gt;")&gt;0,COUNTIFS('Gate plan'!$A$4:$A$353,C105,'Gate plan'!$K$4:$K$353,O105)=0),"Plan UC-ID differs from event UC-ID",IF(AND(E105="Assurance opinion",J105=""),"Assurance opinion ref missing",IF(AND(G105="Opinion only",E105&lt;&gt;"Assurance opinion",E105&lt;&gt;"Review only"),"Opinion only is for Assurance opinion or Review only events",IF(AND(G105="No decision",E105&lt;&gt;"Review only",E105&lt;&gt;"Priority override",E105&lt;&gt;"Intake / registration"),"No decision is for Review only, Priority override or Intake / registration events",IF(OR(ISNUMBER(SEARCH(" ",TRIM(O105))),ISNUMBER(SEARCH("/",O105))),"One UC-ID per event row: split this event",IF(AND(E105="Precautionary pause (containment)",ISNUMBER(W105),ISNUMBER(F105),W105&lt;F105),"Follow-up decision due date is before the pause",IF(AND(G105="Resume",IFERROR(LOOKUP(2,1/(($B$3:B104=B105)*($O$3:O104=O105)),$G$3:G104),"")&lt;&gt;"Paused — pending decision"),"Resume is only for the event straight after a Precautionary pause on the same AIR-ID and UC-ID (in an earlier row)",IF(AND(E105="Decision",OR(G105="Progress",G105="Progress with condition",G105="Re-authorise",G105="Resume"),X105&lt;&gt;"Yes"),"Decision-maker has not confirmed the screening was considered (column X)","Check against source")))))))))))))))))))))))))))))</f>
        <v/>
      </c>
      <c r="O105" s="37" t="n"/>
      <c r="P105" s="37" t="n"/>
      <c r="Q105" s="14">
        <f>IF(A105="","",IF(E105&lt;&gt;"Decision","",IF(P105="UC-ID specific",IF(O105="","UC-ID REQUIRED","Check source decision for each UC-ID"),IF(P105="Shared system baseline",IF(O105&lt;&gt;"","REMOVE UC-ID OR CORRECT SCOPE","Baseline only — NOT UC approval"),"Decision scope missing"))))</f>
        <v/>
      </c>
      <c r="R105" s="43" t="n"/>
      <c r="S105" s="40" t="n"/>
      <c r="T105" s="40" t="n"/>
      <c r="U105" s="40" t="n"/>
      <c r="V105" s="40" t="n"/>
      <c r="W105" s="41" t="n"/>
      <c r="X105" s="38" t="n"/>
    </row>
    <row r="106">
      <c r="A106" s="38" t="n"/>
      <c r="B106" s="38" t="n"/>
      <c r="C106" s="38" t="n"/>
      <c r="D106" s="38" t="n"/>
      <c r="E106" s="38" t="n"/>
      <c r="F106" s="39" t="n"/>
      <c r="G106" s="38" t="n"/>
      <c r="H106" s="38" t="n"/>
      <c r="I106" s="38" t="n"/>
      <c r="J106" s="38" t="n"/>
      <c r="K106" s="38" t="n"/>
      <c r="L106" s="38" t="n"/>
      <c r="M106" s="38" t="n"/>
      <c r="N106" s="22">
        <f>IF(COUNTA(A106:M106,O106:P106,R106:X106)=0,"",IF(OR(A106="",B106="",F106=""),"Event ID, AIR-ID or date missing",IF(COUNTIF($A$4:$A$553,A106)&gt;1,"Duplicate Event ID",IF(E106="","Event type missing",IF(OR(NOT(ISNUMBER(F106)),F106&gt;TODAY()),"Date is not a real date or is in the future",IF(AND(C106&lt;&gt;"",COUNTIF('Gate plan'!$A$4:$A$353,C106)=0),"Plan ID not found in Gate plan",IF(AND(C106&lt;&gt;"",COUNTIFS('Gate plan'!$A$4:$A$353,C106,'Gate plan'!$B$4:$B$353,B106)=0),"Plan AIR-ID differs from event",IF(D106="","Gate / forum missing",IF(AND(E106="Precautionary pause (containment)",G106&lt;&gt;"Paused — pending decision"),"Precautionary pause: Outcome must be Paused, pending decision",IF(AND(E106="Precautionary pause (containment)",V106=""),"Precautionary pause: AIG-OPS-03 incident ref missing",IF(AND(E106="Precautionary pause (containment)",NOT(ISNUMBER(W106))),"Precautionary pause: follow-up decision due date missing",IF(AND(G106="Paused — pending decision",E106&lt;&gt;"Precautionary pause (containment)"),"Paused, pending decision is only for a Precautionary pause event",IF(AND(E106="Decision",OR(G106="",H106="",I106="")),"Outcome / delegation / decision ref missing",IF(AND(E106="Decision",NOT(OR(G106="Progress",G106="Progress with condition",G106="Return for evidence",G106="Pause",G106="Stop",G106="Suspend",G106="Decommission",G106="Re-authorise",G106="Resume"))),"Decision event needs a decision outcome",IF(AND(E106="Priority override",OR(H106="",I106="")),"Decision-maker / AIG-DEC-03 ref missing",IF(AND(E106="Priority override",G106&lt;&gt;"",G106&lt;&gt;"No decision"),"Priority override: Outcome blank or No decision",IF(AND(E106&lt;&gt;"Decision",OR(G106="Progress",G106="Progress with condition",G106="Return for evidence",G106="Pause",G106="Stop",G106="Suspend",G106="Decommission",G106="Re-authorise",G106="Resume")),"Outcome implies decision",IF(OR(ISNUMBER(SEARCH(",",O106)),ISNUMBER(SEARCH(";",O106))),"One UC-ID per event row — split this event",IF(AND(E106="Decision",OR(Q106="UC-ID REQUIRED",Q106="Decision scope missing",Q106="REMOVE UC-ID OR CORRECT SCOPE")),"Decision scope missing",IF(AND(G106="Progress with condition",COUNTIF(Conditions!$B$4:$B$553,A106)=0),"Progress with condition needs at least one Conditions row",IF(AND(C106&lt;&gt;"",COUNTIFS('Gate plan'!$A$4:$A$353,C106,'Gate plan'!$C$4:$C$353,D106)=0),"Plan gate differs from event gate",IF(AND(C106&lt;&gt;"",O106&lt;&gt;"",COUNTIFS('Gate plan'!$A$4:$A$353,C106,'Gate plan'!$K$4:$K$353,"&lt;&gt;")&gt;0,COUNTIFS('Gate plan'!$A$4:$A$353,C106,'Gate plan'!$K$4:$K$353,O106)=0),"Plan UC-ID differs from event UC-ID",IF(AND(E106="Assurance opinion",J106=""),"Assurance opinion ref missing",IF(AND(G106="Opinion only",E106&lt;&gt;"Assurance opinion",E106&lt;&gt;"Review only"),"Opinion only is for Assurance opinion or Review only events",IF(AND(G106="No decision",E106&lt;&gt;"Review only",E106&lt;&gt;"Priority override",E106&lt;&gt;"Intake / registration"),"No decision is for Review only, Priority override or Intake / registration events",IF(OR(ISNUMBER(SEARCH(" ",TRIM(O106))),ISNUMBER(SEARCH("/",O106))),"One UC-ID per event row: split this event",IF(AND(E106="Precautionary pause (containment)",ISNUMBER(W106),ISNUMBER(F106),W106&lt;F106),"Follow-up decision due date is before the pause",IF(AND(G106="Resume",IFERROR(LOOKUP(2,1/(($B$3:B105=B106)*($O$3:O105=O106)),$G$3:G105),"")&lt;&gt;"Paused — pending decision"),"Resume is only for the event straight after a Precautionary pause on the same AIR-ID and UC-ID (in an earlier row)",IF(AND(E106="Decision",OR(G106="Progress",G106="Progress with condition",G106="Re-authorise",G106="Resume"),X106&lt;&gt;"Yes"),"Decision-maker has not confirmed the screening was considered (column X)","Check against source")))))))))))))))))))))))))))))</f>
        <v/>
      </c>
      <c r="O106" s="37" t="n"/>
      <c r="P106" s="37" t="n"/>
      <c r="Q106" s="14">
        <f>IF(A106="","",IF(E106&lt;&gt;"Decision","",IF(P106="UC-ID specific",IF(O106="","UC-ID REQUIRED","Check source decision for each UC-ID"),IF(P106="Shared system baseline",IF(O106&lt;&gt;"","REMOVE UC-ID OR CORRECT SCOPE","Baseline only — NOT UC approval"),"Decision scope missing"))))</f>
        <v/>
      </c>
      <c r="R106" s="42" t="n"/>
      <c r="S106" s="38" t="n"/>
      <c r="T106" s="38" t="n"/>
      <c r="U106" s="38" t="n"/>
      <c r="V106" s="38" t="n"/>
      <c r="W106" s="39" t="n"/>
      <c r="X106" s="38" t="n"/>
    </row>
    <row r="107">
      <c r="A107" s="40" t="n"/>
      <c r="B107" s="40" t="n"/>
      <c r="C107" s="40" t="n"/>
      <c r="D107" s="40" t="n"/>
      <c r="E107" s="40" t="n"/>
      <c r="F107" s="41" t="n"/>
      <c r="G107" s="40" t="n"/>
      <c r="H107" s="40" t="n"/>
      <c r="I107" s="40" t="n"/>
      <c r="J107" s="40" t="n"/>
      <c r="K107" s="40" t="n"/>
      <c r="L107" s="40" t="n"/>
      <c r="M107" s="40" t="n"/>
      <c r="N107" s="24">
        <f>IF(COUNTA(A107:M107,O107:P107,R107:X107)=0,"",IF(OR(A107="",B107="",F107=""),"Event ID, AIR-ID or date missing",IF(COUNTIF($A$4:$A$553,A107)&gt;1,"Duplicate Event ID",IF(E107="","Event type missing",IF(OR(NOT(ISNUMBER(F107)),F107&gt;TODAY()),"Date is not a real date or is in the future",IF(AND(C107&lt;&gt;"",COUNTIF('Gate plan'!$A$4:$A$353,C107)=0),"Plan ID not found in Gate plan",IF(AND(C107&lt;&gt;"",COUNTIFS('Gate plan'!$A$4:$A$353,C107,'Gate plan'!$B$4:$B$353,B107)=0),"Plan AIR-ID differs from event",IF(D107="","Gate / forum missing",IF(AND(E107="Precautionary pause (containment)",G107&lt;&gt;"Paused — pending decision"),"Precautionary pause: Outcome must be Paused, pending decision",IF(AND(E107="Precautionary pause (containment)",V107=""),"Precautionary pause: AIG-OPS-03 incident ref missing",IF(AND(E107="Precautionary pause (containment)",NOT(ISNUMBER(W107))),"Precautionary pause: follow-up decision due date missing",IF(AND(G107="Paused — pending decision",E107&lt;&gt;"Precautionary pause (containment)"),"Paused, pending decision is only for a Precautionary pause event",IF(AND(E107="Decision",OR(G107="",H107="",I107="")),"Outcome / delegation / decision ref missing",IF(AND(E107="Decision",NOT(OR(G107="Progress",G107="Progress with condition",G107="Return for evidence",G107="Pause",G107="Stop",G107="Suspend",G107="Decommission",G107="Re-authorise",G107="Resume"))),"Decision event needs a decision outcome",IF(AND(E107="Priority override",OR(H107="",I107="")),"Decision-maker / AIG-DEC-03 ref missing",IF(AND(E107="Priority override",G107&lt;&gt;"",G107&lt;&gt;"No decision"),"Priority override: Outcome blank or No decision",IF(AND(E107&lt;&gt;"Decision",OR(G107="Progress",G107="Progress with condition",G107="Return for evidence",G107="Pause",G107="Stop",G107="Suspend",G107="Decommission",G107="Re-authorise",G107="Resume")),"Outcome implies decision",IF(OR(ISNUMBER(SEARCH(",",O107)),ISNUMBER(SEARCH(";",O107))),"One UC-ID per event row — split this event",IF(AND(E107="Decision",OR(Q107="UC-ID REQUIRED",Q107="Decision scope missing",Q107="REMOVE UC-ID OR CORRECT SCOPE")),"Decision scope missing",IF(AND(G107="Progress with condition",COUNTIF(Conditions!$B$4:$B$553,A107)=0),"Progress with condition needs at least one Conditions row",IF(AND(C107&lt;&gt;"",COUNTIFS('Gate plan'!$A$4:$A$353,C107,'Gate plan'!$C$4:$C$353,D107)=0),"Plan gate differs from event gate",IF(AND(C107&lt;&gt;"",O107&lt;&gt;"",COUNTIFS('Gate plan'!$A$4:$A$353,C107,'Gate plan'!$K$4:$K$353,"&lt;&gt;")&gt;0,COUNTIFS('Gate plan'!$A$4:$A$353,C107,'Gate plan'!$K$4:$K$353,O107)=0),"Plan UC-ID differs from event UC-ID",IF(AND(E107="Assurance opinion",J107=""),"Assurance opinion ref missing",IF(AND(G107="Opinion only",E107&lt;&gt;"Assurance opinion",E107&lt;&gt;"Review only"),"Opinion only is for Assurance opinion or Review only events",IF(AND(G107="No decision",E107&lt;&gt;"Review only",E107&lt;&gt;"Priority override",E107&lt;&gt;"Intake / registration"),"No decision is for Review only, Priority override or Intake / registration events",IF(OR(ISNUMBER(SEARCH(" ",TRIM(O107))),ISNUMBER(SEARCH("/",O107))),"One UC-ID per event row: split this event",IF(AND(E107="Precautionary pause (containment)",ISNUMBER(W107),ISNUMBER(F107),W107&lt;F107),"Follow-up decision due date is before the pause",IF(AND(G107="Resume",IFERROR(LOOKUP(2,1/(($B$3:B106=B107)*($O$3:O106=O107)),$G$3:G106),"")&lt;&gt;"Paused — pending decision"),"Resume is only for the event straight after a Precautionary pause on the same AIR-ID and UC-ID (in an earlier row)",IF(AND(E107="Decision",OR(G107="Progress",G107="Progress with condition",G107="Re-authorise",G107="Resume"),X107&lt;&gt;"Yes"),"Decision-maker has not confirmed the screening was considered (column X)","Check against source")))))))))))))))))))))))))))))</f>
        <v/>
      </c>
      <c r="O107" s="37" t="n"/>
      <c r="P107" s="37" t="n"/>
      <c r="Q107" s="14">
        <f>IF(A107="","",IF(E107&lt;&gt;"Decision","",IF(P107="UC-ID specific",IF(O107="","UC-ID REQUIRED","Check source decision for each UC-ID"),IF(P107="Shared system baseline",IF(O107&lt;&gt;"","REMOVE UC-ID OR CORRECT SCOPE","Baseline only — NOT UC approval"),"Decision scope missing"))))</f>
        <v/>
      </c>
      <c r="R107" s="43" t="n"/>
      <c r="S107" s="40" t="n"/>
      <c r="T107" s="40" t="n"/>
      <c r="U107" s="40" t="n"/>
      <c r="V107" s="40" t="n"/>
      <c r="W107" s="41" t="n"/>
      <c r="X107" s="38" t="n"/>
    </row>
    <row r="108">
      <c r="A108" s="38" t="n"/>
      <c r="B108" s="38" t="n"/>
      <c r="C108" s="38" t="n"/>
      <c r="D108" s="38" t="n"/>
      <c r="E108" s="38" t="n"/>
      <c r="F108" s="39" t="n"/>
      <c r="G108" s="38" t="n"/>
      <c r="H108" s="38" t="n"/>
      <c r="I108" s="38" t="n"/>
      <c r="J108" s="38" t="n"/>
      <c r="K108" s="38" t="n"/>
      <c r="L108" s="38" t="n"/>
      <c r="M108" s="38" t="n"/>
      <c r="N108" s="22">
        <f>IF(COUNTA(A108:M108,O108:P108,R108:X108)=0,"",IF(OR(A108="",B108="",F108=""),"Event ID, AIR-ID or date missing",IF(COUNTIF($A$4:$A$553,A108)&gt;1,"Duplicate Event ID",IF(E108="","Event type missing",IF(OR(NOT(ISNUMBER(F108)),F108&gt;TODAY()),"Date is not a real date or is in the future",IF(AND(C108&lt;&gt;"",COUNTIF('Gate plan'!$A$4:$A$353,C108)=0),"Plan ID not found in Gate plan",IF(AND(C108&lt;&gt;"",COUNTIFS('Gate plan'!$A$4:$A$353,C108,'Gate plan'!$B$4:$B$353,B108)=0),"Plan AIR-ID differs from event",IF(D108="","Gate / forum missing",IF(AND(E108="Precautionary pause (containment)",G108&lt;&gt;"Paused — pending decision"),"Precautionary pause: Outcome must be Paused, pending decision",IF(AND(E108="Precautionary pause (containment)",V108=""),"Precautionary pause: AIG-OPS-03 incident ref missing",IF(AND(E108="Precautionary pause (containment)",NOT(ISNUMBER(W108))),"Precautionary pause: follow-up decision due date missing",IF(AND(G108="Paused — pending decision",E108&lt;&gt;"Precautionary pause (containment)"),"Paused, pending decision is only for a Precautionary pause event",IF(AND(E108="Decision",OR(G108="",H108="",I108="")),"Outcome / delegation / decision ref missing",IF(AND(E108="Decision",NOT(OR(G108="Progress",G108="Progress with condition",G108="Return for evidence",G108="Pause",G108="Stop",G108="Suspend",G108="Decommission",G108="Re-authorise",G108="Resume"))),"Decision event needs a decision outcome",IF(AND(E108="Priority override",OR(H108="",I108="")),"Decision-maker / AIG-DEC-03 ref missing",IF(AND(E108="Priority override",G108&lt;&gt;"",G108&lt;&gt;"No decision"),"Priority override: Outcome blank or No decision",IF(AND(E108&lt;&gt;"Decision",OR(G108="Progress",G108="Progress with condition",G108="Return for evidence",G108="Pause",G108="Stop",G108="Suspend",G108="Decommission",G108="Re-authorise",G108="Resume")),"Outcome implies decision",IF(OR(ISNUMBER(SEARCH(",",O108)),ISNUMBER(SEARCH(";",O108))),"One UC-ID per event row — split this event",IF(AND(E108="Decision",OR(Q108="UC-ID REQUIRED",Q108="Decision scope missing",Q108="REMOVE UC-ID OR CORRECT SCOPE")),"Decision scope missing",IF(AND(G108="Progress with condition",COUNTIF(Conditions!$B$4:$B$553,A108)=0),"Progress with condition needs at least one Conditions row",IF(AND(C108&lt;&gt;"",COUNTIFS('Gate plan'!$A$4:$A$353,C108,'Gate plan'!$C$4:$C$353,D108)=0),"Plan gate differs from event gate",IF(AND(C108&lt;&gt;"",O108&lt;&gt;"",COUNTIFS('Gate plan'!$A$4:$A$353,C108,'Gate plan'!$K$4:$K$353,"&lt;&gt;")&gt;0,COUNTIFS('Gate plan'!$A$4:$A$353,C108,'Gate plan'!$K$4:$K$353,O108)=0),"Plan UC-ID differs from event UC-ID",IF(AND(E108="Assurance opinion",J108=""),"Assurance opinion ref missing",IF(AND(G108="Opinion only",E108&lt;&gt;"Assurance opinion",E108&lt;&gt;"Review only"),"Opinion only is for Assurance opinion or Review only events",IF(AND(G108="No decision",E108&lt;&gt;"Review only",E108&lt;&gt;"Priority override",E108&lt;&gt;"Intake / registration"),"No decision is for Review only, Priority override or Intake / registration events",IF(OR(ISNUMBER(SEARCH(" ",TRIM(O108))),ISNUMBER(SEARCH("/",O108))),"One UC-ID per event row: split this event",IF(AND(E108="Precautionary pause (containment)",ISNUMBER(W108),ISNUMBER(F108),W108&lt;F108),"Follow-up decision due date is before the pause",IF(AND(G108="Resume",IFERROR(LOOKUP(2,1/(($B$3:B107=B108)*($O$3:O107=O108)),$G$3:G107),"")&lt;&gt;"Paused — pending decision"),"Resume is only for the event straight after a Precautionary pause on the same AIR-ID and UC-ID (in an earlier row)",IF(AND(E108="Decision",OR(G108="Progress",G108="Progress with condition",G108="Re-authorise",G108="Resume"),X108&lt;&gt;"Yes"),"Decision-maker has not confirmed the screening was considered (column X)","Check against source")))))))))))))))))))))))))))))</f>
        <v/>
      </c>
      <c r="O108" s="37" t="n"/>
      <c r="P108" s="37" t="n"/>
      <c r="Q108" s="14">
        <f>IF(A108="","",IF(E108&lt;&gt;"Decision","",IF(P108="UC-ID specific",IF(O108="","UC-ID REQUIRED","Check source decision for each UC-ID"),IF(P108="Shared system baseline",IF(O108&lt;&gt;"","REMOVE UC-ID OR CORRECT SCOPE","Baseline only — NOT UC approval"),"Decision scope missing"))))</f>
        <v/>
      </c>
      <c r="R108" s="42" t="n"/>
      <c r="S108" s="38" t="n"/>
      <c r="T108" s="38" t="n"/>
      <c r="U108" s="38" t="n"/>
      <c r="V108" s="38" t="n"/>
      <c r="W108" s="39" t="n"/>
      <c r="X108" s="38" t="n"/>
    </row>
    <row r="109">
      <c r="A109" s="40" t="n"/>
      <c r="B109" s="40" t="n"/>
      <c r="C109" s="40" t="n"/>
      <c r="D109" s="40" t="n"/>
      <c r="E109" s="40" t="n"/>
      <c r="F109" s="41" t="n"/>
      <c r="G109" s="40" t="n"/>
      <c r="H109" s="40" t="n"/>
      <c r="I109" s="40" t="n"/>
      <c r="J109" s="40" t="n"/>
      <c r="K109" s="40" t="n"/>
      <c r="L109" s="40" t="n"/>
      <c r="M109" s="40" t="n"/>
      <c r="N109" s="24">
        <f>IF(COUNTA(A109:M109,O109:P109,R109:X109)=0,"",IF(OR(A109="",B109="",F109=""),"Event ID, AIR-ID or date missing",IF(COUNTIF($A$4:$A$553,A109)&gt;1,"Duplicate Event ID",IF(E109="","Event type missing",IF(OR(NOT(ISNUMBER(F109)),F109&gt;TODAY()),"Date is not a real date or is in the future",IF(AND(C109&lt;&gt;"",COUNTIF('Gate plan'!$A$4:$A$353,C109)=0),"Plan ID not found in Gate plan",IF(AND(C109&lt;&gt;"",COUNTIFS('Gate plan'!$A$4:$A$353,C109,'Gate plan'!$B$4:$B$353,B109)=0),"Plan AIR-ID differs from event",IF(D109="","Gate / forum missing",IF(AND(E109="Precautionary pause (containment)",G109&lt;&gt;"Paused — pending decision"),"Precautionary pause: Outcome must be Paused, pending decision",IF(AND(E109="Precautionary pause (containment)",V109=""),"Precautionary pause: AIG-OPS-03 incident ref missing",IF(AND(E109="Precautionary pause (containment)",NOT(ISNUMBER(W109))),"Precautionary pause: follow-up decision due date missing",IF(AND(G109="Paused — pending decision",E109&lt;&gt;"Precautionary pause (containment)"),"Paused, pending decision is only for a Precautionary pause event",IF(AND(E109="Decision",OR(G109="",H109="",I109="")),"Outcome / delegation / decision ref missing",IF(AND(E109="Decision",NOT(OR(G109="Progress",G109="Progress with condition",G109="Return for evidence",G109="Pause",G109="Stop",G109="Suspend",G109="Decommission",G109="Re-authorise",G109="Resume"))),"Decision event needs a decision outcome",IF(AND(E109="Priority override",OR(H109="",I109="")),"Decision-maker / AIG-DEC-03 ref missing",IF(AND(E109="Priority override",G109&lt;&gt;"",G109&lt;&gt;"No decision"),"Priority override: Outcome blank or No decision",IF(AND(E109&lt;&gt;"Decision",OR(G109="Progress",G109="Progress with condition",G109="Return for evidence",G109="Pause",G109="Stop",G109="Suspend",G109="Decommission",G109="Re-authorise",G109="Resume")),"Outcome implies decision",IF(OR(ISNUMBER(SEARCH(",",O109)),ISNUMBER(SEARCH(";",O109))),"One UC-ID per event row — split this event",IF(AND(E109="Decision",OR(Q109="UC-ID REQUIRED",Q109="Decision scope missing",Q109="REMOVE UC-ID OR CORRECT SCOPE")),"Decision scope missing",IF(AND(G109="Progress with condition",COUNTIF(Conditions!$B$4:$B$553,A109)=0),"Progress with condition needs at least one Conditions row",IF(AND(C109&lt;&gt;"",COUNTIFS('Gate plan'!$A$4:$A$353,C109,'Gate plan'!$C$4:$C$353,D109)=0),"Plan gate differs from event gate",IF(AND(C109&lt;&gt;"",O109&lt;&gt;"",COUNTIFS('Gate plan'!$A$4:$A$353,C109,'Gate plan'!$K$4:$K$353,"&lt;&gt;")&gt;0,COUNTIFS('Gate plan'!$A$4:$A$353,C109,'Gate plan'!$K$4:$K$353,O109)=0),"Plan UC-ID differs from event UC-ID",IF(AND(E109="Assurance opinion",J109=""),"Assurance opinion ref missing",IF(AND(G109="Opinion only",E109&lt;&gt;"Assurance opinion",E109&lt;&gt;"Review only"),"Opinion only is for Assurance opinion or Review only events",IF(AND(G109="No decision",E109&lt;&gt;"Review only",E109&lt;&gt;"Priority override",E109&lt;&gt;"Intake / registration"),"No decision is for Review only, Priority override or Intake / registration events",IF(OR(ISNUMBER(SEARCH(" ",TRIM(O109))),ISNUMBER(SEARCH("/",O109))),"One UC-ID per event row: split this event",IF(AND(E109="Precautionary pause (containment)",ISNUMBER(W109),ISNUMBER(F109),W109&lt;F109),"Follow-up decision due date is before the pause",IF(AND(G109="Resume",IFERROR(LOOKUP(2,1/(($B$3:B108=B109)*($O$3:O108=O109)),$G$3:G108),"")&lt;&gt;"Paused — pending decision"),"Resume is only for the event straight after a Precautionary pause on the same AIR-ID and UC-ID (in an earlier row)",IF(AND(E109="Decision",OR(G109="Progress",G109="Progress with condition",G109="Re-authorise",G109="Resume"),X109&lt;&gt;"Yes"),"Decision-maker has not confirmed the screening was considered (column X)","Check against source")))))))))))))))))))))))))))))</f>
        <v/>
      </c>
      <c r="O109" s="37" t="n"/>
      <c r="P109" s="37" t="n"/>
      <c r="Q109" s="14">
        <f>IF(A109="","",IF(E109&lt;&gt;"Decision","",IF(P109="UC-ID specific",IF(O109="","UC-ID REQUIRED","Check source decision for each UC-ID"),IF(P109="Shared system baseline",IF(O109&lt;&gt;"","REMOVE UC-ID OR CORRECT SCOPE","Baseline only — NOT UC approval"),"Decision scope missing"))))</f>
        <v/>
      </c>
      <c r="R109" s="43" t="n"/>
      <c r="S109" s="40" t="n"/>
      <c r="T109" s="40" t="n"/>
      <c r="U109" s="40" t="n"/>
      <c r="V109" s="40" t="n"/>
      <c r="W109" s="41" t="n"/>
      <c r="X109" s="38" t="n"/>
    </row>
    <row r="110">
      <c r="A110" s="38" t="n"/>
      <c r="B110" s="38" t="n"/>
      <c r="C110" s="38" t="n"/>
      <c r="D110" s="38" t="n"/>
      <c r="E110" s="38" t="n"/>
      <c r="F110" s="39" t="n"/>
      <c r="G110" s="38" t="n"/>
      <c r="H110" s="38" t="n"/>
      <c r="I110" s="38" t="n"/>
      <c r="J110" s="38" t="n"/>
      <c r="K110" s="38" t="n"/>
      <c r="L110" s="38" t="n"/>
      <c r="M110" s="38" t="n"/>
      <c r="N110" s="22">
        <f>IF(COUNTA(A110:M110,O110:P110,R110:X110)=0,"",IF(OR(A110="",B110="",F110=""),"Event ID, AIR-ID or date missing",IF(COUNTIF($A$4:$A$553,A110)&gt;1,"Duplicate Event ID",IF(E110="","Event type missing",IF(OR(NOT(ISNUMBER(F110)),F110&gt;TODAY()),"Date is not a real date or is in the future",IF(AND(C110&lt;&gt;"",COUNTIF('Gate plan'!$A$4:$A$353,C110)=0),"Plan ID not found in Gate plan",IF(AND(C110&lt;&gt;"",COUNTIFS('Gate plan'!$A$4:$A$353,C110,'Gate plan'!$B$4:$B$353,B110)=0),"Plan AIR-ID differs from event",IF(D110="","Gate / forum missing",IF(AND(E110="Precautionary pause (containment)",G110&lt;&gt;"Paused — pending decision"),"Precautionary pause: Outcome must be Paused, pending decision",IF(AND(E110="Precautionary pause (containment)",V110=""),"Precautionary pause: AIG-OPS-03 incident ref missing",IF(AND(E110="Precautionary pause (containment)",NOT(ISNUMBER(W110))),"Precautionary pause: follow-up decision due date missing",IF(AND(G110="Paused — pending decision",E110&lt;&gt;"Precautionary pause (containment)"),"Paused, pending decision is only for a Precautionary pause event",IF(AND(E110="Decision",OR(G110="",H110="",I110="")),"Outcome / delegation / decision ref missing",IF(AND(E110="Decision",NOT(OR(G110="Progress",G110="Progress with condition",G110="Return for evidence",G110="Pause",G110="Stop",G110="Suspend",G110="Decommission",G110="Re-authorise",G110="Resume"))),"Decision event needs a decision outcome",IF(AND(E110="Priority override",OR(H110="",I110="")),"Decision-maker / AIG-DEC-03 ref missing",IF(AND(E110="Priority override",G110&lt;&gt;"",G110&lt;&gt;"No decision"),"Priority override: Outcome blank or No decision",IF(AND(E110&lt;&gt;"Decision",OR(G110="Progress",G110="Progress with condition",G110="Return for evidence",G110="Pause",G110="Stop",G110="Suspend",G110="Decommission",G110="Re-authorise",G110="Resume")),"Outcome implies decision",IF(OR(ISNUMBER(SEARCH(",",O110)),ISNUMBER(SEARCH(";",O110))),"One UC-ID per event row — split this event",IF(AND(E110="Decision",OR(Q110="UC-ID REQUIRED",Q110="Decision scope missing",Q110="REMOVE UC-ID OR CORRECT SCOPE")),"Decision scope missing",IF(AND(G110="Progress with condition",COUNTIF(Conditions!$B$4:$B$553,A110)=0),"Progress with condition needs at least one Conditions row",IF(AND(C110&lt;&gt;"",COUNTIFS('Gate plan'!$A$4:$A$353,C110,'Gate plan'!$C$4:$C$353,D110)=0),"Plan gate differs from event gate",IF(AND(C110&lt;&gt;"",O110&lt;&gt;"",COUNTIFS('Gate plan'!$A$4:$A$353,C110,'Gate plan'!$K$4:$K$353,"&lt;&gt;")&gt;0,COUNTIFS('Gate plan'!$A$4:$A$353,C110,'Gate plan'!$K$4:$K$353,O110)=0),"Plan UC-ID differs from event UC-ID",IF(AND(E110="Assurance opinion",J110=""),"Assurance opinion ref missing",IF(AND(G110="Opinion only",E110&lt;&gt;"Assurance opinion",E110&lt;&gt;"Review only"),"Opinion only is for Assurance opinion or Review only events",IF(AND(G110="No decision",E110&lt;&gt;"Review only",E110&lt;&gt;"Priority override",E110&lt;&gt;"Intake / registration"),"No decision is for Review only, Priority override or Intake / registration events",IF(OR(ISNUMBER(SEARCH(" ",TRIM(O110))),ISNUMBER(SEARCH("/",O110))),"One UC-ID per event row: split this event",IF(AND(E110="Precautionary pause (containment)",ISNUMBER(W110),ISNUMBER(F110),W110&lt;F110),"Follow-up decision due date is before the pause",IF(AND(G110="Resume",IFERROR(LOOKUP(2,1/(($B$3:B109=B110)*($O$3:O109=O110)),$G$3:G109),"")&lt;&gt;"Paused — pending decision"),"Resume is only for the event straight after a Precautionary pause on the same AIR-ID and UC-ID (in an earlier row)",IF(AND(E110="Decision",OR(G110="Progress",G110="Progress with condition",G110="Re-authorise",G110="Resume"),X110&lt;&gt;"Yes"),"Decision-maker has not confirmed the screening was considered (column X)","Check against source")))))))))))))))))))))))))))))</f>
        <v/>
      </c>
      <c r="O110" s="37" t="n"/>
      <c r="P110" s="37" t="n"/>
      <c r="Q110" s="14">
        <f>IF(A110="","",IF(E110&lt;&gt;"Decision","",IF(P110="UC-ID specific",IF(O110="","UC-ID REQUIRED","Check source decision for each UC-ID"),IF(P110="Shared system baseline",IF(O110&lt;&gt;"","REMOVE UC-ID OR CORRECT SCOPE","Baseline only — NOT UC approval"),"Decision scope missing"))))</f>
        <v/>
      </c>
      <c r="R110" s="42" t="n"/>
      <c r="S110" s="38" t="n"/>
      <c r="T110" s="38" t="n"/>
      <c r="U110" s="38" t="n"/>
      <c r="V110" s="38" t="n"/>
      <c r="W110" s="39" t="n"/>
      <c r="X110" s="38" t="n"/>
    </row>
    <row r="111">
      <c r="A111" s="40" t="n"/>
      <c r="B111" s="40" t="n"/>
      <c r="C111" s="40" t="n"/>
      <c r="D111" s="40" t="n"/>
      <c r="E111" s="40" t="n"/>
      <c r="F111" s="41" t="n"/>
      <c r="G111" s="40" t="n"/>
      <c r="H111" s="40" t="n"/>
      <c r="I111" s="40" t="n"/>
      <c r="J111" s="40" t="n"/>
      <c r="K111" s="40" t="n"/>
      <c r="L111" s="40" t="n"/>
      <c r="M111" s="40" t="n"/>
      <c r="N111" s="24">
        <f>IF(COUNTA(A111:M111,O111:P111,R111:X111)=0,"",IF(OR(A111="",B111="",F111=""),"Event ID, AIR-ID or date missing",IF(COUNTIF($A$4:$A$553,A111)&gt;1,"Duplicate Event ID",IF(E111="","Event type missing",IF(OR(NOT(ISNUMBER(F111)),F111&gt;TODAY()),"Date is not a real date or is in the future",IF(AND(C111&lt;&gt;"",COUNTIF('Gate plan'!$A$4:$A$353,C111)=0),"Plan ID not found in Gate plan",IF(AND(C111&lt;&gt;"",COUNTIFS('Gate plan'!$A$4:$A$353,C111,'Gate plan'!$B$4:$B$353,B111)=0),"Plan AIR-ID differs from event",IF(D111="","Gate / forum missing",IF(AND(E111="Precautionary pause (containment)",G111&lt;&gt;"Paused — pending decision"),"Precautionary pause: Outcome must be Paused, pending decision",IF(AND(E111="Precautionary pause (containment)",V111=""),"Precautionary pause: AIG-OPS-03 incident ref missing",IF(AND(E111="Precautionary pause (containment)",NOT(ISNUMBER(W111))),"Precautionary pause: follow-up decision due date missing",IF(AND(G111="Paused — pending decision",E111&lt;&gt;"Precautionary pause (containment)"),"Paused, pending decision is only for a Precautionary pause event",IF(AND(E111="Decision",OR(G111="",H111="",I111="")),"Outcome / delegation / decision ref missing",IF(AND(E111="Decision",NOT(OR(G111="Progress",G111="Progress with condition",G111="Return for evidence",G111="Pause",G111="Stop",G111="Suspend",G111="Decommission",G111="Re-authorise",G111="Resume"))),"Decision event needs a decision outcome",IF(AND(E111="Priority override",OR(H111="",I111="")),"Decision-maker / AIG-DEC-03 ref missing",IF(AND(E111="Priority override",G111&lt;&gt;"",G111&lt;&gt;"No decision"),"Priority override: Outcome blank or No decision",IF(AND(E111&lt;&gt;"Decision",OR(G111="Progress",G111="Progress with condition",G111="Return for evidence",G111="Pause",G111="Stop",G111="Suspend",G111="Decommission",G111="Re-authorise",G111="Resume")),"Outcome implies decision",IF(OR(ISNUMBER(SEARCH(",",O111)),ISNUMBER(SEARCH(";",O111))),"One UC-ID per event row — split this event",IF(AND(E111="Decision",OR(Q111="UC-ID REQUIRED",Q111="Decision scope missing",Q111="REMOVE UC-ID OR CORRECT SCOPE")),"Decision scope missing",IF(AND(G111="Progress with condition",COUNTIF(Conditions!$B$4:$B$553,A111)=0),"Progress with condition needs at least one Conditions row",IF(AND(C111&lt;&gt;"",COUNTIFS('Gate plan'!$A$4:$A$353,C111,'Gate plan'!$C$4:$C$353,D111)=0),"Plan gate differs from event gate",IF(AND(C111&lt;&gt;"",O111&lt;&gt;"",COUNTIFS('Gate plan'!$A$4:$A$353,C111,'Gate plan'!$K$4:$K$353,"&lt;&gt;")&gt;0,COUNTIFS('Gate plan'!$A$4:$A$353,C111,'Gate plan'!$K$4:$K$353,O111)=0),"Plan UC-ID differs from event UC-ID",IF(AND(E111="Assurance opinion",J111=""),"Assurance opinion ref missing",IF(AND(G111="Opinion only",E111&lt;&gt;"Assurance opinion",E111&lt;&gt;"Review only"),"Opinion only is for Assurance opinion or Review only events",IF(AND(G111="No decision",E111&lt;&gt;"Review only",E111&lt;&gt;"Priority override",E111&lt;&gt;"Intake / registration"),"No decision is for Review only, Priority override or Intake / registration events",IF(OR(ISNUMBER(SEARCH(" ",TRIM(O111))),ISNUMBER(SEARCH("/",O111))),"One UC-ID per event row: split this event",IF(AND(E111="Precautionary pause (containment)",ISNUMBER(W111),ISNUMBER(F111),W111&lt;F111),"Follow-up decision due date is before the pause",IF(AND(G111="Resume",IFERROR(LOOKUP(2,1/(($B$3:B110=B111)*($O$3:O110=O111)),$G$3:G110),"")&lt;&gt;"Paused — pending decision"),"Resume is only for the event straight after a Precautionary pause on the same AIR-ID and UC-ID (in an earlier row)",IF(AND(E111="Decision",OR(G111="Progress",G111="Progress with condition",G111="Re-authorise",G111="Resume"),X111&lt;&gt;"Yes"),"Decision-maker has not confirmed the screening was considered (column X)","Check against source")))))))))))))))))))))))))))))</f>
        <v/>
      </c>
      <c r="O111" s="37" t="n"/>
      <c r="P111" s="37" t="n"/>
      <c r="Q111" s="14">
        <f>IF(A111="","",IF(E111&lt;&gt;"Decision","",IF(P111="UC-ID specific",IF(O111="","UC-ID REQUIRED","Check source decision for each UC-ID"),IF(P111="Shared system baseline",IF(O111&lt;&gt;"","REMOVE UC-ID OR CORRECT SCOPE","Baseline only — NOT UC approval"),"Decision scope missing"))))</f>
        <v/>
      </c>
      <c r="R111" s="43" t="n"/>
      <c r="S111" s="40" t="n"/>
      <c r="T111" s="40" t="n"/>
      <c r="U111" s="40" t="n"/>
      <c r="V111" s="40" t="n"/>
      <c r="W111" s="41" t="n"/>
      <c r="X111" s="38" t="n"/>
    </row>
    <row r="112">
      <c r="A112" s="38" t="n"/>
      <c r="B112" s="38" t="n"/>
      <c r="C112" s="38" t="n"/>
      <c r="D112" s="38" t="n"/>
      <c r="E112" s="38" t="n"/>
      <c r="F112" s="39" t="n"/>
      <c r="G112" s="38" t="n"/>
      <c r="H112" s="38" t="n"/>
      <c r="I112" s="38" t="n"/>
      <c r="J112" s="38" t="n"/>
      <c r="K112" s="38" t="n"/>
      <c r="L112" s="38" t="n"/>
      <c r="M112" s="38" t="n"/>
      <c r="N112" s="22">
        <f>IF(COUNTA(A112:M112,O112:P112,R112:X112)=0,"",IF(OR(A112="",B112="",F112=""),"Event ID, AIR-ID or date missing",IF(COUNTIF($A$4:$A$553,A112)&gt;1,"Duplicate Event ID",IF(E112="","Event type missing",IF(OR(NOT(ISNUMBER(F112)),F112&gt;TODAY()),"Date is not a real date or is in the future",IF(AND(C112&lt;&gt;"",COUNTIF('Gate plan'!$A$4:$A$353,C112)=0),"Plan ID not found in Gate plan",IF(AND(C112&lt;&gt;"",COUNTIFS('Gate plan'!$A$4:$A$353,C112,'Gate plan'!$B$4:$B$353,B112)=0),"Plan AIR-ID differs from event",IF(D112="","Gate / forum missing",IF(AND(E112="Precautionary pause (containment)",G112&lt;&gt;"Paused — pending decision"),"Precautionary pause: Outcome must be Paused, pending decision",IF(AND(E112="Precautionary pause (containment)",V112=""),"Precautionary pause: AIG-OPS-03 incident ref missing",IF(AND(E112="Precautionary pause (containment)",NOT(ISNUMBER(W112))),"Precautionary pause: follow-up decision due date missing",IF(AND(G112="Paused — pending decision",E112&lt;&gt;"Precautionary pause (containment)"),"Paused, pending decision is only for a Precautionary pause event",IF(AND(E112="Decision",OR(G112="",H112="",I112="")),"Outcome / delegation / decision ref missing",IF(AND(E112="Decision",NOT(OR(G112="Progress",G112="Progress with condition",G112="Return for evidence",G112="Pause",G112="Stop",G112="Suspend",G112="Decommission",G112="Re-authorise",G112="Resume"))),"Decision event needs a decision outcome",IF(AND(E112="Priority override",OR(H112="",I112="")),"Decision-maker / AIG-DEC-03 ref missing",IF(AND(E112="Priority override",G112&lt;&gt;"",G112&lt;&gt;"No decision"),"Priority override: Outcome blank or No decision",IF(AND(E112&lt;&gt;"Decision",OR(G112="Progress",G112="Progress with condition",G112="Return for evidence",G112="Pause",G112="Stop",G112="Suspend",G112="Decommission",G112="Re-authorise",G112="Resume")),"Outcome implies decision",IF(OR(ISNUMBER(SEARCH(",",O112)),ISNUMBER(SEARCH(";",O112))),"One UC-ID per event row — split this event",IF(AND(E112="Decision",OR(Q112="UC-ID REQUIRED",Q112="Decision scope missing",Q112="REMOVE UC-ID OR CORRECT SCOPE")),"Decision scope missing",IF(AND(G112="Progress with condition",COUNTIF(Conditions!$B$4:$B$553,A112)=0),"Progress with condition needs at least one Conditions row",IF(AND(C112&lt;&gt;"",COUNTIFS('Gate plan'!$A$4:$A$353,C112,'Gate plan'!$C$4:$C$353,D112)=0),"Plan gate differs from event gate",IF(AND(C112&lt;&gt;"",O112&lt;&gt;"",COUNTIFS('Gate plan'!$A$4:$A$353,C112,'Gate plan'!$K$4:$K$353,"&lt;&gt;")&gt;0,COUNTIFS('Gate plan'!$A$4:$A$353,C112,'Gate plan'!$K$4:$K$353,O112)=0),"Plan UC-ID differs from event UC-ID",IF(AND(E112="Assurance opinion",J112=""),"Assurance opinion ref missing",IF(AND(G112="Opinion only",E112&lt;&gt;"Assurance opinion",E112&lt;&gt;"Review only"),"Opinion only is for Assurance opinion or Review only events",IF(AND(G112="No decision",E112&lt;&gt;"Review only",E112&lt;&gt;"Priority override",E112&lt;&gt;"Intake / registration"),"No decision is for Review only, Priority override or Intake / registration events",IF(OR(ISNUMBER(SEARCH(" ",TRIM(O112))),ISNUMBER(SEARCH("/",O112))),"One UC-ID per event row: split this event",IF(AND(E112="Precautionary pause (containment)",ISNUMBER(W112),ISNUMBER(F112),W112&lt;F112),"Follow-up decision due date is before the pause",IF(AND(G112="Resume",IFERROR(LOOKUP(2,1/(($B$3:B111=B112)*($O$3:O111=O112)),$G$3:G111),"")&lt;&gt;"Paused — pending decision"),"Resume is only for the event straight after a Precautionary pause on the same AIR-ID and UC-ID (in an earlier row)",IF(AND(E112="Decision",OR(G112="Progress",G112="Progress with condition",G112="Re-authorise",G112="Resume"),X112&lt;&gt;"Yes"),"Decision-maker has not confirmed the screening was considered (column X)","Check against source")))))))))))))))))))))))))))))</f>
        <v/>
      </c>
      <c r="O112" s="37" t="n"/>
      <c r="P112" s="37" t="n"/>
      <c r="Q112" s="14">
        <f>IF(A112="","",IF(E112&lt;&gt;"Decision","",IF(P112="UC-ID specific",IF(O112="","UC-ID REQUIRED","Check source decision for each UC-ID"),IF(P112="Shared system baseline",IF(O112&lt;&gt;"","REMOVE UC-ID OR CORRECT SCOPE","Baseline only — NOT UC approval"),"Decision scope missing"))))</f>
        <v/>
      </c>
      <c r="R112" s="42" t="n"/>
      <c r="S112" s="38" t="n"/>
      <c r="T112" s="38" t="n"/>
      <c r="U112" s="38" t="n"/>
      <c r="V112" s="38" t="n"/>
      <c r="W112" s="39" t="n"/>
      <c r="X112" s="38" t="n"/>
    </row>
    <row r="113">
      <c r="A113" s="40" t="n"/>
      <c r="B113" s="40" t="n"/>
      <c r="C113" s="40" t="n"/>
      <c r="D113" s="40" t="n"/>
      <c r="E113" s="40" t="n"/>
      <c r="F113" s="41" t="n"/>
      <c r="G113" s="40" t="n"/>
      <c r="H113" s="40" t="n"/>
      <c r="I113" s="40" t="n"/>
      <c r="J113" s="40" t="n"/>
      <c r="K113" s="40" t="n"/>
      <c r="L113" s="40" t="n"/>
      <c r="M113" s="40" t="n"/>
      <c r="N113" s="24">
        <f>IF(COUNTA(A113:M113,O113:P113,R113:X113)=0,"",IF(OR(A113="",B113="",F113=""),"Event ID, AIR-ID or date missing",IF(COUNTIF($A$4:$A$553,A113)&gt;1,"Duplicate Event ID",IF(E113="","Event type missing",IF(OR(NOT(ISNUMBER(F113)),F113&gt;TODAY()),"Date is not a real date or is in the future",IF(AND(C113&lt;&gt;"",COUNTIF('Gate plan'!$A$4:$A$353,C113)=0),"Plan ID not found in Gate plan",IF(AND(C113&lt;&gt;"",COUNTIFS('Gate plan'!$A$4:$A$353,C113,'Gate plan'!$B$4:$B$353,B113)=0),"Plan AIR-ID differs from event",IF(D113="","Gate / forum missing",IF(AND(E113="Precautionary pause (containment)",G113&lt;&gt;"Paused — pending decision"),"Precautionary pause: Outcome must be Paused, pending decision",IF(AND(E113="Precautionary pause (containment)",V113=""),"Precautionary pause: AIG-OPS-03 incident ref missing",IF(AND(E113="Precautionary pause (containment)",NOT(ISNUMBER(W113))),"Precautionary pause: follow-up decision due date missing",IF(AND(G113="Paused — pending decision",E113&lt;&gt;"Precautionary pause (containment)"),"Paused, pending decision is only for a Precautionary pause event",IF(AND(E113="Decision",OR(G113="",H113="",I113="")),"Outcome / delegation / decision ref missing",IF(AND(E113="Decision",NOT(OR(G113="Progress",G113="Progress with condition",G113="Return for evidence",G113="Pause",G113="Stop",G113="Suspend",G113="Decommission",G113="Re-authorise",G113="Resume"))),"Decision event needs a decision outcome",IF(AND(E113="Priority override",OR(H113="",I113="")),"Decision-maker / AIG-DEC-03 ref missing",IF(AND(E113="Priority override",G113&lt;&gt;"",G113&lt;&gt;"No decision"),"Priority override: Outcome blank or No decision",IF(AND(E113&lt;&gt;"Decision",OR(G113="Progress",G113="Progress with condition",G113="Return for evidence",G113="Pause",G113="Stop",G113="Suspend",G113="Decommission",G113="Re-authorise",G113="Resume")),"Outcome implies decision",IF(OR(ISNUMBER(SEARCH(",",O113)),ISNUMBER(SEARCH(";",O113))),"One UC-ID per event row — split this event",IF(AND(E113="Decision",OR(Q113="UC-ID REQUIRED",Q113="Decision scope missing",Q113="REMOVE UC-ID OR CORRECT SCOPE")),"Decision scope missing",IF(AND(G113="Progress with condition",COUNTIF(Conditions!$B$4:$B$553,A113)=0),"Progress with condition needs at least one Conditions row",IF(AND(C113&lt;&gt;"",COUNTIFS('Gate plan'!$A$4:$A$353,C113,'Gate plan'!$C$4:$C$353,D113)=0),"Plan gate differs from event gate",IF(AND(C113&lt;&gt;"",O113&lt;&gt;"",COUNTIFS('Gate plan'!$A$4:$A$353,C113,'Gate plan'!$K$4:$K$353,"&lt;&gt;")&gt;0,COUNTIFS('Gate plan'!$A$4:$A$353,C113,'Gate plan'!$K$4:$K$353,O113)=0),"Plan UC-ID differs from event UC-ID",IF(AND(E113="Assurance opinion",J113=""),"Assurance opinion ref missing",IF(AND(G113="Opinion only",E113&lt;&gt;"Assurance opinion",E113&lt;&gt;"Review only"),"Opinion only is for Assurance opinion or Review only events",IF(AND(G113="No decision",E113&lt;&gt;"Review only",E113&lt;&gt;"Priority override",E113&lt;&gt;"Intake / registration"),"No decision is for Review only, Priority override or Intake / registration events",IF(OR(ISNUMBER(SEARCH(" ",TRIM(O113))),ISNUMBER(SEARCH("/",O113))),"One UC-ID per event row: split this event",IF(AND(E113="Precautionary pause (containment)",ISNUMBER(W113),ISNUMBER(F113),W113&lt;F113),"Follow-up decision due date is before the pause",IF(AND(G113="Resume",IFERROR(LOOKUP(2,1/(($B$3:B112=B113)*($O$3:O112=O113)),$G$3:G112),"")&lt;&gt;"Paused — pending decision"),"Resume is only for the event straight after a Precautionary pause on the same AIR-ID and UC-ID (in an earlier row)",IF(AND(E113="Decision",OR(G113="Progress",G113="Progress with condition",G113="Re-authorise",G113="Resume"),X113&lt;&gt;"Yes"),"Decision-maker has not confirmed the screening was considered (column X)","Check against source")))))))))))))))))))))))))))))</f>
        <v/>
      </c>
      <c r="O113" s="37" t="n"/>
      <c r="P113" s="37" t="n"/>
      <c r="Q113" s="14">
        <f>IF(A113="","",IF(E113&lt;&gt;"Decision","",IF(P113="UC-ID specific",IF(O113="","UC-ID REQUIRED","Check source decision for each UC-ID"),IF(P113="Shared system baseline",IF(O113&lt;&gt;"","REMOVE UC-ID OR CORRECT SCOPE","Baseline only — NOT UC approval"),"Decision scope missing"))))</f>
        <v/>
      </c>
      <c r="R113" s="43" t="n"/>
      <c r="S113" s="40" t="n"/>
      <c r="T113" s="40" t="n"/>
      <c r="U113" s="40" t="n"/>
      <c r="V113" s="40" t="n"/>
      <c r="W113" s="41" t="n"/>
      <c r="X113" s="38" t="n"/>
    </row>
    <row r="114">
      <c r="A114" s="38" t="n"/>
      <c r="B114" s="38" t="n"/>
      <c r="C114" s="38" t="n"/>
      <c r="D114" s="38" t="n"/>
      <c r="E114" s="38" t="n"/>
      <c r="F114" s="39" t="n"/>
      <c r="G114" s="38" t="n"/>
      <c r="H114" s="38" t="n"/>
      <c r="I114" s="38" t="n"/>
      <c r="J114" s="38" t="n"/>
      <c r="K114" s="38" t="n"/>
      <c r="L114" s="38" t="n"/>
      <c r="M114" s="38" t="n"/>
      <c r="N114" s="22">
        <f>IF(COUNTA(A114:M114,O114:P114,R114:X114)=0,"",IF(OR(A114="",B114="",F114=""),"Event ID, AIR-ID or date missing",IF(COUNTIF($A$4:$A$553,A114)&gt;1,"Duplicate Event ID",IF(E114="","Event type missing",IF(OR(NOT(ISNUMBER(F114)),F114&gt;TODAY()),"Date is not a real date or is in the future",IF(AND(C114&lt;&gt;"",COUNTIF('Gate plan'!$A$4:$A$353,C114)=0),"Plan ID not found in Gate plan",IF(AND(C114&lt;&gt;"",COUNTIFS('Gate plan'!$A$4:$A$353,C114,'Gate plan'!$B$4:$B$353,B114)=0),"Plan AIR-ID differs from event",IF(D114="","Gate / forum missing",IF(AND(E114="Precautionary pause (containment)",G114&lt;&gt;"Paused — pending decision"),"Precautionary pause: Outcome must be Paused, pending decision",IF(AND(E114="Precautionary pause (containment)",V114=""),"Precautionary pause: AIG-OPS-03 incident ref missing",IF(AND(E114="Precautionary pause (containment)",NOT(ISNUMBER(W114))),"Precautionary pause: follow-up decision due date missing",IF(AND(G114="Paused — pending decision",E114&lt;&gt;"Precautionary pause (containment)"),"Paused, pending decision is only for a Precautionary pause event",IF(AND(E114="Decision",OR(G114="",H114="",I114="")),"Outcome / delegation / decision ref missing",IF(AND(E114="Decision",NOT(OR(G114="Progress",G114="Progress with condition",G114="Return for evidence",G114="Pause",G114="Stop",G114="Suspend",G114="Decommission",G114="Re-authorise",G114="Resume"))),"Decision event needs a decision outcome",IF(AND(E114="Priority override",OR(H114="",I114="")),"Decision-maker / AIG-DEC-03 ref missing",IF(AND(E114="Priority override",G114&lt;&gt;"",G114&lt;&gt;"No decision"),"Priority override: Outcome blank or No decision",IF(AND(E114&lt;&gt;"Decision",OR(G114="Progress",G114="Progress with condition",G114="Return for evidence",G114="Pause",G114="Stop",G114="Suspend",G114="Decommission",G114="Re-authorise",G114="Resume")),"Outcome implies decision",IF(OR(ISNUMBER(SEARCH(",",O114)),ISNUMBER(SEARCH(";",O114))),"One UC-ID per event row — split this event",IF(AND(E114="Decision",OR(Q114="UC-ID REQUIRED",Q114="Decision scope missing",Q114="REMOVE UC-ID OR CORRECT SCOPE")),"Decision scope missing",IF(AND(G114="Progress with condition",COUNTIF(Conditions!$B$4:$B$553,A114)=0),"Progress with condition needs at least one Conditions row",IF(AND(C114&lt;&gt;"",COUNTIFS('Gate plan'!$A$4:$A$353,C114,'Gate plan'!$C$4:$C$353,D114)=0),"Plan gate differs from event gate",IF(AND(C114&lt;&gt;"",O114&lt;&gt;"",COUNTIFS('Gate plan'!$A$4:$A$353,C114,'Gate plan'!$K$4:$K$353,"&lt;&gt;")&gt;0,COUNTIFS('Gate plan'!$A$4:$A$353,C114,'Gate plan'!$K$4:$K$353,O114)=0),"Plan UC-ID differs from event UC-ID",IF(AND(E114="Assurance opinion",J114=""),"Assurance opinion ref missing",IF(AND(G114="Opinion only",E114&lt;&gt;"Assurance opinion",E114&lt;&gt;"Review only"),"Opinion only is for Assurance opinion or Review only events",IF(AND(G114="No decision",E114&lt;&gt;"Review only",E114&lt;&gt;"Priority override",E114&lt;&gt;"Intake / registration"),"No decision is for Review only, Priority override or Intake / registration events",IF(OR(ISNUMBER(SEARCH(" ",TRIM(O114))),ISNUMBER(SEARCH("/",O114))),"One UC-ID per event row: split this event",IF(AND(E114="Precautionary pause (containment)",ISNUMBER(W114),ISNUMBER(F114),W114&lt;F114),"Follow-up decision due date is before the pause",IF(AND(G114="Resume",IFERROR(LOOKUP(2,1/(($B$3:B113=B114)*($O$3:O113=O114)),$G$3:G113),"")&lt;&gt;"Paused — pending decision"),"Resume is only for the event straight after a Precautionary pause on the same AIR-ID and UC-ID (in an earlier row)",IF(AND(E114="Decision",OR(G114="Progress",G114="Progress with condition",G114="Re-authorise",G114="Resume"),X114&lt;&gt;"Yes"),"Decision-maker has not confirmed the screening was considered (column X)","Check against source")))))))))))))))))))))))))))))</f>
        <v/>
      </c>
      <c r="O114" s="37" t="n"/>
      <c r="P114" s="37" t="n"/>
      <c r="Q114" s="14">
        <f>IF(A114="","",IF(E114&lt;&gt;"Decision","",IF(P114="UC-ID specific",IF(O114="","UC-ID REQUIRED","Check source decision for each UC-ID"),IF(P114="Shared system baseline",IF(O114&lt;&gt;"","REMOVE UC-ID OR CORRECT SCOPE","Baseline only — NOT UC approval"),"Decision scope missing"))))</f>
        <v/>
      </c>
      <c r="R114" s="42" t="n"/>
      <c r="S114" s="38" t="n"/>
      <c r="T114" s="38" t="n"/>
      <c r="U114" s="38" t="n"/>
      <c r="V114" s="38" t="n"/>
      <c r="W114" s="39" t="n"/>
      <c r="X114" s="38" t="n"/>
    </row>
    <row r="115">
      <c r="A115" s="40" t="n"/>
      <c r="B115" s="40" t="n"/>
      <c r="C115" s="40" t="n"/>
      <c r="D115" s="40" t="n"/>
      <c r="E115" s="40" t="n"/>
      <c r="F115" s="41" t="n"/>
      <c r="G115" s="40" t="n"/>
      <c r="H115" s="40" t="n"/>
      <c r="I115" s="40" t="n"/>
      <c r="J115" s="40" t="n"/>
      <c r="K115" s="40" t="n"/>
      <c r="L115" s="40" t="n"/>
      <c r="M115" s="40" t="n"/>
      <c r="N115" s="24">
        <f>IF(COUNTA(A115:M115,O115:P115,R115:X115)=0,"",IF(OR(A115="",B115="",F115=""),"Event ID, AIR-ID or date missing",IF(COUNTIF($A$4:$A$553,A115)&gt;1,"Duplicate Event ID",IF(E115="","Event type missing",IF(OR(NOT(ISNUMBER(F115)),F115&gt;TODAY()),"Date is not a real date or is in the future",IF(AND(C115&lt;&gt;"",COUNTIF('Gate plan'!$A$4:$A$353,C115)=0),"Plan ID not found in Gate plan",IF(AND(C115&lt;&gt;"",COUNTIFS('Gate plan'!$A$4:$A$353,C115,'Gate plan'!$B$4:$B$353,B115)=0),"Plan AIR-ID differs from event",IF(D115="","Gate / forum missing",IF(AND(E115="Precautionary pause (containment)",G115&lt;&gt;"Paused — pending decision"),"Precautionary pause: Outcome must be Paused, pending decision",IF(AND(E115="Precautionary pause (containment)",V115=""),"Precautionary pause: AIG-OPS-03 incident ref missing",IF(AND(E115="Precautionary pause (containment)",NOT(ISNUMBER(W115))),"Precautionary pause: follow-up decision due date missing",IF(AND(G115="Paused — pending decision",E115&lt;&gt;"Precautionary pause (containment)"),"Paused, pending decision is only for a Precautionary pause event",IF(AND(E115="Decision",OR(G115="",H115="",I115="")),"Outcome / delegation / decision ref missing",IF(AND(E115="Decision",NOT(OR(G115="Progress",G115="Progress with condition",G115="Return for evidence",G115="Pause",G115="Stop",G115="Suspend",G115="Decommission",G115="Re-authorise",G115="Resume"))),"Decision event needs a decision outcome",IF(AND(E115="Priority override",OR(H115="",I115="")),"Decision-maker / AIG-DEC-03 ref missing",IF(AND(E115="Priority override",G115&lt;&gt;"",G115&lt;&gt;"No decision"),"Priority override: Outcome blank or No decision",IF(AND(E115&lt;&gt;"Decision",OR(G115="Progress",G115="Progress with condition",G115="Return for evidence",G115="Pause",G115="Stop",G115="Suspend",G115="Decommission",G115="Re-authorise",G115="Resume")),"Outcome implies decision",IF(OR(ISNUMBER(SEARCH(",",O115)),ISNUMBER(SEARCH(";",O115))),"One UC-ID per event row — split this event",IF(AND(E115="Decision",OR(Q115="UC-ID REQUIRED",Q115="Decision scope missing",Q115="REMOVE UC-ID OR CORRECT SCOPE")),"Decision scope missing",IF(AND(G115="Progress with condition",COUNTIF(Conditions!$B$4:$B$553,A115)=0),"Progress with condition needs at least one Conditions row",IF(AND(C115&lt;&gt;"",COUNTIFS('Gate plan'!$A$4:$A$353,C115,'Gate plan'!$C$4:$C$353,D115)=0),"Plan gate differs from event gate",IF(AND(C115&lt;&gt;"",O115&lt;&gt;"",COUNTIFS('Gate plan'!$A$4:$A$353,C115,'Gate plan'!$K$4:$K$353,"&lt;&gt;")&gt;0,COUNTIFS('Gate plan'!$A$4:$A$353,C115,'Gate plan'!$K$4:$K$353,O115)=0),"Plan UC-ID differs from event UC-ID",IF(AND(E115="Assurance opinion",J115=""),"Assurance opinion ref missing",IF(AND(G115="Opinion only",E115&lt;&gt;"Assurance opinion",E115&lt;&gt;"Review only"),"Opinion only is for Assurance opinion or Review only events",IF(AND(G115="No decision",E115&lt;&gt;"Review only",E115&lt;&gt;"Priority override",E115&lt;&gt;"Intake / registration"),"No decision is for Review only, Priority override or Intake / registration events",IF(OR(ISNUMBER(SEARCH(" ",TRIM(O115))),ISNUMBER(SEARCH("/",O115))),"One UC-ID per event row: split this event",IF(AND(E115="Precautionary pause (containment)",ISNUMBER(W115),ISNUMBER(F115),W115&lt;F115),"Follow-up decision due date is before the pause",IF(AND(G115="Resume",IFERROR(LOOKUP(2,1/(($B$3:B114=B115)*($O$3:O114=O115)),$G$3:G114),"")&lt;&gt;"Paused — pending decision"),"Resume is only for the event straight after a Precautionary pause on the same AIR-ID and UC-ID (in an earlier row)",IF(AND(E115="Decision",OR(G115="Progress",G115="Progress with condition",G115="Re-authorise",G115="Resume"),X115&lt;&gt;"Yes"),"Decision-maker has not confirmed the screening was considered (column X)","Check against source")))))))))))))))))))))))))))))</f>
        <v/>
      </c>
      <c r="O115" s="37" t="n"/>
      <c r="P115" s="37" t="n"/>
      <c r="Q115" s="14">
        <f>IF(A115="","",IF(E115&lt;&gt;"Decision","",IF(P115="UC-ID specific",IF(O115="","UC-ID REQUIRED","Check source decision for each UC-ID"),IF(P115="Shared system baseline",IF(O115&lt;&gt;"","REMOVE UC-ID OR CORRECT SCOPE","Baseline only — NOT UC approval"),"Decision scope missing"))))</f>
        <v/>
      </c>
      <c r="R115" s="43" t="n"/>
      <c r="S115" s="40" t="n"/>
      <c r="T115" s="40" t="n"/>
      <c r="U115" s="40" t="n"/>
      <c r="V115" s="40" t="n"/>
      <c r="W115" s="41" t="n"/>
      <c r="X115" s="38" t="n"/>
    </row>
    <row r="116">
      <c r="A116" s="38" t="n"/>
      <c r="B116" s="38" t="n"/>
      <c r="C116" s="38" t="n"/>
      <c r="D116" s="38" t="n"/>
      <c r="E116" s="38" t="n"/>
      <c r="F116" s="39" t="n"/>
      <c r="G116" s="38" t="n"/>
      <c r="H116" s="38" t="n"/>
      <c r="I116" s="38" t="n"/>
      <c r="J116" s="38" t="n"/>
      <c r="K116" s="38" t="n"/>
      <c r="L116" s="38" t="n"/>
      <c r="M116" s="38" t="n"/>
      <c r="N116" s="22">
        <f>IF(COUNTA(A116:M116,O116:P116,R116:X116)=0,"",IF(OR(A116="",B116="",F116=""),"Event ID, AIR-ID or date missing",IF(COUNTIF($A$4:$A$553,A116)&gt;1,"Duplicate Event ID",IF(E116="","Event type missing",IF(OR(NOT(ISNUMBER(F116)),F116&gt;TODAY()),"Date is not a real date or is in the future",IF(AND(C116&lt;&gt;"",COUNTIF('Gate plan'!$A$4:$A$353,C116)=0),"Plan ID not found in Gate plan",IF(AND(C116&lt;&gt;"",COUNTIFS('Gate plan'!$A$4:$A$353,C116,'Gate plan'!$B$4:$B$353,B116)=0),"Plan AIR-ID differs from event",IF(D116="","Gate / forum missing",IF(AND(E116="Precautionary pause (containment)",G116&lt;&gt;"Paused — pending decision"),"Precautionary pause: Outcome must be Paused, pending decision",IF(AND(E116="Precautionary pause (containment)",V116=""),"Precautionary pause: AIG-OPS-03 incident ref missing",IF(AND(E116="Precautionary pause (containment)",NOT(ISNUMBER(W116))),"Precautionary pause: follow-up decision due date missing",IF(AND(G116="Paused — pending decision",E116&lt;&gt;"Precautionary pause (containment)"),"Paused, pending decision is only for a Precautionary pause event",IF(AND(E116="Decision",OR(G116="",H116="",I116="")),"Outcome / delegation / decision ref missing",IF(AND(E116="Decision",NOT(OR(G116="Progress",G116="Progress with condition",G116="Return for evidence",G116="Pause",G116="Stop",G116="Suspend",G116="Decommission",G116="Re-authorise",G116="Resume"))),"Decision event needs a decision outcome",IF(AND(E116="Priority override",OR(H116="",I116="")),"Decision-maker / AIG-DEC-03 ref missing",IF(AND(E116="Priority override",G116&lt;&gt;"",G116&lt;&gt;"No decision"),"Priority override: Outcome blank or No decision",IF(AND(E116&lt;&gt;"Decision",OR(G116="Progress",G116="Progress with condition",G116="Return for evidence",G116="Pause",G116="Stop",G116="Suspend",G116="Decommission",G116="Re-authorise",G116="Resume")),"Outcome implies decision",IF(OR(ISNUMBER(SEARCH(",",O116)),ISNUMBER(SEARCH(";",O116))),"One UC-ID per event row — split this event",IF(AND(E116="Decision",OR(Q116="UC-ID REQUIRED",Q116="Decision scope missing",Q116="REMOVE UC-ID OR CORRECT SCOPE")),"Decision scope missing",IF(AND(G116="Progress with condition",COUNTIF(Conditions!$B$4:$B$553,A116)=0),"Progress with condition needs at least one Conditions row",IF(AND(C116&lt;&gt;"",COUNTIFS('Gate plan'!$A$4:$A$353,C116,'Gate plan'!$C$4:$C$353,D116)=0),"Plan gate differs from event gate",IF(AND(C116&lt;&gt;"",O116&lt;&gt;"",COUNTIFS('Gate plan'!$A$4:$A$353,C116,'Gate plan'!$K$4:$K$353,"&lt;&gt;")&gt;0,COUNTIFS('Gate plan'!$A$4:$A$353,C116,'Gate plan'!$K$4:$K$353,O116)=0),"Plan UC-ID differs from event UC-ID",IF(AND(E116="Assurance opinion",J116=""),"Assurance opinion ref missing",IF(AND(G116="Opinion only",E116&lt;&gt;"Assurance opinion",E116&lt;&gt;"Review only"),"Opinion only is for Assurance opinion or Review only events",IF(AND(G116="No decision",E116&lt;&gt;"Review only",E116&lt;&gt;"Priority override",E116&lt;&gt;"Intake / registration"),"No decision is for Review only, Priority override or Intake / registration events",IF(OR(ISNUMBER(SEARCH(" ",TRIM(O116))),ISNUMBER(SEARCH("/",O116))),"One UC-ID per event row: split this event",IF(AND(E116="Precautionary pause (containment)",ISNUMBER(W116),ISNUMBER(F116),W116&lt;F116),"Follow-up decision due date is before the pause",IF(AND(G116="Resume",IFERROR(LOOKUP(2,1/(($B$3:B115=B116)*($O$3:O115=O116)),$G$3:G115),"")&lt;&gt;"Paused — pending decision"),"Resume is only for the event straight after a Precautionary pause on the same AIR-ID and UC-ID (in an earlier row)",IF(AND(E116="Decision",OR(G116="Progress",G116="Progress with condition",G116="Re-authorise",G116="Resume"),X116&lt;&gt;"Yes"),"Decision-maker has not confirmed the screening was considered (column X)","Check against source")))))))))))))))))))))))))))))</f>
        <v/>
      </c>
      <c r="O116" s="37" t="n"/>
      <c r="P116" s="37" t="n"/>
      <c r="Q116" s="14">
        <f>IF(A116="","",IF(E116&lt;&gt;"Decision","",IF(P116="UC-ID specific",IF(O116="","UC-ID REQUIRED","Check source decision for each UC-ID"),IF(P116="Shared system baseline",IF(O116&lt;&gt;"","REMOVE UC-ID OR CORRECT SCOPE","Baseline only — NOT UC approval"),"Decision scope missing"))))</f>
        <v/>
      </c>
      <c r="R116" s="42" t="n"/>
      <c r="S116" s="38" t="n"/>
      <c r="T116" s="38" t="n"/>
      <c r="U116" s="38" t="n"/>
      <c r="V116" s="38" t="n"/>
      <c r="W116" s="39" t="n"/>
      <c r="X116" s="38" t="n"/>
    </row>
    <row r="117">
      <c r="A117" s="40" t="n"/>
      <c r="B117" s="40" t="n"/>
      <c r="C117" s="40" t="n"/>
      <c r="D117" s="40" t="n"/>
      <c r="E117" s="40" t="n"/>
      <c r="F117" s="41" t="n"/>
      <c r="G117" s="40" t="n"/>
      <c r="H117" s="40" t="n"/>
      <c r="I117" s="40" t="n"/>
      <c r="J117" s="40" t="n"/>
      <c r="K117" s="40" t="n"/>
      <c r="L117" s="40" t="n"/>
      <c r="M117" s="40" t="n"/>
      <c r="N117" s="24">
        <f>IF(COUNTA(A117:M117,O117:P117,R117:X117)=0,"",IF(OR(A117="",B117="",F117=""),"Event ID, AIR-ID or date missing",IF(COUNTIF($A$4:$A$553,A117)&gt;1,"Duplicate Event ID",IF(E117="","Event type missing",IF(OR(NOT(ISNUMBER(F117)),F117&gt;TODAY()),"Date is not a real date or is in the future",IF(AND(C117&lt;&gt;"",COUNTIF('Gate plan'!$A$4:$A$353,C117)=0),"Plan ID not found in Gate plan",IF(AND(C117&lt;&gt;"",COUNTIFS('Gate plan'!$A$4:$A$353,C117,'Gate plan'!$B$4:$B$353,B117)=0),"Plan AIR-ID differs from event",IF(D117="","Gate / forum missing",IF(AND(E117="Precautionary pause (containment)",G117&lt;&gt;"Paused — pending decision"),"Precautionary pause: Outcome must be Paused, pending decision",IF(AND(E117="Precautionary pause (containment)",V117=""),"Precautionary pause: AIG-OPS-03 incident ref missing",IF(AND(E117="Precautionary pause (containment)",NOT(ISNUMBER(W117))),"Precautionary pause: follow-up decision due date missing",IF(AND(G117="Paused — pending decision",E117&lt;&gt;"Precautionary pause (containment)"),"Paused, pending decision is only for a Precautionary pause event",IF(AND(E117="Decision",OR(G117="",H117="",I117="")),"Outcome / delegation / decision ref missing",IF(AND(E117="Decision",NOT(OR(G117="Progress",G117="Progress with condition",G117="Return for evidence",G117="Pause",G117="Stop",G117="Suspend",G117="Decommission",G117="Re-authorise",G117="Resume"))),"Decision event needs a decision outcome",IF(AND(E117="Priority override",OR(H117="",I117="")),"Decision-maker / AIG-DEC-03 ref missing",IF(AND(E117="Priority override",G117&lt;&gt;"",G117&lt;&gt;"No decision"),"Priority override: Outcome blank or No decision",IF(AND(E117&lt;&gt;"Decision",OR(G117="Progress",G117="Progress with condition",G117="Return for evidence",G117="Pause",G117="Stop",G117="Suspend",G117="Decommission",G117="Re-authorise",G117="Resume")),"Outcome implies decision",IF(OR(ISNUMBER(SEARCH(",",O117)),ISNUMBER(SEARCH(";",O117))),"One UC-ID per event row — split this event",IF(AND(E117="Decision",OR(Q117="UC-ID REQUIRED",Q117="Decision scope missing",Q117="REMOVE UC-ID OR CORRECT SCOPE")),"Decision scope missing",IF(AND(G117="Progress with condition",COUNTIF(Conditions!$B$4:$B$553,A117)=0),"Progress with condition needs at least one Conditions row",IF(AND(C117&lt;&gt;"",COUNTIFS('Gate plan'!$A$4:$A$353,C117,'Gate plan'!$C$4:$C$353,D117)=0),"Plan gate differs from event gate",IF(AND(C117&lt;&gt;"",O117&lt;&gt;"",COUNTIFS('Gate plan'!$A$4:$A$353,C117,'Gate plan'!$K$4:$K$353,"&lt;&gt;")&gt;0,COUNTIFS('Gate plan'!$A$4:$A$353,C117,'Gate plan'!$K$4:$K$353,O117)=0),"Plan UC-ID differs from event UC-ID",IF(AND(E117="Assurance opinion",J117=""),"Assurance opinion ref missing",IF(AND(G117="Opinion only",E117&lt;&gt;"Assurance opinion",E117&lt;&gt;"Review only"),"Opinion only is for Assurance opinion or Review only events",IF(AND(G117="No decision",E117&lt;&gt;"Review only",E117&lt;&gt;"Priority override",E117&lt;&gt;"Intake / registration"),"No decision is for Review only, Priority override or Intake / registration events",IF(OR(ISNUMBER(SEARCH(" ",TRIM(O117))),ISNUMBER(SEARCH("/",O117))),"One UC-ID per event row: split this event",IF(AND(E117="Precautionary pause (containment)",ISNUMBER(W117),ISNUMBER(F117),W117&lt;F117),"Follow-up decision due date is before the pause",IF(AND(G117="Resume",IFERROR(LOOKUP(2,1/(($B$3:B116=B117)*($O$3:O116=O117)),$G$3:G116),"")&lt;&gt;"Paused — pending decision"),"Resume is only for the event straight after a Precautionary pause on the same AIR-ID and UC-ID (in an earlier row)",IF(AND(E117="Decision",OR(G117="Progress",G117="Progress with condition",G117="Re-authorise",G117="Resume"),X117&lt;&gt;"Yes"),"Decision-maker has not confirmed the screening was considered (column X)","Check against source")))))))))))))))))))))))))))))</f>
        <v/>
      </c>
      <c r="O117" s="37" t="n"/>
      <c r="P117" s="37" t="n"/>
      <c r="Q117" s="14">
        <f>IF(A117="","",IF(E117&lt;&gt;"Decision","",IF(P117="UC-ID specific",IF(O117="","UC-ID REQUIRED","Check source decision for each UC-ID"),IF(P117="Shared system baseline",IF(O117&lt;&gt;"","REMOVE UC-ID OR CORRECT SCOPE","Baseline only — NOT UC approval"),"Decision scope missing"))))</f>
        <v/>
      </c>
      <c r="R117" s="43" t="n"/>
      <c r="S117" s="40" t="n"/>
      <c r="T117" s="40" t="n"/>
      <c r="U117" s="40" t="n"/>
      <c r="V117" s="40" t="n"/>
      <c r="W117" s="41" t="n"/>
      <c r="X117" s="38" t="n"/>
    </row>
    <row r="118">
      <c r="A118" s="38" t="n"/>
      <c r="B118" s="38" t="n"/>
      <c r="C118" s="38" t="n"/>
      <c r="D118" s="38" t="n"/>
      <c r="E118" s="38" t="n"/>
      <c r="F118" s="39" t="n"/>
      <c r="G118" s="38" t="n"/>
      <c r="H118" s="38" t="n"/>
      <c r="I118" s="38" t="n"/>
      <c r="J118" s="38" t="n"/>
      <c r="K118" s="38" t="n"/>
      <c r="L118" s="38" t="n"/>
      <c r="M118" s="38" t="n"/>
      <c r="N118" s="22">
        <f>IF(COUNTA(A118:M118,O118:P118,R118:X118)=0,"",IF(OR(A118="",B118="",F118=""),"Event ID, AIR-ID or date missing",IF(COUNTIF($A$4:$A$553,A118)&gt;1,"Duplicate Event ID",IF(E118="","Event type missing",IF(OR(NOT(ISNUMBER(F118)),F118&gt;TODAY()),"Date is not a real date or is in the future",IF(AND(C118&lt;&gt;"",COUNTIF('Gate plan'!$A$4:$A$353,C118)=0),"Plan ID not found in Gate plan",IF(AND(C118&lt;&gt;"",COUNTIFS('Gate plan'!$A$4:$A$353,C118,'Gate plan'!$B$4:$B$353,B118)=0),"Plan AIR-ID differs from event",IF(D118="","Gate / forum missing",IF(AND(E118="Precautionary pause (containment)",G118&lt;&gt;"Paused — pending decision"),"Precautionary pause: Outcome must be Paused, pending decision",IF(AND(E118="Precautionary pause (containment)",V118=""),"Precautionary pause: AIG-OPS-03 incident ref missing",IF(AND(E118="Precautionary pause (containment)",NOT(ISNUMBER(W118))),"Precautionary pause: follow-up decision due date missing",IF(AND(G118="Paused — pending decision",E118&lt;&gt;"Precautionary pause (containment)"),"Paused, pending decision is only for a Precautionary pause event",IF(AND(E118="Decision",OR(G118="",H118="",I118="")),"Outcome / delegation / decision ref missing",IF(AND(E118="Decision",NOT(OR(G118="Progress",G118="Progress with condition",G118="Return for evidence",G118="Pause",G118="Stop",G118="Suspend",G118="Decommission",G118="Re-authorise",G118="Resume"))),"Decision event needs a decision outcome",IF(AND(E118="Priority override",OR(H118="",I118="")),"Decision-maker / AIG-DEC-03 ref missing",IF(AND(E118="Priority override",G118&lt;&gt;"",G118&lt;&gt;"No decision"),"Priority override: Outcome blank or No decision",IF(AND(E118&lt;&gt;"Decision",OR(G118="Progress",G118="Progress with condition",G118="Return for evidence",G118="Pause",G118="Stop",G118="Suspend",G118="Decommission",G118="Re-authorise",G118="Resume")),"Outcome implies decision",IF(OR(ISNUMBER(SEARCH(",",O118)),ISNUMBER(SEARCH(";",O118))),"One UC-ID per event row — split this event",IF(AND(E118="Decision",OR(Q118="UC-ID REQUIRED",Q118="Decision scope missing",Q118="REMOVE UC-ID OR CORRECT SCOPE")),"Decision scope missing",IF(AND(G118="Progress with condition",COUNTIF(Conditions!$B$4:$B$553,A118)=0),"Progress with condition needs at least one Conditions row",IF(AND(C118&lt;&gt;"",COUNTIFS('Gate plan'!$A$4:$A$353,C118,'Gate plan'!$C$4:$C$353,D118)=0),"Plan gate differs from event gate",IF(AND(C118&lt;&gt;"",O118&lt;&gt;"",COUNTIFS('Gate plan'!$A$4:$A$353,C118,'Gate plan'!$K$4:$K$353,"&lt;&gt;")&gt;0,COUNTIFS('Gate plan'!$A$4:$A$353,C118,'Gate plan'!$K$4:$K$353,O118)=0),"Plan UC-ID differs from event UC-ID",IF(AND(E118="Assurance opinion",J118=""),"Assurance opinion ref missing",IF(AND(G118="Opinion only",E118&lt;&gt;"Assurance opinion",E118&lt;&gt;"Review only"),"Opinion only is for Assurance opinion or Review only events",IF(AND(G118="No decision",E118&lt;&gt;"Review only",E118&lt;&gt;"Priority override",E118&lt;&gt;"Intake / registration"),"No decision is for Review only, Priority override or Intake / registration events",IF(OR(ISNUMBER(SEARCH(" ",TRIM(O118))),ISNUMBER(SEARCH("/",O118))),"One UC-ID per event row: split this event",IF(AND(E118="Precautionary pause (containment)",ISNUMBER(W118),ISNUMBER(F118),W118&lt;F118),"Follow-up decision due date is before the pause",IF(AND(G118="Resume",IFERROR(LOOKUP(2,1/(($B$3:B117=B118)*($O$3:O117=O118)),$G$3:G117),"")&lt;&gt;"Paused — pending decision"),"Resume is only for the event straight after a Precautionary pause on the same AIR-ID and UC-ID (in an earlier row)",IF(AND(E118="Decision",OR(G118="Progress",G118="Progress with condition",G118="Re-authorise",G118="Resume"),X118&lt;&gt;"Yes"),"Decision-maker has not confirmed the screening was considered (column X)","Check against source")))))))))))))))))))))))))))))</f>
        <v/>
      </c>
      <c r="O118" s="37" t="n"/>
      <c r="P118" s="37" t="n"/>
      <c r="Q118" s="14">
        <f>IF(A118="","",IF(E118&lt;&gt;"Decision","",IF(P118="UC-ID specific",IF(O118="","UC-ID REQUIRED","Check source decision for each UC-ID"),IF(P118="Shared system baseline",IF(O118&lt;&gt;"","REMOVE UC-ID OR CORRECT SCOPE","Baseline only — NOT UC approval"),"Decision scope missing"))))</f>
        <v/>
      </c>
      <c r="R118" s="42" t="n"/>
      <c r="S118" s="38" t="n"/>
      <c r="T118" s="38" t="n"/>
      <c r="U118" s="38" t="n"/>
      <c r="V118" s="38" t="n"/>
      <c r="W118" s="39" t="n"/>
      <c r="X118" s="38" t="n"/>
    </row>
    <row r="119">
      <c r="A119" s="40" t="n"/>
      <c r="B119" s="40" t="n"/>
      <c r="C119" s="40" t="n"/>
      <c r="D119" s="40" t="n"/>
      <c r="E119" s="40" t="n"/>
      <c r="F119" s="41" t="n"/>
      <c r="G119" s="40" t="n"/>
      <c r="H119" s="40" t="n"/>
      <c r="I119" s="40" t="n"/>
      <c r="J119" s="40" t="n"/>
      <c r="K119" s="40" t="n"/>
      <c r="L119" s="40" t="n"/>
      <c r="M119" s="40" t="n"/>
      <c r="N119" s="24">
        <f>IF(COUNTA(A119:M119,O119:P119,R119:X119)=0,"",IF(OR(A119="",B119="",F119=""),"Event ID, AIR-ID or date missing",IF(COUNTIF($A$4:$A$553,A119)&gt;1,"Duplicate Event ID",IF(E119="","Event type missing",IF(OR(NOT(ISNUMBER(F119)),F119&gt;TODAY()),"Date is not a real date or is in the future",IF(AND(C119&lt;&gt;"",COUNTIF('Gate plan'!$A$4:$A$353,C119)=0),"Plan ID not found in Gate plan",IF(AND(C119&lt;&gt;"",COUNTIFS('Gate plan'!$A$4:$A$353,C119,'Gate plan'!$B$4:$B$353,B119)=0),"Plan AIR-ID differs from event",IF(D119="","Gate / forum missing",IF(AND(E119="Precautionary pause (containment)",G119&lt;&gt;"Paused — pending decision"),"Precautionary pause: Outcome must be Paused, pending decision",IF(AND(E119="Precautionary pause (containment)",V119=""),"Precautionary pause: AIG-OPS-03 incident ref missing",IF(AND(E119="Precautionary pause (containment)",NOT(ISNUMBER(W119))),"Precautionary pause: follow-up decision due date missing",IF(AND(G119="Paused — pending decision",E119&lt;&gt;"Precautionary pause (containment)"),"Paused, pending decision is only for a Precautionary pause event",IF(AND(E119="Decision",OR(G119="",H119="",I119="")),"Outcome / delegation / decision ref missing",IF(AND(E119="Decision",NOT(OR(G119="Progress",G119="Progress with condition",G119="Return for evidence",G119="Pause",G119="Stop",G119="Suspend",G119="Decommission",G119="Re-authorise",G119="Resume"))),"Decision event needs a decision outcome",IF(AND(E119="Priority override",OR(H119="",I119="")),"Decision-maker / AIG-DEC-03 ref missing",IF(AND(E119="Priority override",G119&lt;&gt;"",G119&lt;&gt;"No decision"),"Priority override: Outcome blank or No decision",IF(AND(E119&lt;&gt;"Decision",OR(G119="Progress",G119="Progress with condition",G119="Return for evidence",G119="Pause",G119="Stop",G119="Suspend",G119="Decommission",G119="Re-authorise",G119="Resume")),"Outcome implies decision",IF(OR(ISNUMBER(SEARCH(",",O119)),ISNUMBER(SEARCH(";",O119))),"One UC-ID per event row — split this event",IF(AND(E119="Decision",OR(Q119="UC-ID REQUIRED",Q119="Decision scope missing",Q119="REMOVE UC-ID OR CORRECT SCOPE")),"Decision scope missing",IF(AND(G119="Progress with condition",COUNTIF(Conditions!$B$4:$B$553,A119)=0),"Progress with condition needs at least one Conditions row",IF(AND(C119&lt;&gt;"",COUNTIFS('Gate plan'!$A$4:$A$353,C119,'Gate plan'!$C$4:$C$353,D119)=0),"Plan gate differs from event gate",IF(AND(C119&lt;&gt;"",O119&lt;&gt;"",COUNTIFS('Gate plan'!$A$4:$A$353,C119,'Gate plan'!$K$4:$K$353,"&lt;&gt;")&gt;0,COUNTIFS('Gate plan'!$A$4:$A$353,C119,'Gate plan'!$K$4:$K$353,O119)=0),"Plan UC-ID differs from event UC-ID",IF(AND(E119="Assurance opinion",J119=""),"Assurance opinion ref missing",IF(AND(G119="Opinion only",E119&lt;&gt;"Assurance opinion",E119&lt;&gt;"Review only"),"Opinion only is for Assurance opinion or Review only events",IF(AND(G119="No decision",E119&lt;&gt;"Review only",E119&lt;&gt;"Priority override",E119&lt;&gt;"Intake / registration"),"No decision is for Review only, Priority override or Intake / registration events",IF(OR(ISNUMBER(SEARCH(" ",TRIM(O119))),ISNUMBER(SEARCH("/",O119))),"One UC-ID per event row: split this event",IF(AND(E119="Precautionary pause (containment)",ISNUMBER(W119),ISNUMBER(F119),W119&lt;F119),"Follow-up decision due date is before the pause",IF(AND(G119="Resume",IFERROR(LOOKUP(2,1/(($B$3:B118=B119)*($O$3:O118=O119)),$G$3:G118),"")&lt;&gt;"Paused — pending decision"),"Resume is only for the event straight after a Precautionary pause on the same AIR-ID and UC-ID (in an earlier row)",IF(AND(E119="Decision",OR(G119="Progress",G119="Progress with condition",G119="Re-authorise",G119="Resume"),X119&lt;&gt;"Yes"),"Decision-maker has not confirmed the screening was considered (column X)","Check against source")))))))))))))))))))))))))))))</f>
        <v/>
      </c>
      <c r="O119" s="37" t="n"/>
      <c r="P119" s="37" t="n"/>
      <c r="Q119" s="14">
        <f>IF(A119="","",IF(E119&lt;&gt;"Decision","",IF(P119="UC-ID specific",IF(O119="","UC-ID REQUIRED","Check source decision for each UC-ID"),IF(P119="Shared system baseline",IF(O119&lt;&gt;"","REMOVE UC-ID OR CORRECT SCOPE","Baseline only — NOT UC approval"),"Decision scope missing"))))</f>
        <v/>
      </c>
      <c r="R119" s="43" t="n"/>
      <c r="S119" s="40" t="n"/>
      <c r="T119" s="40" t="n"/>
      <c r="U119" s="40" t="n"/>
      <c r="V119" s="40" t="n"/>
      <c r="W119" s="41" t="n"/>
      <c r="X119" s="38" t="n"/>
    </row>
    <row r="120">
      <c r="A120" s="38" t="n"/>
      <c r="B120" s="38" t="n"/>
      <c r="C120" s="38" t="n"/>
      <c r="D120" s="38" t="n"/>
      <c r="E120" s="38" t="n"/>
      <c r="F120" s="39" t="n"/>
      <c r="G120" s="38" t="n"/>
      <c r="H120" s="38" t="n"/>
      <c r="I120" s="38" t="n"/>
      <c r="J120" s="38" t="n"/>
      <c r="K120" s="38" t="n"/>
      <c r="L120" s="38" t="n"/>
      <c r="M120" s="38" t="n"/>
      <c r="N120" s="22">
        <f>IF(COUNTA(A120:M120,O120:P120,R120:X120)=0,"",IF(OR(A120="",B120="",F120=""),"Event ID, AIR-ID or date missing",IF(COUNTIF($A$4:$A$553,A120)&gt;1,"Duplicate Event ID",IF(E120="","Event type missing",IF(OR(NOT(ISNUMBER(F120)),F120&gt;TODAY()),"Date is not a real date or is in the future",IF(AND(C120&lt;&gt;"",COUNTIF('Gate plan'!$A$4:$A$353,C120)=0),"Plan ID not found in Gate plan",IF(AND(C120&lt;&gt;"",COUNTIFS('Gate plan'!$A$4:$A$353,C120,'Gate plan'!$B$4:$B$353,B120)=0),"Plan AIR-ID differs from event",IF(D120="","Gate / forum missing",IF(AND(E120="Precautionary pause (containment)",G120&lt;&gt;"Paused — pending decision"),"Precautionary pause: Outcome must be Paused, pending decision",IF(AND(E120="Precautionary pause (containment)",V120=""),"Precautionary pause: AIG-OPS-03 incident ref missing",IF(AND(E120="Precautionary pause (containment)",NOT(ISNUMBER(W120))),"Precautionary pause: follow-up decision due date missing",IF(AND(G120="Paused — pending decision",E120&lt;&gt;"Precautionary pause (containment)"),"Paused, pending decision is only for a Precautionary pause event",IF(AND(E120="Decision",OR(G120="",H120="",I120="")),"Outcome / delegation / decision ref missing",IF(AND(E120="Decision",NOT(OR(G120="Progress",G120="Progress with condition",G120="Return for evidence",G120="Pause",G120="Stop",G120="Suspend",G120="Decommission",G120="Re-authorise",G120="Resume"))),"Decision event needs a decision outcome",IF(AND(E120="Priority override",OR(H120="",I120="")),"Decision-maker / AIG-DEC-03 ref missing",IF(AND(E120="Priority override",G120&lt;&gt;"",G120&lt;&gt;"No decision"),"Priority override: Outcome blank or No decision",IF(AND(E120&lt;&gt;"Decision",OR(G120="Progress",G120="Progress with condition",G120="Return for evidence",G120="Pause",G120="Stop",G120="Suspend",G120="Decommission",G120="Re-authorise",G120="Resume")),"Outcome implies decision",IF(OR(ISNUMBER(SEARCH(",",O120)),ISNUMBER(SEARCH(";",O120))),"One UC-ID per event row — split this event",IF(AND(E120="Decision",OR(Q120="UC-ID REQUIRED",Q120="Decision scope missing",Q120="REMOVE UC-ID OR CORRECT SCOPE")),"Decision scope missing",IF(AND(G120="Progress with condition",COUNTIF(Conditions!$B$4:$B$553,A120)=0),"Progress with condition needs at least one Conditions row",IF(AND(C120&lt;&gt;"",COUNTIFS('Gate plan'!$A$4:$A$353,C120,'Gate plan'!$C$4:$C$353,D120)=0),"Plan gate differs from event gate",IF(AND(C120&lt;&gt;"",O120&lt;&gt;"",COUNTIFS('Gate plan'!$A$4:$A$353,C120,'Gate plan'!$K$4:$K$353,"&lt;&gt;")&gt;0,COUNTIFS('Gate plan'!$A$4:$A$353,C120,'Gate plan'!$K$4:$K$353,O120)=0),"Plan UC-ID differs from event UC-ID",IF(AND(E120="Assurance opinion",J120=""),"Assurance opinion ref missing",IF(AND(G120="Opinion only",E120&lt;&gt;"Assurance opinion",E120&lt;&gt;"Review only"),"Opinion only is for Assurance opinion or Review only events",IF(AND(G120="No decision",E120&lt;&gt;"Review only",E120&lt;&gt;"Priority override",E120&lt;&gt;"Intake / registration"),"No decision is for Review only, Priority override or Intake / registration events",IF(OR(ISNUMBER(SEARCH(" ",TRIM(O120))),ISNUMBER(SEARCH("/",O120))),"One UC-ID per event row: split this event",IF(AND(E120="Precautionary pause (containment)",ISNUMBER(W120),ISNUMBER(F120),W120&lt;F120),"Follow-up decision due date is before the pause",IF(AND(G120="Resume",IFERROR(LOOKUP(2,1/(($B$3:B119=B120)*($O$3:O119=O120)),$G$3:G119),"")&lt;&gt;"Paused — pending decision"),"Resume is only for the event straight after a Precautionary pause on the same AIR-ID and UC-ID (in an earlier row)",IF(AND(E120="Decision",OR(G120="Progress",G120="Progress with condition",G120="Re-authorise",G120="Resume"),X120&lt;&gt;"Yes"),"Decision-maker has not confirmed the screening was considered (column X)","Check against source")))))))))))))))))))))))))))))</f>
        <v/>
      </c>
      <c r="O120" s="37" t="n"/>
      <c r="P120" s="37" t="n"/>
      <c r="Q120" s="14">
        <f>IF(A120="","",IF(E120&lt;&gt;"Decision","",IF(P120="UC-ID specific",IF(O120="","UC-ID REQUIRED","Check source decision for each UC-ID"),IF(P120="Shared system baseline",IF(O120&lt;&gt;"","REMOVE UC-ID OR CORRECT SCOPE","Baseline only — NOT UC approval"),"Decision scope missing"))))</f>
        <v/>
      </c>
      <c r="R120" s="42" t="n"/>
      <c r="S120" s="38" t="n"/>
      <c r="T120" s="38" t="n"/>
      <c r="U120" s="38" t="n"/>
      <c r="V120" s="38" t="n"/>
      <c r="W120" s="39" t="n"/>
      <c r="X120" s="38" t="n"/>
    </row>
    <row r="121">
      <c r="A121" s="40" t="n"/>
      <c r="B121" s="40" t="n"/>
      <c r="C121" s="40" t="n"/>
      <c r="D121" s="40" t="n"/>
      <c r="E121" s="40" t="n"/>
      <c r="F121" s="41" t="n"/>
      <c r="G121" s="40" t="n"/>
      <c r="H121" s="40" t="n"/>
      <c r="I121" s="40" t="n"/>
      <c r="J121" s="40" t="n"/>
      <c r="K121" s="40" t="n"/>
      <c r="L121" s="40" t="n"/>
      <c r="M121" s="40" t="n"/>
      <c r="N121" s="24">
        <f>IF(COUNTA(A121:M121,O121:P121,R121:X121)=0,"",IF(OR(A121="",B121="",F121=""),"Event ID, AIR-ID or date missing",IF(COUNTIF($A$4:$A$553,A121)&gt;1,"Duplicate Event ID",IF(E121="","Event type missing",IF(OR(NOT(ISNUMBER(F121)),F121&gt;TODAY()),"Date is not a real date or is in the future",IF(AND(C121&lt;&gt;"",COUNTIF('Gate plan'!$A$4:$A$353,C121)=0),"Plan ID not found in Gate plan",IF(AND(C121&lt;&gt;"",COUNTIFS('Gate plan'!$A$4:$A$353,C121,'Gate plan'!$B$4:$B$353,B121)=0),"Plan AIR-ID differs from event",IF(D121="","Gate / forum missing",IF(AND(E121="Precautionary pause (containment)",G121&lt;&gt;"Paused — pending decision"),"Precautionary pause: Outcome must be Paused, pending decision",IF(AND(E121="Precautionary pause (containment)",V121=""),"Precautionary pause: AIG-OPS-03 incident ref missing",IF(AND(E121="Precautionary pause (containment)",NOT(ISNUMBER(W121))),"Precautionary pause: follow-up decision due date missing",IF(AND(G121="Paused — pending decision",E121&lt;&gt;"Precautionary pause (containment)"),"Paused, pending decision is only for a Precautionary pause event",IF(AND(E121="Decision",OR(G121="",H121="",I121="")),"Outcome / delegation / decision ref missing",IF(AND(E121="Decision",NOT(OR(G121="Progress",G121="Progress with condition",G121="Return for evidence",G121="Pause",G121="Stop",G121="Suspend",G121="Decommission",G121="Re-authorise",G121="Resume"))),"Decision event needs a decision outcome",IF(AND(E121="Priority override",OR(H121="",I121="")),"Decision-maker / AIG-DEC-03 ref missing",IF(AND(E121="Priority override",G121&lt;&gt;"",G121&lt;&gt;"No decision"),"Priority override: Outcome blank or No decision",IF(AND(E121&lt;&gt;"Decision",OR(G121="Progress",G121="Progress with condition",G121="Return for evidence",G121="Pause",G121="Stop",G121="Suspend",G121="Decommission",G121="Re-authorise",G121="Resume")),"Outcome implies decision",IF(OR(ISNUMBER(SEARCH(",",O121)),ISNUMBER(SEARCH(";",O121))),"One UC-ID per event row — split this event",IF(AND(E121="Decision",OR(Q121="UC-ID REQUIRED",Q121="Decision scope missing",Q121="REMOVE UC-ID OR CORRECT SCOPE")),"Decision scope missing",IF(AND(G121="Progress with condition",COUNTIF(Conditions!$B$4:$B$553,A121)=0),"Progress with condition needs at least one Conditions row",IF(AND(C121&lt;&gt;"",COUNTIFS('Gate plan'!$A$4:$A$353,C121,'Gate plan'!$C$4:$C$353,D121)=0),"Plan gate differs from event gate",IF(AND(C121&lt;&gt;"",O121&lt;&gt;"",COUNTIFS('Gate plan'!$A$4:$A$353,C121,'Gate plan'!$K$4:$K$353,"&lt;&gt;")&gt;0,COUNTIFS('Gate plan'!$A$4:$A$353,C121,'Gate plan'!$K$4:$K$353,O121)=0),"Plan UC-ID differs from event UC-ID",IF(AND(E121="Assurance opinion",J121=""),"Assurance opinion ref missing",IF(AND(G121="Opinion only",E121&lt;&gt;"Assurance opinion",E121&lt;&gt;"Review only"),"Opinion only is for Assurance opinion or Review only events",IF(AND(G121="No decision",E121&lt;&gt;"Review only",E121&lt;&gt;"Priority override",E121&lt;&gt;"Intake / registration"),"No decision is for Review only, Priority override or Intake / registration events",IF(OR(ISNUMBER(SEARCH(" ",TRIM(O121))),ISNUMBER(SEARCH("/",O121))),"One UC-ID per event row: split this event",IF(AND(E121="Precautionary pause (containment)",ISNUMBER(W121),ISNUMBER(F121),W121&lt;F121),"Follow-up decision due date is before the pause",IF(AND(G121="Resume",IFERROR(LOOKUP(2,1/(($B$3:B120=B121)*($O$3:O120=O121)),$G$3:G120),"")&lt;&gt;"Paused — pending decision"),"Resume is only for the event straight after a Precautionary pause on the same AIR-ID and UC-ID (in an earlier row)",IF(AND(E121="Decision",OR(G121="Progress",G121="Progress with condition",G121="Re-authorise",G121="Resume"),X121&lt;&gt;"Yes"),"Decision-maker has not confirmed the screening was considered (column X)","Check against source")))))))))))))))))))))))))))))</f>
        <v/>
      </c>
      <c r="O121" s="37" t="n"/>
      <c r="P121" s="37" t="n"/>
      <c r="Q121" s="14">
        <f>IF(A121="","",IF(E121&lt;&gt;"Decision","",IF(P121="UC-ID specific",IF(O121="","UC-ID REQUIRED","Check source decision for each UC-ID"),IF(P121="Shared system baseline",IF(O121&lt;&gt;"","REMOVE UC-ID OR CORRECT SCOPE","Baseline only — NOT UC approval"),"Decision scope missing"))))</f>
        <v/>
      </c>
      <c r="R121" s="43" t="n"/>
      <c r="S121" s="40" t="n"/>
      <c r="T121" s="40" t="n"/>
      <c r="U121" s="40" t="n"/>
      <c r="V121" s="40" t="n"/>
      <c r="W121" s="41" t="n"/>
      <c r="X121" s="38" t="n"/>
    </row>
    <row r="122">
      <c r="A122" s="38" t="n"/>
      <c r="B122" s="38" t="n"/>
      <c r="C122" s="38" t="n"/>
      <c r="D122" s="38" t="n"/>
      <c r="E122" s="38" t="n"/>
      <c r="F122" s="39" t="n"/>
      <c r="G122" s="38" t="n"/>
      <c r="H122" s="38" t="n"/>
      <c r="I122" s="38" t="n"/>
      <c r="J122" s="38" t="n"/>
      <c r="K122" s="38" t="n"/>
      <c r="L122" s="38" t="n"/>
      <c r="M122" s="38" t="n"/>
      <c r="N122" s="22">
        <f>IF(COUNTA(A122:M122,O122:P122,R122:X122)=0,"",IF(OR(A122="",B122="",F122=""),"Event ID, AIR-ID or date missing",IF(COUNTIF($A$4:$A$553,A122)&gt;1,"Duplicate Event ID",IF(E122="","Event type missing",IF(OR(NOT(ISNUMBER(F122)),F122&gt;TODAY()),"Date is not a real date or is in the future",IF(AND(C122&lt;&gt;"",COUNTIF('Gate plan'!$A$4:$A$353,C122)=0),"Plan ID not found in Gate plan",IF(AND(C122&lt;&gt;"",COUNTIFS('Gate plan'!$A$4:$A$353,C122,'Gate plan'!$B$4:$B$353,B122)=0),"Plan AIR-ID differs from event",IF(D122="","Gate / forum missing",IF(AND(E122="Precautionary pause (containment)",G122&lt;&gt;"Paused — pending decision"),"Precautionary pause: Outcome must be Paused, pending decision",IF(AND(E122="Precautionary pause (containment)",V122=""),"Precautionary pause: AIG-OPS-03 incident ref missing",IF(AND(E122="Precautionary pause (containment)",NOT(ISNUMBER(W122))),"Precautionary pause: follow-up decision due date missing",IF(AND(G122="Paused — pending decision",E122&lt;&gt;"Precautionary pause (containment)"),"Paused, pending decision is only for a Precautionary pause event",IF(AND(E122="Decision",OR(G122="",H122="",I122="")),"Outcome / delegation / decision ref missing",IF(AND(E122="Decision",NOT(OR(G122="Progress",G122="Progress with condition",G122="Return for evidence",G122="Pause",G122="Stop",G122="Suspend",G122="Decommission",G122="Re-authorise",G122="Resume"))),"Decision event needs a decision outcome",IF(AND(E122="Priority override",OR(H122="",I122="")),"Decision-maker / AIG-DEC-03 ref missing",IF(AND(E122="Priority override",G122&lt;&gt;"",G122&lt;&gt;"No decision"),"Priority override: Outcome blank or No decision",IF(AND(E122&lt;&gt;"Decision",OR(G122="Progress",G122="Progress with condition",G122="Return for evidence",G122="Pause",G122="Stop",G122="Suspend",G122="Decommission",G122="Re-authorise",G122="Resume")),"Outcome implies decision",IF(OR(ISNUMBER(SEARCH(",",O122)),ISNUMBER(SEARCH(";",O122))),"One UC-ID per event row — split this event",IF(AND(E122="Decision",OR(Q122="UC-ID REQUIRED",Q122="Decision scope missing",Q122="REMOVE UC-ID OR CORRECT SCOPE")),"Decision scope missing",IF(AND(G122="Progress with condition",COUNTIF(Conditions!$B$4:$B$553,A122)=0),"Progress with condition needs at least one Conditions row",IF(AND(C122&lt;&gt;"",COUNTIFS('Gate plan'!$A$4:$A$353,C122,'Gate plan'!$C$4:$C$353,D122)=0),"Plan gate differs from event gate",IF(AND(C122&lt;&gt;"",O122&lt;&gt;"",COUNTIFS('Gate plan'!$A$4:$A$353,C122,'Gate plan'!$K$4:$K$353,"&lt;&gt;")&gt;0,COUNTIFS('Gate plan'!$A$4:$A$353,C122,'Gate plan'!$K$4:$K$353,O122)=0),"Plan UC-ID differs from event UC-ID",IF(AND(E122="Assurance opinion",J122=""),"Assurance opinion ref missing",IF(AND(G122="Opinion only",E122&lt;&gt;"Assurance opinion",E122&lt;&gt;"Review only"),"Opinion only is for Assurance opinion or Review only events",IF(AND(G122="No decision",E122&lt;&gt;"Review only",E122&lt;&gt;"Priority override",E122&lt;&gt;"Intake / registration"),"No decision is for Review only, Priority override or Intake / registration events",IF(OR(ISNUMBER(SEARCH(" ",TRIM(O122))),ISNUMBER(SEARCH("/",O122))),"One UC-ID per event row: split this event",IF(AND(E122="Precautionary pause (containment)",ISNUMBER(W122),ISNUMBER(F122),W122&lt;F122),"Follow-up decision due date is before the pause",IF(AND(G122="Resume",IFERROR(LOOKUP(2,1/(($B$3:B121=B122)*($O$3:O121=O122)),$G$3:G121),"")&lt;&gt;"Paused — pending decision"),"Resume is only for the event straight after a Precautionary pause on the same AIR-ID and UC-ID (in an earlier row)",IF(AND(E122="Decision",OR(G122="Progress",G122="Progress with condition",G122="Re-authorise",G122="Resume"),X122&lt;&gt;"Yes"),"Decision-maker has not confirmed the screening was considered (column X)","Check against source")))))))))))))))))))))))))))))</f>
        <v/>
      </c>
      <c r="O122" s="37" t="n"/>
      <c r="P122" s="37" t="n"/>
      <c r="Q122" s="14">
        <f>IF(A122="","",IF(E122&lt;&gt;"Decision","",IF(P122="UC-ID specific",IF(O122="","UC-ID REQUIRED","Check source decision for each UC-ID"),IF(P122="Shared system baseline",IF(O122&lt;&gt;"","REMOVE UC-ID OR CORRECT SCOPE","Baseline only — NOT UC approval"),"Decision scope missing"))))</f>
        <v/>
      </c>
      <c r="R122" s="42" t="n"/>
      <c r="S122" s="38" t="n"/>
      <c r="T122" s="38" t="n"/>
      <c r="U122" s="38" t="n"/>
      <c r="V122" s="38" t="n"/>
      <c r="W122" s="39" t="n"/>
      <c r="X122" s="38" t="n"/>
    </row>
    <row r="123">
      <c r="A123" s="40" t="n"/>
      <c r="B123" s="40" t="n"/>
      <c r="C123" s="40" t="n"/>
      <c r="D123" s="40" t="n"/>
      <c r="E123" s="40" t="n"/>
      <c r="F123" s="41" t="n"/>
      <c r="G123" s="40" t="n"/>
      <c r="H123" s="40" t="n"/>
      <c r="I123" s="40" t="n"/>
      <c r="J123" s="40" t="n"/>
      <c r="K123" s="40" t="n"/>
      <c r="L123" s="40" t="n"/>
      <c r="M123" s="40" t="n"/>
      <c r="N123" s="24">
        <f>IF(COUNTA(A123:M123,O123:P123,R123:X123)=0,"",IF(OR(A123="",B123="",F123=""),"Event ID, AIR-ID or date missing",IF(COUNTIF($A$4:$A$553,A123)&gt;1,"Duplicate Event ID",IF(E123="","Event type missing",IF(OR(NOT(ISNUMBER(F123)),F123&gt;TODAY()),"Date is not a real date or is in the future",IF(AND(C123&lt;&gt;"",COUNTIF('Gate plan'!$A$4:$A$353,C123)=0),"Plan ID not found in Gate plan",IF(AND(C123&lt;&gt;"",COUNTIFS('Gate plan'!$A$4:$A$353,C123,'Gate plan'!$B$4:$B$353,B123)=0),"Plan AIR-ID differs from event",IF(D123="","Gate / forum missing",IF(AND(E123="Precautionary pause (containment)",G123&lt;&gt;"Paused — pending decision"),"Precautionary pause: Outcome must be Paused, pending decision",IF(AND(E123="Precautionary pause (containment)",V123=""),"Precautionary pause: AIG-OPS-03 incident ref missing",IF(AND(E123="Precautionary pause (containment)",NOT(ISNUMBER(W123))),"Precautionary pause: follow-up decision due date missing",IF(AND(G123="Paused — pending decision",E123&lt;&gt;"Precautionary pause (containment)"),"Paused, pending decision is only for a Precautionary pause event",IF(AND(E123="Decision",OR(G123="",H123="",I123="")),"Outcome / delegation / decision ref missing",IF(AND(E123="Decision",NOT(OR(G123="Progress",G123="Progress with condition",G123="Return for evidence",G123="Pause",G123="Stop",G123="Suspend",G123="Decommission",G123="Re-authorise",G123="Resume"))),"Decision event needs a decision outcome",IF(AND(E123="Priority override",OR(H123="",I123="")),"Decision-maker / AIG-DEC-03 ref missing",IF(AND(E123="Priority override",G123&lt;&gt;"",G123&lt;&gt;"No decision"),"Priority override: Outcome blank or No decision",IF(AND(E123&lt;&gt;"Decision",OR(G123="Progress",G123="Progress with condition",G123="Return for evidence",G123="Pause",G123="Stop",G123="Suspend",G123="Decommission",G123="Re-authorise",G123="Resume")),"Outcome implies decision",IF(OR(ISNUMBER(SEARCH(",",O123)),ISNUMBER(SEARCH(";",O123))),"One UC-ID per event row — split this event",IF(AND(E123="Decision",OR(Q123="UC-ID REQUIRED",Q123="Decision scope missing",Q123="REMOVE UC-ID OR CORRECT SCOPE")),"Decision scope missing",IF(AND(G123="Progress with condition",COUNTIF(Conditions!$B$4:$B$553,A123)=0),"Progress with condition needs at least one Conditions row",IF(AND(C123&lt;&gt;"",COUNTIFS('Gate plan'!$A$4:$A$353,C123,'Gate plan'!$C$4:$C$353,D123)=0),"Plan gate differs from event gate",IF(AND(C123&lt;&gt;"",O123&lt;&gt;"",COUNTIFS('Gate plan'!$A$4:$A$353,C123,'Gate plan'!$K$4:$K$353,"&lt;&gt;")&gt;0,COUNTIFS('Gate plan'!$A$4:$A$353,C123,'Gate plan'!$K$4:$K$353,O123)=0),"Plan UC-ID differs from event UC-ID",IF(AND(E123="Assurance opinion",J123=""),"Assurance opinion ref missing",IF(AND(G123="Opinion only",E123&lt;&gt;"Assurance opinion",E123&lt;&gt;"Review only"),"Opinion only is for Assurance opinion or Review only events",IF(AND(G123="No decision",E123&lt;&gt;"Review only",E123&lt;&gt;"Priority override",E123&lt;&gt;"Intake / registration"),"No decision is for Review only, Priority override or Intake / registration events",IF(OR(ISNUMBER(SEARCH(" ",TRIM(O123))),ISNUMBER(SEARCH("/",O123))),"One UC-ID per event row: split this event",IF(AND(E123="Precautionary pause (containment)",ISNUMBER(W123),ISNUMBER(F123),W123&lt;F123),"Follow-up decision due date is before the pause",IF(AND(G123="Resume",IFERROR(LOOKUP(2,1/(($B$3:B122=B123)*($O$3:O122=O123)),$G$3:G122),"")&lt;&gt;"Paused — pending decision"),"Resume is only for the event straight after a Precautionary pause on the same AIR-ID and UC-ID (in an earlier row)",IF(AND(E123="Decision",OR(G123="Progress",G123="Progress with condition",G123="Re-authorise",G123="Resume"),X123&lt;&gt;"Yes"),"Decision-maker has not confirmed the screening was considered (column X)","Check against source")))))))))))))))))))))))))))))</f>
        <v/>
      </c>
      <c r="O123" s="37" t="n"/>
      <c r="P123" s="37" t="n"/>
      <c r="Q123" s="14">
        <f>IF(A123="","",IF(E123&lt;&gt;"Decision","",IF(P123="UC-ID specific",IF(O123="","UC-ID REQUIRED","Check source decision for each UC-ID"),IF(P123="Shared system baseline",IF(O123&lt;&gt;"","REMOVE UC-ID OR CORRECT SCOPE","Baseline only — NOT UC approval"),"Decision scope missing"))))</f>
        <v/>
      </c>
      <c r="R123" s="43" t="n"/>
      <c r="S123" s="40" t="n"/>
      <c r="T123" s="40" t="n"/>
      <c r="U123" s="40" t="n"/>
      <c r="V123" s="40" t="n"/>
      <c r="W123" s="41" t="n"/>
      <c r="X123" s="38" t="n"/>
    </row>
    <row r="124">
      <c r="A124" s="38" t="n"/>
      <c r="B124" s="38" t="n"/>
      <c r="C124" s="38" t="n"/>
      <c r="D124" s="38" t="n"/>
      <c r="E124" s="38" t="n"/>
      <c r="F124" s="39" t="n"/>
      <c r="G124" s="38" t="n"/>
      <c r="H124" s="38" t="n"/>
      <c r="I124" s="38" t="n"/>
      <c r="J124" s="38" t="n"/>
      <c r="K124" s="38" t="n"/>
      <c r="L124" s="38" t="n"/>
      <c r="M124" s="38" t="n"/>
      <c r="N124" s="22">
        <f>IF(COUNTA(A124:M124,O124:P124,R124:X124)=0,"",IF(OR(A124="",B124="",F124=""),"Event ID, AIR-ID or date missing",IF(COUNTIF($A$4:$A$553,A124)&gt;1,"Duplicate Event ID",IF(E124="","Event type missing",IF(OR(NOT(ISNUMBER(F124)),F124&gt;TODAY()),"Date is not a real date or is in the future",IF(AND(C124&lt;&gt;"",COUNTIF('Gate plan'!$A$4:$A$353,C124)=0),"Plan ID not found in Gate plan",IF(AND(C124&lt;&gt;"",COUNTIFS('Gate plan'!$A$4:$A$353,C124,'Gate plan'!$B$4:$B$353,B124)=0),"Plan AIR-ID differs from event",IF(D124="","Gate / forum missing",IF(AND(E124="Precautionary pause (containment)",G124&lt;&gt;"Paused — pending decision"),"Precautionary pause: Outcome must be Paused, pending decision",IF(AND(E124="Precautionary pause (containment)",V124=""),"Precautionary pause: AIG-OPS-03 incident ref missing",IF(AND(E124="Precautionary pause (containment)",NOT(ISNUMBER(W124))),"Precautionary pause: follow-up decision due date missing",IF(AND(G124="Paused — pending decision",E124&lt;&gt;"Precautionary pause (containment)"),"Paused, pending decision is only for a Precautionary pause event",IF(AND(E124="Decision",OR(G124="",H124="",I124="")),"Outcome / delegation / decision ref missing",IF(AND(E124="Decision",NOT(OR(G124="Progress",G124="Progress with condition",G124="Return for evidence",G124="Pause",G124="Stop",G124="Suspend",G124="Decommission",G124="Re-authorise",G124="Resume"))),"Decision event needs a decision outcome",IF(AND(E124="Priority override",OR(H124="",I124="")),"Decision-maker / AIG-DEC-03 ref missing",IF(AND(E124="Priority override",G124&lt;&gt;"",G124&lt;&gt;"No decision"),"Priority override: Outcome blank or No decision",IF(AND(E124&lt;&gt;"Decision",OR(G124="Progress",G124="Progress with condition",G124="Return for evidence",G124="Pause",G124="Stop",G124="Suspend",G124="Decommission",G124="Re-authorise",G124="Resume")),"Outcome implies decision",IF(OR(ISNUMBER(SEARCH(",",O124)),ISNUMBER(SEARCH(";",O124))),"One UC-ID per event row — split this event",IF(AND(E124="Decision",OR(Q124="UC-ID REQUIRED",Q124="Decision scope missing",Q124="REMOVE UC-ID OR CORRECT SCOPE")),"Decision scope missing",IF(AND(G124="Progress with condition",COUNTIF(Conditions!$B$4:$B$553,A124)=0),"Progress with condition needs at least one Conditions row",IF(AND(C124&lt;&gt;"",COUNTIFS('Gate plan'!$A$4:$A$353,C124,'Gate plan'!$C$4:$C$353,D124)=0),"Plan gate differs from event gate",IF(AND(C124&lt;&gt;"",O124&lt;&gt;"",COUNTIFS('Gate plan'!$A$4:$A$353,C124,'Gate plan'!$K$4:$K$353,"&lt;&gt;")&gt;0,COUNTIFS('Gate plan'!$A$4:$A$353,C124,'Gate plan'!$K$4:$K$353,O124)=0),"Plan UC-ID differs from event UC-ID",IF(AND(E124="Assurance opinion",J124=""),"Assurance opinion ref missing",IF(AND(G124="Opinion only",E124&lt;&gt;"Assurance opinion",E124&lt;&gt;"Review only"),"Opinion only is for Assurance opinion or Review only events",IF(AND(G124="No decision",E124&lt;&gt;"Review only",E124&lt;&gt;"Priority override",E124&lt;&gt;"Intake / registration"),"No decision is for Review only, Priority override or Intake / registration events",IF(OR(ISNUMBER(SEARCH(" ",TRIM(O124))),ISNUMBER(SEARCH("/",O124))),"One UC-ID per event row: split this event",IF(AND(E124="Precautionary pause (containment)",ISNUMBER(W124),ISNUMBER(F124),W124&lt;F124),"Follow-up decision due date is before the pause",IF(AND(G124="Resume",IFERROR(LOOKUP(2,1/(($B$3:B123=B124)*($O$3:O123=O124)),$G$3:G123),"")&lt;&gt;"Paused — pending decision"),"Resume is only for the event straight after a Precautionary pause on the same AIR-ID and UC-ID (in an earlier row)",IF(AND(E124="Decision",OR(G124="Progress",G124="Progress with condition",G124="Re-authorise",G124="Resume"),X124&lt;&gt;"Yes"),"Decision-maker has not confirmed the screening was considered (column X)","Check against source")))))))))))))))))))))))))))))</f>
        <v/>
      </c>
      <c r="O124" s="37" t="n"/>
      <c r="P124" s="37" t="n"/>
      <c r="Q124" s="14">
        <f>IF(A124="","",IF(E124&lt;&gt;"Decision","",IF(P124="UC-ID specific",IF(O124="","UC-ID REQUIRED","Check source decision for each UC-ID"),IF(P124="Shared system baseline",IF(O124&lt;&gt;"","REMOVE UC-ID OR CORRECT SCOPE","Baseline only — NOT UC approval"),"Decision scope missing"))))</f>
        <v/>
      </c>
      <c r="R124" s="42" t="n"/>
      <c r="S124" s="38" t="n"/>
      <c r="T124" s="38" t="n"/>
      <c r="U124" s="38" t="n"/>
      <c r="V124" s="38" t="n"/>
      <c r="W124" s="39" t="n"/>
      <c r="X124" s="38" t="n"/>
    </row>
    <row r="125">
      <c r="A125" s="40" t="n"/>
      <c r="B125" s="40" t="n"/>
      <c r="C125" s="40" t="n"/>
      <c r="D125" s="40" t="n"/>
      <c r="E125" s="40" t="n"/>
      <c r="F125" s="41" t="n"/>
      <c r="G125" s="40" t="n"/>
      <c r="H125" s="40" t="n"/>
      <c r="I125" s="40" t="n"/>
      <c r="J125" s="40" t="n"/>
      <c r="K125" s="40" t="n"/>
      <c r="L125" s="40" t="n"/>
      <c r="M125" s="40" t="n"/>
      <c r="N125" s="24">
        <f>IF(COUNTA(A125:M125,O125:P125,R125:X125)=0,"",IF(OR(A125="",B125="",F125=""),"Event ID, AIR-ID or date missing",IF(COUNTIF($A$4:$A$553,A125)&gt;1,"Duplicate Event ID",IF(E125="","Event type missing",IF(OR(NOT(ISNUMBER(F125)),F125&gt;TODAY()),"Date is not a real date or is in the future",IF(AND(C125&lt;&gt;"",COUNTIF('Gate plan'!$A$4:$A$353,C125)=0),"Plan ID not found in Gate plan",IF(AND(C125&lt;&gt;"",COUNTIFS('Gate plan'!$A$4:$A$353,C125,'Gate plan'!$B$4:$B$353,B125)=0),"Plan AIR-ID differs from event",IF(D125="","Gate / forum missing",IF(AND(E125="Precautionary pause (containment)",G125&lt;&gt;"Paused — pending decision"),"Precautionary pause: Outcome must be Paused, pending decision",IF(AND(E125="Precautionary pause (containment)",V125=""),"Precautionary pause: AIG-OPS-03 incident ref missing",IF(AND(E125="Precautionary pause (containment)",NOT(ISNUMBER(W125))),"Precautionary pause: follow-up decision due date missing",IF(AND(G125="Paused — pending decision",E125&lt;&gt;"Precautionary pause (containment)"),"Paused, pending decision is only for a Precautionary pause event",IF(AND(E125="Decision",OR(G125="",H125="",I125="")),"Outcome / delegation / decision ref missing",IF(AND(E125="Decision",NOT(OR(G125="Progress",G125="Progress with condition",G125="Return for evidence",G125="Pause",G125="Stop",G125="Suspend",G125="Decommission",G125="Re-authorise",G125="Resume"))),"Decision event needs a decision outcome",IF(AND(E125="Priority override",OR(H125="",I125="")),"Decision-maker / AIG-DEC-03 ref missing",IF(AND(E125="Priority override",G125&lt;&gt;"",G125&lt;&gt;"No decision"),"Priority override: Outcome blank or No decision",IF(AND(E125&lt;&gt;"Decision",OR(G125="Progress",G125="Progress with condition",G125="Return for evidence",G125="Pause",G125="Stop",G125="Suspend",G125="Decommission",G125="Re-authorise",G125="Resume")),"Outcome implies decision",IF(OR(ISNUMBER(SEARCH(",",O125)),ISNUMBER(SEARCH(";",O125))),"One UC-ID per event row — split this event",IF(AND(E125="Decision",OR(Q125="UC-ID REQUIRED",Q125="Decision scope missing",Q125="REMOVE UC-ID OR CORRECT SCOPE")),"Decision scope missing",IF(AND(G125="Progress with condition",COUNTIF(Conditions!$B$4:$B$553,A125)=0),"Progress with condition needs at least one Conditions row",IF(AND(C125&lt;&gt;"",COUNTIFS('Gate plan'!$A$4:$A$353,C125,'Gate plan'!$C$4:$C$353,D125)=0),"Plan gate differs from event gate",IF(AND(C125&lt;&gt;"",O125&lt;&gt;"",COUNTIFS('Gate plan'!$A$4:$A$353,C125,'Gate plan'!$K$4:$K$353,"&lt;&gt;")&gt;0,COUNTIFS('Gate plan'!$A$4:$A$353,C125,'Gate plan'!$K$4:$K$353,O125)=0),"Plan UC-ID differs from event UC-ID",IF(AND(E125="Assurance opinion",J125=""),"Assurance opinion ref missing",IF(AND(G125="Opinion only",E125&lt;&gt;"Assurance opinion",E125&lt;&gt;"Review only"),"Opinion only is for Assurance opinion or Review only events",IF(AND(G125="No decision",E125&lt;&gt;"Review only",E125&lt;&gt;"Priority override",E125&lt;&gt;"Intake / registration"),"No decision is for Review only, Priority override or Intake / registration events",IF(OR(ISNUMBER(SEARCH(" ",TRIM(O125))),ISNUMBER(SEARCH("/",O125))),"One UC-ID per event row: split this event",IF(AND(E125="Precautionary pause (containment)",ISNUMBER(W125),ISNUMBER(F125),W125&lt;F125),"Follow-up decision due date is before the pause",IF(AND(G125="Resume",IFERROR(LOOKUP(2,1/(($B$3:B124=B125)*($O$3:O124=O125)),$G$3:G124),"")&lt;&gt;"Paused — pending decision"),"Resume is only for the event straight after a Precautionary pause on the same AIR-ID and UC-ID (in an earlier row)",IF(AND(E125="Decision",OR(G125="Progress",G125="Progress with condition",G125="Re-authorise",G125="Resume"),X125&lt;&gt;"Yes"),"Decision-maker has not confirmed the screening was considered (column X)","Check against source")))))))))))))))))))))))))))))</f>
        <v/>
      </c>
      <c r="O125" s="37" t="n"/>
      <c r="P125" s="37" t="n"/>
      <c r="Q125" s="14">
        <f>IF(A125="","",IF(E125&lt;&gt;"Decision","",IF(P125="UC-ID specific",IF(O125="","UC-ID REQUIRED","Check source decision for each UC-ID"),IF(P125="Shared system baseline",IF(O125&lt;&gt;"","REMOVE UC-ID OR CORRECT SCOPE","Baseline only — NOT UC approval"),"Decision scope missing"))))</f>
        <v/>
      </c>
      <c r="R125" s="43" t="n"/>
      <c r="S125" s="40" t="n"/>
      <c r="T125" s="40" t="n"/>
      <c r="U125" s="40" t="n"/>
      <c r="V125" s="40" t="n"/>
      <c r="W125" s="41" t="n"/>
      <c r="X125" s="38" t="n"/>
    </row>
    <row r="126">
      <c r="A126" s="38" t="n"/>
      <c r="B126" s="38" t="n"/>
      <c r="C126" s="38" t="n"/>
      <c r="D126" s="38" t="n"/>
      <c r="E126" s="38" t="n"/>
      <c r="F126" s="39" t="n"/>
      <c r="G126" s="38" t="n"/>
      <c r="H126" s="38" t="n"/>
      <c r="I126" s="38" t="n"/>
      <c r="J126" s="38" t="n"/>
      <c r="K126" s="38" t="n"/>
      <c r="L126" s="38" t="n"/>
      <c r="M126" s="38" t="n"/>
      <c r="N126" s="22">
        <f>IF(COUNTA(A126:M126,O126:P126,R126:X126)=0,"",IF(OR(A126="",B126="",F126=""),"Event ID, AIR-ID or date missing",IF(COUNTIF($A$4:$A$553,A126)&gt;1,"Duplicate Event ID",IF(E126="","Event type missing",IF(OR(NOT(ISNUMBER(F126)),F126&gt;TODAY()),"Date is not a real date or is in the future",IF(AND(C126&lt;&gt;"",COUNTIF('Gate plan'!$A$4:$A$353,C126)=0),"Plan ID not found in Gate plan",IF(AND(C126&lt;&gt;"",COUNTIFS('Gate plan'!$A$4:$A$353,C126,'Gate plan'!$B$4:$B$353,B126)=0),"Plan AIR-ID differs from event",IF(D126="","Gate / forum missing",IF(AND(E126="Precautionary pause (containment)",G126&lt;&gt;"Paused — pending decision"),"Precautionary pause: Outcome must be Paused, pending decision",IF(AND(E126="Precautionary pause (containment)",V126=""),"Precautionary pause: AIG-OPS-03 incident ref missing",IF(AND(E126="Precautionary pause (containment)",NOT(ISNUMBER(W126))),"Precautionary pause: follow-up decision due date missing",IF(AND(G126="Paused — pending decision",E126&lt;&gt;"Precautionary pause (containment)"),"Paused, pending decision is only for a Precautionary pause event",IF(AND(E126="Decision",OR(G126="",H126="",I126="")),"Outcome / delegation / decision ref missing",IF(AND(E126="Decision",NOT(OR(G126="Progress",G126="Progress with condition",G126="Return for evidence",G126="Pause",G126="Stop",G126="Suspend",G126="Decommission",G126="Re-authorise",G126="Resume"))),"Decision event needs a decision outcome",IF(AND(E126="Priority override",OR(H126="",I126="")),"Decision-maker / AIG-DEC-03 ref missing",IF(AND(E126="Priority override",G126&lt;&gt;"",G126&lt;&gt;"No decision"),"Priority override: Outcome blank or No decision",IF(AND(E126&lt;&gt;"Decision",OR(G126="Progress",G126="Progress with condition",G126="Return for evidence",G126="Pause",G126="Stop",G126="Suspend",G126="Decommission",G126="Re-authorise",G126="Resume")),"Outcome implies decision",IF(OR(ISNUMBER(SEARCH(",",O126)),ISNUMBER(SEARCH(";",O126))),"One UC-ID per event row — split this event",IF(AND(E126="Decision",OR(Q126="UC-ID REQUIRED",Q126="Decision scope missing",Q126="REMOVE UC-ID OR CORRECT SCOPE")),"Decision scope missing",IF(AND(G126="Progress with condition",COUNTIF(Conditions!$B$4:$B$553,A126)=0),"Progress with condition needs at least one Conditions row",IF(AND(C126&lt;&gt;"",COUNTIFS('Gate plan'!$A$4:$A$353,C126,'Gate plan'!$C$4:$C$353,D126)=0),"Plan gate differs from event gate",IF(AND(C126&lt;&gt;"",O126&lt;&gt;"",COUNTIFS('Gate plan'!$A$4:$A$353,C126,'Gate plan'!$K$4:$K$353,"&lt;&gt;")&gt;0,COUNTIFS('Gate plan'!$A$4:$A$353,C126,'Gate plan'!$K$4:$K$353,O126)=0),"Plan UC-ID differs from event UC-ID",IF(AND(E126="Assurance opinion",J126=""),"Assurance opinion ref missing",IF(AND(G126="Opinion only",E126&lt;&gt;"Assurance opinion",E126&lt;&gt;"Review only"),"Opinion only is for Assurance opinion or Review only events",IF(AND(G126="No decision",E126&lt;&gt;"Review only",E126&lt;&gt;"Priority override",E126&lt;&gt;"Intake / registration"),"No decision is for Review only, Priority override or Intake / registration events",IF(OR(ISNUMBER(SEARCH(" ",TRIM(O126))),ISNUMBER(SEARCH("/",O126))),"One UC-ID per event row: split this event",IF(AND(E126="Precautionary pause (containment)",ISNUMBER(W126),ISNUMBER(F126),W126&lt;F126),"Follow-up decision due date is before the pause",IF(AND(G126="Resume",IFERROR(LOOKUP(2,1/(($B$3:B125=B126)*($O$3:O125=O126)),$G$3:G125),"")&lt;&gt;"Paused — pending decision"),"Resume is only for the event straight after a Precautionary pause on the same AIR-ID and UC-ID (in an earlier row)",IF(AND(E126="Decision",OR(G126="Progress",G126="Progress with condition",G126="Re-authorise",G126="Resume"),X126&lt;&gt;"Yes"),"Decision-maker has not confirmed the screening was considered (column X)","Check against source")))))))))))))))))))))))))))))</f>
        <v/>
      </c>
      <c r="O126" s="37" t="n"/>
      <c r="P126" s="37" t="n"/>
      <c r="Q126" s="14">
        <f>IF(A126="","",IF(E126&lt;&gt;"Decision","",IF(P126="UC-ID specific",IF(O126="","UC-ID REQUIRED","Check source decision for each UC-ID"),IF(P126="Shared system baseline",IF(O126&lt;&gt;"","REMOVE UC-ID OR CORRECT SCOPE","Baseline only — NOT UC approval"),"Decision scope missing"))))</f>
        <v/>
      </c>
      <c r="R126" s="42" t="n"/>
      <c r="S126" s="38" t="n"/>
      <c r="T126" s="38" t="n"/>
      <c r="U126" s="38" t="n"/>
      <c r="V126" s="38" t="n"/>
      <c r="W126" s="39" t="n"/>
      <c r="X126" s="38" t="n"/>
    </row>
    <row r="127">
      <c r="A127" s="40" t="n"/>
      <c r="B127" s="40" t="n"/>
      <c r="C127" s="40" t="n"/>
      <c r="D127" s="40" t="n"/>
      <c r="E127" s="40" t="n"/>
      <c r="F127" s="41" t="n"/>
      <c r="G127" s="40" t="n"/>
      <c r="H127" s="40" t="n"/>
      <c r="I127" s="40" t="n"/>
      <c r="J127" s="40" t="n"/>
      <c r="K127" s="40" t="n"/>
      <c r="L127" s="40" t="n"/>
      <c r="M127" s="40" t="n"/>
      <c r="N127" s="24">
        <f>IF(COUNTA(A127:M127,O127:P127,R127:X127)=0,"",IF(OR(A127="",B127="",F127=""),"Event ID, AIR-ID or date missing",IF(COUNTIF($A$4:$A$553,A127)&gt;1,"Duplicate Event ID",IF(E127="","Event type missing",IF(OR(NOT(ISNUMBER(F127)),F127&gt;TODAY()),"Date is not a real date or is in the future",IF(AND(C127&lt;&gt;"",COUNTIF('Gate plan'!$A$4:$A$353,C127)=0),"Plan ID not found in Gate plan",IF(AND(C127&lt;&gt;"",COUNTIFS('Gate plan'!$A$4:$A$353,C127,'Gate plan'!$B$4:$B$353,B127)=0),"Plan AIR-ID differs from event",IF(D127="","Gate / forum missing",IF(AND(E127="Precautionary pause (containment)",G127&lt;&gt;"Paused — pending decision"),"Precautionary pause: Outcome must be Paused, pending decision",IF(AND(E127="Precautionary pause (containment)",V127=""),"Precautionary pause: AIG-OPS-03 incident ref missing",IF(AND(E127="Precautionary pause (containment)",NOT(ISNUMBER(W127))),"Precautionary pause: follow-up decision due date missing",IF(AND(G127="Paused — pending decision",E127&lt;&gt;"Precautionary pause (containment)"),"Paused, pending decision is only for a Precautionary pause event",IF(AND(E127="Decision",OR(G127="",H127="",I127="")),"Outcome / delegation / decision ref missing",IF(AND(E127="Decision",NOT(OR(G127="Progress",G127="Progress with condition",G127="Return for evidence",G127="Pause",G127="Stop",G127="Suspend",G127="Decommission",G127="Re-authorise",G127="Resume"))),"Decision event needs a decision outcome",IF(AND(E127="Priority override",OR(H127="",I127="")),"Decision-maker / AIG-DEC-03 ref missing",IF(AND(E127="Priority override",G127&lt;&gt;"",G127&lt;&gt;"No decision"),"Priority override: Outcome blank or No decision",IF(AND(E127&lt;&gt;"Decision",OR(G127="Progress",G127="Progress with condition",G127="Return for evidence",G127="Pause",G127="Stop",G127="Suspend",G127="Decommission",G127="Re-authorise",G127="Resume")),"Outcome implies decision",IF(OR(ISNUMBER(SEARCH(",",O127)),ISNUMBER(SEARCH(";",O127))),"One UC-ID per event row — split this event",IF(AND(E127="Decision",OR(Q127="UC-ID REQUIRED",Q127="Decision scope missing",Q127="REMOVE UC-ID OR CORRECT SCOPE")),"Decision scope missing",IF(AND(G127="Progress with condition",COUNTIF(Conditions!$B$4:$B$553,A127)=0),"Progress with condition needs at least one Conditions row",IF(AND(C127&lt;&gt;"",COUNTIFS('Gate plan'!$A$4:$A$353,C127,'Gate plan'!$C$4:$C$353,D127)=0),"Plan gate differs from event gate",IF(AND(C127&lt;&gt;"",O127&lt;&gt;"",COUNTIFS('Gate plan'!$A$4:$A$353,C127,'Gate plan'!$K$4:$K$353,"&lt;&gt;")&gt;0,COUNTIFS('Gate plan'!$A$4:$A$353,C127,'Gate plan'!$K$4:$K$353,O127)=0),"Plan UC-ID differs from event UC-ID",IF(AND(E127="Assurance opinion",J127=""),"Assurance opinion ref missing",IF(AND(G127="Opinion only",E127&lt;&gt;"Assurance opinion",E127&lt;&gt;"Review only"),"Opinion only is for Assurance opinion or Review only events",IF(AND(G127="No decision",E127&lt;&gt;"Review only",E127&lt;&gt;"Priority override",E127&lt;&gt;"Intake / registration"),"No decision is for Review only, Priority override or Intake / registration events",IF(OR(ISNUMBER(SEARCH(" ",TRIM(O127))),ISNUMBER(SEARCH("/",O127))),"One UC-ID per event row: split this event",IF(AND(E127="Precautionary pause (containment)",ISNUMBER(W127),ISNUMBER(F127),W127&lt;F127),"Follow-up decision due date is before the pause",IF(AND(G127="Resume",IFERROR(LOOKUP(2,1/(($B$3:B126=B127)*($O$3:O126=O127)),$G$3:G126),"")&lt;&gt;"Paused — pending decision"),"Resume is only for the event straight after a Precautionary pause on the same AIR-ID and UC-ID (in an earlier row)",IF(AND(E127="Decision",OR(G127="Progress",G127="Progress with condition",G127="Re-authorise",G127="Resume"),X127&lt;&gt;"Yes"),"Decision-maker has not confirmed the screening was considered (column X)","Check against source")))))))))))))))))))))))))))))</f>
        <v/>
      </c>
      <c r="O127" s="37" t="n"/>
      <c r="P127" s="37" t="n"/>
      <c r="Q127" s="14">
        <f>IF(A127="","",IF(E127&lt;&gt;"Decision","",IF(P127="UC-ID specific",IF(O127="","UC-ID REQUIRED","Check source decision for each UC-ID"),IF(P127="Shared system baseline",IF(O127&lt;&gt;"","REMOVE UC-ID OR CORRECT SCOPE","Baseline only — NOT UC approval"),"Decision scope missing"))))</f>
        <v/>
      </c>
      <c r="R127" s="43" t="n"/>
      <c r="S127" s="40" t="n"/>
      <c r="T127" s="40" t="n"/>
      <c r="U127" s="40" t="n"/>
      <c r="V127" s="40" t="n"/>
      <c r="W127" s="41" t="n"/>
      <c r="X127" s="38" t="n"/>
    </row>
    <row r="128">
      <c r="A128" s="38" t="n"/>
      <c r="B128" s="38" t="n"/>
      <c r="C128" s="38" t="n"/>
      <c r="D128" s="38" t="n"/>
      <c r="E128" s="38" t="n"/>
      <c r="F128" s="39" t="n"/>
      <c r="G128" s="38" t="n"/>
      <c r="H128" s="38" t="n"/>
      <c r="I128" s="38" t="n"/>
      <c r="J128" s="38" t="n"/>
      <c r="K128" s="38" t="n"/>
      <c r="L128" s="38" t="n"/>
      <c r="M128" s="38" t="n"/>
      <c r="N128" s="22">
        <f>IF(COUNTA(A128:M128,O128:P128,R128:X128)=0,"",IF(OR(A128="",B128="",F128=""),"Event ID, AIR-ID or date missing",IF(COUNTIF($A$4:$A$553,A128)&gt;1,"Duplicate Event ID",IF(E128="","Event type missing",IF(OR(NOT(ISNUMBER(F128)),F128&gt;TODAY()),"Date is not a real date or is in the future",IF(AND(C128&lt;&gt;"",COUNTIF('Gate plan'!$A$4:$A$353,C128)=0),"Plan ID not found in Gate plan",IF(AND(C128&lt;&gt;"",COUNTIFS('Gate plan'!$A$4:$A$353,C128,'Gate plan'!$B$4:$B$353,B128)=0),"Plan AIR-ID differs from event",IF(D128="","Gate / forum missing",IF(AND(E128="Precautionary pause (containment)",G128&lt;&gt;"Paused — pending decision"),"Precautionary pause: Outcome must be Paused, pending decision",IF(AND(E128="Precautionary pause (containment)",V128=""),"Precautionary pause: AIG-OPS-03 incident ref missing",IF(AND(E128="Precautionary pause (containment)",NOT(ISNUMBER(W128))),"Precautionary pause: follow-up decision due date missing",IF(AND(G128="Paused — pending decision",E128&lt;&gt;"Precautionary pause (containment)"),"Paused, pending decision is only for a Precautionary pause event",IF(AND(E128="Decision",OR(G128="",H128="",I128="")),"Outcome / delegation / decision ref missing",IF(AND(E128="Decision",NOT(OR(G128="Progress",G128="Progress with condition",G128="Return for evidence",G128="Pause",G128="Stop",G128="Suspend",G128="Decommission",G128="Re-authorise",G128="Resume"))),"Decision event needs a decision outcome",IF(AND(E128="Priority override",OR(H128="",I128="")),"Decision-maker / AIG-DEC-03 ref missing",IF(AND(E128="Priority override",G128&lt;&gt;"",G128&lt;&gt;"No decision"),"Priority override: Outcome blank or No decision",IF(AND(E128&lt;&gt;"Decision",OR(G128="Progress",G128="Progress with condition",G128="Return for evidence",G128="Pause",G128="Stop",G128="Suspend",G128="Decommission",G128="Re-authorise",G128="Resume")),"Outcome implies decision",IF(OR(ISNUMBER(SEARCH(",",O128)),ISNUMBER(SEARCH(";",O128))),"One UC-ID per event row — split this event",IF(AND(E128="Decision",OR(Q128="UC-ID REQUIRED",Q128="Decision scope missing",Q128="REMOVE UC-ID OR CORRECT SCOPE")),"Decision scope missing",IF(AND(G128="Progress with condition",COUNTIF(Conditions!$B$4:$B$553,A128)=0),"Progress with condition needs at least one Conditions row",IF(AND(C128&lt;&gt;"",COUNTIFS('Gate plan'!$A$4:$A$353,C128,'Gate plan'!$C$4:$C$353,D128)=0),"Plan gate differs from event gate",IF(AND(C128&lt;&gt;"",O128&lt;&gt;"",COUNTIFS('Gate plan'!$A$4:$A$353,C128,'Gate plan'!$K$4:$K$353,"&lt;&gt;")&gt;0,COUNTIFS('Gate plan'!$A$4:$A$353,C128,'Gate plan'!$K$4:$K$353,O128)=0),"Plan UC-ID differs from event UC-ID",IF(AND(E128="Assurance opinion",J128=""),"Assurance opinion ref missing",IF(AND(G128="Opinion only",E128&lt;&gt;"Assurance opinion",E128&lt;&gt;"Review only"),"Opinion only is for Assurance opinion or Review only events",IF(AND(G128="No decision",E128&lt;&gt;"Review only",E128&lt;&gt;"Priority override",E128&lt;&gt;"Intake / registration"),"No decision is for Review only, Priority override or Intake / registration events",IF(OR(ISNUMBER(SEARCH(" ",TRIM(O128))),ISNUMBER(SEARCH("/",O128))),"One UC-ID per event row: split this event",IF(AND(E128="Precautionary pause (containment)",ISNUMBER(W128),ISNUMBER(F128),W128&lt;F128),"Follow-up decision due date is before the pause",IF(AND(G128="Resume",IFERROR(LOOKUP(2,1/(($B$3:B127=B128)*($O$3:O127=O128)),$G$3:G127),"")&lt;&gt;"Paused — pending decision"),"Resume is only for the event straight after a Precautionary pause on the same AIR-ID and UC-ID (in an earlier row)",IF(AND(E128="Decision",OR(G128="Progress",G128="Progress with condition",G128="Re-authorise",G128="Resume"),X128&lt;&gt;"Yes"),"Decision-maker has not confirmed the screening was considered (column X)","Check against source")))))))))))))))))))))))))))))</f>
        <v/>
      </c>
      <c r="O128" s="37" t="n"/>
      <c r="P128" s="37" t="n"/>
      <c r="Q128" s="14">
        <f>IF(A128="","",IF(E128&lt;&gt;"Decision","",IF(P128="UC-ID specific",IF(O128="","UC-ID REQUIRED","Check source decision for each UC-ID"),IF(P128="Shared system baseline",IF(O128&lt;&gt;"","REMOVE UC-ID OR CORRECT SCOPE","Baseline only — NOT UC approval"),"Decision scope missing"))))</f>
        <v/>
      </c>
      <c r="R128" s="42" t="n"/>
      <c r="S128" s="38" t="n"/>
      <c r="T128" s="38" t="n"/>
      <c r="U128" s="38" t="n"/>
      <c r="V128" s="38" t="n"/>
      <c r="W128" s="39" t="n"/>
      <c r="X128" s="38" t="n"/>
    </row>
    <row r="129">
      <c r="A129" s="40" t="n"/>
      <c r="B129" s="40" t="n"/>
      <c r="C129" s="40" t="n"/>
      <c r="D129" s="40" t="n"/>
      <c r="E129" s="40" t="n"/>
      <c r="F129" s="41" t="n"/>
      <c r="G129" s="40" t="n"/>
      <c r="H129" s="40" t="n"/>
      <c r="I129" s="40" t="n"/>
      <c r="J129" s="40" t="n"/>
      <c r="K129" s="40" t="n"/>
      <c r="L129" s="40" t="n"/>
      <c r="M129" s="40" t="n"/>
      <c r="N129" s="24">
        <f>IF(COUNTA(A129:M129,O129:P129,R129:X129)=0,"",IF(OR(A129="",B129="",F129=""),"Event ID, AIR-ID or date missing",IF(COUNTIF($A$4:$A$553,A129)&gt;1,"Duplicate Event ID",IF(E129="","Event type missing",IF(OR(NOT(ISNUMBER(F129)),F129&gt;TODAY()),"Date is not a real date or is in the future",IF(AND(C129&lt;&gt;"",COUNTIF('Gate plan'!$A$4:$A$353,C129)=0),"Plan ID not found in Gate plan",IF(AND(C129&lt;&gt;"",COUNTIFS('Gate plan'!$A$4:$A$353,C129,'Gate plan'!$B$4:$B$353,B129)=0),"Plan AIR-ID differs from event",IF(D129="","Gate / forum missing",IF(AND(E129="Precautionary pause (containment)",G129&lt;&gt;"Paused — pending decision"),"Precautionary pause: Outcome must be Paused, pending decision",IF(AND(E129="Precautionary pause (containment)",V129=""),"Precautionary pause: AIG-OPS-03 incident ref missing",IF(AND(E129="Precautionary pause (containment)",NOT(ISNUMBER(W129))),"Precautionary pause: follow-up decision due date missing",IF(AND(G129="Paused — pending decision",E129&lt;&gt;"Precautionary pause (containment)"),"Paused, pending decision is only for a Precautionary pause event",IF(AND(E129="Decision",OR(G129="",H129="",I129="")),"Outcome / delegation / decision ref missing",IF(AND(E129="Decision",NOT(OR(G129="Progress",G129="Progress with condition",G129="Return for evidence",G129="Pause",G129="Stop",G129="Suspend",G129="Decommission",G129="Re-authorise",G129="Resume"))),"Decision event needs a decision outcome",IF(AND(E129="Priority override",OR(H129="",I129="")),"Decision-maker / AIG-DEC-03 ref missing",IF(AND(E129="Priority override",G129&lt;&gt;"",G129&lt;&gt;"No decision"),"Priority override: Outcome blank or No decision",IF(AND(E129&lt;&gt;"Decision",OR(G129="Progress",G129="Progress with condition",G129="Return for evidence",G129="Pause",G129="Stop",G129="Suspend",G129="Decommission",G129="Re-authorise",G129="Resume")),"Outcome implies decision",IF(OR(ISNUMBER(SEARCH(",",O129)),ISNUMBER(SEARCH(";",O129))),"One UC-ID per event row — split this event",IF(AND(E129="Decision",OR(Q129="UC-ID REQUIRED",Q129="Decision scope missing",Q129="REMOVE UC-ID OR CORRECT SCOPE")),"Decision scope missing",IF(AND(G129="Progress with condition",COUNTIF(Conditions!$B$4:$B$553,A129)=0),"Progress with condition needs at least one Conditions row",IF(AND(C129&lt;&gt;"",COUNTIFS('Gate plan'!$A$4:$A$353,C129,'Gate plan'!$C$4:$C$353,D129)=0),"Plan gate differs from event gate",IF(AND(C129&lt;&gt;"",O129&lt;&gt;"",COUNTIFS('Gate plan'!$A$4:$A$353,C129,'Gate plan'!$K$4:$K$353,"&lt;&gt;")&gt;0,COUNTIFS('Gate plan'!$A$4:$A$353,C129,'Gate plan'!$K$4:$K$353,O129)=0),"Plan UC-ID differs from event UC-ID",IF(AND(E129="Assurance opinion",J129=""),"Assurance opinion ref missing",IF(AND(G129="Opinion only",E129&lt;&gt;"Assurance opinion",E129&lt;&gt;"Review only"),"Opinion only is for Assurance opinion or Review only events",IF(AND(G129="No decision",E129&lt;&gt;"Review only",E129&lt;&gt;"Priority override",E129&lt;&gt;"Intake / registration"),"No decision is for Review only, Priority override or Intake / registration events",IF(OR(ISNUMBER(SEARCH(" ",TRIM(O129))),ISNUMBER(SEARCH("/",O129))),"One UC-ID per event row: split this event",IF(AND(E129="Precautionary pause (containment)",ISNUMBER(W129),ISNUMBER(F129),W129&lt;F129),"Follow-up decision due date is before the pause",IF(AND(G129="Resume",IFERROR(LOOKUP(2,1/(($B$3:B128=B129)*($O$3:O128=O129)),$G$3:G128),"")&lt;&gt;"Paused — pending decision"),"Resume is only for the event straight after a Precautionary pause on the same AIR-ID and UC-ID (in an earlier row)",IF(AND(E129="Decision",OR(G129="Progress",G129="Progress with condition",G129="Re-authorise",G129="Resume"),X129&lt;&gt;"Yes"),"Decision-maker has not confirmed the screening was considered (column X)","Check against source")))))))))))))))))))))))))))))</f>
        <v/>
      </c>
      <c r="O129" s="37" t="n"/>
      <c r="P129" s="37" t="n"/>
      <c r="Q129" s="14">
        <f>IF(A129="","",IF(E129&lt;&gt;"Decision","",IF(P129="UC-ID specific",IF(O129="","UC-ID REQUIRED","Check source decision for each UC-ID"),IF(P129="Shared system baseline",IF(O129&lt;&gt;"","REMOVE UC-ID OR CORRECT SCOPE","Baseline only — NOT UC approval"),"Decision scope missing"))))</f>
        <v/>
      </c>
      <c r="R129" s="43" t="n"/>
      <c r="S129" s="40" t="n"/>
      <c r="T129" s="40" t="n"/>
      <c r="U129" s="40" t="n"/>
      <c r="V129" s="40" t="n"/>
      <c r="W129" s="41" t="n"/>
      <c r="X129" s="38" t="n"/>
    </row>
    <row r="130">
      <c r="A130" s="38" t="n"/>
      <c r="B130" s="38" t="n"/>
      <c r="C130" s="38" t="n"/>
      <c r="D130" s="38" t="n"/>
      <c r="E130" s="38" t="n"/>
      <c r="F130" s="39" t="n"/>
      <c r="G130" s="38" t="n"/>
      <c r="H130" s="38" t="n"/>
      <c r="I130" s="38" t="n"/>
      <c r="J130" s="38" t="n"/>
      <c r="K130" s="38" t="n"/>
      <c r="L130" s="38" t="n"/>
      <c r="M130" s="38" t="n"/>
      <c r="N130" s="22">
        <f>IF(COUNTA(A130:M130,O130:P130,R130:X130)=0,"",IF(OR(A130="",B130="",F130=""),"Event ID, AIR-ID or date missing",IF(COUNTIF($A$4:$A$553,A130)&gt;1,"Duplicate Event ID",IF(E130="","Event type missing",IF(OR(NOT(ISNUMBER(F130)),F130&gt;TODAY()),"Date is not a real date or is in the future",IF(AND(C130&lt;&gt;"",COUNTIF('Gate plan'!$A$4:$A$353,C130)=0),"Plan ID not found in Gate plan",IF(AND(C130&lt;&gt;"",COUNTIFS('Gate plan'!$A$4:$A$353,C130,'Gate plan'!$B$4:$B$353,B130)=0),"Plan AIR-ID differs from event",IF(D130="","Gate / forum missing",IF(AND(E130="Precautionary pause (containment)",G130&lt;&gt;"Paused — pending decision"),"Precautionary pause: Outcome must be Paused, pending decision",IF(AND(E130="Precautionary pause (containment)",V130=""),"Precautionary pause: AIG-OPS-03 incident ref missing",IF(AND(E130="Precautionary pause (containment)",NOT(ISNUMBER(W130))),"Precautionary pause: follow-up decision due date missing",IF(AND(G130="Paused — pending decision",E130&lt;&gt;"Precautionary pause (containment)"),"Paused, pending decision is only for a Precautionary pause event",IF(AND(E130="Decision",OR(G130="",H130="",I130="")),"Outcome / delegation / decision ref missing",IF(AND(E130="Decision",NOT(OR(G130="Progress",G130="Progress with condition",G130="Return for evidence",G130="Pause",G130="Stop",G130="Suspend",G130="Decommission",G130="Re-authorise",G130="Resume"))),"Decision event needs a decision outcome",IF(AND(E130="Priority override",OR(H130="",I130="")),"Decision-maker / AIG-DEC-03 ref missing",IF(AND(E130="Priority override",G130&lt;&gt;"",G130&lt;&gt;"No decision"),"Priority override: Outcome blank or No decision",IF(AND(E130&lt;&gt;"Decision",OR(G130="Progress",G130="Progress with condition",G130="Return for evidence",G130="Pause",G130="Stop",G130="Suspend",G130="Decommission",G130="Re-authorise",G130="Resume")),"Outcome implies decision",IF(OR(ISNUMBER(SEARCH(",",O130)),ISNUMBER(SEARCH(";",O130))),"One UC-ID per event row — split this event",IF(AND(E130="Decision",OR(Q130="UC-ID REQUIRED",Q130="Decision scope missing",Q130="REMOVE UC-ID OR CORRECT SCOPE")),"Decision scope missing",IF(AND(G130="Progress with condition",COUNTIF(Conditions!$B$4:$B$553,A130)=0),"Progress with condition needs at least one Conditions row",IF(AND(C130&lt;&gt;"",COUNTIFS('Gate plan'!$A$4:$A$353,C130,'Gate plan'!$C$4:$C$353,D130)=0),"Plan gate differs from event gate",IF(AND(C130&lt;&gt;"",O130&lt;&gt;"",COUNTIFS('Gate plan'!$A$4:$A$353,C130,'Gate plan'!$K$4:$K$353,"&lt;&gt;")&gt;0,COUNTIFS('Gate plan'!$A$4:$A$353,C130,'Gate plan'!$K$4:$K$353,O130)=0),"Plan UC-ID differs from event UC-ID",IF(AND(E130="Assurance opinion",J130=""),"Assurance opinion ref missing",IF(AND(G130="Opinion only",E130&lt;&gt;"Assurance opinion",E130&lt;&gt;"Review only"),"Opinion only is for Assurance opinion or Review only events",IF(AND(G130="No decision",E130&lt;&gt;"Review only",E130&lt;&gt;"Priority override",E130&lt;&gt;"Intake / registration"),"No decision is for Review only, Priority override or Intake / registration events",IF(OR(ISNUMBER(SEARCH(" ",TRIM(O130))),ISNUMBER(SEARCH("/",O130))),"One UC-ID per event row: split this event",IF(AND(E130="Precautionary pause (containment)",ISNUMBER(W130),ISNUMBER(F130),W130&lt;F130),"Follow-up decision due date is before the pause",IF(AND(G130="Resume",IFERROR(LOOKUP(2,1/(($B$3:B129=B130)*($O$3:O129=O130)),$G$3:G129),"")&lt;&gt;"Paused — pending decision"),"Resume is only for the event straight after a Precautionary pause on the same AIR-ID and UC-ID (in an earlier row)",IF(AND(E130="Decision",OR(G130="Progress",G130="Progress with condition",G130="Re-authorise",G130="Resume"),X130&lt;&gt;"Yes"),"Decision-maker has not confirmed the screening was considered (column X)","Check against source")))))))))))))))))))))))))))))</f>
        <v/>
      </c>
      <c r="O130" s="37" t="n"/>
      <c r="P130" s="37" t="n"/>
      <c r="Q130" s="14">
        <f>IF(A130="","",IF(E130&lt;&gt;"Decision","",IF(P130="UC-ID specific",IF(O130="","UC-ID REQUIRED","Check source decision for each UC-ID"),IF(P130="Shared system baseline",IF(O130&lt;&gt;"","REMOVE UC-ID OR CORRECT SCOPE","Baseline only — NOT UC approval"),"Decision scope missing"))))</f>
        <v/>
      </c>
      <c r="R130" s="42" t="n"/>
      <c r="S130" s="38" t="n"/>
      <c r="T130" s="38" t="n"/>
      <c r="U130" s="38" t="n"/>
      <c r="V130" s="38" t="n"/>
      <c r="W130" s="39" t="n"/>
      <c r="X130" s="38" t="n"/>
    </row>
    <row r="131">
      <c r="A131" s="40" t="n"/>
      <c r="B131" s="40" t="n"/>
      <c r="C131" s="40" t="n"/>
      <c r="D131" s="40" t="n"/>
      <c r="E131" s="40" t="n"/>
      <c r="F131" s="41" t="n"/>
      <c r="G131" s="40" t="n"/>
      <c r="H131" s="40" t="n"/>
      <c r="I131" s="40" t="n"/>
      <c r="J131" s="40" t="n"/>
      <c r="K131" s="40" t="n"/>
      <c r="L131" s="40" t="n"/>
      <c r="M131" s="40" t="n"/>
      <c r="N131" s="24">
        <f>IF(COUNTA(A131:M131,O131:P131,R131:X131)=0,"",IF(OR(A131="",B131="",F131=""),"Event ID, AIR-ID or date missing",IF(COUNTIF($A$4:$A$553,A131)&gt;1,"Duplicate Event ID",IF(E131="","Event type missing",IF(OR(NOT(ISNUMBER(F131)),F131&gt;TODAY()),"Date is not a real date or is in the future",IF(AND(C131&lt;&gt;"",COUNTIF('Gate plan'!$A$4:$A$353,C131)=0),"Plan ID not found in Gate plan",IF(AND(C131&lt;&gt;"",COUNTIFS('Gate plan'!$A$4:$A$353,C131,'Gate plan'!$B$4:$B$353,B131)=0),"Plan AIR-ID differs from event",IF(D131="","Gate / forum missing",IF(AND(E131="Precautionary pause (containment)",G131&lt;&gt;"Paused — pending decision"),"Precautionary pause: Outcome must be Paused, pending decision",IF(AND(E131="Precautionary pause (containment)",V131=""),"Precautionary pause: AIG-OPS-03 incident ref missing",IF(AND(E131="Precautionary pause (containment)",NOT(ISNUMBER(W131))),"Precautionary pause: follow-up decision due date missing",IF(AND(G131="Paused — pending decision",E131&lt;&gt;"Precautionary pause (containment)"),"Paused, pending decision is only for a Precautionary pause event",IF(AND(E131="Decision",OR(G131="",H131="",I131="")),"Outcome / delegation / decision ref missing",IF(AND(E131="Decision",NOT(OR(G131="Progress",G131="Progress with condition",G131="Return for evidence",G131="Pause",G131="Stop",G131="Suspend",G131="Decommission",G131="Re-authorise",G131="Resume"))),"Decision event needs a decision outcome",IF(AND(E131="Priority override",OR(H131="",I131="")),"Decision-maker / AIG-DEC-03 ref missing",IF(AND(E131="Priority override",G131&lt;&gt;"",G131&lt;&gt;"No decision"),"Priority override: Outcome blank or No decision",IF(AND(E131&lt;&gt;"Decision",OR(G131="Progress",G131="Progress with condition",G131="Return for evidence",G131="Pause",G131="Stop",G131="Suspend",G131="Decommission",G131="Re-authorise",G131="Resume")),"Outcome implies decision",IF(OR(ISNUMBER(SEARCH(",",O131)),ISNUMBER(SEARCH(";",O131))),"One UC-ID per event row — split this event",IF(AND(E131="Decision",OR(Q131="UC-ID REQUIRED",Q131="Decision scope missing",Q131="REMOVE UC-ID OR CORRECT SCOPE")),"Decision scope missing",IF(AND(G131="Progress with condition",COUNTIF(Conditions!$B$4:$B$553,A131)=0),"Progress with condition needs at least one Conditions row",IF(AND(C131&lt;&gt;"",COUNTIFS('Gate plan'!$A$4:$A$353,C131,'Gate plan'!$C$4:$C$353,D131)=0),"Plan gate differs from event gate",IF(AND(C131&lt;&gt;"",O131&lt;&gt;"",COUNTIFS('Gate plan'!$A$4:$A$353,C131,'Gate plan'!$K$4:$K$353,"&lt;&gt;")&gt;0,COUNTIFS('Gate plan'!$A$4:$A$353,C131,'Gate plan'!$K$4:$K$353,O131)=0),"Plan UC-ID differs from event UC-ID",IF(AND(E131="Assurance opinion",J131=""),"Assurance opinion ref missing",IF(AND(G131="Opinion only",E131&lt;&gt;"Assurance opinion",E131&lt;&gt;"Review only"),"Opinion only is for Assurance opinion or Review only events",IF(AND(G131="No decision",E131&lt;&gt;"Review only",E131&lt;&gt;"Priority override",E131&lt;&gt;"Intake / registration"),"No decision is for Review only, Priority override or Intake / registration events",IF(OR(ISNUMBER(SEARCH(" ",TRIM(O131))),ISNUMBER(SEARCH("/",O131))),"One UC-ID per event row: split this event",IF(AND(E131="Precautionary pause (containment)",ISNUMBER(W131),ISNUMBER(F131),W131&lt;F131),"Follow-up decision due date is before the pause",IF(AND(G131="Resume",IFERROR(LOOKUP(2,1/(($B$3:B130=B131)*($O$3:O130=O131)),$G$3:G130),"")&lt;&gt;"Paused — pending decision"),"Resume is only for the event straight after a Precautionary pause on the same AIR-ID and UC-ID (in an earlier row)",IF(AND(E131="Decision",OR(G131="Progress",G131="Progress with condition",G131="Re-authorise",G131="Resume"),X131&lt;&gt;"Yes"),"Decision-maker has not confirmed the screening was considered (column X)","Check against source")))))))))))))))))))))))))))))</f>
        <v/>
      </c>
      <c r="O131" s="37" t="n"/>
      <c r="P131" s="37" t="n"/>
      <c r="Q131" s="14">
        <f>IF(A131="","",IF(E131&lt;&gt;"Decision","",IF(P131="UC-ID specific",IF(O131="","UC-ID REQUIRED","Check source decision for each UC-ID"),IF(P131="Shared system baseline",IF(O131&lt;&gt;"","REMOVE UC-ID OR CORRECT SCOPE","Baseline only — NOT UC approval"),"Decision scope missing"))))</f>
        <v/>
      </c>
      <c r="R131" s="43" t="n"/>
      <c r="S131" s="40" t="n"/>
      <c r="T131" s="40" t="n"/>
      <c r="U131" s="40" t="n"/>
      <c r="V131" s="40" t="n"/>
      <c r="W131" s="41" t="n"/>
      <c r="X131" s="38" t="n"/>
    </row>
    <row r="132">
      <c r="A132" s="38" t="n"/>
      <c r="B132" s="38" t="n"/>
      <c r="C132" s="38" t="n"/>
      <c r="D132" s="38" t="n"/>
      <c r="E132" s="38" t="n"/>
      <c r="F132" s="39" t="n"/>
      <c r="G132" s="38" t="n"/>
      <c r="H132" s="38" t="n"/>
      <c r="I132" s="38" t="n"/>
      <c r="J132" s="38" t="n"/>
      <c r="K132" s="38" t="n"/>
      <c r="L132" s="38" t="n"/>
      <c r="M132" s="38" t="n"/>
      <c r="N132" s="22">
        <f>IF(COUNTA(A132:M132,O132:P132,R132:X132)=0,"",IF(OR(A132="",B132="",F132=""),"Event ID, AIR-ID or date missing",IF(COUNTIF($A$4:$A$553,A132)&gt;1,"Duplicate Event ID",IF(E132="","Event type missing",IF(OR(NOT(ISNUMBER(F132)),F132&gt;TODAY()),"Date is not a real date or is in the future",IF(AND(C132&lt;&gt;"",COUNTIF('Gate plan'!$A$4:$A$353,C132)=0),"Plan ID not found in Gate plan",IF(AND(C132&lt;&gt;"",COUNTIFS('Gate plan'!$A$4:$A$353,C132,'Gate plan'!$B$4:$B$353,B132)=0),"Plan AIR-ID differs from event",IF(D132="","Gate / forum missing",IF(AND(E132="Precautionary pause (containment)",G132&lt;&gt;"Paused — pending decision"),"Precautionary pause: Outcome must be Paused, pending decision",IF(AND(E132="Precautionary pause (containment)",V132=""),"Precautionary pause: AIG-OPS-03 incident ref missing",IF(AND(E132="Precautionary pause (containment)",NOT(ISNUMBER(W132))),"Precautionary pause: follow-up decision due date missing",IF(AND(G132="Paused — pending decision",E132&lt;&gt;"Precautionary pause (containment)"),"Paused, pending decision is only for a Precautionary pause event",IF(AND(E132="Decision",OR(G132="",H132="",I132="")),"Outcome / delegation / decision ref missing",IF(AND(E132="Decision",NOT(OR(G132="Progress",G132="Progress with condition",G132="Return for evidence",G132="Pause",G132="Stop",G132="Suspend",G132="Decommission",G132="Re-authorise",G132="Resume"))),"Decision event needs a decision outcome",IF(AND(E132="Priority override",OR(H132="",I132="")),"Decision-maker / AIG-DEC-03 ref missing",IF(AND(E132="Priority override",G132&lt;&gt;"",G132&lt;&gt;"No decision"),"Priority override: Outcome blank or No decision",IF(AND(E132&lt;&gt;"Decision",OR(G132="Progress",G132="Progress with condition",G132="Return for evidence",G132="Pause",G132="Stop",G132="Suspend",G132="Decommission",G132="Re-authorise",G132="Resume")),"Outcome implies decision",IF(OR(ISNUMBER(SEARCH(",",O132)),ISNUMBER(SEARCH(";",O132))),"One UC-ID per event row — split this event",IF(AND(E132="Decision",OR(Q132="UC-ID REQUIRED",Q132="Decision scope missing",Q132="REMOVE UC-ID OR CORRECT SCOPE")),"Decision scope missing",IF(AND(G132="Progress with condition",COUNTIF(Conditions!$B$4:$B$553,A132)=0),"Progress with condition needs at least one Conditions row",IF(AND(C132&lt;&gt;"",COUNTIFS('Gate plan'!$A$4:$A$353,C132,'Gate plan'!$C$4:$C$353,D132)=0),"Plan gate differs from event gate",IF(AND(C132&lt;&gt;"",O132&lt;&gt;"",COUNTIFS('Gate plan'!$A$4:$A$353,C132,'Gate plan'!$K$4:$K$353,"&lt;&gt;")&gt;0,COUNTIFS('Gate plan'!$A$4:$A$353,C132,'Gate plan'!$K$4:$K$353,O132)=0),"Plan UC-ID differs from event UC-ID",IF(AND(E132="Assurance opinion",J132=""),"Assurance opinion ref missing",IF(AND(G132="Opinion only",E132&lt;&gt;"Assurance opinion",E132&lt;&gt;"Review only"),"Opinion only is for Assurance opinion or Review only events",IF(AND(G132="No decision",E132&lt;&gt;"Review only",E132&lt;&gt;"Priority override",E132&lt;&gt;"Intake / registration"),"No decision is for Review only, Priority override or Intake / registration events",IF(OR(ISNUMBER(SEARCH(" ",TRIM(O132))),ISNUMBER(SEARCH("/",O132))),"One UC-ID per event row: split this event",IF(AND(E132="Precautionary pause (containment)",ISNUMBER(W132),ISNUMBER(F132),W132&lt;F132),"Follow-up decision due date is before the pause",IF(AND(G132="Resume",IFERROR(LOOKUP(2,1/(($B$3:B131=B132)*($O$3:O131=O132)),$G$3:G131),"")&lt;&gt;"Paused — pending decision"),"Resume is only for the event straight after a Precautionary pause on the same AIR-ID and UC-ID (in an earlier row)",IF(AND(E132="Decision",OR(G132="Progress",G132="Progress with condition",G132="Re-authorise",G132="Resume"),X132&lt;&gt;"Yes"),"Decision-maker has not confirmed the screening was considered (column X)","Check against source")))))))))))))))))))))))))))))</f>
        <v/>
      </c>
      <c r="O132" s="37" t="n"/>
      <c r="P132" s="37" t="n"/>
      <c r="Q132" s="14">
        <f>IF(A132="","",IF(E132&lt;&gt;"Decision","",IF(P132="UC-ID specific",IF(O132="","UC-ID REQUIRED","Check source decision for each UC-ID"),IF(P132="Shared system baseline",IF(O132&lt;&gt;"","REMOVE UC-ID OR CORRECT SCOPE","Baseline only — NOT UC approval"),"Decision scope missing"))))</f>
        <v/>
      </c>
      <c r="R132" s="42" t="n"/>
      <c r="S132" s="38" t="n"/>
      <c r="T132" s="38" t="n"/>
      <c r="U132" s="38" t="n"/>
      <c r="V132" s="38" t="n"/>
      <c r="W132" s="39" t="n"/>
      <c r="X132" s="38" t="n"/>
    </row>
    <row r="133">
      <c r="A133" s="40" t="n"/>
      <c r="B133" s="40" t="n"/>
      <c r="C133" s="40" t="n"/>
      <c r="D133" s="40" t="n"/>
      <c r="E133" s="40" t="n"/>
      <c r="F133" s="41" t="n"/>
      <c r="G133" s="40" t="n"/>
      <c r="H133" s="40" t="n"/>
      <c r="I133" s="40" t="n"/>
      <c r="J133" s="40" t="n"/>
      <c r="K133" s="40" t="n"/>
      <c r="L133" s="40" t="n"/>
      <c r="M133" s="40" t="n"/>
      <c r="N133" s="24">
        <f>IF(COUNTA(A133:M133,O133:P133,R133:X133)=0,"",IF(OR(A133="",B133="",F133=""),"Event ID, AIR-ID or date missing",IF(COUNTIF($A$4:$A$553,A133)&gt;1,"Duplicate Event ID",IF(E133="","Event type missing",IF(OR(NOT(ISNUMBER(F133)),F133&gt;TODAY()),"Date is not a real date or is in the future",IF(AND(C133&lt;&gt;"",COUNTIF('Gate plan'!$A$4:$A$353,C133)=0),"Plan ID not found in Gate plan",IF(AND(C133&lt;&gt;"",COUNTIFS('Gate plan'!$A$4:$A$353,C133,'Gate plan'!$B$4:$B$353,B133)=0),"Plan AIR-ID differs from event",IF(D133="","Gate / forum missing",IF(AND(E133="Precautionary pause (containment)",G133&lt;&gt;"Paused — pending decision"),"Precautionary pause: Outcome must be Paused, pending decision",IF(AND(E133="Precautionary pause (containment)",V133=""),"Precautionary pause: AIG-OPS-03 incident ref missing",IF(AND(E133="Precautionary pause (containment)",NOT(ISNUMBER(W133))),"Precautionary pause: follow-up decision due date missing",IF(AND(G133="Paused — pending decision",E133&lt;&gt;"Precautionary pause (containment)"),"Paused, pending decision is only for a Precautionary pause event",IF(AND(E133="Decision",OR(G133="",H133="",I133="")),"Outcome / delegation / decision ref missing",IF(AND(E133="Decision",NOT(OR(G133="Progress",G133="Progress with condition",G133="Return for evidence",G133="Pause",G133="Stop",G133="Suspend",G133="Decommission",G133="Re-authorise",G133="Resume"))),"Decision event needs a decision outcome",IF(AND(E133="Priority override",OR(H133="",I133="")),"Decision-maker / AIG-DEC-03 ref missing",IF(AND(E133="Priority override",G133&lt;&gt;"",G133&lt;&gt;"No decision"),"Priority override: Outcome blank or No decision",IF(AND(E133&lt;&gt;"Decision",OR(G133="Progress",G133="Progress with condition",G133="Return for evidence",G133="Pause",G133="Stop",G133="Suspend",G133="Decommission",G133="Re-authorise",G133="Resume")),"Outcome implies decision",IF(OR(ISNUMBER(SEARCH(",",O133)),ISNUMBER(SEARCH(";",O133))),"One UC-ID per event row — split this event",IF(AND(E133="Decision",OR(Q133="UC-ID REQUIRED",Q133="Decision scope missing",Q133="REMOVE UC-ID OR CORRECT SCOPE")),"Decision scope missing",IF(AND(G133="Progress with condition",COUNTIF(Conditions!$B$4:$B$553,A133)=0),"Progress with condition needs at least one Conditions row",IF(AND(C133&lt;&gt;"",COUNTIFS('Gate plan'!$A$4:$A$353,C133,'Gate plan'!$C$4:$C$353,D133)=0),"Plan gate differs from event gate",IF(AND(C133&lt;&gt;"",O133&lt;&gt;"",COUNTIFS('Gate plan'!$A$4:$A$353,C133,'Gate plan'!$K$4:$K$353,"&lt;&gt;")&gt;0,COUNTIFS('Gate plan'!$A$4:$A$353,C133,'Gate plan'!$K$4:$K$353,O133)=0),"Plan UC-ID differs from event UC-ID",IF(AND(E133="Assurance opinion",J133=""),"Assurance opinion ref missing",IF(AND(G133="Opinion only",E133&lt;&gt;"Assurance opinion",E133&lt;&gt;"Review only"),"Opinion only is for Assurance opinion or Review only events",IF(AND(G133="No decision",E133&lt;&gt;"Review only",E133&lt;&gt;"Priority override",E133&lt;&gt;"Intake / registration"),"No decision is for Review only, Priority override or Intake / registration events",IF(OR(ISNUMBER(SEARCH(" ",TRIM(O133))),ISNUMBER(SEARCH("/",O133))),"One UC-ID per event row: split this event",IF(AND(E133="Precautionary pause (containment)",ISNUMBER(W133),ISNUMBER(F133),W133&lt;F133),"Follow-up decision due date is before the pause",IF(AND(G133="Resume",IFERROR(LOOKUP(2,1/(($B$3:B132=B133)*($O$3:O132=O133)),$G$3:G132),"")&lt;&gt;"Paused — pending decision"),"Resume is only for the event straight after a Precautionary pause on the same AIR-ID and UC-ID (in an earlier row)",IF(AND(E133="Decision",OR(G133="Progress",G133="Progress with condition",G133="Re-authorise",G133="Resume"),X133&lt;&gt;"Yes"),"Decision-maker has not confirmed the screening was considered (column X)","Check against source")))))))))))))))))))))))))))))</f>
        <v/>
      </c>
      <c r="O133" s="37" t="n"/>
      <c r="P133" s="37" t="n"/>
      <c r="Q133" s="14">
        <f>IF(A133="","",IF(E133&lt;&gt;"Decision","",IF(P133="UC-ID specific",IF(O133="","UC-ID REQUIRED","Check source decision for each UC-ID"),IF(P133="Shared system baseline",IF(O133&lt;&gt;"","REMOVE UC-ID OR CORRECT SCOPE","Baseline only — NOT UC approval"),"Decision scope missing"))))</f>
        <v/>
      </c>
      <c r="R133" s="43" t="n"/>
      <c r="S133" s="40" t="n"/>
      <c r="T133" s="40" t="n"/>
      <c r="U133" s="40" t="n"/>
      <c r="V133" s="40" t="n"/>
      <c r="W133" s="41" t="n"/>
      <c r="X133" s="38" t="n"/>
    </row>
    <row r="134">
      <c r="A134" s="38" t="n"/>
      <c r="B134" s="38" t="n"/>
      <c r="C134" s="38" t="n"/>
      <c r="D134" s="38" t="n"/>
      <c r="E134" s="38" t="n"/>
      <c r="F134" s="39" t="n"/>
      <c r="G134" s="38" t="n"/>
      <c r="H134" s="38" t="n"/>
      <c r="I134" s="38" t="n"/>
      <c r="J134" s="38" t="n"/>
      <c r="K134" s="38" t="n"/>
      <c r="L134" s="38" t="n"/>
      <c r="M134" s="38" t="n"/>
      <c r="N134" s="22">
        <f>IF(COUNTA(A134:M134,O134:P134,R134:X134)=0,"",IF(OR(A134="",B134="",F134=""),"Event ID, AIR-ID or date missing",IF(COUNTIF($A$4:$A$553,A134)&gt;1,"Duplicate Event ID",IF(E134="","Event type missing",IF(OR(NOT(ISNUMBER(F134)),F134&gt;TODAY()),"Date is not a real date or is in the future",IF(AND(C134&lt;&gt;"",COUNTIF('Gate plan'!$A$4:$A$353,C134)=0),"Plan ID not found in Gate plan",IF(AND(C134&lt;&gt;"",COUNTIFS('Gate plan'!$A$4:$A$353,C134,'Gate plan'!$B$4:$B$353,B134)=0),"Plan AIR-ID differs from event",IF(D134="","Gate / forum missing",IF(AND(E134="Precautionary pause (containment)",G134&lt;&gt;"Paused — pending decision"),"Precautionary pause: Outcome must be Paused, pending decision",IF(AND(E134="Precautionary pause (containment)",V134=""),"Precautionary pause: AIG-OPS-03 incident ref missing",IF(AND(E134="Precautionary pause (containment)",NOT(ISNUMBER(W134))),"Precautionary pause: follow-up decision due date missing",IF(AND(G134="Paused — pending decision",E134&lt;&gt;"Precautionary pause (containment)"),"Paused, pending decision is only for a Precautionary pause event",IF(AND(E134="Decision",OR(G134="",H134="",I134="")),"Outcome / delegation / decision ref missing",IF(AND(E134="Decision",NOT(OR(G134="Progress",G134="Progress with condition",G134="Return for evidence",G134="Pause",G134="Stop",G134="Suspend",G134="Decommission",G134="Re-authorise",G134="Resume"))),"Decision event needs a decision outcome",IF(AND(E134="Priority override",OR(H134="",I134="")),"Decision-maker / AIG-DEC-03 ref missing",IF(AND(E134="Priority override",G134&lt;&gt;"",G134&lt;&gt;"No decision"),"Priority override: Outcome blank or No decision",IF(AND(E134&lt;&gt;"Decision",OR(G134="Progress",G134="Progress with condition",G134="Return for evidence",G134="Pause",G134="Stop",G134="Suspend",G134="Decommission",G134="Re-authorise",G134="Resume")),"Outcome implies decision",IF(OR(ISNUMBER(SEARCH(",",O134)),ISNUMBER(SEARCH(";",O134))),"One UC-ID per event row — split this event",IF(AND(E134="Decision",OR(Q134="UC-ID REQUIRED",Q134="Decision scope missing",Q134="REMOVE UC-ID OR CORRECT SCOPE")),"Decision scope missing",IF(AND(G134="Progress with condition",COUNTIF(Conditions!$B$4:$B$553,A134)=0),"Progress with condition needs at least one Conditions row",IF(AND(C134&lt;&gt;"",COUNTIFS('Gate plan'!$A$4:$A$353,C134,'Gate plan'!$C$4:$C$353,D134)=0),"Plan gate differs from event gate",IF(AND(C134&lt;&gt;"",O134&lt;&gt;"",COUNTIFS('Gate plan'!$A$4:$A$353,C134,'Gate plan'!$K$4:$K$353,"&lt;&gt;")&gt;0,COUNTIFS('Gate plan'!$A$4:$A$353,C134,'Gate plan'!$K$4:$K$353,O134)=0),"Plan UC-ID differs from event UC-ID",IF(AND(E134="Assurance opinion",J134=""),"Assurance opinion ref missing",IF(AND(G134="Opinion only",E134&lt;&gt;"Assurance opinion",E134&lt;&gt;"Review only"),"Opinion only is for Assurance opinion or Review only events",IF(AND(G134="No decision",E134&lt;&gt;"Review only",E134&lt;&gt;"Priority override",E134&lt;&gt;"Intake / registration"),"No decision is for Review only, Priority override or Intake / registration events",IF(OR(ISNUMBER(SEARCH(" ",TRIM(O134))),ISNUMBER(SEARCH("/",O134))),"One UC-ID per event row: split this event",IF(AND(E134="Precautionary pause (containment)",ISNUMBER(W134),ISNUMBER(F134),W134&lt;F134),"Follow-up decision due date is before the pause",IF(AND(G134="Resume",IFERROR(LOOKUP(2,1/(($B$3:B133=B134)*($O$3:O133=O134)),$G$3:G133),"")&lt;&gt;"Paused — pending decision"),"Resume is only for the event straight after a Precautionary pause on the same AIR-ID and UC-ID (in an earlier row)",IF(AND(E134="Decision",OR(G134="Progress",G134="Progress with condition",G134="Re-authorise",G134="Resume"),X134&lt;&gt;"Yes"),"Decision-maker has not confirmed the screening was considered (column X)","Check against source")))))))))))))))))))))))))))))</f>
        <v/>
      </c>
      <c r="O134" s="37" t="n"/>
      <c r="P134" s="37" t="n"/>
      <c r="Q134" s="14">
        <f>IF(A134="","",IF(E134&lt;&gt;"Decision","",IF(P134="UC-ID specific",IF(O134="","UC-ID REQUIRED","Check source decision for each UC-ID"),IF(P134="Shared system baseline",IF(O134&lt;&gt;"","REMOVE UC-ID OR CORRECT SCOPE","Baseline only — NOT UC approval"),"Decision scope missing"))))</f>
        <v/>
      </c>
      <c r="R134" s="42" t="n"/>
      <c r="S134" s="38" t="n"/>
      <c r="T134" s="38" t="n"/>
      <c r="U134" s="38" t="n"/>
      <c r="V134" s="38" t="n"/>
      <c r="W134" s="39" t="n"/>
      <c r="X134" s="38" t="n"/>
    </row>
    <row r="135">
      <c r="A135" s="40" t="n"/>
      <c r="B135" s="40" t="n"/>
      <c r="C135" s="40" t="n"/>
      <c r="D135" s="40" t="n"/>
      <c r="E135" s="40" t="n"/>
      <c r="F135" s="41" t="n"/>
      <c r="G135" s="40" t="n"/>
      <c r="H135" s="40" t="n"/>
      <c r="I135" s="40" t="n"/>
      <c r="J135" s="40" t="n"/>
      <c r="K135" s="40" t="n"/>
      <c r="L135" s="40" t="n"/>
      <c r="M135" s="40" t="n"/>
      <c r="N135" s="24">
        <f>IF(COUNTA(A135:M135,O135:P135,R135:X135)=0,"",IF(OR(A135="",B135="",F135=""),"Event ID, AIR-ID or date missing",IF(COUNTIF($A$4:$A$553,A135)&gt;1,"Duplicate Event ID",IF(E135="","Event type missing",IF(OR(NOT(ISNUMBER(F135)),F135&gt;TODAY()),"Date is not a real date or is in the future",IF(AND(C135&lt;&gt;"",COUNTIF('Gate plan'!$A$4:$A$353,C135)=0),"Plan ID not found in Gate plan",IF(AND(C135&lt;&gt;"",COUNTIFS('Gate plan'!$A$4:$A$353,C135,'Gate plan'!$B$4:$B$353,B135)=0),"Plan AIR-ID differs from event",IF(D135="","Gate / forum missing",IF(AND(E135="Precautionary pause (containment)",G135&lt;&gt;"Paused — pending decision"),"Precautionary pause: Outcome must be Paused, pending decision",IF(AND(E135="Precautionary pause (containment)",V135=""),"Precautionary pause: AIG-OPS-03 incident ref missing",IF(AND(E135="Precautionary pause (containment)",NOT(ISNUMBER(W135))),"Precautionary pause: follow-up decision due date missing",IF(AND(G135="Paused — pending decision",E135&lt;&gt;"Precautionary pause (containment)"),"Paused, pending decision is only for a Precautionary pause event",IF(AND(E135="Decision",OR(G135="",H135="",I135="")),"Outcome / delegation / decision ref missing",IF(AND(E135="Decision",NOT(OR(G135="Progress",G135="Progress with condition",G135="Return for evidence",G135="Pause",G135="Stop",G135="Suspend",G135="Decommission",G135="Re-authorise",G135="Resume"))),"Decision event needs a decision outcome",IF(AND(E135="Priority override",OR(H135="",I135="")),"Decision-maker / AIG-DEC-03 ref missing",IF(AND(E135="Priority override",G135&lt;&gt;"",G135&lt;&gt;"No decision"),"Priority override: Outcome blank or No decision",IF(AND(E135&lt;&gt;"Decision",OR(G135="Progress",G135="Progress with condition",G135="Return for evidence",G135="Pause",G135="Stop",G135="Suspend",G135="Decommission",G135="Re-authorise",G135="Resume")),"Outcome implies decision",IF(OR(ISNUMBER(SEARCH(",",O135)),ISNUMBER(SEARCH(";",O135))),"One UC-ID per event row — split this event",IF(AND(E135="Decision",OR(Q135="UC-ID REQUIRED",Q135="Decision scope missing",Q135="REMOVE UC-ID OR CORRECT SCOPE")),"Decision scope missing",IF(AND(G135="Progress with condition",COUNTIF(Conditions!$B$4:$B$553,A135)=0),"Progress with condition needs at least one Conditions row",IF(AND(C135&lt;&gt;"",COUNTIFS('Gate plan'!$A$4:$A$353,C135,'Gate plan'!$C$4:$C$353,D135)=0),"Plan gate differs from event gate",IF(AND(C135&lt;&gt;"",O135&lt;&gt;"",COUNTIFS('Gate plan'!$A$4:$A$353,C135,'Gate plan'!$K$4:$K$353,"&lt;&gt;")&gt;0,COUNTIFS('Gate plan'!$A$4:$A$353,C135,'Gate plan'!$K$4:$K$353,O135)=0),"Plan UC-ID differs from event UC-ID",IF(AND(E135="Assurance opinion",J135=""),"Assurance opinion ref missing",IF(AND(G135="Opinion only",E135&lt;&gt;"Assurance opinion",E135&lt;&gt;"Review only"),"Opinion only is for Assurance opinion or Review only events",IF(AND(G135="No decision",E135&lt;&gt;"Review only",E135&lt;&gt;"Priority override",E135&lt;&gt;"Intake / registration"),"No decision is for Review only, Priority override or Intake / registration events",IF(OR(ISNUMBER(SEARCH(" ",TRIM(O135))),ISNUMBER(SEARCH("/",O135))),"One UC-ID per event row: split this event",IF(AND(E135="Precautionary pause (containment)",ISNUMBER(W135),ISNUMBER(F135),W135&lt;F135),"Follow-up decision due date is before the pause",IF(AND(G135="Resume",IFERROR(LOOKUP(2,1/(($B$3:B134=B135)*($O$3:O134=O135)),$G$3:G134),"")&lt;&gt;"Paused — pending decision"),"Resume is only for the event straight after a Precautionary pause on the same AIR-ID and UC-ID (in an earlier row)",IF(AND(E135="Decision",OR(G135="Progress",G135="Progress with condition",G135="Re-authorise",G135="Resume"),X135&lt;&gt;"Yes"),"Decision-maker has not confirmed the screening was considered (column X)","Check against source")))))))))))))))))))))))))))))</f>
        <v/>
      </c>
      <c r="O135" s="37" t="n"/>
      <c r="P135" s="37" t="n"/>
      <c r="Q135" s="14">
        <f>IF(A135="","",IF(E135&lt;&gt;"Decision","",IF(P135="UC-ID specific",IF(O135="","UC-ID REQUIRED","Check source decision for each UC-ID"),IF(P135="Shared system baseline",IF(O135&lt;&gt;"","REMOVE UC-ID OR CORRECT SCOPE","Baseline only — NOT UC approval"),"Decision scope missing"))))</f>
        <v/>
      </c>
      <c r="R135" s="43" t="n"/>
      <c r="S135" s="40" t="n"/>
      <c r="T135" s="40" t="n"/>
      <c r="U135" s="40" t="n"/>
      <c r="V135" s="40" t="n"/>
      <c r="W135" s="41" t="n"/>
      <c r="X135" s="38" t="n"/>
    </row>
    <row r="136">
      <c r="A136" s="38" t="n"/>
      <c r="B136" s="38" t="n"/>
      <c r="C136" s="38" t="n"/>
      <c r="D136" s="38" t="n"/>
      <c r="E136" s="38" t="n"/>
      <c r="F136" s="39" t="n"/>
      <c r="G136" s="38" t="n"/>
      <c r="H136" s="38" t="n"/>
      <c r="I136" s="38" t="n"/>
      <c r="J136" s="38" t="n"/>
      <c r="K136" s="38" t="n"/>
      <c r="L136" s="38" t="n"/>
      <c r="M136" s="38" t="n"/>
      <c r="N136" s="22">
        <f>IF(COUNTA(A136:M136,O136:P136,R136:X136)=0,"",IF(OR(A136="",B136="",F136=""),"Event ID, AIR-ID or date missing",IF(COUNTIF($A$4:$A$553,A136)&gt;1,"Duplicate Event ID",IF(E136="","Event type missing",IF(OR(NOT(ISNUMBER(F136)),F136&gt;TODAY()),"Date is not a real date or is in the future",IF(AND(C136&lt;&gt;"",COUNTIF('Gate plan'!$A$4:$A$353,C136)=0),"Plan ID not found in Gate plan",IF(AND(C136&lt;&gt;"",COUNTIFS('Gate plan'!$A$4:$A$353,C136,'Gate plan'!$B$4:$B$353,B136)=0),"Plan AIR-ID differs from event",IF(D136="","Gate / forum missing",IF(AND(E136="Precautionary pause (containment)",G136&lt;&gt;"Paused — pending decision"),"Precautionary pause: Outcome must be Paused, pending decision",IF(AND(E136="Precautionary pause (containment)",V136=""),"Precautionary pause: AIG-OPS-03 incident ref missing",IF(AND(E136="Precautionary pause (containment)",NOT(ISNUMBER(W136))),"Precautionary pause: follow-up decision due date missing",IF(AND(G136="Paused — pending decision",E136&lt;&gt;"Precautionary pause (containment)"),"Paused, pending decision is only for a Precautionary pause event",IF(AND(E136="Decision",OR(G136="",H136="",I136="")),"Outcome / delegation / decision ref missing",IF(AND(E136="Decision",NOT(OR(G136="Progress",G136="Progress with condition",G136="Return for evidence",G136="Pause",G136="Stop",G136="Suspend",G136="Decommission",G136="Re-authorise",G136="Resume"))),"Decision event needs a decision outcome",IF(AND(E136="Priority override",OR(H136="",I136="")),"Decision-maker / AIG-DEC-03 ref missing",IF(AND(E136="Priority override",G136&lt;&gt;"",G136&lt;&gt;"No decision"),"Priority override: Outcome blank or No decision",IF(AND(E136&lt;&gt;"Decision",OR(G136="Progress",G136="Progress with condition",G136="Return for evidence",G136="Pause",G136="Stop",G136="Suspend",G136="Decommission",G136="Re-authorise",G136="Resume")),"Outcome implies decision",IF(OR(ISNUMBER(SEARCH(",",O136)),ISNUMBER(SEARCH(";",O136))),"One UC-ID per event row — split this event",IF(AND(E136="Decision",OR(Q136="UC-ID REQUIRED",Q136="Decision scope missing",Q136="REMOVE UC-ID OR CORRECT SCOPE")),"Decision scope missing",IF(AND(G136="Progress with condition",COUNTIF(Conditions!$B$4:$B$553,A136)=0),"Progress with condition needs at least one Conditions row",IF(AND(C136&lt;&gt;"",COUNTIFS('Gate plan'!$A$4:$A$353,C136,'Gate plan'!$C$4:$C$353,D136)=0),"Plan gate differs from event gate",IF(AND(C136&lt;&gt;"",O136&lt;&gt;"",COUNTIFS('Gate plan'!$A$4:$A$353,C136,'Gate plan'!$K$4:$K$353,"&lt;&gt;")&gt;0,COUNTIFS('Gate plan'!$A$4:$A$353,C136,'Gate plan'!$K$4:$K$353,O136)=0),"Plan UC-ID differs from event UC-ID",IF(AND(E136="Assurance opinion",J136=""),"Assurance opinion ref missing",IF(AND(G136="Opinion only",E136&lt;&gt;"Assurance opinion",E136&lt;&gt;"Review only"),"Opinion only is for Assurance opinion or Review only events",IF(AND(G136="No decision",E136&lt;&gt;"Review only",E136&lt;&gt;"Priority override",E136&lt;&gt;"Intake / registration"),"No decision is for Review only, Priority override or Intake / registration events",IF(OR(ISNUMBER(SEARCH(" ",TRIM(O136))),ISNUMBER(SEARCH("/",O136))),"One UC-ID per event row: split this event",IF(AND(E136="Precautionary pause (containment)",ISNUMBER(W136),ISNUMBER(F136),W136&lt;F136),"Follow-up decision due date is before the pause",IF(AND(G136="Resume",IFERROR(LOOKUP(2,1/(($B$3:B135=B136)*($O$3:O135=O136)),$G$3:G135),"")&lt;&gt;"Paused — pending decision"),"Resume is only for the event straight after a Precautionary pause on the same AIR-ID and UC-ID (in an earlier row)",IF(AND(E136="Decision",OR(G136="Progress",G136="Progress with condition",G136="Re-authorise",G136="Resume"),X136&lt;&gt;"Yes"),"Decision-maker has not confirmed the screening was considered (column X)","Check against source")))))))))))))))))))))))))))))</f>
        <v/>
      </c>
      <c r="O136" s="37" t="n"/>
      <c r="P136" s="37" t="n"/>
      <c r="Q136" s="14">
        <f>IF(A136="","",IF(E136&lt;&gt;"Decision","",IF(P136="UC-ID specific",IF(O136="","UC-ID REQUIRED","Check source decision for each UC-ID"),IF(P136="Shared system baseline",IF(O136&lt;&gt;"","REMOVE UC-ID OR CORRECT SCOPE","Baseline only — NOT UC approval"),"Decision scope missing"))))</f>
        <v/>
      </c>
      <c r="R136" s="42" t="n"/>
      <c r="S136" s="38" t="n"/>
      <c r="T136" s="38" t="n"/>
      <c r="U136" s="38" t="n"/>
      <c r="V136" s="38" t="n"/>
      <c r="W136" s="39" t="n"/>
      <c r="X136" s="38" t="n"/>
    </row>
    <row r="137">
      <c r="A137" s="40" t="n"/>
      <c r="B137" s="40" t="n"/>
      <c r="C137" s="40" t="n"/>
      <c r="D137" s="40" t="n"/>
      <c r="E137" s="40" t="n"/>
      <c r="F137" s="41" t="n"/>
      <c r="G137" s="40" t="n"/>
      <c r="H137" s="40" t="n"/>
      <c r="I137" s="40" t="n"/>
      <c r="J137" s="40" t="n"/>
      <c r="K137" s="40" t="n"/>
      <c r="L137" s="40" t="n"/>
      <c r="M137" s="40" t="n"/>
      <c r="N137" s="24">
        <f>IF(COUNTA(A137:M137,O137:P137,R137:X137)=0,"",IF(OR(A137="",B137="",F137=""),"Event ID, AIR-ID or date missing",IF(COUNTIF($A$4:$A$553,A137)&gt;1,"Duplicate Event ID",IF(E137="","Event type missing",IF(OR(NOT(ISNUMBER(F137)),F137&gt;TODAY()),"Date is not a real date or is in the future",IF(AND(C137&lt;&gt;"",COUNTIF('Gate plan'!$A$4:$A$353,C137)=0),"Plan ID not found in Gate plan",IF(AND(C137&lt;&gt;"",COUNTIFS('Gate plan'!$A$4:$A$353,C137,'Gate plan'!$B$4:$B$353,B137)=0),"Plan AIR-ID differs from event",IF(D137="","Gate / forum missing",IF(AND(E137="Precautionary pause (containment)",G137&lt;&gt;"Paused — pending decision"),"Precautionary pause: Outcome must be Paused, pending decision",IF(AND(E137="Precautionary pause (containment)",V137=""),"Precautionary pause: AIG-OPS-03 incident ref missing",IF(AND(E137="Precautionary pause (containment)",NOT(ISNUMBER(W137))),"Precautionary pause: follow-up decision due date missing",IF(AND(G137="Paused — pending decision",E137&lt;&gt;"Precautionary pause (containment)"),"Paused, pending decision is only for a Precautionary pause event",IF(AND(E137="Decision",OR(G137="",H137="",I137="")),"Outcome / delegation / decision ref missing",IF(AND(E137="Decision",NOT(OR(G137="Progress",G137="Progress with condition",G137="Return for evidence",G137="Pause",G137="Stop",G137="Suspend",G137="Decommission",G137="Re-authorise",G137="Resume"))),"Decision event needs a decision outcome",IF(AND(E137="Priority override",OR(H137="",I137="")),"Decision-maker / AIG-DEC-03 ref missing",IF(AND(E137="Priority override",G137&lt;&gt;"",G137&lt;&gt;"No decision"),"Priority override: Outcome blank or No decision",IF(AND(E137&lt;&gt;"Decision",OR(G137="Progress",G137="Progress with condition",G137="Return for evidence",G137="Pause",G137="Stop",G137="Suspend",G137="Decommission",G137="Re-authorise",G137="Resume")),"Outcome implies decision",IF(OR(ISNUMBER(SEARCH(",",O137)),ISNUMBER(SEARCH(";",O137))),"One UC-ID per event row — split this event",IF(AND(E137="Decision",OR(Q137="UC-ID REQUIRED",Q137="Decision scope missing",Q137="REMOVE UC-ID OR CORRECT SCOPE")),"Decision scope missing",IF(AND(G137="Progress with condition",COUNTIF(Conditions!$B$4:$B$553,A137)=0),"Progress with condition needs at least one Conditions row",IF(AND(C137&lt;&gt;"",COUNTIFS('Gate plan'!$A$4:$A$353,C137,'Gate plan'!$C$4:$C$353,D137)=0),"Plan gate differs from event gate",IF(AND(C137&lt;&gt;"",O137&lt;&gt;"",COUNTIFS('Gate plan'!$A$4:$A$353,C137,'Gate plan'!$K$4:$K$353,"&lt;&gt;")&gt;0,COUNTIFS('Gate plan'!$A$4:$A$353,C137,'Gate plan'!$K$4:$K$353,O137)=0),"Plan UC-ID differs from event UC-ID",IF(AND(E137="Assurance opinion",J137=""),"Assurance opinion ref missing",IF(AND(G137="Opinion only",E137&lt;&gt;"Assurance opinion",E137&lt;&gt;"Review only"),"Opinion only is for Assurance opinion or Review only events",IF(AND(G137="No decision",E137&lt;&gt;"Review only",E137&lt;&gt;"Priority override",E137&lt;&gt;"Intake / registration"),"No decision is for Review only, Priority override or Intake / registration events",IF(OR(ISNUMBER(SEARCH(" ",TRIM(O137))),ISNUMBER(SEARCH("/",O137))),"One UC-ID per event row: split this event",IF(AND(E137="Precautionary pause (containment)",ISNUMBER(W137),ISNUMBER(F137),W137&lt;F137),"Follow-up decision due date is before the pause",IF(AND(G137="Resume",IFERROR(LOOKUP(2,1/(($B$3:B136=B137)*($O$3:O136=O137)),$G$3:G136),"")&lt;&gt;"Paused — pending decision"),"Resume is only for the event straight after a Precautionary pause on the same AIR-ID and UC-ID (in an earlier row)",IF(AND(E137="Decision",OR(G137="Progress",G137="Progress with condition",G137="Re-authorise",G137="Resume"),X137&lt;&gt;"Yes"),"Decision-maker has not confirmed the screening was considered (column X)","Check against source")))))))))))))))))))))))))))))</f>
        <v/>
      </c>
      <c r="O137" s="37" t="n"/>
      <c r="P137" s="37" t="n"/>
      <c r="Q137" s="14">
        <f>IF(A137="","",IF(E137&lt;&gt;"Decision","",IF(P137="UC-ID specific",IF(O137="","UC-ID REQUIRED","Check source decision for each UC-ID"),IF(P137="Shared system baseline",IF(O137&lt;&gt;"","REMOVE UC-ID OR CORRECT SCOPE","Baseline only — NOT UC approval"),"Decision scope missing"))))</f>
        <v/>
      </c>
      <c r="R137" s="43" t="n"/>
      <c r="S137" s="40" t="n"/>
      <c r="T137" s="40" t="n"/>
      <c r="U137" s="40" t="n"/>
      <c r="V137" s="40" t="n"/>
      <c r="W137" s="41" t="n"/>
      <c r="X137" s="38" t="n"/>
    </row>
    <row r="138">
      <c r="A138" s="38" t="n"/>
      <c r="B138" s="38" t="n"/>
      <c r="C138" s="38" t="n"/>
      <c r="D138" s="38" t="n"/>
      <c r="E138" s="38" t="n"/>
      <c r="F138" s="39" t="n"/>
      <c r="G138" s="38" t="n"/>
      <c r="H138" s="38" t="n"/>
      <c r="I138" s="38" t="n"/>
      <c r="J138" s="38" t="n"/>
      <c r="K138" s="38" t="n"/>
      <c r="L138" s="38" t="n"/>
      <c r="M138" s="38" t="n"/>
      <c r="N138" s="22">
        <f>IF(COUNTA(A138:M138,O138:P138,R138:X138)=0,"",IF(OR(A138="",B138="",F138=""),"Event ID, AIR-ID or date missing",IF(COUNTIF($A$4:$A$553,A138)&gt;1,"Duplicate Event ID",IF(E138="","Event type missing",IF(OR(NOT(ISNUMBER(F138)),F138&gt;TODAY()),"Date is not a real date or is in the future",IF(AND(C138&lt;&gt;"",COUNTIF('Gate plan'!$A$4:$A$353,C138)=0),"Plan ID not found in Gate plan",IF(AND(C138&lt;&gt;"",COUNTIFS('Gate plan'!$A$4:$A$353,C138,'Gate plan'!$B$4:$B$353,B138)=0),"Plan AIR-ID differs from event",IF(D138="","Gate / forum missing",IF(AND(E138="Precautionary pause (containment)",G138&lt;&gt;"Paused — pending decision"),"Precautionary pause: Outcome must be Paused, pending decision",IF(AND(E138="Precautionary pause (containment)",V138=""),"Precautionary pause: AIG-OPS-03 incident ref missing",IF(AND(E138="Precautionary pause (containment)",NOT(ISNUMBER(W138))),"Precautionary pause: follow-up decision due date missing",IF(AND(G138="Paused — pending decision",E138&lt;&gt;"Precautionary pause (containment)"),"Paused, pending decision is only for a Precautionary pause event",IF(AND(E138="Decision",OR(G138="",H138="",I138="")),"Outcome / delegation / decision ref missing",IF(AND(E138="Decision",NOT(OR(G138="Progress",G138="Progress with condition",G138="Return for evidence",G138="Pause",G138="Stop",G138="Suspend",G138="Decommission",G138="Re-authorise",G138="Resume"))),"Decision event needs a decision outcome",IF(AND(E138="Priority override",OR(H138="",I138="")),"Decision-maker / AIG-DEC-03 ref missing",IF(AND(E138="Priority override",G138&lt;&gt;"",G138&lt;&gt;"No decision"),"Priority override: Outcome blank or No decision",IF(AND(E138&lt;&gt;"Decision",OR(G138="Progress",G138="Progress with condition",G138="Return for evidence",G138="Pause",G138="Stop",G138="Suspend",G138="Decommission",G138="Re-authorise",G138="Resume")),"Outcome implies decision",IF(OR(ISNUMBER(SEARCH(",",O138)),ISNUMBER(SEARCH(";",O138))),"One UC-ID per event row — split this event",IF(AND(E138="Decision",OR(Q138="UC-ID REQUIRED",Q138="Decision scope missing",Q138="REMOVE UC-ID OR CORRECT SCOPE")),"Decision scope missing",IF(AND(G138="Progress with condition",COUNTIF(Conditions!$B$4:$B$553,A138)=0),"Progress with condition needs at least one Conditions row",IF(AND(C138&lt;&gt;"",COUNTIFS('Gate plan'!$A$4:$A$353,C138,'Gate plan'!$C$4:$C$353,D138)=0),"Plan gate differs from event gate",IF(AND(C138&lt;&gt;"",O138&lt;&gt;"",COUNTIFS('Gate plan'!$A$4:$A$353,C138,'Gate plan'!$K$4:$K$353,"&lt;&gt;")&gt;0,COUNTIFS('Gate plan'!$A$4:$A$353,C138,'Gate plan'!$K$4:$K$353,O138)=0),"Plan UC-ID differs from event UC-ID",IF(AND(E138="Assurance opinion",J138=""),"Assurance opinion ref missing",IF(AND(G138="Opinion only",E138&lt;&gt;"Assurance opinion",E138&lt;&gt;"Review only"),"Opinion only is for Assurance opinion or Review only events",IF(AND(G138="No decision",E138&lt;&gt;"Review only",E138&lt;&gt;"Priority override",E138&lt;&gt;"Intake / registration"),"No decision is for Review only, Priority override or Intake / registration events",IF(OR(ISNUMBER(SEARCH(" ",TRIM(O138))),ISNUMBER(SEARCH("/",O138))),"One UC-ID per event row: split this event",IF(AND(E138="Precautionary pause (containment)",ISNUMBER(W138),ISNUMBER(F138),W138&lt;F138),"Follow-up decision due date is before the pause",IF(AND(G138="Resume",IFERROR(LOOKUP(2,1/(($B$3:B137=B138)*($O$3:O137=O138)),$G$3:G137),"")&lt;&gt;"Paused — pending decision"),"Resume is only for the event straight after a Precautionary pause on the same AIR-ID and UC-ID (in an earlier row)",IF(AND(E138="Decision",OR(G138="Progress",G138="Progress with condition",G138="Re-authorise",G138="Resume"),X138&lt;&gt;"Yes"),"Decision-maker has not confirmed the screening was considered (column X)","Check against source")))))))))))))))))))))))))))))</f>
        <v/>
      </c>
      <c r="O138" s="37" t="n"/>
      <c r="P138" s="37" t="n"/>
      <c r="Q138" s="14">
        <f>IF(A138="","",IF(E138&lt;&gt;"Decision","",IF(P138="UC-ID specific",IF(O138="","UC-ID REQUIRED","Check source decision for each UC-ID"),IF(P138="Shared system baseline",IF(O138&lt;&gt;"","REMOVE UC-ID OR CORRECT SCOPE","Baseline only — NOT UC approval"),"Decision scope missing"))))</f>
        <v/>
      </c>
      <c r="R138" s="42" t="n"/>
      <c r="S138" s="38" t="n"/>
      <c r="T138" s="38" t="n"/>
      <c r="U138" s="38" t="n"/>
      <c r="V138" s="38" t="n"/>
      <c r="W138" s="39" t="n"/>
      <c r="X138" s="38" t="n"/>
    </row>
    <row r="139">
      <c r="A139" s="40" t="n"/>
      <c r="B139" s="40" t="n"/>
      <c r="C139" s="40" t="n"/>
      <c r="D139" s="40" t="n"/>
      <c r="E139" s="40" t="n"/>
      <c r="F139" s="41" t="n"/>
      <c r="G139" s="40" t="n"/>
      <c r="H139" s="40" t="n"/>
      <c r="I139" s="40" t="n"/>
      <c r="J139" s="40" t="n"/>
      <c r="K139" s="40" t="n"/>
      <c r="L139" s="40" t="n"/>
      <c r="M139" s="40" t="n"/>
      <c r="N139" s="24">
        <f>IF(COUNTA(A139:M139,O139:P139,R139:X139)=0,"",IF(OR(A139="",B139="",F139=""),"Event ID, AIR-ID or date missing",IF(COUNTIF($A$4:$A$553,A139)&gt;1,"Duplicate Event ID",IF(E139="","Event type missing",IF(OR(NOT(ISNUMBER(F139)),F139&gt;TODAY()),"Date is not a real date or is in the future",IF(AND(C139&lt;&gt;"",COUNTIF('Gate plan'!$A$4:$A$353,C139)=0),"Plan ID not found in Gate plan",IF(AND(C139&lt;&gt;"",COUNTIFS('Gate plan'!$A$4:$A$353,C139,'Gate plan'!$B$4:$B$353,B139)=0),"Plan AIR-ID differs from event",IF(D139="","Gate / forum missing",IF(AND(E139="Precautionary pause (containment)",G139&lt;&gt;"Paused — pending decision"),"Precautionary pause: Outcome must be Paused, pending decision",IF(AND(E139="Precautionary pause (containment)",V139=""),"Precautionary pause: AIG-OPS-03 incident ref missing",IF(AND(E139="Precautionary pause (containment)",NOT(ISNUMBER(W139))),"Precautionary pause: follow-up decision due date missing",IF(AND(G139="Paused — pending decision",E139&lt;&gt;"Precautionary pause (containment)"),"Paused, pending decision is only for a Precautionary pause event",IF(AND(E139="Decision",OR(G139="",H139="",I139="")),"Outcome / delegation / decision ref missing",IF(AND(E139="Decision",NOT(OR(G139="Progress",G139="Progress with condition",G139="Return for evidence",G139="Pause",G139="Stop",G139="Suspend",G139="Decommission",G139="Re-authorise",G139="Resume"))),"Decision event needs a decision outcome",IF(AND(E139="Priority override",OR(H139="",I139="")),"Decision-maker / AIG-DEC-03 ref missing",IF(AND(E139="Priority override",G139&lt;&gt;"",G139&lt;&gt;"No decision"),"Priority override: Outcome blank or No decision",IF(AND(E139&lt;&gt;"Decision",OR(G139="Progress",G139="Progress with condition",G139="Return for evidence",G139="Pause",G139="Stop",G139="Suspend",G139="Decommission",G139="Re-authorise",G139="Resume")),"Outcome implies decision",IF(OR(ISNUMBER(SEARCH(",",O139)),ISNUMBER(SEARCH(";",O139))),"One UC-ID per event row — split this event",IF(AND(E139="Decision",OR(Q139="UC-ID REQUIRED",Q139="Decision scope missing",Q139="REMOVE UC-ID OR CORRECT SCOPE")),"Decision scope missing",IF(AND(G139="Progress with condition",COUNTIF(Conditions!$B$4:$B$553,A139)=0),"Progress with condition needs at least one Conditions row",IF(AND(C139&lt;&gt;"",COUNTIFS('Gate plan'!$A$4:$A$353,C139,'Gate plan'!$C$4:$C$353,D139)=0),"Plan gate differs from event gate",IF(AND(C139&lt;&gt;"",O139&lt;&gt;"",COUNTIFS('Gate plan'!$A$4:$A$353,C139,'Gate plan'!$K$4:$K$353,"&lt;&gt;")&gt;0,COUNTIFS('Gate plan'!$A$4:$A$353,C139,'Gate plan'!$K$4:$K$353,O139)=0),"Plan UC-ID differs from event UC-ID",IF(AND(E139="Assurance opinion",J139=""),"Assurance opinion ref missing",IF(AND(G139="Opinion only",E139&lt;&gt;"Assurance opinion",E139&lt;&gt;"Review only"),"Opinion only is for Assurance opinion or Review only events",IF(AND(G139="No decision",E139&lt;&gt;"Review only",E139&lt;&gt;"Priority override",E139&lt;&gt;"Intake / registration"),"No decision is for Review only, Priority override or Intake / registration events",IF(OR(ISNUMBER(SEARCH(" ",TRIM(O139))),ISNUMBER(SEARCH("/",O139))),"One UC-ID per event row: split this event",IF(AND(E139="Precautionary pause (containment)",ISNUMBER(W139),ISNUMBER(F139),W139&lt;F139),"Follow-up decision due date is before the pause",IF(AND(G139="Resume",IFERROR(LOOKUP(2,1/(($B$3:B138=B139)*($O$3:O138=O139)),$G$3:G138),"")&lt;&gt;"Paused — pending decision"),"Resume is only for the event straight after a Precautionary pause on the same AIR-ID and UC-ID (in an earlier row)",IF(AND(E139="Decision",OR(G139="Progress",G139="Progress with condition",G139="Re-authorise",G139="Resume"),X139&lt;&gt;"Yes"),"Decision-maker has not confirmed the screening was considered (column X)","Check against source")))))))))))))))))))))))))))))</f>
        <v/>
      </c>
      <c r="O139" s="37" t="n"/>
      <c r="P139" s="37" t="n"/>
      <c r="Q139" s="14">
        <f>IF(A139="","",IF(E139&lt;&gt;"Decision","",IF(P139="UC-ID specific",IF(O139="","UC-ID REQUIRED","Check source decision for each UC-ID"),IF(P139="Shared system baseline",IF(O139&lt;&gt;"","REMOVE UC-ID OR CORRECT SCOPE","Baseline only — NOT UC approval"),"Decision scope missing"))))</f>
        <v/>
      </c>
      <c r="R139" s="43" t="n"/>
      <c r="S139" s="40" t="n"/>
      <c r="T139" s="40" t="n"/>
      <c r="U139" s="40" t="n"/>
      <c r="V139" s="40" t="n"/>
      <c r="W139" s="41" t="n"/>
      <c r="X139" s="38" t="n"/>
    </row>
    <row r="140">
      <c r="A140" s="38" t="n"/>
      <c r="B140" s="38" t="n"/>
      <c r="C140" s="38" t="n"/>
      <c r="D140" s="38" t="n"/>
      <c r="E140" s="38" t="n"/>
      <c r="F140" s="39" t="n"/>
      <c r="G140" s="38" t="n"/>
      <c r="H140" s="38" t="n"/>
      <c r="I140" s="38" t="n"/>
      <c r="J140" s="38" t="n"/>
      <c r="K140" s="38" t="n"/>
      <c r="L140" s="38" t="n"/>
      <c r="M140" s="38" t="n"/>
      <c r="N140" s="22">
        <f>IF(COUNTA(A140:M140,O140:P140,R140:X140)=0,"",IF(OR(A140="",B140="",F140=""),"Event ID, AIR-ID or date missing",IF(COUNTIF($A$4:$A$553,A140)&gt;1,"Duplicate Event ID",IF(E140="","Event type missing",IF(OR(NOT(ISNUMBER(F140)),F140&gt;TODAY()),"Date is not a real date or is in the future",IF(AND(C140&lt;&gt;"",COUNTIF('Gate plan'!$A$4:$A$353,C140)=0),"Plan ID not found in Gate plan",IF(AND(C140&lt;&gt;"",COUNTIFS('Gate plan'!$A$4:$A$353,C140,'Gate plan'!$B$4:$B$353,B140)=0),"Plan AIR-ID differs from event",IF(D140="","Gate / forum missing",IF(AND(E140="Precautionary pause (containment)",G140&lt;&gt;"Paused — pending decision"),"Precautionary pause: Outcome must be Paused, pending decision",IF(AND(E140="Precautionary pause (containment)",V140=""),"Precautionary pause: AIG-OPS-03 incident ref missing",IF(AND(E140="Precautionary pause (containment)",NOT(ISNUMBER(W140))),"Precautionary pause: follow-up decision due date missing",IF(AND(G140="Paused — pending decision",E140&lt;&gt;"Precautionary pause (containment)"),"Paused, pending decision is only for a Precautionary pause event",IF(AND(E140="Decision",OR(G140="",H140="",I140="")),"Outcome / delegation / decision ref missing",IF(AND(E140="Decision",NOT(OR(G140="Progress",G140="Progress with condition",G140="Return for evidence",G140="Pause",G140="Stop",G140="Suspend",G140="Decommission",G140="Re-authorise",G140="Resume"))),"Decision event needs a decision outcome",IF(AND(E140="Priority override",OR(H140="",I140="")),"Decision-maker / AIG-DEC-03 ref missing",IF(AND(E140="Priority override",G140&lt;&gt;"",G140&lt;&gt;"No decision"),"Priority override: Outcome blank or No decision",IF(AND(E140&lt;&gt;"Decision",OR(G140="Progress",G140="Progress with condition",G140="Return for evidence",G140="Pause",G140="Stop",G140="Suspend",G140="Decommission",G140="Re-authorise",G140="Resume")),"Outcome implies decision",IF(OR(ISNUMBER(SEARCH(",",O140)),ISNUMBER(SEARCH(";",O140))),"One UC-ID per event row — split this event",IF(AND(E140="Decision",OR(Q140="UC-ID REQUIRED",Q140="Decision scope missing",Q140="REMOVE UC-ID OR CORRECT SCOPE")),"Decision scope missing",IF(AND(G140="Progress with condition",COUNTIF(Conditions!$B$4:$B$553,A140)=0),"Progress with condition needs at least one Conditions row",IF(AND(C140&lt;&gt;"",COUNTIFS('Gate plan'!$A$4:$A$353,C140,'Gate plan'!$C$4:$C$353,D140)=0),"Plan gate differs from event gate",IF(AND(C140&lt;&gt;"",O140&lt;&gt;"",COUNTIFS('Gate plan'!$A$4:$A$353,C140,'Gate plan'!$K$4:$K$353,"&lt;&gt;")&gt;0,COUNTIFS('Gate plan'!$A$4:$A$353,C140,'Gate plan'!$K$4:$K$353,O140)=0),"Plan UC-ID differs from event UC-ID",IF(AND(E140="Assurance opinion",J140=""),"Assurance opinion ref missing",IF(AND(G140="Opinion only",E140&lt;&gt;"Assurance opinion",E140&lt;&gt;"Review only"),"Opinion only is for Assurance opinion or Review only events",IF(AND(G140="No decision",E140&lt;&gt;"Review only",E140&lt;&gt;"Priority override",E140&lt;&gt;"Intake / registration"),"No decision is for Review only, Priority override or Intake / registration events",IF(OR(ISNUMBER(SEARCH(" ",TRIM(O140))),ISNUMBER(SEARCH("/",O140))),"One UC-ID per event row: split this event",IF(AND(E140="Precautionary pause (containment)",ISNUMBER(W140),ISNUMBER(F140),W140&lt;F140),"Follow-up decision due date is before the pause",IF(AND(G140="Resume",IFERROR(LOOKUP(2,1/(($B$3:B139=B140)*($O$3:O139=O140)),$G$3:G139),"")&lt;&gt;"Paused — pending decision"),"Resume is only for the event straight after a Precautionary pause on the same AIR-ID and UC-ID (in an earlier row)",IF(AND(E140="Decision",OR(G140="Progress",G140="Progress with condition",G140="Re-authorise",G140="Resume"),X140&lt;&gt;"Yes"),"Decision-maker has not confirmed the screening was considered (column X)","Check against source")))))))))))))))))))))))))))))</f>
        <v/>
      </c>
      <c r="O140" s="37" t="n"/>
      <c r="P140" s="37" t="n"/>
      <c r="Q140" s="14">
        <f>IF(A140="","",IF(E140&lt;&gt;"Decision","",IF(P140="UC-ID specific",IF(O140="","UC-ID REQUIRED","Check source decision for each UC-ID"),IF(P140="Shared system baseline",IF(O140&lt;&gt;"","REMOVE UC-ID OR CORRECT SCOPE","Baseline only — NOT UC approval"),"Decision scope missing"))))</f>
        <v/>
      </c>
      <c r="R140" s="42" t="n"/>
      <c r="S140" s="38" t="n"/>
      <c r="T140" s="38" t="n"/>
      <c r="U140" s="38" t="n"/>
      <c r="V140" s="38" t="n"/>
      <c r="W140" s="39" t="n"/>
      <c r="X140" s="38" t="n"/>
    </row>
    <row r="141">
      <c r="A141" s="40" t="n"/>
      <c r="B141" s="40" t="n"/>
      <c r="C141" s="40" t="n"/>
      <c r="D141" s="40" t="n"/>
      <c r="E141" s="40" t="n"/>
      <c r="F141" s="41" t="n"/>
      <c r="G141" s="40" t="n"/>
      <c r="H141" s="40" t="n"/>
      <c r="I141" s="40" t="n"/>
      <c r="J141" s="40" t="n"/>
      <c r="K141" s="40" t="n"/>
      <c r="L141" s="40" t="n"/>
      <c r="M141" s="40" t="n"/>
      <c r="N141" s="24">
        <f>IF(COUNTA(A141:M141,O141:P141,R141:X141)=0,"",IF(OR(A141="",B141="",F141=""),"Event ID, AIR-ID or date missing",IF(COUNTIF($A$4:$A$553,A141)&gt;1,"Duplicate Event ID",IF(E141="","Event type missing",IF(OR(NOT(ISNUMBER(F141)),F141&gt;TODAY()),"Date is not a real date or is in the future",IF(AND(C141&lt;&gt;"",COUNTIF('Gate plan'!$A$4:$A$353,C141)=0),"Plan ID not found in Gate plan",IF(AND(C141&lt;&gt;"",COUNTIFS('Gate plan'!$A$4:$A$353,C141,'Gate plan'!$B$4:$B$353,B141)=0),"Plan AIR-ID differs from event",IF(D141="","Gate / forum missing",IF(AND(E141="Precautionary pause (containment)",G141&lt;&gt;"Paused — pending decision"),"Precautionary pause: Outcome must be Paused, pending decision",IF(AND(E141="Precautionary pause (containment)",V141=""),"Precautionary pause: AIG-OPS-03 incident ref missing",IF(AND(E141="Precautionary pause (containment)",NOT(ISNUMBER(W141))),"Precautionary pause: follow-up decision due date missing",IF(AND(G141="Paused — pending decision",E141&lt;&gt;"Precautionary pause (containment)"),"Paused, pending decision is only for a Precautionary pause event",IF(AND(E141="Decision",OR(G141="",H141="",I141="")),"Outcome / delegation / decision ref missing",IF(AND(E141="Decision",NOT(OR(G141="Progress",G141="Progress with condition",G141="Return for evidence",G141="Pause",G141="Stop",G141="Suspend",G141="Decommission",G141="Re-authorise",G141="Resume"))),"Decision event needs a decision outcome",IF(AND(E141="Priority override",OR(H141="",I141="")),"Decision-maker / AIG-DEC-03 ref missing",IF(AND(E141="Priority override",G141&lt;&gt;"",G141&lt;&gt;"No decision"),"Priority override: Outcome blank or No decision",IF(AND(E141&lt;&gt;"Decision",OR(G141="Progress",G141="Progress with condition",G141="Return for evidence",G141="Pause",G141="Stop",G141="Suspend",G141="Decommission",G141="Re-authorise",G141="Resume")),"Outcome implies decision",IF(OR(ISNUMBER(SEARCH(",",O141)),ISNUMBER(SEARCH(";",O141))),"One UC-ID per event row — split this event",IF(AND(E141="Decision",OR(Q141="UC-ID REQUIRED",Q141="Decision scope missing",Q141="REMOVE UC-ID OR CORRECT SCOPE")),"Decision scope missing",IF(AND(G141="Progress with condition",COUNTIF(Conditions!$B$4:$B$553,A141)=0),"Progress with condition needs at least one Conditions row",IF(AND(C141&lt;&gt;"",COUNTIFS('Gate plan'!$A$4:$A$353,C141,'Gate plan'!$C$4:$C$353,D141)=0),"Plan gate differs from event gate",IF(AND(C141&lt;&gt;"",O141&lt;&gt;"",COUNTIFS('Gate plan'!$A$4:$A$353,C141,'Gate plan'!$K$4:$K$353,"&lt;&gt;")&gt;0,COUNTIFS('Gate plan'!$A$4:$A$353,C141,'Gate plan'!$K$4:$K$353,O141)=0),"Plan UC-ID differs from event UC-ID",IF(AND(E141="Assurance opinion",J141=""),"Assurance opinion ref missing",IF(AND(G141="Opinion only",E141&lt;&gt;"Assurance opinion",E141&lt;&gt;"Review only"),"Opinion only is for Assurance opinion or Review only events",IF(AND(G141="No decision",E141&lt;&gt;"Review only",E141&lt;&gt;"Priority override",E141&lt;&gt;"Intake / registration"),"No decision is for Review only, Priority override or Intake / registration events",IF(OR(ISNUMBER(SEARCH(" ",TRIM(O141))),ISNUMBER(SEARCH("/",O141))),"One UC-ID per event row: split this event",IF(AND(E141="Precautionary pause (containment)",ISNUMBER(W141),ISNUMBER(F141),W141&lt;F141),"Follow-up decision due date is before the pause",IF(AND(G141="Resume",IFERROR(LOOKUP(2,1/(($B$3:B140=B141)*($O$3:O140=O141)),$G$3:G140),"")&lt;&gt;"Paused — pending decision"),"Resume is only for the event straight after a Precautionary pause on the same AIR-ID and UC-ID (in an earlier row)",IF(AND(E141="Decision",OR(G141="Progress",G141="Progress with condition",G141="Re-authorise",G141="Resume"),X141&lt;&gt;"Yes"),"Decision-maker has not confirmed the screening was considered (column X)","Check against source")))))))))))))))))))))))))))))</f>
        <v/>
      </c>
      <c r="O141" s="37" t="n"/>
      <c r="P141" s="37" t="n"/>
      <c r="Q141" s="14">
        <f>IF(A141="","",IF(E141&lt;&gt;"Decision","",IF(P141="UC-ID specific",IF(O141="","UC-ID REQUIRED","Check source decision for each UC-ID"),IF(P141="Shared system baseline",IF(O141&lt;&gt;"","REMOVE UC-ID OR CORRECT SCOPE","Baseline only — NOT UC approval"),"Decision scope missing"))))</f>
        <v/>
      </c>
      <c r="R141" s="43" t="n"/>
      <c r="S141" s="40" t="n"/>
      <c r="T141" s="40" t="n"/>
      <c r="U141" s="40" t="n"/>
      <c r="V141" s="40" t="n"/>
      <c r="W141" s="41" t="n"/>
      <c r="X141" s="38" t="n"/>
    </row>
    <row r="142">
      <c r="A142" s="38" t="n"/>
      <c r="B142" s="38" t="n"/>
      <c r="C142" s="38" t="n"/>
      <c r="D142" s="38" t="n"/>
      <c r="E142" s="38" t="n"/>
      <c r="F142" s="39" t="n"/>
      <c r="G142" s="38" t="n"/>
      <c r="H142" s="38" t="n"/>
      <c r="I142" s="38" t="n"/>
      <c r="J142" s="38" t="n"/>
      <c r="K142" s="38" t="n"/>
      <c r="L142" s="38" t="n"/>
      <c r="M142" s="38" t="n"/>
      <c r="N142" s="22">
        <f>IF(COUNTA(A142:M142,O142:P142,R142:X142)=0,"",IF(OR(A142="",B142="",F142=""),"Event ID, AIR-ID or date missing",IF(COUNTIF($A$4:$A$553,A142)&gt;1,"Duplicate Event ID",IF(E142="","Event type missing",IF(OR(NOT(ISNUMBER(F142)),F142&gt;TODAY()),"Date is not a real date or is in the future",IF(AND(C142&lt;&gt;"",COUNTIF('Gate plan'!$A$4:$A$353,C142)=0),"Plan ID not found in Gate plan",IF(AND(C142&lt;&gt;"",COUNTIFS('Gate plan'!$A$4:$A$353,C142,'Gate plan'!$B$4:$B$353,B142)=0),"Plan AIR-ID differs from event",IF(D142="","Gate / forum missing",IF(AND(E142="Precautionary pause (containment)",G142&lt;&gt;"Paused — pending decision"),"Precautionary pause: Outcome must be Paused, pending decision",IF(AND(E142="Precautionary pause (containment)",V142=""),"Precautionary pause: AIG-OPS-03 incident ref missing",IF(AND(E142="Precautionary pause (containment)",NOT(ISNUMBER(W142))),"Precautionary pause: follow-up decision due date missing",IF(AND(G142="Paused — pending decision",E142&lt;&gt;"Precautionary pause (containment)"),"Paused, pending decision is only for a Precautionary pause event",IF(AND(E142="Decision",OR(G142="",H142="",I142="")),"Outcome / delegation / decision ref missing",IF(AND(E142="Decision",NOT(OR(G142="Progress",G142="Progress with condition",G142="Return for evidence",G142="Pause",G142="Stop",G142="Suspend",G142="Decommission",G142="Re-authorise",G142="Resume"))),"Decision event needs a decision outcome",IF(AND(E142="Priority override",OR(H142="",I142="")),"Decision-maker / AIG-DEC-03 ref missing",IF(AND(E142="Priority override",G142&lt;&gt;"",G142&lt;&gt;"No decision"),"Priority override: Outcome blank or No decision",IF(AND(E142&lt;&gt;"Decision",OR(G142="Progress",G142="Progress with condition",G142="Return for evidence",G142="Pause",G142="Stop",G142="Suspend",G142="Decommission",G142="Re-authorise",G142="Resume")),"Outcome implies decision",IF(OR(ISNUMBER(SEARCH(",",O142)),ISNUMBER(SEARCH(";",O142))),"One UC-ID per event row — split this event",IF(AND(E142="Decision",OR(Q142="UC-ID REQUIRED",Q142="Decision scope missing",Q142="REMOVE UC-ID OR CORRECT SCOPE")),"Decision scope missing",IF(AND(G142="Progress with condition",COUNTIF(Conditions!$B$4:$B$553,A142)=0),"Progress with condition needs at least one Conditions row",IF(AND(C142&lt;&gt;"",COUNTIFS('Gate plan'!$A$4:$A$353,C142,'Gate plan'!$C$4:$C$353,D142)=0),"Plan gate differs from event gate",IF(AND(C142&lt;&gt;"",O142&lt;&gt;"",COUNTIFS('Gate plan'!$A$4:$A$353,C142,'Gate plan'!$K$4:$K$353,"&lt;&gt;")&gt;0,COUNTIFS('Gate plan'!$A$4:$A$353,C142,'Gate plan'!$K$4:$K$353,O142)=0),"Plan UC-ID differs from event UC-ID",IF(AND(E142="Assurance opinion",J142=""),"Assurance opinion ref missing",IF(AND(G142="Opinion only",E142&lt;&gt;"Assurance opinion",E142&lt;&gt;"Review only"),"Opinion only is for Assurance opinion or Review only events",IF(AND(G142="No decision",E142&lt;&gt;"Review only",E142&lt;&gt;"Priority override",E142&lt;&gt;"Intake / registration"),"No decision is for Review only, Priority override or Intake / registration events",IF(OR(ISNUMBER(SEARCH(" ",TRIM(O142))),ISNUMBER(SEARCH("/",O142))),"One UC-ID per event row: split this event",IF(AND(E142="Precautionary pause (containment)",ISNUMBER(W142),ISNUMBER(F142),W142&lt;F142),"Follow-up decision due date is before the pause",IF(AND(G142="Resume",IFERROR(LOOKUP(2,1/(($B$3:B141=B142)*($O$3:O141=O142)),$G$3:G141),"")&lt;&gt;"Paused — pending decision"),"Resume is only for the event straight after a Precautionary pause on the same AIR-ID and UC-ID (in an earlier row)",IF(AND(E142="Decision",OR(G142="Progress",G142="Progress with condition",G142="Re-authorise",G142="Resume"),X142&lt;&gt;"Yes"),"Decision-maker has not confirmed the screening was considered (column X)","Check against source")))))))))))))))))))))))))))))</f>
        <v/>
      </c>
      <c r="O142" s="37" t="n"/>
      <c r="P142" s="37" t="n"/>
      <c r="Q142" s="14">
        <f>IF(A142="","",IF(E142&lt;&gt;"Decision","",IF(P142="UC-ID specific",IF(O142="","UC-ID REQUIRED","Check source decision for each UC-ID"),IF(P142="Shared system baseline",IF(O142&lt;&gt;"","REMOVE UC-ID OR CORRECT SCOPE","Baseline only — NOT UC approval"),"Decision scope missing"))))</f>
        <v/>
      </c>
      <c r="R142" s="42" t="n"/>
      <c r="S142" s="38" t="n"/>
      <c r="T142" s="38" t="n"/>
      <c r="U142" s="38" t="n"/>
      <c r="V142" s="38" t="n"/>
      <c r="W142" s="39" t="n"/>
      <c r="X142" s="38" t="n"/>
    </row>
    <row r="143">
      <c r="A143" s="40" t="n"/>
      <c r="B143" s="40" t="n"/>
      <c r="C143" s="40" t="n"/>
      <c r="D143" s="40" t="n"/>
      <c r="E143" s="40" t="n"/>
      <c r="F143" s="41" t="n"/>
      <c r="G143" s="40" t="n"/>
      <c r="H143" s="40" t="n"/>
      <c r="I143" s="40" t="n"/>
      <c r="J143" s="40" t="n"/>
      <c r="K143" s="40" t="n"/>
      <c r="L143" s="40" t="n"/>
      <c r="M143" s="40" t="n"/>
      <c r="N143" s="24">
        <f>IF(COUNTA(A143:M143,O143:P143,R143:X143)=0,"",IF(OR(A143="",B143="",F143=""),"Event ID, AIR-ID or date missing",IF(COUNTIF($A$4:$A$553,A143)&gt;1,"Duplicate Event ID",IF(E143="","Event type missing",IF(OR(NOT(ISNUMBER(F143)),F143&gt;TODAY()),"Date is not a real date or is in the future",IF(AND(C143&lt;&gt;"",COUNTIF('Gate plan'!$A$4:$A$353,C143)=0),"Plan ID not found in Gate plan",IF(AND(C143&lt;&gt;"",COUNTIFS('Gate plan'!$A$4:$A$353,C143,'Gate plan'!$B$4:$B$353,B143)=0),"Plan AIR-ID differs from event",IF(D143="","Gate / forum missing",IF(AND(E143="Precautionary pause (containment)",G143&lt;&gt;"Paused — pending decision"),"Precautionary pause: Outcome must be Paused, pending decision",IF(AND(E143="Precautionary pause (containment)",V143=""),"Precautionary pause: AIG-OPS-03 incident ref missing",IF(AND(E143="Precautionary pause (containment)",NOT(ISNUMBER(W143))),"Precautionary pause: follow-up decision due date missing",IF(AND(G143="Paused — pending decision",E143&lt;&gt;"Precautionary pause (containment)"),"Paused, pending decision is only for a Precautionary pause event",IF(AND(E143="Decision",OR(G143="",H143="",I143="")),"Outcome / delegation / decision ref missing",IF(AND(E143="Decision",NOT(OR(G143="Progress",G143="Progress with condition",G143="Return for evidence",G143="Pause",G143="Stop",G143="Suspend",G143="Decommission",G143="Re-authorise",G143="Resume"))),"Decision event needs a decision outcome",IF(AND(E143="Priority override",OR(H143="",I143="")),"Decision-maker / AIG-DEC-03 ref missing",IF(AND(E143="Priority override",G143&lt;&gt;"",G143&lt;&gt;"No decision"),"Priority override: Outcome blank or No decision",IF(AND(E143&lt;&gt;"Decision",OR(G143="Progress",G143="Progress with condition",G143="Return for evidence",G143="Pause",G143="Stop",G143="Suspend",G143="Decommission",G143="Re-authorise",G143="Resume")),"Outcome implies decision",IF(OR(ISNUMBER(SEARCH(",",O143)),ISNUMBER(SEARCH(";",O143))),"One UC-ID per event row — split this event",IF(AND(E143="Decision",OR(Q143="UC-ID REQUIRED",Q143="Decision scope missing",Q143="REMOVE UC-ID OR CORRECT SCOPE")),"Decision scope missing",IF(AND(G143="Progress with condition",COUNTIF(Conditions!$B$4:$B$553,A143)=0),"Progress with condition needs at least one Conditions row",IF(AND(C143&lt;&gt;"",COUNTIFS('Gate plan'!$A$4:$A$353,C143,'Gate plan'!$C$4:$C$353,D143)=0),"Plan gate differs from event gate",IF(AND(C143&lt;&gt;"",O143&lt;&gt;"",COUNTIFS('Gate plan'!$A$4:$A$353,C143,'Gate plan'!$K$4:$K$353,"&lt;&gt;")&gt;0,COUNTIFS('Gate plan'!$A$4:$A$353,C143,'Gate plan'!$K$4:$K$353,O143)=0),"Plan UC-ID differs from event UC-ID",IF(AND(E143="Assurance opinion",J143=""),"Assurance opinion ref missing",IF(AND(G143="Opinion only",E143&lt;&gt;"Assurance opinion",E143&lt;&gt;"Review only"),"Opinion only is for Assurance opinion or Review only events",IF(AND(G143="No decision",E143&lt;&gt;"Review only",E143&lt;&gt;"Priority override",E143&lt;&gt;"Intake / registration"),"No decision is for Review only, Priority override or Intake / registration events",IF(OR(ISNUMBER(SEARCH(" ",TRIM(O143))),ISNUMBER(SEARCH("/",O143))),"One UC-ID per event row: split this event",IF(AND(E143="Precautionary pause (containment)",ISNUMBER(W143),ISNUMBER(F143),W143&lt;F143),"Follow-up decision due date is before the pause",IF(AND(G143="Resume",IFERROR(LOOKUP(2,1/(($B$3:B142=B143)*($O$3:O142=O143)),$G$3:G142),"")&lt;&gt;"Paused — pending decision"),"Resume is only for the event straight after a Precautionary pause on the same AIR-ID and UC-ID (in an earlier row)",IF(AND(E143="Decision",OR(G143="Progress",G143="Progress with condition",G143="Re-authorise",G143="Resume"),X143&lt;&gt;"Yes"),"Decision-maker has not confirmed the screening was considered (column X)","Check against source")))))))))))))))))))))))))))))</f>
        <v/>
      </c>
      <c r="O143" s="37" t="n"/>
      <c r="P143" s="37" t="n"/>
      <c r="Q143" s="14">
        <f>IF(A143="","",IF(E143&lt;&gt;"Decision","",IF(P143="UC-ID specific",IF(O143="","UC-ID REQUIRED","Check source decision for each UC-ID"),IF(P143="Shared system baseline",IF(O143&lt;&gt;"","REMOVE UC-ID OR CORRECT SCOPE","Baseline only — NOT UC approval"),"Decision scope missing"))))</f>
        <v/>
      </c>
      <c r="R143" s="43" t="n"/>
      <c r="S143" s="40" t="n"/>
      <c r="T143" s="40" t="n"/>
      <c r="U143" s="40" t="n"/>
      <c r="V143" s="40" t="n"/>
      <c r="W143" s="41" t="n"/>
      <c r="X143" s="38" t="n"/>
    </row>
    <row r="144">
      <c r="A144" s="38" t="n"/>
      <c r="B144" s="38" t="n"/>
      <c r="C144" s="38" t="n"/>
      <c r="D144" s="38" t="n"/>
      <c r="E144" s="38" t="n"/>
      <c r="F144" s="39" t="n"/>
      <c r="G144" s="38" t="n"/>
      <c r="H144" s="38" t="n"/>
      <c r="I144" s="38" t="n"/>
      <c r="J144" s="38" t="n"/>
      <c r="K144" s="38" t="n"/>
      <c r="L144" s="38" t="n"/>
      <c r="M144" s="38" t="n"/>
      <c r="N144" s="22">
        <f>IF(COUNTA(A144:M144,O144:P144,R144:X144)=0,"",IF(OR(A144="",B144="",F144=""),"Event ID, AIR-ID or date missing",IF(COUNTIF($A$4:$A$553,A144)&gt;1,"Duplicate Event ID",IF(E144="","Event type missing",IF(OR(NOT(ISNUMBER(F144)),F144&gt;TODAY()),"Date is not a real date or is in the future",IF(AND(C144&lt;&gt;"",COUNTIF('Gate plan'!$A$4:$A$353,C144)=0),"Plan ID not found in Gate plan",IF(AND(C144&lt;&gt;"",COUNTIFS('Gate plan'!$A$4:$A$353,C144,'Gate plan'!$B$4:$B$353,B144)=0),"Plan AIR-ID differs from event",IF(D144="","Gate / forum missing",IF(AND(E144="Precautionary pause (containment)",G144&lt;&gt;"Paused — pending decision"),"Precautionary pause: Outcome must be Paused, pending decision",IF(AND(E144="Precautionary pause (containment)",V144=""),"Precautionary pause: AIG-OPS-03 incident ref missing",IF(AND(E144="Precautionary pause (containment)",NOT(ISNUMBER(W144))),"Precautionary pause: follow-up decision due date missing",IF(AND(G144="Paused — pending decision",E144&lt;&gt;"Precautionary pause (containment)"),"Paused, pending decision is only for a Precautionary pause event",IF(AND(E144="Decision",OR(G144="",H144="",I144="")),"Outcome / delegation / decision ref missing",IF(AND(E144="Decision",NOT(OR(G144="Progress",G144="Progress with condition",G144="Return for evidence",G144="Pause",G144="Stop",G144="Suspend",G144="Decommission",G144="Re-authorise",G144="Resume"))),"Decision event needs a decision outcome",IF(AND(E144="Priority override",OR(H144="",I144="")),"Decision-maker / AIG-DEC-03 ref missing",IF(AND(E144="Priority override",G144&lt;&gt;"",G144&lt;&gt;"No decision"),"Priority override: Outcome blank or No decision",IF(AND(E144&lt;&gt;"Decision",OR(G144="Progress",G144="Progress with condition",G144="Return for evidence",G144="Pause",G144="Stop",G144="Suspend",G144="Decommission",G144="Re-authorise",G144="Resume")),"Outcome implies decision",IF(OR(ISNUMBER(SEARCH(",",O144)),ISNUMBER(SEARCH(";",O144))),"One UC-ID per event row — split this event",IF(AND(E144="Decision",OR(Q144="UC-ID REQUIRED",Q144="Decision scope missing",Q144="REMOVE UC-ID OR CORRECT SCOPE")),"Decision scope missing",IF(AND(G144="Progress with condition",COUNTIF(Conditions!$B$4:$B$553,A144)=0),"Progress with condition needs at least one Conditions row",IF(AND(C144&lt;&gt;"",COUNTIFS('Gate plan'!$A$4:$A$353,C144,'Gate plan'!$C$4:$C$353,D144)=0),"Plan gate differs from event gate",IF(AND(C144&lt;&gt;"",O144&lt;&gt;"",COUNTIFS('Gate plan'!$A$4:$A$353,C144,'Gate plan'!$K$4:$K$353,"&lt;&gt;")&gt;0,COUNTIFS('Gate plan'!$A$4:$A$353,C144,'Gate plan'!$K$4:$K$353,O144)=0),"Plan UC-ID differs from event UC-ID",IF(AND(E144="Assurance opinion",J144=""),"Assurance opinion ref missing",IF(AND(G144="Opinion only",E144&lt;&gt;"Assurance opinion",E144&lt;&gt;"Review only"),"Opinion only is for Assurance opinion or Review only events",IF(AND(G144="No decision",E144&lt;&gt;"Review only",E144&lt;&gt;"Priority override",E144&lt;&gt;"Intake / registration"),"No decision is for Review only, Priority override or Intake / registration events",IF(OR(ISNUMBER(SEARCH(" ",TRIM(O144))),ISNUMBER(SEARCH("/",O144))),"One UC-ID per event row: split this event",IF(AND(E144="Precautionary pause (containment)",ISNUMBER(W144),ISNUMBER(F144),W144&lt;F144),"Follow-up decision due date is before the pause",IF(AND(G144="Resume",IFERROR(LOOKUP(2,1/(($B$3:B143=B144)*($O$3:O143=O144)),$G$3:G143),"")&lt;&gt;"Paused — pending decision"),"Resume is only for the event straight after a Precautionary pause on the same AIR-ID and UC-ID (in an earlier row)",IF(AND(E144="Decision",OR(G144="Progress",G144="Progress with condition",G144="Re-authorise",G144="Resume"),X144&lt;&gt;"Yes"),"Decision-maker has not confirmed the screening was considered (column X)","Check against source")))))))))))))))))))))))))))))</f>
        <v/>
      </c>
      <c r="O144" s="37" t="n"/>
      <c r="P144" s="37" t="n"/>
      <c r="Q144" s="14">
        <f>IF(A144="","",IF(E144&lt;&gt;"Decision","",IF(P144="UC-ID specific",IF(O144="","UC-ID REQUIRED","Check source decision for each UC-ID"),IF(P144="Shared system baseline",IF(O144&lt;&gt;"","REMOVE UC-ID OR CORRECT SCOPE","Baseline only — NOT UC approval"),"Decision scope missing"))))</f>
        <v/>
      </c>
      <c r="R144" s="42" t="n"/>
      <c r="S144" s="38" t="n"/>
      <c r="T144" s="38" t="n"/>
      <c r="U144" s="38" t="n"/>
      <c r="V144" s="38" t="n"/>
      <c r="W144" s="39" t="n"/>
      <c r="X144" s="38" t="n"/>
    </row>
    <row r="145">
      <c r="A145" s="40" t="n"/>
      <c r="B145" s="40" t="n"/>
      <c r="C145" s="40" t="n"/>
      <c r="D145" s="40" t="n"/>
      <c r="E145" s="40" t="n"/>
      <c r="F145" s="41" t="n"/>
      <c r="G145" s="40" t="n"/>
      <c r="H145" s="40" t="n"/>
      <c r="I145" s="40" t="n"/>
      <c r="J145" s="40" t="n"/>
      <c r="K145" s="40" t="n"/>
      <c r="L145" s="40" t="n"/>
      <c r="M145" s="40" t="n"/>
      <c r="N145" s="24">
        <f>IF(COUNTA(A145:M145,O145:P145,R145:X145)=0,"",IF(OR(A145="",B145="",F145=""),"Event ID, AIR-ID or date missing",IF(COUNTIF($A$4:$A$553,A145)&gt;1,"Duplicate Event ID",IF(E145="","Event type missing",IF(OR(NOT(ISNUMBER(F145)),F145&gt;TODAY()),"Date is not a real date or is in the future",IF(AND(C145&lt;&gt;"",COUNTIF('Gate plan'!$A$4:$A$353,C145)=0),"Plan ID not found in Gate plan",IF(AND(C145&lt;&gt;"",COUNTIFS('Gate plan'!$A$4:$A$353,C145,'Gate plan'!$B$4:$B$353,B145)=0),"Plan AIR-ID differs from event",IF(D145="","Gate / forum missing",IF(AND(E145="Precautionary pause (containment)",G145&lt;&gt;"Paused — pending decision"),"Precautionary pause: Outcome must be Paused, pending decision",IF(AND(E145="Precautionary pause (containment)",V145=""),"Precautionary pause: AIG-OPS-03 incident ref missing",IF(AND(E145="Precautionary pause (containment)",NOT(ISNUMBER(W145))),"Precautionary pause: follow-up decision due date missing",IF(AND(G145="Paused — pending decision",E145&lt;&gt;"Precautionary pause (containment)"),"Paused, pending decision is only for a Precautionary pause event",IF(AND(E145="Decision",OR(G145="",H145="",I145="")),"Outcome / delegation / decision ref missing",IF(AND(E145="Decision",NOT(OR(G145="Progress",G145="Progress with condition",G145="Return for evidence",G145="Pause",G145="Stop",G145="Suspend",G145="Decommission",G145="Re-authorise",G145="Resume"))),"Decision event needs a decision outcome",IF(AND(E145="Priority override",OR(H145="",I145="")),"Decision-maker / AIG-DEC-03 ref missing",IF(AND(E145="Priority override",G145&lt;&gt;"",G145&lt;&gt;"No decision"),"Priority override: Outcome blank or No decision",IF(AND(E145&lt;&gt;"Decision",OR(G145="Progress",G145="Progress with condition",G145="Return for evidence",G145="Pause",G145="Stop",G145="Suspend",G145="Decommission",G145="Re-authorise",G145="Resume")),"Outcome implies decision",IF(OR(ISNUMBER(SEARCH(",",O145)),ISNUMBER(SEARCH(";",O145))),"One UC-ID per event row — split this event",IF(AND(E145="Decision",OR(Q145="UC-ID REQUIRED",Q145="Decision scope missing",Q145="REMOVE UC-ID OR CORRECT SCOPE")),"Decision scope missing",IF(AND(G145="Progress with condition",COUNTIF(Conditions!$B$4:$B$553,A145)=0),"Progress with condition needs at least one Conditions row",IF(AND(C145&lt;&gt;"",COUNTIFS('Gate plan'!$A$4:$A$353,C145,'Gate plan'!$C$4:$C$353,D145)=0),"Plan gate differs from event gate",IF(AND(C145&lt;&gt;"",O145&lt;&gt;"",COUNTIFS('Gate plan'!$A$4:$A$353,C145,'Gate plan'!$K$4:$K$353,"&lt;&gt;")&gt;0,COUNTIFS('Gate plan'!$A$4:$A$353,C145,'Gate plan'!$K$4:$K$353,O145)=0),"Plan UC-ID differs from event UC-ID",IF(AND(E145="Assurance opinion",J145=""),"Assurance opinion ref missing",IF(AND(G145="Opinion only",E145&lt;&gt;"Assurance opinion",E145&lt;&gt;"Review only"),"Opinion only is for Assurance opinion or Review only events",IF(AND(G145="No decision",E145&lt;&gt;"Review only",E145&lt;&gt;"Priority override",E145&lt;&gt;"Intake / registration"),"No decision is for Review only, Priority override or Intake / registration events",IF(OR(ISNUMBER(SEARCH(" ",TRIM(O145))),ISNUMBER(SEARCH("/",O145))),"One UC-ID per event row: split this event",IF(AND(E145="Precautionary pause (containment)",ISNUMBER(W145),ISNUMBER(F145),W145&lt;F145),"Follow-up decision due date is before the pause",IF(AND(G145="Resume",IFERROR(LOOKUP(2,1/(($B$3:B144=B145)*($O$3:O144=O145)),$G$3:G144),"")&lt;&gt;"Paused — pending decision"),"Resume is only for the event straight after a Precautionary pause on the same AIR-ID and UC-ID (in an earlier row)",IF(AND(E145="Decision",OR(G145="Progress",G145="Progress with condition",G145="Re-authorise",G145="Resume"),X145&lt;&gt;"Yes"),"Decision-maker has not confirmed the screening was considered (column X)","Check against source")))))))))))))))))))))))))))))</f>
        <v/>
      </c>
      <c r="O145" s="37" t="n"/>
      <c r="P145" s="37" t="n"/>
      <c r="Q145" s="14">
        <f>IF(A145="","",IF(E145&lt;&gt;"Decision","",IF(P145="UC-ID specific",IF(O145="","UC-ID REQUIRED","Check source decision for each UC-ID"),IF(P145="Shared system baseline",IF(O145&lt;&gt;"","REMOVE UC-ID OR CORRECT SCOPE","Baseline only — NOT UC approval"),"Decision scope missing"))))</f>
        <v/>
      </c>
      <c r="R145" s="43" t="n"/>
      <c r="S145" s="40" t="n"/>
      <c r="T145" s="40" t="n"/>
      <c r="U145" s="40" t="n"/>
      <c r="V145" s="40" t="n"/>
      <c r="W145" s="41" t="n"/>
      <c r="X145" s="38" t="n"/>
    </row>
    <row r="146">
      <c r="A146" s="38" t="n"/>
      <c r="B146" s="38" t="n"/>
      <c r="C146" s="38" t="n"/>
      <c r="D146" s="38" t="n"/>
      <c r="E146" s="38" t="n"/>
      <c r="F146" s="39" t="n"/>
      <c r="G146" s="38" t="n"/>
      <c r="H146" s="38" t="n"/>
      <c r="I146" s="38" t="n"/>
      <c r="J146" s="38" t="n"/>
      <c r="K146" s="38" t="n"/>
      <c r="L146" s="38" t="n"/>
      <c r="M146" s="38" t="n"/>
      <c r="N146" s="22">
        <f>IF(COUNTA(A146:M146,O146:P146,R146:X146)=0,"",IF(OR(A146="",B146="",F146=""),"Event ID, AIR-ID or date missing",IF(COUNTIF($A$4:$A$553,A146)&gt;1,"Duplicate Event ID",IF(E146="","Event type missing",IF(OR(NOT(ISNUMBER(F146)),F146&gt;TODAY()),"Date is not a real date or is in the future",IF(AND(C146&lt;&gt;"",COUNTIF('Gate plan'!$A$4:$A$353,C146)=0),"Plan ID not found in Gate plan",IF(AND(C146&lt;&gt;"",COUNTIFS('Gate plan'!$A$4:$A$353,C146,'Gate plan'!$B$4:$B$353,B146)=0),"Plan AIR-ID differs from event",IF(D146="","Gate / forum missing",IF(AND(E146="Precautionary pause (containment)",G146&lt;&gt;"Paused — pending decision"),"Precautionary pause: Outcome must be Paused, pending decision",IF(AND(E146="Precautionary pause (containment)",V146=""),"Precautionary pause: AIG-OPS-03 incident ref missing",IF(AND(E146="Precautionary pause (containment)",NOT(ISNUMBER(W146))),"Precautionary pause: follow-up decision due date missing",IF(AND(G146="Paused — pending decision",E146&lt;&gt;"Precautionary pause (containment)"),"Paused, pending decision is only for a Precautionary pause event",IF(AND(E146="Decision",OR(G146="",H146="",I146="")),"Outcome / delegation / decision ref missing",IF(AND(E146="Decision",NOT(OR(G146="Progress",G146="Progress with condition",G146="Return for evidence",G146="Pause",G146="Stop",G146="Suspend",G146="Decommission",G146="Re-authorise",G146="Resume"))),"Decision event needs a decision outcome",IF(AND(E146="Priority override",OR(H146="",I146="")),"Decision-maker / AIG-DEC-03 ref missing",IF(AND(E146="Priority override",G146&lt;&gt;"",G146&lt;&gt;"No decision"),"Priority override: Outcome blank or No decision",IF(AND(E146&lt;&gt;"Decision",OR(G146="Progress",G146="Progress with condition",G146="Return for evidence",G146="Pause",G146="Stop",G146="Suspend",G146="Decommission",G146="Re-authorise",G146="Resume")),"Outcome implies decision",IF(OR(ISNUMBER(SEARCH(",",O146)),ISNUMBER(SEARCH(";",O146))),"One UC-ID per event row — split this event",IF(AND(E146="Decision",OR(Q146="UC-ID REQUIRED",Q146="Decision scope missing",Q146="REMOVE UC-ID OR CORRECT SCOPE")),"Decision scope missing",IF(AND(G146="Progress with condition",COUNTIF(Conditions!$B$4:$B$553,A146)=0),"Progress with condition needs at least one Conditions row",IF(AND(C146&lt;&gt;"",COUNTIFS('Gate plan'!$A$4:$A$353,C146,'Gate plan'!$C$4:$C$353,D146)=0),"Plan gate differs from event gate",IF(AND(C146&lt;&gt;"",O146&lt;&gt;"",COUNTIFS('Gate plan'!$A$4:$A$353,C146,'Gate plan'!$K$4:$K$353,"&lt;&gt;")&gt;0,COUNTIFS('Gate plan'!$A$4:$A$353,C146,'Gate plan'!$K$4:$K$353,O146)=0),"Plan UC-ID differs from event UC-ID",IF(AND(E146="Assurance opinion",J146=""),"Assurance opinion ref missing",IF(AND(G146="Opinion only",E146&lt;&gt;"Assurance opinion",E146&lt;&gt;"Review only"),"Opinion only is for Assurance opinion or Review only events",IF(AND(G146="No decision",E146&lt;&gt;"Review only",E146&lt;&gt;"Priority override",E146&lt;&gt;"Intake / registration"),"No decision is for Review only, Priority override or Intake / registration events",IF(OR(ISNUMBER(SEARCH(" ",TRIM(O146))),ISNUMBER(SEARCH("/",O146))),"One UC-ID per event row: split this event",IF(AND(E146="Precautionary pause (containment)",ISNUMBER(W146),ISNUMBER(F146),W146&lt;F146),"Follow-up decision due date is before the pause",IF(AND(G146="Resume",IFERROR(LOOKUP(2,1/(($B$3:B145=B146)*($O$3:O145=O146)),$G$3:G145),"")&lt;&gt;"Paused — pending decision"),"Resume is only for the event straight after a Precautionary pause on the same AIR-ID and UC-ID (in an earlier row)",IF(AND(E146="Decision",OR(G146="Progress",G146="Progress with condition",G146="Re-authorise",G146="Resume"),X146&lt;&gt;"Yes"),"Decision-maker has not confirmed the screening was considered (column X)","Check against source")))))))))))))))))))))))))))))</f>
        <v/>
      </c>
      <c r="O146" s="37" t="n"/>
      <c r="P146" s="37" t="n"/>
      <c r="Q146" s="14">
        <f>IF(A146="","",IF(E146&lt;&gt;"Decision","",IF(P146="UC-ID specific",IF(O146="","UC-ID REQUIRED","Check source decision for each UC-ID"),IF(P146="Shared system baseline",IF(O146&lt;&gt;"","REMOVE UC-ID OR CORRECT SCOPE","Baseline only — NOT UC approval"),"Decision scope missing"))))</f>
        <v/>
      </c>
      <c r="R146" s="42" t="n"/>
      <c r="S146" s="38" t="n"/>
      <c r="T146" s="38" t="n"/>
      <c r="U146" s="38" t="n"/>
      <c r="V146" s="38" t="n"/>
      <c r="W146" s="39" t="n"/>
      <c r="X146" s="38" t="n"/>
    </row>
    <row r="147">
      <c r="A147" s="40" t="n"/>
      <c r="B147" s="40" t="n"/>
      <c r="C147" s="40" t="n"/>
      <c r="D147" s="40" t="n"/>
      <c r="E147" s="40" t="n"/>
      <c r="F147" s="41" t="n"/>
      <c r="G147" s="40" t="n"/>
      <c r="H147" s="40" t="n"/>
      <c r="I147" s="40" t="n"/>
      <c r="J147" s="40" t="n"/>
      <c r="K147" s="40" t="n"/>
      <c r="L147" s="40" t="n"/>
      <c r="M147" s="40" t="n"/>
      <c r="N147" s="24">
        <f>IF(COUNTA(A147:M147,O147:P147,R147:X147)=0,"",IF(OR(A147="",B147="",F147=""),"Event ID, AIR-ID or date missing",IF(COUNTIF($A$4:$A$553,A147)&gt;1,"Duplicate Event ID",IF(E147="","Event type missing",IF(OR(NOT(ISNUMBER(F147)),F147&gt;TODAY()),"Date is not a real date or is in the future",IF(AND(C147&lt;&gt;"",COUNTIF('Gate plan'!$A$4:$A$353,C147)=0),"Plan ID not found in Gate plan",IF(AND(C147&lt;&gt;"",COUNTIFS('Gate plan'!$A$4:$A$353,C147,'Gate plan'!$B$4:$B$353,B147)=0),"Plan AIR-ID differs from event",IF(D147="","Gate / forum missing",IF(AND(E147="Precautionary pause (containment)",G147&lt;&gt;"Paused — pending decision"),"Precautionary pause: Outcome must be Paused, pending decision",IF(AND(E147="Precautionary pause (containment)",V147=""),"Precautionary pause: AIG-OPS-03 incident ref missing",IF(AND(E147="Precautionary pause (containment)",NOT(ISNUMBER(W147))),"Precautionary pause: follow-up decision due date missing",IF(AND(G147="Paused — pending decision",E147&lt;&gt;"Precautionary pause (containment)"),"Paused, pending decision is only for a Precautionary pause event",IF(AND(E147="Decision",OR(G147="",H147="",I147="")),"Outcome / delegation / decision ref missing",IF(AND(E147="Decision",NOT(OR(G147="Progress",G147="Progress with condition",G147="Return for evidence",G147="Pause",G147="Stop",G147="Suspend",G147="Decommission",G147="Re-authorise",G147="Resume"))),"Decision event needs a decision outcome",IF(AND(E147="Priority override",OR(H147="",I147="")),"Decision-maker / AIG-DEC-03 ref missing",IF(AND(E147="Priority override",G147&lt;&gt;"",G147&lt;&gt;"No decision"),"Priority override: Outcome blank or No decision",IF(AND(E147&lt;&gt;"Decision",OR(G147="Progress",G147="Progress with condition",G147="Return for evidence",G147="Pause",G147="Stop",G147="Suspend",G147="Decommission",G147="Re-authorise",G147="Resume")),"Outcome implies decision",IF(OR(ISNUMBER(SEARCH(",",O147)),ISNUMBER(SEARCH(";",O147))),"One UC-ID per event row — split this event",IF(AND(E147="Decision",OR(Q147="UC-ID REQUIRED",Q147="Decision scope missing",Q147="REMOVE UC-ID OR CORRECT SCOPE")),"Decision scope missing",IF(AND(G147="Progress with condition",COUNTIF(Conditions!$B$4:$B$553,A147)=0),"Progress with condition needs at least one Conditions row",IF(AND(C147&lt;&gt;"",COUNTIFS('Gate plan'!$A$4:$A$353,C147,'Gate plan'!$C$4:$C$353,D147)=0),"Plan gate differs from event gate",IF(AND(C147&lt;&gt;"",O147&lt;&gt;"",COUNTIFS('Gate plan'!$A$4:$A$353,C147,'Gate plan'!$K$4:$K$353,"&lt;&gt;")&gt;0,COUNTIFS('Gate plan'!$A$4:$A$353,C147,'Gate plan'!$K$4:$K$353,O147)=0),"Plan UC-ID differs from event UC-ID",IF(AND(E147="Assurance opinion",J147=""),"Assurance opinion ref missing",IF(AND(G147="Opinion only",E147&lt;&gt;"Assurance opinion",E147&lt;&gt;"Review only"),"Opinion only is for Assurance opinion or Review only events",IF(AND(G147="No decision",E147&lt;&gt;"Review only",E147&lt;&gt;"Priority override",E147&lt;&gt;"Intake / registration"),"No decision is for Review only, Priority override or Intake / registration events",IF(OR(ISNUMBER(SEARCH(" ",TRIM(O147))),ISNUMBER(SEARCH("/",O147))),"One UC-ID per event row: split this event",IF(AND(E147="Precautionary pause (containment)",ISNUMBER(W147),ISNUMBER(F147),W147&lt;F147),"Follow-up decision due date is before the pause",IF(AND(G147="Resume",IFERROR(LOOKUP(2,1/(($B$3:B146=B147)*($O$3:O146=O147)),$G$3:G146),"")&lt;&gt;"Paused — pending decision"),"Resume is only for the event straight after a Precautionary pause on the same AIR-ID and UC-ID (in an earlier row)",IF(AND(E147="Decision",OR(G147="Progress",G147="Progress with condition",G147="Re-authorise",G147="Resume"),X147&lt;&gt;"Yes"),"Decision-maker has not confirmed the screening was considered (column X)","Check against source")))))))))))))))))))))))))))))</f>
        <v/>
      </c>
      <c r="O147" s="37" t="n"/>
      <c r="P147" s="37" t="n"/>
      <c r="Q147" s="14">
        <f>IF(A147="","",IF(E147&lt;&gt;"Decision","",IF(P147="UC-ID specific",IF(O147="","UC-ID REQUIRED","Check source decision for each UC-ID"),IF(P147="Shared system baseline",IF(O147&lt;&gt;"","REMOVE UC-ID OR CORRECT SCOPE","Baseline only — NOT UC approval"),"Decision scope missing"))))</f>
        <v/>
      </c>
      <c r="R147" s="43" t="n"/>
      <c r="S147" s="40" t="n"/>
      <c r="T147" s="40" t="n"/>
      <c r="U147" s="40" t="n"/>
      <c r="V147" s="40" t="n"/>
      <c r="W147" s="41" t="n"/>
      <c r="X147" s="38" t="n"/>
    </row>
    <row r="148">
      <c r="A148" s="38" t="n"/>
      <c r="B148" s="38" t="n"/>
      <c r="C148" s="38" t="n"/>
      <c r="D148" s="38" t="n"/>
      <c r="E148" s="38" t="n"/>
      <c r="F148" s="39" t="n"/>
      <c r="G148" s="38" t="n"/>
      <c r="H148" s="38" t="n"/>
      <c r="I148" s="38" t="n"/>
      <c r="J148" s="38" t="n"/>
      <c r="K148" s="38" t="n"/>
      <c r="L148" s="38" t="n"/>
      <c r="M148" s="38" t="n"/>
      <c r="N148" s="22">
        <f>IF(COUNTA(A148:M148,O148:P148,R148:X148)=0,"",IF(OR(A148="",B148="",F148=""),"Event ID, AIR-ID or date missing",IF(COUNTIF($A$4:$A$553,A148)&gt;1,"Duplicate Event ID",IF(E148="","Event type missing",IF(OR(NOT(ISNUMBER(F148)),F148&gt;TODAY()),"Date is not a real date or is in the future",IF(AND(C148&lt;&gt;"",COUNTIF('Gate plan'!$A$4:$A$353,C148)=0),"Plan ID not found in Gate plan",IF(AND(C148&lt;&gt;"",COUNTIFS('Gate plan'!$A$4:$A$353,C148,'Gate plan'!$B$4:$B$353,B148)=0),"Plan AIR-ID differs from event",IF(D148="","Gate / forum missing",IF(AND(E148="Precautionary pause (containment)",G148&lt;&gt;"Paused — pending decision"),"Precautionary pause: Outcome must be Paused, pending decision",IF(AND(E148="Precautionary pause (containment)",V148=""),"Precautionary pause: AIG-OPS-03 incident ref missing",IF(AND(E148="Precautionary pause (containment)",NOT(ISNUMBER(W148))),"Precautionary pause: follow-up decision due date missing",IF(AND(G148="Paused — pending decision",E148&lt;&gt;"Precautionary pause (containment)"),"Paused, pending decision is only for a Precautionary pause event",IF(AND(E148="Decision",OR(G148="",H148="",I148="")),"Outcome / delegation / decision ref missing",IF(AND(E148="Decision",NOT(OR(G148="Progress",G148="Progress with condition",G148="Return for evidence",G148="Pause",G148="Stop",G148="Suspend",G148="Decommission",G148="Re-authorise",G148="Resume"))),"Decision event needs a decision outcome",IF(AND(E148="Priority override",OR(H148="",I148="")),"Decision-maker / AIG-DEC-03 ref missing",IF(AND(E148="Priority override",G148&lt;&gt;"",G148&lt;&gt;"No decision"),"Priority override: Outcome blank or No decision",IF(AND(E148&lt;&gt;"Decision",OR(G148="Progress",G148="Progress with condition",G148="Return for evidence",G148="Pause",G148="Stop",G148="Suspend",G148="Decommission",G148="Re-authorise",G148="Resume")),"Outcome implies decision",IF(OR(ISNUMBER(SEARCH(",",O148)),ISNUMBER(SEARCH(";",O148))),"One UC-ID per event row — split this event",IF(AND(E148="Decision",OR(Q148="UC-ID REQUIRED",Q148="Decision scope missing",Q148="REMOVE UC-ID OR CORRECT SCOPE")),"Decision scope missing",IF(AND(G148="Progress with condition",COUNTIF(Conditions!$B$4:$B$553,A148)=0),"Progress with condition needs at least one Conditions row",IF(AND(C148&lt;&gt;"",COUNTIFS('Gate plan'!$A$4:$A$353,C148,'Gate plan'!$C$4:$C$353,D148)=0),"Plan gate differs from event gate",IF(AND(C148&lt;&gt;"",O148&lt;&gt;"",COUNTIFS('Gate plan'!$A$4:$A$353,C148,'Gate plan'!$K$4:$K$353,"&lt;&gt;")&gt;0,COUNTIFS('Gate plan'!$A$4:$A$353,C148,'Gate plan'!$K$4:$K$353,O148)=0),"Plan UC-ID differs from event UC-ID",IF(AND(E148="Assurance opinion",J148=""),"Assurance opinion ref missing",IF(AND(G148="Opinion only",E148&lt;&gt;"Assurance opinion",E148&lt;&gt;"Review only"),"Opinion only is for Assurance opinion or Review only events",IF(AND(G148="No decision",E148&lt;&gt;"Review only",E148&lt;&gt;"Priority override",E148&lt;&gt;"Intake / registration"),"No decision is for Review only, Priority override or Intake / registration events",IF(OR(ISNUMBER(SEARCH(" ",TRIM(O148))),ISNUMBER(SEARCH("/",O148))),"One UC-ID per event row: split this event",IF(AND(E148="Precautionary pause (containment)",ISNUMBER(W148),ISNUMBER(F148),W148&lt;F148),"Follow-up decision due date is before the pause",IF(AND(G148="Resume",IFERROR(LOOKUP(2,1/(($B$3:B147=B148)*($O$3:O147=O148)),$G$3:G147),"")&lt;&gt;"Paused — pending decision"),"Resume is only for the event straight after a Precautionary pause on the same AIR-ID and UC-ID (in an earlier row)",IF(AND(E148="Decision",OR(G148="Progress",G148="Progress with condition",G148="Re-authorise",G148="Resume"),X148&lt;&gt;"Yes"),"Decision-maker has not confirmed the screening was considered (column X)","Check against source")))))))))))))))))))))))))))))</f>
        <v/>
      </c>
      <c r="O148" s="37" t="n"/>
      <c r="P148" s="37" t="n"/>
      <c r="Q148" s="14">
        <f>IF(A148="","",IF(E148&lt;&gt;"Decision","",IF(P148="UC-ID specific",IF(O148="","UC-ID REQUIRED","Check source decision for each UC-ID"),IF(P148="Shared system baseline",IF(O148&lt;&gt;"","REMOVE UC-ID OR CORRECT SCOPE","Baseline only — NOT UC approval"),"Decision scope missing"))))</f>
        <v/>
      </c>
      <c r="R148" s="42" t="n"/>
      <c r="S148" s="38" t="n"/>
      <c r="T148" s="38" t="n"/>
      <c r="U148" s="38" t="n"/>
      <c r="V148" s="38" t="n"/>
      <c r="W148" s="39" t="n"/>
      <c r="X148" s="38" t="n"/>
    </row>
    <row r="149">
      <c r="A149" s="40" t="n"/>
      <c r="B149" s="40" t="n"/>
      <c r="C149" s="40" t="n"/>
      <c r="D149" s="40" t="n"/>
      <c r="E149" s="40" t="n"/>
      <c r="F149" s="41" t="n"/>
      <c r="G149" s="40" t="n"/>
      <c r="H149" s="40" t="n"/>
      <c r="I149" s="40" t="n"/>
      <c r="J149" s="40" t="n"/>
      <c r="K149" s="40" t="n"/>
      <c r="L149" s="40" t="n"/>
      <c r="M149" s="40" t="n"/>
      <c r="N149" s="24">
        <f>IF(COUNTA(A149:M149,O149:P149,R149:X149)=0,"",IF(OR(A149="",B149="",F149=""),"Event ID, AIR-ID or date missing",IF(COUNTIF($A$4:$A$553,A149)&gt;1,"Duplicate Event ID",IF(E149="","Event type missing",IF(OR(NOT(ISNUMBER(F149)),F149&gt;TODAY()),"Date is not a real date or is in the future",IF(AND(C149&lt;&gt;"",COUNTIF('Gate plan'!$A$4:$A$353,C149)=0),"Plan ID not found in Gate plan",IF(AND(C149&lt;&gt;"",COUNTIFS('Gate plan'!$A$4:$A$353,C149,'Gate plan'!$B$4:$B$353,B149)=0),"Plan AIR-ID differs from event",IF(D149="","Gate / forum missing",IF(AND(E149="Precautionary pause (containment)",G149&lt;&gt;"Paused — pending decision"),"Precautionary pause: Outcome must be Paused, pending decision",IF(AND(E149="Precautionary pause (containment)",V149=""),"Precautionary pause: AIG-OPS-03 incident ref missing",IF(AND(E149="Precautionary pause (containment)",NOT(ISNUMBER(W149))),"Precautionary pause: follow-up decision due date missing",IF(AND(G149="Paused — pending decision",E149&lt;&gt;"Precautionary pause (containment)"),"Paused, pending decision is only for a Precautionary pause event",IF(AND(E149="Decision",OR(G149="",H149="",I149="")),"Outcome / delegation / decision ref missing",IF(AND(E149="Decision",NOT(OR(G149="Progress",G149="Progress with condition",G149="Return for evidence",G149="Pause",G149="Stop",G149="Suspend",G149="Decommission",G149="Re-authorise",G149="Resume"))),"Decision event needs a decision outcome",IF(AND(E149="Priority override",OR(H149="",I149="")),"Decision-maker / AIG-DEC-03 ref missing",IF(AND(E149="Priority override",G149&lt;&gt;"",G149&lt;&gt;"No decision"),"Priority override: Outcome blank or No decision",IF(AND(E149&lt;&gt;"Decision",OR(G149="Progress",G149="Progress with condition",G149="Return for evidence",G149="Pause",G149="Stop",G149="Suspend",G149="Decommission",G149="Re-authorise",G149="Resume")),"Outcome implies decision",IF(OR(ISNUMBER(SEARCH(",",O149)),ISNUMBER(SEARCH(";",O149))),"One UC-ID per event row — split this event",IF(AND(E149="Decision",OR(Q149="UC-ID REQUIRED",Q149="Decision scope missing",Q149="REMOVE UC-ID OR CORRECT SCOPE")),"Decision scope missing",IF(AND(G149="Progress with condition",COUNTIF(Conditions!$B$4:$B$553,A149)=0),"Progress with condition needs at least one Conditions row",IF(AND(C149&lt;&gt;"",COUNTIFS('Gate plan'!$A$4:$A$353,C149,'Gate plan'!$C$4:$C$353,D149)=0),"Plan gate differs from event gate",IF(AND(C149&lt;&gt;"",O149&lt;&gt;"",COUNTIFS('Gate plan'!$A$4:$A$353,C149,'Gate plan'!$K$4:$K$353,"&lt;&gt;")&gt;0,COUNTIFS('Gate plan'!$A$4:$A$353,C149,'Gate plan'!$K$4:$K$353,O149)=0),"Plan UC-ID differs from event UC-ID",IF(AND(E149="Assurance opinion",J149=""),"Assurance opinion ref missing",IF(AND(G149="Opinion only",E149&lt;&gt;"Assurance opinion",E149&lt;&gt;"Review only"),"Opinion only is for Assurance opinion or Review only events",IF(AND(G149="No decision",E149&lt;&gt;"Review only",E149&lt;&gt;"Priority override",E149&lt;&gt;"Intake / registration"),"No decision is for Review only, Priority override or Intake / registration events",IF(OR(ISNUMBER(SEARCH(" ",TRIM(O149))),ISNUMBER(SEARCH("/",O149))),"One UC-ID per event row: split this event",IF(AND(E149="Precautionary pause (containment)",ISNUMBER(W149),ISNUMBER(F149),W149&lt;F149),"Follow-up decision due date is before the pause",IF(AND(G149="Resume",IFERROR(LOOKUP(2,1/(($B$3:B148=B149)*($O$3:O148=O149)),$G$3:G148),"")&lt;&gt;"Paused — pending decision"),"Resume is only for the event straight after a Precautionary pause on the same AIR-ID and UC-ID (in an earlier row)",IF(AND(E149="Decision",OR(G149="Progress",G149="Progress with condition",G149="Re-authorise",G149="Resume"),X149&lt;&gt;"Yes"),"Decision-maker has not confirmed the screening was considered (column X)","Check against source")))))))))))))))))))))))))))))</f>
        <v/>
      </c>
      <c r="O149" s="37" t="n"/>
      <c r="P149" s="37" t="n"/>
      <c r="Q149" s="14">
        <f>IF(A149="","",IF(E149&lt;&gt;"Decision","",IF(P149="UC-ID specific",IF(O149="","UC-ID REQUIRED","Check source decision for each UC-ID"),IF(P149="Shared system baseline",IF(O149&lt;&gt;"","REMOVE UC-ID OR CORRECT SCOPE","Baseline only — NOT UC approval"),"Decision scope missing"))))</f>
        <v/>
      </c>
      <c r="R149" s="43" t="n"/>
      <c r="S149" s="40" t="n"/>
      <c r="T149" s="40" t="n"/>
      <c r="U149" s="40" t="n"/>
      <c r="V149" s="40" t="n"/>
      <c r="W149" s="41" t="n"/>
      <c r="X149" s="38" t="n"/>
    </row>
    <row r="150">
      <c r="A150" s="38" t="n"/>
      <c r="B150" s="38" t="n"/>
      <c r="C150" s="38" t="n"/>
      <c r="D150" s="38" t="n"/>
      <c r="E150" s="38" t="n"/>
      <c r="F150" s="39" t="n"/>
      <c r="G150" s="38" t="n"/>
      <c r="H150" s="38" t="n"/>
      <c r="I150" s="38" t="n"/>
      <c r="J150" s="38" t="n"/>
      <c r="K150" s="38" t="n"/>
      <c r="L150" s="38" t="n"/>
      <c r="M150" s="38" t="n"/>
      <c r="N150" s="22">
        <f>IF(COUNTA(A150:M150,O150:P150,R150:X150)=0,"",IF(OR(A150="",B150="",F150=""),"Event ID, AIR-ID or date missing",IF(COUNTIF($A$4:$A$553,A150)&gt;1,"Duplicate Event ID",IF(E150="","Event type missing",IF(OR(NOT(ISNUMBER(F150)),F150&gt;TODAY()),"Date is not a real date or is in the future",IF(AND(C150&lt;&gt;"",COUNTIF('Gate plan'!$A$4:$A$353,C150)=0),"Plan ID not found in Gate plan",IF(AND(C150&lt;&gt;"",COUNTIFS('Gate plan'!$A$4:$A$353,C150,'Gate plan'!$B$4:$B$353,B150)=0),"Plan AIR-ID differs from event",IF(D150="","Gate / forum missing",IF(AND(E150="Precautionary pause (containment)",G150&lt;&gt;"Paused — pending decision"),"Precautionary pause: Outcome must be Paused, pending decision",IF(AND(E150="Precautionary pause (containment)",V150=""),"Precautionary pause: AIG-OPS-03 incident ref missing",IF(AND(E150="Precautionary pause (containment)",NOT(ISNUMBER(W150))),"Precautionary pause: follow-up decision due date missing",IF(AND(G150="Paused — pending decision",E150&lt;&gt;"Precautionary pause (containment)"),"Paused, pending decision is only for a Precautionary pause event",IF(AND(E150="Decision",OR(G150="",H150="",I150="")),"Outcome / delegation / decision ref missing",IF(AND(E150="Decision",NOT(OR(G150="Progress",G150="Progress with condition",G150="Return for evidence",G150="Pause",G150="Stop",G150="Suspend",G150="Decommission",G150="Re-authorise",G150="Resume"))),"Decision event needs a decision outcome",IF(AND(E150="Priority override",OR(H150="",I150="")),"Decision-maker / AIG-DEC-03 ref missing",IF(AND(E150="Priority override",G150&lt;&gt;"",G150&lt;&gt;"No decision"),"Priority override: Outcome blank or No decision",IF(AND(E150&lt;&gt;"Decision",OR(G150="Progress",G150="Progress with condition",G150="Return for evidence",G150="Pause",G150="Stop",G150="Suspend",G150="Decommission",G150="Re-authorise",G150="Resume")),"Outcome implies decision",IF(OR(ISNUMBER(SEARCH(",",O150)),ISNUMBER(SEARCH(";",O150))),"One UC-ID per event row — split this event",IF(AND(E150="Decision",OR(Q150="UC-ID REQUIRED",Q150="Decision scope missing",Q150="REMOVE UC-ID OR CORRECT SCOPE")),"Decision scope missing",IF(AND(G150="Progress with condition",COUNTIF(Conditions!$B$4:$B$553,A150)=0),"Progress with condition needs at least one Conditions row",IF(AND(C150&lt;&gt;"",COUNTIFS('Gate plan'!$A$4:$A$353,C150,'Gate plan'!$C$4:$C$353,D150)=0),"Plan gate differs from event gate",IF(AND(C150&lt;&gt;"",O150&lt;&gt;"",COUNTIFS('Gate plan'!$A$4:$A$353,C150,'Gate plan'!$K$4:$K$353,"&lt;&gt;")&gt;0,COUNTIFS('Gate plan'!$A$4:$A$353,C150,'Gate plan'!$K$4:$K$353,O150)=0),"Plan UC-ID differs from event UC-ID",IF(AND(E150="Assurance opinion",J150=""),"Assurance opinion ref missing",IF(AND(G150="Opinion only",E150&lt;&gt;"Assurance opinion",E150&lt;&gt;"Review only"),"Opinion only is for Assurance opinion or Review only events",IF(AND(G150="No decision",E150&lt;&gt;"Review only",E150&lt;&gt;"Priority override",E150&lt;&gt;"Intake / registration"),"No decision is for Review only, Priority override or Intake / registration events",IF(OR(ISNUMBER(SEARCH(" ",TRIM(O150))),ISNUMBER(SEARCH("/",O150))),"One UC-ID per event row: split this event",IF(AND(E150="Precautionary pause (containment)",ISNUMBER(W150),ISNUMBER(F150),W150&lt;F150),"Follow-up decision due date is before the pause",IF(AND(G150="Resume",IFERROR(LOOKUP(2,1/(($B$3:B149=B150)*($O$3:O149=O150)),$G$3:G149),"")&lt;&gt;"Paused — pending decision"),"Resume is only for the event straight after a Precautionary pause on the same AIR-ID and UC-ID (in an earlier row)",IF(AND(E150="Decision",OR(G150="Progress",G150="Progress with condition",G150="Re-authorise",G150="Resume"),X150&lt;&gt;"Yes"),"Decision-maker has not confirmed the screening was considered (column X)","Check against source")))))))))))))))))))))))))))))</f>
        <v/>
      </c>
      <c r="O150" s="37" t="n"/>
      <c r="P150" s="37" t="n"/>
      <c r="Q150" s="14">
        <f>IF(A150="","",IF(E150&lt;&gt;"Decision","",IF(P150="UC-ID specific",IF(O150="","UC-ID REQUIRED","Check source decision for each UC-ID"),IF(P150="Shared system baseline",IF(O150&lt;&gt;"","REMOVE UC-ID OR CORRECT SCOPE","Baseline only — NOT UC approval"),"Decision scope missing"))))</f>
        <v/>
      </c>
      <c r="R150" s="42" t="n"/>
      <c r="S150" s="38" t="n"/>
      <c r="T150" s="38" t="n"/>
      <c r="U150" s="38" t="n"/>
      <c r="V150" s="38" t="n"/>
      <c r="W150" s="39" t="n"/>
      <c r="X150" s="38" t="n"/>
    </row>
    <row r="151">
      <c r="A151" s="40" t="n"/>
      <c r="B151" s="40" t="n"/>
      <c r="C151" s="40" t="n"/>
      <c r="D151" s="40" t="n"/>
      <c r="E151" s="40" t="n"/>
      <c r="F151" s="41" t="n"/>
      <c r="G151" s="40" t="n"/>
      <c r="H151" s="40" t="n"/>
      <c r="I151" s="40" t="n"/>
      <c r="J151" s="40" t="n"/>
      <c r="K151" s="40" t="n"/>
      <c r="L151" s="40" t="n"/>
      <c r="M151" s="40" t="n"/>
      <c r="N151" s="24">
        <f>IF(COUNTA(A151:M151,O151:P151,R151:X151)=0,"",IF(OR(A151="",B151="",F151=""),"Event ID, AIR-ID or date missing",IF(COUNTIF($A$4:$A$553,A151)&gt;1,"Duplicate Event ID",IF(E151="","Event type missing",IF(OR(NOT(ISNUMBER(F151)),F151&gt;TODAY()),"Date is not a real date or is in the future",IF(AND(C151&lt;&gt;"",COUNTIF('Gate plan'!$A$4:$A$353,C151)=0),"Plan ID not found in Gate plan",IF(AND(C151&lt;&gt;"",COUNTIFS('Gate plan'!$A$4:$A$353,C151,'Gate plan'!$B$4:$B$353,B151)=0),"Plan AIR-ID differs from event",IF(D151="","Gate / forum missing",IF(AND(E151="Precautionary pause (containment)",G151&lt;&gt;"Paused — pending decision"),"Precautionary pause: Outcome must be Paused, pending decision",IF(AND(E151="Precautionary pause (containment)",V151=""),"Precautionary pause: AIG-OPS-03 incident ref missing",IF(AND(E151="Precautionary pause (containment)",NOT(ISNUMBER(W151))),"Precautionary pause: follow-up decision due date missing",IF(AND(G151="Paused — pending decision",E151&lt;&gt;"Precautionary pause (containment)"),"Paused, pending decision is only for a Precautionary pause event",IF(AND(E151="Decision",OR(G151="",H151="",I151="")),"Outcome / delegation / decision ref missing",IF(AND(E151="Decision",NOT(OR(G151="Progress",G151="Progress with condition",G151="Return for evidence",G151="Pause",G151="Stop",G151="Suspend",G151="Decommission",G151="Re-authorise",G151="Resume"))),"Decision event needs a decision outcome",IF(AND(E151="Priority override",OR(H151="",I151="")),"Decision-maker / AIG-DEC-03 ref missing",IF(AND(E151="Priority override",G151&lt;&gt;"",G151&lt;&gt;"No decision"),"Priority override: Outcome blank or No decision",IF(AND(E151&lt;&gt;"Decision",OR(G151="Progress",G151="Progress with condition",G151="Return for evidence",G151="Pause",G151="Stop",G151="Suspend",G151="Decommission",G151="Re-authorise",G151="Resume")),"Outcome implies decision",IF(OR(ISNUMBER(SEARCH(",",O151)),ISNUMBER(SEARCH(";",O151))),"One UC-ID per event row — split this event",IF(AND(E151="Decision",OR(Q151="UC-ID REQUIRED",Q151="Decision scope missing",Q151="REMOVE UC-ID OR CORRECT SCOPE")),"Decision scope missing",IF(AND(G151="Progress with condition",COUNTIF(Conditions!$B$4:$B$553,A151)=0),"Progress with condition needs at least one Conditions row",IF(AND(C151&lt;&gt;"",COUNTIFS('Gate plan'!$A$4:$A$353,C151,'Gate plan'!$C$4:$C$353,D151)=0),"Plan gate differs from event gate",IF(AND(C151&lt;&gt;"",O151&lt;&gt;"",COUNTIFS('Gate plan'!$A$4:$A$353,C151,'Gate plan'!$K$4:$K$353,"&lt;&gt;")&gt;0,COUNTIFS('Gate plan'!$A$4:$A$353,C151,'Gate plan'!$K$4:$K$353,O151)=0),"Plan UC-ID differs from event UC-ID",IF(AND(E151="Assurance opinion",J151=""),"Assurance opinion ref missing",IF(AND(G151="Opinion only",E151&lt;&gt;"Assurance opinion",E151&lt;&gt;"Review only"),"Opinion only is for Assurance opinion or Review only events",IF(AND(G151="No decision",E151&lt;&gt;"Review only",E151&lt;&gt;"Priority override",E151&lt;&gt;"Intake / registration"),"No decision is for Review only, Priority override or Intake / registration events",IF(OR(ISNUMBER(SEARCH(" ",TRIM(O151))),ISNUMBER(SEARCH("/",O151))),"One UC-ID per event row: split this event",IF(AND(E151="Precautionary pause (containment)",ISNUMBER(W151),ISNUMBER(F151),W151&lt;F151),"Follow-up decision due date is before the pause",IF(AND(G151="Resume",IFERROR(LOOKUP(2,1/(($B$3:B150=B151)*($O$3:O150=O151)),$G$3:G150),"")&lt;&gt;"Paused — pending decision"),"Resume is only for the event straight after a Precautionary pause on the same AIR-ID and UC-ID (in an earlier row)",IF(AND(E151="Decision",OR(G151="Progress",G151="Progress with condition",G151="Re-authorise",G151="Resume"),X151&lt;&gt;"Yes"),"Decision-maker has not confirmed the screening was considered (column X)","Check against source")))))))))))))))))))))))))))))</f>
        <v/>
      </c>
      <c r="O151" s="37" t="n"/>
      <c r="P151" s="37" t="n"/>
      <c r="Q151" s="14">
        <f>IF(A151="","",IF(E151&lt;&gt;"Decision","",IF(P151="UC-ID specific",IF(O151="","UC-ID REQUIRED","Check source decision for each UC-ID"),IF(P151="Shared system baseline",IF(O151&lt;&gt;"","REMOVE UC-ID OR CORRECT SCOPE","Baseline only — NOT UC approval"),"Decision scope missing"))))</f>
        <v/>
      </c>
      <c r="R151" s="43" t="n"/>
      <c r="S151" s="40" t="n"/>
      <c r="T151" s="40" t="n"/>
      <c r="U151" s="40" t="n"/>
      <c r="V151" s="40" t="n"/>
      <c r="W151" s="41" t="n"/>
      <c r="X151" s="38" t="n"/>
    </row>
    <row r="152">
      <c r="A152" s="38" t="n"/>
      <c r="B152" s="38" t="n"/>
      <c r="C152" s="38" t="n"/>
      <c r="D152" s="38" t="n"/>
      <c r="E152" s="38" t="n"/>
      <c r="F152" s="39" t="n"/>
      <c r="G152" s="38" t="n"/>
      <c r="H152" s="38" t="n"/>
      <c r="I152" s="38" t="n"/>
      <c r="J152" s="38" t="n"/>
      <c r="K152" s="38" t="n"/>
      <c r="L152" s="38" t="n"/>
      <c r="M152" s="38" t="n"/>
      <c r="N152" s="22">
        <f>IF(COUNTA(A152:M152,O152:P152,R152:X152)=0,"",IF(OR(A152="",B152="",F152=""),"Event ID, AIR-ID or date missing",IF(COUNTIF($A$4:$A$553,A152)&gt;1,"Duplicate Event ID",IF(E152="","Event type missing",IF(OR(NOT(ISNUMBER(F152)),F152&gt;TODAY()),"Date is not a real date or is in the future",IF(AND(C152&lt;&gt;"",COUNTIF('Gate plan'!$A$4:$A$353,C152)=0),"Plan ID not found in Gate plan",IF(AND(C152&lt;&gt;"",COUNTIFS('Gate plan'!$A$4:$A$353,C152,'Gate plan'!$B$4:$B$353,B152)=0),"Plan AIR-ID differs from event",IF(D152="","Gate / forum missing",IF(AND(E152="Precautionary pause (containment)",G152&lt;&gt;"Paused — pending decision"),"Precautionary pause: Outcome must be Paused, pending decision",IF(AND(E152="Precautionary pause (containment)",V152=""),"Precautionary pause: AIG-OPS-03 incident ref missing",IF(AND(E152="Precautionary pause (containment)",NOT(ISNUMBER(W152))),"Precautionary pause: follow-up decision due date missing",IF(AND(G152="Paused — pending decision",E152&lt;&gt;"Precautionary pause (containment)"),"Paused, pending decision is only for a Precautionary pause event",IF(AND(E152="Decision",OR(G152="",H152="",I152="")),"Outcome / delegation / decision ref missing",IF(AND(E152="Decision",NOT(OR(G152="Progress",G152="Progress with condition",G152="Return for evidence",G152="Pause",G152="Stop",G152="Suspend",G152="Decommission",G152="Re-authorise",G152="Resume"))),"Decision event needs a decision outcome",IF(AND(E152="Priority override",OR(H152="",I152="")),"Decision-maker / AIG-DEC-03 ref missing",IF(AND(E152="Priority override",G152&lt;&gt;"",G152&lt;&gt;"No decision"),"Priority override: Outcome blank or No decision",IF(AND(E152&lt;&gt;"Decision",OR(G152="Progress",G152="Progress with condition",G152="Return for evidence",G152="Pause",G152="Stop",G152="Suspend",G152="Decommission",G152="Re-authorise",G152="Resume")),"Outcome implies decision",IF(OR(ISNUMBER(SEARCH(",",O152)),ISNUMBER(SEARCH(";",O152))),"One UC-ID per event row — split this event",IF(AND(E152="Decision",OR(Q152="UC-ID REQUIRED",Q152="Decision scope missing",Q152="REMOVE UC-ID OR CORRECT SCOPE")),"Decision scope missing",IF(AND(G152="Progress with condition",COUNTIF(Conditions!$B$4:$B$553,A152)=0),"Progress with condition needs at least one Conditions row",IF(AND(C152&lt;&gt;"",COUNTIFS('Gate plan'!$A$4:$A$353,C152,'Gate plan'!$C$4:$C$353,D152)=0),"Plan gate differs from event gate",IF(AND(C152&lt;&gt;"",O152&lt;&gt;"",COUNTIFS('Gate plan'!$A$4:$A$353,C152,'Gate plan'!$K$4:$K$353,"&lt;&gt;")&gt;0,COUNTIFS('Gate plan'!$A$4:$A$353,C152,'Gate plan'!$K$4:$K$353,O152)=0),"Plan UC-ID differs from event UC-ID",IF(AND(E152="Assurance opinion",J152=""),"Assurance opinion ref missing",IF(AND(G152="Opinion only",E152&lt;&gt;"Assurance opinion",E152&lt;&gt;"Review only"),"Opinion only is for Assurance opinion or Review only events",IF(AND(G152="No decision",E152&lt;&gt;"Review only",E152&lt;&gt;"Priority override",E152&lt;&gt;"Intake / registration"),"No decision is for Review only, Priority override or Intake / registration events",IF(OR(ISNUMBER(SEARCH(" ",TRIM(O152))),ISNUMBER(SEARCH("/",O152))),"One UC-ID per event row: split this event",IF(AND(E152="Precautionary pause (containment)",ISNUMBER(W152),ISNUMBER(F152),W152&lt;F152),"Follow-up decision due date is before the pause",IF(AND(G152="Resume",IFERROR(LOOKUP(2,1/(($B$3:B151=B152)*($O$3:O151=O152)),$G$3:G151),"")&lt;&gt;"Paused — pending decision"),"Resume is only for the event straight after a Precautionary pause on the same AIR-ID and UC-ID (in an earlier row)",IF(AND(E152="Decision",OR(G152="Progress",G152="Progress with condition",G152="Re-authorise",G152="Resume"),X152&lt;&gt;"Yes"),"Decision-maker has not confirmed the screening was considered (column X)","Check against source")))))))))))))))))))))))))))))</f>
        <v/>
      </c>
      <c r="O152" s="37" t="n"/>
      <c r="P152" s="37" t="n"/>
      <c r="Q152" s="14">
        <f>IF(A152="","",IF(E152&lt;&gt;"Decision","",IF(P152="UC-ID specific",IF(O152="","UC-ID REQUIRED","Check source decision for each UC-ID"),IF(P152="Shared system baseline",IF(O152&lt;&gt;"","REMOVE UC-ID OR CORRECT SCOPE","Baseline only — NOT UC approval"),"Decision scope missing"))))</f>
        <v/>
      </c>
      <c r="R152" s="42" t="n"/>
      <c r="S152" s="38" t="n"/>
      <c r="T152" s="38" t="n"/>
      <c r="U152" s="38" t="n"/>
      <c r="V152" s="38" t="n"/>
      <c r="W152" s="39" t="n"/>
      <c r="X152" s="38" t="n"/>
    </row>
    <row r="153">
      <c r="A153" s="40" t="n"/>
      <c r="B153" s="40" t="n"/>
      <c r="C153" s="40" t="n"/>
      <c r="D153" s="40" t="n"/>
      <c r="E153" s="40" t="n"/>
      <c r="F153" s="41" t="n"/>
      <c r="G153" s="40" t="n"/>
      <c r="H153" s="40" t="n"/>
      <c r="I153" s="40" t="n"/>
      <c r="J153" s="40" t="n"/>
      <c r="K153" s="40" t="n"/>
      <c r="L153" s="40" t="n"/>
      <c r="M153" s="40" t="n"/>
      <c r="N153" s="24">
        <f>IF(COUNTA(A153:M153,O153:P153,R153:X153)=0,"",IF(OR(A153="",B153="",F153=""),"Event ID, AIR-ID or date missing",IF(COUNTIF($A$4:$A$553,A153)&gt;1,"Duplicate Event ID",IF(E153="","Event type missing",IF(OR(NOT(ISNUMBER(F153)),F153&gt;TODAY()),"Date is not a real date or is in the future",IF(AND(C153&lt;&gt;"",COUNTIF('Gate plan'!$A$4:$A$353,C153)=0),"Plan ID not found in Gate plan",IF(AND(C153&lt;&gt;"",COUNTIFS('Gate plan'!$A$4:$A$353,C153,'Gate plan'!$B$4:$B$353,B153)=0),"Plan AIR-ID differs from event",IF(D153="","Gate / forum missing",IF(AND(E153="Precautionary pause (containment)",G153&lt;&gt;"Paused — pending decision"),"Precautionary pause: Outcome must be Paused, pending decision",IF(AND(E153="Precautionary pause (containment)",V153=""),"Precautionary pause: AIG-OPS-03 incident ref missing",IF(AND(E153="Precautionary pause (containment)",NOT(ISNUMBER(W153))),"Precautionary pause: follow-up decision due date missing",IF(AND(G153="Paused — pending decision",E153&lt;&gt;"Precautionary pause (containment)"),"Paused, pending decision is only for a Precautionary pause event",IF(AND(E153="Decision",OR(G153="",H153="",I153="")),"Outcome / delegation / decision ref missing",IF(AND(E153="Decision",NOT(OR(G153="Progress",G153="Progress with condition",G153="Return for evidence",G153="Pause",G153="Stop",G153="Suspend",G153="Decommission",G153="Re-authorise",G153="Resume"))),"Decision event needs a decision outcome",IF(AND(E153="Priority override",OR(H153="",I153="")),"Decision-maker / AIG-DEC-03 ref missing",IF(AND(E153="Priority override",G153&lt;&gt;"",G153&lt;&gt;"No decision"),"Priority override: Outcome blank or No decision",IF(AND(E153&lt;&gt;"Decision",OR(G153="Progress",G153="Progress with condition",G153="Return for evidence",G153="Pause",G153="Stop",G153="Suspend",G153="Decommission",G153="Re-authorise",G153="Resume")),"Outcome implies decision",IF(OR(ISNUMBER(SEARCH(",",O153)),ISNUMBER(SEARCH(";",O153))),"One UC-ID per event row — split this event",IF(AND(E153="Decision",OR(Q153="UC-ID REQUIRED",Q153="Decision scope missing",Q153="REMOVE UC-ID OR CORRECT SCOPE")),"Decision scope missing",IF(AND(G153="Progress with condition",COUNTIF(Conditions!$B$4:$B$553,A153)=0),"Progress with condition needs at least one Conditions row",IF(AND(C153&lt;&gt;"",COUNTIFS('Gate plan'!$A$4:$A$353,C153,'Gate plan'!$C$4:$C$353,D153)=0),"Plan gate differs from event gate",IF(AND(C153&lt;&gt;"",O153&lt;&gt;"",COUNTIFS('Gate plan'!$A$4:$A$353,C153,'Gate plan'!$K$4:$K$353,"&lt;&gt;")&gt;0,COUNTIFS('Gate plan'!$A$4:$A$353,C153,'Gate plan'!$K$4:$K$353,O153)=0),"Plan UC-ID differs from event UC-ID",IF(AND(E153="Assurance opinion",J153=""),"Assurance opinion ref missing",IF(AND(G153="Opinion only",E153&lt;&gt;"Assurance opinion",E153&lt;&gt;"Review only"),"Opinion only is for Assurance opinion or Review only events",IF(AND(G153="No decision",E153&lt;&gt;"Review only",E153&lt;&gt;"Priority override",E153&lt;&gt;"Intake / registration"),"No decision is for Review only, Priority override or Intake / registration events",IF(OR(ISNUMBER(SEARCH(" ",TRIM(O153))),ISNUMBER(SEARCH("/",O153))),"One UC-ID per event row: split this event",IF(AND(E153="Precautionary pause (containment)",ISNUMBER(W153),ISNUMBER(F153),W153&lt;F153),"Follow-up decision due date is before the pause",IF(AND(G153="Resume",IFERROR(LOOKUP(2,1/(($B$3:B152=B153)*($O$3:O152=O153)),$G$3:G152),"")&lt;&gt;"Paused — pending decision"),"Resume is only for the event straight after a Precautionary pause on the same AIR-ID and UC-ID (in an earlier row)",IF(AND(E153="Decision",OR(G153="Progress",G153="Progress with condition",G153="Re-authorise",G153="Resume"),X153&lt;&gt;"Yes"),"Decision-maker has not confirmed the screening was considered (column X)","Check against source")))))))))))))))))))))))))))))</f>
        <v/>
      </c>
      <c r="O153" s="37" t="n"/>
      <c r="P153" s="37" t="n"/>
      <c r="Q153" s="14">
        <f>IF(A153="","",IF(E153&lt;&gt;"Decision","",IF(P153="UC-ID specific",IF(O153="","UC-ID REQUIRED","Check source decision for each UC-ID"),IF(P153="Shared system baseline",IF(O153&lt;&gt;"","REMOVE UC-ID OR CORRECT SCOPE","Baseline only — NOT UC approval"),"Decision scope missing"))))</f>
        <v/>
      </c>
      <c r="R153" s="43" t="n"/>
      <c r="S153" s="40" t="n"/>
      <c r="T153" s="40" t="n"/>
      <c r="U153" s="40" t="n"/>
      <c r="V153" s="40" t="n"/>
      <c r="W153" s="41" t="n"/>
      <c r="X153" s="38" t="n"/>
    </row>
    <row r="154">
      <c r="A154" s="38" t="n"/>
      <c r="B154" s="38" t="n"/>
      <c r="C154" s="38" t="n"/>
      <c r="D154" s="38" t="n"/>
      <c r="E154" s="38" t="n"/>
      <c r="F154" s="39" t="n"/>
      <c r="G154" s="38" t="n"/>
      <c r="H154" s="38" t="n"/>
      <c r="I154" s="38" t="n"/>
      <c r="J154" s="38" t="n"/>
      <c r="K154" s="38" t="n"/>
      <c r="L154" s="38" t="n"/>
      <c r="M154" s="38" t="n"/>
      <c r="N154" s="22">
        <f>IF(COUNTA(A154:M154,O154:P154,R154:X154)=0,"",IF(OR(A154="",B154="",F154=""),"Event ID, AIR-ID or date missing",IF(COUNTIF($A$4:$A$553,A154)&gt;1,"Duplicate Event ID",IF(E154="","Event type missing",IF(OR(NOT(ISNUMBER(F154)),F154&gt;TODAY()),"Date is not a real date or is in the future",IF(AND(C154&lt;&gt;"",COUNTIF('Gate plan'!$A$4:$A$353,C154)=0),"Plan ID not found in Gate plan",IF(AND(C154&lt;&gt;"",COUNTIFS('Gate plan'!$A$4:$A$353,C154,'Gate plan'!$B$4:$B$353,B154)=0),"Plan AIR-ID differs from event",IF(D154="","Gate / forum missing",IF(AND(E154="Precautionary pause (containment)",G154&lt;&gt;"Paused — pending decision"),"Precautionary pause: Outcome must be Paused, pending decision",IF(AND(E154="Precautionary pause (containment)",V154=""),"Precautionary pause: AIG-OPS-03 incident ref missing",IF(AND(E154="Precautionary pause (containment)",NOT(ISNUMBER(W154))),"Precautionary pause: follow-up decision due date missing",IF(AND(G154="Paused — pending decision",E154&lt;&gt;"Precautionary pause (containment)"),"Paused, pending decision is only for a Precautionary pause event",IF(AND(E154="Decision",OR(G154="",H154="",I154="")),"Outcome / delegation / decision ref missing",IF(AND(E154="Decision",NOT(OR(G154="Progress",G154="Progress with condition",G154="Return for evidence",G154="Pause",G154="Stop",G154="Suspend",G154="Decommission",G154="Re-authorise",G154="Resume"))),"Decision event needs a decision outcome",IF(AND(E154="Priority override",OR(H154="",I154="")),"Decision-maker / AIG-DEC-03 ref missing",IF(AND(E154="Priority override",G154&lt;&gt;"",G154&lt;&gt;"No decision"),"Priority override: Outcome blank or No decision",IF(AND(E154&lt;&gt;"Decision",OR(G154="Progress",G154="Progress with condition",G154="Return for evidence",G154="Pause",G154="Stop",G154="Suspend",G154="Decommission",G154="Re-authorise",G154="Resume")),"Outcome implies decision",IF(OR(ISNUMBER(SEARCH(",",O154)),ISNUMBER(SEARCH(";",O154))),"One UC-ID per event row — split this event",IF(AND(E154="Decision",OR(Q154="UC-ID REQUIRED",Q154="Decision scope missing",Q154="REMOVE UC-ID OR CORRECT SCOPE")),"Decision scope missing",IF(AND(G154="Progress with condition",COUNTIF(Conditions!$B$4:$B$553,A154)=0),"Progress with condition needs at least one Conditions row",IF(AND(C154&lt;&gt;"",COUNTIFS('Gate plan'!$A$4:$A$353,C154,'Gate plan'!$C$4:$C$353,D154)=0),"Plan gate differs from event gate",IF(AND(C154&lt;&gt;"",O154&lt;&gt;"",COUNTIFS('Gate plan'!$A$4:$A$353,C154,'Gate plan'!$K$4:$K$353,"&lt;&gt;")&gt;0,COUNTIFS('Gate plan'!$A$4:$A$353,C154,'Gate plan'!$K$4:$K$353,O154)=0),"Plan UC-ID differs from event UC-ID",IF(AND(E154="Assurance opinion",J154=""),"Assurance opinion ref missing",IF(AND(G154="Opinion only",E154&lt;&gt;"Assurance opinion",E154&lt;&gt;"Review only"),"Opinion only is for Assurance opinion or Review only events",IF(AND(G154="No decision",E154&lt;&gt;"Review only",E154&lt;&gt;"Priority override",E154&lt;&gt;"Intake / registration"),"No decision is for Review only, Priority override or Intake / registration events",IF(OR(ISNUMBER(SEARCH(" ",TRIM(O154))),ISNUMBER(SEARCH("/",O154))),"One UC-ID per event row: split this event",IF(AND(E154="Precautionary pause (containment)",ISNUMBER(W154),ISNUMBER(F154),W154&lt;F154),"Follow-up decision due date is before the pause",IF(AND(G154="Resume",IFERROR(LOOKUP(2,1/(($B$3:B153=B154)*($O$3:O153=O154)),$G$3:G153),"")&lt;&gt;"Paused — pending decision"),"Resume is only for the event straight after a Precautionary pause on the same AIR-ID and UC-ID (in an earlier row)",IF(AND(E154="Decision",OR(G154="Progress",G154="Progress with condition",G154="Re-authorise",G154="Resume"),X154&lt;&gt;"Yes"),"Decision-maker has not confirmed the screening was considered (column X)","Check against source")))))))))))))))))))))))))))))</f>
        <v/>
      </c>
      <c r="O154" s="37" t="n"/>
      <c r="P154" s="37" t="n"/>
      <c r="Q154" s="14">
        <f>IF(A154="","",IF(E154&lt;&gt;"Decision","",IF(P154="UC-ID specific",IF(O154="","UC-ID REQUIRED","Check source decision for each UC-ID"),IF(P154="Shared system baseline",IF(O154&lt;&gt;"","REMOVE UC-ID OR CORRECT SCOPE","Baseline only — NOT UC approval"),"Decision scope missing"))))</f>
        <v/>
      </c>
      <c r="R154" s="42" t="n"/>
      <c r="S154" s="38" t="n"/>
      <c r="T154" s="38" t="n"/>
      <c r="U154" s="38" t="n"/>
      <c r="V154" s="38" t="n"/>
      <c r="W154" s="39" t="n"/>
      <c r="X154" s="38" t="n"/>
    </row>
    <row r="155">
      <c r="A155" s="40" t="n"/>
      <c r="B155" s="40" t="n"/>
      <c r="C155" s="40" t="n"/>
      <c r="D155" s="40" t="n"/>
      <c r="E155" s="40" t="n"/>
      <c r="F155" s="41" t="n"/>
      <c r="G155" s="40" t="n"/>
      <c r="H155" s="40" t="n"/>
      <c r="I155" s="40" t="n"/>
      <c r="J155" s="40" t="n"/>
      <c r="K155" s="40" t="n"/>
      <c r="L155" s="40" t="n"/>
      <c r="M155" s="40" t="n"/>
      <c r="N155" s="24">
        <f>IF(COUNTA(A155:M155,O155:P155,R155:X155)=0,"",IF(OR(A155="",B155="",F155=""),"Event ID, AIR-ID or date missing",IF(COUNTIF($A$4:$A$553,A155)&gt;1,"Duplicate Event ID",IF(E155="","Event type missing",IF(OR(NOT(ISNUMBER(F155)),F155&gt;TODAY()),"Date is not a real date or is in the future",IF(AND(C155&lt;&gt;"",COUNTIF('Gate plan'!$A$4:$A$353,C155)=0),"Plan ID not found in Gate plan",IF(AND(C155&lt;&gt;"",COUNTIFS('Gate plan'!$A$4:$A$353,C155,'Gate plan'!$B$4:$B$353,B155)=0),"Plan AIR-ID differs from event",IF(D155="","Gate / forum missing",IF(AND(E155="Precautionary pause (containment)",G155&lt;&gt;"Paused — pending decision"),"Precautionary pause: Outcome must be Paused, pending decision",IF(AND(E155="Precautionary pause (containment)",V155=""),"Precautionary pause: AIG-OPS-03 incident ref missing",IF(AND(E155="Precautionary pause (containment)",NOT(ISNUMBER(W155))),"Precautionary pause: follow-up decision due date missing",IF(AND(G155="Paused — pending decision",E155&lt;&gt;"Precautionary pause (containment)"),"Paused, pending decision is only for a Precautionary pause event",IF(AND(E155="Decision",OR(G155="",H155="",I155="")),"Outcome / delegation / decision ref missing",IF(AND(E155="Decision",NOT(OR(G155="Progress",G155="Progress with condition",G155="Return for evidence",G155="Pause",G155="Stop",G155="Suspend",G155="Decommission",G155="Re-authorise",G155="Resume"))),"Decision event needs a decision outcome",IF(AND(E155="Priority override",OR(H155="",I155="")),"Decision-maker / AIG-DEC-03 ref missing",IF(AND(E155="Priority override",G155&lt;&gt;"",G155&lt;&gt;"No decision"),"Priority override: Outcome blank or No decision",IF(AND(E155&lt;&gt;"Decision",OR(G155="Progress",G155="Progress with condition",G155="Return for evidence",G155="Pause",G155="Stop",G155="Suspend",G155="Decommission",G155="Re-authorise",G155="Resume")),"Outcome implies decision",IF(OR(ISNUMBER(SEARCH(",",O155)),ISNUMBER(SEARCH(";",O155))),"One UC-ID per event row — split this event",IF(AND(E155="Decision",OR(Q155="UC-ID REQUIRED",Q155="Decision scope missing",Q155="REMOVE UC-ID OR CORRECT SCOPE")),"Decision scope missing",IF(AND(G155="Progress with condition",COUNTIF(Conditions!$B$4:$B$553,A155)=0),"Progress with condition needs at least one Conditions row",IF(AND(C155&lt;&gt;"",COUNTIFS('Gate plan'!$A$4:$A$353,C155,'Gate plan'!$C$4:$C$353,D155)=0),"Plan gate differs from event gate",IF(AND(C155&lt;&gt;"",O155&lt;&gt;"",COUNTIFS('Gate plan'!$A$4:$A$353,C155,'Gate plan'!$K$4:$K$353,"&lt;&gt;")&gt;0,COUNTIFS('Gate plan'!$A$4:$A$353,C155,'Gate plan'!$K$4:$K$353,O155)=0),"Plan UC-ID differs from event UC-ID",IF(AND(E155="Assurance opinion",J155=""),"Assurance opinion ref missing",IF(AND(G155="Opinion only",E155&lt;&gt;"Assurance opinion",E155&lt;&gt;"Review only"),"Opinion only is for Assurance opinion or Review only events",IF(AND(G155="No decision",E155&lt;&gt;"Review only",E155&lt;&gt;"Priority override",E155&lt;&gt;"Intake / registration"),"No decision is for Review only, Priority override or Intake / registration events",IF(OR(ISNUMBER(SEARCH(" ",TRIM(O155))),ISNUMBER(SEARCH("/",O155))),"One UC-ID per event row: split this event",IF(AND(E155="Precautionary pause (containment)",ISNUMBER(W155),ISNUMBER(F155),W155&lt;F155),"Follow-up decision due date is before the pause",IF(AND(G155="Resume",IFERROR(LOOKUP(2,1/(($B$3:B154=B155)*($O$3:O154=O155)),$G$3:G154),"")&lt;&gt;"Paused — pending decision"),"Resume is only for the event straight after a Precautionary pause on the same AIR-ID and UC-ID (in an earlier row)",IF(AND(E155="Decision",OR(G155="Progress",G155="Progress with condition",G155="Re-authorise",G155="Resume"),X155&lt;&gt;"Yes"),"Decision-maker has not confirmed the screening was considered (column X)","Check against source")))))))))))))))))))))))))))))</f>
        <v/>
      </c>
      <c r="O155" s="37" t="n"/>
      <c r="P155" s="37" t="n"/>
      <c r="Q155" s="14">
        <f>IF(A155="","",IF(E155&lt;&gt;"Decision","",IF(P155="UC-ID specific",IF(O155="","UC-ID REQUIRED","Check source decision for each UC-ID"),IF(P155="Shared system baseline",IF(O155&lt;&gt;"","REMOVE UC-ID OR CORRECT SCOPE","Baseline only — NOT UC approval"),"Decision scope missing"))))</f>
        <v/>
      </c>
      <c r="R155" s="43" t="n"/>
      <c r="S155" s="40" t="n"/>
      <c r="T155" s="40" t="n"/>
      <c r="U155" s="40" t="n"/>
      <c r="V155" s="40" t="n"/>
      <c r="W155" s="41" t="n"/>
      <c r="X155" s="38" t="n"/>
    </row>
    <row r="156">
      <c r="A156" s="38" t="n"/>
      <c r="B156" s="38" t="n"/>
      <c r="C156" s="38" t="n"/>
      <c r="D156" s="38" t="n"/>
      <c r="E156" s="38" t="n"/>
      <c r="F156" s="39" t="n"/>
      <c r="G156" s="38" t="n"/>
      <c r="H156" s="38" t="n"/>
      <c r="I156" s="38" t="n"/>
      <c r="J156" s="38" t="n"/>
      <c r="K156" s="38" t="n"/>
      <c r="L156" s="38" t="n"/>
      <c r="M156" s="38" t="n"/>
      <c r="N156" s="22">
        <f>IF(COUNTA(A156:M156,O156:P156,R156:X156)=0,"",IF(OR(A156="",B156="",F156=""),"Event ID, AIR-ID or date missing",IF(COUNTIF($A$4:$A$553,A156)&gt;1,"Duplicate Event ID",IF(E156="","Event type missing",IF(OR(NOT(ISNUMBER(F156)),F156&gt;TODAY()),"Date is not a real date or is in the future",IF(AND(C156&lt;&gt;"",COUNTIF('Gate plan'!$A$4:$A$353,C156)=0),"Plan ID not found in Gate plan",IF(AND(C156&lt;&gt;"",COUNTIFS('Gate plan'!$A$4:$A$353,C156,'Gate plan'!$B$4:$B$353,B156)=0),"Plan AIR-ID differs from event",IF(D156="","Gate / forum missing",IF(AND(E156="Precautionary pause (containment)",G156&lt;&gt;"Paused — pending decision"),"Precautionary pause: Outcome must be Paused, pending decision",IF(AND(E156="Precautionary pause (containment)",V156=""),"Precautionary pause: AIG-OPS-03 incident ref missing",IF(AND(E156="Precautionary pause (containment)",NOT(ISNUMBER(W156))),"Precautionary pause: follow-up decision due date missing",IF(AND(G156="Paused — pending decision",E156&lt;&gt;"Precautionary pause (containment)"),"Paused, pending decision is only for a Precautionary pause event",IF(AND(E156="Decision",OR(G156="",H156="",I156="")),"Outcome / delegation / decision ref missing",IF(AND(E156="Decision",NOT(OR(G156="Progress",G156="Progress with condition",G156="Return for evidence",G156="Pause",G156="Stop",G156="Suspend",G156="Decommission",G156="Re-authorise",G156="Resume"))),"Decision event needs a decision outcome",IF(AND(E156="Priority override",OR(H156="",I156="")),"Decision-maker / AIG-DEC-03 ref missing",IF(AND(E156="Priority override",G156&lt;&gt;"",G156&lt;&gt;"No decision"),"Priority override: Outcome blank or No decision",IF(AND(E156&lt;&gt;"Decision",OR(G156="Progress",G156="Progress with condition",G156="Return for evidence",G156="Pause",G156="Stop",G156="Suspend",G156="Decommission",G156="Re-authorise",G156="Resume")),"Outcome implies decision",IF(OR(ISNUMBER(SEARCH(",",O156)),ISNUMBER(SEARCH(";",O156))),"One UC-ID per event row — split this event",IF(AND(E156="Decision",OR(Q156="UC-ID REQUIRED",Q156="Decision scope missing",Q156="REMOVE UC-ID OR CORRECT SCOPE")),"Decision scope missing",IF(AND(G156="Progress with condition",COUNTIF(Conditions!$B$4:$B$553,A156)=0),"Progress with condition needs at least one Conditions row",IF(AND(C156&lt;&gt;"",COUNTIFS('Gate plan'!$A$4:$A$353,C156,'Gate plan'!$C$4:$C$353,D156)=0),"Plan gate differs from event gate",IF(AND(C156&lt;&gt;"",O156&lt;&gt;"",COUNTIFS('Gate plan'!$A$4:$A$353,C156,'Gate plan'!$K$4:$K$353,"&lt;&gt;")&gt;0,COUNTIFS('Gate plan'!$A$4:$A$353,C156,'Gate plan'!$K$4:$K$353,O156)=0),"Plan UC-ID differs from event UC-ID",IF(AND(E156="Assurance opinion",J156=""),"Assurance opinion ref missing",IF(AND(G156="Opinion only",E156&lt;&gt;"Assurance opinion",E156&lt;&gt;"Review only"),"Opinion only is for Assurance opinion or Review only events",IF(AND(G156="No decision",E156&lt;&gt;"Review only",E156&lt;&gt;"Priority override",E156&lt;&gt;"Intake / registration"),"No decision is for Review only, Priority override or Intake / registration events",IF(OR(ISNUMBER(SEARCH(" ",TRIM(O156))),ISNUMBER(SEARCH("/",O156))),"One UC-ID per event row: split this event",IF(AND(E156="Precautionary pause (containment)",ISNUMBER(W156),ISNUMBER(F156),W156&lt;F156),"Follow-up decision due date is before the pause",IF(AND(G156="Resume",IFERROR(LOOKUP(2,1/(($B$3:B155=B156)*($O$3:O155=O156)),$G$3:G155),"")&lt;&gt;"Paused — pending decision"),"Resume is only for the event straight after a Precautionary pause on the same AIR-ID and UC-ID (in an earlier row)",IF(AND(E156="Decision",OR(G156="Progress",G156="Progress with condition",G156="Re-authorise",G156="Resume"),X156&lt;&gt;"Yes"),"Decision-maker has not confirmed the screening was considered (column X)","Check against source")))))))))))))))))))))))))))))</f>
        <v/>
      </c>
      <c r="O156" s="37" t="n"/>
      <c r="P156" s="37" t="n"/>
      <c r="Q156" s="14">
        <f>IF(A156="","",IF(E156&lt;&gt;"Decision","",IF(P156="UC-ID specific",IF(O156="","UC-ID REQUIRED","Check source decision for each UC-ID"),IF(P156="Shared system baseline",IF(O156&lt;&gt;"","REMOVE UC-ID OR CORRECT SCOPE","Baseline only — NOT UC approval"),"Decision scope missing"))))</f>
        <v/>
      </c>
      <c r="R156" s="42" t="n"/>
      <c r="S156" s="38" t="n"/>
      <c r="T156" s="38" t="n"/>
      <c r="U156" s="38" t="n"/>
      <c r="V156" s="38" t="n"/>
      <c r="W156" s="39" t="n"/>
      <c r="X156" s="38" t="n"/>
    </row>
    <row r="157">
      <c r="A157" s="40" t="n"/>
      <c r="B157" s="40" t="n"/>
      <c r="C157" s="40" t="n"/>
      <c r="D157" s="40" t="n"/>
      <c r="E157" s="40" t="n"/>
      <c r="F157" s="41" t="n"/>
      <c r="G157" s="40" t="n"/>
      <c r="H157" s="40" t="n"/>
      <c r="I157" s="40" t="n"/>
      <c r="J157" s="40" t="n"/>
      <c r="K157" s="40" t="n"/>
      <c r="L157" s="40" t="n"/>
      <c r="M157" s="40" t="n"/>
      <c r="N157" s="24">
        <f>IF(COUNTA(A157:M157,O157:P157,R157:X157)=0,"",IF(OR(A157="",B157="",F157=""),"Event ID, AIR-ID or date missing",IF(COUNTIF($A$4:$A$553,A157)&gt;1,"Duplicate Event ID",IF(E157="","Event type missing",IF(OR(NOT(ISNUMBER(F157)),F157&gt;TODAY()),"Date is not a real date or is in the future",IF(AND(C157&lt;&gt;"",COUNTIF('Gate plan'!$A$4:$A$353,C157)=0),"Plan ID not found in Gate plan",IF(AND(C157&lt;&gt;"",COUNTIFS('Gate plan'!$A$4:$A$353,C157,'Gate plan'!$B$4:$B$353,B157)=0),"Plan AIR-ID differs from event",IF(D157="","Gate / forum missing",IF(AND(E157="Precautionary pause (containment)",G157&lt;&gt;"Paused — pending decision"),"Precautionary pause: Outcome must be Paused, pending decision",IF(AND(E157="Precautionary pause (containment)",V157=""),"Precautionary pause: AIG-OPS-03 incident ref missing",IF(AND(E157="Precautionary pause (containment)",NOT(ISNUMBER(W157))),"Precautionary pause: follow-up decision due date missing",IF(AND(G157="Paused — pending decision",E157&lt;&gt;"Precautionary pause (containment)"),"Paused, pending decision is only for a Precautionary pause event",IF(AND(E157="Decision",OR(G157="",H157="",I157="")),"Outcome / delegation / decision ref missing",IF(AND(E157="Decision",NOT(OR(G157="Progress",G157="Progress with condition",G157="Return for evidence",G157="Pause",G157="Stop",G157="Suspend",G157="Decommission",G157="Re-authorise",G157="Resume"))),"Decision event needs a decision outcome",IF(AND(E157="Priority override",OR(H157="",I157="")),"Decision-maker / AIG-DEC-03 ref missing",IF(AND(E157="Priority override",G157&lt;&gt;"",G157&lt;&gt;"No decision"),"Priority override: Outcome blank or No decision",IF(AND(E157&lt;&gt;"Decision",OR(G157="Progress",G157="Progress with condition",G157="Return for evidence",G157="Pause",G157="Stop",G157="Suspend",G157="Decommission",G157="Re-authorise",G157="Resume")),"Outcome implies decision",IF(OR(ISNUMBER(SEARCH(",",O157)),ISNUMBER(SEARCH(";",O157))),"One UC-ID per event row — split this event",IF(AND(E157="Decision",OR(Q157="UC-ID REQUIRED",Q157="Decision scope missing",Q157="REMOVE UC-ID OR CORRECT SCOPE")),"Decision scope missing",IF(AND(G157="Progress with condition",COUNTIF(Conditions!$B$4:$B$553,A157)=0),"Progress with condition needs at least one Conditions row",IF(AND(C157&lt;&gt;"",COUNTIFS('Gate plan'!$A$4:$A$353,C157,'Gate plan'!$C$4:$C$353,D157)=0),"Plan gate differs from event gate",IF(AND(C157&lt;&gt;"",O157&lt;&gt;"",COUNTIFS('Gate plan'!$A$4:$A$353,C157,'Gate plan'!$K$4:$K$353,"&lt;&gt;")&gt;0,COUNTIFS('Gate plan'!$A$4:$A$353,C157,'Gate plan'!$K$4:$K$353,O157)=0),"Plan UC-ID differs from event UC-ID",IF(AND(E157="Assurance opinion",J157=""),"Assurance opinion ref missing",IF(AND(G157="Opinion only",E157&lt;&gt;"Assurance opinion",E157&lt;&gt;"Review only"),"Opinion only is for Assurance opinion or Review only events",IF(AND(G157="No decision",E157&lt;&gt;"Review only",E157&lt;&gt;"Priority override",E157&lt;&gt;"Intake / registration"),"No decision is for Review only, Priority override or Intake / registration events",IF(OR(ISNUMBER(SEARCH(" ",TRIM(O157))),ISNUMBER(SEARCH("/",O157))),"One UC-ID per event row: split this event",IF(AND(E157="Precautionary pause (containment)",ISNUMBER(W157),ISNUMBER(F157),W157&lt;F157),"Follow-up decision due date is before the pause",IF(AND(G157="Resume",IFERROR(LOOKUP(2,1/(($B$3:B156=B157)*($O$3:O156=O157)),$G$3:G156),"")&lt;&gt;"Paused — pending decision"),"Resume is only for the event straight after a Precautionary pause on the same AIR-ID and UC-ID (in an earlier row)",IF(AND(E157="Decision",OR(G157="Progress",G157="Progress with condition",G157="Re-authorise",G157="Resume"),X157&lt;&gt;"Yes"),"Decision-maker has not confirmed the screening was considered (column X)","Check against source")))))))))))))))))))))))))))))</f>
        <v/>
      </c>
      <c r="O157" s="37" t="n"/>
      <c r="P157" s="37" t="n"/>
      <c r="Q157" s="14">
        <f>IF(A157="","",IF(E157&lt;&gt;"Decision","",IF(P157="UC-ID specific",IF(O157="","UC-ID REQUIRED","Check source decision for each UC-ID"),IF(P157="Shared system baseline",IF(O157&lt;&gt;"","REMOVE UC-ID OR CORRECT SCOPE","Baseline only — NOT UC approval"),"Decision scope missing"))))</f>
        <v/>
      </c>
      <c r="R157" s="43" t="n"/>
      <c r="S157" s="40" t="n"/>
      <c r="T157" s="40" t="n"/>
      <c r="U157" s="40" t="n"/>
      <c r="V157" s="40" t="n"/>
      <c r="W157" s="41" t="n"/>
      <c r="X157" s="38" t="n"/>
    </row>
    <row r="158">
      <c r="A158" s="38" t="n"/>
      <c r="B158" s="38" t="n"/>
      <c r="C158" s="38" t="n"/>
      <c r="D158" s="38" t="n"/>
      <c r="E158" s="38" t="n"/>
      <c r="F158" s="39" t="n"/>
      <c r="G158" s="38" t="n"/>
      <c r="H158" s="38" t="n"/>
      <c r="I158" s="38" t="n"/>
      <c r="J158" s="38" t="n"/>
      <c r="K158" s="38" t="n"/>
      <c r="L158" s="38" t="n"/>
      <c r="M158" s="38" t="n"/>
      <c r="N158" s="22">
        <f>IF(COUNTA(A158:M158,O158:P158,R158:X158)=0,"",IF(OR(A158="",B158="",F158=""),"Event ID, AIR-ID or date missing",IF(COUNTIF($A$4:$A$553,A158)&gt;1,"Duplicate Event ID",IF(E158="","Event type missing",IF(OR(NOT(ISNUMBER(F158)),F158&gt;TODAY()),"Date is not a real date or is in the future",IF(AND(C158&lt;&gt;"",COUNTIF('Gate plan'!$A$4:$A$353,C158)=0),"Plan ID not found in Gate plan",IF(AND(C158&lt;&gt;"",COUNTIFS('Gate plan'!$A$4:$A$353,C158,'Gate plan'!$B$4:$B$353,B158)=0),"Plan AIR-ID differs from event",IF(D158="","Gate / forum missing",IF(AND(E158="Precautionary pause (containment)",G158&lt;&gt;"Paused — pending decision"),"Precautionary pause: Outcome must be Paused, pending decision",IF(AND(E158="Precautionary pause (containment)",V158=""),"Precautionary pause: AIG-OPS-03 incident ref missing",IF(AND(E158="Precautionary pause (containment)",NOT(ISNUMBER(W158))),"Precautionary pause: follow-up decision due date missing",IF(AND(G158="Paused — pending decision",E158&lt;&gt;"Precautionary pause (containment)"),"Paused, pending decision is only for a Precautionary pause event",IF(AND(E158="Decision",OR(G158="",H158="",I158="")),"Outcome / delegation / decision ref missing",IF(AND(E158="Decision",NOT(OR(G158="Progress",G158="Progress with condition",G158="Return for evidence",G158="Pause",G158="Stop",G158="Suspend",G158="Decommission",G158="Re-authorise",G158="Resume"))),"Decision event needs a decision outcome",IF(AND(E158="Priority override",OR(H158="",I158="")),"Decision-maker / AIG-DEC-03 ref missing",IF(AND(E158="Priority override",G158&lt;&gt;"",G158&lt;&gt;"No decision"),"Priority override: Outcome blank or No decision",IF(AND(E158&lt;&gt;"Decision",OR(G158="Progress",G158="Progress with condition",G158="Return for evidence",G158="Pause",G158="Stop",G158="Suspend",G158="Decommission",G158="Re-authorise",G158="Resume")),"Outcome implies decision",IF(OR(ISNUMBER(SEARCH(",",O158)),ISNUMBER(SEARCH(";",O158))),"One UC-ID per event row — split this event",IF(AND(E158="Decision",OR(Q158="UC-ID REQUIRED",Q158="Decision scope missing",Q158="REMOVE UC-ID OR CORRECT SCOPE")),"Decision scope missing",IF(AND(G158="Progress with condition",COUNTIF(Conditions!$B$4:$B$553,A158)=0),"Progress with condition needs at least one Conditions row",IF(AND(C158&lt;&gt;"",COUNTIFS('Gate plan'!$A$4:$A$353,C158,'Gate plan'!$C$4:$C$353,D158)=0),"Plan gate differs from event gate",IF(AND(C158&lt;&gt;"",O158&lt;&gt;"",COUNTIFS('Gate plan'!$A$4:$A$353,C158,'Gate plan'!$K$4:$K$353,"&lt;&gt;")&gt;0,COUNTIFS('Gate plan'!$A$4:$A$353,C158,'Gate plan'!$K$4:$K$353,O158)=0),"Plan UC-ID differs from event UC-ID",IF(AND(E158="Assurance opinion",J158=""),"Assurance opinion ref missing",IF(AND(G158="Opinion only",E158&lt;&gt;"Assurance opinion",E158&lt;&gt;"Review only"),"Opinion only is for Assurance opinion or Review only events",IF(AND(G158="No decision",E158&lt;&gt;"Review only",E158&lt;&gt;"Priority override",E158&lt;&gt;"Intake / registration"),"No decision is for Review only, Priority override or Intake / registration events",IF(OR(ISNUMBER(SEARCH(" ",TRIM(O158))),ISNUMBER(SEARCH("/",O158))),"One UC-ID per event row: split this event",IF(AND(E158="Precautionary pause (containment)",ISNUMBER(W158),ISNUMBER(F158),W158&lt;F158),"Follow-up decision due date is before the pause",IF(AND(G158="Resume",IFERROR(LOOKUP(2,1/(($B$3:B157=B158)*($O$3:O157=O158)),$G$3:G157),"")&lt;&gt;"Paused — pending decision"),"Resume is only for the event straight after a Precautionary pause on the same AIR-ID and UC-ID (in an earlier row)",IF(AND(E158="Decision",OR(G158="Progress",G158="Progress with condition",G158="Re-authorise",G158="Resume"),X158&lt;&gt;"Yes"),"Decision-maker has not confirmed the screening was considered (column X)","Check against source")))))))))))))))))))))))))))))</f>
        <v/>
      </c>
      <c r="O158" s="37" t="n"/>
      <c r="P158" s="37" t="n"/>
      <c r="Q158" s="14">
        <f>IF(A158="","",IF(E158&lt;&gt;"Decision","",IF(P158="UC-ID specific",IF(O158="","UC-ID REQUIRED","Check source decision for each UC-ID"),IF(P158="Shared system baseline",IF(O158&lt;&gt;"","REMOVE UC-ID OR CORRECT SCOPE","Baseline only — NOT UC approval"),"Decision scope missing"))))</f>
        <v/>
      </c>
      <c r="R158" s="42" t="n"/>
      <c r="S158" s="38" t="n"/>
      <c r="T158" s="38" t="n"/>
      <c r="U158" s="38" t="n"/>
      <c r="V158" s="38" t="n"/>
      <c r="W158" s="39" t="n"/>
      <c r="X158" s="38" t="n"/>
    </row>
    <row r="159">
      <c r="A159" s="40" t="n"/>
      <c r="B159" s="40" t="n"/>
      <c r="C159" s="40" t="n"/>
      <c r="D159" s="40" t="n"/>
      <c r="E159" s="40" t="n"/>
      <c r="F159" s="41" t="n"/>
      <c r="G159" s="40" t="n"/>
      <c r="H159" s="40" t="n"/>
      <c r="I159" s="40" t="n"/>
      <c r="J159" s="40" t="n"/>
      <c r="K159" s="40" t="n"/>
      <c r="L159" s="40" t="n"/>
      <c r="M159" s="40" t="n"/>
      <c r="N159" s="24">
        <f>IF(COUNTA(A159:M159,O159:P159,R159:X159)=0,"",IF(OR(A159="",B159="",F159=""),"Event ID, AIR-ID or date missing",IF(COUNTIF($A$4:$A$553,A159)&gt;1,"Duplicate Event ID",IF(E159="","Event type missing",IF(OR(NOT(ISNUMBER(F159)),F159&gt;TODAY()),"Date is not a real date or is in the future",IF(AND(C159&lt;&gt;"",COUNTIF('Gate plan'!$A$4:$A$353,C159)=0),"Plan ID not found in Gate plan",IF(AND(C159&lt;&gt;"",COUNTIFS('Gate plan'!$A$4:$A$353,C159,'Gate plan'!$B$4:$B$353,B159)=0),"Plan AIR-ID differs from event",IF(D159="","Gate / forum missing",IF(AND(E159="Precautionary pause (containment)",G159&lt;&gt;"Paused — pending decision"),"Precautionary pause: Outcome must be Paused, pending decision",IF(AND(E159="Precautionary pause (containment)",V159=""),"Precautionary pause: AIG-OPS-03 incident ref missing",IF(AND(E159="Precautionary pause (containment)",NOT(ISNUMBER(W159))),"Precautionary pause: follow-up decision due date missing",IF(AND(G159="Paused — pending decision",E159&lt;&gt;"Precautionary pause (containment)"),"Paused, pending decision is only for a Precautionary pause event",IF(AND(E159="Decision",OR(G159="",H159="",I159="")),"Outcome / delegation / decision ref missing",IF(AND(E159="Decision",NOT(OR(G159="Progress",G159="Progress with condition",G159="Return for evidence",G159="Pause",G159="Stop",G159="Suspend",G159="Decommission",G159="Re-authorise",G159="Resume"))),"Decision event needs a decision outcome",IF(AND(E159="Priority override",OR(H159="",I159="")),"Decision-maker / AIG-DEC-03 ref missing",IF(AND(E159="Priority override",G159&lt;&gt;"",G159&lt;&gt;"No decision"),"Priority override: Outcome blank or No decision",IF(AND(E159&lt;&gt;"Decision",OR(G159="Progress",G159="Progress with condition",G159="Return for evidence",G159="Pause",G159="Stop",G159="Suspend",G159="Decommission",G159="Re-authorise",G159="Resume")),"Outcome implies decision",IF(OR(ISNUMBER(SEARCH(",",O159)),ISNUMBER(SEARCH(";",O159))),"One UC-ID per event row — split this event",IF(AND(E159="Decision",OR(Q159="UC-ID REQUIRED",Q159="Decision scope missing",Q159="REMOVE UC-ID OR CORRECT SCOPE")),"Decision scope missing",IF(AND(G159="Progress with condition",COUNTIF(Conditions!$B$4:$B$553,A159)=0),"Progress with condition needs at least one Conditions row",IF(AND(C159&lt;&gt;"",COUNTIFS('Gate plan'!$A$4:$A$353,C159,'Gate plan'!$C$4:$C$353,D159)=0),"Plan gate differs from event gate",IF(AND(C159&lt;&gt;"",O159&lt;&gt;"",COUNTIFS('Gate plan'!$A$4:$A$353,C159,'Gate plan'!$K$4:$K$353,"&lt;&gt;")&gt;0,COUNTIFS('Gate plan'!$A$4:$A$353,C159,'Gate plan'!$K$4:$K$353,O159)=0),"Plan UC-ID differs from event UC-ID",IF(AND(E159="Assurance opinion",J159=""),"Assurance opinion ref missing",IF(AND(G159="Opinion only",E159&lt;&gt;"Assurance opinion",E159&lt;&gt;"Review only"),"Opinion only is for Assurance opinion or Review only events",IF(AND(G159="No decision",E159&lt;&gt;"Review only",E159&lt;&gt;"Priority override",E159&lt;&gt;"Intake / registration"),"No decision is for Review only, Priority override or Intake / registration events",IF(OR(ISNUMBER(SEARCH(" ",TRIM(O159))),ISNUMBER(SEARCH("/",O159))),"One UC-ID per event row: split this event",IF(AND(E159="Precautionary pause (containment)",ISNUMBER(W159),ISNUMBER(F159),W159&lt;F159),"Follow-up decision due date is before the pause",IF(AND(G159="Resume",IFERROR(LOOKUP(2,1/(($B$3:B158=B159)*($O$3:O158=O159)),$G$3:G158),"")&lt;&gt;"Paused — pending decision"),"Resume is only for the event straight after a Precautionary pause on the same AIR-ID and UC-ID (in an earlier row)",IF(AND(E159="Decision",OR(G159="Progress",G159="Progress with condition",G159="Re-authorise",G159="Resume"),X159&lt;&gt;"Yes"),"Decision-maker has not confirmed the screening was considered (column X)","Check against source")))))))))))))))))))))))))))))</f>
        <v/>
      </c>
      <c r="O159" s="37" t="n"/>
      <c r="P159" s="37" t="n"/>
      <c r="Q159" s="14">
        <f>IF(A159="","",IF(E159&lt;&gt;"Decision","",IF(P159="UC-ID specific",IF(O159="","UC-ID REQUIRED","Check source decision for each UC-ID"),IF(P159="Shared system baseline",IF(O159&lt;&gt;"","REMOVE UC-ID OR CORRECT SCOPE","Baseline only — NOT UC approval"),"Decision scope missing"))))</f>
        <v/>
      </c>
      <c r="R159" s="43" t="n"/>
      <c r="S159" s="40" t="n"/>
      <c r="T159" s="40" t="n"/>
      <c r="U159" s="40" t="n"/>
      <c r="V159" s="40" t="n"/>
      <c r="W159" s="41" t="n"/>
      <c r="X159" s="38" t="n"/>
    </row>
    <row r="160">
      <c r="A160" s="38" t="n"/>
      <c r="B160" s="38" t="n"/>
      <c r="C160" s="38" t="n"/>
      <c r="D160" s="38" t="n"/>
      <c r="E160" s="38" t="n"/>
      <c r="F160" s="39" t="n"/>
      <c r="G160" s="38" t="n"/>
      <c r="H160" s="38" t="n"/>
      <c r="I160" s="38" t="n"/>
      <c r="J160" s="38" t="n"/>
      <c r="K160" s="38" t="n"/>
      <c r="L160" s="38" t="n"/>
      <c r="M160" s="38" t="n"/>
      <c r="N160" s="22">
        <f>IF(COUNTA(A160:M160,O160:P160,R160:X160)=0,"",IF(OR(A160="",B160="",F160=""),"Event ID, AIR-ID or date missing",IF(COUNTIF($A$4:$A$553,A160)&gt;1,"Duplicate Event ID",IF(E160="","Event type missing",IF(OR(NOT(ISNUMBER(F160)),F160&gt;TODAY()),"Date is not a real date or is in the future",IF(AND(C160&lt;&gt;"",COUNTIF('Gate plan'!$A$4:$A$353,C160)=0),"Plan ID not found in Gate plan",IF(AND(C160&lt;&gt;"",COUNTIFS('Gate plan'!$A$4:$A$353,C160,'Gate plan'!$B$4:$B$353,B160)=0),"Plan AIR-ID differs from event",IF(D160="","Gate / forum missing",IF(AND(E160="Precautionary pause (containment)",G160&lt;&gt;"Paused — pending decision"),"Precautionary pause: Outcome must be Paused, pending decision",IF(AND(E160="Precautionary pause (containment)",V160=""),"Precautionary pause: AIG-OPS-03 incident ref missing",IF(AND(E160="Precautionary pause (containment)",NOT(ISNUMBER(W160))),"Precautionary pause: follow-up decision due date missing",IF(AND(G160="Paused — pending decision",E160&lt;&gt;"Precautionary pause (containment)"),"Paused, pending decision is only for a Precautionary pause event",IF(AND(E160="Decision",OR(G160="",H160="",I160="")),"Outcome / delegation / decision ref missing",IF(AND(E160="Decision",NOT(OR(G160="Progress",G160="Progress with condition",G160="Return for evidence",G160="Pause",G160="Stop",G160="Suspend",G160="Decommission",G160="Re-authorise",G160="Resume"))),"Decision event needs a decision outcome",IF(AND(E160="Priority override",OR(H160="",I160="")),"Decision-maker / AIG-DEC-03 ref missing",IF(AND(E160="Priority override",G160&lt;&gt;"",G160&lt;&gt;"No decision"),"Priority override: Outcome blank or No decision",IF(AND(E160&lt;&gt;"Decision",OR(G160="Progress",G160="Progress with condition",G160="Return for evidence",G160="Pause",G160="Stop",G160="Suspend",G160="Decommission",G160="Re-authorise",G160="Resume")),"Outcome implies decision",IF(OR(ISNUMBER(SEARCH(",",O160)),ISNUMBER(SEARCH(";",O160))),"One UC-ID per event row — split this event",IF(AND(E160="Decision",OR(Q160="UC-ID REQUIRED",Q160="Decision scope missing",Q160="REMOVE UC-ID OR CORRECT SCOPE")),"Decision scope missing",IF(AND(G160="Progress with condition",COUNTIF(Conditions!$B$4:$B$553,A160)=0),"Progress with condition needs at least one Conditions row",IF(AND(C160&lt;&gt;"",COUNTIFS('Gate plan'!$A$4:$A$353,C160,'Gate plan'!$C$4:$C$353,D160)=0),"Plan gate differs from event gate",IF(AND(C160&lt;&gt;"",O160&lt;&gt;"",COUNTIFS('Gate plan'!$A$4:$A$353,C160,'Gate plan'!$K$4:$K$353,"&lt;&gt;")&gt;0,COUNTIFS('Gate plan'!$A$4:$A$353,C160,'Gate plan'!$K$4:$K$353,O160)=0),"Plan UC-ID differs from event UC-ID",IF(AND(E160="Assurance opinion",J160=""),"Assurance opinion ref missing",IF(AND(G160="Opinion only",E160&lt;&gt;"Assurance opinion",E160&lt;&gt;"Review only"),"Opinion only is for Assurance opinion or Review only events",IF(AND(G160="No decision",E160&lt;&gt;"Review only",E160&lt;&gt;"Priority override",E160&lt;&gt;"Intake / registration"),"No decision is for Review only, Priority override or Intake / registration events",IF(OR(ISNUMBER(SEARCH(" ",TRIM(O160))),ISNUMBER(SEARCH("/",O160))),"One UC-ID per event row: split this event",IF(AND(E160="Precautionary pause (containment)",ISNUMBER(W160),ISNUMBER(F160),W160&lt;F160),"Follow-up decision due date is before the pause",IF(AND(G160="Resume",IFERROR(LOOKUP(2,1/(($B$3:B159=B160)*($O$3:O159=O160)),$G$3:G159),"")&lt;&gt;"Paused — pending decision"),"Resume is only for the event straight after a Precautionary pause on the same AIR-ID and UC-ID (in an earlier row)",IF(AND(E160="Decision",OR(G160="Progress",G160="Progress with condition",G160="Re-authorise",G160="Resume"),X160&lt;&gt;"Yes"),"Decision-maker has not confirmed the screening was considered (column X)","Check against source")))))))))))))))))))))))))))))</f>
        <v/>
      </c>
      <c r="O160" s="37" t="n"/>
      <c r="P160" s="37" t="n"/>
      <c r="Q160" s="14">
        <f>IF(A160="","",IF(E160&lt;&gt;"Decision","",IF(P160="UC-ID specific",IF(O160="","UC-ID REQUIRED","Check source decision for each UC-ID"),IF(P160="Shared system baseline",IF(O160&lt;&gt;"","REMOVE UC-ID OR CORRECT SCOPE","Baseline only — NOT UC approval"),"Decision scope missing"))))</f>
        <v/>
      </c>
      <c r="R160" s="42" t="n"/>
      <c r="S160" s="38" t="n"/>
      <c r="T160" s="38" t="n"/>
      <c r="U160" s="38" t="n"/>
      <c r="V160" s="38" t="n"/>
      <c r="W160" s="39" t="n"/>
      <c r="X160" s="38" t="n"/>
    </row>
    <row r="161">
      <c r="A161" s="40" t="n"/>
      <c r="B161" s="40" t="n"/>
      <c r="C161" s="40" t="n"/>
      <c r="D161" s="40" t="n"/>
      <c r="E161" s="40" t="n"/>
      <c r="F161" s="41" t="n"/>
      <c r="G161" s="40" t="n"/>
      <c r="H161" s="40" t="n"/>
      <c r="I161" s="40" t="n"/>
      <c r="J161" s="40" t="n"/>
      <c r="K161" s="40" t="n"/>
      <c r="L161" s="40" t="n"/>
      <c r="M161" s="40" t="n"/>
      <c r="N161" s="24">
        <f>IF(COUNTA(A161:M161,O161:P161,R161:X161)=0,"",IF(OR(A161="",B161="",F161=""),"Event ID, AIR-ID or date missing",IF(COUNTIF($A$4:$A$553,A161)&gt;1,"Duplicate Event ID",IF(E161="","Event type missing",IF(OR(NOT(ISNUMBER(F161)),F161&gt;TODAY()),"Date is not a real date or is in the future",IF(AND(C161&lt;&gt;"",COUNTIF('Gate plan'!$A$4:$A$353,C161)=0),"Plan ID not found in Gate plan",IF(AND(C161&lt;&gt;"",COUNTIFS('Gate plan'!$A$4:$A$353,C161,'Gate plan'!$B$4:$B$353,B161)=0),"Plan AIR-ID differs from event",IF(D161="","Gate / forum missing",IF(AND(E161="Precautionary pause (containment)",G161&lt;&gt;"Paused — pending decision"),"Precautionary pause: Outcome must be Paused, pending decision",IF(AND(E161="Precautionary pause (containment)",V161=""),"Precautionary pause: AIG-OPS-03 incident ref missing",IF(AND(E161="Precautionary pause (containment)",NOT(ISNUMBER(W161))),"Precautionary pause: follow-up decision due date missing",IF(AND(G161="Paused — pending decision",E161&lt;&gt;"Precautionary pause (containment)"),"Paused, pending decision is only for a Precautionary pause event",IF(AND(E161="Decision",OR(G161="",H161="",I161="")),"Outcome / delegation / decision ref missing",IF(AND(E161="Decision",NOT(OR(G161="Progress",G161="Progress with condition",G161="Return for evidence",G161="Pause",G161="Stop",G161="Suspend",G161="Decommission",G161="Re-authorise",G161="Resume"))),"Decision event needs a decision outcome",IF(AND(E161="Priority override",OR(H161="",I161="")),"Decision-maker / AIG-DEC-03 ref missing",IF(AND(E161="Priority override",G161&lt;&gt;"",G161&lt;&gt;"No decision"),"Priority override: Outcome blank or No decision",IF(AND(E161&lt;&gt;"Decision",OR(G161="Progress",G161="Progress with condition",G161="Return for evidence",G161="Pause",G161="Stop",G161="Suspend",G161="Decommission",G161="Re-authorise",G161="Resume")),"Outcome implies decision",IF(OR(ISNUMBER(SEARCH(",",O161)),ISNUMBER(SEARCH(";",O161))),"One UC-ID per event row — split this event",IF(AND(E161="Decision",OR(Q161="UC-ID REQUIRED",Q161="Decision scope missing",Q161="REMOVE UC-ID OR CORRECT SCOPE")),"Decision scope missing",IF(AND(G161="Progress with condition",COUNTIF(Conditions!$B$4:$B$553,A161)=0),"Progress with condition needs at least one Conditions row",IF(AND(C161&lt;&gt;"",COUNTIFS('Gate plan'!$A$4:$A$353,C161,'Gate plan'!$C$4:$C$353,D161)=0),"Plan gate differs from event gate",IF(AND(C161&lt;&gt;"",O161&lt;&gt;"",COUNTIFS('Gate plan'!$A$4:$A$353,C161,'Gate plan'!$K$4:$K$353,"&lt;&gt;")&gt;0,COUNTIFS('Gate plan'!$A$4:$A$353,C161,'Gate plan'!$K$4:$K$353,O161)=0),"Plan UC-ID differs from event UC-ID",IF(AND(E161="Assurance opinion",J161=""),"Assurance opinion ref missing",IF(AND(G161="Opinion only",E161&lt;&gt;"Assurance opinion",E161&lt;&gt;"Review only"),"Opinion only is for Assurance opinion or Review only events",IF(AND(G161="No decision",E161&lt;&gt;"Review only",E161&lt;&gt;"Priority override",E161&lt;&gt;"Intake / registration"),"No decision is for Review only, Priority override or Intake / registration events",IF(OR(ISNUMBER(SEARCH(" ",TRIM(O161))),ISNUMBER(SEARCH("/",O161))),"One UC-ID per event row: split this event",IF(AND(E161="Precautionary pause (containment)",ISNUMBER(W161),ISNUMBER(F161),W161&lt;F161),"Follow-up decision due date is before the pause",IF(AND(G161="Resume",IFERROR(LOOKUP(2,1/(($B$3:B160=B161)*($O$3:O160=O161)),$G$3:G160),"")&lt;&gt;"Paused — pending decision"),"Resume is only for the event straight after a Precautionary pause on the same AIR-ID and UC-ID (in an earlier row)",IF(AND(E161="Decision",OR(G161="Progress",G161="Progress with condition",G161="Re-authorise",G161="Resume"),X161&lt;&gt;"Yes"),"Decision-maker has not confirmed the screening was considered (column X)","Check against source")))))))))))))))))))))))))))))</f>
        <v/>
      </c>
      <c r="O161" s="37" t="n"/>
      <c r="P161" s="37" t="n"/>
      <c r="Q161" s="14">
        <f>IF(A161="","",IF(E161&lt;&gt;"Decision","",IF(P161="UC-ID specific",IF(O161="","UC-ID REQUIRED","Check source decision for each UC-ID"),IF(P161="Shared system baseline",IF(O161&lt;&gt;"","REMOVE UC-ID OR CORRECT SCOPE","Baseline only — NOT UC approval"),"Decision scope missing"))))</f>
        <v/>
      </c>
      <c r="R161" s="43" t="n"/>
      <c r="S161" s="40" t="n"/>
      <c r="T161" s="40" t="n"/>
      <c r="U161" s="40" t="n"/>
      <c r="V161" s="40" t="n"/>
      <c r="W161" s="41" t="n"/>
      <c r="X161" s="38" t="n"/>
    </row>
    <row r="162">
      <c r="A162" s="38" t="n"/>
      <c r="B162" s="38" t="n"/>
      <c r="C162" s="38" t="n"/>
      <c r="D162" s="38" t="n"/>
      <c r="E162" s="38" t="n"/>
      <c r="F162" s="39" t="n"/>
      <c r="G162" s="38" t="n"/>
      <c r="H162" s="38" t="n"/>
      <c r="I162" s="38" t="n"/>
      <c r="J162" s="38" t="n"/>
      <c r="K162" s="38" t="n"/>
      <c r="L162" s="38" t="n"/>
      <c r="M162" s="38" t="n"/>
      <c r="N162" s="22">
        <f>IF(COUNTA(A162:M162,O162:P162,R162:X162)=0,"",IF(OR(A162="",B162="",F162=""),"Event ID, AIR-ID or date missing",IF(COUNTIF($A$4:$A$553,A162)&gt;1,"Duplicate Event ID",IF(E162="","Event type missing",IF(OR(NOT(ISNUMBER(F162)),F162&gt;TODAY()),"Date is not a real date or is in the future",IF(AND(C162&lt;&gt;"",COUNTIF('Gate plan'!$A$4:$A$353,C162)=0),"Plan ID not found in Gate plan",IF(AND(C162&lt;&gt;"",COUNTIFS('Gate plan'!$A$4:$A$353,C162,'Gate plan'!$B$4:$B$353,B162)=0),"Plan AIR-ID differs from event",IF(D162="","Gate / forum missing",IF(AND(E162="Precautionary pause (containment)",G162&lt;&gt;"Paused — pending decision"),"Precautionary pause: Outcome must be Paused, pending decision",IF(AND(E162="Precautionary pause (containment)",V162=""),"Precautionary pause: AIG-OPS-03 incident ref missing",IF(AND(E162="Precautionary pause (containment)",NOT(ISNUMBER(W162))),"Precautionary pause: follow-up decision due date missing",IF(AND(G162="Paused — pending decision",E162&lt;&gt;"Precautionary pause (containment)"),"Paused, pending decision is only for a Precautionary pause event",IF(AND(E162="Decision",OR(G162="",H162="",I162="")),"Outcome / delegation / decision ref missing",IF(AND(E162="Decision",NOT(OR(G162="Progress",G162="Progress with condition",G162="Return for evidence",G162="Pause",G162="Stop",G162="Suspend",G162="Decommission",G162="Re-authorise",G162="Resume"))),"Decision event needs a decision outcome",IF(AND(E162="Priority override",OR(H162="",I162="")),"Decision-maker / AIG-DEC-03 ref missing",IF(AND(E162="Priority override",G162&lt;&gt;"",G162&lt;&gt;"No decision"),"Priority override: Outcome blank or No decision",IF(AND(E162&lt;&gt;"Decision",OR(G162="Progress",G162="Progress with condition",G162="Return for evidence",G162="Pause",G162="Stop",G162="Suspend",G162="Decommission",G162="Re-authorise",G162="Resume")),"Outcome implies decision",IF(OR(ISNUMBER(SEARCH(",",O162)),ISNUMBER(SEARCH(";",O162))),"One UC-ID per event row — split this event",IF(AND(E162="Decision",OR(Q162="UC-ID REQUIRED",Q162="Decision scope missing",Q162="REMOVE UC-ID OR CORRECT SCOPE")),"Decision scope missing",IF(AND(G162="Progress with condition",COUNTIF(Conditions!$B$4:$B$553,A162)=0),"Progress with condition needs at least one Conditions row",IF(AND(C162&lt;&gt;"",COUNTIFS('Gate plan'!$A$4:$A$353,C162,'Gate plan'!$C$4:$C$353,D162)=0),"Plan gate differs from event gate",IF(AND(C162&lt;&gt;"",O162&lt;&gt;"",COUNTIFS('Gate plan'!$A$4:$A$353,C162,'Gate plan'!$K$4:$K$353,"&lt;&gt;")&gt;0,COUNTIFS('Gate plan'!$A$4:$A$353,C162,'Gate plan'!$K$4:$K$353,O162)=0),"Plan UC-ID differs from event UC-ID",IF(AND(E162="Assurance opinion",J162=""),"Assurance opinion ref missing",IF(AND(G162="Opinion only",E162&lt;&gt;"Assurance opinion",E162&lt;&gt;"Review only"),"Opinion only is for Assurance opinion or Review only events",IF(AND(G162="No decision",E162&lt;&gt;"Review only",E162&lt;&gt;"Priority override",E162&lt;&gt;"Intake / registration"),"No decision is for Review only, Priority override or Intake / registration events",IF(OR(ISNUMBER(SEARCH(" ",TRIM(O162))),ISNUMBER(SEARCH("/",O162))),"One UC-ID per event row: split this event",IF(AND(E162="Precautionary pause (containment)",ISNUMBER(W162),ISNUMBER(F162),W162&lt;F162),"Follow-up decision due date is before the pause",IF(AND(G162="Resume",IFERROR(LOOKUP(2,1/(($B$3:B161=B162)*($O$3:O161=O162)),$G$3:G161),"")&lt;&gt;"Paused — pending decision"),"Resume is only for the event straight after a Precautionary pause on the same AIR-ID and UC-ID (in an earlier row)",IF(AND(E162="Decision",OR(G162="Progress",G162="Progress with condition",G162="Re-authorise",G162="Resume"),X162&lt;&gt;"Yes"),"Decision-maker has not confirmed the screening was considered (column X)","Check against source")))))))))))))))))))))))))))))</f>
        <v/>
      </c>
      <c r="O162" s="37" t="n"/>
      <c r="P162" s="37" t="n"/>
      <c r="Q162" s="14">
        <f>IF(A162="","",IF(E162&lt;&gt;"Decision","",IF(P162="UC-ID specific",IF(O162="","UC-ID REQUIRED","Check source decision for each UC-ID"),IF(P162="Shared system baseline",IF(O162&lt;&gt;"","REMOVE UC-ID OR CORRECT SCOPE","Baseline only — NOT UC approval"),"Decision scope missing"))))</f>
        <v/>
      </c>
      <c r="R162" s="42" t="n"/>
      <c r="S162" s="38" t="n"/>
      <c r="T162" s="38" t="n"/>
      <c r="U162" s="38" t="n"/>
      <c r="V162" s="38" t="n"/>
      <c r="W162" s="39" t="n"/>
      <c r="X162" s="38" t="n"/>
    </row>
    <row r="163">
      <c r="A163" s="40" t="n"/>
      <c r="B163" s="40" t="n"/>
      <c r="C163" s="40" t="n"/>
      <c r="D163" s="40" t="n"/>
      <c r="E163" s="40" t="n"/>
      <c r="F163" s="41" t="n"/>
      <c r="G163" s="40" t="n"/>
      <c r="H163" s="40" t="n"/>
      <c r="I163" s="40" t="n"/>
      <c r="J163" s="40" t="n"/>
      <c r="K163" s="40" t="n"/>
      <c r="L163" s="40" t="n"/>
      <c r="M163" s="40" t="n"/>
      <c r="N163" s="24">
        <f>IF(COUNTA(A163:M163,O163:P163,R163:X163)=0,"",IF(OR(A163="",B163="",F163=""),"Event ID, AIR-ID or date missing",IF(COUNTIF($A$4:$A$553,A163)&gt;1,"Duplicate Event ID",IF(E163="","Event type missing",IF(OR(NOT(ISNUMBER(F163)),F163&gt;TODAY()),"Date is not a real date or is in the future",IF(AND(C163&lt;&gt;"",COUNTIF('Gate plan'!$A$4:$A$353,C163)=0),"Plan ID not found in Gate plan",IF(AND(C163&lt;&gt;"",COUNTIFS('Gate plan'!$A$4:$A$353,C163,'Gate plan'!$B$4:$B$353,B163)=0),"Plan AIR-ID differs from event",IF(D163="","Gate / forum missing",IF(AND(E163="Precautionary pause (containment)",G163&lt;&gt;"Paused — pending decision"),"Precautionary pause: Outcome must be Paused, pending decision",IF(AND(E163="Precautionary pause (containment)",V163=""),"Precautionary pause: AIG-OPS-03 incident ref missing",IF(AND(E163="Precautionary pause (containment)",NOT(ISNUMBER(W163))),"Precautionary pause: follow-up decision due date missing",IF(AND(G163="Paused — pending decision",E163&lt;&gt;"Precautionary pause (containment)"),"Paused, pending decision is only for a Precautionary pause event",IF(AND(E163="Decision",OR(G163="",H163="",I163="")),"Outcome / delegation / decision ref missing",IF(AND(E163="Decision",NOT(OR(G163="Progress",G163="Progress with condition",G163="Return for evidence",G163="Pause",G163="Stop",G163="Suspend",G163="Decommission",G163="Re-authorise",G163="Resume"))),"Decision event needs a decision outcome",IF(AND(E163="Priority override",OR(H163="",I163="")),"Decision-maker / AIG-DEC-03 ref missing",IF(AND(E163="Priority override",G163&lt;&gt;"",G163&lt;&gt;"No decision"),"Priority override: Outcome blank or No decision",IF(AND(E163&lt;&gt;"Decision",OR(G163="Progress",G163="Progress with condition",G163="Return for evidence",G163="Pause",G163="Stop",G163="Suspend",G163="Decommission",G163="Re-authorise",G163="Resume")),"Outcome implies decision",IF(OR(ISNUMBER(SEARCH(",",O163)),ISNUMBER(SEARCH(";",O163))),"One UC-ID per event row — split this event",IF(AND(E163="Decision",OR(Q163="UC-ID REQUIRED",Q163="Decision scope missing",Q163="REMOVE UC-ID OR CORRECT SCOPE")),"Decision scope missing",IF(AND(G163="Progress with condition",COUNTIF(Conditions!$B$4:$B$553,A163)=0),"Progress with condition needs at least one Conditions row",IF(AND(C163&lt;&gt;"",COUNTIFS('Gate plan'!$A$4:$A$353,C163,'Gate plan'!$C$4:$C$353,D163)=0),"Plan gate differs from event gate",IF(AND(C163&lt;&gt;"",O163&lt;&gt;"",COUNTIFS('Gate plan'!$A$4:$A$353,C163,'Gate plan'!$K$4:$K$353,"&lt;&gt;")&gt;0,COUNTIFS('Gate plan'!$A$4:$A$353,C163,'Gate plan'!$K$4:$K$353,O163)=0),"Plan UC-ID differs from event UC-ID",IF(AND(E163="Assurance opinion",J163=""),"Assurance opinion ref missing",IF(AND(G163="Opinion only",E163&lt;&gt;"Assurance opinion",E163&lt;&gt;"Review only"),"Opinion only is for Assurance opinion or Review only events",IF(AND(G163="No decision",E163&lt;&gt;"Review only",E163&lt;&gt;"Priority override",E163&lt;&gt;"Intake / registration"),"No decision is for Review only, Priority override or Intake / registration events",IF(OR(ISNUMBER(SEARCH(" ",TRIM(O163))),ISNUMBER(SEARCH("/",O163))),"One UC-ID per event row: split this event",IF(AND(E163="Precautionary pause (containment)",ISNUMBER(W163),ISNUMBER(F163),W163&lt;F163),"Follow-up decision due date is before the pause",IF(AND(G163="Resume",IFERROR(LOOKUP(2,1/(($B$3:B162=B163)*($O$3:O162=O163)),$G$3:G162),"")&lt;&gt;"Paused — pending decision"),"Resume is only for the event straight after a Precautionary pause on the same AIR-ID and UC-ID (in an earlier row)",IF(AND(E163="Decision",OR(G163="Progress",G163="Progress with condition",G163="Re-authorise",G163="Resume"),X163&lt;&gt;"Yes"),"Decision-maker has not confirmed the screening was considered (column X)","Check against source")))))))))))))))))))))))))))))</f>
        <v/>
      </c>
      <c r="O163" s="37" t="n"/>
      <c r="P163" s="37" t="n"/>
      <c r="Q163" s="14">
        <f>IF(A163="","",IF(E163&lt;&gt;"Decision","",IF(P163="UC-ID specific",IF(O163="","UC-ID REQUIRED","Check source decision for each UC-ID"),IF(P163="Shared system baseline",IF(O163&lt;&gt;"","REMOVE UC-ID OR CORRECT SCOPE","Baseline only — NOT UC approval"),"Decision scope missing"))))</f>
        <v/>
      </c>
      <c r="R163" s="43" t="n"/>
      <c r="S163" s="40" t="n"/>
      <c r="T163" s="40" t="n"/>
      <c r="U163" s="40" t="n"/>
      <c r="V163" s="40" t="n"/>
      <c r="W163" s="41" t="n"/>
      <c r="X163" s="38" t="n"/>
    </row>
    <row r="164">
      <c r="A164" s="38" t="n"/>
      <c r="B164" s="38" t="n"/>
      <c r="C164" s="38" t="n"/>
      <c r="D164" s="38" t="n"/>
      <c r="E164" s="38" t="n"/>
      <c r="F164" s="39" t="n"/>
      <c r="G164" s="38" t="n"/>
      <c r="H164" s="38" t="n"/>
      <c r="I164" s="38" t="n"/>
      <c r="J164" s="38" t="n"/>
      <c r="K164" s="38" t="n"/>
      <c r="L164" s="38" t="n"/>
      <c r="M164" s="38" t="n"/>
      <c r="N164" s="22">
        <f>IF(COUNTA(A164:M164,O164:P164,R164:X164)=0,"",IF(OR(A164="",B164="",F164=""),"Event ID, AIR-ID or date missing",IF(COUNTIF($A$4:$A$553,A164)&gt;1,"Duplicate Event ID",IF(E164="","Event type missing",IF(OR(NOT(ISNUMBER(F164)),F164&gt;TODAY()),"Date is not a real date or is in the future",IF(AND(C164&lt;&gt;"",COUNTIF('Gate plan'!$A$4:$A$353,C164)=0),"Plan ID not found in Gate plan",IF(AND(C164&lt;&gt;"",COUNTIFS('Gate plan'!$A$4:$A$353,C164,'Gate plan'!$B$4:$B$353,B164)=0),"Plan AIR-ID differs from event",IF(D164="","Gate / forum missing",IF(AND(E164="Precautionary pause (containment)",G164&lt;&gt;"Paused — pending decision"),"Precautionary pause: Outcome must be Paused, pending decision",IF(AND(E164="Precautionary pause (containment)",V164=""),"Precautionary pause: AIG-OPS-03 incident ref missing",IF(AND(E164="Precautionary pause (containment)",NOT(ISNUMBER(W164))),"Precautionary pause: follow-up decision due date missing",IF(AND(G164="Paused — pending decision",E164&lt;&gt;"Precautionary pause (containment)"),"Paused, pending decision is only for a Precautionary pause event",IF(AND(E164="Decision",OR(G164="",H164="",I164="")),"Outcome / delegation / decision ref missing",IF(AND(E164="Decision",NOT(OR(G164="Progress",G164="Progress with condition",G164="Return for evidence",G164="Pause",G164="Stop",G164="Suspend",G164="Decommission",G164="Re-authorise",G164="Resume"))),"Decision event needs a decision outcome",IF(AND(E164="Priority override",OR(H164="",I164="")),"Decision-maker / AIG-DEC-03 ref missing",IF(AND(E164="Priority override",G164&lt;&gt;"",G164&lt;&gt;"No decision"),"Priority override: Outcome blank or No decision",IF(AND(E164&lt;&gt;"Decision",OR(G164="Progress",G164="Progress with condition",G164="Return for evidence",G164="Pause",G164="Stop",G164="Suspend",G164="Decommission",G164="Re-authorise",G164="Resume")),"Outcome implies decision",IF(OR(ISNUMBER(SEARCH(",",O164)),ISNUMBER(SEARCH(";",O164))),"One UC-ID per event row — split this event",IF(AND(E164="Decision",OR(Q164="UC-ID REQUIRED",Q164="Decision scope missing",Q164="REMOVE UC-ID OR CORRECT SCOPE")),"Decision scope missing",IF(AND(G164="Progress with condition",COUNTIF(Conditions!$B$4:$B$553,A164)=0),"Progress with condition needs at least one Conditions row",IF(AND(C164&lt;&gt;"",COUNTIFS('Gate plan'!$A$4:$A$353,C164,'Gate plan'!$C$4:$C$353,D164)=0),"Plan gate differs from event gate",IF(AND(C164&lt;&gt;"",O164&lt;&gt;"",COUNTIFS('Gate plan'!$A$4:$A$353,C164,'Gate plan'!$K$4:$K$353,"&lt;&gt;")&gt;0,COUNTIFS('Gate plan'!$A$4:$A$353,C164,'Gate plan'!$K$4:$K$353,O164)=0),"Plan UC-ID differs from event UC-ID",IF(AND(E164="Assurance opinion",J164=""),"Assurance opinion ref missing",IF(AND(G164="Opinion only",E164&lt;&gt;"Assurance opinion",E164&lt;&gt;"Review only"),"Opinion only is for Assurance opinion or Review only events",IF(AND(G164="No decision",E164&lt;&gt;"Review only",E164&lt;&gt;"Priority override",E164&lt;&gt;"Intake / registration"),"No decision is for Review only, Priority override or Intake / registration events",IF(OR(ISNUMBER(SEARCH(" ",TRIM(O164))),ISNUMBER(SEARCH("/",O164))),"One UC-ID per event row: split this event",IF(AND(E164="Precautionary pause (containment)",ISNUMBER(W164),ISNUMBER(F164),W164&lt;F164),"Follow-up decision due date is before the pause",IF(AND(G164="Resume",IFERROR(LOOKUP(2,1/(($B$3:B163=B164)*($O$3:O163=O164)),$G$3:G163),"")&lt;&gt;"Paused — pending decision"),"Resume is only for the event straight after a Precautionary pause on the same AIR-ID and UC-ID (in an earlier row)",IF(AND(E164="Decision",OR(G164="Progress",G164="Progress with condition",G164="Re-authorise",G164="Resume"),X164&lt;&gt;"Yes"),"Decision-maker has not confirmed the screening was considered (column X)","Check against source")))))))))))))))))))))))))))))</f>
        <v/>
      </c>
      <c r="O164" s="37" t="n"/>
      <c r="P164" s="37" t="n"/>
      <c r="Q164" s="14">
        <f>IF(A164="","",IF(E164&lt;&gt;"Decision","",IF(P164="UC-ID specific",IF(O164="","UC-ID REQUIRED","Check source decision for each UC-ID"),IF(P164="Shared system baseline",IF(O164&lt;&gt;"","REMOVE UC-ID OR CORRECT SCOPE","Baseline only — NOT UC approval"),"Decision scope missing"))))</f>
        <v/>
      </c>
      <c r="R164" s="42" t="n"/>
      <c r="S164" s="38" t="n"/>
      <c r="T164" s="38" t="n"/>
      <c r="U164" s="38" t="n"/>
      <c r="V164" s="38" t="n"/>
      <c r="W164" s="39" t="n"/>
      <c r="X164" s="38" t="n"/>
    </row>
    <row r="165">
      <c r="A165" s="40" t="n"/>
      <c r="B165" s="40" t="n"/>
      <c r="C165" s="40" t="n"/>
      <c r="D165" s="40" t="n"/>
      <c r="E165" s="40" t="n"/>
      <c r="F165" s="41" t="n"/>
      <c r="G165" s="40" t="n"/>
      <c r="H165" s="40" t="n"/>
      <c r="I165" s="40" t="n"/>
      <c r="J165" s="40" t="n"/>
      <c r="K165" s="40" t="n"/>
      <c r="L165" s="40" t="n"/>
      <c r="M165" s="40" t="n"/>
      <c r="N165" s="24">
        <f>IF(COUNTA(A165:M165,O165:P165,R165:X165)=0,"",IF(OR(A165="",B165="",F165=""),"Event ID, AIR-ID or date missing",IF(COUNTIF($A$4:$A$553,A165)&gt;1,"Duplicate Event ID",IF(E165="","Event type missing",IF(OR(NOT(ISNUMBER(F165)),F165&gt;TODAY()),"Date is not a real date or is in the future",IF(AND(C165&lt;&gt;"",COUNTIF('Gate plan'!$A$4:$A$353,C165)=0),"Plan ID not found in Gate plan",IF(AND(C165&lt;&gt;"",COUNTIFS('Gate plan'!$A$4:$A$353,C165,'Gate plan'!$B$4:$B$353,B165)=0),"Plan AIR-ID differs from event",IF(D165="","Gate / forum missing",IF(AND(E165="Precautionary pause (containment)",G165&lt;&gt;"Paused — pending decision"),"Precautionary pause: Outcome must be Paused, pending decision",IF(AND(E165="Precautionary pause (containment)",V165=""),"Precautionary pause: AIG-OPS-03 incident ref missing",IF(AND(E165="Precautionary pause (containment)",NOT(ISNUMBER(W165))),"Precautionary pause: follow-up decision due date missing",IF(AND(G165="Paused — pending decision",E165&lt;&gt;"Precautionary pause (containment)"),"Paused, pending decision is only for a Precautionary pause event",IF(AND(E165="Decision",OR(G165="",H165="",I165="")),"Outcome / delegation / decision ref missing",IF(AND(E165="Decision",NOT(OR(G165="Progress",G165="Progress with condition",G165="Return for evidence",G165="Pause",G165="Stop",G165="Suspend",G165="Decommission",G165="Re-authorise",G165="Resume"))),"Decision event needs a decision outcome",IF(AND(E165="Priority override",OR(H165="",I165="")),"Decision-maker / AIG-DEC-03 ref missing",IF(AND(E165="Priority override",G165&lt;&gt;"",G165&lt;&gt;"No decision"),"Priority override: Outcome blank or No decision",IF(AND(E165&lt;&gt;"Decision",OR(G165="Progress",G165="Progress with condition",G165="Return for evidence",G165="Pause",G165="Stop",G165="Suspend",G165="Decommission",G165="Re-authorise",G165="Resume")),"Outcome implies decision",IF(OR(ISNUMBER(SEARCH(",",O165)),ISNUMBER(SEARCH(";",O165))),"One UC-ID per event row — split this event",IF(AND(E165="Decision",OR(Q165="UC-ID REQUIRED",Q165="Decision scope missing",Q165="REMOVE UC-ID OR CORRECT SCOPE")),"Decision scope missing",IF(AND(G165="Progress with condition",COUNTIF(Conditions!$B$4:$B$553,A165)=0),"Progress with condition needs at least one Conditions row",IF(AND(C165&lt;&gt;"",COUNTIFS('Gate plan'!$A$4:$A$353,C165,'Gate plan'!$C$4:$C$353,D165)=0),"Plan gate differs from event gate",IF(AND(C165&lt;&gt;"",O165&lt;&gt;"",COUNTIFS('Gate plan'!$A$4:$A$353,C165,'Gate plan'!$K$4:$K$353,"&lt;&gt;")&gt;0,COUNTIFS('Gate plan'!$A$4:$A$353,C165,'Gate plan'!$K$4:$K$353,O165)=0),"Plan UC-ID differs from event UC-ID",IF(AND(E165="Assurance opinion",J165=""),"Assurance opinion ref missing",IF(AND(G165="Opinion only",E165&lt;&gt;"Assurance opinion",E165&lt;&gt;"Review only"),"Opinion only is for Assurance opinion or Review only events",IF(AND(G165="No decision",E165&lt;&gt;"Review only",E165&lt;&gt;"Priority override",E165&lt;&gt;"Intake / registration"),"No decision is for Review only, Priority override or Intake / registration events",IF(OR(ISNUMBER(SEARCH(" ",TRIM(O165))),ISNUMBER(SEARCH("/",O165))),"One UC-ID per event row: split this event",IF(AND(E165="Precautionary pause (containment)",ISNUMBER(W165),ISNUMBER(F165),W165&lt;F165),"Follow-up decision due date is before the pause",IF(AND(G165="Resume",IFERROR(LOOKUP(2,1/(($B$3:B164=B165)*($O$3:O164=O165)),$G$3:G164),"")&lt;&gt;"Paused — pending decision"),"Resume is only for the event straight after a Precautionary pause on the same AIR-ID and UC-ID (in an earlier row)",IF(AND(E165="Decision",OR(G165="Progress",G165="Progress with condition",G165="Re-authorise",G165="Resume"),X165&lt;&gt;"Yes"),"Decision-maker has not confirmed the screening was considered (column X)","Check against source")))))))))))))))))))))))))))))</f>
        <v/>
      </c>
      <c r="O165" s="37" t="n"/>
      <c r="P165" s="37" t="n"/>
      <c r="Q165" s="14">
        <f>IF(A165="","",IF(E165&lt;&gt;"Decision","",IF(P165="UC-ID specific",IF(O165="","UC-ID REQUIRED","Check source decision for each UC-ID"),IF(P165="Shared system baseline",IF(O165&lt;&gt;"","REMOVE UC-ID OR CORRECT SCOPE","Baseline only — NOT UC approval"),"Decision scope missing"))))</f>
        <v/>
      </c>
      <c r="R165" s="43" t="n"/>
      <c r="S165" s="40" t="n"/>
      <c r="T165" s="40" t="n"/>
      <c r="U165" s="40" t="n"/>
      <c r="V165" s="40" t="n"/>
      <c r="W165" s="41" t="n"/>
      <c r="X165" s="38" t="n"/>
    </row>
    <row r="166">
      <c r="A166" s="38" t="n"/>
      <c r="B166" s="38" t="n"/>
      <c r="C166" s="38" t="n"/>
      <c r="D166" s="38" t="n"/>
      <c r="E166" s="38" t="n"/>
      <c r="F166" s="39" t="n"/>
      <c r="G166" s="38" t="n"/>
      <c r="H166" s="38" t="n"/>
      <c r="I166" s="38" t="n"/>
      <c r="J166" s="38" t="n"/>
      <c r="K166" s="38" t="n"/>
      <c r="L166" s="38" t="n"/>
      <c r="M166" s="38" t="n"/>
      <c r="N166" s="22">
        <f>IF(COUNTA(A166:M166,O166:P166,R166:X166)=0,"",IF(OR(A166="",B166="",F166=""),"Event ID, AIR-ID or date missing",IF(COUNTIF($A$4:$A$553,A166)&gt;1,"Duplicate Event ID",IF(E166="","Event type missing",IF(OR(NOT(ISNUMBER(F166)),F166&gt;TODAY()),"Date is not a real date or is in the future",IF(AND(C166&lt;&gt;"",COUNTIF('Gate plan'!$A$4:$A$353,C166)=0),"Plan ID not found in Gate plan",IF(AND(C166&lt;&gt;"",COUNTIFS('Gate plan'!$A$4:$A$353,C166,'Gate plan'!$B$4:$B$353,B166)=0),"Plan AIR-ID differs from event",IF(D166="","Gate / forum missing",IF(AND(E166="Precautionary pause (containment)",G166&lt;&gt;"Paused — pending decision"),"Precautionary pause: Outcome must be Paused, pending decision",IF(AND(E166="Precautionary pause (containment)",V166=""),"Precautionary pause: AIG-OPS-03 incident ref missing",IF(AND(E166="Precautionary pause (containment)",NOT(ISNUMBER(W166))),"Precautionary pause: follow-up decision due date missing",IF(AND(G166="Paused — pending decision",E166&lt;&gt;"Precautionary pause (containment)"),"Paused, pending decision is only for a Precautionary pause event",IF(AND(E166="Decision",OR(G166="",H166="",I166="")),"Outcome / delegation / decision ref missing",IF(AND(E166="Decision",NOT(OR(G166="Progress",G166="Progress with condition",G166="Return for evidence",G166="Pause",G166="Stop",G166="Suspend",G166="Decommission",G166="Re-authorise",G166="Resume"))),"Decision event needs a decision outcome",IF(AND(E166="Priority override",OR(H166="",I166="")),"Decision-maker / AIG-DEC-03 ref missing",IF(AND(E166="Priority override",G166&lt;&gt;"",G166&lt;&gt;"No decision"),"Priority override: Outcome blank or No decision",IF(AND(E166&lt;&gt;"Decision",OR(G166="Progress",G166="Progress with condition",G166="Return for evidence",G166="Pause",G166="Stop",G166="Suspend",G166="Decommission",G166="Re-authorise",G166="Resume")),"Outcome implies decision",IF(OR(ISNUMBER(SEARCH(",",O166)),ISNUMBER(SEARCH(";",O166))),"One UC-ID per event row — split this event",IF(AND(E166="Decision",OR(Q166="UC-ID REQUIRED",Q166="Decision scope missing",Q166="REMOVE UC-ID OR CORRECT SCOPE")),"Decision scope missing",IF(AND(G166="Progress with condition",COUNTIF(Conditions!$B$4:$B$553,A166)=0),"Progress with condition needs at least one Conditions row",IF(AND(C166&lt;&gt;"",COUNTIFS('Gate plan'!$A$4:$A$353,C166,'Gate plan'!$C$4:$C$353,D166)=0),"Plan gate differs from event gate",IF(AND(C166&lt;&gt;"",O166&lt;&gt;"",COUNTIFS('Gate plan'!$A$4:$A$353,C166,'Gate plan'!$K$4:$K$353,"&lt;&gt;")&gt;0,COUNTIFS('Gate plan'!$A$4:$A$353,C166,'Gate plan'!$K$4:$K$353,O166)=0),"Plan UC-ID differs from event UC-ID",IF(AND(E166="Assurance opinion",J166=""),"Assurance opinion ref missing",IF(AND(G166="Opinion only",E166&lt;&gt;"Assurance opinion",E166&lt;&gt;"Review only"),"Opinion only is for Assurance opinion or Review only events",IF(AND(G166="No decision",E166&lt;&gt;"Review only",E166&lt;&gt;"Priority override",E166&lt;&gt;"Intake / registration"),"No decision is for Review only, Priority override or Intake / registration events",IF(OR(ISNUMBER(SEARCH(" ",TRIM(O166))),ISNUMBER(SEARCH("/",O166))),"One UC-ID per event row: split this event",IF(AND(E166="Precautionary pause (containment)",ISNUMBER(W166),ISNUMBER(F166),W166&lt;F166),"Follow-up decision due date is before the pause",IF(AND(G166="Resume",IFERROR(LOOKUP(2,1/(($B$3:B165=B166)*($O$3:O165=O166)),$G$3:G165),"")&lt;&gt;"Paused — pending decision"),"Resume is only for the event straight after a Precautionary pause on the same AIR-ID and UC-ID (in an earlier row)",IF(AND(E166="Decision",OR(G166="Progress",G166="Progress with condition",G166="Re-authorise",G166="Resume"),X166&lt;&gt;"Yes"),"Decision-maker has not confirmed the screening was considered (column X)","Check against source")))))))))))))))))))))))))))))</f>
        <v/>
      </c>
      <c r="O166" s="37" t="n"/>
      <c r="P166" s="37" t="n"/>
      <c r="Q166" s="14">
        <f>IF(A166="","",IF(E166&lt;&gt;"Decision","",IF(P166="UC-ID specific",IF(O166="","UC-ID REQUIRED","Check source decision for each UC-ID"),IF(P166="Shared system baseline",IF(O166&lt;&gt;"","REMOVE UC-ID OR CORRECT SCOPE","Baseline only — NOT UC approval"),"Decision scope missing"))))</f>
        <v/>
      </c>
      <c r="R166" s="42" t="n"/>
      <c r="S166" s="38" t="n"/>
      <c r="T166" s="38" t="n"/>
      <c r="U166" s="38" t="n"/>
      <c r="V166" s="38" t="n"/>
      <c r="W166" s="39" t="n"/>
      <c r="X166" s="38" t="n"/>
    </row>
    <row r="167">
      <c r="A167" s="40" t="n"/>
      <c r="B167" s="40" t="n"/>
      <c r="C167" s="40" t="n"/>
      <c r="D167" s="40" t="n"/>
      <c r="E167" s="40" t="n"/>
      <c r="F167" s="41" t="n"/>
      <c r="G167" s="40" t="n"/>
      <c r="H167" s="40" t="n"/>
      <c r="I167" s="40" t="n"/>
      <c r="J167" s="40" t="n"/>
      <c r="K167" s="40" t="n"/>
      <c r="L167" s="40" t="n"/>
      <c r="M167" s="40" t="n"/>
      <c r="N167" s="24">
        <f>IF(COUNTA(A167:M167,O167:P167,R167:X167)=0,"",IF(OR(A167="",B167="",F167=""),"Event ID, AIR-ID or date missing",IF(COUNTIF($A$4:$A$553,A167)&gt;1,"Duplicate Event ID",IF(E167="","Event type missing",IF(OR(NOT(ISNUMBER(F167)),F167&gt;TODAY()),"Date is not a real date or is in the future",IF(AND(C167&lt;&gt;"",COUNTIF('Gate plan'!$A$4:$A$353,C167)=0),"Plan ID not found in Gate plan",IF(AND(C167&lt;&gt;"",COUNTIFS('Gate plan'!$A$4:$A$353,C167,'Gate plan'!$B$4:$B$353,B167)=0),"Plan AIR-ID differs from event",IF(D167="","Gate / forum missing",IF(AND(E167="Precautionary pause (containment)",G167&lt;&gt;"Paused — pending decision"),"Precautionary pause: Outcome must be Paused, pending decision",IF(AND(E167="Precautionary pause (containment)",V167=""),"Precautionary pause: AIG-OPS-03 incident ref missing",IF(AND(E167="Precautionary pause (containment)",NOT(ISNUMBER(W167))),"Precautionary pause: follow-up decision due date missing",IF(AND(G167="Paused — pending decision",E167&lt;&gt;"Precautionary pause (containment)"),"Paused, pending decision is only for a Precautionary pause event",IF(AND(E167="Decision",OR(G167="",H167="",I167="")),"Outcome / delegation / decision ref missing",IF(AND(E167="Decision",NOT(OR(G167="Progress",G167="Progress with condition",G167="Return for evidence",G167="Pause",G167="Stop",G167="Suspend",G167="Decommission",G167="Re-authorise",G167="Resume"))),"Decision event needs a decision outcome",IF(AND(E167="Priority override",OR(H167="",I167="")),"Decision-maker / AIG-DEC-03 ref missing",IF(AND(E167="Priority override",G167&lt;&gt;"",G167&lt;&gt;"No decision"),"Priority override: Outcome blank or No decision",IF(AND(E167&lt;&gt;"Decision",OR(G167="Progress",G167="Progress with condition",G167="Return for evidence",G167="Pause",G167="Stop",G167="Suspend",G167="Decommission",G167="Re-authorise",G167="Resume")),"Outcome implies decision",IF(OR(ISNUMBER(SEARCH(",",O167)),ISNUMBER(SEARCH(";",O167))),"One UC-ID per event row — split this event",IF(AND(E167="Decision",OR(Q167="UC-ID REQUIRED",Q167="Decision scope missing",Q167="REMOVE UC-ID OR CORRECT SCOPE")),"Decision scope missing",IF(AND(G167="Progress with condition",COUNTIF(Conditions!$B$4:$B$553,A167)=0),"Progress with condition needs at least one Conditions row",IF(AND(C167&lt;&gt;"",COUNTIFS('Gate plan'!$A$4:$A$353,C167,'Gate plan'!$C$4:$C$353,D167)=0),"Plan gate differs from event gate",IF(AND(C167&lt;&gt;"",O167&lt;&gt;"",COUNTIFS('Gate plan'!$A$4:$A$353,C167,'Gate plan'!$K$4:$K$353,"&lt;&gt;")&gt;0,COUNTIFS('Gate plan'!$A$4:$A$353,C167,'Gate plan'!$K$4:$K$353,O167)=0),"Plan UC-ID differs from event UC-ID",IF(AND(E167="Assurance opinion",J167=""),"Assurance opinion ref missing",IF(AND(G167="Opinion only",E167&lt;&gt;"Assurance opinion",E167&lt;&gt;"Review only"),"Opinion only is for Assurance opinion or Review only events",IF(AND(G167="No decision",E167&lt;&gt;"Review only",E167&lt;&gt;"Priority override",E167&lt;&gt;"Intake / registration"),"No decision is for Review only, Priority override or Intake / registration events",IF(OR(ISNUMBER(SEARCH(" ",TRIM(O167))),ISNUMBER(SEARCH("/",O167))),"One UC-ID per event row: split this event",IF(AND(E167="Precautionary pause (containment)",ISNUMBER(W167),ISNUMBER(F167),W167&lt;F167),"Follow-up decision due date is before the pause",IF(AND(G167="Resume",IFERROR(LOOKUP(2,1/(($B$3:B166=B167)*($O$3:O166=O167)),$G$3:G166),"")&lt;&gt;"Paused — pending decision"),"Resume is only for the event straight after a Precautionary pause on the same AIR-ID and UC-ID (in an earlier row)",IF(AND(E167="Decision",OR(G167="Progress",G167="Progress with condition",G167="Re-authorise",G167="Resume"),X167&lt;&gt;"Yes"),"Decision-maker has not confirmed the screening was considered (column X)","Check against source")))))))))))))))))))))))))))))</f>
        <v/>
      </c>
      <c r="O167" s="37" t="n"/>
      <c r="P167" s="37" t="n"/>
      <c r="Q167" s="14">
        <f>IF(A167="","",IF(E167&lt;&gt;"Decision","",IF(P167="UC-ID specific",IF(O167="","UC-ID REQUIRED","Check source decision for each UC-ID"),IF(P167="Shared system baseline",IF(O167&lt;&gt;"","REMOVE UC-ID OR CORRECT SCOPE","Baseline only — NOT UC approval"),"Decision scope missing"))))</f>
        <v/>
      </c>
      <c r="R167" s="43" t="n"/>
      <c r="S167" s="40" t="n"/>
      <c r="T167" s="40" t="n"/>
      <c r="U167" s="40" t="n"/>
      <c r="V167" s="40" t="n"/>
      <c r="W167" s="41" t="n"/>
      <c r="X167" s="38" t="n"/>
    </row>
    <row r="168">
      <c r="A168" s="38" t="n"/>
      <c r="B168" s="38" t="n"/>
      <c r="C168" s="38" t="n"/>
      <c r="D168" s="38" t="n"/>
      <c r="E168" s="38" t="n"/>
      <c r="F168" s="39" t="n"/>
      <c r="G168" s="38" t="n"/>
      <c r="H168" s="38" t="n"/>
      <c r="I168" s="38" t="n"/>
      <c r="J168" s="38" t="n"/>
      <c r="K168" s="38" t="n"/>
      <c r="L168" s="38" t="n"/>
      <c r="M168" s="38" t="n"/>
      <c r="N168" s="22">
        <f>IF(COUNTA(A168:M168,O168:P168,R168:X168)=0,"",IF(OR(A168="",B168="",F168=""),"Event ID, AIR-ID or date missing",IF(COUNTIF($A$4:$A$553,A168)&gt;1,"Duplicate Event ID",IF(E168="","Event type missing",IF(OR(NOT(ISNUMBER(F168)),F168&gt;TODAY()),"Date is not a real date or is in the future",IF(AND(C168&lt;&gt;"",COUNTIF('Gate plan'!$A$4:$A$353,C168)=0),"Plan ID not found in Gate plan",IF(AND(C168&lt;&gt;"",COUNTIFS('Gate plan'!$A$4:$A$353,C168,'Gate plan'!$B$4:$B$353,B168)=0),"Plan AIR-ID differs from event",IF(D168="","Gate / forum missing",IF(AND(E168="Precautionary pause (containment)",G168&lt;&gt;"Paused — pending decision"),"Precautionary pause: Outcome must be Paused, pending decision",IF(AND(E168="Precautionary pause (containment)",V168=""),"Precautionary pause: AIG-OPS-03 incident ref missing",IF(AND(E168="Precautionary pause (containment)",NOT(ISNUMBER(W168))),"Precautionary pause: follow-up decision due date missing",IF(AND(G168="Paused — pending decision",E168&lt;&gt;"Precautionary pause (containment)"),"Paused, pending decision is only for a Precautionary pause event",IF(AND(E168="Decision",OR(G168="",H168="",I168="")),"Outcome / delegation / decision ref missing",IF(AND(E168="Decision",NOT(OR(G168="Progress",G168="Progress with condition",G168="Return for evidence",G168="Pause",G168="Stop",G168="Suspend",G168="Decommission",G168="Re-authorise",G168="Resume"))),"Decision event needs a decision outcome",IF(AND(E168="Priority override",OR(H168="",I168="")),"Decision-maker / AIG-DEC-03 ref missing",IF(AND(E168="Priority override",G168&lt;&gt;"",G168&lt;&gt;"No decision"),"Priority override: Outcome blank or No decision",IF(AND(E168&lt;&gt;"Decision",OR(G168="Progress",G168="Progress with condition",G168="Return for evidence",G168="Pause",G168="Stop",G168="Suspend",G168="Decommission",G168="Re-authorise",G168="Resume")),"Outcome implies decision",IF(OR(ISNUMBER(SEARCH(",",O168)),ISNUMBER(SEARCH(";",O168))),"One UC-ID per event row — split this event",IF(AND(E168="Decision",OR(Q168="UC-ID REQUIRED",Q168="Decision scope missing",Q168="REMOVE UC-ID OR CORRECT SCOPE")),"Decision scope missing",IF(AND(G168="Progress with condition",COUNTIF(Conditions!$B$4:$B$553,A168)=0),"Progress with condition needs at least one Conditions row",IF(AND(C168&lt;&gt;"",COUNTIFS('Gate plan'!$A$4:$A$353,C168,'Gate plan'!$C$4:$C$353,D168)=0),"Plan gate differs from event gate",IF(AND(C168&lt;&gt;"",O168&lt;&gt;"",COUNTIFS('Gate plan'!$A$4:$A$353,C168,'Gate plan'!$K$4:$K$353,"&lt;&gt;")&gt;0,COUNTIFS('Gate plan'!$A$4:$A$353,C168,'Gate plan'!$K$4:$K$353,O168)=0),"Plan UC-ID differs from event UC-ID",IF(AND(E168="Assurance opinion",J168=""),"Assurance opinion ref missing",IF(AND(G168="Opinion only",E168&lt;&gt;"Assurance opinion",E168&lt;&gt;"Review only"),"Opinion only is for Assurance opinion or Review only events",IF(AND(G168="No decision",E168&lt;&gt;"Review only",E168&lt;&gt;"Priority override",E168&lt;&gt;"Intake / registration"),"No decision is for Review only, Priority override or Intake / registration events",IF(OR(ISNUMBER(SEARCH(" ",TRIM(O168))),ISNUMBER(SEARCH("/",O168))),"One UC-ID per event row: split this event",IF(AND(E168="Precautionary pause (containment)",ISNUMBER(W168),ISNUMBER(F168),W168&lt;F168),"Follow-up decision due date is before the pause",IF(AND(G168="Resume",IFERROR(LOOKUP(2,1/(($B$3:B167=B168)*($O$3:O167=O168)),$G$3:G167),"")&lt;&gt;"Paused — pending decision"),"Resume is only for the event straight after a Precautionary pause on the same AIR-ID and UC-ID (in an earlier row)",IF(AND(E168="Decision",OR(G168="Progress",G168="Progress with condition",G168="Re-authorise",G168="Resume"),X168&lt;&gt;"Yes"),"Decision-maker has not confirmed the screening was considered (column X)","Check against source")))))))))))))))))))))))))))))</f>
        <v/>
      </c>
      <c r="O168" s="37" t="n"/>
      <c r="P168" s="37" t="n"/>
      <c r="Q168" s="14">
        <f>IF(A168="","",IF(E168&lt;&gt;"Decision","",IF(P168="UC-ID specific",IF(O168="","UC-ID REQUIRED","Check source decision for each UC-ID"),IF(P168="Shared system baseline",IF(O168&lt;&gt;"","REMOVE UC-ID OR CORRECT SCOPE","Baseline only — NOT UC approval"),"Decision scope missing"))))</f>
        <v/>
      </c>
      <c r="R168" s="42" t="n"/>
      <c r="S168" s="38" t="n"/>
      <c r="T168" s="38" t="n"/>
      <c r="U168" s="38" t="n"/>
      <c r="V168" s="38" t="n"/>
      <c r="W168" s="39" t="n"/>
      <c r="X168" s="38" t="n"/>
    </row>
    <row r="169">
      <c r="A169" s="40" t="n"/>
      <c r="B169" s="40" t="n"/>
      <c r="C169" s="40" t="n"/>
      <c r="D169" s="40" t="n"/>
      <c r="E169" s="40" t="n"/>
      <c r="F169" s="41" t="n"/>
      <c r="G169" s="40" t="n"/>
      <c r="H169" s="40" t="n"/>
      <c r="I169" s="40" t="n"/>
      <c r="J169" s="40" t="n"/>
      <c r="K169" s="40" t="n"/>
      <c r="L169" s="40" t="n"/>
      <c r="M169" s="40" t="n"/>
      <c r="N169" s="24">
        <f>IF(COUNTA(A169:M169,O169:P169,R169:X169)=0,"",IF(OR(A169="",B169="",F169=""),"Event ID, AIR-ID or date missing",IF(COUNTIF($A$4:$A$553,A169)&gt;1,"Duplicate Event ID",IF(E169="","Event type missing",IF(OR(NOT(ISNUMBER(F169)),F169&gt;TODAY()),"Date is not a real date or is in the future",IF(AND(C169&lt;&gt;"",COUNTIF('Gate plan'!$A$4:$A$353,C169)=0),"Plan ID not found in Gate plan",IF(AND(C169&lt;&gt;"",COUNTIFS('Gate plan'!$A$4:$A$353,C169,'Gate plan'!$B$4:$B$353,B169)=0),"Plan AIR-ID differs from event",IF(D169="","Gate / forum missing",IF(AND(E169="Precautionary pause (containment)",G169&lt;&gt;"Paused — pending decision"),"Precautionary pause: Outcome must be Paused, pending decision",IF(AND(E169="Precautionary pause (containment)",V169=""),"Precautionary pause: AIG-OPS-03 incident ref missing",IF(AND(E169="Precautionary pause (containment)",NOT(ISNUMBER(W169))),"Precautionary pause: follow-up decision due date missing",IF(AND(G169="Paused — pending decision",E169&lt;&gt;"Precautionary pause (containment)"),"Paused, pending decision is only for a Precautionary pause event",IF(AND(E169="Decision",OR(G169="",H169="",I169="")),"Outcome / delegation / decision ref missing",IF(AND(E169="Decision",NOT(OR(G169="Progress",G169="Progress with condition",G169="Return for evidence",G169="Pause",G169="Stop",G169="Suspend",G169="Decommission",G169="Re-authorise",G169="Resume"))),"Decision event needs a decision outcome",IF(AND(E169="Priority override",OR(H169="",I169="")),"Decision-maker / AIG-DEC-03 ref missing",IF(AND(E169="Priority override",G169&lt;&gt;"",G169&lt;&gt;"No decision"),"Priority override: Outcome blank or No decision",IF(AND(E169&lt;&gt;"Decision",OR(G169="Progress",G169="Progress with condition",G169="Return for evidence",G169="Pause",G169="Stop",G169="Suspend",G169="Decommission",G169="Re-authorise",G169="Resume")),"Outcome implies decision",IF(OR(ISNUMBER(SEARCH(",",O169)),ISNUMBER(SEARCH(";",O169))),"One UC-ID per event row — split this event",IF(AND(E169="Decision",OR(Q169="UC-ID REQUIRED",Q169="Decision scope missing",Q169="REMOVE UC-ID OR CORRECT SCOPE")),"Decision scope missing",IF(AND(G169="Progress with condition",COUNTIF(Conditions!$B$4:$B$553,A169)=0),"Progress with condition needs at least one Conditions row",IF(AND(C169&lt;&gt;"",COUNTIFS('Gate plan'!$A$4:$A$353,C169,'Gate plan'!$C$4:$C$353,D169)=0),"Plan gate differs from event gate",IF(AND(C169&lt;&gt;"",O169&lt;&gt;"",COUNTIFS('Gate plan'!$A$4:$A$353,C169,'Gate plan'!$K$4:$K$353,"&lt;&gt;")&gt;0,COUNTIFS('Gate plan'!$A$4:$A$353,C169,'Gate plan'!$K$4:$K$353,O169)=0),"Plan UC-ID differs from event UC-ID",IF(AND(E169="Assurance opinion",J169=""),"Assurance opinion ref missing",IF(AND(G169="Opinion only",E169&lt;&gt;"Assurance opinion",E169&lt;&gt;"Review only"),"Opinion only is for Assurance opinion or Review only events",IF(AND(G169="No decision",E169&lt;&gt;"Review only",E169&lt;&gt;"Priority override",E169&lt;&gt;"Intake / registration"),"No decision is for Review only, Priority override or Intake / registration events",IF(OR(ISNUMBER(SEARCH(" ",TRIM(O169))),ISNUMBER(SEARCH("/",O169))),"One UC-ID per event row: split this event",IF(AND(E169="Precautionary pause (containment)",ISNUMBER(W169),ISNUMBER(F169),W169&lt;F169),"Follow-up decision due date is before the pause",IF(AND(G169="Resume",IFERROR(LOOKUP(2,1/(($B$3:B168=B169)*($O$3:O168=O169)),$G$3:G168),"")&lt;&gt;"Paused — pending decision"),"Resume is only for the event straight after a Precautionary pause on the same AIR-ID and UC-ID (in an earlier row)",IF(AND(E169="Decision",OR(G169="Progress",G169="Progress with condition",G169="Re-authorise",G169="Resume"),X169&lt;&gt;"Yes"),"Decision-maker has not confirmed the screening was considered (column X)","Check against source")))))))))))))))))))))))))))))</f>
        <v/>
      </c>
      <c r="O169" s="37" t="n"/>
      <c r="P169" s="37" t="n"/>
      <c r="Q169" s="14">
        <f>IF(A169="","",IF(E169&lt;&gt;"Decision","",IF(P169="UC-ID specific",IF(O169="","UC-ID REQUIRED","Check source decision for each UC-ID"),IF(P169="Shared system baseline",IF(O169&lt;&gt;"","REMOVE UC-ID OR CORRECT SCOPE","Baseline only — NOT UC approval"),"Decision scope missing"))))</f>
        <v/>
      </c>
      <c r="R169" s="43" t="n"/>
      <c r="S169" s="40" t="n"/>
      <c r="T169" s="40" t="n"/>
      <c r="U169" s="40" t="n"/>
      <c r="V169" s="40" t="n"/>
      <c r="W169" s="41" t="n"/>
      <c r="X169" s="38" t="n"/>
    </row>
    <row r="170">
      <c r="A170" s="38" t="n"/>
      <c r="B170" s="38" t="n"/>
      <c r="C170" s="38" t="n"/>
      <c r="D170" s="38" t="n"/>
      <c r="E170" s="38" t="n"/>
      <c r="F170" s="39" t="n"/>
      <c r="G170" s="38" t="n"/>
      <c r="H170" s="38" t="n"/>
      <c r="I170" s="38" t="n"/>
      <c r="J170" s="38" t="n"/>
      <c r="K170" s="38" t="n"/>
      <c r="L170" s="38" t="n"/>
      <c r="M170" s="38" t="n"/>
      <c r="N170" s="22">
        <f>IF(COUNTA(A170:M170,O170:P170,R170:X170)=0,"",IF(OR(A170="",B170="",F170=""),"Event ID, AIR-ID or date missing",IF(COUNTIF($A$4:$A$553,A170)&gt;1,"Duplicate Event ID",IF(E170="","Event type missing",IF(OR(NOT(ISNUMBER(F170)),F170&gt;TODAY()),"Date is not a real date or is in the future",IF(AND(C170&lt;&gt;"",COUNTIF('Gate plan'!$A$4:$A$353,C170)=0),"Plan ID not found in Gate plan",IF(AND(C170&lt;&gt;"",COUNTIFS('Gate plan'!$A$4:$A$353,C170,'Gate plan'!$B$4:$B$353,B170)=0),"Plan AIR-ID differs from event",IF(D170="","Gate / forum missing",IF(AND(E170="Precautionary pause (containment)",G170&lt;&gt;"Paused — pending decision"),"Precautionary pause: Outcome must be Paused, pending decision",IF(AND(E170="Precautionary pause (containment)",V170=""),"Precautionary pause: AIG-OPS-03 incident ref missing",IF(AND(E170="Precautionary pause (containment)",NOT(ISNUMBER(W170))),"Precautionary pause: follow-up decision due date missing",IF(AND(G170="Paused — pending decision",E170&lt;&gt;"Precautionary pause (containment)"),"Paused, pending decision is only for a Precautionary pause event",IF(AND(E170="Decision",OR(G170="",H170="",I170="")),"Outcome / delegation / decision ref missing",IF(AND(E170="Decision",NOT(OR(G170="Progress",G170="Progress with condition",G170="Return for evidence",G170="Pause",G170="Stop",G170="Suspend",G170="Decommission",G170="Re-authorise",G170="Resume"))),"Decision event needs a decision outcome",IF(AND(E170="Priority override",OR(H170="",I170="")),"Decision-maker / AIG-DEC-03 ref missing",IF(AND(E170="Priority override",G170&lt;&gt;"",G170&lt;&gt;"No decision"),"Priority override: Outcome blank or No decision",IF(AND(E170&lt;&gt;"Decision",OR(G170="Progress",G170="Progress with condition",G170="Return for evidence",G170="Pause",G170="Stop",G170="Suspend",G170="Decommission",G170="Re-authorise",G170="Resume")),"Outcome implies decision",IF(OR(ISNUMBER(SEARCH(",",O170)),ISNUMBER(SEARCH(";",O170))),"One UC-ID per event row — split this event",IF(AND(E170="Decision",OR(Q170="UC-ID REQUIRED",Q170="Decision scope missing",Q170="REMOVE UC-ID OR CORRECT SCOPE")),"Decision scope missing",IF(AND(G170="Progress with condition",COUNTIF(Conditions!$B$4:$B$553,A170)=0),"Progress with condition needs at least one Conditions row",IF(AND(C170&lt;&gt;"",COUNTIFS('Gate plan'!$A$4:$A$353,C170,'Gate plan'!$C$4:$C$353,D170)=0),"Plan gate differs from event gate",IF(AND(C170&lt;&gt;"",O170&lt;&gt;"",COUNTIFS('Gate plan'!$A$4:$A$353,C170,'Gate plan'!$K$4:$K$353,"&lt;&gt;")&gt;0,COUNTIFS('Gate plan'!$A$4:$A$353,C170,'Gate plan'!$K$4:$K$353,O170)=0),"Plan UC-ID differs from event UC-ID",IF(AND(E170="Assurance opinion",J170=""),"Assurance opinion ref missing",IF(AND(G170="Opinion only",E170&lt;&gt;"Assurance opinion",E170&lt;&gt;"Review only"),"Opinion only is for Assurance opinion or Review only events",IF(AND(G170="No decision",E170&lt;&gt;"Review only",E170&lt;&gt;"Priority override",E170&lt;&gt;"Intake / registration"),"No decision is for Review only, Priority override or Intake / registration events",IF(OR(ISNUMBER(SEARCH(" ",TRIM(O170))),ISNUMBER(SEARCH("/",O170))),"One UC-ID per event row: split this event",IF(AND(E170="Precautionary pause (containment)",ISNUMBER(W170),ISNUMBER(F170),W170&lt;F170),"Follow-up decision due date is before the pause",IF(AND(G170="Resume",IFERROR(LOOKUP(2,1/(($B$3:B169=B170)*($O$3:O169=O170)),$G$3:G169),"")&lt;&gt;"Paused — pending decision"),"Resume is only for the event straight after a Precautionary pause on the same AIR-ID and UC-ID (in an earlier row)",IF(AND(E170="Decision",OR(G170="Progress",G170="Progress with condition",G170="Re-authorise",G170="Resume"),X170&lt;&gt;"Yes"),"Decision-maker has not confirmed the screening was considered (column X)","Check against source")))))))))))))))))))))))))))))</f>
        <v/>
      </c>
      <c r="O170" s="37" t="n"/>
      <c r="P170" s="37" t="n"/>
      <c r="Q170" s="14">
        <f>IF(A170="","",IF(E170&lt;&gt;"Decision","",IF(P170="UC-ID specific",IF(O170="","UC-ID REQUIRED","Check source decision for each UC-ID"),IF(P170="Shared system baseline",IF(O170&lt;&gt;"","REMOVE UC-ID OR CORRECT SCOPE","Baseline only — NOT UC approval"),"Decision scope missing"))))</f>
        <v/>
      </c>
      <c r="R170" s="42" t="n"/>
      <c r="S170" s="38" t="n"/>
      <c r="T170" s="38" t="n"/>
      <c r="U170" s="38" t="n"/>
      <c r="V170" s="38" t="n"/>
      <c r="W170" s="39" t="n"/>
      <c r="X170" s="38" t="n"/>
    </row>
    <row r="171">
      <c r="A171" s="40" t="n"/>
      <c r="B171" s="40" t="n"/>
      <c r="C171" s="40" t="n"/>
      <c r="D171" s="40" t="n"/>
      <c r="E171" s="40" t="n"/>
      <c r="F171" s="41" t="n"/>
      <c r="G171" s="40" t="n"/>
      <c r="H171" s="40" t="n"/>
      <c r="I171" s="40" t="n"/>
      <c r="J171" s="40" t="n"/>
      <c r="K171" s="40" t="n"/>
      <c r="L171" s="40" t="n"/>
      <c r="M171" s="40" t="n"/>
      <c r="N171" s="24">
        <f>IF(COUNTA(A171:M171,O171:P171,R171:X171)=0,"",IF(OR(A171="",B171="",F171=""),"Event ID, AIR-ID or date missing",IF(COUNTIF($A$4:$A$553,A171)&gt;1,"Duplicate Event ID",IF(E171="","Event type missing",IF(OR(NOT(ISNUMBER(F171)),F171&gt;TODAY()),"Date is not a real date or is in the future",IF(AND(C171&lt;&gt;"",COUNTIF('Gate plan'!$A$4:$A$353,C171)=0),"Plan ID not found in Gate plan",IF(AND(C171&lt;&gt;"",COUNTIFS('Gate plan'!$A$4:$A$353,C171,'Gate plan'!$B$4:$B$353,B171)=0),"Plan AIR-ID differs from event",IF(D171="","Gate / forum missing",IF(AND(E171="Precautionary pause (containment)",G171&lt;&gt;"Paused — pending decision"),"Precautionary pause: Outcome must be Paused, pending decision",IF(AND(E171="Precautionary pause (containment)",V171=""),"Precautionary pause: AIG-OPS-03 incident ref missing",IF(AND(E171="Precautionary pause (containment)",NOT(ISNUMBER(W171))),"Precautionary pause: follow-up decision due date missing",IF(AND(G171="Paused — pending decision",E171&lt;&gt;"Precautionary pause (containment)"),"Paused, pending decision is only for a Precautionary pause event",IF(AND(E171="Decision",OR(G171="",H171="",I171="")),"Outcome / delegation / decision ref missing",IF(AND(E171="Decision",NOT(OR(G171="Progress",G171="Progress with condition",G171="Return for evidence",G171="Pause",G171="Stop",G171="Suspend",G171="Decommission",G171="Re-authorise",G171="Resume"))),"Decision event needs a decision outcome",IF(AND(E171="Priority override",OR(H171="",I171="")),"Decision-maker / AIG-DEC-03 ref missing",IF(AND(E171="Priority override",G171&lt;&gt;"",G171&lt;&gt;"No decision"),"Priority override: Outcome blank or No decision",IF(AND(E171&lt;&gt;"Decision",OR(G171="Progress",G171="Progress with condition",G171="Return for evidence",G171="Pause",G171="Stop",G171="Suspend",G171="Decommission",G171="Re-authorise",G171="Resume")),"Outcome implies decision",IF(OR(ISNUMBER(SEARCH(",",O171)),ISNUMBER(SEARCH(";",O171))),"One UC-ID per event row — split this event",IF(AND(E171="Decision",OR(Q171="UC-ID REQUIRED",Q171="Decision scope missing",Q171="REMOVE UC-ID OR CORRECT SCOPE")),"Decision scope missing",IF(AND(G171="Progress with condition",COUNTIF(Conditions!$B$4:$B$553,A171)=0),"Progress with condition needs at least one Conditions row",IF(AND(C171&lt;&gt;"",COUNTIFS('Gate plan'!$A$4:$A$353,C171,'Gate plan'!$C$4:$C$353,D171)=0),"Plan gate differs from event gate",IF(AND(C171&lt;&gt;"",O171&lt;&gt;"",COUNTIFS('Gate plan'!$A$4:$A$353,C171,'Gate plan'!$K$4:$K$353,"&lt;&gt;")&gt;0,COUNTIFS('Gate plan'!$A$4:$A$353,C171,'Gate plan'!$K$4:$K$353,O171)=0),"Plan UC-ID differs from event UC-ID",IF(AND(E171="Assurance opinion",J171=""),"Assurance opinion ref missing",IF(AND(G171="Opinion only",E171&lt;&gt;"Assurance opinion",E171&lt;&gt;"Review only"),"Opinion only is for Assurance opinion or Review only events",IF(AND(G171="No decision",E171&lt;&gt;"Review only",E171&lt;&gt;"Priority override",E171&lt;&gt;"Intake / registration"),"No decision is for Review only, Priority override or Intake / registration events",IF(OR(ISNUMBER(SEARCH(" ",TRIM(O171))),ISNUMBER(SEARCH("/",O171))),"One UC-ID per event row: split this event",IF(AND(E171="Precautionary pause (containment)",ISNUMBER(W171),ISNUMBER(F171),W171&lt;F171),"Follow-up decision due date is before the pause",IF(AND(G171="Resume",IFERROR(LOOKUP(2,1/(($B$3:B170=B171)*($O$3:O170=O171)),$G$3:G170),"")&lt;&gt;"Paused — pending decision"),"Resume is only for the event straight after a Precautionary pause on the same AIR-ID and UC-ID (in an earlier row)",IF(AND(E171="Decision",OR(G171="Progress",G171="Progress with condition",G171="Re-authorise",G171="Resume"),X171&lt;&gt;"Yes"),"Decision-maker has not confirmed the screening was considered (column X)","Check against source")))))))))))))))))))))))))))))</f>
        <v/>
      </c>
      <c r="O171" s="37" t="n"/>
      <c r="P171" s="37" t="n"/>
      <c r="Q171" s="14">
        <f>IF(A171="","",IF(E171&lt;&gt;"Decision","",IF(P171="UC-ID specific",IF(O171="","UC-ID REQUIRED","Check source decision for each UC-ID"),IF(P171="Shared system baseline",IF(O171&lt;&gt;"","REMOVE UC-ID OR CORRECT SCOPE","Baseline only — NOT UC approval"),"Decision scope missing"))))</f>
        <v/>
      </c>
      <c r="R171" s="43" t="n"/>
      <c r="S171" s="40" t="n"/>
      <c r="T171" s="40" t="n"/>
      <c r="U171" s="40" t="n"/>
      <c r="V171" s="40" t="n"/>
      <c r="W171" s="41" t="n"/>
      <c r="X171" s="38" t="n"/>
    </row>
    <row r="172">
      <c r="A172" s="38" t="n"/>
      <c r="B172" s="38" t="n"/>
      <c r="C172" s="38" t="n"/>
      <c r="D172" s="38" t="n"/>
      <c r="E172" s="38" t="n"/>
      <c r="F172" s="39" t="n"/>
      <c r="G172" s="38" t="n"/>
      <c r="H172" s="38" t="n"/>
      <c r="I172" s="38" t="n"/>
      <c r="J172" s="38" t="n"/>
      <c r="K172" s="38" t="n"/>
      <c r="L172" s="38" t="n"/>
      <c r="M172" s="38" t="n"/>
      <c r="N172" s="22">
        <f>IF(COUNTA(A172:M172,O172:P172,R172:X172)=0,"",IF(OR(A172="",B172="",F172=""),"Event ID, AIR-ID or date missing",IF(COUNTIF($A$4:$A$553,A172)&gt;1,"Duplicate Event ID",IF(E172="","Event type missing",IF(OR(NOT(ISNUMBER(F172)),F172&gt;TODAY()),"Date is not a real date or is in the future",IF(AND(C172&lt;&gt;"",COUNTIF('Gate plan'!$A$4:$A$353,C172)=0),"Plan ID not found in Gate plan",IF(AND(C172&lt;&gt;"",COUNTIFS('Gate plan'!$A$4:$A$353,C172,'Gate plan'!$B$4:$B$353,B172)=0),"Plan AIR-ID differs from event",IF(D172="","Gate / forum missing",IF(AND(E172="Precautionary pause (containment)",G172&lt;&gt;"Paused — pending decision"),"Precautionary pause: Outcome must be Paused, pending decision",IF(AND(E172="Precautionary pause (containment)",V172=""),"Precautionary pause: AIG-OPS-03 incident ref missing",IF(AND(E172="Precautionary pause (containment)",NOT(ISNUMBER(W172))),"Precautionary pause: follow-up decision due date missing",IF(AND(G172="Paused — pending decision",E172&lt;&gt;"Precautionary pause (containment)"),"Paused, pending decision is only for a Precautionary pause event",IF(AND(E172="Decision",OR(G172="",H172="",I172="")),"Outcome / delegation / decision ref missing",IF(AND(E172="Decision",NOT(OR(G172="Progress",G172="Progress with condition",G172="Return for evidence",G172="Pause",G172="Stop",G172="Suspend",G172="Decommission",G172="Re-authorise",G172="Resume"))),"Decision event needs a decision outcome",IF(AND(E172="Priority override",OR(H172="",I172="")),"Decision-maker / AIG-DEC-03 ref missing",IF(AND(E172="Priority override",G172&lt;&gt;"",G172&lt;&gt;"No decision"),"Priority override: Outcome blank or No decision",IF(AND(E172&lt;&gt;"Decision",OR(G172="Progress",G172="Progress with condition",G172="Return for evidence",G172="Pause",G172="Stop",G172="Suspend",G172="Decommission",G172="Re-authorise",G172="Resume")),"Outcome implies decision",IF(OR(ISNUMBER(SEARCH(",",O172)),ISNUMBER(SEARCH(";",O172))),"One UC-ID per event row — split this event",IF(AND(E172="Decision",OR(Q172="UC-ID REQUIRED",Q172="Decision scope missing",Q172="REMOVE UC-ID OR CORRECT SCOPE")),"Decision scope missing",IF(AND(G172="Progress with condition",COUNTIF(Conditions!$B$4:$B$553,A172)=0),"Progress with condition needs at least one Conditions row",IF(AND(C172&lt;&gt;"",COUNTIFS('Gate plan'!$A$4:$A$353,C172,'Gate plan'!$C$4:$C$353,D172)=0),"Plan gate differs from event gate",IF(AND(C172&lt;&gt;"",O172&lt;&gt;"",COUNTIFS('Gate plan'!$A$4:$A$353,C172,'Gate plan'!$K$4:$K$353,"&lt;&gt;")&gt;0,COUNTIFS('Gate plan'!$A$4:$A$353,C172,'Gate plan'!$K$4:$K$353,O172)=0),"Plan UC-ID differs from event UC-ID",IF(AND(E172="Assurance opinion",J172=""),"Assurance opinion ref missing",IF(AND(G172="Opinion only",E172&lt;&gt;"Assurance opinion",E172&lt;&gt;"Review only"),"Opinion only is for Assurance opinion or Review only events",IF(AND(G172="No decision",E172&lt;&gt;"Review only",E172&lt;&gt;"Priority override",E172&lt;&gt;"Intake / registration"),"No decision is for Review only, Priority override or Intake / registration events",IF(OR(ISNUMBER(SEARCH(" ",TRIM(O172))),ISNUMBER(SEARCH("/",O172))),"One UC-ID per event row: split this event",IF(AND(E172="Precautionary pause (containment)",ISNUMBER(W172),ISNUMBER(F172),W172&lt;F172),"Follow-up decision due date is before the pause",IF(AND(G172="Resume",IFERROR(LOOKUP(2,1/(($B$3:B171=B172)*($O$3:O171=O172)),$G$3:G171),"")&lt;&gt;"Paused — pending decision"),"Resume is only for the event straight after a Precautionary pause on the same AIR-ID and UC-ID (in an earlier row)",IF(AND(E172="Decision",OR(G172="Progress",G172="Progress with condition",G172="Re-authorise",G172="Resume"),X172&lt;&gt;"Yes"),"Decision-maker has not confirmed the screening was considered (column X)","Check against source")))))))))))))))))))))))))))))</f>
        <v/>
      </c>
      <c r="O172" s="37" t="n"/>
      <c r="P172" s="37" t="n"/>
      <c r="Q172" s="14">
        <f>IF(A172="","",IF(E172&lt;&gt;"Decision","",IF(P172="UC-ID specific",IF(O172="","UC-ID REQUIRED","Check source decision for each UC-ID"),IF(P172="Shared system baseline",IF(O172&lt;&gt;"","REMOVE UC-ID OR CORRECT SCOPE","Baseline only — NOT UC approval"),"Decision scope missing"))))</f>
        <v/>
      </c>
      <c r="R172" s="42" t="n"/>
      <c r="S172" s="38" t="n"/>
      <c r="T172" s="38" t="n"/>
      <c r="U172" s="38" t="n"/>
      <c r="V172" s="38" t="n"/>
      <c r="W172" s="39" t="n"/>
      <c r="X172" s="38" t="n"/>
    </row>
    <row r="173">
      <c r="A173" s="40" t="n"/>
      <c r="B173" s="40" t="n"/>
      <c r="C173" s="40" t="n"/>
      <c r="D173" s="40" t="n"/>
      <c r="E173" s="40" t="n"/>
      <c r="F173" s="41" t="n"/>
      <c r="G173" s="40" t="n"/>
      <c r="H173" s="40" t="n"/>
      <c r="I173" s="40" t="n"/>
      <c r="J173" s="40" t="n"/>
      <c r="K173" s="40" t="n"/>
      <c r="L173" s="40" t="n"/>
      <c r="M173" s="40" t="n"/>
      <c r="N173" s="24">
        <f>IF(COUNTA(A173:M173,O173:P173,R173:X173)=0,"",IF(OR(A173="",B173="",F173=""),"Event ID, AIR-ID or date missing",IF(COUNTIF($A$4:$A$553,A173)&gt;1,"Duplicate Event ID",IF(E173="","Event type missing",IF(OR(NOT(ISNUMBER(F173)),F173&gt;TODAY()),"Date is not a real date or is in the future",IF(AND(C173&lt;&gt;"",COUNTIF('Gate plan'!$A$4:$A$353,C173)=0),"Plan ID not found in Gate plan",IF(AND(C173&lt;&gt;"",COUNTIFS('Gate plan'!$A$4:$A$353,C173,'Gate plan'!$B$4:$B$353,B173)=0),"Plan AIR-ID differs from event",IF(D173="","Gate / forum missing",IF(AND(E173="Precautionary pause (containment)",G173&lt;&gt;"Paused — pending decision"),"Precautionary pause: Outcome must be Paused, pending decision",IF(AND(E173="Precautionary pause (containment)",V173=""),"Precautionary pause: AIG-OPS-03 incident ref missing",IF(AND(E173="Precautionary pause (containment)",NOT(ISNUMBER(W173))),"Precautionary pause: follow-up decision due date missing",IF(AND(G173="Paused — pending decision",E173&lt;&gt;"Precautionary pause (containment)"),"Paused, pending decision is only for a Precautionary pause event",IF(AND(E173="Decision",OR(G173="",H173="",I173="")),"Outcome / delegation / decision ref missing",IF(AND(E173="Decision",NOT(OR(G173="Progress",G173="Progress with condition",G173="Return for evidence",G173="Pause",G173="Stop",G173="Suspend",G173="Decommission",G173="Re-authorise",G173="Resume"))),"Decision event needs a decision outcome",IF(AND(E173="Priority override",OR(H173="",I173="")),"Decision-maker / AIG-DEC-03 ref missing",IF(AND(E173="Priority override",G173&lt;&gt;"",G173&lt;&gt;"No decision"),"Priority override: Outcome blank or No decision",IF(AND(E173&lt;&gt;"Decision",OR(G173="Progress",G173="Progress with condition",G173="Return for evidence",G173="Pause",G173="Stop",G173="Suspend",G173="Decommission",G173="Re-authorise",G173="Resume")),"Outcome implies decision",IF(OR(ISNUMBER(SEARCH(",",O173)),ISNUMBER(SEARCH(";",O173))),"One UC-ID per event row — split this event",IF(AND(E173="Decision",OR(Q173="UC-ID REQUIRED",Q173="Decision scope missing",Q173="REMOVE UC-ID OR CORRECT SCOPE")),"Decision scope missing",IF(AND(G173="Progress with condition",COUNTIF(Conditions!$B$4:$B$553,A173)=0),"Progress with condition needs at least one Conditions row",IF(AND(C173&lt;&gt;"",COUNTIFS('Gate plan'!$A$4:$A$353,C173,'Gate plan'!$C$4:$C$353,D173)=0),"Plan gate differs from event gate",IF(AND(C173&lt;&gt;"",O173&lt;&gt;"",COUNTIFS('Gate plan'!$A$4:$A$353,C173,'Gate plan'!$K$4:$K$353,"&lt;&gt;")&gt;0,COUNTIFS('Gate plan'!$A$4:$A$353,C173,'Gate plan'!$K$4:$K$353,O173)=0),"Plan UC-ID differs from event UC-ID",IF(AND(E173="Assurance opinion",J173=""),"Assurance opinion ref missing",IF(AND(G173="Opinion only",E173&lt;&gt;"Assurance opinion",E173&lt;&gt;"Review only"),"Opinion only is for Assurance opinion or Review only events",IF(AND(G173="No decision",E173&lt;&gt;"Review only",E173&lt;&gt;"Priority override",E173&lt;&gt;"Intake / registration"),"No decision is for Review only, Priority override or Intake / registration events",IF(OR(ISNUMBER(SEARCH(" ",TRIM(O173))),ISNUMBER(SEARCH("/",O173))),"One UC-ID per event row: split this event",IF(AND(E173="Precautionary pause (containment)",ISNUMBER(W173),ISNUMBER(F173),W173&lt;F173),"Follow-up decision due date is before the pause",IF(AND(G173="Resume",IFERROR(LOOKUP(2,1/(($B$3:B172=B173)*($O$3:O172=O173)),$G$3:G172),"")&lt;&gt;"Paused — pending decision"),"Resume is only for the event straight after a Precautionary pause on the same AIR-ID and UC-ID (in an earlier row)",IF(AND(E173="Decision",OR(G173="Progress",G173="Progress with condition",G173="Re-authorise",G173="Resume"),X173&lt;&gt;"Yes"),"Decision-maker has not confirmed the screening was considered (column X)","Check against source")))))))))))))))))))))))))))))</f>
        <v/>
      </c>
      <c r="O173" s="37" t="n"/>
      <c r="P173" s="37" t="n"/>
      <c r="Q173" s="14">
        <f>IF(A173="","",IF(E173&lt;&gt;"Decision","",IF(P173="UC-ID specific",IF(O173="","UC-ID REQUIRED","Check source decision for each UC-ID"),IF(P173="Shared system baseline",IF(O173&lt;&gt;"","REMOVE UC-ID OR CORRECT SCOPE","Baseline only — NOT UC approval"),"Decision scope missing"))))</f>
        <v/>
      </c>
      <c r="R173" s="43" t="n"/>
      <c r="S173" s="40" t="n"/>
      <c r="T173" s="40" t="n"/>
      <c r="U173" s="40" t="n"/>
      <c r="V173" s="40" t="n"/>
      <c r="W173" s="41" t="n"/>
      <c r="X173" s="38" t="n"/>
    </row>
    <row r="174">
      <c r="A174" s="38" t="n"/>
      <c r="B174" s="38" t="n"/>
      <c r="C174" s="38" t="n"/>
      <c r="D174" s="38" t="n"/>
      <c r="E174" s="38" t="n"/>
      <c r="F174" s="39" t="n"/>
      <c r="G174" s="38" t="n"/>
      <c r="H174" s="38" t="n"/>
      <c r="I174" s="38" t="n"/>
      <c r="J174" s="38" t="n"/>
      <c r="K174" s="38" t="n"/>
      <c r="L174" s="38" t="n"/>
      <c r="M174" s="38" t="n"/>
      <c r="N174" s="22">
        <f>IF(COUNTA(A174:M174,O174:P174,R174:X174)=0,"",IF(OR(A174="",B174="",F174=""),"Event ID, AIR-ID or date missing",IF(COUNTIF($A$4:$A$553,A174)&gt;1,"Duplicate Event ID",IF(E174="","Event type missing",IF(OR(NOT(ISNUMBER(F174)),F174&gt;TODAY()),"Date is not a real date or is in the future",IF(AND(C174&lt;&gt;"",COUNTIF('Gate plan'!$A$4:$A$353,C174)=0),"Plan ID not found in Gate plan",IF(AND(C174&lt;&gt;"",COUNTIFS('Gate plan'!$A$4:$A$353,C174,'Gate plan'!$B$4:$B$353,B174)=0),"Plan AIR-ID differs from event",IF(D174="","Gate / forum missing",IF(AND(E174="Precautionary pause (containment)",G174&lt;&gt;"Paused — pending decision"),"Precautionary pause: Outcome must be Paused, pending decision",IF(AND(E174="Precautionary pause (containment)",V174=""),"Precautionary pause: AIG-OPS-03 incident ref missing",IF(AND(E174="Precautionary pause (containment)",NOT(ISNUMBER(W174))),"Precautionary pause: follow-up decision due date missing",IF(AND(G174="Paused — pending decision",E174&lt;&gt;"Precautionary pause (containment)"),"Paused, pending decision is only for a Precautionary pause event",IF(AND(E174="Decision",OR(G174="",H174="",I174="")),"Outcome / delegation / decision ref missing",IF(AND(E174="Decision",NOT(OR(G174="Progress",G174="Progress with condition",G174="Return for evidence",G174="Pause",G174="Stop",G174="Suspend",G174="Decommission",G174="Re-authorise",G174="Resume"))),"Decision event needs a decision outcome",IF(AND(E174="Priority override",OR(H174="",I174="")),"Decision-maker / AIG-DEC-03 ref missing",IF(AND(E174="Priority override",G174&lt;&gt;"",G174&lt;&gt;"No decision"),"Priority override: Outcome blank or No decision",IF(AND(E174&lt;&gt;"Decision",OR(G174="Progress",G174="Progress with condition",G174="Return for evidence",G174="Pause",G174="Stop",G174="Suspend",G174="Decommission",G174="Re-authorise",G174="Resume")),"Outcome implies decision",IF(OR(ISNUMBER(SEARCH(",",O174)),ISNUMBER(SEARCH(";",O174))),"One UC-ID per event row — split this event",IF(AND(E174="Decision",OR(Q174="UC-ID REQUIRED",Q174="Decision scope missing",Q174="REMOVE UC-ID OR CORRECT SCOPE")),"Decision scope missing",IF(AND(G174="Progress with condition",COUNTIF(Conditions!$B$4:$B$553,A174)=0),"Progress with condition needs at least one Conditions row",IF(AND(C174&lt;&gt;"",COUNTIFS('Gate plan'!$A$4:$A$353,C174,'Gate plan'!$C$4:$C$353,D174)=0),"Plan gate differs from event gate",IF(AND(C174&lt;&gt;"",O174&lt;&gt;"",COUNTIFS('Gate plan'!$A$4:$A$353,C174,'Gate plan'!$K$4:$K$353,"&lt;&gt;")&gt;0,COUNTIFS('Gate plan'!$A$4:$A$353,C174,'Gate plan'!$K$4:$K$353,O174)=0),"Plan UC-ID differs from event UC-ID",IF(AND(E174="Assurance opinion",J174=""),"Assurance opinion ref missing",IF(AND(G174="Opinion only",E174&lt;&gt;"Assurance opinion",E174&lt;&gt;"Review only"),"Opinion only is for Assurance opinion or Review only events",IF(AND(G174="No decision",E174&lt;&gt;"Review only",E174&lt;&gt;"Priority override",E174&lt;&gt;"Intake / registration"),"No decision is for Review only, Priority override or Intake / registration events",IF(OR(ISNUMBER(SEARCH(" ",TRIM(O174))),ISNUMBER(SEARCH("/",O174))),"One UC-ID per event row: split this event",IF(AND(E174="Precautionary pause (containment)",ISNUMBER(W174),ISNUMBER(F174),W174&lt;F174),"Follow-up decision due date is before the pause",IF(AND(G174="Resume",IFERROR(LOOKUP(2,1/(($B$3:B173=B174)*($O$3:O173=O174)),$G$3:G173),"")&lt;&gt;"Paused — pending decision"),"Resume is only for the event straight after a Precautionary pause on the same AIR-ID and UC-ID (in an earlier row)",IF(AND(E174="Decision",OR(G174="Progress",G174="Progress with condition",G174="Re-authorise",G174="Resume"),X174&lt;&gt;"Yes"),"Decision-maker has not confirmed the screening was considered (column X)","Check against source")))))))))))))))))))))))))))))</f>
        <v/>
      </c>
      <c r="O174" s="37" t="n"/>
      <c r="P174" s="37" t="n"/>
      <c r="Q174" s="14">
        <f>IF(A174="","",IF(E174&lt;&gt;"Decision","",IF(P174="UC-ID specific",IF(O174="","UC-ID REQUIRED","Check source decision for each UC-ID"),IF(P174="Shared system baseline",IF(O174&lt;&gt;"","REMOVE UC-ID OR CORRECT SCOPE","Baseline only — NOT UC approval"),"Decision scope missing"))))</f>
        <v/>
      </c>
      <c r="R174" s="42" t="n"/>
      <c r="S174" s="38" t="n"/>
      <c r="T174" s="38" t="n"/>
      <c r="U174" s="38" t="n"/>
      <c r="V174" s="38" t="n"/>
      <c r="W174" s="39" t="n"/>
      <c r="X174" s="38" t="n"/>
    </row>
    <row r="175">
      <c r="A175" s="40" t="n"/>
      <c r="B175" s="40" t="n"/>
      <c r="C175" s="40" t="n"/>
      <c r="D175" s="40" t="n"/>
      <c r="E175" s="40" t="n"/>
      <c r="F175" s="41" t="n"/>
      <c r="G175" s="40" t="n"/>
      <c r="H175" s="40" t="n"/>
      <c r="I175" s="40" t="n"/>
      <c r="J175" s="40" t="n"/>
      <c r="K175" s="40" t="n"/>
      <c r="L175" s="40" t="n"/>
      <c r="M175" s="40" t="n"/>
      <c r="N175" s="24">
        <f>IF(COUNTA(A175:M175,O175:P175,R175:X175)=0,"",IF(OR(A175="",B175="",F175=""),"Event ID, AIR-ID or date missing",IF(COUNTIF($A$4:$A$553,A175)&gt;1,"Duplicate Event ID",IF(E175="","Event type missing",IF(OR(NOT(ISNUMBER(F175)),F175&gt;TODAY()),"Date is not a real date or is in the future",IF(AND(C175&lt;&gt;"",COUNTIF('Gate plan'!$A$4:$A$353,C175)=0),"Plan ID not found in Gate plan",IF(AND(C175&lt;&gt;"",COUNTIFS('Gate plan'!$A$4:$A$353,C175,'Gate plan'!$B$4:$B$353,B175)=0),"Plan AIR-ID differs from event",IF(D175="","Gate / forum missing",IF(AND(E175="Precautionary pause (containment)",G175&lt;&gt;"Paused — pending decision"),"Precautionary pause: Outcome must be Paused, pending decision",IF(AND(E175="Precautionary pause (containment)",V175=""),"Precautionary pause: AIG-OPS-03 incident ref missing",IF(AND(E175="Precautionary pause (containment)",NOT(ISNUMBER(W175))),"Precautionary pause: follow-up decision due date missing",IF(AND(G175="Paused — pending decision",E175&lt;&gt;"Precautionary pause (containment)"),"Paused, pending decision is only for a Precautionary pause event",IF(AND(E175="Decision",OR(G175="",H175="",I175="")),"Outcome / delegation / decision ref missing",IF(AND(E175="Decision",NOT(OR(G175="Progress",G175="Progress with condition",G175="Return for evidence",G175="Pause",G175="Stop",G175="Suspend",G175="Decommission",G175="Re-authorise",G175="Resume"))),"Decision event needs a decision outcome",IF(AND(E175="Priority override",OR(H175="",I175="")),"Decision-maker / AIG-DEC-03 ref missing",IF(AND(E175="Priority override",G175&lt;&gt;"",G175&lt;&gt;"No decision"),"Priority override: Outcome blank or No decision",IF(AND(E175&lt;&gt;"Decision",OR(G175="Progress",G175="Progress with condition",G175="Return for evidence",G175="Pause",G175="Stop",G175="Suspend",G175="Decommission",G175="Re-authorise",G175="Resume")),"Outcome implies decision",IF(OR(ISNUMBER(SEARCH(",",O175)),ISNUMBER(SEARCH(";",O175))),"One UC-ID per event row — split this event",IF(AND(E175="Decision",OR(Q175="UC-ID REQUIRED",Q175="Decision scope missing",Q175="REMOVE UC-ID OR CORRECT SCOPE")),"Decision scope missing",IF(AND(G175="Progress with condition",COUNTIF(Conditions!$B$4:$B$553,A175)=0),"Progress with condition needs at least one Conditions row",IF(AND(C175&lt;&gt;"",COUNTIFS('Gate plan'!$A$4:$A$353,C175,'Gate plan'!$C$4:$C$353,D175)=0),"Plan gate differs from event gate",IF(AND(C175&lt;&gt;"",O175&lt;&gt;"",COUNTIFS('Gate plan'!$A$4:$A$353,C175,'Gate plan'!$K$4:$K$353,"&lt;&gt;")&gt;0,COUNTIFS('Gate plan'!$A$4:$A$353,C175,'Gate plan'!$K$4:$K$353,O175)=0),"Plan UC-ID differs from event UC-ID",IF(AND(E175="Assurance opinion",J175=""),"Assurance opinion ref missing",IF(AND(G175="Opinion only",E175&lt;&gt;"Assurance opinion",E175&lt;&gt;"Review only"),"Opinion only is for Assurance opinion or Review only events",IF(AND(G175="No decision",E175&lt;&gt;"Review only",E175&lt;&gt;"Priority override",E175&lt;&gt;"Intake / registration"),"No decision is for Review only, Priority override or Intake / registration events",IF(OR(ISNUMBER(SEARCH(" ",TRIM(O175))),ISNUMBER(SEARCH("/",O175))),"One UC-ID per event row: split this event",IF(AND(E175="Precautionary pause (containment)",ISNUMBER(W175),ISNUMBER(F175),W175&lt;F175),"Follow-up decision due date is before the pause",IF(AND(G175="Resume",IFERROR(LOOKUP(2,1/(($B$3:B174=B175)*($O$3:O174=O175)),$G$3:G174),"")&lt;&gt;"Paused — pending decision"),"Resume is only for the event straight after a Precautionary pause on the same AIR-ID and UC-ID (in an earlier row)",IF(AND(E175="Decision",OR(G175="Progress",G175="Progress with condition",G175="Re-authorise",G175="Resume"),X175&lt;&gt;"Yes"),"Decision-maker has not confirmed the screening was considered (column X)","Check against source")))))))))))))))))))))))))))))</f>
        <v/>
      </c>
      <c r="O175" s="37" t="n"/>
      <c r="P175" s="37" t="n"/>
      <c r="Q175" s="14">
        <f>IF(A175="","",IF(E175&lt;&gt;"Decision","",IF(P175="UC-ID specific",IF(O175="","UC-ID REQUIRED","Check source decision for each UC-ID"),IF(P175="Shared system baseline",IF(O175&lt;&gt;"","REMOVE UC-ID OR CORRECT SCOPE","Baseline only — NOT UC approval"),"Decision scope missing"))))</f>
        <v/>
      </c>
      <c r="R175" s="43" t="n"/>
      <c r="S175" s="40" t="n"/>
      <c r="T175" s="40" t="n"/>
      <c r="U175" s="40" t="n"/>
      <c r="V175" s="40" t="n"/>
      <c r="W175" s="41" t="n"/>
      <c r="X175" s="38" t="n"/>
    </row>
    <row r="176">
      <c r="A176" s="38" t="n"/>
      <c r="B176" s="38" t="n"/>
      <c r="C176" s="38" t="n"/>
      <c r="D176" s="38" t="n"/>
      <c r="E176" s="38" t="n"/>
      <c r="F176" s="39" t="n"/>
      <c r="G176" s="38" t="n"/>
      <c r="H176" s="38" t="n"/>
      <c r="I176" s="38" t="n"/>
      <c r="J176" s="38" t="n"/>
      <c r="K176" s="38" t="n"/>
      <c r="L176" s="38" t="n"/>
      <c r="M176" s="38" t="n"/>
      <c r="N176" s="22">
        <f>IF(COUNTA(A176:M176,O176:P176,R176:X176)=0,"",IF(OR(A176="",B176="",F176=""),"Event ID, AIR-ID or date missing",IF(COUNTIF($A$4:$A$553,A176)&gt;1,"Duplicate Event ID",IF(E176="","Event type missing",IF(OR(NOT(ISNUMBER(F176)),F176&gt;TODAY()),"Date is not a real date or is in the future",IF(AND(C176&lt;&gt;"",COUNTIF('Gate plan'!$A$4:$A$353,C176)=0),"Plan ID not found in Gate plan",IF(AND(C176&lt;&gt;"",COUNTIFS('Gate plan'!$A$4:$A$353,C176,'Gate plan'!$B$4:$B$353,B176)=0),"Plan AIR-ID differs from event",IF(D176="","Gate / forum missing",IF(AND(E176="Precautionary pause (containment)",G176&lt;&gt;"Paused — pending decision"),"Precautionary pause: Outcome must be Paused, pending decision",IF(AND(E176="Precautionary pause (containment)",V176=""),"Precautionary pause: AIG-OPS-03 incident ref missing",IF(AND(E176="Precautionary pause (containment)",NOT(ISNUMBER(W176))),"Precautionary pause: follow-up decision due date missing",IF(AND(G176="Paused — pending decision",E176&lt;&gt;"Precautionary pause (containment)"),"Paused, pending decision is only for a Precautionary pause event",IF(AND(E176="Decision",OR(G176="",H176="",I176="")),"Outcome / delegation / decision ref missing",IF(AND(E176="Decision",NOT(OR(G176="Progress",G176="Progress with condition",G176="Return for evidence",G176="Pause",G176="Stop",G176="Suspend",G176="Decommission",G176="Re-authorise",G176="Resume"))),"Decision event needs a decision outcome",IF(AND(E176="Priority override",OR(H176="",I176="")),"Decision-maker / AIG-DEC-03 ref missing",IF(AND(E176="Priority override",G176&lt;&gt;"",G176&lt;&gt;"No decision"),"Priority override: Outcome blank or No decision",IF(AND(E176&lt;&gt;"Decision",OR(G176="Progress",G176="Progress with condition",G176="Return for evidence",G176="Pause",G176="Stop",G176="Suspend",G176="Decommission",G176="Re-authorise",G176="Resume")),"Outcome implies decision",IF(OR(ISNUMBER(SEARCH(",",O176)),ISNUMBER(SEARCH(";",O176))),"One UC-ID per event row — split this event",IF(AND(E176="Decision",OR(Q176="UC-ID REQUIRED",Q176="Decision scope missing",Q176="REMOVE UC-ID OR CORRECT SCOPE")),"Decision scope missing",IF(AND(G176="Progress with condition",COUNTIF(Conditions!$B$4:$B$553,A176)=0),"Progress with condition needs at least one Conditions row",IF(AND(C176&lt;&gt;"",COUNTIFS('Gate plan'!$A$4:$A$353,C176,'Gate plan'!$C$4:$C$353,D176)=0),"Plan gate differs from event gate",IF(AND(C176&lt;&gt;"",O176&lt;&gt;"",COUNTIFS('Gate plan'!$A$4:$A$353,C176,'Gate plan'!$K$4:$K$353,"&lt;&gt;")&gt;0,COUNTIFS('Gate plan'!$A$4:$A$353,C176,'Gate plan'!$K$4:$K$353,O176)=0),"Plan UC-ID differs from event UC-ID",IF(AND(E176="Assurance opinion",J176=""),"Assurance opinion ref missing",IF(AND(G176="Opinion only",E176&lt;&gt;"Assurance opinion",E176&lt;&gt;"Review only"),"Opinion only is for Assurance opinion or Review only events",IF(AND(G176="No decision",E176&lt;&gt;"Review only",E176&lt;&gt;"Priority override",E176&lt;&gt;"Intake / registration"),"No decision is for Review only, Priority override or Intake / registration events",IF(OR(ISNUMBER(SEARCH(" ",TRIM(O176))),ISNUMBER(SEARCH("/",O176))),"One UC-ID per event row: split this event",IF(AND(E176="Precautionary pause (containment)",ISNUMBER(W176),ISNUMBER(F176),W176&lt;F176),"Follow-up decision due date is before the pause",IF(AND(G176="Resume",IFERROR(LOOKUP(2,1/(($B$3:B175=B176)*($O$3:O175=O176)),$G$3:G175),"")&lt;&gt;"Paused — pending decision"),"Resume is only for the event straight after a Precautionary pause on the same AIR-ID and UC-ID (in an earlier row)",IF(AND(E176="Decision",OR(G176="Progress",G176="Progress with condition",G176="Re-authorise",G176="Resume"),X176&lt;&gt;"Yes"),"Decision-maker has not confirmed the screening was considered (column X)","Check against source")))))))))))))))))))))))))))))</f>
        <v/>
      </c>
      <c r="O176" s="37" t="n"/>
      <c r="P176" s="37" t="n"/>
      <c r="Q176" s="14">
        <f>IF(A176="","",IF(E176&lt;&gt;"Decision","",IF(P176="UC-ID specific",IF(O176="","UC-ID REQUIRED","Check source decision for each UC-ID"),IF(P176="Shared system baseline",IF(O176&lt;&gt;"","REMOVE UC-ID OR CORRECT SCOPE","Baseline only — NOT UC approval"),"Decision scope missing"))))</f>
        <v/>
      </c>
      <c r="R176" s="42" t="n"/>
      <c r="S176" s="38" t="n"/>
      <c r="T176" s="38" t="n"/>
      <c r="U176" s="38" t="n"/>
      <c r="V176" s="38" t="n"/>
      <c r="W176" s="39" t="n"/>
      <c r="X176" s="38" t="n"/>
    </row>
    <row r="177">
      <c r="A177" s="40" t="n"/>
      <c r="B177" s="40" t="n"/>
      <c r="C177" s="40" t="n"/>
      <c r="D177" s="40" t="n"/>
      <c r="E177" s="40" t="n"/>
      <c r="F177" s="41" t="n"/>
      <c r="G177" s="40" t="n"/>
      <c r="H177" s="40" t="n"/>
      <c r="I177" s="40" t="n"/>
      <c r="J177" s="40" t="n"/>
      <c r="K177" s="40" t="n"/>
      <c r="L177" s="40" t="n"/>
      <c r="M177" s="40" t="n"/>
      <c r="N177" s="24">
        <f>IF(COUNTA(A177:M177,O177:P177,R177:X177)=0,"",IF(OR(A177="",B177="",F177=""),"Event ID, AIR-ID or date missing",IF(COUNTIF($A$4:$A$553,A177)&gt;1,"Duplicate Event ID",IF(E177="","Event type missing",IF(OR(NOT(ISNUMBER(F177)),F177&gt;TODAY()),"Date is not a real date or is in the future",IF(AND(C177&lt;&gt;"",COUNTIF('Gate plan'!$A$4:$A$353,C177)=0),"Plan ID not found in Gate plan",IF(AND(C177&lt;&gt;"",COUNTIFS('Gate plan'!$A$4:$A$353,C177,'Gate plan'!$B$4:$B$353,B177)=0),"Plan AIR-ID differs from event",IF(D177="","Gate / forum missing",IF(AND(E177="Precautionary pause (containment)",G177&lt;&gt;"Paused — pending decision"),"Precautionary pause: Outcome must be Paused, pending decision",IF(AND(E177="Precautionary pause (containment)",V177=""),"Precautionary pause: AIG-OPS-03 incident ref missing",IF(AND(E177="Precautionary pause (containment)",NOT(ISNUMBER(W177))),"Precautionary pause: follow-up decision due date missing",IF(AND(G177="Paused — pending decision",E177&lt;&gt;"Precautionary pause (containment)"),"Paused, pending decision is only for a Precautionary pause event",IF(AND(E177="Decision",OR(G177="",H177="",I177="")),"Outcome / delegation / decision ref missing",IF(AND(E177="Decision",NOT(OR(G177="Progress",G177="Progress with condition",G177="Return for evidence",G177="Pause",G177="Stop",G177="Suspend",G177="Decommission",G177="Re-authorise",G177="Resume"))),"Decision event needs a decision outcome",IF(AND(E177="Priority override",OR(H177="",I177="")),"Decision-maker / AIG-DEC-03 ref missing",IF(AND(E177="Priority override",G177&lt;&gt;"",G177&lt;&gt;"No decision"),"Priority override: Outcome blank or No decision",IF(AND(E177&lt;&gt;"Decision",OR(G177="Progress",G177="Progress with condition",G177="Return for evidence",G177="Pause",G177="Stop",G177="Suspend",G177="Decommission",G177="Re-authorise",G177="Resume")),"Outcome implies decision",IF(OR(ISNUMBER(SEARCH(",",O177)),ISNUMBER(SEARCH(";",O177))),"One UC-ID per event row — split this event",IF(AND(E177="Decision",OR(Q177="UC-ID REQUIRED",Q177="Decision scope missing",Q177="REMOVE UC-ID OR CORRECT SCOPE")),"Decision scope missing",IF(AND(G177="Progress with condition",COUNTIF(Conditions!$B$4:$B$553,A177)=0),"Progress with condition needs at least one Conditions row",IF(AND(C177&lt;&gt;"",COUNTIFS('Gate plan'!$A$4:$A$353,C177,'Gate plan'!$C$4:$C$353,D177)=0),"Plan gate differs from event gate",IF(AND(C177&lt;&gt;"",O177&lt;&gt;"",COUNTIFS('Gate plan'!$A$4:$A$353,C177,'Gate plan'!$K$4:$K$353,"&lt;&gt;")&gt;0,COUNTIFS('Gate plan'!$A$4:$A$353,C177,'Gate plan'!$K$4:$K$353,O177)=0),"Plan UC-ID differs from event UC-ID",IF(AND(E177="Assurance opinion",J177=""),"Assurance opinion ref missing",IF(AND(G177="Opinion only",E177&lt;&gt;"Assurance opinion",E177&lt;&gt;"Review only"),"Opinion only is for Assurance opinion or Review only events",IF(AND(G177="No decision",E177&lt;&gt;"Review only",E177&lt;&gt;"Priority override",E177&lt;&gt;"Intake / registration"),"No decision is for Review only, Priority override or Intake / registration events",IF(OR(ISNUMBER(SEARCH(" ",TRIM(O177))),ISNUMBER(SEARCH("/",O177))),"One UC-ID per event row: split this event",IF(AND(E177="Precautionary pause (containment)",ISNUMBER(W177),ISNUMBER(F177),W177&lt;F177),"Follow-up decision due date is before the pause",IF(AND(G177="Resume",IFERROR(LOOKUP(2,1/(($B$3:B176=B177)*($O$3:O176=O177)),$G$3:G176),"")&lt;&gt;"Paused — pending decision"),"Resume is only for the event straight after a Precautionary pause on the same AIR-ID and UC-ID (in an earlier row)",IF(AND(E177="Decision",OR(G177="Progress",G177="Progress with condition",G177="Re-authorise",G177="Resume"),X177&lt;&gt;"Yes"),"Decision-maker has not confirmed the screening was considered (column X)","Check against source")))))))))))))))))))))))))))))</f>
        <v/>
      </c>
      <c r="O177" s="37" t="n"/>
      <c r="P177" s="37" t="n"/>
      <c r="Q177" s="14">
        <f>IF(A177="","",IF(E177&lt;&gt;"Decision","",IF(P177="UC-ID specific",IF(O177="","UC-ID REQUIRED","Check source decision for each UC-ID"),IF(P177="Shared system baseline",IF(O177&lt;&gt;"","REMOVE UC-ID OR CORRECT SCOPE","Baseline only — NOT UC approval"),"Decision scope missing"))))</f>
        <v/>
      </c>
      <c r="R177" s="43" t="n"/>
      <c r="S177" s="40" t="n"/>
      <c r="T177" s="40" t="n"/>
      <c r="U177" s="40" t="n"/>
      <c r="V177" s="40" t="n"/>
      <c r="W177" s="41" t="n"/>
      <c r="X177" s="38" t="n"/>
    </row>
    <row r="178">
      <c r="A178" s="38" t="n"/>
      <c r="B178" s="38" t="n"/>
      <c r="C178" s="38" t="n"/>
      <c r="D178" s="38" t="n"/>
      <c r="E178" s="38" t="n"/>
      <c r="F178" s="39" t="n"/>
      <c r="G178" s="38" t="n"/>
      <c r="H178" s="38" t="n"/>
      <c r="I178" s="38" t="n"/>
      <c r="J178" s="38" t="n"/>
      <c r="K178" s="38" t="n"/>
      <c r="L178" s="38" t="n"/>
      <c r="M178" s="38" t="n"/>
      <c r="N178" s="22">
        <f>IF(COUNTA(A178:M178,O178:P178,R178:X178)=0,"",IF(OR(A178="",B178="",F178=""),"Event ID, AIR-ID or date missing",IF(COUNTIF($A$4:$A$553,A178)&gt;1,"Duplicate Event ID",IF(E178="","Event type missing",IF(OR(NOT(ISNUMBER(F178)),F178&gt;TODAY()),"Date is not a real date or is in the future",IF(AND(C178&lt;&gt;"",COUNTIF('Gate plan'!$A$4:$A$353,C178)=0),"Plan ID not found in Gate plan",IF(AND(C178&lt;&gt;"",COUNTIFS('Gate plan'!$A$4:$A$353,C178,'Gate plan'!$B$4:$B$353,B178)=0),"Plan AIR-ID differs from event",IF(D178="","Gate / forum missing",IF(AND(E178="Precautionary pause (containment)",G178&lt;&gt;"Paused — pending decision"),"Precautionary pause: Outcome must be Paused, pending decision",IF(AND(E178="Precautionary pause (containment)",V178=""),"Precautionary pause: AIG-OPS-03 incident ref missing",IF(AND(E178="Precautionary pause (containment)",NOT(ISNUMBER(W178))),"Precautionary pause: follow-up decision due date missing",IF(AND(G178="Paused — pending decision",E178&lt;&gt;"Precautionary pause (containment)"),"Paused, pending decision is only for a Precautionary pause event",IF(AND(E178="Decision",OR(G178="",H178="",I178="")),"Outcome / delegation / decision ref missing",IF(AND(E178="Decision",NOT(OR(G178="Progress",G178="Progress with condition",G178="Return for evidence",G178="Pause",G178="Stop",G178="Suspend",G178="Decommission",G178="Re-authorise",G178="Resume"))),"Decision event needs a decision outcome",IF(AND(E178="Priority override",OR(H178="",I178="")),"Decision-maker / AIG-DEC-03 ref missing",IF(AND(E178="Priority override",G178&lt;&gt;"",G178&lt;&gt;"No decision"),"Priority override: Outcome blank or No decision",IF(AND(E178&lt;&gt;"Decision",OR(G178="Progress",G178="Progress with condition",G178="Return for evidence",G178="Pause",G178="Stop",G178="Suspend",G178="Decommission",G178="Re-authorise",G178="Resume")),"Outcome implies decision",IF(OR(ISNUMBER(SEARCH(",",O178)),ISNUMBER(SEARCH(";",O178))),"One UC-ID per event row — split this event",IF(AND(E178="Decision",OR(Q178="UC-ID REQUIRED",Q178="Decision scope missing",Q178="REMOVE UC-ID OR CORRECT SCOPE")),"Decision scope missing",IF(AND(G178="Progress with condition",COUNTIF(Conditions!$B$4:$B$553,A178)=0),"Progress with condition needs at least one Conditions row",IF(AND(C178&lt;&gt;"",COUNTIFS('Gate plan'!$A$4:$A$353,C178,'Gate plan'!$C$4:$C$353,D178)=0),"Plan gate differs from event gate",IF(AND(C178&lt;&gt;"",O178&lt;&gt;"",COUNTIFS('Gate plan'!$A$4:$A$353,C178,'Gate plan'!$K$4:$K$353,"&lt;&gt;")&gt;0,COUNTIFS('Gate plan'!$A$4:$A$353,C178,'Gate plan'!$K$4:$K$353,O178)=0),"Plan UC-ID differs from event UC-ID",IF(AND(E178="Assurance opinion",J178=""),"Assurance opinion ref missing",IF(AND(G178="Opinion only",E178&lt;&gt;"Assurance opinion",E178&lt;&gt;"Review only"),"Opinion only is for Assurance opinion or Review only events",IF(AND(G178="No decision",E178&lt;&gt;"Review only",E178&lt;&gt;"Priority override",E178&lt;&gt;"Intake / registration"),"No decision is for Review only, Priority override or Intake / registration events",IF(OR(ISNUMBER(SEARCH(" ",TRIM(O178))),ISNUMBER(SEARCH("/",O178))),"One UC-ID per event row: split this event",IF(AND(E178="Precautionary pause (containment)",ISNUMBER(W178),ISNUMBER(F178),W178&lt;F178),"Follow-up decision due date is before the pause",IF(AND(G178="Resume",IFERROR(LOOKUP(2,1/(($B$3:B177=B178)*($O$3:O177=O178)),$G$3:G177),"")&lt;&gt;"Paused — pending decision"),"Resume is only for the event straight after a Precautionary pause on the same AIR-ID and UC-ID (in an earlier row)",IF(AND(E178="Decision",OR(G178="Progress",G178="Progress with condition",G178="Re-authorise",G178="Resume"),X178&lt;&gt;"Yes"),"Decision-maker has not confirmed the screening was considered (column X)","Check against source")))))))))))))))))))))))))))))</f>
        <v/>
      </c>
      <c r="O178" s="37" t="n"/>
      <c r="P178" s="37" t="n"/>
      <c r="Q178" s="14">
        <f>IF(A178="","",IF(E178&lt;&gt;"Decision","",IF(P178="UC-ID specific",IF(O178="","UC-ID REQUIRED","Check source decision for each UC-ID"),IF(P178="Shared system baseline",IF(O178&lt;&gt;"","REMOVE UC-ID OR CORRECT SCOPE","Baseline only — NOT UC approval"),"Decision scope missing"))))</f>
        <v/>
      </c>
      <c r="R178" s="42" t="n"/>
      <c r="S178" s="38" t="n"/>
      <c r="T178" s="38" t="n"/>
      <c r="U178" s="38" t="n"/>
      <c r="V178" s="38" t="n"/>
      <c r="W178" s="39" t="n"/>
      <c r="X178" s="38" t="n"/>
    </row>
    <row r="179">
      <c r="A179" s="40" t="n"/>
      <c r="B179" s="40" t="n"/>
      <c r="C179" s="40" t="n"/>
      <c r="D179" s="40" t="n"/>
      <c r="E179" s="40" t="n"/>
      <c r="F179" s="41" t="n"/>
      <c r="G179" s="40" t="n"/>
      <c r="H179" s="40" t="n"/>
      <c r="I179" s="40" t="n"/>
      <c r="J179" s="40" t="n"/>
      <c r="K179" s="40" t="n"/>
      <c r="L179" s="40" t="n"/>
      <c r="M179" s="40" t="n"/>
      <c r="N179" s="24">
        <f>IF(COUNTA(A179:M179,O179:P179,R179:X179)=0,"",IF(OR(A179="",B179="",F179=""),"Event ID, AIR-ID or date missing",IF(COUNTIF($A$4:$A$553,A179)&gt;1,"Duplicate Event ID",IF(E179="","Event type missing",IF(OR(NOT(ISNUMBER(F179)),F179&gt;TODAY()),"Date is not a real date or is in the future",IF(AND(C179&lt;&gt;"",COUNTIF('Gate plan'!$A$4:$A$353,C179)=0),"Plan ID not found in Gate plan",IF(AND(C179&lt;&gt;"",COUNTIFS('Gate plan'!$A$4:$A$353,C179,'Gate plan'!$B$4:$B$353,B179)=0),"Plan AIR-ID differs from event",IF(D179="","Gate / forum missing",IF(AND(E179="Precautionary pause (containment)",G179&lt;&gt;"Paused — pending decision"),"Precautionary pause: Outcome must be Paused, pending decision",IF(AND(E179="Precautionary pause (containment)",V179=""),"Precautionary pause: AIG-OPS-03 incident ref missing",IF(AND(E179="Precautionary pause (containment)",NOT(ISNUMBER(W179))),"Precautionary pause: follow-up decision due date missing",IF(AND(G179="Paused — pending decision",E179&lt;&gt;"Precautionary pause (containment)"),"Paused, pending decision is only for a Precautionary pause event",IF(AND(E179="Decision",OR(G179="",H179="",I179="")),"Outcome / delegation / decision ref missing",IF(AND(E179="Decision",NOT(OR(G179="Progress",G179="Progress with condition",G179="Return for evidence",G179="Pause",G179="Stop",G179="Suspend",G179="Decommission",G179="Re-authorise",G179="Resume"))),"Decision event needs a decision outcome",IF(AND(E179="Priority override",OR(H179="",I179="")),"Decision-maker / AIG-DEC-03 ref missing",IF(AND(E179="Priority override",G179&lt;&gt;"",G179&lt;&gt;"No decision"),"Priority override: Outcome blank or No decision",IF(AND(E179&lt;&gt;"Decision",OR(G179="Progress",G179="Progress with condition",G179="Return for evidence",G179="Pause",G179="Stop",G179="Suspend",G179="Decommission",G179="Re-authorise",G179="Resume")),"Outcome implies decision",IF(OR(ISNUMBER(SEARCH(",",O179)),ISNUMBER(SEARCH(";",O179))),"One UC-ID per event row — split this event",IF(AND(E179="Decision",OR(Q179="UC-ID REQUIRED",Q179="Decision scope missing",Q179="REMOVE UC-ID OR CORRECT SCOPE")),"Decision scope missing",IF(AND(G179="Progress with condition",COUNTIF(Conditions!$B$4:$B$553,A179)=0),"Progress with condition needs at least one Conditions row",IF(AND(C179&lt;&gt;"",COUNTIFS('Gate plan'!$A$4:$A$353,C179,'Gate plan'!$C$4:$C$353,D179)=0),"Plan gate differs from event gate",IF(AND(C179&lt;&gt;"",O179&lt;&gt;"",COUNTIFS('Gate plan'!$A$4:$A$353,C179,'Gate plan'!$K$4:$K$353,"&lt;&gt;")&gt;0,COUNTIFS('Gate plan'!$A$4:$A$353,C179,'Gate plan'!$K$4:$K$353,O179)=0),"Plan UC-ID differs from event UC-ID",IF(AND(E179="Assurance opinion",J179=""),"Assurance opinion ref missing",IF(AND(G179="Opinion only",E179&lt;&gt;"Assurance opinion",E179&lt;&gt;"Review only"),"Opinion only is for Assurance opinion or Review only events",IF(AND(G179="No decision",E179&lt;&gt;"Review only",E179&lt;&gt;"Priority override",E179&lt;&gt;"Intake / registration"),"No decision is for Review only, Priority override or Intake / registration events",IF(OR(ISNUMBER(SEARCH(" ",TRIM(O179))),ISNUMBER(SEARCH("/",O179))),"One UC-ID per event row: split this event",IF(AND(E179="Precautionary pause (containment)",ISNUMBER(W179),ISNUMBER(F179),W179&lt;F179),"Follow-up decision due date is before the pause",IF(AND(G179="Resume",IFERROR(LOOKUP(2,1/(($B$3:B178=B179)*($O$3:O178=O179)),$G$3:G178),"")&lt;&gt;"Paused — pending decision"),"Resume is only for the event straight after a Precautionary pause on the same AIR-ID and UC-ID (in an earlier row)",IF(AND(E179="Decision",OR(G179="Progress",G179="Progress with condition",G179="Re-authorise",G179="Resume"),X179&lt;&gt;"Yes"),"Decision-maker has not confirmed the screening was considered (column X)","Check against source")))))))))))))))))))))))))))))</f>
        <v/>
      </c>
      <c r="O179" s="37" t="n"/>
      <c r="P179" s="37" t="n"/>
      <c r="Q179" s="14">
        <f>IF(A179="","",IF(E179&lt;&gt;"Decision","",IF(P179="UC-ID specific",IF(O179="","UC-ID REQUIRED","Check source decision for each UC-ID"),IF(P179="Shared system baseline",IF(O179&lt;&gt;"","REMOVE UC-ID OR CORRECT SCOPE","Baseline only — NOT UC approval"),"Decision scope missing"))))</f>
        <v/>
      </c>
      <c r="R179" s="43" t="n"/>
      <c r="S179" s="40" t="n"/>
      <c r="T179" s="40" t="n"/>
      <c r="U179" s="40" t="n"/>
      <c r="V179" s="40" t="n"/>
      <c r="W179" s="41" t="n"/>
      <c r="X179" s="38" t="n"/>
    </row>
    <row r="180">
      <c r="A180" s="38" t="n"/>
      <c r="B180" s="38" t="n"/>
      <c r="C180" s="38" t="n"/>
      <c r="D180" s="38" t="n"/>
      <c r="E180" s="38" t="n"/>
      <c r="F180" s="39" t="n"/>
      <c r="G180" s="38" t="n"/>
      <c r="H180" s="38" t="n"/>
      <c r="I180" s="38" t="n"/>
      <c r="J180" s="38" t="n"/>
      <c r="K180" s="38" t="n"/>
      <c r="L180" s="38" t="n"/>
      <c r="M180" s="38" t="n"/>
      <c r="N180" s="22">
        <f>IF(COUNTA(A180:M180,O180:P180,R180:X180)=0,"",IF(OR(A180="",B180="",F180=""),"Event ID, AIR-ID or date missing",IF(COUNTIF($A$4:$A$553,A180)&gt;1,"Duplicate Event ID",IF(E180="","Event type missing",IF(OR(NOT(ISNUMBER(F180)),F180&gt;TODAY()),"Date is not a real date or is in the future",IF(AND(C180&lt;&gt;"",COUNTIF('Gate plan'!$A$4:$A$353,C180)=0),"Plan ID not found in Gate plan",IF(AND(C180&lt;&gt;"",COUNTIFS('Gate plan'!$A$4:$A$353,C180,'Gate plan'!$B$4:$B$353,B180)=0),"Plan AIR-ID differs from event",IF(D180="","Gate / forum missing",IF(AND(E180="Precautionary pause (containment)",G180&lt;&gt;"Paused — pending decision"),"Precautionary pause: Outcome must be Paused, pending decision",IF(AND(E180="Precautionary pause (containment)",V180=""),"Precautionary pause: AIG-OPS-03 incident ref missing",IF(AND(E180="Precautionary pause (containment)",NOT(ISNUMBER(W180))),"Precautionary pause: follow-up decision due date missing",IF(AND(G180="Paused — pending decision",E180&lt;&gt;"Precautionary pause (containment)"),"Paused, pending decision is only for a Precautionary pause event",IF(AND(E180="Decision",OR(G180="",H180="",I180="")),"Outcome / delegation / decision ref missing",IF(AND(E180="Decision",NOT(OR(G180="Progress",G180="Progress with condition",G180="Return for evidence",G180="Pause",G180="Stop",G180="Suspend",G180="Decommission",G180="Re-authorise",G180="Resume"))),"Decision event needs a decision outcome",IF(AND(E180="Priority override",OR(H180="",I180="")),"Decision-maker / AIG-DEC-03 ref missing",IF(AND(E180="Priority override",G180&lt;&gt;"",G180&lt;&gt;"No decision"),"Priority override: Outcome blank or No decision",IF(AND(E180&lt;&gt;"Decision",OR(G180="Progress",G180="Progress with condition",G180="Return for evidence",G180="Pause",G180="Stop",G180="Suspend",G180="Decommission",G180="Re-authorise",G180="Resume")),"Outcome implies decision",IF(OR(ISNUMBER(SEARCH(",",O180)),ISNUMBER(SEARCH(";",O180))),"One UC-ID per event row — split this event",IF(AND(E180="Decision",OR(Q180="UC-ID REQUIRED",Q180="Decision scope missing",Q180="REMOVE UC-ID OR CORRECT SCOPE")),"Decision scope missing",IF(AND(G180="Progress with condition",COUNTIF(Conditions!$B$4:$B$553,A180)=0),"Progress with condition needs at least one Conditions row",IF(AND(C180&lt;&gt;"",COUNTIFS('Gate plan'!$A$4:$A$353,C180,'Gate plan'!$C$4:$C$353,D180)=0),"Plan gate differs from event gate",IF(AND(C180&lt;&gt;"",O180&lt;&gt;"",COUNTIFS('Gate plan'!$A$4:$A$353,C180,'Gate plan'!$K$4:$K$353,"&lt;&gt;")&gt;0,COUNTIFS('Gate plan'!$A$4:$A$353,C180,'Gate plan'!$K$4:$K$353,O180)=0),"Plan UC-ID differs from event UC-ID",IF(AND(E180="Assurance opinion",J180=""),"Assurance opinion ref missing",IF(AND(G180="Opinion only",E180&lt;&gt;"Assurance opinion",E180&lt;&gt;"Review only"),"Opinion only is for Assurance opinion or Review only events",IF(AND(G180="No decision",E180&lt;&gt;"Review only",E180&lt;&gt;"Priority override",E180&lt;&gt;"Intake / registration"),"No decision is for Review only, Priority override or Intake / registration events",IF(OR(ISNUMBER(SEARCH(" ",TRIM(O180))),ISNUMBER(SEARCH("/",O180))),"One UC-ID per event row: split this event",IF(AND(E180="Precautionary pause (containment)",ISNUMBER(W180),ISNUMBER(F180),W180&lt;F180),"Follow-up decision due date is before the pause",IF(AND(G180="Resume",IFERROR(LOOKUP(2,1/(($B$3:B179=B180)*($O$3:O179=O180)),$G$3:G179),"")&lt;&gt;"Paused — pending decision"),"Resume is only for the event straight after a Precautionary pause on the same AIR-ID and UC-ID (in an earlier row)",IF(AND(E180="Decision",OR(G180="Progress",G180="Progress with condition",G180="Re-authorise",G180="Resume"),X180&lt;&gt;"Yes"),"Decision-maker has not confirmed the screening was considered (column X)","Check against source")))))))))))))))))))))))))))))</f>
        <v/>
      </c>
      <c r="O180" s="37" t="n"/>
      <c r="P180" s="37" t="n"/>
      <c r="Q180" s="14">
        <f>IF(A180="","",IF(E180&lt;&gt;"Decision","",IF(P180="UC-ID specific",IF(O180="","UC-ID REQUIRED","Check source decision for each UC-ID"),IF(P180="Shared system baseline",IF(O180&lt;&gt;"","REMOVE UC-ID OR CORRECT SCOPE","Baseline only — NOT UC approval"),"Decision scope missing"))))</f>
        <v/>
      </c>
      <c r="R180" s="42" t="n"/>
      <c r="S180" s="38" t="n"/>
      <c r="T180" s="38" t="n"/>
      <c r="U180" s="38" t="n"/>
      <c r="V180" s="38" t="n"/>
      <c r="W180" s="39" t="n"/>
      <c r="X180" s="38" t="n"/>
    </row>
    <row r="181">
      <c r="A181" s="40" t="n"/>
      <c r="B181" s="40" t="n"/>
      <c r="C181" s="40" t="n"/>
      <c r="D181" s="40" t="n"/>
      <c r="E181" s="40" t="n"/>
      <c r="F181" s="41" t="n"/>
      <c r="G181" s="40" t="n"/>
      <c r="H181" s="40" t="n"/>
      <c r="I181" s="40" t="n"/>
      <c r="J181" s="40" t="n"/>
      <c r="K181" s="40" t="n"/>
      <c r="L181" s="40" t="n"/>
      <c r="M181" s="40" t="n"/>
      <c r="N181" s="24">
        <f>IF(COUNTA(A181:M181,O181:P181,R181:X181)=0,"",IF(OR(A181="",B181="",F181=""),"Event ID, AIR-ID or date missing",IF(COUNTIF($A$4:$A$553,A181)&gt;1,"Duplicate Event ID",IF(E181="","Event type missing",IF(OR(NOT(ISNUMBER(F181)),F181&gt;TODAY()),"Date is not a real date or is in the future",IF(AND(C181&lt;&gt;"",COUNTIF('Gate plan'!$A$4:$A$353,C181)=0),"Plan ID not found in Gate plan",IF(AND(C181&lt;&gt;"",COUNTIFS('Gate plan'!$A$4:$A$353,C181,'Gate plan'!$B$4:$B$353,B181)=0),"Plan AIR-ID differs from event",IF(D181="","Gate / forum missing",IF(AND(E181="Precautionary pause (containment)",G181&lt;&gt;"Paused — pending decision"),"Precautionary pause: Outcome must be Paused, pending decision",IF(AND(E181="Precautionary pause (containment)",V181=""),"Precautionary pause: AIG-OPS-03 incident ref missing",IF(AND(E181="Precautionary pause (containment)",NOT(ISNUMBER(W181))),"Precautionary pause: follow-up decision due date missing",IF(AND(G181="Paused — pending decision",E181&lt;&gt;"Precautionary pause (containment)"),"Paused, pending decision is only for a Precautionary pause event",IF(AND(E181="Decision",OR(G181="",H181="",I181="")),"Outcome / delegation / decision ref missing",IF(AND(E181="Decision",NOT(OR(G181="Progress",G181="Progress with condition",G181="Return for evidence",G181="Pause",G181="Stop",G181="Suspend",G181="Decommission",G181="Re-authorise",G181="Resume"))),"Decision event needs a decision outcome",IF(AND(E181="Priority override",OR(H181="",I181="")),"Decision-maker / AIG-DEC-03 ref missing",IF(AND(E181="Priority override",G181&lt;&gt;"",G181&lt;&gt;"No decision"),"Priority override: Outcome blank or No decision",IF(AND(E181&lt;&gt;"Decision",OR(G181="Progress",G181="Progress with condition",G181="Return for evidence",G181="Pause",G181="Stop",G181="Suspend",G181="Decommission",G181="Re-authorise",G181="Resume")),"Outcome implies decision",IF(OR(ISNUMBER(SEARCH(",",O181)),ISNUMBER(SEARCH(";",O181))),"One UC-ID per event row — split this event",IF(AND(E181="Decision",OR(Q181="UC-ID REQUIRED",Q181="Decision scope missing",Q181="REMOVE UC-ID OR CORRECT SCOPE")),"Decision scope missing",IF(AND(G181="Progress with condition",COUNTIF(Conditions!$B$4:$B$553,A181)=0),"Progress with condition needs at least one Conditions row",IF(AND(C181&lt;&gt;"",COUNTIFS('Gate plan'!$A$4:$A$353,C181,'Gate plan'!$C$4:$C$353,D181)=0),"Plan gate differs from event gate",IF(AND(C181&lt;&gt;"",O181&lt;&gt;"",COUNTIFS('Gate plan'!$A$4:$A$353,C181,'Gate plan'!$K$4:$K$353,"&lt;&gt;")&gt;0,COUNTIFS('Gate plan'!$A$4:$A$353,C181,'Gate plan'!$K$4:$K$353,O181)=0),"Plan UC-ID differs from event UC-ID",IF(AND(E181="Assurance opinion",J181=""),"Assurance opinion ref missing",IF(AND(G181="Opinion only",E181&lt;&gt;"Assurance opinion",E181&lt;&gt;"Review only"),"Opinion only is for Assurance opinion or Review only events",IF(AND(G181="No decision",E181&lt;&gt;"Review only",E181&lt;&gt;"Priority override",E181&lt;&gt;"Intake / registration"),"No decision is for Review only, Priority override or Intake / registration events",IF(OR(ISNUMBER(SEARCH(" ",TRIM(O181))),ISNUMBER(SEARCH("/",O181))),"One UC-ID per event row: split this event",IF(AND(E181="Precautionary pause (containment)",ISNUMBER(W181),ISNUMBER(F181),W181&lt;F181),"Follow-up decision due date is before the pause",IF(AND(G181="Resume",IFERROR(LOOKUP(2,1/(($B$3:B180=B181)*($O$3:O180=O181)),$G$3:G180),"")&lt;&gt;"Paused — pending decision"),"Resume is only for the event straight after a Precautionary pause on the same AIR-ID and UC-ID (in an earlier row)",IF(AND(E181="Decision",OR(G181="Progress",G181="Progress with condition",G181="Re-authorise",G181="Resume"),X181&lt;&gt;"Yes"),"Decision-maker has not confirmed the screening was considered (column X)","Check against source")))))))))))))))))))))))))))))</f>
        <v/>
      </c>
      <c r="O181" s="37" t="n"/>
      <c r="P181" s="37" t="n"/>
      <c r="Q181" s="14">
        <f>IF(A181="","",IF(E181&lt;&gt;"Decision","",IF(P181="UC-ID specific",IF(O181="","UC-ID REQUIRED","Check source decision for each UC-ID"),IF(P181="Shared system baseline",IF(O181&lt;&gt;"","REMOVE UC-ID OR CORRECT SCOPE","Baseline only — NOT UC approval"),"Decision scope missing"))))</f>
        <v/>
      </c>
      <c r="R181" s="43" t="n"/>
      <c r="S181" s="40" t="n"/>
      <c r="T181" s="40" t="n"/>
      <c r="U181" s="40" t="n"/>
      <c r="V181" s="40" t="n"/>
      <c r="W181" s="41" t="n"/>
      <c r="X181" s="38" t="n"/>
    </row>
    <row r="182">
      <c r="A182" s="38" t="n"/>
      <c r="B182" s="38" t="n"/>
      <c r="C182" s="38" t="n"/>
      <c r="D182" s="38" t="n"/>
      <c r="E182" s="38" t="n"/>
      <c r="F182" s="39" t="n"/>
      <c r="G182" s="38" t="n"/>
      <c r="H182" s="38" t="n"/>
      <c r="I182" s="38" t="n"/>
      <c r="J182" s="38" t="n"/>
      <c r="K182" s="38" t="n"/>
      <c r="L182" s="38" t="n"/>
      <c r="M182" s="38" t="n"/>
      <c r="N182" s="22">
        <f>IF(COUNTA(A182:M182,O182:P182,R182:X182)=0,"",IF(OR(A182="",B182="",F182=""),"Event ID, AIR-ID or date missing",IF(COUNTIF($A$4:$A$553,A182)&gt;1,"Duplicate Event ID",IF(E182="","Event type missing",IF(OR(NOT(ISNUMBER(F182)),F182&gt;TODAY()),"Date is not a real date or is in the future",IF(AND(C182&lt;&gt;"",COUNTIF('Gate plan'!$A$4:$A$353,C182)=0),"Plan ID not found in Gate plan",IF(AND(C182&lt;&gt;"",COUNTIFS('Gate plan'!$A$4:$A$353,C182,'Gate plan'!$B$4:$B$353,B182)=0),"Plan AIR-ID differs from event",IF(D182="","Gate / forum missing",IF(AND(E182="Precautionary pause (containment)",G182&lt;&gt;"Paused — pending decision"),"Precautionary pause: Outcome must be Paused, pending decision",IF(AND(E182="Precautionary pause (containment)",V182=""),"Precautionary pause: AIG-OPS-03 incident ref missing",IF(AND(E182="Precautionary pause (containment)",NOT(ISNUMBER(W182))),"Precautionary pause: follow-up decision due date missing",IF(AND(G182="Paused — pending decision",E182&lt;&gt;"Precautionary pause (containment)"),"Paused, pending decision is only for a Precautionary pause event",IF(AND(E182="Decision",OR(G182="",H182="",I182="")),"Outcome / delegation / decision ref missing",IF(AND(E182="Decision",NOT(OR(G182="Progress",G182="Progress with condition",G182="Return for evidence",G182="Pause",G182="Stop",G182="Suspend",G182="Decommission",G182="Re-authorise",G182="Resume"))),"Decision event needs a decision outcome",IF(AND(E182="Priority override",OR(H182="",I182="")),"Decision-maker / AIG-DEC-03 ref missing",IF(AND(E182="Priority override",G182&lt;&gt;"",G182&lt;&gt;"No decision"),"Priority override: Outcome blank or No decision",IF(AND(E182&lt;&gt;"Decision",OR(G182="Progress",G182="Progress with condition",G182="Return for evidence",G182="Pause",G182="Stop",G182="Suspend",G182="Decommission",G182="Re-authorise",G182="Resume")),"Outcome implies decision",IF(OR(ISNUMBER(SEARCH(",",O182)),ISNUMBER(SEARCH(";",O182))),"One UC-ID per event row — split this event",IF(AND(E182="Decision",OR(Q182="UC-ID REQUIRED",Q182="Decision scope missing",Q182="REMOVE UC-ID OR CORRECT SCOPE")),"Decision scope missing",IF(AND(G182="Progress with condition",COUNTIF(Conditions!$B$4:$B$553,A182)=0),"Progress with condition needs at least one Conditions row",IF(AND(C182&lt;&gt;"",COUNTIFS('Gate plan'!$A$4:$A$353,C182,'Gate plan'!$C$4:$C$353,D182)=0),"Plan gate differs from event gate",IF(AND(C182&lt;&gt;"",O182&lt;&gt;"",COUNTIFS('Gate plan'!$A$4:$A$353,C182,'Gate plan'!$K$4:$K$353,"&lt;&gt;")&gt;0,COUNTIFS('Gate plan'!$A$4:$A$353,C182,'Gate plan'!$K$4:$K$353,O182)=0),"Plan UC-ID differs from event UC-ID",IF(AND(E182="Assurance opinion",J182=""),"Assurance opinion ref missing",IF(AND(G182="Opinion only",E182&lt;&gt;"Assurance opinion",E182&lt;&gt;"Review only"),"Opinion only is for Assurance opinion or Review only events",IF(AND(G182="No decision",E182&lt;&gt;"Review only",E182&lt;&gt;"Priority override",E182&lt;&gt;"Intake / registration"),"No decision is for Review only, Priority override or Intake / registration events",IF(OR(ISNUMBER(SEARCH(" ",TRIM(O182))),ISNUMBER(SEARCH("/",O182))),"One UC-ID per event row: split this event",IF(AND(E182="Precautionary pause (containment)",ISNUMBER(W182),ISNUMBER(F182),W182&lt;F182),"Follow-up decision due date is before the pause",IF(AND(G182="Resume",IFERROR(LOOKUP(2,1/(($B$3:B181=B182)*($O$3:O181=O182)),$G$3:G181),"")&lt;&gt;"Paused — pending decision"),"Resume is only for the event straight after a Precautionary pause on the same AIR-ID and UC-ID (in an earlier row)",IF(AND(E182="Decision",OR(G182="Progress",G182="Progress with condition",G182="Re-authorise",G182="Resume"),X182&lt;&gt;"Yes"),"Decision-maker has not confirmed the screening was considered (column X)","Check against source")))))))))))))))))))))))))))))</f>
        <v/>
      </c>
      <c r="O182" s="37" t="n"/>
      <c r="P182" s="37" t="n"/>
      <c r="Q182" s="14">
        <f>IF(A182="","",IF(E182&lt;&gt;"Decision","",IF(P182="UC-ID specific",IF(O182="","UC-ID REQUIRED","Check source decision for each UC-ID"),IF(P182="Shared system baseline",IF(O182&lt;&gt;"","REMOVE UC-ID OR CORRECT SCOPE","Baseline only — NOT UC approval"),"Decision scope missing"))))</f>
        <v/>
      </c>
      <c r="R182" s="42" t="n"/>
      <c r="S182" s="38" t="n"/>
      <c r="T182" s="38" t="n"/>
      <c r="U182" s="38" t="n"/>
      <c r="V182" s="38" t="n"/>
      <c r="W182" s="39" t="n"/>
      <c r="X182" s="38" t="n"/>
    </row>
    <row r="183">
      <c r="A183" s="40" t="n"/>
      <c r="B183" s="40" t="n"/>
      <c r="C183" s="40" t="n"/>
      <c r="D183" s="40" t="n"/>
      <c r="E183" s="40" t="n"/>
      <c r="F183" s="41" t="n"/>
      <c r="G183" s="40" t="n"/>
      <c r="H183" s="40" t="n"/>
      <c r="I183" s="40" t="n"/>
      <c r="J183" s="40" t="n"/>
      <c r="K183" s="40" t="n"/>
      <c r="L183" s="40" t="n"/>
      <c r="M183" s="40" t="n"/>
      <c r="N183" s="24">
        <f>IF(COUNTA(A183:M183,O183:P183,R183:X183)=0,"",IF(OR(A183="",B183="",F183=""),"Event ID, AIR-ID or date missing",IF(COUNTIF($A$4:$A$553,A183)&gt;1,"Duplicate Event ID",IF(E183="","Event type missing",IF(OR(NOT(ISNUMBER(F183)),F183&gt;TODAY()),"Date is not a real date or is in the future",IF(AND(C183&lt;&gt;"",COUNTIF('Gate plan'!$A$4:$A$353,C183)=0),"Plan ID not found in Gate plan",IF(AND(C183&lt;&gt;"",COUNTIFS('Gate plan'!$A$4:$A$353,C183,'Gate plan'!$B$4:$B$353,B183)=0),"Plan AIR-ID differs from event",IF(D183="","Gate / forum missing",IF(AND(E183="Precautionary pause (containment)",G183&lt;&gt;"Paused — pending decision"),"Precautionary pause: Outcome must be Paused, pending decision",IF(AND(E183="Precautionary pause (containment)",V183=""),"Precautionary pause: AIG-OPS-03 incident ref missing",IF(AND(E183="Precautionary pause (containment)",NOT(ISNUMBER(W183))),"Precautionary pause: follow-up decision due date missing",IF(AND(G183="Paused — pending decision",E183&lt;&gt;"Precautionary pause (containment)"),"Paused, pending decision is only for a Precautionary pause event",IF(AND(E183="Decision",OR(G183="",H183="",I183="")),"Outcome / delegation / decision ref missing",IF(AND(E183="Decision",NOT(OR(G183="Progress",G183="Progress with condition",G183="Return for evidence",G183="Pause",G183="Stop",G183="Suspend",G183="Decommission",G183="Re-authorise",G183="Resume"))),"Decision event needs a decision outcome",IF(AND(E183="Priority override",OR(H183="",I183="")),"Decision-maker / AIG-DEC-03 ref missing",IF(AND(E183="Priority override",G183&lt;&gt;"",G183&lt;&gt;"No decision"),"Priority override: Outcome blank or No decision",IF(AND(E183&lt;&gt;"Decision",OR(G183="Progress",G183="Progress with condition",G183="Return for evidence",G183="Pause",G183="Stop",G183="Suspend",G183="Decommission",G183="Re-authorise",G183="Resume")),"Outcome implies decision",IF(OR(ISNUMBER(SEARCH(",",O183)),ISNUMBER(SEARCH(";",O183))),"One UC-ID per event row — split this event",IF(AND(E183="Decision",OR(Q183="UC-ID REQUIRED",Q183="Decision scope missing",Q183="REMOVE UC-ID OR CORRECT SCOPE")),"Decision scope missing",IF(AND(G183="Progress with condition",COUNTIF(Conditions!$B$4:$B$553,A183)=0),"Progress with condition needs at least one Conditions row",IF(AND(C183&lt;&gt;"",COUNTIFS('Gate plan'!$A$4:$A$353,C183,'Gate plan'!$C$4:$C$353,D183)=0),"Plan gate differs from event gate",IF(AND(C183&lt;&gt;"",O183&lt;&gt;"",COUNTIFS('Gate plan'!$A$4:$A$353,C183,'Gate plan'!$K$4:$K$353,"&lt;&gt;")&gt;0,COUNTIFS('Gate plan'!$A$4:$A$353,C183,'Gate plan'!$K$4:$K$353,O183)=0),"Plan UC-ID differs from event UC-ID",IF(AND(E183="Assurance opinion",J183=""),"Assurance opinion ref missing",IF(AND(G183="Opinion only",E183&lt;&gt;"Assurance opinion",E183&lt;&gt;"Review only"),"Opinion only is for Assurance opinion or Review only events",IF(AND(G183="No decision",E183&lt;&gt;"Review only",E183&lt;&gt;"Priority override",E183&lt;&gt;"Intake / registration"),"No decision is for Review only, Priority override or Intake / registration events",IF(OR(ISNUMBER(SEARCH(" ",TRIM(O183))),ISNUMBER(SEARCH("/",O183))),"One UC-ID per event row: split this event",IF(AND(E183="Precautionary pause (containment)",ISNUMBER(W183),ISNUMBER(F183),W183&lt;F183),"Follow-up decision due date is before the pause",IF(AND(G183="Resume",IFERROR(LOOKUP(2,1/(($B$3:B182=B183)*($O$3:O182=O183)),$G$3:G182),"")&lt;&gt;"Paused — pending decision"),"Resume is only for the event straight after a Precautionary pause on the same AIR-ID and UC-ID (in an earlier row)",IF(AND(E183="Decision",OR(G183="Progress",G183="Progress with condition",G183="Re-authorise",G183="Resume"),X183&lt;&gt;"Yes"),"Decision-maker has not confirmed the screening was considered (column X)","Check against source")))))))))))))))))))))))))))))</f>
        <v/>
      </c>
      <c r="O183" s="37" t="n"/>
      <c r="P183" s="37" t="n"/>
      <c r="Q183" s="14">
        <f>IF(A183="","",IF(E183&lt;&gt;"Decision","",IF(P183="UC-ID specific",IF(O183="","UC-ID REQUIRED","Check source decision for each UC-ID"),IF(P183="Shared system baseline",IF(O183&lt;&gt;"","REMOVE UC-ID OR CORRECT SCOPE","Baseline only — NOT UC approval"),"Decision scope missing"))))</f>
        <v/>
      </c>
      <c r="R183" s="43" t="n"/>
      <c r="S183" s="40" t="n"/>
      <c r="T183" s="40" t="n"/>
      <c r="U183" s="40" t="n"/>
      <c r="V183" s="40" t="n"/>
      <c r="W183" s="41" t="n"/>
      <c r="X183" s="38" t="n"/>
    </row>
    <row r="184">
      <c r="A184" s="38" t="n"/>
      <c r="B184" s="38" t="n"/>
      <c r="C184" s="38" t="n"/>
      <c r="D184" s="38" t="n"/>
      <c r="E184" s="38" t="n"/>
      <c r="F184" s="39" t="n"/>
      <c r="G184" s="38" t="n"/>
      <c r="H184" s="38" t="n"/>
      <c r="I184" s="38" t="n"/>
      <c r="J184" s="38" t="n"/>
      <c r="K184" s="38" t="n"/>
      <c r="L184" s="38" t="n"/>
      <c r="M184" s="38" t="n"/>
      <c r="N184" s="22">
        <f>IF(COUNTA(A184:M184,O184:P184,R184:X184)=0,"",IF(OR(A184="",B184="",F184=""),"Event ID, AIR-ID or date missing",IF(COUNTIF($A$4:$A$553,A184)&gt;1,"Duplicate Event ID",IF(E184="","Event type missing",IF(OR(NOT(ISNUMBER(F184)),F184&gt;TODAY()),"Date is not a real date or is in the future",IF(AND(C184&lt;&gt;"",COUNTIF('Gate plan'!$A$4:$A$353,C184)=0),"Plan ID not found in Gate plan",IF(AND(C184&lt;&gt;"",COUNTIFS('Gate plan'!$A$4:$A$353,C184,'Gate plan'!$B$4:$B$353,B184)=0),"Plan AIR-ID differs from event",IF(D184="","Gate / forum missing",IF(AND(E184="Precautionary pause (containment)",G184&lt;&gt;"Paused — pending decision"),"Precautionary pause: Outcome must be Paused, pending decision",IF(AND(E184="Precautionary pause (containment)",V184=""),"Precautionary pause: AIG-OPS-03 incident ref missing",IF(AND(E184="Precautionary pause (containment)",NOT(ISNUMBER(W184))),"Precautionary pause: follow-up decision due date missing",IF(AND(G184="Paused — pending decision",E184&lt;&gt;"Precautionary pause (containment)"),"Paused, pending decision is only for a Precautionary pause event",IF(AND(E184="Decision",OR(G184="",H184="",I184="")),"Outcome / delegation / decision ref missing",IF(AND(E184="Decision",NOT(OR(G184="Progress",G184="Progress with condition",G184="Return for evidence",G184="Pause",G184="Stop",G184="Suspend",G184="Decommission",G184="Re-authorise",G184="Resume"))),"Decision event needs a decision outcome",IF(AND(E184="Priority override",OR(H184="",I184="")),"Decision-maker / AIG-DEC-03 ref missing",IF(AND(E184="Priority override",G184&lt;&gt;"",G184&lt;&gt;"No decision"),"Priority override: Outcome blank or No decision",IF(AND(E184&lt;&gt;"Decision",OR(G184="Progress",G184="Progress with condition",G184="Return for evidence",G184="Pause",G184="Stop",G184="Suspend",G184="Decommission",G184="Re-authorise",G184="Resume")),"Outcome implies decision",IF(OR(ISNUMBER(SEARCH(",",O184)),ISNUMBER(SEARCH(";",O184))),"One UC-ID per event row — split this event",IF(AND(E184="Decision",OR(Q184="UC-ID REQUIRED",Q184="Decision scope missing",Q184="REMOVE UC-ID OR CORRECT SCOPE")),"Decision scope missing",IF(AND(G184="Progress with condition",COUNTIF(Conditions!$B$4:$B$553,A184)=0),"Progress with condition needs at least one Conditions row",IF(AND(C184&lt;&gt;"",COUNTIFS('Gate plan'!$A$4:$A$353,C184,'Gate plan'!$C$4:$C$353,D184)=0),"Plan gate differs from event gate",IF(AND(C184&lt;&gt;"",O184&lt;&gt;"",COUNTIFS('Gate plan'!$A$4:$A$353,C184,'Gate plan'!$K$4:$K$353,"&lt;&gt;")&gt;0,COUNTIFS('Gate plan'!$A$4:$A$353,C184,'Gate plan'!$K$4:$K$353,O184)=0),"Plan UC-ID differs from event UC-ID",IF(AND(E184="Assurance opinion",J184=""),"Assurance opinion ref missing",IF(AND(G184="Opinion only",E184&lt;&gt;"Assurance opinion",E184&lt;&gt;"Review only"),"Opinion only is for Assurance opinion or Review only events",IF(AND(G184="No decision",E184&lt;&gt;"Review only",E184&lt;&gt;"Priority override",E184&lt;&gt;"Intake / registration"),"No decision is for Review only, Priority override or Intake / registration events",IF(OR(ISNUMBER(SEARCH(" ",TRIM(O184))),ISNUMBER(SEARCH("/",O184))),"One UC-ID per event row: split this event",IF(AND(E184="Precautionary pause (containment)",ISNUMBER(W184),ISNUMBER(F184),W184&lt;F184),"Follow-up decision due date is before the pause",IF(AND(G184="Resume",IFERROR(LOOKUP(2,1/(($B$3:B183=B184)*($O$3:O183=O184)),$G$3:G183),"")&lt;&gt;"Paused — pending decision"),"Resume is only for the event straight after a Precautionary pause on the same AIR-ID and UC-ID (in an earlier row)",IF(AND(E184="Decision",OR(G184="Progress",G184="Progress with condition",G184="Re-authorise",G184="Resume"),X184&lt;&gt;"Yes"),"Decision-maker has not confirmed the screening was considered (column X)","Check against source")))))))))))))))))))))))))))))</f>
        <v/>
      </c>
      <c r="O184" s="37" t="n"/>
      <c r="P184" s="37" t="n"/>
      <c r="Q184" s="14">
        <f>IF(A184="","",IF(E184&lt;&gt;"Decision","",IF(P184="UC-ID specific",IF(O184="","UC-ID REQUIRED","Check source decision for each UC-ID"),IF(P184="Shared system baseline",IF(O184&lt;&gt;"","REMOVE UC-ID OR CORRECT SCOPE","Baseline only — NOT UC approval"),"Decision scope missing"))))</f>
        <v/>
      </c>
      <c r="R184" s="42" t="n"/>
      <c r="S184" s="38" t="n"/>
      <c r="T184" s="38" t="n"/>
      <c r="U184" s="38" t="n"/>
      <c r="V184" s="38" t="n"/>
      <c r="W184" s="39" t="n"/>
      <c r="X184" s="38" t="n"/>
    </row>
    <row r="185">
      <c r="A185" s="40" t="n"/>
      <c r="B185" s="40" t="n"/>
      <c r="C185" s="40" t="n"/>
      <c r="D185" s="40" t="n"/>
      <c r="E185" s="40" t="n"/>
      <c r="F185" s="41" t="n"/>
      <c r="G185" s="40" t="n"/>
      <c r="H185" s="40" t="n"/>
      <c r="I185" s="40" t="n"/>
      <c r="J185" s="40" t="n"/>
      <c r="K185" s="40" t="n"/>
      <c r="L185" s="40" t="n"/>
      <c r="M185" s="40" t="n"/>
      <c r="N185" s="24">
        <f>IF(COUNTA(A185:M185,O185:P185,R185:X185)=0,"",IF(OR(A185="",B185="",F185=""),"Event ID, AIR-ID or date missing",IF(COUNTIF($A$4:$A$553,A185)&gt;1,"Duplicate Event ID",IF(E185="","Event type missing",IF(OR(NOT(ISNUMBER(F185)),F185&gt;TODAY()),"Date is not a real date or is in the future",IF(AND(C185&lt;&gt;"",COUNTIF('Gate plan'!$A$4:$A$353,C185)=0),"Plan ID not found in Gate plan",IF(AND(C185&lt;&gt;"",COUNTIFS('Gate plan'!$A$4:$A$353,C185,'Gate plan'!$B$4:$B$353,B185)=0),"Plan AIR-ID differs from event",IF(D185="","Gate / forum missing",IF(AND(E185="Precautionary pause (containment)",G185&lt;&gt;"Paused — pending decision"),"Precautionary pause: Outcome must be Paused, pending decision",IF(AND(E185="Precautionary pause (containment)",V185=""),"Precautionary pause: AIG-OPS-03 incident ref missing",IF(AND(E185="Precautionary pause (containment)",NOT(ISNUMBER(W185))),"Precautionary pause: follow-up decision due date missing",IF(AND(G185="Paused — pending decision",E185&lt;&gt;"Precautionary pause (containment)"),"Paused, pending decision is only for a Precautionary pause event",IF(AND(E185="Decision",OR(G185="",H185="",I185="")),"Outcome / delegation / decision ref missing",IF(AND(E185="Decision",NOT(OR(G185="Progress",G185="Progress with condition",G185="Return for evidence",G185="Pause",G185="Stop",G185="Suspend",G185="Decommission",G185="Re-authorise",G185="Resume"))),"Decision event needs a decision outcome",IF(AND(E185="Priority override",OR(H185="",I185="")),"Decision-maker / AIG-DEC-03 ref missing",IF(AND(E185="Priority override",G185&lt;&gt;"",G185&lt;&gt;"No decision"),"Priority override: Outcome blank or No decision",IF(AND(E185&lt;&gt;"Decision",OR(G185="Progress",G185="Progress with condition",G185="Return for evidence",G185="Pause",G185="Stop",G185="Suspend",G185="Decommission",G185="Re-authorise",G185="Resume")),"Outcome implies decision",IF(OR(ISNUMBER(SEARCH(",",O185)),ISNUMBER(SEARCH(";",O185))),"One UC-ID per event row — split this event",IF(AND(E185="Decision",OR(Q185="UC-ID REQUIRED",Q185="Decision scope missing",Q185="REMOVE UC-ID OR CORRECT SCOPE")),"Decision scope missing",IF(AND(G185="Progress with condition",COUNTIF(Conditions!$B$4:$B$553,A185)=0),"Progress with condition needs at least one Conditions row",IF(AND(C185&lt;&gt;"",COUNTIFS('Gate plan'!$A$4:$A$353,C185,'Gate plan'!$C$4:$C$353,D185)=0),"Plan gate differs from event gate",IF(AND(C185&lt;&gt;"",O185&lt;&gt;"",COUNTIFS('Gate plan'!$A$4:$A$353,C185,'Gate plan'!$K$4:$K$353,"&lt;&gt;")&gt;0,COUNTIFS('Gate plan'!$A$4:$A$353,C185,'Gate plan'!$K$4:$K$353,O185)=0),"Plan UC-ID differs from event UC-ID",IF(AND(E185="Assurance opinion",J185=""),"Assurance opinion ref missing",IF(AND(G185="Opinion only",E185&lt;&gt;"Assurance opinion",E185&lt;&gt;"Review only"),"Opinion only is for Assurance opinion or Review only events",IF(AND(G185="No decision",E185&lt;&gt;"Review only",E185&lt;&gt;"Priority override",E185&lt;&gt;"Intake / registration"),"No decision is for Review only, Priority override or Intake / registration events",IF(OR(ISNUMBER(SEARCH(" ",TRIM(O185))),ISNUMBER(SEARCH("/",O185))),"One UC-ID per event row: split this event",IF(AND(E185="Precautionary pause (containment)",ISNUMBER(W185),ISNUMBER(F185),W185&lt;F185),"Follow-up decision due date is before the pause",IF(AND(G185="Resume",IFERROR(LOOKUP(2,1/(($B$3:B184=B185)*($O$3:O184=O185)),$G$3:G184),"")&lt;&gt;"Paused — pending decision"),"Resume is only for the event straight after a Precautionary pause on the same AIR-ID and UC-ID (in an earlier row)",IF(AND(E185="Decision",OR(G185="Progress",G185="Progress with condition",G185="Re-authorise",G185="Resume"),X185&lt;&gt;"Yes"),"Decision-maker has not confirmed the screening was considered (column X)","Check against source")))))))))))))))))))))))))))))</f>
        <v/>
      </c>
      <c r="O185" s="37" t="n"/>
      <c r="P185" s="37" t="n"/>
      <c r="Q185" s="14">
        <f>IF(A185="","",IF(E185&lt;&gt;"Decision","",IF(P185="UC-ID specific",IF(O185="","UC-ID REQUIRED","Check source decision for each UC-ID"),IF(P185="Shared system baseline",IF(O185&lt;&gt;"","REMOVE UC-ID OR CORRECT SCOPE","Baseline only — NOT UC approval"),"Decision scope missing"))))</f>
        <v/>
      </c>
      <c r="R185" s="43" t="n"/>
      <c r="S185" s="40" t="n"/>
      <c r="T185" s="40" t="n"/>
      <c r="U185" s="40" t="n"/>
      <c r="V185" s="40" t="n"/>
      <c r="W185" s="41" t="n"/>
      <c r="X185" s="38" t="n"/>
    </row>
    <row r="186">
      <c r="A186" s="38" t="n"/>
      <c r="B186" s="38" t="n"/>
      <c r="C186" s="38" t="n"/>
      <c r="D186" s="38" t="n"/>
      <c r="E186" s="38" t="n"/>
      <c r="F186" s="39" t="n"/>
      <c r="G186" s="38" t="n"/>
      <c r="H186" s="38" t="n"/>
      <c r="I186" s="38" t="n"/>
      <c r="J186" s="38" t="n"/>
      <c r="K186" s="38" t="n"/>
      <c r="L186" s="38" t="n"/>
      <c r="M186" s="38" t="n"/>
      <c r="N186" s="22">
        <f>IF(COUNTA(A186:M186,O186:P186,R186:X186)=0,"",IF(OR(A186="",B186="",F186=""),"Event ID, AIR-ID or date missing",IF(COUNTIF($A$4:$A$553,A186)&gt;1,"Duplicate Event ID",IF(E186="","Event type missing",IF(OR(NOT(ISNUMBER(F186)),F186&gt;TODAY()),"Date is not a real date or is in the future",IF(AND(C186&lt;&gt;"",COUNTIF('Gate plan'!$A$4:$A$353,C186)=0),"Plan ID not found in Gate plan",IF(AND(C186&lt;&gt;"",COUNTIFS('Gate plan'!$A$4:$A$353,C186,'Gate plan'!$B$4:$B$353,B186)=0),"Plan AIR-ID differs from event",IF(D186="","Gate / forum missing",IF(AND(E186="Precautionary pause (containment)",G186&lt;&gt;"Paused — pending decision"),"Precautionary pause: Outcome must be Paused, pending decision",IF(AND(E186="Precautionary pause (containment)",V186=""),"Precautionary pause: AIG-OPS-03 incident ref missing",IF(AND(E186="Precautionary pause (containment)",NOT(ISNUMBER(W186))),"Precautionary pause: follow-up decision due date missing",IF(AND(G186="Paused — pending decision",E186&lt;&gt;"Precautionary pause (containment)"),"Paused, pending decision is only for a Precautionary pause event",IF(AND(E186="Decision",OR(G186="",H186="",I186="")),"Outcome / delegation / decision ref missing",IF(AND(E186="Decision",NOT(OR(G186="Progress",G186="Progress with condition",G186="Return for evidence",G186="Pause",G186="Stop",G186="Suspend",G186="Decommission",G186="Re-authorise",G186="Resume"))),"Decision event needs a decision outcome",IF(AND(E186="Priority override",OR(H186="",I186="")),"Decision-maker / AIG-DEC-03 ref missing",IF(AND(E186="Priority override",G186&lt;&gt;"",G186&lt;&gt;"No decision"),"Priority override: Outcome blank or No decision",IF(AND(E186&lt;&gt;"Decision",OR(G186="Progress",G186="Progress with condition",G186="Return for evidence",G186="Pause",G186="Stop",G186="Suspend",G186="Decommission",G186="Re-authorise",G186="Resume")),"Outcome implies decision",IF(OR(ISNUMBER(SEARCH(",",O186)),ISNUMBER(SEARCH(";",O186))),"One UC-ID per event row — split this event",IF(AND(E186="Decision",OR(Q186="UC-ID REQUIRED",Q186="Decision scope missing",Q186="REMOVE UC-ID OR CORRECT SCOPE")),"Decision scope missing",IF(AND(G186="Progress with condition",COUNTIF(Conditions!$B$4:$B$553,A186)=0),"Progress with condition needs at least one Conditions row",IF(AND(C186&lt;&gt;"",COUNTIFS('Gate plan'!$A$4:$A$353,C186,'Gate plan'!$C$4:$C$353,D186)=0),"Plan gate differs from event gate",IF(AND(C186&lt;&gt;"",O186&lt;&gt;"",COUNTIFS('Gate plan'!$A$4:$A$353,C186,'Gate plan'!$K$4:$K$353,"&lt;&gt;")&gt;0,COUNTIFS('Gate plan'!$A$4:$A$353,C186,'Gate plan'!$K$4:$K$353,O186)=0),"Plan UC-ID differs from event UC-ID",IF(AND(E186="Assurance opinion",J186=""),"Assurance opinion ref missing",IF(AND(G186="Opinion only",E186&lt;&gt;"Assurance opinion",E186&lt;&gt;"Review only"),"Opinion only is for Assurance opinion or Review only events",IF(AND(G186="No decision",E186&lt;&gt;"Review only",E186&lt;&gt;"Priority override",E186&lt;&gt;"Intake / registration"),"No decision is for Review only, Priority override or Intake / registration events",IF(OR(ISNUMBER(SEARCH(" ",TRIM(O186))),ISNUMBER(SEARCH("/",O186))),"One UC-ID per event row: split this event",IF(AND(E186="Precautionary pause (containment)",ISNUMBER(W186),ISNUMBER(F186),W186&lt;F186),"Follow-up decision due date is before the pause",IF(AND(G186="Resume",IFERROR(LOOKUP(2,1/(($B$3:B185=B186)*($O$3:O185=O186)),$G$3:G185),"")&lt;&gt;"Paused — pending decision"),"Resume is only for the event straight after a Precautionary pause on the same AIR-ID and UC-ID (in an earlier row)",IF(AND(E186="Decision",OR(G186="Progress",G186="Progress with condition",G186="Re-authorise",G186="Resume"),X186&lt;&gt;"Yes"),"Decision-maker has not confirmed the screening was considered (column X)","Check against source")))))))))))))))))))))))))))))</f>
        <v/>
      </c>
      <c r="O186" s="37" t="n"/>
      <c r="P186" s="37" t="n"/>
      <c r="Q186" s="14">
        <f>IF(A186="","",IF(E186&lt;&gt;"Decision","",IF(P186="UC-ID specific",IF(O186="","UC-ID REQUIRED","Check source decision for each UC-ID"),IF(P186="Shared system baseline",IF(O186&lt;&gt;"","REMOVE UC-ID OR CORRECT SCOPE","Baseline only — NOT UC approval"),"Decision scope missing"))))</f>
        <v/>
      </c>
      <c r="R186" s="42" t="n"/>
      <c r="S186" s="38" t="n"/>
      <c r="T186" s="38" t="n"/>
      <c r="U186" s="38" t="n"/>
      <c r="V186" s="38" t="n"/>
      <c r="W186" s="39" t="n"/>
      <c r="X186" s="38" t="n"/>
    </row>
    <row r="187">
      <c r="A187" s="40" t="n"/>
      <c r="B187" s="40" t="n"/>
      <c r="C187" s="40" t="n"/>
      <c r="D187" s="40" t="n"/>
      <c r="E187" s="40" t="n"/>
      <c r="F187" s="41" t="n"/>
      <c r="G187" s="40" t="n"/>
      <c r="H187" s="40" t="n"/>
      <c r="I187" s="40" t="n"/>
      <c r="J187" s="40" t="n"/>
      <c r="K187" s="40" t="n"/>
      <c r="L187" s="40" t="n"/>
      <c r="M187" s="40" t="n"/>
      <c r="N187" s="24">
        <f>IF(COUNTA(A187:M187,O187:P187,R187:X187)=0,"",IF(OR(A187="",B187="",F187=""),"Event ID, AIR-ID or date missing",IF(COUNTIF($A$4:$A$553,A187)&gt;1,"Duplicate Event ID",IF(E187="","Event type missing",IF(OR(NOT(ISNUMBER(F187)),F187&gt;TODAY()),"Date is not a real date or is in the future",IF(AND(C187&lt;&gt;"",COUNTIF('Gate plan'!$A$4:$A$353,C187)=0),"Plan ID not found in Gate plan",IF(AND(C187&lt;&gt;"",COUNTIFS('Gate plan'!$A$4:$A$353,C187,'Gate plan'!$B$4:$B$353,B187)=0),"Plan AIR-ID differs from event",IF(D187="","Gate / forum missing",IF(AND(E187="Precautionary pause (containment)",G187&lt;&gt;"Paused — pending decision"),"Precautionary pause: Outcome must be Paused, pending decision",IF(AND(E187="Precautionary pause (containment)",V187=""),"Precautionary pause: AIG-OPS-03 incident ref missing",IF(AND(E187="Precautionary pause (containment)",NOT(ISNUMBER(W187))),"Precautionary pause: follow-up decision due date missing",IF(AND(G187="Paused — pending decision",E187&lt;&gt;"Precautionary pause (containment)"),"Paused, pending decision is only for a Precautionary pause event",IF(AND(E187="Decision",OR(G187="",H187="",I187="")),"Outcome / delegation / decision ref missing",IF(AND(E187="Decision",NOT(OR(G187="Progress",G187="Progress with condition",G187="Return for evidence",G187="Pause",G187="Stop",G187="Suspend",G187="Decommission",G187="Re-authorise",G187="Resume"))),"Decision event needs a decision outcome",IF(AND(E187="Priority override",OR(H187="",I187="")),"Decision-maker / AIG-DEC-03 ref missing",IF(AND(E187="Priority override",G187&lt;&gt;"",G187&lt;&gt;"No decision"),"Priority override: Outcome blank or No decision",IF(AND(E187&lt;&gt;"Decision",OR(G187="Progress",G187="Progress with condition",G187="Return for evidence",G187="Pause",G187="Stop",G187="Suspend",G187="Decommission",G187="Re-authorise",G187="Resume")),"Outcome implies decision",IF(OR(ISNUMBER(SEARCH(",",O187)),ISNUMBER(SEARCH(";",O187))),"One UC-ID per event row — split this event",IF(AND(E187="Decision",OR(Q187="UC-ID REQUIRED",Q187="Decision scope missing",Q187="REMOVE UC-ID OR CORRECT SCOPE")),"Decision scope missing",IF(AND(G187="Progress with condition",COUNTIF(Conditions!$B$4:$B$553,A187)=0),"Progress with condition needs at least one Conditions row",IF(AND(C187&lt;&gt;"",COUNTIFS('Gate plan'!$A$4:$A$353,C187,'Gate plan'!$C$4:$C$353,D187)=0),"Plan gate differs from event gate",IF(AND(C187&lt;&gt;"",O187&lt;&gt;"",COUNTIFS('Gate plan'!$A$4:$A$353,C187,'Gate plan'!$K$4:$K$353,"&lt;&gt;")&gt;0,COUNTIFS('Gate plan'!$A$4:$A$353,C187,'Gate plan'!$K$4:$K$353,O187)=0),"Plan UC-ID differs from event UC-ID",IF(AND(E187="Assurance opinion",J187=""),"Assurance opinion ref missing",IF(AND(G187="Opinion only",E187&lt;&gt;"Assurance opinion",E187&lt;&gt;"Review only"),"Opinion only is for Assurance opinion or Review only events",IF(AND(G187="No decision",E187&lt;&gt;"Review only",E187&lt;&gt;"Priority override",E187&lt;&gt;"Intake / registration"),"No decision is for Review only, Priority override or Intake / registration events",IF(OR(ISNUMBER(SEARCH(" ",TRIM(O187))),ISNUMBER(SEARCH("/",O187))),"One UC-ID per event row: split this event",IF(AND(E187="Precautionary pause (containment)",ISNUMBER(W187),ISNUMBER(F187),W187&lt;F187),"Follow-up decision due date is before the pause",IF(AND(G187="Resume",IFERROR(LOOKUP(2,1/(($B$3:B186=B187)*($O$3:O186=O187)),$G$3:G186),"")&lt;&gt;"Paused — pending decision"),"Resume is only for the event straight after a Precautionary pause on the same AIR-ID and UC-ID (in an earlier row)",IF(AND(E187="Decision",OR(G187="Progress",G187="Progress with condition",G187="Re-authorise",G187="Resume"),X187&lt;&gt;"Yes"),"Decision-maker has not confirmed the screening was considered (column X)","Check against source")))))))))))))))))))))))))))))</f>
        <v/>
      </c>
      <c r="O187" s="37" t="n"/>
      <c r="P187" s="37" t="n"/>
      <c r="Q187" s="14">
        <f>IF(A187="","",IF(E187&lt;&gt;"Decision","",IF(P187="UC-ID specific",IF(O187="","UC-ID REQUIRED","Check source decision for each UC-ID"),IF(P187="Shared system baseline",IF(O187&lt;&gt;"","REMOVE UC-ID OR CORRECT SCOPE","Baseline only — NOT UC approval"),"Decision scope missing"))))</f>
        <v/>
      </c>
      <c r="R187" s="43" t="n"/>
      <c r="S187" s="40" t="n"/>
      <c r="T187" s="40" t="n"/>
      <c r="U187" s="40" t="n"/>
      <c r="V187" s="40" t="n"/>
      <c r="W187" s="41" t="n"/>
      <c r="X187" s="38" t="n"/>
    </row>
    <row r="188">
      <c r="A188" s="38" t="n"/>
      <c r="B188" s="38" t="n"/>
      <c r="C188" s="38" t="n"/>
      <c r="D188" s="38" t="n"/>
      <c r="E188" s="38" t="n"/>
      <c r="F188" s="39" t="n"/>
      <c r="G188" s="38" t="n"/>
      <c r="H188" s="38" t="n"/>
      <c r="I188" s="38" t="n"/>
      <c r="J188" s="38" t="n"/>
      <c r="K188" s="38" t="n"/>
      <c r="L188" s="38" t="n"/>
      <c r="M188" s="38" t="n"/>
      <c r="N188" s="22">
        <f>IF(COUNTA(A188:M188,O188:P188,R188:X188)=0,"",IF(OR(A188="",B188="",F188=""),"Event ID, AIR-ID or date missing",IF(COUNTIF($A$4:$A$553,A188)&gt;1,"Duplicate Event ID",IF(E188="","Event type missing",IF(OR(NOT(ISNUMBER(F188)),F188&gt;TODAY()),"Date is not a real date or is in the future",IF(AND(C188&lt;&gt;"",COUNTIF('Gate plan'!$A$4:$A$353,C188)=0),"Plan ID not found in Gate plan",IF(AND(C188&lt;&gt;"",COUNTIFS('Gate plan'!$A$4:$A$353,C188,'Gate plan'!$B$4:$B$353,B188)=0),"Plan AIR-ID differs from event",IF(D188="","Gate / forum missing",IF(AND(E188="Precautionary pause (containment)",G188&lt;&gt;"Paused — pending decision"),"Precautionary pause: Outcome must be Paused, pending decision",IF(AND(E188="Precautionary pause (containment)",V188=""),"Precautionary pause: AIG-OPS-03 incident ref missing",IF(AND(E188="Precautionary pause (containment)",NOT(ISNUMBER(W188))),"Precautionary pause: follow-up decision due date missing",IF(AND(G188="Paused — pending decision",E188&lt;&gt;"Precautionary pause (containment)"),"Paused, pending decision is only for a Precautionary pause event",IF(AND(E188="Decision",OR(G188="",H188="",I188="")),"Outcome / delegation / decision ref missing",IF(AND(E188="Decision",NOT(OR(G188="Progress",G188="Progress with condition",G188="Return for evidence",G188="Pause",G188="Stop",G188="Suspend",G188="Decommission",G188="Re-authorise",G188="Resume"))),"Decision event needs a decision outcome",IF(AND(E188="Priority override",OR(H188="",I188="")),"Decision-maker / AIG-DEC-03 ref missing",IF(AND(E188="Priority override",G188&lt;&gt;"",G188&lt;&gt;"No decision"),"Priority override: Outcome blank or No decision",IF(AND(E188&lt;&gt;"Decision",OR(G188="Progress",G188="Progress with condition",G188="Return for evidence",G188="Pause",G188="Stop",G188="Suspend",G188="Decommission",G188="Re-authorise",G188="Resume")),"Outcome implies decision",IF(OR(ISNUMBER(SEARCH(",",O188)),ISNUMBER(SEARCH(";",O188))),"One UC-ID per event row — split this event",IF(AND(E188="Decision",OR(Q188="UC-ID REQUIRED",Q188="Decision scope missing",Q188="REMOVE UC-ID OR CORRECT SCOPE")),"Decision scope missing",IF(AND(G188="Progress with condition",COUNTIF(Conditions!$B$4:$B$553,A188)=0),"Progress with condition needs at least one Conditions row",IF(AND(C188&lt;&gt;"",COUNTIFS('Gate plan'!$A$4:$A$353,C188,'Gate plan'!$C$4:$C$353,D188)=0),"Plan gate differs from event gate",IF(AND(C188&lt;&gt;"",O188&lt;&gt;"",COUNTIFS('Gate plan'!$A$4:$A$353,C188,'Gate plan'!$K$4:$K$353,"&lt;&gt;")&gt;0,COUNTIFS('Gate plan'!$A$4:$A$353,C188,'Gate plan'!$K$4:$K$353,O188)=0),"Plan UC-ID differs from event UC-ID",IF(AND(E188="Assurance opinion",J188=""),"Assurance opinion ref missing",IF(AND(G188="Opinion only",E188&lt;&gt;"Assurance opinion",E188&lt;&gt;"Review only"),"Opinion only is for Assurance opinion or Review only events",IF(AND(G188="No decision",E188&lt;&gt;"Review only",E188&lt;&gt;"Priority override",E188&lt;&gt;"Intake / registration"),"No decision is for Review only, Priority override or Intake / registration events",IF(OR(ISNUMBER(SEARCH(" ",TRIM(O188))),ISNUMBER(SEARCH("/",O188))),"One UC-ID per event row: split this event",IF(AND(E188="Precautionary pause (containment)",ISNUMBER(W188),ISNUMBER(F188),W188&lt;F188),"Follow-up decision due date is before the pause",IF(AND(G188="Resume",IFERROR(LOOKUP(2,1/(($B$3:B187=B188)*($O$3:O187=O188)),$G$3:G187),"")&lt;&gt;"Paused — pending decision"),"Resume is only for the event straight after a Precautionary pause on the same AIR-ID and UC-ID (in an earlier row)",IF(AND(E188="Decision",OR(G188="Progress",G188="Progress with condition",G188="Re-authorise",G188="Resume"),X188&lt;&gt;"Yes"),"Decision-maker has not confirmed the screening was considered (column X)","Check against source")))))))))))))))))))))))))))))</f>
        <v/>
      </c>
      <c r="O188" s="37" t="n"/>
      <c r="P188" s="37" t="n"/>
      <c r="Q188" s="14">
        <f>IF(A188="","",IF(E188&lt;&gt;"Decision","",IF(P188="UC-ID specific",IF(O188="","UC-ID REQUIRED","Check source decision for each UC-ID"),IF(P188="Shared system baseline",IF(O188&lt;&gt;"","REMOVE UC-ID OR CORRECT SCOPE","Baseline only — NOT UC approval"),"Decision scope missing"))))</f>
        <v/>
      </c>
      <c r="R188" s="42" t="n"/>
      <c r="S188" s="38" t="n"/>
      <c r="T188" s="38" t="n"/>
      <c r="U188" s="38" t="n"/>
      <c r="V188" s="38" t="n"/>
      <c r="W188" s="39" t="n"/>
      <c r="X188" s="38" t="n"/>
    </row>
    <row r="189">
      <c r="A189" s="40" t="n"/>
      <c r="B189" s="40" t="n"/>
      <c r="C189" s="40" t="n"/>
      <c r="D189" s="40" t="n"/>
      <c r="E189" s="40" t="n"/>
      <c r="F189" s="41" t="n"/>
      <c r="G189" s="40" t="n"/>
      <c r="H189" s="40" t="n"/>
      <c r="I189" s="40" t="n"/>
      <c r="J189" s="40" t="n"/>
      <c r="K189" s="40" t="n"/>
      <c r="L189" s="40" t="n"/>
      <c r="M189" s="40" t="n"/>
      <c r="N189" s="24">
        <f>IF(COUNTA(A189:M189,O189:P189,R189:X189)=0,"",IF(OR(A189="",B189="",F189=""),"Event ID, AIR-ID or date missing",IF(COUNTIF($A$4:$A$553,A189)&gt;1,"Duplicate Event ID",IF(E189="","Event type missing",IF(OR(NOT(ISNUMBER(F189)),F189&gt;TODAY()),"Date is not a real date or is in the future",IF(AND(C189&lt;&gt;"",COUNTIF('Gate plan'!$A$4:$A$353,C189)=0),"Plan ID not found in Gate plan",IF(AND(C189&lt;&gt;"",COUNTIFS('Gate plan'!$A$4:$A$353,C189,'Gate plan'!$B$4:$B$353,B189)=0),"Plan AIR-ID differs from event",IF(D189="","Gate / forum missing",IF(AND(E189="Precautionary pause (containment)",G189&lt;&gt;"Paused — pending decision"),"Precautionary pause: Outcome must be Paused, pending decision",IF(AND(E189="Precautionary pause (containment)",V189=""),"Precautionary pause: AIG-OPS-03 incident ref missing",IF(AND(E189="Precautionary pause (containment)",NOT(ISNUMBER(W189))),"Precautionary pause: follow-up decision due date missing",IF(AND(G189="Paused — pending decision",E189&lt;&gt;"Precautionary pause (containment)"),"Paused, pending decision is only for a Precautionary pause event",IF(AND(E189="Decision",OR(G189="",H189="",I189="")),"Outcome / delegation / decision ref missing",IF(AND(E189="Decision",NOT(OR(G189="Progress",G189="Progress with condition",G189="Return for evidence",G189="Pause",G189="Stop",G189="Suspend",G189="Decommission",G189="Re-authorise",G189="Resume"))),"Decision event needs a decision outcome",IF(AND(E189="Priority override",OR(H189="",I189="")),"Decision-maker / AIG-DEC-03 ref missing",IF(AND(E189="Priority override",G189&lt;&gt;"",G189&lt;&gt;"No decision"),"Priority override: Outcome blank or No decision",IF(AND(E189&lt;&gt;"Decision",OR(G189="Progress",G189="Progress with condition",G189="Return for evidence",G189="Pause",G189="Stop",G189="Suspend",G189="Decommission",G189="Re-authorise",G189="Resume")),"Outcome implies decision",IF(OR(ISNUMBER(SEARCH(",",O189)),ISNUMBER(SEARCH(";",O189))),"One UC-ID per event row — split this event",IF(AND(E189="Decision",OR(Q189="UC-ID REQUIRED",Q189="Decision scope missing",Q189="REMOVE UC-ID OR CORRECT SCOPE")),"Decision scope missing",IF(AND(G189="Progress with condition",COUNTIF(Conditions!$B$4:$B$553,A189)=0),"Progress with condition needs at least one Conditions row",IF(AND(C189&lt;&gt;"",COUNTIFS('Gate plan'!$A$4:$A$353,C189,'Gate plan'!$C$4:$C$353,D189)=0),"Plan gate differs from event gate",IF(AND(C189&lt;&gt;"",O189&lt;&gt;"",COUNTIFS('Gate plan'!$A$4:$A$353,C189,'Gate plan'!$K$4:$K$353,"&lt;&gt;")&gt;0,COUNTIFS('Gate plan'!$A$4:$A$353,C189,'Gate plan'!$K$4:$K$353,O189)=0),"Plan UC-ID differs from event UC-ID",IF(AND(E189="Assurance opinion",J189=""),"Assurance opinion ref missing",IF(AND(G189="Opinion only",E189&lt;&gt;"Assurance opinion",E189&lt;&gt;"Review only"),"Opinion only is for Assurance opinion or Review only events",IF(AND(G189="No decision",E189&lt;&gt;"Review only",E189&lt;&gt;"Priority override",E189&lt;&gt;"Intake / registration"),"No decision is for Review only, Priority override or Intake / registration events",IF(OR(ISNUMBER(SEARCH(" ",TRIM(O189))),ISNUMBER(SEARCH("/",O189))),"One UC-ID per event row: split this event",IF(AND(E189="Precautionary pause (containment)",ISNUMBER(W189),ISNUMBER(F189),W189&lt;F189),"Follow-up decision due date is before the pause",IF(AND(G189="Resume",IFERROR(LOOKUP(2,1/(($B$3:B188=B189)*($O$3:O188=O189)),$G$3:G188),"")&lt;&gt;"Paused — pending decision"),"Resume is only for the event straight after a Precautionary pause on the same AIR-ID and UC-ID (in an earlier row)",IF(AND(E189="Decision",OR(G189="Progress",G189="Progress with condition",G189="Re-authorise",G189="Resume"),X189&lt;&gt;"Yes"),"Decision-maker has not confirmed the screening was considered (column X)","Check against source")))))))))))))))))))))))))))))</f>
        <v/>
      </c>
      <c r="O189" s="37" t="n"/>
      <c r="P189" s="37" t="n"/>
      <c r="Q189" s="14">
        <f>IF(A189="","",IF(E189&lt;&gt;"Decision","",IF(P189="UC-ID specific",IF(O189="","UC-ID REQUIRED","Check source decision for each UC-ID"),IF(P189="Shared system baseline",IF(O189&lt;&gt;"","REMOVE UC-ID OR CORRECT SCOPE","Baseline only — NOT UC approval"),"Decision scope missing"))))</f>
        <v/>
      </c>
      <c r="R189" s="43" t="n"/>
      <c r="S189" s="40" t="n"/>
      <c r="T189" s="40" t="n"/>
      <c r="U189" s="40" t="n"/>
      <c r="V189" s="40" t="n"/>
      <c r="W189" s="41" t="n"/>
      <c r="X189" s="38" t="n"/>
    </row>
    <row r="190">
      <c r="A190" s="38" t="n"/>
      <c r="B190" s="38" t="n"/>
      <c r="C190" s="38" t="n"/>
      <c r="D190" s="38" t="n"/>
      <c r="E190" s="38" t="n"/>
      <c r="F190" s="39" t="n"/>
      <c r="G190" s="38" t="n"/>
      <c r="H190" s="38" t="n"/>
      <c r="I190" s="38" t="n"/>
      <c r="J190" s="38" t="n"/>
      <c r="K190" s="38" t="n"/>
      <c r="L190" s="38" t="n"/>
      <c r="M190" s="38" t="n"/>
      <c r="N190" s="22">
        <f>IF(COUNTA(A190:M190,O190:P190,R190:X190)=0,"",IF(OR(A190="",B190="",F190=""),"Event ID, AIR-ID or date missing",IF(COUNTIF($A$4:$A$553,A190)&gt;1,"Duplicate Event ID",IF(E190="","Event type missing",IF(OR(NOT(ISNUMBER(F190)),F190&gt;TODAY()),"Date is not a real date or is in the future",IF(AND(C190&lt;&gt;"",COUNTIF('Gate plan'!$A$4:$A$353,C190)=0),"Plan ID not found in Gate plan",IF(AND(C190&lt;&gt;"",COUNTIFS('Gate plan'!$A$4:$A$353,C190,'Gate plan'!$B$4:$B$353,B190)=0),"Plan AIR-ID differs from event",IF(D190="","Gate / forum missing",IF(AND(E190="Precautionary pause (containment)",G190&lt;&gt;"Paused — pending decision"),"Precautionary pause: Outcome must be Paused, pending decision",IF(AND(E190="Precautionary pause (containment)",V190=""),"Precautionary pause: AIG-OPS-03 incident ref missing",IF(AND(E190="Precautionary pause (containment)",NOT(ISNUMBER(W190))),"Precautionary pause: follow-up decision due date missing",IF(AND(G190="Paused — pending decision",E190&lt;&gt;"Precautionary pause (containment)"),"Paused, pending decision is only for a Precautionary pause event",IF(AND(E190="Decision",OR(G190="",H190="",I190="")),"Outcome / delegation / decision ref missing",IF(AND(E190="Decision",NOT(OR(G190="Progress",G190="Progress with condition",G190="Return for evidence",G190="Pause",G190="Stop",G190="Suspend",G190="Decommission",G190="Re-authorise",G190="Resume"))),"Decision event needs a decision outcome",IF(AND(E190="Priority override",OR(H190="",I190="")),"Decision-maker / AIG-DEC-03 ref missing",IF(AND(E190="Priority override",G190&lt;&gt;"",G190&lt;&gt;"No decision"),"Priority override: Outcome blank or No decision",IF(AND(E190&lt;&gt;"Decision",OR(G190="Progress",G190="Progress with condition",G190="Return for evidence",G190="Pause",G190="Stop",G190="Suspend",G190="Decommission",G190="Re-authorise",G190="Resume")),"Outcome implies decision",IF(OR(ISNUMBER(SEARCH(",",O190)),ISNUMBER(SEARCH(";",O190))),"One UC-ID per event row — split this event",IF(AND(E190="Decision",OR(Q190="UC-ID REQUIRED",Q190="Decision scope missing",Q190="REMOVE UC-ID OR CORRECT SCOPE")),"Decision scope missing",IF(AND(G190="Progress with condition",COUNTIF(Conditions!$B$4:$B$553,A190)=0),"Progress with condition needs at least one Conditions row",IF(AND(C190&lt;&gt;"",COUNTIFS('Gate plan'!$A$4:$A$353,C190,'Gate plan'!$C$4:$C$353,D190)=0),"Plan gate differs from event gate",IF(AND(C190&lt;&gt;"",O190&lt;&gt;"",COUNTIFS('Gate plan'!$A$4:$A$353,C190,'Gate plan'!$K$4:$K$353,"&lt;&gt;")&gt;0,COUNTIFS('Gate plan'!$A$4:$A$353,C190,'Gate plan'!$K$4:$K$353,O190)=0),"Plan UC-ID differs from event UC-ID",IF(AND(E190="Assurance opinion",J190=""),"Assurance opinion ref missing",IF(AND(G190="Opinion only",E190&lt;&gt;"Assurance opinion",E190&lt;&gt;"Review only"),"Opinion only is for Assurance opinion or Review only events",IF(AND(G190="No decision",E190&lt;&gt;"Review only",E190&lt;&gt;"Priority override",E190&lt;&gt;"Intake / registration"),"No decision is for Review only, Priority override or Intake / registration events",IF(OR(ISNUMBER(SEARCH(" ",TRIM(O190))),ISNUMBER(SEARCH("/",O190))),"One UC-ID per event row: split this event",IF(AND(E190="Precautionary pause (containment)",ISNUMBER(W190),ISNUMBER(F190),W190&lt;F190),"Follow-up decision due date is before the pause",IF(AND(G190="Resume",IFERROR(LOOKUP(2,1/(($B$3:B189=B190)*($O$3:O189=O190)),$G$3:G189),"")&lt;&gt;"Paused — pending decision"),"Resume is only for the event straight after a Precautionary pause on the same AIR-ID and UC-ID (in an earlier row)",IF(AND(E190="Decision",OR(G190="Progress",G190="Progress with condition",G190="Re-authorise",G190="Resume"),X190&lt;&gt;"Yes"),"Decision-maker has not confirmed the screening was considered (column X)","Check against source")))))))))))))))))))))))))))))</f>
        <v/>
      </c>
      <c r="O190" s="37" t="n"/>
      <c r="P190" s="37" t="n"/>
      <c r="Q190" s="14">
        <f>IF(A190="","",IF(E190&lt;&gt;"Decision","",IF(P190="UC-ID specific",IF(O190="","UC-ID REQUIRED","Check source decision for each UC-ID"),IF(P190="Shared system baseline",IF(O190&lt;&gt;"","REMOVE UC-ID OR CORRECT SCOPE","Baseline only — NOT UC approval"),"Decision scope missing"))))</f>
        <v/>
      </c>
      <c r="R190" s="42" t="n"/>
      <c r="S190" s="38" t="n"/>
      <c r="T190" s="38" t="n"/>
      <c r="U190" s="38" t="n"/>
      <c r="V190" s="38" t="n"/>
      <c r="W190" s="39" t="n"/>
      <c r="X190" s="38" t="n"/>
    </row>
    <row r="191">
      <c r="A191" s="40" t="n"/>
      <c r="B191" s="40" t="n"/>
      <c r="C191" s="40" t="n"/>
      <c r="D191" s="40" t="n"/>
      <c r="E191" s="40" t="n"/>
      <c r="F191" s="41" t="n"/>
      <c r="G191" s="40" t="n"/>
      <c r="H191" s="40" t="n"/>
      <c r="I191" s="40" t="n"/>
      <c r="J191" s="40" t="n"/>
      <c r="K191" s="40" t="n"/>
      <c r="L191" s="40" t="n"/>
      <c r="M191" s="40" t="n"/>
      <c r="N191" s="24">
        <f>IF(COUNTA(A191:M191,O191:P191,R191:X191)=0,"",IF(OR(A191="",B191="",F191=""),"Event ID, AIR-ID or date missing",IF(COUNTIF($A$4:$A$553,A191)&gt;1,"Duplicate Event ID",IF(E191="","Event type missing",IF(OR(NOT(ISNUMBER(F191)),F191&gt;TODAY()),"Date is not a real date or is in the future",IF(AND(C191&lt;&gt;"",COUNTIF('Gate plan'!$A$4:$A$353,C191)=0),"Plan ID not found in Gate plan",IF(AND(C191&lt;&gt;"",COUNTIFS('Gate plan'!$A$4:$A$353,C191,'Gate plan'!$B$4:$B$353,B191)=0),"Plan AIR-ID differs from event",IF(D191="","Gate / forum missing",IF(AND(E191="Precautionary pause (containment)",G191&lt;&gt;"Paused — pending decision"),"Precautionary pause: Outcome must be Paused, pending decision",IF(AND(E191="Precautionary pause (containment)",V191=""),"Precautionary pause: AIG-OPS-03 incident ref missing",IF(AND(E191="Precautionary pause (containment)",NOT(ISNUMBER(W191))),"Precautionary pause: follow-up decision due date missing",IF(AND(G191="Paused — pending decision",E191&lt;&gt;"Precautionary pause (containment)"),"Paused, pending decision is only for a Precautionary pause event",IF(AND(E191="Decision",OR(G191="",H191="",I191="")),"Outcome / delegation / decision ref missing",IF(AND(E191="Decision",NOT(OR(G191="Progress",G191="Progress with condition",G191="Return for evidence",G191="Pause",G191="Stop",G191="Suspend",G191="Decommission",G191="Re-authorise",G191="Resume"))),"Decision event needs a decision outcome",IF(AND(E191="Priority override",OR(H191="",I191="")),"Decision-maker / AIG-DEC-03 ref missing",IF(AND(E191="Priority override",G191&lt;&gt;"",G191&lt;&gt;"No decision"),"Priority override: Outcome blank or No decision",IF(AND(E191&lt;&gt;"Decision",OR(G191="Progress",G191="Progress with condition",G191="Return for evidence",G191="Pause",G191="Stop",G191="Suspend",G191="Decommission",G191="Re-authorise",G191="Resume")),"Outcome implies decision",IF(OR(ISNUMBER(SEARCH(",",O191)),ISNUMBER(SEARCH(";",O191))),"One UC-ID per event row — split this event",IF(AND(E191="Decision",OR(Q191="UC-ID REQUIRED",Q191="Decision scope missing",Q191="REMOVE UC-ID OR CORRECT SCOPE")),"Decision scope missing",IF(AND(G191="Progress with condition",COUNTIF(Conditions!$B$4:$B$553,A191)=0),"Progress with condition needs at least one Conditions row",IF(AND(C191&lt;&gt;"",COUNTIFS('Gate plan'!$A$4:$A$353,C191,'Gate plan'!$C$4:$C$353,D191)=0),"Plan gate differs from event gate",IF(AND(C191&lt;&gt;"",O191&lt;&gt;"",COUNTIFS('Gate plan'!$A$4:$A$353,C191,'Gate plan'!$K$4:$K$353,"&lt;&gt;")&gt;0,COUNTIFS('Gate plan'!$A$4:$A$353,C191,'Gate plan'!$K$4:$K$353,O191)=0),"Plan UC-ID differs from event UC-ID",IF(AND(E191="Assurance opinion",J191=""),"Assurance opinion ref missing",IF(AND(G191="Opinion only",E191&lt;&gt;"Assurance opinion",E191&lt;&gt;"Review only"),"Opinion only is for Assurance opinion or Review only events",IF(AND(G191="No decision",E191&lt;&gt;"Review only",E191&lt;&gt;"Priority override",E191&lt;&gt;"Intake / registration"),"No decision is for Review only, Priority override or Intake / registration events",IF(OR(ISNUMBER(SEARCH(" ",TRIM(O191))),ISNUMBER(SEARCH("/",O191))),"One UC-ID per event row: split this event",IF(AND(E191="Precautionary pause (containment)",ISNUMBER(W191),ISNUMBER(F191),W191&lt;F191),"Follow-up decision due date is before the pause",IF(AND(G191="Resume",IFERROR(LOOKUP(2,1/(($B$3:B190=B191)*($O$3:O190=O191)),$G$3:G190),"")&lt;&gt;"Paused — pending decision"),"Resume is only for the event straight after a Precautionary pause on the same AIR-ID and UC-ID (in an earlier row)",IF(AND(E191="Decision",OR(G191="Progress",G191="Progress with condition",G191="Re-authorise",G191="Resume"),X191&lt;&gt;"Yes"),"Decision-maker has not confirmed the screening was considered (column X)","Check against source")))))))))))))))))))))))))))))</f>
        <v/>
      </c>
      <c r="O191" s="37" t="n"/>
      <c r="P191" s="37" t="n"/>
      <c r="Q191" s="14">
        <f>IF(A191="","",IF(E191&lt;&gt;"Decision","",IF(P191="UC-ID specific",IF(O191="","UC-ID REQUIRED","Check source decision for each UC-ID"),IF(P191="Shared system baseline",IF(O191&lt;&gt;"","REMOVE UC-ID OR CORRECT SCOPE","Baseline only — NOT UC approval"),"Decision scope missing"))))</f>
        <v/>
      </c>
      <c r="R191" s="43" t="n"/>
      <c r="S191" s="40" t="n"/>
      <c r="T191" s="40" t="n"/>
      <c r="U191" s="40" t="n"/>
      <c r="V191" s="40" t="n"/>
      <c r="W191" s="41" t="n"/>
      <c r="X191" s="38" t="n"/>
    </row>
    <row r="192">
      <c r="A192" s="38" t="n"/>
      <c r="B192" s="38" t="n"/>
      <c r="C192" s="38" t="n"/>
      <c r="D192" s="38" t="n"/>
      <c r="E192" s="38" t="n"/>
      <c r="F192" s="39" t="n"/>
      <c r="G192" s="38" t="n"/>
      <c r="H192" s="38" t="n"/>
      <c r="I192" s="38" t="n"/>
      <c r="J192" s="38" t="n"/>
      <c r="K192" s="38" t="n"/>
      <c r="L192" s="38" t="n"/>
      <c r="M192" s="38" t="n"/>
      <c r="N192" s="22">
        <f>IF(COUNTA(A192:M192,O192:P192,R192:X192)=0,"",IF(OR(A192="",B192="",F192=""),"Event ID, AIR-ID or date missing",IF(COUNTIF($A$4:$A$553,A192)&gt;1,"Duplicate Event ID",IF(E192="","Event type missing",IF(OR(NOT(ISNUMBER(F192)),F192&gt;TODAY()),"Date is not a real date or is in the future",IF(AND(C192&lt;&gt;"",COUNTIF('Gate plan'!$A$4:$A$353,C192)=0),"Plan ID not found in Gate plan",IF(AND(C192&lt;&gt;"",COUNTIFS('Gate plan'!$A$4:$A$353,C192,'Gate plan'!$B$4:$B$353,B192)=0),"Plan AIR-ID differs from event",IF(D192="","Gate / forum missing",IF(AND(E192="Precautionary pause (containment)",G192&lt;&gt;"Paused — pending decision"),"Precautionary pause: Outcome must be Paused, pending decision",IF(AND(E192="Precautionary pause (containment)",V192=""),"Precautionary pause: AIG-OPS-03 incident ref missing",IF(AND(E192="Precautionary pause (containment)",NOT(ISNUMBER(W192))),"Precautionary pause: follow-up decision due date missing",IF(AND(G192="Paused — pending decision",E192&lt;&gt;"Precautionary pause (containment)"),"Paused, pending decision is only for a Precautionary pause event",IF(AND(E192="Decision",OR(G192="",H192="",I192="")),"Outcome / delegation / decision ref missing",IF(AND(E192="Decision",NOT(OR(G192="Progress",G192="Progress with condition",G192="Return for evidence",G192="Pause",G192="Stop",G192="Suspend",G192="Decommission",G192="Re-authorise",G192="Resume"))),"Decision event needs a decision outcome",IF(AND(E192="Priority override",OR(H192="",I192="")),"Decision-maker / AIG-DEC-03 ref missing",IF(AND(E192="Priority override",G192&lt;&gt;"",G192&lt;&gt;"No decision"),"Priority override: Outcome blank or No decision",IF(AND(E192&lt;&gt;"Decision",OR(G192="Progress",G192="Progress with condition",G192="Return for evidence",G192="Pause",G192="Stop",G192="Suspend",G192="Decommission",G192="Re-authorise",G192="Resume")),"Outcome implies decision",IF(OR(ISNUMBER(SEARCH(",",O192)),ISNUMBER(SEARCH(";",O192))),"One UC-ID per event row — split this event",IF(AND(E192="Decision",OR(Q192="UC-ID REQUIRED",Q192="Decision scope missing",Q192="REMOVE UC-ID OR CORRECT SCOPE")),"Decision scope missing",IF(AND(G192="Progress with condition",COUNTIF(Conditions!$B$4:$B$553,A192)=0),"Progress with condition needs at least one Conditions row",IF(AND(C192&lt;&gt;"",COUNTIFS('Gate plan'!$A$4:$A$353,C192,'Gate plan'!$C$4:$C$353,D192)=0),"Plan gate differs from event gate",IF(AND(C192&lt;&gt;"",O192&lt;&gt;"",COUNTIFS('Gate plan'!$A$4:$A$353,C192,'Gate plan'!$K$4:$K$353,"&lt;&gt;")&gt;0,COUNTIFS('Gate plan'!$A$4:$A$353,C192,'Gate plan'!$K$4:$K$353,O192)=0),"Plan UC-ID differs from event UC-ID",IF(AND(E192="Assurance opinion",J192=""),"Assurance opinion ref missing",IF(AND(G192="Opinion only",E192&lt;&gt;"Assurance opinion",E192&lt;&gt;"Review only"),"Opinion only is for Assurance opinion or Review only events",IF(AND(G192="No decision",E192&lt;&gt;"Review only",E192&lt;&gt;"Priority override",E192&lt;&gt;"Intake / registration"),"No decision is for Review only, Priority override or Intake / registration events",IF(OR(ISNUMBER(SEARCH(" ",TRIM(O192))),ISNUMBER(SEARCH("/",O192))),"One UC-ID per event row: split this event",IF(AND(E192="Precautionary pause (containment)",ISNUMBER(W192),ISNUMBER(F192),W192&lt;F192),"Follow-up decision due date is before the pause",IF(AND(G192="Resume",IFERROR(LOOKUP(2,1/(($B$3:B191=B192)*($O$3:O191=O192)),$G$3:G191),"")&lt;&gt;"Paused — pending decision"),"Resume is only for the event straight after a Precautionary pause on the same AIR-ID and UC-ID (in an earlier row)",IF(AND(E192="Decision",OR(G192="Progress",G192="Progress with condition",G192="Re-authorise",G192="Resume"),X192&lt;&gt;"Yes"),"Decision-maker has not confirmed the screening was considered (column X)","Check against source")))))))))))))))))))))))))))))</f>
        <v/>
      </c>
      <c r="O192" s="37" t="n"/>
      <c r="P192" s="37" t="n"/>
      <c r="Q192" s="14">
        <f>IF(A192="","",IF(E192&lt;&gt;"Decision","",IF(P192="UC-ID specific",IF(O192="","UC-ID REQUIRED","Check source decision for each UC-ID"),IF(P192="Shared system baseline",IF(O192&lt;&gt;"","REMOVE UC-ID OR CORRECT SCOPE","Baseline only — NOT UC approval"),"Decision scope missing"))))</f>
        <v/>
      </c>
      <c r="R192" s="42" t="n"/>
      <c r="S192" s="38" t="n"/>
      <c r="T192" s="38" t="n"/>
      <c r="U192" s="38" t="n"/>
      <c r="V192" s="38" t="n"/>
      <c r="W192" s="39" t="n"/>
      <c r="X192" s="38" t="n"/>
    </row>
    <row r="193">
      <c r="A193" s="40" t="n"/>
      <c r="B193" s="40" t="n"/>
      <c r="C193" s="40" t="n"/>
      <c r="D193" s="40" t="n"/>
      <c r="E193" s="40" t="n"/>
      <c r="F193" s="41" t="n"/>
      <c r="G193" s="40" t="n"/>
      <c r="H193" s="40" t="n"/>
      <c r="I193" s="40" t="n"/>
      <c r="J193" s="40" t="n"/>
      <c r="K193" s="40" t="n"/>
      <c r="L193" s="40" t="n"/>
      <c r="M193" s="40" t="n"/>
      <c r="N193" s="24">
        <f>IF(COUNTA(A193:M193,O193:P193,R193:X193)=0,"",IF(OR(A193="",B193="",F193=""),"Event ID, AIR-ID or date missing",IF(COUNTIF($A$4:$A$553,A193)&gt;1,"Duplicate Event ID",IF(E193="","Event type missing",IF(OR(NOT(ISNUMBER(F193)),F193&gt;TODAY()),"Date is not a real date or is in the future",IF(AND(C193&lt;&gt;"",COUNTIF('Gate plan'!$A$4:$A$353,C193)=0),"Plan ID not found in Gate plan",IF(AND(C193&lt;&gt;"",COUNTIFS('Gate plan'!$A$4:$A$353,C193,'Gate plan'!$B$4:$B$353,B193)=0),"Plan AIR-ID differs from event",IF(D193="","Gate / forum missing",IF(AND(E193="Precautionary pause (containment)",G193&lt;&gt;"Paused — pending decision"),"Precautionary pause: Outcome must be Paused, pending decision",IF(AND(E193="Precautionary pause (containment)",V193=""),"Precautionary pause: AIG-OPS-03 incident ref missing",IF(AND(E193="Precautionary pause (containment)",NOT(ISNUMBER(W193))),"Precautionary pause: follow-up decision due date missing",IF(AND(G193="Paused — pending decision",E193&lt;&gt;"Precautionary pause (containment)"),"Paused, pending decision is only for a Precautionary pause event",IF(AND(E193="Decision",OR(G193="",H193="",I193="")),"Outcome / delegation / decision ref missing",IF(AND(E193="Decision",NOT(OR(G193="Progress",G193="Progress with condition",G193="Return for evidence",G193="Pause",G193="Stop",G193="Suspend",G193="Decommission",G193="Re-authorise",G193="Resume"))),"Decision event needs a decision outcome",IF(AND(E193="Priority override",OR(H193="",I193="")),"Decision-maker / AIG-DEC-03 ref missing",IF(AND(E193="Priority override",G193&lt;&gt;"",G193&lt;&gt;"No decision"),"Priority override: Outcome blank or No decision",IF(AND(E193&lt;&gt;"Decision",OR(G193="Progress",G193="Progress with condition",G193="Return for evidence",G193="Pause",G193="Stop",G193="Suspend",G193="Decommission",G193="Re-authorise",G193="Resume")),"Outcome implies decision",IF(OR(ISNUMBER(SEARCH(",",O193)),ISNUMBER(SEARCH(";",O193))),"One UC-ID per event row — split this event",IF(AND(E193="Decision",OR(Q193="UC-ID REQUIRED",Q193="Decision scope missing",Q193="REMOVE UC-ID OR CORRECT SCOPE")),"Decision scope missing",IF(AND(G193="Progress with condition",COUNTIF(Conditions!$B$4:$B$553,A193)=0),"Progress with condition needs at least one Conditions row",IF(AND(C193&lt;&gt;"",COUNTIFS('Gate plan'!$A$4:$A$353,C193,'Gate plan'!$C$4:$C$353,D193)=0),"Plan gate differs from event gate",IF(AND(C193&lt;&gt;"",O193&lt;&gt;"",COUNTIFS('Gate plan'!$A$4:$A$353,C193,'Gate plan'!$K$4:$K$353,"&lt;&gt;")&gt;0,COUNTIFS('Gate plan'!$A$4:$A$353,C193,'Gate plan'!$K$4:$K$353,O193)=0),"Plan UC-ID differs from event UC-ID",IF(AND(E193="Assurance opinion",J193=""),"Assurance opinion ref missing",IF(AND(G193="Opinion only",E193&lt;&gt;"Assurance opinion",E193&lt;&gt;"Review only"),"Opinion only is for Assurance opinion or Review only events",IF(AND(G193="No decision",E193&lt;&gt;"Review only",E193&lt;&gt;"Priority override",E193&lt;&gt;"Intake / registration"),"No decision is for Review only, Priority override or Intake / registration events",IF(OR(ISNUMBER(SEARCH(" ",TRIM(O193))),ISNUMBER(SEARCH("/",O193))),"One UC-ID per event row: split this event",IF(AND(E193="Precautionary pause (containment)",ISNUMBER(W193),ISNUMBER(F193),W193&lt;F193),"Follow-up decision due date is before the pause",IF(AND(G193="Resume",IFERROR(LOOKUP(2,1/(($B$3:B192=B193)*($O$3:O192=O193)),$G$3:G192),"")&lt;&gt;"Paused — pending decision"),"Resume is only for the event straight after a Precautionary pause on the same AIR-ID and UC-ID (in an earlier row)",IF(AND(E193="Decision",OR(G193="Progress",G193="Progress with condition",G193="Re-authorise",G193="Resume"),X193&lt;&gt;"Yes"),"Decision-maker has not confirmed the screening was considered (column X)","Check against source")))))))))))))))))))))))))))))</f>
        <v/>
      </c>
      <c r="O193" s="37" t="n"/>
      <c r="P193" s="37" t="n"/>
      <c r="Q193" s="14">
        <f>IF(A193="","",IF(E193&lt;&gt;"Decision","",IF(P193="UC-ID specific",IF(O193="","UC-ID REQUIRED","Check source decision for each UC-ID"),IF(P193="Shared system baseline",IF(O193&lt;&gt;"","REMOVE UC-ID OR CORRECT SCOPE","Baseline only — NOT UC approval"),"Decision scope missing"))))</f>
        <v/>
      </c>
      <c r="R193" s="43" t="n"/>
      <c r="S193" s="40" t="n"/>
      <c r="T193" s="40" t="n"/>
      <c r="U193" s="40" t="n"/>
      <c r="V193" s="40" t="n"/>
      <c r="W193" s="41" t="n"/>
      <c r="X193" s="38" t="n"/>
    </row>
    <row r="194">
      <c r="A194" s="38" t="n"/>
      <c r="B194" s="38" t="n"/>
      <c r="C194" s="38" t="n"/>
      <c r="D194" s="38" t="n"/>
      <c r="E194" s="38" t="n"/>
      <c r="F194" s="39" t="n"/>
      <c r="G194" s="38" t="n"/>
      <c r="H194" s="38" t="n"/>
      <c r="I194" s="38" t="n"/>
      <c r="J194" s="38" t="n"/>
      <c r="K194" s="38" t="n"/>
      <c r="L194" s="38" t="n"/>
      <c r="M194" s="38" t="n"/>
      <c r="N194" s="22">
        <f>IF(COUNTA(A194:M194,O194:P194,R194:X194)=0,"",IF(OR(A194="",B194="",F194=""),"Event ID, AIR-ID or date missing",IF(COUNTIF($A$4:$A$553,A194)&gt;1,"Duplicate Event ID",IF(E194="","Event type missing",IF(OR(NOT(ISNUMBER(F194)),F194&gt;TODAY()),"Date is not a real date or is in the future",IF(AND(C194&lt;&gt;"",COUNTIF('Gate plan'!$A$4:$A$353,C194)=0),"Plan ID not found in Gate plan",IF(AND(C194&lt;&gt;"",COUNTIFS('Gate plan'!$A$4:$A$353,C194,'Gate plan'!$B$4:$B$353,B194)=0),"Plan AIR-ID differs from event",IF(D194="","Gate / forum missing",IF(AND(E194="Precautionary pause (containment)",G194&lt;&gt;"Paused — pending decision"),"Precautionary pause: Outcome must be Paused, pending decision",IF(AND(E194="Precautionary pause (containment)",V194=""),"Precautionary pause: AIG-OPS-03 incident ref missing",IF(AND(E194="Precautionary pause (containment)",NOT(ISNUMBER(W194))),"Precautionary pause: follow-up decision due date missing",IF(AND(G194="Paused — pending decision",E194&lt;&gt;"Precautionary pause (containment)"),"Paused, pending decision is only for a Precautionary pause event",IF(AND(E194="Decision",OR(G194="",H194="",I194="")),"Outcome / delegation / decision ref missing",IF(AND(E194="Decision",NOT(OR(G194="Progress",G194="Progress with condition",G194="Return for evidence",G194="Pause",G194="Stop",G194="Suspend",G194="Decommission",G194="Re-authorise",G194="Resume"))),"Decision event needs a decision outcome",IF(AND(E194="Priority override",OR(H194="",I194="")),"Decision-maker / AIG-DEC-03 ref missing",IF(AND(E194="Priority override",G194&lt;&gt;"",G194&lt;&gt;"No decision"),"Priority override: Outcome blank or No decision",IF(AND(E194&lt;&gt;"Decision",OR(G194="Progress",G194="Progress with condition",G194="Return for evidence",G194="Pause",G194="Stop",G194="Suspend",G194="Decommission",G194="Re-authorise",G194="Resume")),"Outcome implies decision",IF(OR(ISNUMBER(SEARCH(",",O194)),ISNUMBER(SEARCH(";",O194))),"One UC-ID per event row — split this event",IF(AND(E194="Decision",OR(Q194="UC-ID REQUIRED",Q194="Decision scope missing",Q194="REMOVE UC-ID OR CORRECT SCOPE")),"Decision scope missing",IF(AND(G194="Progress with condition",COUNTIF(Conditions!$B$4:$B$553,A194)=0),"Progress with condition needs at least one Conditions row",IF(AND(C194&lt;&gt;"",COUNTIFS('Gate plan'!$A$4:$A$353,C194,'Gate plan'!$C$4:$C$353,D194)=0),"Plan gate differs from event gate",IF(AND(C194&lt;&gt;"",O194&lt;&gt;"",COUNTIFS('Gate plan'!$A$4:$A$353,C194,'Gate plan'!$K$4:$K$353,"&lt;&gt;")&gt;0,COUNTIFS('Gate plan'!$A$4:$A$353,C194,'Gate plan'!$K$4:$K$353,O194)=0),"Plan UC-ID differs from event UC-ID",IF(AND(E194="Assurance opinion",J194=""),"Assurance opinion ref missing",IF(AND(G194="Opinion only",E194&lt;&gt;"Assurance opinion",E194&lt;&gt;"Review only"),"Opinion only is for Assurance opinion or Review only events",IF(AND(G194="No decision",E194&lt;&gt;"Review only",E194&lt;&gt;"Priority override",E194&lt;&gt;"Intake / registration"),"No decision is for Review only, Priority override or Intake / registration events",IF(OR(ISNUMBER(SEARCH(" ",TRIM(O194))),ISNUMBER(SEARCH("/",O194))),"One UC-ID per event row: split this event",IF(AND(E194="Precautionary pause (containment)",ISNUMBER(W194),ISNUMBER(F194),W194&lt;F194),"Follow-up decision due date is before the pause",IF(AND(G194="Resume",IFERROR(LOOKUP(2,1/(($B$3:B193=B194)*($O$3:O193=O194)),$G$3:G193),"")&lt;&gt;"Paused — pending decision"),"Resume is only for the event straight after a Precautionary pause on the same AIR-ID and UC-ID (in an earlier row)",IF(AND(E194="Decision",OR(G194="Progress",G194="Progress with condition",G194="Re-authorise",G194="Resume"),X194&lt;&gt;"Yes"),"Decision-maker has not confirmed the screening was considered (column X)","Check against source")))))))))))))))))))))))))))))</f>
        <v/>
      </c>
      <c r="O194" s="37" t="n"/>
      <c r="P194" s="37" t="n"/>
      <c r="Q194" s="14">
        <f>IF(A194="","",IF(E194&lt;&gt;"Decision","",IF(P194="UC-ID specific",IF(O194="","UC-ID REQUIRED","Check source decision for each UC-ID"),IF(P194="Shared system baseline",IF(O194&lt;&gt;"","REMOVE UC-ID OR CORRECT SCOPE","Baseline only — NOT UC approval"),"Decision scope missing"))))</f>
        <v/>
      </c>
      <c r="R194" s="42" t="n"/>
      <c r="S194" s="38" t="n"/>
      <c r="T194" s="38" t="n"/>
      <c r="U194" s="38" t="n"/>
      <c r="V194" s="38" t="n"/>
      <c r="W194" s="39" t="n"/>
      <c r="X194" s="38" t="n"/>
    </row>
    <row r="195">
      <c r="A195" s="40" t="n"/>
      <c r="B195" s="40" t="n"/>
      <c r="C195" s="40" t="n"/>
      <c r="D195" s="40" t="n"/>
      <c r="E195" s="40" t="n"/>
      <c r="F195" s="41" t="n"/>
      <c r="G195" s="40" t="n"/>
      <c r="H195" s="40" t="n"/>
      <c r="I195" s="40" t="n"/>
      <c r="J195" s="40" t="n"/>
      <c r="K195" s="40" t="n"/>
      <c r="L195" s="40" t="n"/>
      <c r="M195" s="40" t="n"/>
      <c r="N195" s="24">
        <f>IF(COUNTA(A195:M195,O195:P195,R195:X195)=0,"",IF(OR(A195="",B195="",F195=""),"Event ID, AIR-ID or date missing",IF(COUNTIF($A$4:$A$553,A195)&gt;1,"Duplicate Event ID",IF(E195="","Event type missing",IF(OR(NOT(ISNUMBER(F195)),F195&gt;TODAY()),"Date is not a real date or is in the future",IF(AND(C195&lt;&gt;"",COUNTIF('Gate plan'!$A$4:$A$353,C195)=0),"Plan ID not found in Gate plan",IF(AND(C195&lt;&gt;"",COUNTIFS('Gate plan'!$A$4:$A$353,C195,'Gate plan'!$B$4:$B$353,B195)=0),"Plan AIR-ID differs from event",IF(D195="","Gate / forum missing",IF(AND(E195="Precautionary pause (containment)",G195&lt;&gt;"Paused — pending decision"),"Precautionary pause: Outcome must be Paused, pending decision",IF(AND(E195="Precautionary pause (containment)",V195=""),"Precautionary pause: AIG-OPS-03 incident ref missing",IF(AND(E195="Precautionary pause (containment)",NOT(ISNUMBER(W195))),"Precautionary pause: follow-up decision due date missing",IF(AND(G195="Paused — pending decision",E195&lt;&gt;"Precautionary pause (containment)"),"Paused, pending decision is only for a Precautionary pause event",IF(AND(E195="Decision",OR(G195="",H195="",I195="")),"Outcome / delegation / decision ref missing",IF(AND(E195="Decision",NOT(OR(G195="Progress",G195="Progress with condition",G195="Return for evidence",G195="Pause",G195="Stop",G195="Suspend",G195="Decommission",G195="Re-authorise",G195="Resume"))),"Decision event needs a decision outcome",IF(AND(E195="Priority override",OR(H195="",I195="")),"Decision-maker / AIG-DEC-03 ref missing",IF(AND(E195="Priority override",G195&lt;&gt;"",G195&lt;&gt;"No decision"),"Priority override: Outcome blank or No decision",IF(AND(E195&lt;&gt;"Decision",OR(G195="Progress",G195="Progress with condition",G195="Return for evidence",G195="Pause",G195="Stop",G195="Suspend",G195="Decommission",G195="Re-authorise",G195="Resume")),"Outcome implies decision",IF(OR(ISNUMBER(SEARCH(",",O195)),ISNUMBER(SEARCH(";",O195))),"One UC-ID per event row — split this event",IF(AND(E195="Decision",OR(Q195="UC-ID REQUIRED",Q195="Decision scope missing",Q195="REMOVE UC-ID OR CORRECT SCOPE")),"Decision scope missing",IF(AND(G195="Progress with condition",COUNTIF(Conditions!$B$4:$B$553,A195)=0),"Progress with condition needs at least one Conditions row",IF(AND(C195&lt;&gt;"",COUNTIFS('Gate plan'!$A$4:$A$353,C195,'Gate plan'!$C$4:$C$353,D195)=0),"Plan gate differs from event gate",IF(AND(C195&lt;&gt;"",O195&lt;&gt;"",COUNTIFS('Gate plan'!$A$4:$A$353,C195,'Gate plan'!$K$4:$K$353,"&lt;&gt;")&gt;0,COUNTIFS('Gate plan'!$A$4:$A$353,C195,'Gate plan'!$K$4:$K$353,O195)=0),"Plan UC-ID differs from event UC-ID",IF(AND(E195="Assurance opinion",J195=""),"Assurance opinion ref missing",IF(AND(G195="Opinion only",E195&lt;&gt;"Assurance opinion",E195&lt;&gt;"Review only"),"Opinion only is for Assurance opinion or Review only events",IF(AND(G195="No decision",E195&lt;&gt;"Review only",E195&lt;&gt;"Priority override",E195&lt;&gt;"Intake / registration"),"No decision is for Review only, Priority override or Intake / registration events",IF(OR(ISNUMBER(SEARCH(" ",TRIM(O195))),ISNUMBER(SEARCH("/",O195))),"One UC-ID per event row: split this event",IF(AND(E195="Precautionary pause (containment)",ISNUMBER(W195),ISNUMBER(F195),W195&lt;F195),"Follow-up decision due date is before the pause",IF(AND(G195="Resume",IFERROR(LOOKUP(2,1/(($B$3:B194=B195)*($O$3:O194=O195)),$G$3:G194),"")&lt;&gt;"Paused — pending decision"),"Resume is only for the event straight after a Precautionary pause on the same AIR-ID and UC-ID (in an earlier row)",IF(AND(E195="Decision",OR(G195="Progress",G195="Progress with condition",G195="Re-authorise",G195="Resume"),X195&lt;&gt;"Yes"),"Decision-maker has not confirmed the screening was considered (column X)","Check against source")))))))))))))))))))))))))))))</f>
        <v/>
      </c>
      <c r="O195" s="37" t="n"/>
      <c r="P195" s="37" t="n"/>
      <c r="Q195" s="14">
        <f>IF(A195="","",IF(E195&lt;&gt;"Decision","",IF(P195="UC-ID specific",IF(O195="","UC-ID REQUIRED","Check source decision for each UC-ID"),IF(P195="Shared system baseline",IF(O195&lt;&gt;"","REMOVE UC-ID OR CORRECT SCOPE","Baseline only — NOT UC approval"),"Decision scope missing"))))</f>
        <v/>
      </c>
      <c r="R195" s="43" t="n"/>
      <c r="S195" s="40" t="n"/>
      <c r="T195" s="40" t="n"/>
      <c r="U195" s="40" t="n"/>
      <c r="V195" s="40" t="n"/>
      <c r="W195" s="41" t="n"/>
      <c r="X195" s="38" t="n"/>
    </row>
    <row r="196">
      <c r="A196" s="38" t="n"/>
      <c r="B196" s="38" t="n"/>
      <c r="C196" s="38" t="n"/>
      <c r="D196" s="38" t="n"/>
      <c r="E196" s="38" t="n"/>
      <c r="F196" s="39" t="n"/>
      <c r="G196" s="38" t="n"/>
      <c r="H196" s="38" t="n"/>
      <c r="I196" s="38" t="n"/>
      <c r="J196" s="38" t="n"/>
      <c r="K196" s="38" t="n"/>
      <c r="L196" s="38" t="n"/>
      <c r="M196" s="38" t="n"/>
      <c r="N196" s="22">
        <f>IF(COUNTA(A196:M196,O196:P196,R196:X196)=0,"",IF(OR(A196="",B196="",F196=""),"Event ID, AIR-ID or date missing",IF(COUNTIF($A$4:$A$553,A196)&gt;1,"Duplicate Event ID",IF(E196="","Event type missing",IF(OR(NOT(ISNUMBER(F196)),F196&gt;TODAY()),"Date is not a real date or is in the future",IF(AND(C196&lt;&gt;"",COUNTIF('Gate plan'!$A$4:$A$353,C196)=0),"Plan ID not found in Gate plan",IF(AND(C196&lt;&gt;"",COUNTIFS('Gate plan'!$A$4:$A$353,C196,'Gate plan'!$B$4:$B$353,B196)=0),"Plan AIR-ID differs from event",IF(D196="","Gate / forum missing",IF(AND(E196="Precautionary pause (containment)",G196&lt;&gt;"Paused — pending decision"),"Precautionary pause: Outcome must be Paused, pending decision",IF(AND(E196="Precautionary pause (containment)",V196=""),"Precautionary pause: AIG-OPS-03 incident ref missing",IF(AND(E196="Precautionary pause (containment)",NOT(ISNUMBER(W196))),"Precautionary pause: follow-up decision due date missing",IF(AND(G196="Paused — pending decision",E196&lt;&gt;"Precautionary pause (containment)"),"Paused, pending decision is only for a Precautionary pause event",IF(AND(E196="Decision",OR(G196="",H196="",I196="")),"Outcome / delegation / decision ref missing",IF(AND(E196="Decision",NOT(OR(G196="Progress",G196="Progress with condition",G196="Return for evidence",G196="Pause",G196="Stop",G196="Suspend",G196="Decommission",G196="Re-authorise",G196="Resume"))),"Decision event needs a decision outcome",IF(AND(E196="Priority override",OR(H196="",I196="")),"Decision-maker / AIG-DEC-03 ref missing",IF(AND(E196="Priority override",G196&lt;&gt;"",G196&lt;&gt;"No decision"),"Priority override: Outcome blank or No decision",IF(AND(E196&lt;&gt;"Decision",OR(G196="Progress",G196="Progress with condition",G196="Return for evidence",G196="Pause",G196="Stop",G196="Suspend",G196="Decommission",G196="Re-authorise",G196="Resume")),"Outcome implies decision",IF(OR(ISNUMBER(SEARCH(",",O196)),ISNUMBER(SEARCH(";",O196))),"One UC-ID per event row — split this event",IF(AND(E196="Decision",OR(Q196="UC-ID REQUIRED",Q196="Decision scope missing",Q196="REMOVE UC-ID OR CORRECT SCOPE")),"Decision scope missing",IF(AND(G196="Progress with condition",COUNTIF(Conditions!$B$4:$B$553,A196)=0),"Progress with condition needs at least one Conditions row",IF(AND(C196&lt;&gt;"",COUNTIFS('Gate plan'!$A$4:$A$353,C196,'Gate plan'!$C$4:$C$353,D196)=0),"Plan gate differs from event gate",IF(AND(C196&lt;&gt;"",O196&lt;&gt;"",COUNTIFS('Gate plan'!$A$4:$A$353,C196,'Gate plan'!$K$4:$K$353,"&lt;&gt;")&gt;0,COUNTIFS('Gate plan'!$A$4:$A$353,C196,'Gate plan'!$K$4:$K$353,O196)=0),"Plan UC-ID differs from event UC-ID",IF(AND(E196="Assurance opinion",J196=""),"Assurance opinion ref missing",IF(AND(G196="Opinion only",E196&lt;&gt;"Assurance opinion",E196&lt;&gt;"Review only"),"Opinion only is for Assurance opinion or Review only events",IF(AND(G196="No decision",E196&lt;&gt;"Review only",E196&lt;&gt;"Priority override",E196&lt;&gt;"Intake / registration"),"No decision is for Review only, Priority override or Intake / registration events",IF(OR(ISNUMBER(SEARCH(" ",TRIM(O196))),ISNUMBER(SEARCH("/",O196))),"One UC-ID per event row: split this event",IF(AND(E196="Precautionary pause (containment)",ISNUMBER(W196),ISNUMBER(F196),W196&lt;F196),"Follow-up decision due date is before the pause",IF(AND(G196="Resume",IFERROR(LOOKUP(2,1/(($B$3:B195=B196)*($O$3:O195=O196)),$G$3:G195),"")&lt;&gt;"Paused — pending decision"),"Resume is only for the event straight after a Precautionary pause on the same AIR-ID and UC-ID (in an earlier row)",IF(AND(E196="Decision",OR(G196="Progress",G196="Progress with condition",G196="Re-authorise",G196="Resume"),X196&lt;&gt;"Yes"),"Decision-maker has not confirmed the screening was considered (column X)","Check against source")))))))))))))))))))))))))))))</f>
        <v/>
      </c>
      <c r="O196" s="37" t="n"/>
      <c r="P196" s="37" t="n"/>
      <c r="Q196" s="14">
        <f>IF(A196="","",IF(E196&lt;&gt;"Decision","",IF(P196="UC-ID specific",IF(O196="","UC-ID REQUIRED","Check source decision for each UC-ID"),IF(P196="Shared system baseline",IF(O196&lt;&gt;"","REMOVE UC-ID OR CORRECT SCOPE","Baseline only — NOT UC approval"),"Decision scope missing"))))</f>
        <v/>
      </c>
      <c r="R196" s="42" t="n"/>
      <c r="S196" s="38" t="n"/>
      <c r="T196" s="38" t="n"/>
      <c r="U196" s="38" t="n"/>
      <c r="V196" s="38" t="n"/>
      <c r="W196" s="39" t="n"/>
      <c r="X196" s="38" t="n"/>
    </row>
    <row r="197">
      <c r="A197" s="40" t="n"/>
      <c r="B197" s="40" t="n"/>
      <c r="C197" s="40" t="n"/>
      <c r="D197" s="40" t="n"/>
      <c r="E197" s="40" t="n"/>
      <c r="F197" s="41" t="n"/>
      <c r="G197" s="40" t="n"/>
      <c r="H197" s="40" t="n"/>
      <c r="I197" s="40" t="n"/>
      <c r="J197" s="40" t="n"/>
      <c r="K197" s="40" t="n"/>
      <c r="L197" s="40" t="n"/>
      <c r="M197" s="40" t="n"/>
      <c r="N197" s="24">
        <f>IF(COUNTA(A197:M197,O197:P197,R197:X197)=0,"",IF(OR(A197="",B197="",F197=""),"Event ID, AIR-ID or date missing",IF(COUNTIF($A$4:$A$553,A197)&gt;1,"Duplicate Event ID",IF(E197="","Event type missing",IF(OR(NOT(ISNUMBER(F197)),F197&gt;TODAY()),"Date is not a real date or is in the future",IF(AND(C197&lt;&gt;"",COUNTIF('Gate plan'!$A$4:$A$353,C197)=0),"Plan ID not found in Gate plan",IF(AND(C197&lt;&gt;"",COUNTIFS('Gate plan'!$A$4:$A$353,C197,'Gate plan'!$B$4:$B$353,B197)=0),"Plan AIR-ID differs from event",IF(D197="","Gate / forum missing",IF(AND(E197="Precautionary pause (containment)",G197&lt;&gt;"Paused — pending decision"),"Precautionary pause: Outcome must be Paused, pending decision",IF(AND(E197="Precautionary pause (containment)",V197=""),"Precautionary pause: AIG-OPS-03 incident ref missing",IF(AND(E197="Precautionary pause (containment)",NOT(ISNUMBER(W197))),"Precautionary pause: follow-up decision due date missing",IF(AND(G197="Paused — pending decision",E197&lt;&gt;"Precautionary pause (containment)"),"Paused, pending decision is only for a Precautionary pause event",IF(AND(E197="Decision",OR(G197="",H197="",I197="")),"Outcome / delegation / decision ref missing",IF(AND(E197="Decision",NOT(OR(G197="Progress",G197="Progress with condition",G197="Return for evidence",G197="Pause",G197="Stop",G197="Suspend",G197="Decommission",G197="Re-authorise",G197="Resume"))),"Decision event needs a decision outcome",IF(AND(E197="Priority override",OR(H197="",I197="")),"Decision-maker / AIG-DEC-03 ref missing",IF(AND(E197="Priority override",G197&lt;&gt;"",G197&lt;&gt;"No decision"),"Priority override: Outcome blank or No decision",IF(AND(E197&lt;&gt;"Decision",OR(G197="Progress",G197="Progress with condition",G197="Return for evidence",G197="Pause",G197="Stop",G197="Suspend",G197="Decommission",G197="Re-authorise",G197="Resume")),"Outcome implies decision",IF(OR(ISNUMBER(SEARCH(",",O197)),ISNUMBER(SEARCH(";",O197))),"One UC-ID per event row — split this event",IF(AND(E197="Decision",OR(Q197="UC-ID REQUIRED",Q197="Decision scope missing",Q197="REMOVE UC-ID OR CORRECT SCOPE")),"Decision scope missing",IF(AND(G197="Progress with condition",COUNTIF(Conditions!$B$4:$B$553,A197)=0),"Progress with condition needs at least one Conditions row",IF(AND(C197&lt;&gt;"",COUNTIFS('Gate plan'!$A$4:$A$353,C197,'Gate plan'!$C$4:$C$353,D197)=0),"Plan gate differs from event gate",IF(AND(C197&lt;&gt;"",O197&lt;&gt;"",COUNTIFS('Gate plan'!$A$4:$A$353,C197,'Gate plan'!$K$4:$K$353,"&lt;&gt;")&gt;0,COUNTIFS('Gate plan'!$A$4:$A$353,C197,'Gate plan'!$K$4:$K$353,O197)=0),"Plan UC-ID differs from event UC-ID",IF(AND(E197="Assurance opinion",J197=""),"Assurance opinion ref missing",IF(AND(G197="Opinion only",E197&lt;&gt;"Assurance opinion",E197&lt;&gt;"Review only"),"Opinion only is for Assurance opinion or Review only events",IF(AND(G197="No decision",E197&lt;&gt;"Review only",E197&lt;&gt;"Priority override",E197&lt;&gt;"Intake / registration"),"No decision is for Review only, Priority override or Intake / registration events",IF(OR(ISNUMBER(SEARCH(" ",TRIM(O197))),ISNUMBER(SEARCH("/",O197))),"One UC-ID per event row: split this event",IF(AND(E197="Precautionary pause (containment)",ISNUMBER(W197),ISNUMBER(F197),W197&lt;F197),"Follow-up decision due date is before the pause",IF(AND(G197="Resume",IFERROR(LOOKUP(2,1/(($B$3:B196=B197)*($O$3:O196=O197)),$G$3:G196),"")&lt;&gt;"Paused — pending decision"),"Resume is only for the event straight after a Precautionary pause on the same AIR-ID and UC-ID (in an earlier row)",IF(AND(E197="Decision",OR(G197="Progress",G197="Progress with condition",G197="Re-authorise",G197="Resume"),X197&lt;&gt;"Yes"),"Decision-maker has not confirmed the screening was considered (column X)","Check against source")))))))))))))))))))))))))))))</f>
        <v/>
      </c>
      <c r="O197" s="37" t="n"/>
      <c r="P197" s="37" t="n"/>
      <c r="Q197" s="14">
        <f>IF(A197="","",IF(E197&lt;&gt;"Decision","",IF(P197="UC-ID specific",IF(O197="","UC-ID REQUIRED","Check source decision for each UC-ID"),IF(P197="Shared system baseline",IF(O197&lt;&gt;"","REMOVE UC-ID OR CORRECT SCOPE","Baseline only — NOT UC approval"),"Decision scope missing"))))</f>
        <v/>
      </c>
      <c r="R197" s="43" t="n"/>
      <c r="S197" s="40" t="n"/>
      <c r="T197" s="40" t="n"/>
      <c r="U197" s="40" t="n"/>
      <c r="V197" s="40" t="n"/>
      <c r="W197" s="41" t="n"/>
      <c r="X197" s="38" t="n"/>
    </row>
    <row r="198">
      <c r="A198" s="38" t="n"/>
      <c r="B198" s="38" t="n"/>
      <c r="C198" s="38" t="n"/>
      <c r="D198" s="38" t="n"/>
      <c r="E198" s="38" t="n"/>
      <c r="F198" s="39" t="n"/>
      <c r="G198" s="38" t="n"/>
      <c r="H198" s="38" t="n"/>
      <c r="I198" s="38" t="n"/>
      <c r="J198" s="38" t="n"/>
      <c r="K198" s="38" t="n"/>
      <c r="L198" s="38" t="n"/>
      <c r="M198" s="38" t="n"/>
      <c r="N198" s="22">
        <f>IF(COUNTA(A198:M198,O198:P198,R198:X198)=0,"",IF(OR(A198="",B198="",F198=""),"Event ID, AIR-ID or date missing",IF(COUNTIF($A$4:$A$553,A198)&gt;1,"Duplicate Event ID",IF(E198="","Event type missing",IF(OR(NOT(ISNUMBER(F198)),F198&gt;TODAY()),"Date is not a real date or is in the future",IF(AND(C198&lt;&gt;"",COUNTIF('Gate plan'!$A$4:$A$353,C198)=0),"Plan ID not found in Gate plan",IF(AND(C198&lt;&gt;"",COUNTIFS('Gate plan'!$A$4:$A$353,C198,'Gate plan'!$B$4:$B$353,B198)=0),"Plan AIR-ID differs from event",IF(D198="","Gate / forum missing",IF(AND(E198="Precautionary pause (containment)",G198&lt;&gt;"Paused — pending decision"),"Precautionary pause: Outcome must be Paused, pending decision",IF(AND(E198="Precautionary pause (containment)",V198=""),"Precautionary pause: AIG-OPS-03 incident ref missing",IF(AND(E198="Precautionary pause (containment)",NOT(ISNUMBER(W198))),"Precautionary pause: follow-up decision due date missing",IF(AND(G198="Paused — pending decision",E198&lt;&gt;"Precautionary pause (containment)"),"Paused, pending decision is only for a Precautionary pause event",IF(AND(E198="Decision",OR(G198="",H198="",I198="")),"Outcome / delegation / decision ref missing",IF(AND(E198="Decision",NOT(OR(G198="Progress",G198="Progress with condition",G198="Return for evidence",G198="Pause",G198="Stop",G198="Suspend",G198="Decommission",G198="Re-authorise",G198="Resume"))),"Decision event needs a decision outcome",IF(AND(E198="Priority override",OR(H198="",I198="")),"Decision-maker / AIG-DEC-03 ref missing",IF(AND(E198="Priority override",G198&lt;&gt;"",G198&lt;&gt;"No decision"),"Priority override: Outcome blank or No decision",IF(AND(E198&lt;&gt;"Decision",OR(G198="Progress",G198="Progress with condition",G198="Return for evidence",G198="Pause",G198="Stop",G198="Suspend",G198="Decommission",G198="Re-authorise",G198="Resume")),"Outcome implies decision",IF(OR(ISNUMBER(SEARCH(",",O198)),ISNUMBER(SEARCH(";",O198))),"One UC-ID per event row — split this event",IF(AND(E198="Decision",OR(Q198="UC-ID REQUIRED",Q198="Decision scope missing",Q198="REMOVE UC-ID OR CORRECT SCOPE")),"Decision scope missing",IF(AND(G198="Progress with condition",COUNTIF(Conditions!$B$4:$B$553,A198)=0),"Progress with condition needs at least one Conditions row",IF(AND(C198&lt;&gt;"",COUNTIFS('Gate plan'!$A$4:$A$353,C198,'Gate plan'!$C$4:$C$353,D198)=0),"Plan gate differs from event gate",IF(AND(C198&lt;&gt;"",O198&lt;&gt;"",COUNTIFS('Gate plan'!$A$4:$A$353,C198,'Gate plan'!$K$4:$K$353,"&lt;&gt;")&gt;0,COUNTIFS('Gate plan'!$A$4:$A$353,C198,'Gate plan'!$K$4:$K$353,O198)=0),"Plan UC-ID differs from event UC-ID",IF(AND(E198="Assurance opinion",J198=""),"Assurance opinion ref missing",IF(AND(G198="Opinion only",E198&lt;&gt;"Assurance opinion",E198&lt;&gt;"Review only"),"Opinion only is for Assurance opinion or Review only events",IF(AND(G198="No decision",E198&lt;&gt;"Review only",E198&lt;&gt;"Priority override",E198&lt;&gt;"Intake / registration"),"No decision is for Review only, Priority override or Intake / registration events",IF(OR(ISNUMBER(SEARCH(" ",TRIM(O198))),ISNUMBER(SEARCH("/",O198))),"One UC-ID per event row: split this event",IF(AND(E198="Precautionary pause (containment)",ISNUMBER(W198),ISNUMBER(F198),W198&lt;F198),"Follow-up decision due date is before the pause",IF(AND(G198="Resume",IFERROR(LOOKUP(2,1/(($B$3:B197=B198)*($O$3:O197=O198)),$G$3:G197),"")&lt;&gt;"Paused — pending decision"),"Resume is only for the event straight after a Precautionary pause on the same AIR-ID and UC-ID (in an earlier row)",IF(AND(E198="Decision",OR(G198="Progress",G198="Progress with condition",G198="Re-authorise",G198="Resume"),X198&lt;&gt;"Yes"),"Decision-maker has not confirmed the screening was considered (column X)","Check against source")))))))))))))))))))))))))))))</f>
        <v/>
      </c>
      <c r="O198" s="37" t="n"/>
      <c r="P198" s="37" t="n"/>
      <c r="Q198" s="14">
        <f>IF(A198="","",IF(E198&lt;&gt;"Decision","",IF(P198="UC-ID specific",IF(O198="","UC-ID REQUIRED","Check source decision for each UC-ID"),IF(P198="Shared system baseline",IF(O198&lt;&gt;"","REMOVE UC-ID OR CORRECT SCOPE","Baseline only — NOT UC approval"),"Decision scope missing"))))</f>
        <v/>
      </c>
      <c r="R198" s="42" t="n"/>
      <c r="S198" s="38" t="n"/>
      <c r="T198" s="38" t="n"/>
      <c r="U198" s="38" t="n"/>
      <c r="V198" s="38" t="n"/>
      <c r="W198" s="39" t="n"/>
      <c r="X198" s="38" t="n"/>
    </row>
    <row r="199">
      <c r="A199" s="40" t="n"/>
      <c r="B199" s="40" t="n"/>
      <c r="C199" s="40" t="n"/>
      <c r="D199" s="40" t="n"/>
      <c r="E199" s="40" t="n"/>
      <c r="F199" s="41" t="n"/>
      <c r="G199" s="40" t="n"/>
      <c r="H199" s="40" t="n"/>
      <c r="I199" s="40" t="n"/>
      <c r="J199" s="40" t="n"/>
      <c r="K199" s="40" t="n"/>
      <c r="L199" s="40" t="n"/>
      <c r="M199" s="40" t="n"/>
      <c r="N199" s="24">
        <f>IF(COUNTA(A199:M199,O199:P199,R199:X199)=0,"",IF(OR(A199="",B199="",F199=""),"Event ID, AIR-ID or date missing",IF(COUNTIF($A$4:$A$553,A199)&gt;1,"Duplicate Event ID",IF(E199="","Event type missing",IF(OR(NOT(ISNUMBER(F199)),F199&gt;TODAY()),"Date is not a real date or is in the future",IF(AND(C199&lt;&gt;"",COUNTIF('Gate plan'!$A$4:$A$353,C199)=0),"Plan ID not found in Gate plan",IF(AND(C199&lt;&gt;"",COUNTIFS('Gate plan'!$A$4:$A$353,C199,'Gate plan'!$B$4:$B$353,B199)=0),"Plan AIR-ID differs from event",IF(D199="","Gate / forum missing",IF(AND(E199="Precautionary pause (containment)",G199&lt;&gt;"Paused — pending decision"),"Precautionary pause: Outcome must be Paused, pending decision",IF(AND(E199="Precautionary pause (containment)",V199=""),"Precautionary pause: AIG-OPS-03 incident ref missing",IF(AND(E199="Precautionary pause (containment)",NOT(ISNUMBER(W199))),"Precautionary pause: follow-up decision due date missing",IF(AND(G199="Paused — pending decision",E199&lt;&gt;"Precautionary pause (containment)"),"Paused, pending decision is only for a Precautionary pause event",IF(AND(E199="Decision",OR(G199="",H199="",I199="")),"Outcome / delegation / decision ref missing",IF(AND(E199="Decision",NOT(OR(G199="Progress",G199="Progress with condition",G199="Return for evidence",G199="Pause",G199="Stop",G199="Suspend",G199="Decommission",G199="Re-authorise",G199="Resume"))),"Decision event needs a decision outcome",IF(AND(E199="Priority override",OR(H199="",I199="")),"Decision-maker / AIG-DEC-03 ref missing",IF(AND(E199="Priority override",G199&lt;&gt;"",G199&lt;&gt;"No decision"),"Priority override: Outcome blank or No decision",IF(AND(E199&lt;&gt;"Decision",OR(G199="Progress",G199="Progress with condition",G199="Return for evidence",G199="Pause",G199="Stop",G199="Suspend",G199="Decommission",G199="Re-authorise",G199="Resume")),"Outcome implies decision",IF(OR(ISNUMBER(SEARCH(",",O199)),ISNUMBER(SEARCH(";",O199))),"One UC-ID per event row — split this event",IF(AND(E199="Decision",OR(Q199="UC-ID REQUIRED",Q199="Decision scope missing",Q199="REMOVE UC-ID OR CORRECT SCOPE")),"Decision scope missing",IF(AND(G199="Progress with condition",COUNTIF(Conditions!$B$4:$B$553,A199)=0),"Progress with condition needs at least one Conditions row",IF(AND(C199&lt;&gt;"",COUNTIFS('Gate plan'!$A$4:$A$353,C199,'Gate plan'!$C$4:$C$353,D199)=0),"Plan gate differs from event gate",IF(AND(C199&lt;&gt;"",O199&lt;&gt;"",COUNTIFS('Gate plan'!$A$4:$A$353,C199,'Gate plan'!$K$4:$K$353,"&lt;&gt;")&gt;0,COUNTIFS('Gate plan'!$A$4:$A$353,C199,'Gate plan'!$K$4:$K$353,O199)=0),"Plan UC-ID differs from event UC-ID",IF(AND(E199="Assurance opinion",J199=""),"Assurance opinion ref missing",IF(AND(G199="Opinion only",E199&lt;&gt;"Assurance opinion",E199&lt;&gt;"Review only"),"Opinion only is for Assurance opinion or Review only events",IF(AND(G199="No decision",E199&lt;&gt;"Review only",E199&lt;&gt;"Priority override",E199&lt;&gt;"Intake / registration"),"No decision is for Review only, Priority override or Intake / registration events",IF(OR(ISNUMBER(SEARCH(" ",TRIM(O199))),ISNUMBER(SEARCH("/",O199))),"One UC-ID per event row: split this event",IF(AND(E199="Precautionary pause (containment)",ISNUMBER(W199),ISNUMBER(F199),W199&lt;F199),"Follow-up decision due date is before the pause",IF(AND(G199="Resume",IFERROR(LOOKUP(2,1/(($B$3:B198=B199)*($O$3:O198=O199)),$G$3:G198),"")&lt;&gt;"Paused — pending decision"),"Resume is only for the event straight after a Precautionary pause on the same AIR-ID and UC-ID (in an earlier row)",IF(AND(E199="Decision",OR(G199="Progress",G199="Progress with condition",G199="Re-authorise",G199="Resume"),X199&lt;&gt;"Yes"),"Decision-maker has not confirmed the screening was considered (column X)","Check against source")))))))))))))))))))))))))))))</f>
        <v/>
      </c>
      <c r="O199" s="37" t="n"/>
      <c r="P199" s="37" t="n"/>
      <c r="Q199" s="14">
        <f>IF(A199="","",IF(E199&lt;&gt;"Decision","",IF(P199="UC-ID specific",IF(O199="","UC-ID REQUIRED","Check source decision for each UC-ID"),IF(P199="Shared system baseline",IF(O199&lt;&gt;"","REMOVE UC-ID OR CORRECT SCOPE","Baseline only — NOT UC approval"),"Decision scope missing"))))</f>
        <v/>
      </c>
      <c r="R199" s="43" t="n"/>
      <c r="S199" s="40" t="n"/>
      <c r="T199" s="40" t="n"/>
      <c r="U199" s="40" t="n"/>
      <c r="V199" s="40" t="n"/>
      <c r="W199" s="41" t="n"/>
      <c r="X199" s="38" t="n"/>
    </row>
    <row r="200">
      <c r="A200" s="38" t="n"/>
      <c r="B200" s="38" t="n"/>
      <c r="C200" s="38" t="n"/>
      <c r="D200" s="38" t="n"/>
      <c r="E200" s="38" t="n"/>
      <c r="F200" s="39" t="n"/>
      <c r="G200" s="38" t="n"/>
      <c r="H200" s="38" t="n"/>
      <c r="I200" s="38" t="n"/>
      <c r="J200" s="38" t="n"/>
      <c r="K200" s="38" t="n"/>
      <c r="L200" s="38" t="n"/>
      <c r="M200" s="38" t="n"/>
      <c r="N200" s="22">
        <f>IF(COUNTA(A200:M200,O200:P200,R200:X200)=0,"",IF(OR(A200="",B200="",F200=""),"Event ID, AIR-ID or date missing",IF(COUNTIF($A$4:$A$553,A200)&gt;1,"Duplicate Event ID",IF(E200="","Event type missing",IF(OR(NOT(ISNUMBER(F200)),F200&gt;TODAY()),"Date is not a real date or is in the future",IF(AND(C200&lt;&gt;"",COUNTIF('Gate plan'!$A$4:$A$353,C200)=0),"Plan ID not found in Gate plan",IF(AND(C200&lt;&gt;"",COUNTIFS('Gate plan'!$A$4:$A$353,C200,'Gate plan'!$B$4:$B$353,B200)=0),"Plan AIR-ID differs from event",IF(D200="","Gate / forum missing",IF(AND(E200="Precautionary pause (containment)",G200&lt;&gt;"Paused — pending decision"),"Precautionary pause: Outcome must be Paused, pending decision",IF(AND(E200="Precautionary pause (containment)",V200=""),"Precautionary pause: AIG-OPS-03 incident ref missing",IF(AND(E200="Precautionary pause (containment)",NOT(ISNUMBER(W200))),"Precautionary pause: follow-up decision due date missing",IF(AND(G200="Paused — pending decision",E200&lt;&gt;"Precautionary pause (containment)"),"Paused, pending decision is only for a Precautionary pause event",IF(AND(E200="Decision",OR(G200="",H200="",I200="")),"Outcome / delegation / decision ref missing",IF(AND(E200="Decision",NOT(OR(G200="Progress",G200="Progress with condition",G200="Return for evidence",G200="Pause",G200="Stop",G200="Suspend",G200="Decommission",G200="Re-authorise",G200="Resume"))),"Decision event needs a decision outcome",IF(AND(E200="Priority override",OR(H200="",I200="")),"Decision-maker / AIG-DEC-03 ref missing",IF(AND(E200="Priority override",G200&lt;&gt;"",G200&lt;&gt;"No decision"),"Priority override: Outcome blank or No decision",IF(AND(E200&lt;&gt;"Decision",OR(G200="Progress",G200="Progress with condition",G200="Return for evidence",G200="Pause",G200="Stop",G200="Suspend",G200="Decommission",G200="Re-authorise",G200="Resume")),"Outcome implies decision",IF(OR(ISNUMBER(SEARCH(",",O200)),ISNUMBER(SEARCH(";",O200))),"One UC-ID per event row — split this event",IF(AND(E200="Decision",OR(Q200="UC-ID REQUIRED",Q200="Decision scope missing",Q200="REMOVE UC-ID OR CORRECT SCOPE")),"Decision scope missing",IF(AND(G200="Progress with condition",COUNTIF(Conditions!$B$4:$B$553,A200)=0),"Progress with condition needs at least one Conditions row",IF(AND(C200&lt;&gt;"",COUNTIFS('Gate plan'!$A$4:$A$353,C200,'Gate plan'!$C$4:$C$353,D200)=0),"Plan gate differs from event gate",IF(AND(C200&lt;&gt;"",O200&lt;&gt;"",COUNTIFS('Gate plan'!$A$4:$A$353,C200,'Gate plan'!$K$4:$K$353,"&lt;&gt;")&gt;0,COUNTIFS('Gate plan'!$A$4:$A$353,C200,'Gate plan'!$K$4:$K$353,O200)=0),"Plan UC-ID differs from event UC-ID",IF(AND(E200="Assurance opinion",J200=""),"Assurance opinion ref missing",IF(AND(G200="Opinion only",E200&lt;&gt;"Assurance opinion",E200&lt;&gt;"Review only"),"Opinion only is for Assurance opinion or Review only events",IF(AND(G200="No decision",E200&lt;&gt;"Review only",E200&lt;&gt;"Priority override",E200&lt;&gt;"Intake / registration"),"No decision is for Review only, Priority override or Intake / registration events",IF(OR(ISNUMBER(SEARCH(" ",TRIM(O200))),ISNUMBER(SEARCH("/",O200))),"One UC-ID per event row: split this event",IF(AND(E200="Precautionary pause (containment)",ISNUMBER(W200),ISNUMBER(F200),W200&lt;F200),"Follow-up decision due date is before the pause",IF(AND(G200="Resume",IFERROR(LOOKUP(2,1/(($B$3:B199=B200)*($O$3:O199=O200)),$G$3:G199),"")&lt;&gt;"Paused — pending decision"),"Resume is only for the event straight after a Precautionary pause on the same AIR-ID and UC-ID (in an earlier row)",IF(AND(E200="Decision",OR(G200="Progress",G200="Progress with condition",G200="Re-authorise",G200="Resume"),X200&lt;&gt;"Yes"),"Decision-maker has not confirmed the screening was considered (column X)","Check against source")))))))))))))))))))))))))))))</f>
        <v/>
      </c>
      <c r="O200" s="37" t="n"/>
      <c r="P200" s="37" t="n"/>
      <c r="Q200" s="14">
        <f>IF(A200="","",IF(E200&lt;&gt;"Decision","",IF(P200="UC-ID specific",IF(O200="","UC-ID REQUIRED","Check source decision for each UC-ID"),IF(P200="Shared system baseline",IF(O200&lt;&gt;"","REMOVE UC-ID OR CORRECT SCOPE","Baseline only — NOT UC approval"),"Decision scope missing"))))</f>
        <v/>
      </c>
      <c r="R200" s="42" t="n"/>
      <c r="S200" s="38" t="n"/>
      <c r="T200" s="38" t="n"/>
      <c r="U200" s="38" t="n"/>
      <c r="V200" s="38" t="n"/>
      <c r="W200" s="39" t="n"/>
      <c r="X200" s="38" t="n"/>
    </row>
    <row r="201">
      <c r="A201" s="40" t="n"/>
      <c r="B201" s="40" t="n"/>
      <c r="C201" s="40" t="n"/>
      <c r="D201" s="40" t="n"/>
      <c r="E201" s="40" t="n"/>
      <c r="F201" s="41" t="n"/>
      <c r="G201" s="40" t="n"/>
      <c r="H201" s="40" t="n"/>
      <c r="I201" s="40" t="n"/>
      <c r="J201" s="40" t="n"/>
      <c r="K201" s="40" t="n"/>
      <c r="L201" s="40" t="n"/>
      <c r="M201" s="40" t="n"/>
      <c r="N201" s="24">
        <f>IF(COUNTA(A201:M201,O201:P201,R201:X201)=0,"",IF(OR(A201="",B201="",F201=""),"Event ID, AIR-ID or date missing",IF(COUNTIF($A$4:$A$553,A201)&gt;1,"Duplicate Event ID",IF(E201="","Event type missing",IF(OR(NOT(ISNUMBER(F201)),F201&gt;TODAY()),"Date is not a real date or is in the future",IF(AND(C201&lt;&gt;"",COUNTIF('Gate plan'!$A$4:$A$353,C201)=0),"Plan ID not found in Gate plan",IF(AND(C201&lt;&gt;"",COUNTIFS('Gate plan'!$A$4:$A$353,C201,'Gate plan'!$B$4:$B$353,B201)=0),"Plan AIR-ID differs from event",IF(D201="","Gate / forum missing",IF(AND(E201="Precautionary pause (containment)",G201&lt;&gt;"Paused — pending decision"),"Precautionary pause: Outcome must be Paused, pending decision",IF(AND(E201="Precautionary pause (containment)",V201=""),"Precautionary pause: AIG-OPS-03 incident ref missing",IF(AND(E201="Precautionary pause (containment)",NOT(ISNUMBER(W201))),"Precautionary pause: follow-up decision due date missing",IF(AND(G201="Paused — pending decision",E201&lt;&gt;"Precautionary pause (containment)"),"Paused, pending decision is only for a Precautionary pause event",IF(AND(E201="Decision",OR(G201="",H201="",I201="")),"Outcome / delegation / decision ref missing",IF(AND(E201="Decision",NOT(OR(G201="Progress",G201="Progress with condition",G201="Return for evidence",G201="Pause",G201="Stop",G201="Suspend",G201="Decommission",G201="Re-authorise",G201="Resume"))),"Decision event needs a decision outcome",IF(AND(E201="Priority override",OR(H201="",I201="")),"Decision-maker / AIG-DEC-03 ref missing",IF(AND(E201="Priority override",G201&lt;&gt;"",G201&lt;&gt;"No decision"),"Priority override: Outcome blank or No decision",IF(AND(E201&lt;&gt;"Decision",OR(G201="Progress",G201="Progress with condition",G201="Return for evidence",G201="Pause",G201="Stop",G201="Suspend",G201="Decommission",G201="Re-authorise",G201="Resume")),"Outcome implies decision",IF(OR(ISNUMBER(SEARCH(",",O201)),ISNUMBER(SEARCH(";",O201))),"One UC-ID per event row — split this event",IF(AND(E201="Decision",OR(Q201="UC-ID REQUIRED",Q201="Decision scope missing",Q201="REMOVE UC-ID OR CORRECT SCOPE")),"Decision scope missing",IF(AND(G201="Progress with condition",COUNTIF(Conditions!$B$4:$B$553,A201)=0),"Progress with condition needs at least one Conditions row",IF(AND(C201&lt;&gt;"",COUNTIFS('Gate plan'!$A$4:$A$353,C201,'Gate plan'!$C$4:$C$353,D201)=0),"Plan gate differs from event gate",IF(AND(C201&lt;&gt;"",O201&lt;&gt;"",COUNTIFS('Gate plan'!$A$4:$A$353,C201,'Gate plan'!$K$4:$K$353,"&lt;&gt;")&gt;0,COUNTIFS('Gate plan'!$A$4:$A$353,C201,'Gate plan'!$K$4:$K$353,O201)=0),"Plan UC-ID differs from event UC-ID",IF(AND(E201="Assurance opinion",J201=""),"Assurance opinion ref missing",IF(AND(G201="Opinion only",E201&lt;&gt;"Assurance opinion",E201&lt;&gt;"Review only"),"Opinion only is for Assurance opinion or Review only events",IF(AND(G201="No decision",E201&lt;&gt;"Review only",E201&lt;&gt;"Priority override",E201&lt;&gt;"Intake / registration"),"No decision is for Review only, Priority override or Intake / registration events",IF(OR(ISNUMBER(SEARCH(" ",TRIM(O201))),ISNUMBER(SEARCH("/",O201))),"One UC-ID per event row: split this event",IF(AND(E201="Precautionary pause (containment)",ISNUMBER(W201),ISNUMBER(F201),W201&lt;F201),"Follow-up decision due date is before the pause",IF(AND(G201="Resume",IFERROR(LOOKUP(2,1/(($B$3:B200=B201)*($O$3:O200=O201)),$G$3:G200),"")&lt;&gt;"Paused — pending decision"),"Resume is only for the event straight after a Precautionary pause on the same AIR-ID and UC-ID (in an earlier row)",IF(AND(E201="Decision",OR(G201="Progress",G201="Progress with condition",G201="Re-authorise",G201="Resume"),X201&lt;&gt;"Yes"),"Decision-maker has not confirmed the screening was considered (column X)","Check against source")))))))))))))))))))))))))))))</f>
        <v/>
      </c>
      <c r="O201" s="37" t="n"/>
      <c r="P201" s="37" t="n"/>
      <c r="Q201" s="14">
        <f>IF(A201="","",IF(E201&lt;&gt;"Decision","",IF(P201="UC-ID specific",IF(O201="","UC-ID REQUIRED","Check source decision for each UC-ID"),IF(P201="Shared system baseline",IF(O201&lt;&gt;"","REMOVE UC-ID OR CORRECT SCOPE","Baseline only — NOT UC approval"),"Decision scope missing"))))</f>
        <v/>
      </c>
      <c r="R201" s="43" t="n"/>
      <c r="S201" s="40" t="n"/>
      <c r="T201" s="40" t="n"/>
      <c r="U201" s="40" t="n"/>
      <c r="V201" s="40" t="n"/>
      <c r="W201" s="41" t="n"/>
      <c r="X201" s="38" t="n"/>
    </row>
    <row r="202">
      <c r="A202" s="38" t="n"/>
      <c r="B202" s="38" t="n"/>
      <c r="C202" s="38" t="n"/>
      <c r="D202" s="38" t="n"/>
      <c r="E202" s="38" t="n"/>
      <c r="F202" s="39" t="n"/>
      <c r="G202" s="38" t="n"/>
      <c r="H202" s="38" t="n"/>
      <c r="I202" s="38" t="n"/>
      <c r="J202" s="38" t="n"/>
      <c r="K202" s="38" t="n"/>
      <c r="L202" s="38" t="n"/>
      <c r="M202" s="38" t="n"/>
      <c r="N202" s="22">
        <f>IF(COUNTA(A202:M202,O202:P202,R202:X202)=0,"",IF(OR(A202="",B202="",F202=""),"Event ID, AIR-ID or date missing",IF(COUNTIF($A$4:$A$553,A202)&gt;1,"Duplicate Event ID",IF(E202="","Event type missing",IF(OR(NOT(ISNUMBER(F202)),F202&gt;TODAY()),"Date is not a real date or is in the future",IF(AND(C202&lt;&gt;"",COUNTIF('Gate plan'!$A$4:$A$353,C202)=0),"Plan ID not found in Gate plan",IF(AND(C202&lt;&gt;"",COUNTIFS('Gate plan'!$A$4:$A$353,C202,'Gate plan'!$B$4:$B$353,B202)=0),"Plan AIR-ID differs from event",IF(D202="","Gate / forum missing",IF(AND(E202="Precautionary pause (containment)",G202&lt;&gt;"Paused — pending decision"),"Precautionary pause: Outcome must be Paused, pending decision",IF(AND(E202="Precautionary pause (containment)",V202=""),"Precautionary pause: AIG-OPS-03 incident ref missing",IF(AND(E202="Precautionary pause (containment)",NOT(ISNUMBER(W202))),"Precautionary pause: follow-up decision due date missing",IF(AND(G202="Paused — pending decision",E202&lt;&gt;"Precautionary pause (containment)"),"Paused, pending decision is only for a Precautionary pause event",IF(AND(E202="Decision",OR(G202="",H202="",I202="")),"Outcome / delegation / decision ref missing",IF(AND(E202="Decision",NOT(OR(G202="Progress",G202="Progress with condition",G202="Return for evidence",G202="Pause",G202="Stop",G202="Suspend",G202="Decommission",G202="Re-authorise",G202="Resume"))),"Decision event needs a decision outcome",IF(AND(E202="Priority override",OR(H202="",I202="")),"Decision-maker / AIG-DEC-03 ref missing",IF(AND(E202="Priority override",G202&lt;&gt;"",G202&lt;&gt;"No decision"),"Priority override: Outcome blank or No decision",IF(AND(E202&lt;&gt;"Decision",OR(G202="Progress",G202="Progress with condition",G202="Return for evidence",G202="Pause",G202="Stop",G202="Suspend",G202="Decommission",G202="Re-authorise",G202="Resume")),"Outcome implies decision",IF(OR(ISNUMBER(SEARCH(",",O202)),ISNUMBER(SEARCH(";",O202))),"One UC-ID per event row — split this event",IF(AND(E202="Decision",OR(Q202="UC-ID REQUIRED",Q202="Decision scope missing",Q202="REMOVE UC-ID OR CORRECT SCOPE")),"Decision scope missing",IF(AND(G202="Progress with condition",COUNTIF(Conditions!$B$4:$B$553,A202)=0),"Progress with condition needs at least one Conditions row",IF(AND(C202&lt;&gt;"",COUNTIFS('Gate plan'!$A$4:$A$353,C202,'Gate plan'!$C$4:$C$353,D202)=0),"Plan gate differs from event gate",IF(AND(C202&lt;&gt;"",O202&lt;&gt;"",COUNTIFS('Gate plan'!$A$4:$A$353,C202,'Gate plan'!$K$4:$K$353,"&lt;&gt;")&gt;0,COUNTIFS('Gate plan'!$A$4:$A$353,C202,'Gate plan'!$K$4:$K$353,O202)=0),"Plan UC-ID differs from event UC-ID",IF(AND(E202="Assurance opinion",J202=""),"Assurance opinion ref missing",IF(AND(G202="Opinion only",E202&lt;&gt;"Assurance opinion",E202&lt;&gt;"Review only"),"Opinion only is for Assurance opinion or Review only events",IF(AND(G202="No decision",E202&lt;&gt;"Review only",E202&lt;&gt;"Priority override",E202&lt;&gt;"Intake / registration"),"No decision is for Review only, Priority override or Intake / registration events",IF(OR(ISNUMBER(SEARCH(" ",TRIM(O202))),ISNUMBER(SEARCH("/",O202))),"One UC-ID per event row: split this event",IF(AND(E202="Precautionary pause (containment)",ISNUMBER(W202),ISNUMBER(F202),W202&lt;F202),"Follow-up decision due date is before the pause",IF(AND(G202="Resume",IFERROR(LOOKUP(2,1/(($B$3:B201=B202)*($O$3:O201=O202)),$G$3:G201),"")&lt;&gt;"Paused — pending decision"),"Resume is only for the event straight after a Precautionary pause on the same AIR-ID and UC-ID (in an earlier row)",IF(AND(E202="Decision",OR(G202="Progress",G202="Progress with condition",G202="Re-authorise",G202="Resume"),X202&lt;&gt;"Yes"),"Decision-maker has not confirmed the screening was considered (column X)","Check against source")))))))))))))))))))))))))))))</f>
        <v/>
      </c>
      <c r="O202" s="37" t="n"/>
      <c r="P202" s="37" t="n"/>
      <c r="Q202" s="14">
        <f>IF(A202="","",IF(E202&lt;&gt;"Decision","",IF(P202="UC-ID specific",IF(O202="","UC-ID REQUIRED","Check source decision for each UC-ID"),IF(P202="Shared system baseline",IF(O202&lt;&gt;"","REMOVE UC-ID OR CORRECT SCOPE","Baseline only — NOT UC approval"),"Decision scope missing"))))</f>
        <v/>
      </c>
      <c r="R202" s="42" t="n"/>
      <c r="S202" s="38" t="n"/>
      <c r="T202" s="38" t="n"/>
      <c r="U202" s="38" t="n"/>
      <c r="V202" s="38" t="n"/>
      <c r="W202" s="39" t="n"/>
      <c r="X202" s="38" t="n"/>
    </row>
    <row r="203">
      <c r="A203" s="40" t="n"/>
      <c r="B203" s="40" t="n"/>
      <c r="C203" s="40" t="n"/>
      <c r="D203" s="40" t="n"/>
      <c r="E203" s="40" t="n"/>
      <c r="F203" s="41" t="n"/>
      <c r="G203" s="40" t="n"/>
      <c r="H203" s="40" t="n"/>
      <c r="I203" s="40" t="n"/>
      <c r="J203" s="40" t="n"/>
      <c r="K203" s="40" t="n"/>
      <c r="L203" s="40" t="n"/>
      <c r="M203" s="40" t="n"/>
      <c r="N203" s="24">
        <f>IF(COUNTA(A203:M203,O203:P203,R203:X203)=0,"",IF(OR(A203="",B203="",F203=""),"Event ID, AIR-ID or date missing",IF(COUNTIF($A$4:$A$553,A203)&gt;1,"Duplicate Event ID",IF(E203="","Event type missing",IF(OR(NOT(ISNUMBER(F203)),F203&gt;TODAY()),"Date is not a real date or is in the future",IF(AND(C203&lt;&gt;"",COUNTIF('Gate plan'!$A$4:$A$353,C203)=0),"Plan ID not found in Gate plan",IF(AND(C203&lt;&gt;"",COUNTIFS('Gate plan'!$A$4:$A$353,C203,'Gate plan'!$B$4:$B$353,B203)=0),"Plan AIR-ID differs from event",IF(D203="","Gate / forum missing",IF(AND(E203="Precautionary pause (containment)",G203&lt;&gt;"Paused — pending decision"),"Precautionary pause: Outcome must be Paused, pending decision",IF(AND(E203="Precautionary pause (containment)",V203=""),"Precautionary pause: AIG-OPS-03 incident ref missing",IF(AND(E203="Precautionary pause (containment)",NOT(ISNUMBER(W203))),"Precautionary pause: follow-up decision due date missing",IF(AND(G203="Paused — pending decision",E203&lt;&gt;"Precautionary pause (containment)"),"Paused, pending decision is only for a Precautionary pause event",IF(AND(E203="Decision",OR(G203="",H203="",I203="")),"Outcome / delegation / decision ref missing",IF(AND(E203="Decision",NOT(OR(G203="Progress",G203="Progress with condition",G203="Return for evidence",G203="Pause",G203="Stop",G203="Suspend",G203="Decommission",G203="Re-authorise",G203="Resume"))),"Decision event needs a decision outcome",IF(AND(E203="Priority override",OR(H203="",I203="")),"Decision-maker / AIG-DEC-03 ref missing",IF(AND(E203="Priority override",G203&lt;&gt;"",G203&lt;&gt;"No decision"),"Priority override: Outcome blank or No decision",IF(AND(E203&lt;&gt;"Decision",OR(G203="Progress",G203="Progress with condition",G203="Return for evidence",G203="Pause",G203="Stop",G203="Suspend",G203="Decommission",G203="Re-authorise",G203="Resume")),"Outcome implies decision",IF(OR(ISNUMBER(SEARCH(",",O203)),ISNUMBER(SEARCH(";",O203))),"One UC-ID per event row — split this event",IF(AND(E203="Decision",OR(Q203="UC-ID REQUIRED",Q203="Decision scope missing",Q203="REMOVE UC-ID OR CORRECT SCOPE")),"Decision scope missing",IF(AND(G203="Progress with condition",COUNTIF(Conditions!$B$4:$B$553,A203)=0),"Progress with condition needs at least one Conditions row",IF(AND(C203&lt;&gt;"",COUNTIFS('Gate plan'!$A$4:$A$353,C203,'Gate plan'!$C$4:$C$353,D203)=0),"Plan gate differs from event gate",IF(AND(C203&lt;&gt;"",O203&lt;&gt;"",COUNTIFS('Gate plan'!$A$4:$A$353,C203,'Gate plan'!$K$4:$K$353,"&lt;&gt;")&gt;0,COUNTIFS('Gate plan'!$A$4:$A$353,C203,'Gate plan'!$K$4:$K$353,O203)=0),"Plan UC-ID differs from event UC-ID",IF(AND(E203="Assurance opinion",J203=""),"Assurance opinion ref missing",IF(AND(G203="Opinion only",E203&lt;&gt;"Assurance opinion",E203&lt;&gt;"Review only"),"Opinion only is for Assurance opinion or Review only events",IF(AND(G203="No decision",E203&lt;&gt;"Review only",E203&lt;&gt;"Priority override",E203&lt;&gt;"Intake / registration"),"No decision is for Review only, Priority override or Intake / registration events",IF(OR(ISNUMBER(SEARCH(" ",TRIM(O203))),ISNUMBER(SEARCH("/",O203))),"One UC-ID per event row: split this event",IF(AND(E203="Precautionary pause (containment)",ISNUMBER(W203),ISNUMBER(F203),W203&lt;F203),"Follow-up decision due date is before the pause",IF(AND(G203="Resume",IFERROR(LOOKUP(2,1/(($B$3:B202=B203)*($O$3:O202=O203)),$G$3:G202),"")&lt;&gt;"Paused — pending decision"),"Resume is only for the event straight after a Precautionary pause on the same AIR-ID and UC-ID (in an earlier row)",IF(AND(E203="Decision",OR(G203="Progress",G203="Progress with condition",G203="Re-authorise",G203="Resume"),X203&lt;&gt;"Yes"),"Decision-maker has not confirmed the screening was considered (column X)","Check against source")))))))))))))))))))))))))))))</f>
        <v/>
      </c>
      <c r="O203" s="37" t="n"/>
      <c r="P203" s="37" t="n"/>
      <c r="Q203" s="14">
        <f>IF(A203="","",IF(E203&lt;&gt;"Decision","",IF(P203="UC-ID specific",IF(O203="","UC-ID REQUIRED","Check source decision for each UC-ID"),IF(P203="Shared system baseline",IF(O203&lt;&gt;"","REMOVE UC-ID OR CORRECT SCOPE","Baseline only — NOT UC approval"),"Decision scope missing"))))</f>
        <v/>
      </c>
      <c r="R203" s="43" t="n"/>
      <c r="S203" s="40" t="n"/>
      <c r="T203" s="40" t="n"/>
      <c r="U203" s="40" t="n"/>
      <c r="V203" s="40" t="n"/>
      <c r="W203" s="41" t="n"/>
      <c r="X203" s="38" t="n"/>
    </row>
    <row r="204">
      <c r="A204" s="38" t="n"/>
      <c r="B204" s="38" t="n"/>
      <c r="C204" s="38" t="n"/>
      <c r="D204" s="38" t="n"/>
      <c r="E204" s="38" t="n"/>
      <c r="F204" s="39" t="n"/>
      <c r="G204" s="38" t="n"/>
      <c r="H204" s="38" t="n"/>
      <c r="I204" s="38" t="n"/>
      <c r="J204" s="38" t="n"/>
      <c r="K204" s="38" t="n"/>
      <c r="L204" s="38" t="n"/>
      <c r="M204" s="38" t="n"/>
      <c r="N204" s="22">
        <f>IF(COUNTA(A204:M204,O204:P204,R204:X204)=0,"",IF(OR(A204="",B204="",F204=""),"Event ID, AIR-ID or date missing",IF(COUNTIF($A$4:$A$553,A204)&gt;1,"Duplicate Event ID",IF(E204="","Event type missing",IF(OR(NOT(ISNUMBER(F204)),F204&gt;TODAY()),"Date is not a real date or is in the future",IF(AND(C204&lt;&gt;"",COUNTIF('Gate plan'!$A$4:$A$353,C204)=0),"Plan ID not found in Gate plan",IF(AND(C204&lt;&gt;"",COUNTIFS('Gate plan'!$A$4:$A$353,C204,'Gate plan'!$B$4:$B$353,B204)=0),"Plan AIR-ID differs from event",IF(D204="","Gate / forum missing",IF(AND(E204="Precautionary pause (containment)",G204&lt;&gt;"Paused — pending decision"),"Precautionary pause: Outcome must be Paused, pending decision",IF(AND(E204="Precautionary pause (containment)",V204=""),"Precautionary pause: AIG-OPS-03 incident ref missing",IF(AND(E204="Precautionary pause (containment)",NOT(ISNUMBER(W204))),"Precautionary pause: follow-up decision due date missing",IF(AND(G204="Paused — pending decision",E204&lt;&gt;"Precautionary pause (containment)"),"Paused, pending decision is only for a Precautionary pause event",IF(AND(E204="Decision",OR(G204="",H204="",I204="")),"Outcome / delegation / decision ref missing",IF(AND(E204="Decision",NOT(OR(G204="Progress",G204="Progress with condition",G204="Return for evidence",G204="Pause",G204="Stop",G204="Suspend",G204="Decommission",G204="Re-authorise",G204="Resume"))),"Decision event needs a decision outcome",IF(AND(E204="Priority override",OR(H204="",I204="")),"Decision-maker / AIG-DEC-03 ref missing",IF(AND(E204="Priority override",G204&lt;&gt;"",G204&lt;&gt;"No decision"),"Priority override: Outcome blank or No decision",IF(AND(E204&lt;&gt;"Decision",OR(G204="Progress",G204="Progress with condition",G204="Return for evidence",G204="Pause",G204="Stop",G204="Suspend",G204="Decommission",G204="Re-authorise",G204="Resume")),"Outcome implies decision",IF(OR(ISNUMBER(SEARCH(",",O204)),ISNUMBER(SEARCH(";",O204))),"One UC-ID per event row — split this event",IF(AND(E204="Decision",OR(Q204="UC-ID REQUIRED",Q204="Decision scope missing",Q204="REMOVE UC-ID OR CORRECT SCOPE")),"Decision scope missing",IF(AND(G204="Progress with condition",COUNTIF(Conditions!$B$4:$B$553,A204)=0),"Progress with condition needs at least one Conditions row",IF(AND(C204&lt;&gt;"",COUNTIFS('Gate plan'!$A$4:$A$353,C204,'Gate plan'!$C$4:$C$353,D204)=0),"Plan gate differs from event gate",IF(AND(C204&lt;&gt;"",O204&lt;&gt;"",COUNTIFS('Gate plan'!$A$4:$A$353,C204,'Gate plan'!$K$4:$K$353,"&lt;&gt;")&gt;0,COUNTIFS('Gate plan'!$A$4:$A$353,C204,'Gate plan'!$K$4:$K$353,O204)=0),"Plan UC-ID differs from event UC-ID",IF(AND(E204="Assurance opinion",J204=""),"Assurance opinion ref missing",IF(AND(G204="Opinion only",E204&lt;&gt;"Assurance opinion",E204&lt;&gt;"Review only"),"Opinion only is for Assurance opinion or Review only events",IF(AND(G204="No decision",E204&lt;&gt;"Review only",E204&lt;&gt;"Priority override",E204&lt;&gt;"Intake / registration"),"No decision is for Review only, Priority override or Intake / registration events",IF(OR(ISNUMBER(SEARCH(" ",TRIM(O204))),ISNUMBER(SEARCH("/",O204))),"One UC-ID per event row: split this event",IF(AND(E204="Precautionary pause (containment)",ISNUMBER(W204),ISNUMBER(F204),W204&lt;F204),"Follow-up decision due date is before the pause",IF(AND(G204="Resume",IFERROR(LOOKUP(2,1/(($B$3:B203=B204)*($O$3:O203=O204)),$G$3:G203),"")&lt;&gt;"Paused — pending decision"),"Resume is only for the event straight after a Precautionary pause on the same AIR-ID and UC-ID (in an earlier row)",IF(AND(E204="Decision",OR(G204="Progress",G204="Progress with condition",G204="Re-authorise",G204="Resume"),X204&lt;&gt;"Yes"),"Decision-maker has not confirmed the screening was considered (column X)","Check against source")))))))))))))))))))))))))))))</f>
        <v/>
      </c>
      <c r="O204" s="37" t="n"/>
      <c r="P204" s="37" t="n"/>
      <c r="Q204" s="14">
        <f>IF(A204="","",IF(E204&lt;&gt;"Decision","",IF(P204="UC-ID specific",IF(O204="","UC-ID REQUIRED","Check source decision for each UC-ID"),IF(P204="Shared system baseline",IF(O204&lt;&gt;"","REMOVE UC-ID OR CORRECT SCOPE","Baseline only — NOT UC approval"),"Decision scope missing"))))</f>
        <v/>
      </c>
      <c r="R204" s="42" t="n"/>
      <c r="S204" s="38" t="n"/>
      <c r="T204" s="38" t="n"/>
      <c r="U204" s="38" t="n"/>
      <c r="V204" s="38" t="n"/>
      <c r="W204" s="39" t="n"/>
      <c r="X204" s="38" t="n"/>
    </row>
    <row r="205">
      <c r="A205" s="40" t="n"/>
      <c r="B205" s="40" t="n"/>
      <c r="C205" s="40" t="n"/>
      <c r="D205" s="40" t="n"/>
      <c r="E205" s="40" t="n"/>
      <c r="F205" s="41" t="n"/>
      <c r="G205" s="40" t="n"/>
      <c r="H205" s="40" t="n"/>
      <c r="I205" s="40" t="n"/>
      <c r="J205" s="40" t="n"/>
      <c r="K205" s="40" t="n"/>
      <c r="L205" s="40" t="n"/>
      <c r="M205" s="40" t="n"/>
      <c r="N205" s="24">
        <f>IF(COUNTA(A205:M205,O205:P205,R205:X205)=0,"",IF(OR(A205="",B205="",F205=""),"Event ID, AIR-ID or date missing",IF(COUNTIF($A$4:$A$553,A205)&gt;1,"Duplicate Event ID",IF(E205="","Event type missing",IF(OR(NOT(ISNUMBER(F205)),F205&gt;TODAY()),"Date is not a real date or is in the future",IF(AND(C205&lt;&gt;"",COUNTIF('Gate plan'!$A$4:$A$353,C205)=0),"Plan ID not found in Gate plan",IF(AND(C205&lt;&gt;"",COUNTIFS('Gate plan'!$A$4:$A$353,C205,'Gate plan'!$B$4:$B$353,B205)=0),"Plan AIR-ID differs from event",IF(D205="","Gate / forum missing",IF(AND(E205="Precautionary pause (containment)",G205&lt;&gt;"Paused — pending decision"),"Precautionary pause: Outcome must be Paused, pending decision",IF(AND(E205="Precautionary pause (containment)",V205=""),"Precautionary pause: AIG-OPS-03 incident ref missing",IF(AND(E205="Precautionary pause (containment)",NOT(ISNUMBER(W205))),"Precautionary pause: follow-up decision due date missing",IF(AND(G205="Paused — pending decision",E205&lt;&gt;"Precautionary pause (containment)"),"Paused, pending decision is only for a Precautionary pause event",IF(AND(E205="Decision",OR(G205="",H205="",I205="")),"Outcome / delegation / decision ref missing",IF(AND(E205="Decision",NOT(OR(G205="Progress",G205="Progress with condition",G205="Return for evidence",G205="Pause",G205="Stop",G205="Suspend",G205="Decommission",G205="Re-authorise",G205="Resume"))),"Decision event needs a decision outcome",IF(AND(E205="Priority override",OR(H205="",I205="")),"Decision-maker / AIG-DEC-03 ref missing",IF(AND(E205="Priority override",G205&lt;&gt;"",G205&lt;&gt;"No decision"),"Priority override: Outcome blank or No decision",IF(AND(E205&lt;&gt;"Decision",OR(G205="Progress",G205="Progress with condition",G205="Return for evidence",G205="Pause",G205="Stop",G205="Suspend",G205="Decommission",G205="Re-authorise",G205="Resume")),"Outcome implies decision",IF(OR(ISNUMBER(SEARCH(",",O205)),ISNUMBER(SEARCH(";",O205))),"One UC-ID per event row — split this event",IF(AND(E205="Decision",OR(Q205="UC-ID REQUIRED",Q205="Decision scope missing",Q205="REMOVE UC-ID OR CORRECT SCOPE")),"Decision scope missing",IF(AND(G205="Progress with condition",COUNTIF(Conditions!$B$4:$B$553,A205)=0),"Progress with condition needs at least one Conditions row",IF(AND(C205&lt;&gt;"",COUNTIFS('Gate plan'!$A$4:$A$353,C205,'Gate plan'!$C$4:$C$353,D205)=0),"Plan gate differs from event gate",IF(AND(C205&lt;&gt;"",O205&lt;&gt;"",COUNTIFS('Gate plan'!$A$4:$A$353,C205,'Gate plan'!$K$4:$K$353,"&lt;&gt;")&gt;0,COUNTIFS('Gate plan'!$A$4:$A$353,C205,'Gate plan'!$K$4:$K$353,O205)=0),"Plan UC-ID differs from event UC-ID",IF(AND(E205="Assurance opinion",J205=""),"Assurance opinion ref missing",IF(AND(G205="Opinion only",E205&lt;&gt;"Assurance opinion",E205&lt;&gt;"Review only"),"Opinion only is for Assurance opinion or Review only events",IF(AND(G205="No decision",E205&lt;&gt;"Review only",E205&lt;&gt;"Priority override",E205&lt;&gt;"Intake / registration"),"No decision is for Review only, Priority override or Intake / registration events",IF(OR(ISNUMBER(SEARCH(" ",TRIM(O205))),ISNUMBER(SEARCH("/",O205))),"One UC-ID per event row: split this event",IF(AND(E205="Precautionary pause (containment)",ISNUMBER(W205),ISNUMBER(F205),W205&lt;F205),"Follow-up decision due date is before the pause",IF(AND(G205="Resume",IFERROR(LOOKUP(2,1/(($B$3:B204=B205)*($O$3:O204=O205)),$G$3:G204),"")&lt;&gt;"Paused — pending decision"),"Resume is only for the event straight after a Precautionary pause on the same AIR-ID and UC-ID (in an earlier row)",IF(AND(E205="Decision",OR(G205="Progress",G205="Progress with condition",G205="Re-authorise",G205="Resume"),X205&lt;&gt;"Yes"),"Decision-maker has not confirmed the screening was considered (column X)","Check against source")))))))))))))))))))))))))))))</f>
        <v/>
      </c>
      <c r="O205" s="37" t="n"/>
      <c r="P205" s="37" t="n"/>
      <c r="Q205" s="14">
        <f>IF(A205="","",IF(E205&lt;&gt;"Decision","",IF(P205="UC-ID specific",IF(O205="","UC-ID REQUIRED","Check source decision for each UC-ID"),IF(P205="Shared system baseline",IF(O205&lt;&gt;"","REMOVE UC-ID OR CORRECT SCOPE","Baseline only — NOT UC approval"),"Decision scope missing"))))</f>
        <v/>
      </c>
      <c r="R205" s="43" t="n"/>
      <c r="S205" s="40" t="n"/>
      <c r="T205" s="40" t="n"/>
      <c r="U205" s="40" t="n"/>
      <c r="V205" s="40" t="n"/>
      <c r="W205" s="41" t="n"/>
      <c r="X205" s="38" t="n"/>
    </row>
    <row r="206">
      <c r="A206" s="38" t="n"/>
      <c r="B206" s="38" t="n"/>
      <c r="C206" s="38" t="n"/>
      <c r="D206" s="38" t="n"/>
      <c r="E206" s="38" t="n"/>
      <c r="F206" s="39" t="n"/>
      <c r="G206" s="38" t="n"/>
      <c r="H206" s="38" t="n"/>
      <c r="I206" s="38" t="n"/>
      <c r="J206" s="38" t="n"/>
      <c r="K206" s="38" t="n"/>
      <c r="L206" s="38" t="n"/>
      <c r="M206" s="38" t="n"/>
      <c r="N206" s="22">
        <f>IF(COUNTA(A206:M206,O206:P206,R206:X206)=0,"",IF(OR(A206="",B206="",F206=""),"Event ID, AIR-ID or date missing",IF(COUNTIF($A$4:$A$553,A206)&gt;1,"Duplicate Event ID",IF(E206="","Event type missing",IF(OR(NOT(ISNUMBER(F206)),F206&gt;TODAY()),"Date is not a real date or is in the future",IF(AND(C206&lt;&gt;"",COUNTIF('Gate plan'!$A$4:$A$353,C206)=0),"Plan ID not found in Gate plan",IF(AND(C206&lt;&gt;"",COUNTIFS('Gate plan'!$A$4:$A$353,C206,'Gate plan'!$B$4:$B$353,B206)=0),"Plan AIR-ID differs from event",IF(D206="","Gate / forum missing",IF(AND(E206="Precautionary pause (containment)",G206&lt;&gt;"Paused — pending decision"),"Precautionary pause: Outcome must be Paused, pending decision",IF(AND(E206="Precautionary pause (containment)",V206=""),"Precautionary pause: AIG-OPS-03 incident ref missing",IF(AND(E206="Precautionary pause (containment)",NOT(ISNUMBER(W206))),"Precautionary pause: follow-up decision due date missing",IF(AND(G206="Paused — pending decision",E206&lt;&gt;"Precautionary pause (containment)"),"Paused, pending decision is only for a Precautionary pause event",IF(AND(E206="Decision",OR(G206="",H206="",I206="")),"Outcome / delegation / decision ref missing",IF(AND(E206="Decision",NOT(OR(G206="Progress",G206="Progress with condition",G206="Return for evidence",G206="Pause",G206="Stop",G206="Suspend",G206="Decommission",G206="Re-authorise",G206="Resume"))),"Decision event needs a decision outcome",IF(AND(E206="Priority override",OR(H206="",I206="")),"Decision-maker / AIG-DEC-03 ref missing",IF(AND(E206="Priority override",G206&lt;&gt;"",G206&lt;&gt;"No decision"),"Priority override: Outcome blank or No decision",IF(AND(E206&lt;&gt;"Decision",OR(G206="Progress",G206="Progress with condition",G206="Return for evidence",G206="Pause",G206="Stop",G206="Suspend",G206="Decommission",G206="Re-authorise",G206="Resume")),"Outcome implies decision",IF(OR(ISNUMBER(SEARCH(",",O206)),ISNUMBER(SEARCH(";",O206))),"One UC-ID per event row — split this event",IF(AND(E206="Decision",OR(Q206="UC-ID REQUIRED",Q206="Decision scope missing",Q206="REMOVE UC-ID OR CORRECT SCOPE")),"Decision scope missing",IF(AND(G206="Progress with condition",COUNTIF(Conditions!$B$4:$B$553,A206)=0),"Progress with condition needs at least one Conditions row",IF(AND(C206&lt;&gt;"",COUNTIFS('Gate plan'!$A$4:$A$353,C206,'Gate plan'!$C$4:$C$353,D206)=0),"Plan gate differs from event gate",IF(AND(C206&lt;&gt;"",O206&lt;&gt;"",COUNTIFS('Gate plan'!$A$4:$A$353,C206,'Gate plan'!$K$4:$K$353,"&lt;&gt;")&gt;0,COUNTIFS('Gate plan'!$A$4:$A$353,C206,'Gate plan'!$K$4:$K$353,O206)=0),"Plan UC-ID differs from event UC-ID",IF(AND(E206="Assurance opinion",J206=""),"Assurance opinion ref missing",IF(AND(G206="Opinion only",E206&lt;&gt;"Assurance opinion",E206&lt;&gt;"Review only"),"Opinion only is for Assurance opinion or Review only events",IF(AND(G206="No decision",E206&lt;&gt;"Review only",E206&lt;&gt;"Priority override",E206&lt;&gt;"Intake / registration"),"No decision is for Review only, Priority override or Intake / registration events",IF(OR(ISNUMBER(SEARCH(" ",TRIM(O206))),ISNUMBER(SEARCH("/",O206))),"One UC-ID per event row: split this event",IF(AND(E206="Precautionary pause (containment)",ISNUMBER(W206),ISNUMBER(F206),W206&lt;F206),"Follow-up decision due date is before the pause",IF(AND(G206="Resume",IFERROR(LOOKUP(2,1/(($B$3:B205=B206)*($O$3:O205=O206)),$G$3:G205),"")&lt;&gt;"Paused — pending decision"),"Resume is only for the event straight after a Precautionary pause on the same AIR-ID and UC-ID (in an earlier row)",IF(AND(E206="Decision",OR(G206="Progress",G206="Progress with condition",G206="Re-authorise",G206="Resume"),X206&lt;&gt;"Yes"),"Decision-maker has not confirmed the screening was considered (column X)","Check against source")))))))))))))))))))))))))))))</f>
        <v/>
      </c>
      <c r="O206" s="37" t="n"/>
      <c r="P206" s="37" t="n"/>
      <c r="Q206" s="14">
        <f>IF(A206="","",IF(E206&lt;&gt;"Decision","",IF(P206="UC-ID specific",IF(O206="","UC-ID REQUIRED","Check source decision for each UC-ID"),IF(P206="Shared system baseline",IF(O206&lt;&gt;"","REMOVE UC-ID OR CORRECT SCOPE","Baseline only — NOT UC approval"),"Decision scope missing"))))</f>
        <v/>
      </c>
      <c r="R206" s="42" t="n"/>
      <c r="S206" s="38" t="n"/>
      <c r="T206" s="38" t="n"/>
      <c r="U206" s="38" t="n"/>
      <c r="V206" s="38" t="n"/>
      <c r="W206" s="39" t="n"/>
      <c r="X206" s="38" t="n"/>
    </row>
    <row r="207">
      <c r="A207" s="40" t="n"/>
      <c r="B207" s="40" t="n"/>
      <c r="C207" s="40" t="n"/>
      <c r="D207" s="40" t="n"/>
      <c r="E207" s="40" t="n"/>
      <c r="F207" s="41" t="n"/>
      <c r="G207" s="40" t="n"/>
      <c r="H207" s="40" t="n"/>
      <c r="I207" s="40" t="n"/>
      <c r="J207" s="40" t="n"/>
      <c r="K207" s="40" t="n"/>
      <c r="L207" s="40" t="n"/>
      <c r="M207" s="40" t="n"/>
      <c r="N207" s="24">
        <f>IF(COUNTA(A207:M207,O207:P207,R207:X207)=0,"",IF(OR(A207="",B207="",F207=""),"Event ID, AIR-ID or date missing",IF(COUNTIF($A$4:$A$553,A207)&gt;1,"Duplicate Event ID",IF(E207="","Event type missing",IF(OR(NOT(ISNUMBER(F207)),F207&gt;TODAY()),"Date is not a real date or is in the future",IF(AND(C207&lt;&gt;"",COUNTIF('Gate plan'!$A$4:$A$353,C207)=0),"Plan ID not found in Gate plan",IF(AND(C207&lt;&gt;"",COUNTIFS('Gate plan'!$A$4:$A$353,C207,'Gate plan'!$B$4:$B$353,B207)=0),"Plan AIR-ID differs from event",IF(D207="","Gate / forum missing",IF(AND(E207="Precautionary pause (containment)",G207&lt;&gt;"Paused — pending decision"),"Precautionary pause: Outcome must be Paused, pending decision",IF(AND(E207="Precautionary pause (containment)",V207=""),"Precautionary pause: AIG-OPS-03 incident ref missing",IF(AND(E207="Precautionary pause (containment)",NOT(ISNUMBER(W207))),"Precautionary pause: follow-up decision due date missing",IF(AND(G207="Paused — pending decision",E207&lt;&gt;"Precautionary pause (containment)"),"Paused, pending decision is only for a Precautionary pause event",IF(AND(E207="Decision",OR(G207="",H207="",I207="")),"Outcome / delegation / decision ref missing",IF(AND(E207="Decision",NOT(OR(G207="Progress",G207="Progress with condition",G207="Return for evidence",G207="Pause",G207="Stop",G207="Suspend",G207="Decommission",G207="Re-authorise",G207="Resume"))),"Decision event needs a decision outcome",IF(AND(E207="Priority override",OR(H207="",I207="")),"Decision-maker / AIG-DEC-03 ref missing",IF(AND(E207="Priority override",G207&lt;&gt;"",G207&lt;&gt;"No decision"),"Priority override: Outcome blank or No decision",IF(AND(E207&lt;&gt;"Decision",OR(G207="Progress",G207="Progress with condition",G207="Return for evidence",G207="Pause",G207="Stop",G207="Suspend",G207="Decommission",G207="Re-authorise",G207="Resume")),"Outcome implies decision",IF(OR(ISNUMBER(SEARCH(",",O207)),ISNUMBER(SEARCH(";",O207))),"One UC-ID per event row — split this event",IF(AND(E207="Decision",OR(Q207="UC-ID REQUIRED",Q207="Decision scope missing",Q207="REMOVE UC-ID OR CORRECT SCOPE")),"Decision scope missing",IF(AND(G207="Progress with condition",COUNTIF(Conditions!$B$4:$B$553,A207)=0),"Progress with condition needs at least one Conditions row",IF(AND(C207&lt;&gt;"",COUNTIFS('Gate plan'!$A$4:$A$353,C207,'Gate plan'!$C$4:$C$353,D207)=0),"Plan gate differs from event gate",IF(AND(C207&lt;&gt;"",O207&lt;&gt;"",COUNTIFS('Gate plan'!$A$4:$A$353,C207,'Gate plan'!$K$4:$K$353,"&lt;&gt;")&gt;0,COUNTIFS('Gate plan'!$A$4:$A$353,C207,'Gate plan'!$K$4:$K$353,O207)=0),"Plan UC-ID differs from event UC-ID",IF(AND(E207="Assurance opinion",J207=""),"Assurance opinion ref missing",IF(AND(G207="Opinion only",E207&lt;&gt;"Assurance opinion",E207&lt;&gt;"Review only"),"Opinion only is for Assurance opinion or Review only events",IF(AND(G207="No decision",E207&lt;&gt;"Review only",E207&lt;&gt;"Priority override",E207&lt;&gt;"Intake / registration"),"No decision is for Review only, Priority override or Intake / registration events",IF(OR(ISNUMBER(SEARCH(" ",TRIM(O207))),ISNUMBER(SEARCH("/",O207))),"One UC-ID per event row: split this event",IF(AND(E207="Precautionary pause (containment)",ISNUMBER(W207),ISNUMBER(F207),W207&lt;F207),"Follow-up decision due date is before the pause",IF(AND(G207="Resume",IFERROR(LOOKUP(2,1/(($B$3:B206=B207)*($O$3:O206=O207)),$G$3:G206),"")&lt;&gt;"Paused — pending decision"),"Resume is only for the event straight after a Precautionary pause on the same AIR-ID and UC-ID (in an earlier row)",IF(AND(E207="Decision",OR(G207="Progress",G207="Progress with condition",G207="Re-authorise",G207="Resume"),X207&lt;&gt;"Yes"),"Decision-maker has not confirmed the screening was considered (column X)","Check against source")))))))))))))))))))))))))))))</f>
        <v/>
      </c>
      <c r="O207" s="37" t="n"/>
      <c r="P207" s="37" t="n"/>
      <c r="Q207" s="14">
        <f>IF(A207="","",IF(E207&lt;&gt;"Decision","",IF(P207="UC-ID specific",IF(O207="","UC-ID REQUIRED","Check source decision for each UC-ID"),IF(P207="Shared system baseline",IF(O207&lt;&gt;"","REMOVE UC-ID OR CORRECT SCOPE","Baseline only — NOT UC approval"),"Decision scope missing"))))</f>
        <v/>
      </c>
      <c r="R207" s="43" t="n"/>
      <c r="S207" s="40" t="n"/>
      <c r="T207" s="40" t="n"/>
      <c r="U207" s="40" t="n"/>
      <c r="V207" s="40" t="n"/>
      <c r="W207" s="41" t="n"/>
      <c r="X207" s="38" t="n"/>
    </row>
    <row r="208">
      <c r="A208" s="38" t="n"/>
      <c r="B208" s="38" t="n"/>
      <c r="C208" s="38" t="n"/>
      <c r="D208" s="38" t="n"/>
      <c r="E208" s="38" t="n"/>
      <c r="F208" s="39" t="n"/>
      <c r="G208" s="38" t="n"/>
      <c r="H208" s="38" t="n"/>
      <c r="I208" s="38" t="n"/>
      <c r="J208" s="38" t="n"/>
      <c r="K208" s="38" t="n"/>
      <c r="L208" s="38" t="n"/>
      <c r="M208" s="38" t="n"/>
      <c r="N208" s="22">
        <f>IF(COUNTA(A208:M208,O208:P208,R208:X208)=0,"",IF(OR(A208="",B208="",F208=""),"Event ID, AIR-ID or date missing",IF(COUNTIF($A$4:$A$553,A208)&gt;1,"Duplicate Event ID",IF(E208="","Event type missing",IF(OR(NOT(ISNUMBER(F208)),F208&gt;TODAY()),"Date is not a real date or is in the future",IF(AND(C208&lt;&gt;"",COUNTIF('Gate plan'!$A$4:$A$353,C208)=0),"Plan ID not found in Gate plan",IF(AND(C208&lt;&gt;"",COUNTIFS('Gate plan'!$A$4:$A$353,C208,'Gate plan'!$B$4:$B$353,B208)=0),"Plan AIR-ID differs from event",IF(D208="","Gate / forum missing",IF(AND(E208="Precautionary pause (containment)",G208&lt;&gt;"Paused — pending decision"),"Precautionary pause: Outcome must be Paused, pending decision",IF(AND(E208="Precautionary pause (containment)",V208=""),"Precautionary pause: AIG-OPS-03 incident ref missing",IF(AND(E208="Precautionary pause (containment)",NOT(ISNUMBER(W208))),"Precautionary pause: follow-up decision due date missing",IF(AND(G208="Paused — pending decision",E208&lt;&gt;"Precautionary pause (containment)"),"Paused, pending decision is only for a Precautionary pause event",IF(AND(E208="Decision",OR(G208="",H208="",I208="")),"Outcome / delegation / decision ref missing",IF(AND(E208="Decision",NOT(OR(G208="Progress",G208="Progress with condition",G208="Return for evidence",G208="Pause",G208="Stop",G208="Suspend",G208="Decommission",G208="Re-authorise",G208="Resume"))),"Decision event needs a decision outcome",IF(AND(E208="Priority override",OR(H208="",I208="")),"Decision-maker / AIG-DEC-03 ref missing",IF(AND(E208="Priority override",G208&lt;&gt;"",G208&lt;&gt;"No decision"),"Priority override: Outcome blank or No decision",IF(AND(E208&lt;&gt;"Decision",OR(G208="Progress",G208="Progress with condition",G208="Return for evidence",G208="Pause",G208="Stop",G208="Suspend",G208="Decommission",G208="Re-authorise",G208="Resume")),"Outcome implies decision",IF(OR(ISNUMBER(SEARCH(",",O208)),ISNUMBER(SEARCH(";",O208))),"One UC-ID per event row — split this event",IF(AND(E208="Decision",OR(Q208="UC-ID REQUIRED",Q208="Decision scope missing",Q208="REMOVE UC-ID OR CORRECT SCOPE")),"Decision scope missing",IF(AND(G208="Progress with condition",COUNTIF(Conditions!$B$4:$B$553,A208)=0),"Progress with condition needs at least one Conditions row",IF(AND(C208&lt;&gt;"",COUNTIFS('Gate plan'!$A$4:$A$353,C208,'Gate plan'!$C$4:$C$353,D208)=0),"Plan gate differs from event gate",IF(AND(C208&lt;&gt;"",O208&lt;&gt;"",COUNTIFS('Gate plan'!$A$4:$A$353,C208,'Gate plan'!$K$4:$K$353,"&lt;&gt;")&gt;0,COUNTIFS('Gate plan'!$A$4:$A$353,C208,'Gate plan'!$K$4:$K$353,O208)=0),"Plan UC-ID differs from event UC-ID",IF(AND(E208="Assurance opinion",J208=""),"Assurance opinion ref missing",IF(AND(G208="Opinion only",E208&lt;&gt;"Assurance opinion",E208&lt;&gt;"Review only"),"Opinion only is for Assurance opinion or Review only events",IF(AND(G208="No decision",E208&lt;&gt;"Review only",E208&lt;&gt;"Priority override",E208&lt;&gt;"Intake / registration"),"No decision is for Review only, Priority override or Intake / registration events",IF(OR(ISNUMBER(SEARCH(" ",TRIM(O208))),ISNUMBER(SEARCH("/",O208))),"One UC-ID per event row: split this event",IF(AND(E208="Precautionary pause (containment)",ISNUMBER(W208),ISNUMBER(F208),W208&lt;F208),"Follow-up decision due date is before the pause",IF(AND(G208="Resume",IFERROR(LOOKUP(2,1/(($B$3:B207=B208)*($O$3:O207=O208)),$G$3:G207),"")&lt;&gt;"Paused — pending decision"),"Resume is only for the event straight after a Precautionary pause on the same AIR-ID and UC-ID (in an earlier row)",IF(AND(E208="Decision",OR(G208="Progress",G208="Progress with condition",G208="Re-authorise",G208="Resume"),X208&lt;&gt;"Yes"),"Decision-maker has not confirmed the screening was considered (column X)","Check against source")))))))))))))))))))))))))))))</f>
        <v/>
      </c>
      <c r="O208" s="37" t="n"/>
      <c r="P208" s="37" t="n"/>
      <c r="Q208" s="14">
        <f>IF(A208="","",IF(E208&lt;&gt;"Decision","",IF(P208="UC-ID specific",IF(O208="","UC-ID REQUIRED","Check source decision for each UC-ID"),IF(P208="Shared system baseline",IF(O208&lt;&gt;"","REMOVE UC-ID OR CORRECT SCOPE","Baseline only — NOT UC approval"),"Decision scope missing"))))</f>
        <v/>
      </c>
      <c r="R208" s="42" t="n"/>
      <c r="S208" s="38" t="n"/>
      <c r="T208" s="38" t="n"/>
      <c r="U208" s="38" t="n"/>
      <c r="V208" s="38" t="n"/>
      <c r="W208" s="39" t="n"/>
      <c r="X208" s="38" t="n"/>
    </row>
    <row r="209">
      <c r="A209" s="40" t="n"/>
      <c r="B209" s="40" t="n"/>
      <c r="C209" s="40" t="n"/>
      <c r="D209" s="40" t="n"/>
      <c r="E209" s="40" t="n"/>
      <c r="F209" s="41" t="n"/>
      <c r="G209" s="40" t="n"/>
      <c r="H209" s="40" t="n"/>
      <c r="I209" s="40" t="n"/>
      <c r="J209" s="40" t="n"/>
      <c r="K209" s="40" t="n"/>
      <c r="L209" s="40" t="n"/>
      <c r="M209" s="40" t="n"/>
      <c r="N209" s="24">
        <f>IF(COUNTA(A209:M209,O209:P209,R209:X209)=0,"",IF(OR(A209="",B209="",F209=""),"Event ID, AIR-ID or date missing",IF(COUNTIF($A$4:$A$553,A209)&gt;1,"Duplicate Event ID",IF(E209="","Event type missing",IF(OR(NOT(ISNUMBER(F209)),F209&gt;TODAY()),"Date is not a real date or is in the future",IF(AND(C209&lt;&gt;"",COUNTIF('Gate plan'!$A$4:$A$353,C209)=0),"Plan ID not found in Gate plan",IF(AND(C209&lt;&gt;"",COUNTIFS('Gate plan'!$A$4:$A$353,C209,'Gate plan'!$B$4:$B$353,B209)=0),"Plan AIR-ID differs from event",IF(D209="","Gate / forum missing",IF(AND(E209="Precautionary pause (containment)",G209&lt;&gt;"Paused — pending decision"),"Precautionary pause: Outcome must be Paused, pending decision",IF(AND(E209="Precautionary pause (containment)",V209=""),"Precautionary pause: AIG-OPS-03 incident ref missing",IF(AND(E209="Precautionary pause (containment)",NOT(ISNUMBER(W209))),"Precautionary pause: follow-up decision due date missing",IF(AND(G209="Paused — pending decision",E209&lt;&gt;"Precautionary pause (containment)"),"Paused, pending decision is only for a Precautionary pause event",IF(AND(E209="Decision",OR(G209="",H209="",I209="")),"Outcome / delegation / decision ref missing",IF(AND(E209="Decision",NOT(OR(G209="Progress",G209="Progress with condition",G209="Return for evidence",G209="Pause",G209="Stop",G209="Suspend",G209="Decommission",G209="Re-authorise",G209="Resume"))),"Decision event needs a decision outcome",IF(AND(E209="Priority override",OR(H209="",I209="")),"Decision-maker / AIG-DEC-03 ref missing",IF(AND(E209="Priority override",G209&lt;&gt;"",G209&lt;&gt;"No decision"),"Priority override: Outcome blank or No decision",IF(AND(E209&lt;&gt;"Decision",OR(G209="Progress",G209="Progress with condition",G209="Return for evidence",G209="Pause",G209="Stop",G209="Suspend",G209="Decommission",G209="Re-authorise",G209="Resume")),"Outcome implies decision",IF(OR(ISNUMBER(SEARCH(",",O209)),ISNUMBER(SEARCH(";",O209))),"One UC-ID per event row — split this event",IF(AND(E209="Decision",OR(Q209="UC-ID REQUIRED",Q209="Decision scope missing",Q209="REMOVE UC-ID OR CORRECT SCOPE")),"Decision scope missing",IF(AND(G209="Progress with condition",COUNTIF(Conditions!$B$4:$B$553,A209)=0),"Progress with condition needs at least one Conditions row",IF(AND(C209&lt;&gt;"",COUNTIFS('Gate plan'!$A$4:$A$353,C209,'Gate plan'!$C$4:$C$353,D209)=0),"Plan gate differs from event gate",IF(AND(C209&lt;&gt;"",O209&lt;&gt;"",COUNTIFS('Gate plan'!$A$4:$A$353,C209,'Gate plan'!$K$4:$K$353,"&lt;&gt;")&gt;0,COUNTIFS('Gate plan'!$A$4:$A$353,C209,'Gate plan'!$K$4:$K$353,O209)=0),"Plan UC-ID differs from event UC-ID",IF(AND(E209="Assurance opinion",J209=""),"Assurance opinion ref missing",IF(AND(G209="Opinion only",E209&lt;&gt;"Assurance opinion",E209&lt;&gt;"Review only"),"Opinion only is for Assurance opinion or Review only events",IF(AND(G209="No decision",E209&lt;&gt;"Review only",E209&lt;&gt;"Priority override",E209&lt;&gt;"Intake / registration"),"No decision is for Review only, Priority override or Intake / registration events",IF(OR(ISNUMBER(SEARCH(" ",TRIM(O209))),ISNUMBER(SEARCH("/",O209))),"One UC-ID per event row: split this event",IF(AND(E209="Precautionary pause (containment)",ISNUMBER(W209),ISNUMBER(F209),W209&lt;F209),"Follow-up decision due date is before the pause",IF(AND(G209="Resume",IFERROR(LOOKUP(2,1/(($B$3:B208=B209)*($O$3:O208=O209)),$G$3:G208),"")&lt;&gt;"Paused — pending decision"),"Resume is only for the event straight after a Precautionary pause on the same AIR-ID and UC-ID (in an earlier row)",IF(AND(E209="Decision",OR(G209="Progress",G209="Progress with condition",G209="Re-authorise",G209="Resume"),X209&lt;&gt;"Yes"),"Decision-maker has not confirmed the screening was considered (column X)","Check against source")))))))))))))))))))))))))))))</f>
        <v/>
      </c>
      <c r="O209" s="37" t="n"/>
      <c r="P209" s="37" t="n"/>
      <c r="Q209" s="14">
        <f>IF(A209="","",IF(E209&lt;&gt;"Decision","",IF(P209="UC-ID specific",IF(O209="","UC-ID REQUIRED","Check source decision for each UC-ID"),IF(P209="Shared system baseline",IF(O209&lt;&gt;"","REMOVE UC-ID OR CORRECT SCOPE","Baseline only — NOT UC approval"),"Decision scope missing"))))</f>
        <v/>
      </c>
      <c r="R209" s="43" t="n"/>
      <c r="S209" s="40" t="n"/>
      <c r="T209" s="40" t="n"/>
      <c r="U209" s="40" t="n"/>
      <c r="V209" s="40" t="n"/>
      <c r="W209" s="41" t="n"/>
      <c r="X209" s="38" t="n"/>
    </row>
    <row r="210">
      <c r="A210" s="38" t="n"/>
      <c r="B210" s="38" t="n"/>
      <c r="C210" s="38" t="n"/>
      <c r="D210" s="38" t="n"/>
      <c r="E210" s="38" t="n"/>
      <c r="F210" s="39" t="n"/>
      <c r="G210" s="38" t="n"/>
      <c r="H210" s="38" t="n"/>
      <c r="I210" s="38" t="n"/>
      <c r="J210" s="38" t="n"/>
      <c r="K210" s="38" t="n"/>
      <c r="L210" s="38" t="n"/>
      <c r="M210" s="38" t="n"/>
      <c r="N210" s="22">
        <f>IF(COUNTA(A210:M210,O210:P210,R210:X210)=0,"",IF(OR(A210="",B210="",F210=""),"Event ID, AIR-ID or date missing",IF(COUNTIF($A$4:$A$553,A210)&gt;1,"Duplicate Event ID",IF(E210="","Event type missing",IF(OR(NOT(ISNUMBER(F210)),F210&gt;TODAY()),"Date is not a real date or is in the future",IF(AND(C210&lt;&gt;"",COUNTIF('Gate plan'!$A$4:$A$353,C210)=0),"Plan ID not found in Gate plan",IF(AND(C210&lt;&gt;"",COUNTIFS('Gate plan'!$A$4:$A$353,C210,'Gate plan'!$B$4:$B$353,B210)=0),"Plan AIR-ID differs from event",IF(D210="","Gate / forum missing",IF(AND(E210="Precautionary pause (containment)",G210&lt;&gt;"Paused — pending decision"),"Precautionary pause: Outcome must be Paused, pending decision",IF(AND(E210="Precautionary pause (containment)",V210=""),"Precautionary pause: AIG-OPS-03 incident ref missing",IF(AND(E210="Precautionary pause (containment)",NOT(ISNUMBER(W210))),"Precautionary pause: follow-up decision due date missing",IF(AND(G210="Paused — pending decision",E210&lt;&gt;"Precautionary pause (containment)"),"Paused, pending decision is only for a Precautionary pause event",IF(AND(E210="Decision",OR(G210="",H210="",I210="")),"Outcome / delegation / decision ref missing",IF(AND(E210="Decision",NOT(OR(G210="Progress",G210="Progress with condition",G210="Return for evidence",G210="Pause",G210="Stop",G210="Suspend",G210="Decommission",G210="Re-authorise",G210="Resume"))),"Decision event needs a decision outcome",IF(AND(E210="Priority override",OR(H210="",I210="")),"Decision-maker / AIG-DEC-03 ref missing",IF(AND(E210="Priority override",G210&lt;&gt;"",G210&lt;&gt;"No decision"),"Priority override: Outcome blank or No decision",IF(AND(E210&lt;&gt;"Decision",OR(G210="Progress",G210="Progress with condition",G210="Return for evidence",G210="Pause",G210="Stop",G210="Suspend",G210="Decommission",G210="Re-authorise",G210="Resume")),"Outcome implies decision",IF(OR(ISNUMBER(SEARCH(",",O210)),ISNUMBER(SEARCH(";",O210))),"One UC-ID per event row — split this event",IF(AND(E210="Decision",OR(Q210="UC-ID REQUIRED",Q210="Decision scope missing",Q210="REMOVE UC-ID OR CORRECT SCOPE")),"Decision scope missing",IF(AND(G210="Progress with condition",COUNTIF(Conditions!$B$4:$B$553,A210)=0),"Progress with condition needs at least one Conditions row",IF(AND(C210&lt;&gt;"",COUNTIFS('Gate plan'!$A$4:$A$353,C210,'Gate plan'!$C$4:$C$353,D210)=0),"Plan gate differs from event gate",IF(AND(C210&lt;&gt;"",O210&lt;&gt;"",COUNTIFS('Gate plan'!$A$4:$A$353,C210,'Gate plan'!$K$4:$K$353,"&lt;&gt;")&gt;0,COUNTIFS('Gate plan'!$A$4:$A$353,C210,'Gate plan'!$K$4:$K$353,O210)=0),"Plan UC-ID differs from event UC-ID",IF(AND(E210="Assurance opinion",J210=""),"Assurance opinion ref missing",IF(AND(G210="Opinion only",E210&lt;&gt;"Assurance opinion",E210&lt;&gt;"Review only"),"Opinion only is for Assurance opinion or Review only events",IF(AND(G210="No decision",E210&lt;&gt;"Review only",E210&lt;&gt;"Priority override",E210&lt;&gt;"Intake / registration"),"No decision is for Review only, Priority override or Intake / registration events",IF(OR(ISNUMBER(SEARCH(" ",TRIM(O210))),ISNUMBER(SEARCH("/",O210))),"One UC-ID per event row: split this event",IF(AND(E210="Precautionary pause (containment)",ISNUMBER(W210),ISNUMBER(F210),W210&lt;F210),"Follow-up decision due date is before the pause",IF(AND(G210="Resume",IFERROR(LOOKUP(2,1/(($B$3:B209=B210)*($O$3:O209=O210)),$G$3:G209),"")&lt;&gt;"Paused — pending decision"),"Resume is only for the event straight after a Precautionary pause on the same AIR-ID and UC-ID (in an earlier row)",IF(AND(E210="Decision",OR(G210="Progress",G210="Progress with condition",G210="Re-authorise",G210="Resume"),X210&lt;&gt;"Yes"),"Decision-maker has not confirmed the screening was considered (column X)","Check against source")))))))))))))))))))))))))))))</f>
        <v/>
      </c>
      <c r="O210" s="37" t="n"/>
      <c r="P210" s="37" t="n"/>
      <c r="Q210" s="14">
        <f>IF(A210="","",IF(E210&lt;&gt;"Decision","",IF(P210="UC-ID specific",IF(O210="","UC-ID REQUIRED","Check source decision for each UC-ID"),IF(P210="Shared system baseline",IF(O210&lt;&gt;"","REMOVE UC-ID OR CORRECT SCOPE","Baseline only — NOT UC approval"),"Decision scope missing"))))</f>
        <v/>
      </c>
      <c r="R210" s="42" t="n"/>
      <c r="S210" s="38" t="n"/>
      <c r="T210" s="38" t="n"/>
      <c r="U210" s="38" t="n"/>
      <c r="V210" s="38" t="n"/>
      <c r="W210" s="39" t="n"/>
      <c r="X210" s="38" t="n"/>
    </row>
    <row r="211">
      <c r="A211" s="40" t="n"/>
      <c r="B211" s="40" t="n"/>
      <c r="C211" s="40" t="n"/>
      <c r="D211" s="40" t="n"/>
      <c r="E211" s="40" t="n"/>
      <c r="F211" s="41" t="n"/>
      <c r="G211" s="40" t="n"/>
      <c r="H211" s="40" t="n"/>
      <c r="I211" s="40" t="n"/>
      <c r="J211" s="40" t="n"/>
      <c r="K211" s="40" t="n"/>
      <c r="L211" s="40" t="n"/>
      <c r="M211" s="40" t="n"/>
      <c r="N211" s="24">
        <f>IF(COUNTA(A211:M211,O211:P211,R211:X211)=0,"",IF(OR(A211="",B211="",F211=""),"Event ID, AIR-ID or date missing",IF(COUNTIF($A$4:$A$553,A211)&gt;1,"Duplicate Event ID",IF(E211="","Event type missing",IF(OR(NOT(ISNUMBER(F211)),F211&gt;TODAY()),"Date is not a real date or is in the future",IF(AND(C211&lt;&gt;"",COUNTIF('Gate plan'!$A$4:$A$353,C211)=0),"Plan ID not found in Gate plan",IF(AND(C211&lt;&gt;"",COUNTIFS('Gate plan'!$A$4:$A$353,C211,'Gate plan'!$B$4:$B$353,B211)=0),"Plan AIR-ID differs from event",IF(D211="","Gate / forum missing",IF(AND(E211="Precautionary pause (containment)",G211&lt;&gt;"Paused — pending decision"),"Precautionary pause: Outcome must be Paused, pending decision",IF(AND(E211="Precautionary pause (containment)",V211=""),"Precautionary pause: AIG-OPS-03 incident ref missing",IF(AND(E211="Precautionary pause (containment)",NOT(ISNUMBER(W211))),"Precautionary pause: follow-up decision due date missing",IF(AND(G211="Paused — pending decision",E211&lt;&gt;"Precautionary pause (containment)"),"Paused, pending decision is only for a Precautionary pause event",IF(AND(E211="Decision",OR(G211="",H211="",I211="")),"Outcome / delegation / decision ref missing",IF(AND(E211="Decision",NOT(OR(G211="Progress",G211="Progress with condition",G211="Return for evidence",G211="Pause",G211="Stop",G211="Suspend",G211="Decommission",G211="Re-authorise",G211="Resume"))),"Decision event needs a decision outcome",IF(AND(E211="Priority override",OR(H211="",I211="")),"Decision-maker / AIG-DEC-03 ref missing",IF(AND(E211="Priority override",G211&lt;&gt;"",G211&lt;&gt;"No decision"),"Priority override: Outcome blank or No decision",IF(AND(E211&lt;&gt;"Decision",OR(G211="Progress",G211="Progress with condition",G211="Return for evidence",G211="Pause",G211="Stop",G211="Suspend",G211="Decommission",G211="Re-authorise",G211="Resume")),"Outcome implies decision",IF(OR(ISNUMBER(SEARCH(",",O211)),ISNUMBER(SEARCH(";",O211))),"One UC-ID per event row — split this event",IF(AND(E211="Decision",OR(Q211="UC-ID REQUIRED",Q211="Decision scope missing",Q211="REMOVE UC-ID OR CORRECT SCOPE")),"Decision scope missing",IF(AND(G211="Progress with condition",COUNTIF(Conditions!$B$4:$B$553,A211)=0),"Progress with condition needs at least one Conditions row",IF(AND(C211&lt;&gt;"",COUNTIFS('Gate plan'!$A$4:$A$353,C211,'Gate plan'!$C$4:$C$353,D211)=0),"Plan gate differs from event gate",IF(AND(C211&lt;&gt;"",O211&lt;&gt;"",COUNTIFS('Gate plan'!$A$4:$A$353,C211,'Gate plan'!$K$4:$K$353,"&lt;&gt;")&gt;0,COUNTIFS('Gate plan'!$A$4:$A$353,C211,'Gate plan'!$K$4:$K$353,O211)=0),"Plan UC-ID differs from event UC-ID",IF(AND(E211="Assurance opinion",J211=""),"Assurance opinion ref missing",IF(AND(G211="Opinion only",E211&lt;&gt;"Assurance opinion",E211&lt;&gt;"Review only"),"Opinion only is for Assurance opinion or Review only events",IF(AND(G211="No decision",E211&lt;&gt;"Review only",E211&lt;&gt;"Priority override",E211&lt;&gt;"Intake / registration"),"No decision is for Review only, Priority override or Intake / registration events",IF(OR(ISNUMBER(SEARCH(" ",TRIM(O211))),ISNUMBER(SEARCH("/",O211))),"One UC-ID per event row: split this event",IF(AND(E211="Precautionary pause (containment)",ISNUMBER(W211),ISNUMBER(F211),W211&lt;F211),"Follow-up decision due date is before the pause",IF(AND(G211="Resume",IFERROR(LOOKUP(2,1/(($B$3:B210=B211)*($O$3:O210=O211)),$G$3:G210),"")&lt;&gt;"Paused — pending decision"),"Resume is only for the event straight after a Precautionary pause on the same AIR-ID and UC-ID (in an earlier row)",IF(AND(E211="Decision",OR(G211="Progress",G211="Progress with condition",G211="Re-authorise",G211="Resume"),X211&lt;&gt;"Yes"),"Decision-maker has not confirmed the screening was considered (column X)","Check against source")))))))))))))))))))))))))))))</f>
        <v/>
      </c>
      <c r="O211" s="37" t="n"/>
      <c r="P211" s="37" t="n"/>
      <c r="Q211" s="14">
        <f>IF(A211="","",IF(E211&lt;&gt;"Decision","",IF(P211="UC-ID specific",IF(O211="","UC-ID REQUIRED","Check source decision for each UC-ID"),IF(P211="Shared system baseline",IF(O211&lt;&gt;"","REMOVE UC-ID OR CORRECT SCOPE","Baseline only — NOT UC approval"),"Decision scope missing"))))</f>
        <v/>
      </c>
      <c r="R211" s="43" t="n"/>
      <c r="S211" s="40" t="n"/>
      <c r="T211" s="40" t="n"/>
      <c r="U211" s="40" t="n"/>
      <c r="V211" s="40" t="n"/>
      <c r="W211" s="41" t="n"/>
      <c r="X211" s="38" t="n"/>
    </row>
    <row r="212">
      <c r="A212" s="38" t="n"/>
      <c r="B212" s="38" t="n"/>
      <c r="C212" s="38" t="n"/>
      <c r="D212" s="38" t="n"/>
      <c r="E212" s="38" t="n"/>
      <c r="F212" s="39" t="n"/>
      <c r="G212" s="38" t="n"/>
      <c r="H212" s="38" t="n"/>
      <c r="I212" s="38" t="n"/>
      <c r="J212" s="38" t="n"/>
      <c r="K212" s="38" t="n"/>
      <c r="L212" s="38" t="n"/>
      <c r="M212" s="38" t="n"/>
      <c r="N212" s="22">
        <f>IF(COUNTA(A212:M212,O212:P212,R212:X212)=0,"",IF(OR(A212="",B212="",F212=""),"Event ID, AIR-ID or date missing",IF(COUNTIF($A$4:$A$553,A212)&gt;1,"Duplicate Event ID",IF(E212="","Event type missing",IF(OR(NOT(ISNUMBER(F212)),F212&gt;TODAY()),"Date is not a real date or is in the future",IF(AND(C212&lt;&gt;"",COUNTIF('Gate plan'!$A$4:$A$353,C212)=0),"Plan ID not found in Gate plan",IF(AND(C212&lt;&gt;"",COUNTIFS('Gate plan'!$A$4:$A$353,C212,'Gate plan'!$B$4:$B$353,B212)=0),"Plan AIR-ID differs from event",IF(D212="","Gate / forum missing",IF(AND(E212="Precautionary pause (containment)",G212&lt;&gt;"Paused — pending decision"),"Precautionary pause: Outcome must be Paused, pending decision",IF(AND(E212="Precautionary pause (containment)",V212=""),"Precautionary pause: AIG-OPS-03 incident ref missing",IF(AND(E212="Precautionary pause (containment)",NOT(ISNUMBER(W212))),"Precautionary pause: follow-up decision due date missing",IF(AND(G212="Paused — pending decision",E212&lt;&gt;"Precautionary pause (containment)"),"Paused, pending decision is only for a Precautionary pause event",IF(AND(E212="Decision",OR(G212="",H212="",I212="")),"Outcome / delegation / decision ref missing",IF(AND(E212="Decision",NOT(OR(G212="Progress",G212="Progress with condition",G212="Return for evidence",G212="Pause",G212="Stop",G212="Suspend",G212="Decommission",G212="Re-authorise",G212="Resume"))),"Decision event needs a decision outcome",IF(AND(E212="Priority override",OR(H212="",I212="")),"Decision-maker / AIG-DEC-03 ref missing",IF(AND(E212="Priority override",G212&lt;&gt;"",G212&lt;&gt;"No decision"),"Priority override: Outcome blank or No decision",IF(AND(E212&lt;&gt;"Decision",OR(G212="Progress",G212="Progress with condition",G212="Return for evidence",G212="Pause",G212="Stop",G212="Suspend",G212="Decommission",G212="Re-authorise",G212="Resume")),"Outcome implies decision",IF(OR(ISNUMBER(SEARCH(",",O212)),ISNUMBER(SEARCH(";",O212))),"One UC-ID per event row — split this event",IF(AND(E212="Decision",OR(Q212="UC-ID REQUIRED",Q212="Decision scope missing",Q212="REMOVE UC-ID OR CORRECT SCOPE")),"Decision scope missing",IF(AND(G212="Progress with condition",COUNTIF(Conditions!$B$4:$B$553,A212)=0),"Progress with condition needs at least one Conditions row",IF(AND(C212&lt;&gt;"",COUNTIFS('Gate plan'!$A$4:$A$353,C212,'Gate plan'!$C$4:$C$353,D212)=0),"Plan gate differs from event gate",IF(AND(C212&lt;&gt;"",O212&lt;&gt;"",COUNTIFS('Gate plan'!$A$4:$A$353,C212,'Gate plan'!$K$4:$K$353,"&lt;&gt;")&gt;0,COUNTIFS('Gate plan'!$A$4:$A$353,C212,'Gate plan'!$K$4:$K$353,O212)=0),"Plan UC-ID differs from event UC-ID",IF(AND(E212="Assurance opinion",J212=""),"Assurance opinion ref missing",IF(AND(G212="Opinion only",E212&lt;&gt;"Assurance opinion",E212&lt;&gt;"Review only"),"Opinion only is for Assurance opinion or Review only events",IF(AND(G212="No decision",E212&lt;&gt;"Review only",E212&lt;&gt;"Priority override",E212&lt;&gt;"Intake / registration"),"No decision is for Review only, Priority override or Intake / registration events",IF(OR(ISNUMBER(SEARCH(" ",TRIM(O212))),ISNUMBER(SEARCH("/",O212))),"One UC-ID per event row: split this event",IF(AND(E212="Precautionary pause (containment)",ISNUMBER(W212),ISNUMBER(F212),W212&lt;F212),"Follow-up decision due date is before the pause",IF(AND(G212="Resume",IFERROR(LOOKUP(2,1/(($B$3:B211=B212)*($O$3:O211=O212)),$G$3:G211),"")&lt;&gt;"Paused — pending decision"),"Resume is only for the event straight after a Precautionary pause on the same AIR-ID and UC-ID (in an earlier row)",IF(AND(E212="Decision",OR(G212="Progress",G212="Progress with condition",G212="Re-authorise",G212="Resume"),X212&lt;&gt;"Yes"),"Decision-maker has not confirmed the screening was considered (column X)","Check against source")))))))))))))))))))))))))))))</f>
        <v/>
      </c>
      <c r="O212" s="37" t="n"/>
      <c r="P212" s="37" t="n"/>
      <c r="Q212" s="14">
        <f>IF(A212="","",IF(E212&lt;&gt;"Decision","",IF(P212="UC-ID specific",IF(O212="","UC-ID REQUIRED","Check source decision for each UC-ID"),IF(P212="Shared system baseline",IF(O212&lt;&gt;"","REMOVE UC-ID OR CORRECT SCOPE","Baseline only — NOT UC approval"),"Decision scope missing"))))</f>
        <v/>
      </c>
      <c r="R212" s="42" t="n"/>
      <c r="S212" s="38" t="n"/>
      <c r="T212" s="38" t="n"/>
      <c r="U212" s="38" t="n"/>
      <c r="V212" s="38" t="n"/>
      <c r="W212" s="39" t="n"/>
      <c r="X212" s="38" t="n"/>
    </row>
    <row r="213">
      <c r="A213" s="40" t="n"/>
      <c r="B213" s="40" t="n"/>
      <c r="C213" s="40" t="n"/>
      <c r="D213" s="40" t="n"/>
      <c r="E213" s="40" t="n"/>
      <c r="F213" s="41" t="n"/>
      <c r="G213" s="40" t="n"/>
      <c r="H213" s="40" t="n"/>
      <c r="I213" s="40" t="n"/>
      <c r="J213" s="40" t="n"/>
      <c r="K213" s="40" t="n"/>
      <c r="L213" s="40" t="n"/>
      <c r="M213" s="40" t="n"/>
      <c r="N213" s="24">
        <f>IF(COUNTA(A213:M213,O213:P213,R213:X213)=0,"",IF(OR(A213="",B213="",F213=""),"Event ID, AIR-ID or date missing",IF(COUNTIF($A$4:$A$553,A213)&gt;1,"Duplicate Event ID",IF(E213="","Event type missing",IF(OR(NOT(ISNUMBER(F213)),F213&gt;TODAY()),"Date is not a real date or is in the future",IF(AND(C213&lt;&gt;"",COUNTIF('Gate plan'!$A$4:$A$353,C213)=0),"Plan ID not found in Gate plan",IF(AND(C213&lt;&gt;"",COUNTIFS('Gate plan'!$A$4:$A$353,C213,'Gate plan'!$B$4:$B$353,B213)=0),"Plan AIR-ID differs from event",IF(D213="","Gate / forum missing",IF(AND(E213="Precautionary pause (containment)",G213&lt;&gt;"Paused — pending decision"),"Precautionary pause: Outcome must be Paused, pending decision",IF(AND(E213="Precautionary pause (containment)",V213=""),"Precautionary pause: AIG-OPS-03 incident ref missing",IF(AND(E213="Precautionary pause (containment)",NOT(ISNUMBER(W213))),"Precautionary pause: follow-up decision due date missing",IF(AND(G213="Paused — pending decision",E213&lt;&gt;"Precautionary pause (containment)"),"Paused, pending decision is only for a Precautionary pause event",IF(AND(E213="Decision",OR(G213="",H213="",I213="")),"Outcome / delegation / decision ref missing",IF(AND(E213="Decision",NOT(OR(G213="Progress",G213="Progress with condition",G213="Return for evidence",G213="Pause",G213="Stop",G213="Suspend",G213="Decommission",G213="Re-authorise",G213="Resume"))),"Decision event needs a decision outcome",IF(AND(E213="Priority override",OR(H213="",I213="")),"Decision-maker / AIG-DEC-03 ref missing",IF(AND(E213="Priority override",G213&lt;&gt;"",G213&lt;&gt;"No decision"),"Priority override: Outcome blank or No decision",IF(AND(E213&lt;&gt;"Decision",OR(G213="Progress",G213="Progress with condition",G213="Return for evidence",G213="Pause",G213="Stop",G213="Suspend",G213="Decommission",G213="Re-authorise",G213="Resume")),"Outcome implies decision",IF(OR(ISNUMBER(SEARCH(",",O213)),ISNUMBER(SEARCH(";",O213))),"One UC-ID per event row — split this event",IF(AND(E213="Decision",OR(Q213="UC-ID REQUIRED",Q213="Decision scope missing",Q213="REMOVE UC-ID OR CORRECT SCOPE")),"Decision scope missing",IF(AND(G213="Progress with condition",COUNTIF(Conditions!$B$4:$B$553,A213)=0),"Progress with condition needs at least one Conditions row",IF(AND(C213&lt;&gt;"",COUNTIFS('Gate plan'!$A$4:$A$353,C213,'Gate plan'!$C$4:$C$353,D213)=0),"Plan gate differs from event gate",IF(AND(C213&lt;&gt;"",O213&lt;&gt;"",COUNTIFS('Gate plan'!$A$4:$A$353,C213,'Gate plan'!$K$4:$K$353,"&lt;&gt;")&gt;0,COUNTIFS('Gate plan'!$A$4:$A$353,C213,'Gate plan'!$K$4:$K$353,O213)=0),"Plan UC-ID differs from event UC-ID",IF(AND(E213="Assurance opinion",J213=""),"Assurance opinion ref missing",IF(AND(G213="Opinion only",E213&lt;&gt;"Assurance opinion",E213&lt;&gt;"Review only"),"Opinion only is for Assurance opinion or Review only events",IF(AND(G213="No decision",E213&lt;&gt;"Review only",E213&lt;&gt;"Priority override",E213&lt;&gt;"Intake / registration"),"No decision is for Review only, Priority override or Intake / registration events",IF(OR(ISNUMBER(SEARCH(" ",TRIM(O213))),ISNUMBER(SEARCH("/",O213))),"One UC-ID per event row: split this event",IF(AND(E213="Precautionary pause (containment)",ISNUMBER(W213),ISNUMBER(F213),W213&lt;F213),"Follow-up decision due date is before the pause",IF(AND(G213="Resume",IFERROR(LOOKUP(2,1/(($B$3:B212=B213)*($O$3:O212=O213)),$G$3:G212),"")&lt;&gt;"Paused — pending decision"),"Resume is only for the event straight after a Precautionary pause on the same AIR-ID and UC-ID (in an earlier row)",IF(AND(E213="Decision",OR(G213="Progress",G213="Progress with condition",G213="Re-authorise",G213="Resume"),X213&lt;&gt;"Yes"),"Decision-maker has not confirmed the screening was considered (column X)","Check against source")))))))))))))))))))))))))))))</f>
        <v/>
      </c>
      <c r="O213" s="37" t="n"/>
      <c r="P213" s="37" t="n"/>
      <c r="Q213" s="14">
        <f>IF(A213="","",IF(E213&lt;&gt;"Decision","",IF(P213="UC-ID specific",IF(O213="","UC-ID REQUIRED","Check source decision for each UC-ID"),IF(P213="Shared system baseline",IF(O213&lt;&gt;"","REMOVE UC-ID OR CORRECT SCOPE","Baseline only — NOT UC approval"),"Decision scope missing"))))</f>
        <v/>
      </c>
      <c r="R213" s="43" t="n"/>
      <c r="S213" s="40" t="n"/>
      <c r="T213" s="40" t="n"/>
      <c r="U213" s="40" t="n"/>
      <c r="V213" s="40" t="n"/>
      <c r="W213" s="41" t="n"/>
      <c r="X213" s="38" t="n"/>
    </row>
    <row r="214">
      <c r="A214" s="38" t="n"/>
      <c r="B214" s="38" t="n"/>
      <c r="C214" s="38" t="n"/>
      <c r="D214" s="38" t="n"/>
      <c r="E214" s="38" t="n"/>
      <c r="F214" s="39" t="n"/>
      <c r="G214" s="38" t="n"/>
      <c r="H214" s="38" t="n"/>
      <c r="I214" s="38" t="n"/>
      <c r="J214" s="38" t="n"/>
      <c r="K214" s="38" t="n"/>
      <c r="L214" s="38" t="n"/>
      <c r="M214" s="38" t="n"/>
      <c r="N214" s="22">
        <f>IF(COUNTA(A214:M214,O214:P214,R214:X214)=0,"",IF(OR(A214="",B214="",F214=""),"Event ID, AIR-ID or date missing",IF(COUNTIF($A$4:$A$553,A214)&gt;1,"Duplicate Event ID",IF(E214="","Event type missing",IF(OR(NOT(ISNUMBER(F214)),F214&gt;TODAY()),"Date is not a real date or is in the future",IF(AND(C214&lt;&gt;"",COUNTIF('Gate plan'!$A$4:$A$353,C214)=0),"Plan ID not found in Gate plan",IF(AND(C214&lt;&gt;"",COUNTIFS('Gate plan'!$A$4:$A$353,C214,'Gate plan'!$B$4:$B$353,B214)=0),"Plan AIR-ID differs from event",IF(D214="","Gate / forum missing",IF(AND(E214="Precautionary pause (containment)",G214&lt;&gt;"Paused — pending decision"),"Precautionary pause: Outcome must be Paused, pending decision",IF(AND(E214="Precautionary pause (containment)",V214=""),"Precautionary pause: AIG-OPS-03 incident ref missing",IF(AND(E214="Precautionary pause (containment)",NOT(ISNUMBER(W214))),"Precautionary pause: follow-up decision due date missing",IF(AND(G214="Paused — pending decision",E214&lt;&gt;"Precautionary pause (containment)"),"Paused, pending decision is only for a Precautionary pause event",IF(AND(E214="Decision",OR(G214="",H214="",I214="")),"Outcome / delegation / decision ref missing",IF(AND(E214="Decision",NOT(OR(G214="Progress",G214="Progress with condition",G214="Return for evidence",G214="Pause",G214="Stop",G214="Suspend",G214="Decommission",G214="Re-authorise",G214="Resume"))),"Decision event needs a decision outcome",IF(AND(E214="Priority override",OR(H214="",I214="")),"Decision-maker / AIG-DEC-03 ref missing",IF(AND(E214="Priority override",G214&lt;&gt;"",G214&lt;&gt;"No decision"),"Priority override: Outcome blank or No decision",IF(AND(E214&lt;&gt;"Decision",OR(G214="Progress",G214="Progress with condition",G214="Return for evidence",G214="Pause",G214="Stop",G214="Suspend",G214="Decommission",G214="Re-authorise",G214="Resume")),"Outcome implies decision",IF(OR(ISNUMBER(SEARCH(",",O214)),ISNUMBER(SEARCH(";",O214))),"One UC-ID per event row — split this event",IF(AND(E214="Decision",OR(Q214="UC-ID REQUIRED",Q214="Decision scope missing",Q214="REMOVE UC-ID OR CORRECT SCOPE")),"Decision scope missing",IF(AND(G214="Progress with condition",COUNTIF(Conditions!$B$4:$B$553,A214)=0),"Progress with condition needs at least one Conditions row",IF(AND(C214&lt;&gt;"",COUNTIFS('Gate plan'!$A$4:$A$353,C214,'Gate plan'!$C$4:$C$353,D214)=0),"Plan gate differs from event gate",IF(AND(C214&lt;&gt;"",O214&lt;&gt;"",COUNTIFS('Gate plan'!$A$4:$A$353,C214,'Gate plan'!$K$4:$K$353,"&lt;&gt;")&gt;0,COUNTIFS('Gate plan'!$A$4:$A$353,C214,'Gate plan'!$K$4:$K$353,O214)=0),"Plan UC-ID differs from event UC-ID",IF(AND(E214="Assurance opinion",J214=""),"Assurance opinion ref missing",IF(AND(G214="Opinion only",E214&lt;&gt;"Assurance opinion",E214&lt;&gt;"Review only"),"Opinion only is for Assurance opinion or Review only events",IF(AND(G214="No decision",E214&lt;&gt;"Review only",E214&lt;&gt;"Priority override",E214&lt;&gt;"Intake / registration"),"No decision is for Review only, Priority override or Intake / registration events",IF(OR(ISNUMBER(SEARCH(" ",TRIM(O214))),ISNUMBER(SEARCH("/",O214))),"One UC-ID per event row: split this event",IF(AND(E214="Precautionary pause (containment)",ISNUMBER(W214),ISNUMBER(F214),W214&lt;F214),"Follow-up decision due date is before the pause",IF(AND(G214="Resume",IFERROR(LOOKUP(2,1/(($B$3:B213=B214)*($O$3:O213=O214)),$G$3:G213),"")&lt;&gt;"Paused — pending decision"),"Resume is only for the event straight after a Precautionary pause on the same AIR-ID and UC-ID (in an earlier row)",IF(AND(E214="Decision",OR(G214="Progress",G214="Progress with condition",G214="Re-authorise",G214="Resume"),X214&lt;&gt;"Yes"),"Decision-maker has not confirmed the screening was considered (column X)","Check against source")))))))))))))))))))))))))))))</f>
        <v/>
      </c>
      <c r="O214" s="37" t="n"/>
      <c r="P214" s="37" t="n"/>
      <c r="Q214" s="14">
        <f>IF(A214="","",IF(E214&lt;&gt;"Decision","",IF(P214="UC-ID specific",IF(O214="","UC-ID REQUIRED","Check source decision for each UC-ID"),IF(P214="Shared system baseline",IF(O214&lt;&gt;"","REMOVE UC-ID OR CORRECT SCOPE","Baseline only — NOT UC approval"),"Decision scope missing"))))</f>
        <v/>
      </c>
      <c r="R214" s="42" t="n"/>
      <c r="S214" s="38" t="n"/>
      <c r="T214" s="38" t="n"/>
      <c r="U214" s="38" t="n"/>
      <c r="V214" s="38" t="n"/>
      <c r="W214" s="39" t="n"/>
      <c r="X214" s="38" t="n"/>
    </row>
    <row r="215">
      <c r="A215" s="40" t="n"/>
      <c r="B215" s="40" t="n"/>
      <c r="C215" s="40" t="n"/>
      <c r="D215" s="40" t="n"/>
      <c r="E215" s="40" t="n"/>
      <c r="F215" s="41" t="n"/>
      <c r="G215" s="40" t="n"/>
      <c r="H215" s="40" t="n"/>
      <c r="I215" s="40" t="n"/>
      <c r="J215" s="40" t="n"/>
      <c r="K215" s="40" t="n"/>
      <c r="L215" s="40" t="n"/>
      <c r="M215" s="40" t="n"/>
      <c r="N215" s="24">
        <f>IF(COUNTA(A215:M215,O215:P215,R215:X215)=0,"",IF(OR(A215="",B215="",F215=""),"Event ID, AIR-ID or date missing",IF(COUNTIF($A$4:$A$553,A215)&gt;1,"Duplicate Event ID",IF(E215="","Event type missing",IF(OR(NOT(ISNUMBER(F215)),F215&gt;TODAY()),"Date is not a real date or is in the future",IF(AND(C215&lt;&gt;"",COUNTIF('Gate plan'!$A$4:$A$353,C215)=0),"Plan ID not found in Gate plan",IF(AND(C215&lt;&gt;"",COUNTIFS('Gate plan'!$A$4:$A$353,C215,'Gate plan'!$B$4:$B$353,B215)=0),"Plan AIR-ID differs from event",IF(D215="","Gate / forum missing",IF(AND(E215="Precautionary pause (containment)",G215&lt;&gt;"Paused — pending decision"),"Precautionary pause: Outcome must be Paused, pending decision",IF(AND(E215="Precautionary pause (containment)",V215=""),"Precautionary pause: AIG-OPS-03 incident ref missing",IF(AND(E215="Precautionary pause (containment)",NOT(ISNUMBER(W215))),"Precautionary pause: follow-up decision due date missing",IF(AND(G215="Paused — pending decision",E215&lt;&gt;"Precautionary pause (containment)"),"Paused, pending decision is only for a Precautionary pause event",IF(AND(E215="Decision",OR(G215="",H215="",I215="")),"Outcome / delegation / decision ref missing",IF(AND(E215="Decision",NOT(OR(G215="Progress",G215="Progress with condition",G215="Return for evidence",G215="Pause",G215="Stop",G215="Suspend",G215="Decommission",G215="Re-authorise",G215="Resume"))),"Decision event needs a decision outcome",IF(AND(E215="Priority override",OR(H215="",I215="")),"Decision-maker / AIG-DEC-03 ref missing",IF(AND(E215="Priority override",G215&lt;&gt;"",G215&lt;&gt;"No decision"),"Priority override: Outcome blank or No decision",IF(AND(E215&lt;&gt;"Decision",OR(G215="Progress",G215="Progress with condition",G215="Return for evidence",G215="Pause",G215="Stop",G215="Suspend",G215="Decommission",G215="Re-authorise",G215="Resume")),"Outcome implies decision",IF(OR(ISNUMBER(SEARCH(",",O215)),ISNUMBER(SEARCH(";",O215))),"One UC-ID per event row — split this event",IF(AND(E215="Decision",OR(Q215="UC-ID REQUIRED",Q215="Decision scope missing",Q215="REMOVE UC-ID OR CORRECT SCOPE")),"Decision scope missing",IF(AND(G215="Progress with condition",COUNTIF(Conditions!$B$4:$B$553,A215)=0),"Progress with condition needs at least one Conditions row",IF(AND(C215&lt;&gt;"",COUNTIFS('Gate plan'!$A$4:$A$353,C215,'Gate plan'!$C$4:$C$353,D215)=0),"Plan gate differs from event gate",IF(AND(C215&lt;&gt;"",O215&lt;&gt;"",COUNTIFS('Gate plan'!$A$4:$A$353,C215,'Gate plan'!$K$4:$K$353,"&lt;&gt;")&gt;0,COUNTIFS('Gate plan'!$A$4:$A$353,C215,'Gate plan'!$K$4:$K$353,O215)=0),"Plan UC-ID differs from event UC-ID",IF(AND(E215="Assurance opinion",J215=""),"Assurance opinion ref missing",IF(AND(G215="Opinion only",E215&lt;&gt;"Assurance opinion",E215&lt;&gt;"Review only"),"Opinion only is for Assurance opinion or Review only events",IF(AND(G215="No decision",E215&lt;&gt;"Review only",E215&lt;&gt;"Priority override",E215&lt;&gt;"Intake / registration"),"No decision is for Review only, Priority override or Intake / registration events",IF(OR(ISNUMBER(SEARCH(" ",TRIM(O215))),ISNUMBER(SEARCH("/",O215))),"One UC-ID per event row: split this event",IF(AND(E215="Precautionary pause (containment)",ISNUMBER(W215),ISNUMBER(F215),W215&lt;F215),"Follow-up decision due date is before the pause",IF(AND(G215="Resume",IFERROR(LOOKUP(2,1/(($B$3:B214=B215)*($O$3:O214=O215)),$G$3:G214),"")&lt;&gt;"Paused — pending decision"),"Resume is only for the event straight after a Precautionary pause on the same AIR-ID and UC-ID (in an earlier row)",IF(AND(E215="Decision",OR(G215="Progress",G215="Progress with condition",G215="Re-authorise",G215="Resume"),X215&lt;&gt;"Yes"),"Decision-maker has not confirmed the screening was considered (column X)","Check against source")))))))))))))))))))))))))))))</f>
        <v/>
      </c>
      <c r="O215" s="37" t="n"/>
      <c r="P215" s="37" t="n"/>
      <c r="Q215" s="14">
        <f>IF(A215="","",IF(E215&lt;&gt;"Decision","",IF(P215="UC-ID specific",IF(O215="","UC-ID REQUIRED","Check source decision for each UC-ID"),IF(P215="Shared system baseline",IF(O215&lt;&gt;"","REMOVE UC-ID OR CORRECT SCOPE","Baseline only — NOT UC approval"),"Decision scope missing"))))</f>
        <v/>
      </c>
      <c r="R215" s="43" t="n"/>
      <c r="S215" s="40" t="n"/>
      <c r="T215" s="40" t="n"/>
      <c r="U215" s="40" t="n"/>
      <c r="V215" s="40" t="n"/>
      <c r="W215" s="41" t="n"/>
      <c r="X215" s="38" t="n"/>
    </row>
    <row r="216">
      <c r="A216" s="38" t="n"/>
      <c r="B216" s="38" t="n"/>
      <c r="C216" s="38" t="n"/>
      <c r="D216" s="38" t="n"/>
      <c r="E216" s="38" t="n"/>
      <c r="F216" s="39" t="n"/>
      <c r="G216" s="38" t="n"/>
      <c r="H216" s="38" t="n"/>
      <c r="I216" s="38" t="n"/>
      <c r="J216" s="38" t="n"/>
      <c r="K216" s="38" t="n"/>
      <c r="L216" s="38" t="n"/>
      <c r="M216" s="38" t="n"/>
      <c r="N216" s="22">
        <f>IF(COUNTA(A216:M216,O216:P216,R216:X216)=0,"",IF(OR(A216="",B216="",F216=""),"Event ID, AIR-ID or date missing",IF(COUNTIF($A$4:$A$553,A216)&gt;1,"Duplicate Event ID",IF(E216="","Event type missing",IF(OR(NOT(ISNUMBER(F216)),F216&gt;TODAY()),"Date is not a real date or is in the future",IF(AND(C216&lt;&gt;"",COUNTIF('Gate plan'!$A$4:$A$353,C216)=0),"Plan ID not found in Gate plan",IF(AND(C216&lt;&gt;"",COUNTIFS('Gate plan'!$A$4:$A$353,C216,'Gate plan'!$B$4:$B$353,B216)=0),"Plan AIR-ID differs from event",IF(D216="","Gate / forum missing",IF(AND(E216="Precautionary pause (containment)",G216&lt;&gt;"Paused — pending decision"),"Precautionary pause: Outcome must be Paused, pending decision",IF(AND(E216="Precautionary pause (containment)",V216=""),"Precautionary pause: AIG-OPS-03 incident ref missing",IF(AND(E216="Precautionary pause (containment)",NOT(ISNUMBER(W216))),"Precautionary pause: follow-up decision due date missing",IF(AND(G216="Paused — pending decision",E216&lt;&gt;"Precautionary pause (containment)"),"Paused, pending decision is only for a Precautionary pause event",IF(AND(E216="Decision",OR(G216="",H216="",I216="")),"Outcome / delegation / decision ref missing",IF(AND(E216="Decision",NOT(OR(G216="Progress",G216="Progress with condition",G216="Return for evidence",G216="Pause",G216="Stop",G216="Suspend",G216="Decommission",G216="Re-authorise",G216="Resume"))),"Decision event needs a decision outcome",IF(AND(E216="Priority override",OR(H216="",I216="")),"Decision-maker / AIG-DEC-03 ref missing",IF(AND(E216="Priority override",G216&lt;&gt;"",G216&lt;&gt;"No decision"),"Priority override: Outcome blank or No decision",IF(AND(E216&lt;&gt;"Decision",OR(G216="Progress",G216="Progress with condition",G216="Return for evidence",G216="Pause",G216="Stop",G216="Suspend",G216="Decommission",G216="Re-authorise",G216="Resume")),"Outcome implies decision",IF(OR(ISNUMBER(SEARCH(",",O216)),ISNUMBER(SEARCH(";",O216))),"One UC-ID per event row — split this event",IF(AND(E216="Decision",OR(Q216="UC-ID REQUIRED",Q216="Decision scope missing",Q216="REMOVE UC-ID OR CORRECT SCOPE")),"Decision scope missing",IF(AND(G216="Progress with condition",COUNTIF(Conditions!$B$4:$B$553,A216)=0),"Progress with condition needs at least one Conditions row",IF(AND(C216&lt;&gt;"",COUNTIFS('Gate plan'!$A$4:$A$353,C216,'Gate plan'!$C$4:$C$353,D216)=0),"Plan gate differs from event gate",IF(AND(C216&lt;&gt;"",O216&lt;&gt;"",COUNTIFS('Gate plan'!$A$4:$A$353,C216,'Gate plan'!$K$4:$K$353,"&lt;&gt;")&gt;0,COUNTIFS('Gate plan'!$A$4:$A$353,C216,'Gate plan'!$K$4:$K$353,O216)=0),"Plan UC-ID differs from event UC-ID",IF(AND(E216="Assurance opinion",J216=""),"Assurance opinion ref missing",IF(AND(G216="Opinion only",E216&lt;&gt;"Assurance opinion",E216&lt;&gt;"Review only"),"Opinion only is for Assurance opinion or Review only events",IF(AND(G216="No decision",E216&lt;&gt;"Review only",E216&lt;&gt;"Priority override",E216&lt;&gt;"Intake / registration"),"No decision is for Review only, Priority override or Intake / registration events",IF(OR(ISNUMBER(SEARCH(" ",TRIM(O216))),ISNUMBER(SEARCH("/",O216))),"One UC-ID per event row: split this event",IF(AND(E216="Precautionary pause (containment)",ISNUMBER(W216),ISNUMBER(F216),W216&lt;F216),"Follow-up decision due date is before the pause",IF(AND(G216="Resume",IFERROR(LOOKUP(2,1/(($B$3:B215=B216)*($O$3:O215=O216)),$G$3:G215),"")&lt;&gt;"Paused — pending decision"),"Resume is only for the event straight after a Precautionary pause on the same AIR-ID and UC-ID (in an earlier row)",IF(AND(E216="Decision",OR(G216="Progress",G216="Progress with condition",G216="Re-authorise",G216="Resume"),X216&lt;&gt;"Yes"),"Decision-maker has not confirmed the screening was considered (column X)","Check against source")))))))))))))))))))))))))))))</f>
        <v/>
      </c>
      <c r="O216" s="37" t="n"/>
      <c r="P216" s="37" t="n"/>
      <c r="Q216" s="14">
        <f>IF(A216="","",IF(E216&lt;&gt;"Decision","",IF(P216="UC-ID specific",IF(O216="","UC-ID REQUIRED","Check source decision for each UC-ID"),IF(P216="Shared system baseline",IF(O216&lt;&gt;"","REMOVE UC-ID OR CORRECT SCOPE","Baseline only — NOT UC approval"),"Decision scope missing"))))</f>
        <v/>
      </c>
      <c r="R216" s="42" t="n"/>
      <c r="S216" s="38" t="n"/>
      <c r="T216" s="38" t="n"/>
      <c r="U216" s="38" t="n"/>
      <c r="V216" s="38" t="n"/>
      <c r="W216" s="39" t="n"/>
      <c r="X216" s="38" t="n"/>
    </row>
    <row r="217">
      <c r="A217" s="40" t="n"/>
      <c r="B217" s="40" t="n"/>
      <c r="C217" s="40" t="n"/>
      <c r="D217" s="40" t="n"/>
      <c r="E217" s="40" t="n"/>
      <c r="F217" s="41" t="n"/>
      <c r="G217" s="40" t="n"/>
      <c r="H217" s="40" t="n"/>
      <c r="I217" s="40" t="n"/>
      <c r="J217" s="40" t="n"/>
      <c r="K217" s="40" t="n"/>
      <c r="L217" s="40" t="n"/>
      <c r="M217" s="40" t="n"/>
      <c r="N217" s="24">
        <f>IF(COUNTA(A217:M217,O217:P217,R217:X217)=0,"",IF(OR(A217="",B217="",F217=""),"Event ID, AIR-ID or date missing",IF(COUNTIF($A$4:$A$553,A217)&gt;1,"Duplicate Event ID",IF(E217="","Event type missing",IF(OR(NOT(ISNUMBER(F217)),F217&gt;TODAY()),"Date is not a real date or is in the future",IF(AND(C217&lt;&gt;"",COUNTIF('Gate plan'!$A$4:$A$353,C217)=0),"Plan ID not found in Gate plan",IF(AND(C217&lt;&gt;"",COUNTIFS('Gate plan'!$A$4:$A$353,C217,'Gate plan'!$B$4:$B$353,B217)=0),"Plan AIR-ID differs from event",IF(D217="","Gate / forum missing",IF(AND(E217="Precautionary pause (containment)",G217&lt;&gt;"Paused — pending decision"),"Precautionary pause: Outcome must be Paused, pending decision",IF(AND(E217="Precautionary pause (containment)",V217=""),"Precautionary pause: AIG-OPS-03 incident ref missing",IF(AND(E217="Precautionary pause (containment)",NOT(ISNUMBER(W217))),"Precautionary pause: follow-up decision due date missing",IF(AND(G217="Paused — pending decision",E217&lt;&gt;"Precautionary pause (containment)"),"Paused, pending decision is only for a Precautionary pause event",IF(AND(E217="Decision",OR(G217="",H217="",I217="")),"Outcome / delegation / decision ref missing",IF(AND(E217="Decision",NOT(OR(G217="Progress",G217="Progress with condition",G217="Return for evidence",G217="Pause",G217="Stop",G217="Suspend",G217="Decommission",G217="Re-authorise",G217="Resume"))),"Decision event needs a decision outcome",IF(AND(E217="Priority override",OR(H217="",I217="")),"Decision-maker / AIG-DEC-03 ref missing",IF(AND(E217="Priority override",G217&lt;&gt;"",G217&lt;&gt;"No decision"),"Priority override: Outcome blank or No decision",IF(AND(E217&lt;&gt;"Decision",OR(G217="Progress",G217="Progress with condition",G217="Return for evidence",G217="Pause",G217="Stop",G217="Suspend",G217="Decommission",G217="Re-authorise",G217="Resume")),"Outcome implies decision",IF(OR(ISNUMBER(SEARCH(",",O217)),ISNUMBER(SEARCH(";",O217))),"One UC-ID per event row — split this event",IF(AND(E217="Decision",OR(Q217="UC-ID REQUIRED",Q217="Decision scope missing",Q217="REMOVE UC-ID OR CORRECT SCOPE")),"Decision scope missing",IF(AND(G217="Progress with condition",COUNTIF(Conditions!$B$4:$B$553,A217)=0),"Progress with condition needs at least one Conditions row",IF(AND(C217&lt;&gt;"",COUNTIFS('Gate plan'!$A$4:$A$353,C217,'Gate plan'!$C$4:$C$353,D217)=0),"Plan gate differs from event gate",IF(AND(C217&lt;&gt;"",O217&lt;&gt;"",COUNTIFS('Gate plan'!$A$4:$A$353,C217,'Gate plan'!$K$4:$K$353,"&lt;&gt;")&gt;0,COUNTIFS('Gate plan'!$A$4:$A$353,C217,'Gate plan'!$K$4:$K$353,O217)=0),"Plan UC-ID differs from event UC-ID",IF(AND(E217="Assurance opinion",J217=""),"Assurance opinion ref missing",IF(AND(G217="Opinion only",E217&lt;&gt;"Assurance opinion",E217&lt;&gt;"Review only"),"Opinion only is for Assurance opinion or Review only events",IF(AND(G217="No decision",E217&lt;&gt;"Review only",E217&lt;&gt;"Priority override",E217&lt;&gt;"Intake / registration"),"No decision is for Review only, Priority override or Intake / registration events",IF(OR(ISNUMBER(SEARCH(" ",TRIM(O217))),ISNUMBER(SEARCH("/",O217))),"One UC-ID per event row: split this event",IF(AND(E217="Precautionary pause (containment)",ISNUMBER(W217),ISNUMBER(F217),W217&lt;F217),"Follow-up decision due date is before the pause",IF(AND(G217="Resume",IFERROR(LOOKUP(2,1/(($B$3:B216=B217)*($O$3:O216=O217)),$G$3:G216),"")&lt;&gt;"Paused — pending decision"),"Resume is only for the event straight after a Precautionary pause on the same AIR-ID and UC-ID (in an earlier row)",IF(AND(E217="Decision",OR(G217="Progress",G217="Progress with condition",G217="Re-authorise",G217="Resume"),X217&lt;&gt;"Yes"),"Decision-maker has not confirmed the screening was considered (column X)","Check against source")))))))))))))))))))))))))))))</f>
        <v/>
      </c>
      <c r="O217" s="37" t="n"/>
      <c r="P217" s="37" t="n"/>
      <c r="Q217" s="14">
        <f>IF(A217="","",IF(E217&lt;&gt;"Decision","",IF(P217="UC-ID specific",IF(O217="","UC-ID REQUIRED","Check source decision for each UC-ID"),IF(P217="Shared system baseline",IF(O217&lt;&gt;"","REMOVE UC-ID OR CORRECT SCOPE","Baseline only — NOT UC approval"),"Decision scope missing"))))</f>
        <v/>
      </c>
      <c r="R217" s="43" t="n"/>
      <c r="S217" s="40" t="n"/>
      <c r="T217" s="40" t="n"/>
      <c r="U217" s="40" t="n"/>
      <c r="V217" s="40" t="n"/>
      <c r="W217" s="41" t="n"/>
      <c r="X217" s="38" t="n"/>
    </row>
    <row r="218">
      <c r="A218" s="38" t="n"/>
      <c r="B218" s="38" t="n"/>
      <c r="C218" s="38" t="n"/>
      <c r="D218" s="38" t="n"/>
      <c r="E218" s="38" t="n"/>
      <c r="F218" s="39" t="n"/>
      <c r="G218" s="38" t="n"/>
      <c r="H218" s="38" t="n"/>
      <c r="I218" s="38" t="n"/>
      <c r="J218" s="38" t="n"/>
      <c r="K218" s="38" t="n"/>
      <c r="L218" s="38" t="n"/>
      <c r="M218" s="38" t="n"/>
      <c r="N218" s="22">
        <f>IF(COUNTA(A218:M218,O218:P218,R218:X218)=0,"",IF(OR(A218="",B218="",F218=""),"Event ID, AIR-ID or date missing",IF(COUNTIF($A$4:$A$553,A218)&gt;1,"Duplicate Event ID",IF(E218="","Event type missing",IF(OR(NOT(ISNUMBER(F218)),F218&gt;TODAY()),"Date is not a real date or is in the future",IF(AND(C218&lt;&gt;"",COUNTIF('Gate plan'!$A$4:$A$353,C218)=0),"Plan ID not found in Gate plan",IF(AND(C218&lt;&gt;"",COUNTIFS('Gate plan'!$A$4:$A$353,C218,'Gate plan'!$B$4:$B$353,B218)=0),"Plan AIR-ID differs from event",IF(D218="","Gate / forum missing",IF(AND(E218="Precautionary pause (containment)",G218&lt;&gt;"Paused — pending decision"),"Precautionary pause: Outcome must be Paused, pending decision",IF(AND(E218="Precautionary pause (containment)",V218=""),"Precautionary pause: AIG-OPS-03 incident ref missing",IF(AND(E218="Precautionary pause (containment)",NOT(ISNUMBER(W218))),"Precautionary pause: follow-up decision due date missing",IF(AND(G218="Paused — pending decision",E218&lt;&gt;"Precautionary pause (containment)"),"Paused, pending decision is only for a Precautionary pause event",IF(AND(E218="Decision",OR(G218="",H218="",I218="")),"Outcome / delegation / decision ref missing",IF(AND(E218="Decision",NOT(OR(G218="Progress",G218="Progress with condition",G218="Return for evidence",G218="Pause",G218="Stop",G218="Suspend",G218="Decommission",G218="Re-authorise",G218="Resume"))),"Decision event needs a decision outcome",IF(AND(E218="Priority override",OR(H218="",I218="")),"Decision-maker / AIG-DEC-03 ref missing",IF(AND(E218="Priority override",G218&lt;&gt;"",G218&lt;&gt;"No decision"),"Priority override: Outcome blank or No decision",IF(AND(E218&lt;&gt;"Decision",OR(G218="Progress",G218="Progress with condition",G218="Return for evidence",G218="Pause",G218="Stop",G218="Suspend",G218="Decommission",G218="Re-authorise",G218="Resume")),"Outcome implies decision",IF(OR(ISNUMBER(SEARCH(",",O218)),ISNUMBER(SEARCH(";",O218))),"One UC-ID per event row — split this event",IF(AND(E218="Decision",OR(Q218="UC-ID REQUIRED",Q218="Decision scope missing",Q218="REMOVE UC-ID OR CORRECT SCOPE")),"Decision scope missing",IF(AND(G218="Progress with condition",COUNTIF(Conditions!$B$4:$B$553,A218)=0),"Progress with condition needs at least one Conditions row",IF(AND(C218&lt;&gt;"",COUNTIFS('Gate plan'!$A$4:$A$353,C218,'Gate plan'!$C$4:$C$353,D218)=0),"Plan gate differs from event gate",IF(AND(C218&lt;&gt;"",O218&lt;&gt;"",COUNTIFS('Gate plan'!$A$4:$A$353,C218,'Gate plan'!$K$4:$K$353,"&lt;&gt;")&gt;0,COUNTIFS('Gate plan'!$A$4:$A$353,C218,'Gate plan'!$K$4:$K$353,O218)=0),"Plan UC-ID differs from event UC-ID",IF(AND(E218="Assurance opinion",J218=""),"Assurance opinion ref missing",IF(AND(G218="Opinion only",E218&lt;&gt;"Assurance opinion",E218&lt;&gt;"Review only"),"Opinion only is for Assurance opinion or Review only events",IF(AND(G218="No decision",E218&lt;&gt;"Review only",E218&lt;&gt;"Priority override",E218&lt;&gt;"Intake / registration"),"No decision is for Review only, Priority override or Intake / registration events",IF(OR(ISNUMBER(SEARCH(" ",TRIM(O218))),ISNUMBER(SEARCH("/",O218))),"One UC-ID per event row: split this event",IF(AND(E218="Precautionary pause (containment)",ISNUMBER(W218),ISNUMBER(F218),W218&lt;F218),"Follow-up decision due date is before the pause",IF(AND(G218="Resume",IFERROR(LOOKUP(2,1/(($B$3:B217=B218)*($O$3:O217=O218)),$G$3:G217),"")&lt;&gt;"Paused — pending decision"),"Resume is only for the event straight after a Precautionary pause on the same AIR-ID and UC-ID (in an earlier row)",IF(AND(E218="Decision",OR(G218="Progress",G218="Progress with condition",G218="Re-authorise",G218="Resume"),X218&lt;&gt;"Yes"),"Decision-maker has not confirmed the screening was considered (column X)","Check against source")))))))))))))))))))))))))))))</f>
        <v/>
      </c>
      <c r="O218" s="37" t="n"/>
      <c r="P218" s="37" t="n"/>
      <c r="Q218" s="14">
        <f>IF(A218="","",IF(E218&lt;&gt;"Decision","",IF(P218="UC-ID specific",IF(O218="","UC-ID REQUIRED","Check source decision for each UC-ID"),IF(P218="Shared system baseline",IF(O218&lt;&gt;"","REMOVE UC-ID OR CORRECT SCOPE","Baseline only — NOT UC approval"),"Decision scope missing"))))</f>
        <v/>
      </c>
      <c r="R218" s="42" t="n"/>
      <c r="S218" s="38" t="n"/>
      <c r="T218" s="38" t="n"/>
      <c r="U218" s="38" t="n"/>
      <c r="V218" s="38" t="n"/>
      <c r="W218" s="39" t="n"/>
      <c r="X218" s="38" t="n"/>
    </row>
    <row r="219">
      <c r="A219" s="40" t="n"/>
      <c r="B219" s="40" t="n"/>
      <c r="C219" s="40" t="n"/>
      <c r="D219" s="40" t="n"/>
      <c r="E219" s="40" t="n"/>
      <c r="F219" s="41" t="n"/>
      <c r="G219" s="40" t="n"/>
      <c r="H219" s="40" t="n"/>
      <c r="I219" s="40" t="n"/>
      <c r="J219" s="40" t="n"/>
      <c r="K219" s="40" t="n"/>
      <c r="L219" s="40" t="n"/>
      <c r="M219" s="40" t="n"/>
      <c r="N219" s="24">
        <f>IF(COUNTA(A219:M219,O219:P219,R219:X219)=0,"",IF(OR(A219="",B219="",F219=""),"Event ID, AIR-ID or date missing",IF(COUNTIF($A$4:$A$553,A219)&gt;1,"Duplicate Event ID",IF(E219="","Event type missing",IF(OR(NOT(ISNUMBER(F219)),F219&gt;TODAY()),"Date is not a real date or is in the future",IF(AND(C219&lt;&gt;"",COUNTIF('Gate plan'!$A$4:$A$353,C219)=0),"Plan ID not found in Gate plan",IF(AND(C219&lt;&gt;"",COUNTIFS('Gate plan'!$A$4:$A$353,C219,'Gate plan'!$B$4:$B$353,B219)=0),"Plan AIR-ID differs from event",IF(D219="","Gate / forum missing",IF(AND(E219="Precautionary pause (containment)",G219&lt;&gt;"Paused — pending decision"),"Precautionary pause: Outcome must be Paused, pending decision",IF(AND(E219="Precautionary pause (containment)",V219=""),"Precautionary pause: AIG-OPS-03 incident ref missing",IF(AND(E219="Precautionary pause (containment)",NOT(ISNUMBER(W219))),"Precautionary pause: follow-up decision due date missing",IF(AND(G219="Paused — pending decision",E219&lt;&gt;"Precautionary pause (containment)"),"Paused, pending decision is only for a Precautionary pause event",IF(AND(E219="Decision",OR(G219="",H219="",I219="")),"Outcome / delegation / decision ref missing",IF(AND(E219="Decision",NOT(OR(G219="Progress",G219="Progress with condition",G219="Return for evidence",G219="Pause",G219="Stop",G219="Suspend",G219="Decommission",G219="Re-authorise",G219="Resume"))),"Decision event needs a decision outcome",IF(AND(E219="Priority override",OR(H219="",I219="")),"Decision-maker / AIG-DEC-03 ref missing",IF(AND(E219="Priority override",G219&lt;&gt;"",G219&lt;&gt;"No decision"),"Priority override: Outcome blank or No decision",IF(AND(E219&lt;&gt;"Decision",OR(G219="Progress",G219="Progress with condition",G219="Return for evidence",G219="Pause",G219="Stop",G219="Suspend",G219="Decommission",G219="Re-authorise",G219="Resume")),"Outcome implies decision",IF(OR(ISNUMBER(SEARCH(",",O219)),ISNUMBER(SEARCH(";",O219))),"One UC-ID per event row — split this event",IF(AND(E219="Decision",OR(Q219="UC-ID REQUIRED",Q219="Decision scope missing",Q219="REMOVE UC-ID OR CORRECT SCOPE")),"Decision scope missing",IF(AND(G219="Progress with condition",COUNTIF(Conditions!$B$4:$B$553,A219)=0),"Progress with condition needs at least one Conditions row",IF(AND(C219&lt;&gt;"",COUNTIFS('Gate plan'!$A$4:$A$353,C219,'Gate plan'!$C$4:$C$353,D219)=0),"Plan gate differs from event gate",IF(AND(C219&lt;&gt;"",O219&lt;&gt;"",COUNTIFS('Gate plan'!$A$4:$A$353,C219,'Gate plan'!$K$4:$K$353,"&lt;&gt;")&gt;0,COUNTIFS('Gate plan'!$A$4:$A$353,C219,'Gate plan'!$K$4:$K$353,O219)=0),"Plan UC-ID differs from event UC-ID",IF(AND(E219="Assurance opinion",J219=""),"Assurance opinion ref missing",IF(AND(G219="Opinion only",E219&lt;&gt;"Assurance opinion",E219&lt;&gt;"Review only"),"Opinion only is for Assurance opinion or Review only events",IF(AND(G219="No decision",E219&lt;&gt;"Review only",E219&lt;&gt;"Priority override",E219&lt;&gt;"Intake / registration"),"No decision is for Review only, Priority override or Intake / registration events",IF(OR(ISNUMBER(SEARCH(" ",TRIM(O219))),ISNUMBER(SEARCH("/",O219))),"One UC-ID per event row: split this event",IF(AND(E219="Precautionary pause (containment)",ISNUMBER(W219),ISNUMBER(F219),W219&lt;F219),"Follow-up decision due date is before the pause",IF(AND(G219="Resume",IFERROR(LOOKUP(2,1/(($B$3:B218=B219)*($O$3:O218=O219)),$G$3:G218),"")&lt;&gt;"Paused — pending decision"),"Resume is only for the event straight after a Precautionary pause on the same AIR-ID and UC-ID (in an earlier row)",IF(AND(E219="Decision",OR(G219="Progress",G219="Progress with condition",G219="Re-authorise",G219="Resume"),X219&lt;&gt;"Yes"),"Decision-maker has not confirmed the screening was considered (column X)","Check against source")))))))))))))))))))))))))))))</f>
        <v/>
      </c>
      <c r="O219" s="37" t="n"/>
      <c r="P219" s="37" t="n"/>
      <c r="Q219" s="14">
        <f>IF(A219="","",IF(E219&lt;&gt;"Decision","",IF(P219="UC-ID specific",IF(O219="","UC-ID REQUIRED","Check source decision for each UC-ID"),IF(P219="Shared system baseline",IF(O219&lt;&gt;"","REMOVE UC-ID OR CORRECT SCOPE","Baseline only — NOT UC approval"),"Decision scope missing"))))</f>
        <v/>
      </c>
      <c r="R219" s="43" t="n"/>
      <c r="S219" s="40" t="n"/>
      <c r="T219" s="40" t="n"/>
      <c r="U219" s="40" t="n"/>
      <c r="V219" s="40" t="n"/>
      <c r="W219" s="41" t="n"/>
      <c r="X219" s="38" t="n"/>
    </row>
    <row r="220">
      <c r="A220" s="38" t="n"/>
      <c r="B220" s="38" t="n"/>
      <c r="C220" s="38" t="n"/>
      <c r="D220" s="38" t="n"/>
      <c r="E220" s="38" t="n"/>
      <c r="F220" s="39" t="n"/>
      <c r="G220" s="38" t="n"/>
      <c r="H220" s="38" t="n"/>
      <c r="I220" s="38" t="n"/>
      <c r="J220" s="38" t="n"/>
      <c r="K220" s="38" t="n"/>
      <c r="L220" s="38" t="n"/>
      <c r="M220" s="38" t="n"/>
      <c r="N220" s="22">
        <f>IF(COUNTA(A220:M220,O220:P220,R220:X220)=0,"",IF(OR(A220="",B220="",F220=""),"Event ID, AIR-ID or date missing",IF(COUNTIF($A$4:$A$553,A220)&gt;1,"Duplicate Event ID",IF(E220="","Event type missing",IF(OR(NOT(ISNUMBER(F220)),F220&gt;TODAY()),"Date is not a real date or is in the future",IF(AND(C220&lt;&gt;"",COUNTIF('Gate plan'!$A$4:$A$353,C220)=0),"Plan ID not found in Gate plan",IF(AND(C220&lt;&gt;"",COUNTIFS('Gate plan'!$A$4:$A$353,C220,'Gate plan'!$B$4:$B$353,B220)=0),"Plan AIR-ID differs from event",IF(D220="","Gate / forum missing",IF(AND(E220="Precautionary pause (containment)",G220&lt;&gt;"Paused — pending decision"),"Precautionary pause: Outcome must be Paused, pending decision",IF(AND(E220="Precautionary pause (containment)",V220=""),"Precautionary pause: AIG-OPS-03 incident ref missing",IF(AND(E220="Precautionary pause (containment)",NOT(ISNUMBER(W220))),"Precautionary pause: follow-up decision due date missing",IF(AND(G220="Paused — pending decision",E220&lt;&gt;"Precautionary pause (containment)"),"Paused, pending decision is only for a Precautionary pause event",IF(AND(E220="Decision",OR(G220="",H220="",I220="")),"Outcome / delegation / decision ref missing",IF(AND(E220="Decision",NOT(OR(G220="Progress",G220="Progress with condition",G220="Return for evidence",G220="Pause",G220="Stop",G220="Suspend",G220="Decommission",G220="Re-authorise",G220="Resume"))),"Decision event needs a decision outcome",IF(AND(E220="Priority override",OR(H220="",I220="")),"Decision-maker / AIG-DEC-03 ref missing",IF(AND(E220="Priority override",G220&lt;&gt;"",G220&lt;&gt;"No decision"),"Priority override: Outcome blank or No decision",IF(AND(E220&lt;&gt;"Decision",OR(G220="Progress",G220="Progress with condition",G220="Return for evidence",G220="Pause",G220="Stop",G220="Suspend",G220="Decommission",G220="Re-authorise",G220="Resume")),"Outcome implies decision",IF(OR(ISNUMBER(SEARCH(",",O220)),ISNUMBER(SEARCH(";",O220))),"One UC-ID per event row — split this event",IF(AND(E220="Decision",OR(Q220="UC-ID REQUIRED",Q220="Decision scope missing",Q220="REMOVE UC-ID OR CORRECT SCOPE")),"Decision scope missing",IF(AND(G220="Progress with condition",COUNTIF(Conditions!$B$4:$B$553,A220)=0),"Progress with condition needs at least one Conditions row",IF(AND(C220&lt;&gt;"",COUNTIFS('Gate plan'!$A$4:$A$353,C220,'Gate plan'!$C$4:$C$353,D220)=0),"Plan gate differs from event gate",IF(AND(C220&lt;&gt;"",O220&lt;&gt;"",COUNTIFS('Gate plan'!$A$4:$A$353,C220,'Gate plan'!$K$4:$K$353,"&lt;&gt;")&gt;0,COUNTIFS('Gate plan'!$A$4:$A$353,C220,'Gate plan'!$K$4:$K$353,O220)=0),"Plan UC-ID differs from event UC-ID",IF(AND(E220="Assurance opinion",J220=""),"Assurance opinion ref missing",IF(AND(G220="Opinion only",E220&lt;&gt;"Assurance opinion",E220&lt;&gt;"Review only"),"Opinion only is for Assurance opinion or Review only events",IF(AND(G220="No decision",E220&lt;&gt;"Review only",E220&lt;&gt;"Priority override",E220&lt;&gt;"Intake / registration"),"No decision is for Review only, Priority override or Intake / registration events",IF(OR(ISNUMBER(SEARCH(" ",TRIM(O220))),ISNUMBER(SEARCH("/",O220))),"One UC-ID per event row: split this event",IF(AND(E220="Precautionary pause (containment)",ISNUMBER(W220),ISNUMBER(F220),W220&lt;F220),"Follow-up decision due date is before the pause",IF(AND(G220="Resume",IFERROR(LOOKUP(2,1/(($B$3:B219=B220)*($O$3:O219=O220)),$G$3:G219),"")&lt;&gt;"Paused — pending decision"),"Resume is only for the event straight after a Precautionary pause on the same AIR-ID and UC-ID (in an earlier row)",IF(AND(E220="Decision",OR(G220="Progress",G220="Progress with condition",G220="Re-authorise",G220="Resume"),X220&lt;&gt;"Yes"),"Decision-maker has not confirmed the screening was considered (column X)","Check against source")))))))))))))))))))))))))))))</f>
        <v/>
      </c>
      <c r="O220" s="37" t="n"/>
      <c r="P220" s="37" t="n"/>
      <c r="Q220" s="14">
        <f>IF(A220="","",IF(E220&lt;&gt;"Decision","",IF(P220="UC-ID specific",IF(O220="","UC-ID REQUIRED","Check source decision for each UC-ID"),IF(P220="Shared system baseline",IF(O220&lt;&gt;"","REMOVE UC-ID OR CORRECT SCOPE","Baseline only — NOT UC approval"),"Decision scope missing"))))</f>
        <v/>
      </c>
      <c r="R220" s="42" t="n"/>
      <c r="S220" s="38" t="n"/>
      <c r="T220" s="38" t="n"/>
      <c r="U220" s="38" t="n"/>
      <c r="V220" s="38" t="n"/>
      <c r="W220" s="39" t="n"/>
      <c r="X220" s="38" t="n"/>
    </row>
    <row r="221">
      <c r="A221" s="40" t="n"/>
      <c r="B221" s="40" t="n"/>
      <c r="C221" s="40" t="n"/>
      <c r="D221" s="40" t="n"/>
      <c r="E221" s="40" t="n"/>
      <c r="F221" s="41" t="n"/>
      <c r="G221" s="40" t="n"/>
      <c r="H221" s="40" t="n"/>
      <c r="I221" s="40" t="n"/>
      <c r="J221" s="40" t="n"/>
      <c r="K221" s="40" t="n"/>
      <c r="L221" s="40" t="n"/>
      <c r="M221" s="40" t="n"/>
      <c r="N221" s="24">
        <f>IF(COUNTA(A221:M221,O221:P221,R221:X221)=0,"",IF(OR(A221="",B221="",F221=""),"Event ID, AIR-ID or date missing",IF(COUNTIF($A$4:$A$553,A221)&gt;1,"Duplicate Event ID",IF(E221="","Event type missing",IF(OR(NOT(ISNUMBER(F221)),F221&gt;TODAY()),"Date is not a real date or is in the future",IF(AND(C221&lt;&gt;"",COUNTIF('Gate plan'!$A$4:$A$353,C221)=0),"Plan ID not found in Gate plan",IF(AND(C221&lt;&gt;"",COUNTIFS('Gate plan'!$A$4:$A$353,C221,'Gate plan'!$B$4:$B$353,B221)=0),"Plan AIR-ID differs from event",IF(D221="","Gate / forum missing",IF(AND(E221="Precautionary pause (containment)",G221&lt;&gt;"Paused — pending decision"),"Precautionary pause: Outcome must be Paused, pending decision",IF(AND(E221="Precautionary pause (containment)",V221=""),"Precautionary pause: AIG-OPS-03 incident ref missing",IF(AND(E221="Precautionary pause (containment)",NOT(ISNUMBER(W221))),"Precautionary pause: follow-up decision due date missing",IF(AND(G221="Paused — pending decision",E221&lt;&gt;"Precautionary pause (containment)"),"Paused, pending decision is only for a Precautionary pause event",IF(AND(E221="Decision",OR(G221="",H221="",I221="")),"Outcome / delegation / decision ref missing",IF(AND(E221="Decision",NOT(OR(G221="Progress",G221="Progress with condition",G221="Return for evidence",G221="Pause",G221="Stop",G221="Suspend",G221="Decommission",G221="Re-authorise",G221="Resume"))),"Decision event needs a decision outcome",IF(AND(E221="Priority override",OR(H221="",I221="")),"Decision-maker / AIG-DEC-03 ref missing",IF(AND(E221="Priority override",G221&lt;&gt;"",G221&lt;&gt;"No decision"),"Priority override: Outcome blank or No decision",IF(AND(E221&lt;&gt;"Decision",OR(G221="Progress",G221="Progress with condition",G221="Return for evidence",G221="Pause",G221="Stop",G221="Suspend",G221="Decommission",G221="Re-authorise",G221="Resume")),"Outcome implies decision",IF(OR(ISNUMBER(SEARCH(",",O221)),ISNUMBER(SEARCH(";",O221))),"One UC-ID per event row — split this event",IF(AND(E221="Decision",OR(Q221="UC-ID REQUIRED",Q221="Decision scope missing",Q221="REMOVE UC-ID OR CORRECT SCOPE")),"Decision scope missing",IF(AND(G221="Progress with condition",COUNTIF(Conditions!$B$4:$B$553,A221)=0),"Progress with condition needs at least one Conditions row",IF(AND(C221&lt;&gt;"",COUNTIFS('Gate plan'!$A$4:$A$353,C221,'Gate plan'!$C$4:$C$353,D221)=0),"Plan gate differs from event gate",IF(AND(C221&lt;&gt;"",O221&lt;&gt;"",COUNTIFS('Gate plan'!$A$4:$A$353,C221,'Gate plan'!$K$4:$K$353,"&lt;&gt;")&gt;0,COUNTIFS('Gate plan'!$A$4:$A$353,C221,'Gate plan'!$K$4:$K$353,O221)=0),"Plan UC-ID differs from event UC-ID",IF(AND(E221="Assurance opinion",J221=""),"Assurance opinion ref missing",IF(AND(G221="Opinion only",E221&lt;&gt;"Assurance opinion",E221&lt;&gt;"Review only"),"Opinion only is for Assurance opinion or Review only events",IF(AND(G221="No decision",E221&lt;&gt;"Review only",E221&lt;&gt;"Priority override",E221&lt;&gt;"Intake / registration"),"No decision is for Review only, Priority override or Intake / registration events",IF(OR(ISNUMBER(SEARCH(" ",TRIM(O221))),ISNUMBER(SEARCH("/",O221))),"One UC-ID per event row: split this event",IF(AND(E221="Precautionary pause (containment)",ISNUMBER(W221),ISNUMBER(F221),W221&lt;F221),"Follow-up decision due date is before the pause",IF(AND(G221="Resume",IFERROR(LOOKUP(2,1/(($B$3:B220=B221)*($O$3:O220=O221)),$G$3:G220),"")&lt;&gt;"Paused — pending decision"),"Resume is only for the event straight after a Precautionary pause on the same AIR-ID and UC-ID (in an earlier row)",IF(AND(E221="Decision",OR(G221="Progress",G221="Progress with condition",G221="Re-authorise",G221="Resume"),X221&lt;&gt;"Yes"),"Decision-maker has not confirmed the screening was considered (column X)","Check against source")))))))))))))))))))))))))))))</f>
        <v/>
      </c>
      <c r="O221" s="37" t="n"/>
      <c r="P221" s="37" t="n"/>
      <c r="Q221" s="14">
        <f>IF(A221="","",IF(E221&lt;&gt;"Decision","",IF(P221="UC-ID specific",IF(O221="","UC-ID REQUIRED","Check source decision for each UC-ID"),IF(P221="Shared system baseline",IF(O221&lt;&gt;"","REMOVE UC-ID OR CORRECT SCOPE","Baseline only — NOT UC approval"),"Decision scope missing"))))</f>
        <v/>
      </c>
      <c r="R221" s="43" t="n"/>
      <c r="S221" s="40" t="n"/>
      <c r="T221" s="40" t="n"/>
      <c r="U221" s="40" t="n"/>
      <c r="V221" s="40" t="n"/>
      <c r="W221" s="41" t="n"/>
      <c r="X221" s="38" t="n"/>
    </row>
    <row r="222">
      <c r="A222" s="38" t="n"/>
      <c r="B222" s="38" t="n"/>
      <c r="C222" s="38" t="n"/>
      <c r="D222" s="38" t="n"/>
      <c r="E222" s="38" t="n"/>
      <c r="F222" s="39" t="n"/>
      <c r="G222" s="38" t="n"/>
      <c r="H222" s="38" t="n"/>
      <c r="I222" s="38" t="n"/>
      <c r="J222" s="38" t="n"/>
      <c r="K222" s="38" t="n"/>
      <c r="L222" s="38" t="n"/>
      <c r="M222" s="38" t="n"/>
      <c r="N222" s="22">
        <f>IF(COUNTA(A222:M222,O222:P222,R222:X222)=0,"",IF(OR(A222="",B222="",F222=""),"Event ID, AIR-ID or date missing",IF(COUNTIF($A$4:$A$553,A222)&gt;1,"Duplicate Event ID",IF(E222="","Event type missing",IF(OR(NOT(ISNUMBER(F222)),F222&gt;TODAY()),"Date is not a real date or is in the future",IF(AND(C222&lt;&gt;"",COUNTIF('Gate plan'!$A$4:$A$353,C222)=0),"Plan ID not found in Gate plan",IF(AND(C222&lt;&gt;"",COUNTIFS('Gate plan'!$A$4:$A$353,C222,'Gate plan'!$B$4:$B$353,B222)=0),"Plan AIR-ID differs from event",IF(D222="","Gate / forum missing",IF(AND(E222="Precautionary pause (containment)",G222&lt;&gt;"Paused — pending decision"),"Precautionary pause: Outcome must be Paused, pending decision",IF(AND(E222="Precautionary pause (containment)",V222=""),"Precautionary pause: AIG-OPS-03 incident ref missing",IF(AND(E222="Precautionary pause (containment)",NOT(ISNUMBER(W222))),"Precautionary pause: follow-up decision due date missing",IF(AND(G222="Paused — pending decision",E222&lt;&gt;"Precautionary pause (containment)"),"Paused, pending decision is only for a Precautionary pause event",IF(AND(E222="Decision",OR(G222="",H222="",I222="")),"Outcome / delegation / decision ref missing",IF(AND(E222="Decision",NOT(OR(G222="Progress",G222="Progress with condition",G222="Return for evidence",G222="Pause",G222="Stop",G222="Suspend",G222="Decommission",G222="Re-authorise",G222="Resume"))),"Decision event needs a decision outcome",IF(AND(E222="Priority override",OR(H222="",I222="")),"Decision-maker / AIG-DEC-03 ref missing",IF(AND(E222="Priority override",G222&lt;&gt;"",G222&lt;&gt;"No decision"),"Priority override: Outcome blank or No decision",IF(AND(E222&lt;&gt;"Decision",OR(G222="Progress",G222="Progress with condition",G222="Return for evidence",G222="Pause",G222="Stop",G222="Suspend",G222="Decommission",G222="Re-authorise",G222="Resume")),"Outcome implies decision",IF(OR(ISNUMBER(SEARCH(",",O222)),ISNUMBER(SEARCH(";",O222))),"One UC-ID per event row — split this event",IF(AND(E222="Decision",OR(Q222="UC-ID REQUIRED",Q222="Decision scope missing",Q222="REMOVE UC-ID OR CORRECT SCOPE")),"Decision scope missing",IF(AND(G222="Progress with condition",COUNTIF(Conditions!$B$4:$B$553,A222)=0),"Progress with condition needs at least one Conditions row",IF(AND(C222&lt;&gt;"",COUNTIFS('Gate plan'!$A$4:$A$353,C222,'Gate plan'!$C$4:$C$353,D222)=0),"Plan gate differs from event gate",IF(AND(C222&lt;&gt;"",O222&lt;&gt;"",COUNTIFS('Gate plan'!$A$4:$A$353,C222,'Gate plan'!$K$4:$K$353,"&lt;&gt;")&gt;0,COUNTIFS('Gate plan'!$A$4:$A$353,C222,'Gate plan'!$K$4:$K$353,O222)=0),"Plan UC-ID differs from event UC-ID",IF(AND(E222="Assurance opinion",J222=""),"Assurance opinion ref missing",IF(AND(G222="Opinion only",E222&lt;&gt;"Assurance opinion",E222&lt;&gt;"Review only"),"Opinion only is for Assurance opinion or Review only events",IF(AND(G222="No decision",E222&lt;&gt;"Review only",E222&lt;&gt;"Priority override",E222&lt;&gt;"Intake / registration"),"No decision is for Review only, Priority override or Intake / registration events",IF(OR(ISNUMBER(SEARCH(" ",TRIM(O222))),ISNUMBER(SEARCH("/",O222))),"One UC-ID per event row: split this event",IF(AND(E222="Precautionary pause (containment)",ISNUMBER(W222),ISNUMBER(F222),W222&lt;F222),"Follow-up decision due date is before the pause",IF(AND(G222="Resume",IFERROR(LOOKUP(2,1/(($B$3:B221=B222)*($O$3:O221=O222)),$G$3:G221),"")&lt;&gt;"Paused — pending decision"),"Resume is only for the event straight after a Precautionary pause on the same AIR-ID and UC-ID (in an earlier row)",IF(AND(E222="Decision",OR(G222="Progress",G222="Progress with condition",G222="Re-authorise",G222="Resume"),X222&lt;&gt;"Yes"),"Decision-maker has not confirmed the screening was considered (column X)","Check against source")))))))))))))))))))))))))))))</f>
        <v/>
      </c>
      <c r="O222" s="37" t="n"/>
      <c r="P222" s="37" t="n"/>
      <c r="Q222" s="14">
        <f>IF(A222="","",IF(E222&lt;&gt;"Decision","",IF(P222="UC-ID specific",IF(O222="","UC-ID REQUIRED","Check source decision for each UC-ID"),IF(P222="Shared system baseline",IF(O222&lt;&gt;"","REMOVE UC-ID OR CORRECT SCOPE","Baseline only — NOT UC approval"),"Decision scope missing"))))</f>
        <v/>
      </c>
      <c r="R222" s="42" t="n"/>
      <c r="S222" s="38" t="n"/>
      <c r="T222" s="38" t="n"/>
      <c r="U222" s="38" t="n"/>
      <c r="V222" s="38" t="n"/>
      <c r="W222" s="39" t="n"/>
      <c r="X222" s="38" t="n"/>
    </row>
    <row r="223">
      <c r="A223" s="40" t="n"/>
      <c r="B223" s="40" t="n"/>
      <c r="C223" s="40" t="n"/>
      <c r="D223" s="40" t="n"/>
      <c r="E223" s="40" t="n"/>
      <c r="F223" s="41" t="n"/>
      <c r="G223" s="40" t="n"/>
      <c r="H223" s="40" t="n"/>
      <c r="I223" s="40" t="n"/>
      <c r="J223" s="40" t="n"/>
      <c r="K223" s="40" t="n"/>
      <c r="L223" s="40" t="n"/>
      <c r="M223" s="40" t="n"/>
      <c r="N223" s="24">
        <f>IF(COUNTA(A223:M223,O223:P223,R223:X223)=0,"",IF(OR(A223="",B223="",F223=""),"Event ID, AIR-ID or date missing",IF(COUNTIF($A$4:$A$553,A223)&gt;1,"Duplicate Event ID",IF(E223="","Event type missing",IF(OR(NOT(ISNUMBER(F223)),F223&gt;TODAY()),"Date is not a real date or is in the future",IF(AND(C223&lt;&gt;"",COUNTIF('Gate plan'!$A$4:$A$353,C223)=0),"Plan ID not found in Gate plan",IF(AND(C223&lt;&gt;"",COUNTIFS('Gate plan'!$A$4:$A$353,C223,'Gate plan'!$B$4:$B$353,B223)=0),"Plan AIR-ID differs from event",IF(D223="","Gate / forum missing",IF(AND(E223="Precautionary pause (containment)",G223&lt;&gt;"Paused — pending decision"),"Precautionary pause: Outcome must be Paused, pending decision",IF(AND(E223="Precautionary pause (containment)",V223=""),"Precautionary pause: AIG-OPS-03 incident ref missing",IF(AND(E223="Precautionary pause (containment)",NOT(ISNUMBER(W223))),"Precautionary pause: follow-up decision due date missing",IF(AND(G223="Paused — pending decision",E223&lt;&gt;"Precautionary pause (containment)"),"Paused, pending decision is only for a Precautionary pause event",IF(AND(E223="Decision",OR(G223="",H223="",I223="")),"Outcome / delegation / decision ref missing",IF(AND(E223="Decision",NOT(OR(G223="Progress",G223="Progress with condition",G223="Return for evidence",G223="Pause",G223="Stop",G223="Suspend",G223="Decommission",G223="Re-authorise",G223="Resume"))),"Decision event needs a decision outcome",IF(AND(E223="Priority override",OR(H223="",I223="")),"Decision-maker / AIG-DEC-03 ref missing",IF(AND(E223="Priority override",G223&lt;&gt;"",G223&lt;&gt;"No decision"),"Priority override: Outcome blank or No decision",IF(AND(E223&lt;&gt;"Decision",OR(G223="Progress",G223="Progress with condition",G223="Return for evidence",G223="Pause",G223="Stop",G223="Suspend",G223="Decommission",G223="Re-authorise",G223="Resume")),"Outcome implies decision",IF(OR(ISNUMBER(SEARCH(",",O223)),ISNUMBER(SEARCH(";",O223))),"One UC-ID per event row — split this event",IF(AND(E223="Decision",OR(Q223="UC-ID REQUIRED",Q223="Decision scope missing",Q223="REMOVE UC-ID OR CORRECT SCOPE")),"Decision scope missing",IF(AND(G223="Progress with condition",COUNTIF(Conditions!$B$4:$B$553,A223)=0),"Progress with condition needs at least one Conditions row",IF(AND(C223&lt;&gt;"",COUNTIFS('Gate plan'!$A$4:$A$353,C223,'Gate plan'!$C$4:$C$353,D223)=0),"Plan gate differs from event gate",IF(AND(C223&lt;&gt;"",O223&lt;&gt;"",COUNTIFS('Gate plan'!$A$4:$A$353,C223,'Gate plan'!$K$4:$K$353,"&lt;&gt;")&gt;0,COUNTIFS('Gate plan'!$A$4:$A$353,C223,'Gate plan'!$K$4:$K$353,O223)=0),"Plan UC-ID differs from event UC-ID",IF(AND(E223="Assurance opinion",J223=""),"Assurance opinion ref missing",IF(AND(G223="Opinion only",E223&lt;&gt;"Assurance opinion",E223&lt;&gt;"Review only"),"Opinion only is for Assurance opinion or Review only events",IF(AND(G223="No decision",E223&lt;&gt;"Review only",E223&lt;&gt;"Priority override",E223&lt;&gt;"Intake / registration"),"No decision is for Review only, Priority override or Intake / registration events",IF(OR(ISNUMBER(SEARCH(" ",TRIM(O223))),ISNUMBER(SEARCH("/",O223))),"One UC-ID per event row: split this event",IF(AND(E223="Precautionary pause (containment)",ISNUMBER(W223),ISNUMBER(F223),W223&lt;F223),"Follow-up decision due date is before the pause",IF(AND(G223="Resume",IFERROR(LOOKUP(2,1/(($B$3:B222=B223)*($O$3:O222=O223)),$G$3:G222),"")&lt;&gt;"Paused — pending decision"),"Resume is only for the event straight after a Precautionary pause on the same AIR-ID and UC-ID (in an earlier row)",IF(AND(E223="Decision",OR(G223="Progress",G223="Progress with condition",G223="Re-authorise",G223="Resume"),X223&lt;&gt;"Yes"),"Decision-maker has not confirmed the screening was considered (column X)","Check against source")))))))))))))))))))))))))))))</f>
        <v/>
      </c>
      <c r="O223" s="37" t="n"/>
      <c r="P223" s="37" t="n"/>
      <c r="Q223" s="14">
        <f>IF(A223="","",IF(E223&lt;&gt;"Decision","",IF(P223="UC-ID specific",IF(O223="","UC-ID REQUIRED","Check source decision for each UC-ID"),IF(P223="Shared system baseline",IF(O223&lt;&gt;"","REMOVE UC-ID OR CORRECT SCOPE","Baseline only — NOT UC approval"),"Decision scope missing"))))</f>
        <v/>
      </c>
      <c r="R223" s="43" t="n"/>
      <c r="S223" s="40" t="n"/>
      <c r="T223" s="40" t="n"/>
      <c r="U223" s="40" t="n"/>
      <c r="V223" s="40" t="n"/>
      <c r="W223" s="41" t="n"/>
      <c r="X223" s="38" t="n"/>
    </row>
    <row r="224">
      <c r="A224" s="38" t="n"/>
      <c r="B224" s="38" t="n"/>
      <c r="C224" s="38" t="n"/>
      <c r="D224" s="38" t="n"/>
      <c r="E224" s="38" t="n"/>
      <c r="F224" s="39" t="n"/>
      <c r="G224" s="38" t="n"/>
      <c r="H224" s="38" t="n"/>
      <c r="I224" s="38" t="n"/>
      <c r="J224" s="38" t="n"/>
      <c r="K224" s="38" t="n"/>
      <c r="L224" s="38" t="n"/>
      <c r="M224" s="38" t="n"/>
      <c r="N224" s="22">
        <f>IF(COUNTA(A224:M224,O224:P224,R224:X224)=0,"",IF(OR(A224="",B224="",F224=""),"Event ID, AIR-ID or date missing",IF(COUNTIF($A$4:$A$553,A224)&gt;1,"Duplicate Event ID",IF(E224="","Event type missing",IF(OR(NOT(ISNUMBER(F224)),F224&gt;TODAY()),"Date is not a real date or is in the future",IF(AND(C224&lt;&gt;"",COUNTIF('Gate plan'!$A$4:$A$353,C224)=0),"Plan ID not found in Gate plan",IF(AND(C224&lt;&gt;"",COUNTIFS('Gate plan'!$A$4:$A$353,C224,'Gate plan'!$B$4:$B$353,B224)=0),"Plan AIR-ID differs from event",IF(D224="","Gate / forum missing",IF(AND(E224="Precautionary pause (containment)",G224&lt;&gt;"Paused — pending decision"),"Precautionary pause: Outcome must be Paused, pending decision",IF(AND(E224="Precautionary pause (containment)",V224=""),"Precautionary pause: AIG-OPS-03 incident ref missing",IF(AND(E224="Precautionary pause (containment)",NOT(ISNUMBER(W224))),"Precautionary pause: follow-up decision due date missing",IF(AND(G224="Paused — pending decision",E224&lt;&gt;"Precautionary pause (containment)"),"Paused, pending decision is only for a Precautionary pause event",IF(AND(E224="Decision",OR(G224="",H224="",I224="")),"Outcome / delegation / decision ref missing",IF(AND(E224="Decision",NOT(OR(G224="Progress",G224="Progress with condition",G224="Return for evidence",G224="Pause",G224="Stop",G224="Suspend",G224="Decommission",G224="Re-authorise",G224="Resume"))),"Decision event needs a decision outcome",IF(AND(E224="Priority override",OR(H224="",I224="")),"Decision-maker / AIG-DEC-03 ref missing",IF(AND(E224="Priority override",G224&lt;&gt;"",G224&lt;&gt;"No decision"),"Priority override: Outcome blank or No decision",IF(AND(E224&lt;&gt;"Decision",OR(G224="Progress",G224="Progress with condition",G224="Return for evidence",G224="Pause",G224="Stop",G224="Suspend",G224="Decommission",G224="Re-authorise",G224="Resume")),"Outcome implies decision",IF(OR(ISNUMBER(SEARCH(",",O224)),ISNUMBER(SEARCH(";",O224))),"One UC-ID per event row — split this event",IF(AND(E224="Decision",OR(Q224="UC-ID REQUIRED",Q224="Decision scope missing",Q224="REMOVE UC-ID OR CORRECT SCOPE")),"Decision scope missing",IF(AND(G224="Progress with condition",COUNTIF(Conditions!$B$4:$B$553,A224)=0),"Progress with condition needs at least one Conditions row",IF(AND(C224&lt;&gt;"",COUNTIFS('Gate plan'!$A$4:$A$353,C224,'Gate plan'!$C$4:$C$353,D224)=0),"Plan gate differs from event gate",IF(AND(C224&lt;&gt;"",O224&lt;&gt;"",COUNTIFS('Gate plan'!$A$4:$A$353,C224,'Gate plan'!$K$4:$K$353,"&lt;&gt;")&gt;0,COUNTIFS('Gate plan'!$A$4:$A$353,C224,'Gate plan'!$K$4:$K$353,O224)=0),"Plan UC-ID differs from event UC-ID",IF(AND(E224="Assurance opinion",J224=""),"Assurance opinion ref missing",IF(AND(G224="Opinion only",E224&lt;&gt;"Assurance opinion",E224&lt;&gt;"Review only"),"Opinion only is for Assurance opinion or Review only events",IF(AND(G224="No decision",E224&lt;&gt;"Review only",E224&lt;&gt;"Priority override",E224&lt;&gt;"Intake / registration"),"No decision is for Review only, Priority override or Intake / registration events",IF(OR(ISNUMBER(SEARCH(" ",TRIM(O224))),ISNUMBER(SEARCH("/",O224))),"One UC-ID per event row: split this event",IF(AND(E224="Precautionary pause (containment)",ISNUMBER(W224),ISNUMBER(F224),W224&lt;F224),"Follow-up decision due date is before the pause",IF(AND(G224="Resume",IFERROR(LOOKUP(2,1/(($B$3:B223=B224)*($O$3:O223=O224)),$G$3:G223),"")&lt;&gt;"Paused — pending decision"),"Resume is only for the event straight after a Precautionary pause on the same AIR-ID and UC-ID (in an earlier row)",IF(AND(E224="Decision",OR(G224="Progress",G224="Progress with condition",G224="Re-authorise",G224="Resume"),X224&lt;&gt;"Yes"),"Decision-maker has not confirmed the screening was considered (column X)","Check against source")))))))))))))))))))))))))))))</f>
        <v/>
      </c>
      <c r="O224" s="37" t="n"/>
      <c r="P224" s="37" t="n"/>
      <c r="Q224" s="14">
        <f>IF(A224="","",IF(E224&lt;&gt;"Decision","",IF(P224="UC-ID specific",IF(O224="","UC-ID REQUIRED","Check source decision for each UC-ID"),IF(P224="Shared system baseline",IF(O224&lt;&gt;"","REMOVE UC-ID OR CORRECT SCOPE","Baseline only — NOT UC approval"),"Decision scope missing"))))</f>
        <v/>
      </c>
      <c r="R224" s="42" t="n"/>
      <c r="S224" s="38" t="n"/>
      <c r="T224" s="38" t="n"/>
      <c r="U224" s="38" t="n"/>
      <c r="V224" s="38" t="n"/>
      <c r="W224" s="39" t="n"/>
      <c r="X224" s="38" t="n"/>
    </row>
    <row r="225">
      <c r="A225" s="40" t="n"/>
      <c r="B225" s="40" t="n"/>
      <c r="C225" s="40" t="n"/>
      <c r="D225" s="40" t="n"/>
      <c r="E225" s="40" t="n"/>
      <c r="F225" s="41" t="n"/>
      <c r="G225" s="40" t="n"/>
      <c r="H225" s="40" t="n"/>
      <c r="I225" s="40" t="n"/>
      <c r="J225" s="40" t="n"/>
      <c r="K225" s="40" t="n"/>
      <c r="L225" s="40" t="n"/>
      <c r="M225" s="40" t="n"/>
      <c r="N225" s="24">
        <f>IF(COUNTA(A225:M225,O225:P225,R225:X225)=0,"",IF(OR(A225="",B225="",F225=""),"Event ID, AIR-ID or date missing",IF(COUNTIF($A$4:$A$553,A225)&gt;1,"Duplicate Event ID",IF(E225="","Event type missing",IF(OR(NOT(ISNUMBER(F225)),F225&gt;TODAY()),"Date is not a real date or is in the future",IF(AND(C225&lt;&gt;"",COUNTIF('Gate plan'!$A$4:$A$353,C225)=0),"Plan ID not found in Gate plan",IF(AND(C225&lt;&gt;"",COUNTIFS('Gate plan'!$A$4:$A$353,C225,'Gate plan'!$B$4:$B$353,B225)=0),"Plan AIR-ID differs from event",IF(D225="","Gate / forum missing",IF(AND(E225="Precautionary pause (containment)",G225&lt;&gt;"Paused — pending decision"),"Precautionary pause: Outcome must be Paused, pending decision",IF(AND(E225="Precautionary pause (containment)",V225=""),"Precautionary pause: AIG-OPS-03 incident ref missing",IF(AND(E225="Precautionary pause (containment)",NOT(ISNUMBER(W225))),"Precautionary pause: follow-up decision due date missing",IF(AND(G225="Paused — pending decision",E225&lt;&gt;"Precautionary pause (containment)"),"Paused, pending decision is only for a Precautionary pause event",IF(AND(E225="Decision",OR(G225="",H225="",I225="")),"Outcome / delegation / decision ref missing",IF(AND(E225="Decision",NOT(OR(G225="Progress",G225="Progress with condition",G225="Return for evidence",G225="Pause",G225="Stop",G225="Suspend",G225="Decommission",G225="Re-authorise",G225="Resume"))),"Decision event needs a decision outcome",IF(AND(E225="Priority override",OR(H225="",I225="")),"Decision-maker / AIG-DEC-03 ref missing",IF(AND(E225="Priority override",G225&lt;&gt;"",G225&lt;&gt;"No decision"),"Priority override: Outcome blank or No decision",IF(AND(E225&lt;&gt;"Decision",OR(G225="Progress",G225="Progress with condition",G225="Return for evidence",G225="Pause",G225="Stop",G225="Suspend",G225="Decommission",G225="Re-authorise",G225="Resume")),"Outcome implies decision",IF(OR(ISNUMBER(SEARCH(",",O225)),ISNUMBER(SEARCH(";",O225))),"One UC-ID per event row — split this event",IF(AND(E225="Decision",OR(Q225="UC-ID REQUIRED",Q225="Decision scope missing",Q225="REMOVE UC-ID OR CORRECT SCOPE")),"Decision scope missing",IF(AND(G225="Progress with condition",COUNTIF(Conditions!$B$4:$B$553,A225)=0),"Progress with condition needs at least one Conditions row",IF(AND(C225&lt;&gt;"",COUNTIFS('Gate plan'!$A$4:$A$353,C225,'Gate plan'!$C$4:$C$353,D225)=0),"Plan gate differs from event gate",IF(AND(C225&lt;&gt;"",O225&lt;&gt;"",COUNTIFS('Gate plan'!$A$4:$A$353,C225,'Gate plan'!$K$4:$K$353,"&lt;&gt;")&gt;0,COUNTIFS('Gate plan'!$A$4:$A$353,C225,'Gate plan'!$K$4:$K$353,O225)=0),"Plan UC-ID differs from event UC-ID",IF(AND(E225="Assurance opinion",J225=""),"Assurance opinion ref missing",IF(AND(G225="Opinion only",E225&lt;&gt;"Assurance opinion",E225&lt;&gt;"Review only"),"Opinion only is for Assurance opinion or Review only events",IF(AND(G225="No decision",E225&lt;&gt;"Review only",E225&lt;&gt;"Priority override",E225&lt;&gt;"Intake / registration"),"No decision is for Review only, Priority override or Intake / registration events",IF(OR(ISNUMBER(SEARCH(" ",TRIM(O225))),ISNUMBER(SEARCH("/",O225))),"One UC-ID per event row: split this event",IF(AND(E225="Precautionary pause (containment)",ISNUMBER(W225),ISNUMBER(F225),W225&lt;F225),"Follow-up decision due date is before the pause",IF(AND(G225="Resume",IFERROR(LOOKUP(2,1/(($B$3:B224=B225)*($O$3:O224=O225)),$G$3:G224),"")&lt;&gt;"Paused — pending decision"),"Resume is only for the event straight after a Precautionary pause on the same AIR-ID and UC-ID (in an earlier row)",IF(AND(E225="Decision",OR(G225="Progress",G225="Progress with condition",G225="Re-authorise",G225="Resume"),X225&lt;&gt;"Yes"),"Decision-maker has not confirmed the screening was considered (column X)","Check against source")))))))))))))))))))))))))))))</f>
        <v/>
      </c>
      <c r="O225" s="37" t="n"/>
      <c r="P225" s="37" t="n"/>
      <c r="Q225" s="14">
        <f>IF(A225="","",IF(E225&lt;&gt;"Decision","",IF(P225="UC-ID specific",IF(O225="","UC-ID REQUIRED","Check source decision for each UC-ID"),IF(P225="Shared system baseline",IF(O225&lt;&gt;"","REMOVE UC-ID OR CORRECT SCOPE","Baseline only — NOT UC approval"),"Decision scope missing"))))</f>
        <v/>
      </c>
      <c r="R225" s="43" t="n"/>
      <c r="S225" s="40" t="n"/>
      <c r="T225" s="40" t="n"/>
      <c r="U225" s="40" t="n"/>
      <c r="V225" s="40" t="n"/>
      <c r="W225" s="41" t="n"/>
      <c r="X225" s="38" t="n"/>
    </row>
    <row r="226">
      <c r="A226" s="38" t="n"/>
      <c r="B226" s="38" t="n"/>
      <c r="C226" s="38" t="n"/>
      <c r="D226" s="38" t="n"/>
      <c r="E226" s="38" t="n"/>
      <c r="F226" s="39" t="n"/>
      <c r="G226" s="38" t="n"/>
      <c r="H226" s="38" t="n"/>
      <c r="I226" s="38" t="n"/>
      <c r="J226" s="38" t="n"/>
      <c r="K226" s="38" t="n"/>
      <c r="L226" s="38" t="n"/>
      <c r="M226" s="38" t="n"/>
      <c r="N226" s="22">
        <f>IF(COUNTA(A226:M226,O226:P226,R226:X226)=0,"",IF(OR(A226="",B226="",F226=""),"Event ID, AIR-ID or date missing",IF(COUNTIF($A$4:$A$553,A226)&gt;1,"Duplicate Event ID",IF(E226="","Event type missing",IF(OR(NOT(ISNUMBER(F226)),F226&gt;TODAY()),"Date is not a real date or is in the future",IF(AND(C226&lt;&gt;"",COUNTIF('Gate plan'!$A$4:$A$353,C226)=0),"Plan ID not found in Gate plan",IF(AND(C226&lt;&gt;"",COUNTIFS('Gate plan'!$A$4:$A$353,C226,'Gate plan'!$B$4:$B$353,B226)=0),"Plan AIR-ID differs from event",IF(D226="","Gate / forum missing",IF(AND(E226="Precautionary pause (containment)",G226&lt;&gt;"Paused — pending decision"),"Precautionary pause: Outcome must be Paused, pending decision",IF(AND(E226="Precautionary pause (containment)",V226=""),"Precautionary pause: AIG-OPS-03 incident ref missing",IF(AND(E226="Precautionary pause (containment)",NOT(ISNUMBER(W226))),"Precautionary pause: follow-up decision due date missing",IF(AND(G226="Paused — pending decision",E226&lt;&gt;"Precautionary pause (containment)"),"Paused, pending decision is only for a Precautionary pause event",IF(AND(E226="Decision",OR(G226="",H226="",I226="")),"Outcome / delegation / decision ref missing",IF(AND(E226="Decision",NOT(OR(G226="Progress",G226="Progress with condition",G226="Return for evidence",G226="Pause",G226="Stop",G226="Suspend",G226="Decommission",G226="Re-authorise",G226="Resume"))),"Decision event needs a decision outcome",IF(AND(E226="Priority override",OR(H226="",I226="")),"Decision-maker / AIG-DEC-03 ref missing",IF(AND(E226="Priority override",G226&lt;&gt;"",G226&lt;&gt;"No decision"),"Priority override: Outcome blank or No decision",IF(AND(E226&lt;&gt;"Decision",OR(G226="Progress",G226="Progress with condition",G226="Return for evidence",G226="Pause",G226="Stop",G226="Suspend",G226="Decommission",G226="Re-authorise",G226="Resume")),"Outcome implies decision",IF(OR(ISNUMBER(SEARCH(",",O226)),ISNUMBER(SEARCH(";",O226))),"One UC-ID per event row — split this event",IF(AND(E226="Decision",OR(Q226="UC-ID REQUIRED",Q226="Decision scope missing",Q226="REMOVE UC-ID OR CORRECT SCOPE")),"Decision scope missing",IF(AND(G226="Progress with condition",COUNTIF(Conditions!$B$4:$B$553,A226)=0),"Progress with condition needs at least one Conditions row",IF(AND(C226&lt;&gt;"",COUNTIFS('Gate plan'!$A$4:$A$353,C226,'Gate plan'!$C$4:$C$353,D226)=0),"Plan gate differs from event gate",IF(AND(C226&lt;&gt;"",O226&lt;&gt;"",COUNTIFS('Gate plan'!$A$4:$A$353,C226,'Gate plan'!$K$4:$K$353,"&lt;&gt;")&gt;0,COUNTIFS('Gate plan'!$A$4:$A$353,C226,'Gate plan'!$K$4:$K$353,O226)=0),"Plan UC-ID differs from event UC-ID",IF(AND(E226="Assurance opinion",J226=""),"Assurance opinion ref missing",IF(AND(G226="Opinion only",E226&lt;&gt;"Assurance opinion",E226&lt;&gt;"Review only"),"Opinion only is for Assurance opinion or Review only events",IF(AND(G226="No decision",E226&lt;&gt;"Review only",E226&lt;&gt;"Priority override",E226&lt;&gt;"Intake / registration"),"No decision is for Review only, Priority override or Intake / registration events",IF(OR(ISNUMBER(SEARCH(" ",TRIM(O226))),ISNUMBER(SEARCH("/",O226))),"One UC-ID per event row: split this event",IF(AND(E226="Precautionary pause (containment)",ISNUMBER(W226),ISNUMBER(F226),W226&lt;F226),"Follow-up decision due date is before the pause",IF(AND(G226="Resume",IFERROR(LOOKUP(2,1/(($B$3:B225=B226)*($O$3:O225=O226)),$G$3:G225),"")&lt;&gt;"Paused — pending decision"),"Resume is only for the event straight after a Precautionary pause on the same AIR-ID and UC-ID (in an earlier row)",IF(AND(E226="Decision",OR(G226="Progress",G226="Progress with condition",G226="Re-authorise",G226="Resume"),X226&lt;&gt;"Yes"),"Decision-maker has not confirmed the screening was considered (column X)","Check against source")))))))))))))))))))))))))))))</f>
        <v/>
      </c>
      <c r="O226" s="37" t="n"/>
      <c r="P226" s="37" t="n"/>
      <c r="Q226" s="14">
        <f>IF(A226="","",IF(E226&lt;&gt;"Decision","",IF(P226="UC-ID specific",IF(O226="","UC-ID REQUIRED","Check source decision for each UC-ID"),IF(P226="Shared system baseline",IF(O226&lt;&gt;"","REMOVE UC-ID OR CORRECT SCOPE","Baseline only — NOT UC approval"),"Decision scope missing"))))</f>
        <v/>
      </c>
      <c r="R226" s="42" t="n"/>
      <c r="S226" s="38" t="n"/>
      <c r="T226" s="38" t="n"/>
      <c r="U226" s="38" t="n"/>
      <c r="V226" s="38" t="n"/>
      <c r="W226" s="39" t="n"/>
      <c r="X226" s="38" t="n"/>
    </row>
    <row r="227">
      <c r="A227" s="40" t="n"/>
      <c r="B227" s="40" t="n"/>
      <c r="C227" s="40" t="n"/>
      <c r="D227" s="40" t="n"/>
      <c r="E227" s="40" t="n"/>
      <c r="F227" s="41" t="n"/>
      <c r="G227" s="40" t="n"/>
      <c r="H227" s="40" t="n"/>
      <c r="I227" s="40" t="n"/>
      <c r="J227" s="40" t="n"/>
      <c r="K227" s="40" t="n"/>
      <c r="L227" s="40" t="n"/>
      <c r="M227" s="40" t="n"/>
      <c r="N227" s="24">
        <f>IF(COUNTA(A227:M227,O227:P227,R227:X227)=0,"",IF(OR(A227="",B227="",F227=""),"Event ID, AIR-ID or date missing",IF(COUNTIF($A$4:$A$553,A227)&gt;1,"Duplicate Event ID",IF(E227="","Event type missing",IF(OR(NOT(ISNUMBER(F227)),F227&gt;TODAY()),"Date is not a real date or is in the future",IF(AND(C227&lt;&gt;"",COUNTIF('Gate plan'!$A$4:$A$353,C227)=0),"Plan ID not found in Gate plan",IF(AND(C227&lt;&gt;"",COUNTIFS('Gate plan'!$A$4:$A$353,C227,'Gate plan'!$B$4:$B$353,B227)=0),"Plan AIR-ID differs from event",IF(D227="","Gate / forum missing",IF(AND(E227="Precautionary pause (containment)",G227&lt;&gt;"Paused — pending decision"),"Precautionary pause: Outcome must be Paused, pending decision",IF(AND(E227="Precautionary pause (containment)",V227=""),"Precautionary pause: AIG-OPS-03 incident ref missing",IF(AND(E227="Precautionary pause (containment)",NOT(ISNUMBER(W227))),"Precautionary pause: follow-up decision due date missing",IF(AND(G227="Paused — pending decision",E227&lt;&gt;"Precautionary pause (containment)"),"Paused, pending decision is only for a Precautionary pause event",IF(AND(E227="Decision",OR(G227="",H227="",I227="")),"Outcome / delegation / decision ref missing",IF(AND(E227="Decision",NOT(OR(G227="Progress",G227="Progress with condition",G227="Return for evidence",G227="Pause",G227="Stop",G227="Suspend",G227="Decommission",G227="Re-authorise",G227="Resume"))),"Decision event needs a decision outcome",IF(AND(E227="Priority override",OR(H227="",I227="")),"Decision-maker / AIG-DEC-03 ref missing",IF(AND(E227="Priority override",G227&lt;&gt;"",G227&lt;&gt;"No decision"),"Priority override: Outcome blank or No decision",IF(AND(E227&lt;&gt;"Decision",OR(G227="Progress",G227="Progress with condition",G227="Return for evidence",G227="Pause",G227="Stop",G227="Suspend",G227="Decommission",G227="Re-authorise",G227="Resume")),"Outcome implies decision",IF(OR(ISNUMBER(SEARCH(",",O227)),ISNUMBER(SEARCH(";",O227))),"One UC-ID per event row — split this event",IF(AND(E227="Decision",OR(Q227="UC-ID REQUIRED",Q227="Decision scope missing",Q227="REMOVE UC-ID OR CORRECT SCOPE")),"Decision scope missing",IF(AND(G227="Progress with condition",COUNTIF(Conditions!$B$4:$B$553,A227)=0),"Progress with condition needs at least one Conditions row",IF(AND(C227&lt;&gt;"",COUNTIFS('Gate plan'!$A$4:$A$353,C227,'Gate plan'!$C$4:$C$353,D227)=0),"Plan gate differs from event gate",IF(AND(C227&lt;&gt;"",O227&lt;&gt;"",COUNTIFS('Gate plan'!$A$4:$A$353,C227,'Gate plan'!$K$4:$K$353,"&lt;&gt;")&gt;0,COUNTIFS('Gate plan'!$A$4:$A$353,C227,'Gate plan'!$K$4:$K$353,O227)=0),"Plan UC-ID differs from event UC-ID",IF(AND(E227="Assurance opinion",J227=""),"Assurance opinion ref missing",IF(AND(G227="Opinion only",E227&lt;&gt;"Assurance opinion",E227&lt;&gt;"Review only"),"Opinion only is for Assurance opinion or Review only events",IF(AND(G227="No decision",E227&lt;&gt;"Review only",E227&lt;&gt;"Priority override",E227&lt;&gt;"Intake / registration"),"No decision is for Review only, Priority override or Intake / registration events",IF(OR(ISNUMBER(SEARCH(" ",TRIM(O227))),ISNUMBER(SEARCH("/",O227))),"One UC-ID per event row: split this event",IF(AND(E227="Precautionary pause (containment)",ISNUMBER(W227),ISNUMBER(F227),W227&lt;F227),"Follow-up decision due date is before the pause",IF(AND(G227="Resume",IFERROR(LOOKUP(2,1/(($B$3:B226=B227)*($O$3:O226=O227)),$G$3:G226),"")&lt;&gt;"Paused — pending decision"),"Resume is only for the event straight after a Precautionary pause on the same AIR-ID and UC-ID (in an earlier row)",IF(AND(E227="Decision",OR(G227="Progress",G227="Progress with condition",G227="Re-authorise",G227="Resume"),X227&lt;&gt;"Yes"),"Decision-maker has not confirmed the screening was considered (column X)","Check against source")))))))))))))))))))))))))))))</f>
        <v/>
      </c>
      <c r="O227" s="37" t="n"/>
      <c r="P227" s="37" t="n"/>
      <c r="Q227" s="14">
        <f>IF(A227="","",IF(E227&lt;&gt;"Decision","",IF(P227="UC-ID specific",IF(O227="","UC-ID REQUIRED","Check source decision for each UC-ID"),IF(P227="Shared system baseline",IF(O227&lt;&gt;"","REMOVE UC-ID OR CORRECT SCOPE","Baseline only — NOT UC approval"),"Decision scope missing"))))</f>
        <v/>
      </c>
      <c r="R227" s="43" t="n"/>
      <c r="S227" s="40" t="n"/>
      <c r="T227" s="40" t="n"/>
      <c r="U227" s="40" t="n"/>
      <c r="V227" s="40" t="n"/>
      <c r="W227" s="41" t="n"/>
      <c r="X227" s="38" t="n"/>
    </row>
    <row r="228">
      <c r="A228" s="38" t="n"/>
      <c r="B228" s="38" t="n"/>
      <c r="C228" s="38" t="n"/>
      <c r="D228" s="38" t="n"/>
      <c r="E228" s="38" t="n"/>
      <c r="F228" s="39" t="n"/>
      <c r="G228" s="38" t="n"/>
      <c r="H228" s="38" t="n"/>
      <c r="I228" s="38" t="n"/>
      <c r="J228" s="38" t="n"/>
      <c r="K228" s="38" t="n"/>
      <c r="L228" s="38" t="n"/>
      <c r="M228" s="38" t="n"/>
      <c r="N228" s="22">
        <f>IF(COUNTA(A228:M228,O228:P228,R228:X228)=0,"",IF(OR(A228="",B228="",F228=""),"Event ID, AIR-ID or date missing",IF(COUNTIF($A$4:$A$553,A228)&gt;1,"Duplicate Event ID",IF(E228="","Event type missing",IF(OR(NOT(ISNUMBER(F228)),F228&gt;TODAY()),"Date is not a real date or is in the future",IF(AND(C228&lt;&gt;"",COUNTIF('Gate plan'!$A$4:$A$353,C228)=0),"Plan ID not found in Gate plan",IF(AND(C228&lt;&gt;"",COUNTIFS('Gate plan'!$A$4:$A$353,C228,'Gate plan'!$B$4:$B$353,B228)=0),"Plan AIR-ID differs from event",IF(D228="","Gate / forum missing",IF(AND(E228="Precautionary pause (containment)",G228&lt;&gt;"Paused — pending decision"),"Precautionary pause: Outcome must be Paused, pending decision",IF(AND(E228="Precautionary pause (containment)",V228=""),"Precautionary pause: AIG-OPS-03 incident ref missing",IF(AND(E228="Precautionary pause (containment)",NOT(ISNUMBER(W228))),"Precautionary pause: follow-up decision due date missing",IF(AND(G228="Paused — pending decision",E228&lt;&gt;"Precautionary pause (containment)"),"Paused, pending decision is only for a Precautionary pause event",IF(AND(E228="Decision",OR(G228="",H228="",I228="")),"Outcome / delegation / decision ref missing",IF(AND(E228="Decision",NOT(OR(G228="Progress",G228="Progress with condition",G228="Return for evidence",G228="Pause",G228="Stop",G228="Suspend",G228="Decommission",G228="Re-authorise",G228="Resume"))),"Decision event needs a decision outcome",IF(AND(E228="Priority override",OR(H228="",I228="")),"Decision-maker / AIG-DEC-03 ref missing",IF(AND(E228="Priority override",G228&lt;&gt;"",G228&lt;&gt;"No decision"),"Priority override: Outcome blank or No decision",IF(AND(E228&lt;&gt;"Decision",OR(G228="Progress",G228="Progress with condition",G228="Return for evidence",G228="Pause",G228="Stop",G228="Suspend",G228="Decommission",G228="Re-authorise",G228="Resume")),"Outcome implies decision",IF(OR(ISNUMBER(SEARCH(",",O228)),ISNUMBER(SEARCH(";",O228))),"One UC-ID per event row — split this event",IF(AND(E228="Decision",OR(Q228="UC-ID REQUIRED",Q228="Decision scope missing",Q228="REMOVE UC-ID OR CORRECT SCOPE")),"Decision scope missing",IF(AND(G228="Progress with condition",COUNTIF(Conditions!$B$4:$B$553,A228)=0),"Progress with condition needs at least one Conditions row",IF(AND(C228&lt;&gt;"",COUNTIFS('Gate plan'!$A$4:$A$353,C228,'Gate plan'!$C$4:$C$353,D228)=0),"Plan gate differs from event gate",IF(AND(C228&lt;&gt;"",O228&lt;&gt;"",COUNTIFS('Gate plan'!$A$4:$A$353,C228,'Gate plan'!$K$4:$K$353,"&lt;&gt;")&gt;0,COUNTIFS('Gate plan'!$A$4:$A$353,C228,'Gate plan'!$K$4:$K$353,O228)=0),"Plan UC-ID differs from event UC-ID",IF(AND(E228="Assurance opinion",J228=""),"Assurance opinion ref missing",IF(AND(G228="Opinion only",E228&lt;&gt;"Assurance opinion",E228&lt;&gt;"Review only"),"Opinion only is for Assurance opinion or Review only events",IF(AND(G228="No decision",E228&lt;&gt;"Review only",E228&lt;&gt;"Priority override",E228&lt;&gt;"Intake / registration"),"No decision is for Review only, Priority override or Intake / registration events",IF(OR(ISNUMBER(SEARCH(" ",TRIM(O228))),ISNUMBER(SEARCH("/",O228))),"One UC-ID per event row: split this event",IF(AND(E228="Precautionary pause (containment)",ISNUMBER(W228),ISNUMBER(F228),W228&lt;F228),"Follow-up decision due date is before the pause",IF(AND(G228="Resume",IFERROR(LOOKUP(2,1/(($B$3:B227=B228)*($O$3:O227=O228)),$G$3:G227),"")&lt;&gt;"Paused — pending decision"),"Resume is only for the event straight after a Precautionary pause on the same AIR-ID and UC-ID (in an earlier row)",IF(AND(E228="Decision",OR(G228="Progress",G228="Progress with condition",G228="Re-authorise",G228="Resume"),X228&lt;&gt;"Yes"),"Decision-maker has not confirmed the screening was considered (column X)","Check against source")))))))))))))))))))))))))))))</f>
        <v/>
      </c>
      <c r="O228" s="37" t="n"/>
      <c r="P228" s="37" t="n"/>
      <c r="Q228" s="14">
        <f>IF(A228="","",IF(E228&lt;&gt;"Decision","",IF(P228="UC-ID specific",IF(O228="","UC-ID REQUIRED","Check source decision for each UC-ID"),IF(P228="Shared system baseline",IF(O228&lt;&gt;"","REMOVE UC-ID OR CORRECT SCOPE","Baseline only — NOT UC approval"),"Decision scope missing"))))</f>
        <v/>
      </c>
      <c r="R228" s="42" t="n"/>
      <c r="S228" s="38" t="n"/>
      <c r="T228" s="38" t="n"/>
      <c r="U228" s="38" t="n"/>
      <c r="V228" s="38" t="n"/>
      <c r="W228" s="39" t="n"/>
      <c r="X228" s="38" t="n"/>
    </row>
    <row r="229">
      <c r="A229" s="40" t="n"/>
      <c r="B229" s="40" t="n"/>
      <c r="C229" s="40" t="n"/>
      <c r="D229" s="40" t="n"/>
      <c r="E229" s="40" t="n"/>
      <c r="F229" s="41" t="n"/>
      <c r="G229" s="40" t="n"/>
      <c r="H229" s="40" t="n"/>
      <c r="I229" s="40" t="n"/>
      <c r="J229" s="40" t="n"/>
      <c r="K229" s="40" t="n"/>
      <c r="L229" s="40" t="n"/>
      <c r="M229" s="40" t="n"/>
      <c r="N229" s="24">
        <f>IF(COUNTA(A229:M229,O229:P229,R229:X229)=0,"",IF(OR(A229="",B229="",F229=""),"Event ID, AIR-ID or date missing",IF(COUNTIF($A$4:$A$553,A229)&gt;1,"Duplicate Event ID",IF(E229="","Event type missing",IF(OR(NOT(ISNUMBER(F229)),F229&gt;TODAY()),"Date is not a real date or is in the future",IF(AND(C229&lt;&gt;"",COUNTIF('Gate plan'!$A$4:$A$353,C229)=0),"Plan ID not found in Gate plan",IF(AND(C229&lt;&gt;"",COUNTIFS('Gate plan'!$A$4:$A$353,C229,'Gate plan'!$B$4:$B$353,B229)=0),"Plan AIR-ID differs from event",IF(D229="","Gate / forum missing",IF(AND(E229="Precautionary pause (containment)",G229&lt;&gt;"Paused — pending decision"),"Precautionary pause: Outcome must be Paused, pending decision",IF(AND(E229="Precautionary pause (containment)",V229=""),"Precautionary pause: AIG-OPS-03 incident ref missing",IF(AND(E229="Precautionary pause (containment)",NOT(ISNUMBER(W229))),"Precautionary pause: follow-up decision due date missing",IF(AND(G229="Paused — pending decision",E229&lt;&gt;"Precautionary pause (containment)"),"Paused, pending decision is only for a Precautionary pause event",IF(AND(E229="Decision",OR(G229="",H229="",I229="")),"Outcome / delegation / decision ref missing",IF(AND(E229="Decision",NOT(OR(G229="Progress",G229="Progress with condition",G229="Return for evidence",G229="Pause",G229="Stop",G229="Suspend",G229="Decommission",G229="Re-authorise",G229="Resume"))),"Decision event needs a decision outcome",IF(AND(E229="Priority override",OR(H229="",I229="")),"Decision-maker / AIG-DEC-03 ref missing",IF(AND(E229="Priority override",G229&lt;&gt;"",G229&lt;&gt;"No decision"),"Priority override: Outcome blank or No decision",IF(AND(E229&lt;&gt;"Decision",OR(G229="Progress",G229="Progress with condition",G229="Return for evidence",G229="Pause",G229="Stop",G229="Suspend",G229="Decommission",G229="Re-authorise",G229="Resume")),"Outcome implies decision",IF(OR(ISNUMBER(SEARCH(",",O229)),ISNUMBER(SEARCH(";",O229))),"One UC-ID per event row — split this event",IF(AND(E229="Decision",OR(Q229="UC-ID REQUIRED",Q229="Decision scope missing",Q229="REMOVE UC-ID OR CORRECT SCOPE")),"Decision scope missing",IF(AND(G229="Progress with condition",COUNTIF(Conditions!$B$4:$B$553,A229)=0),"Progress with condition needs at least one Conditions row",IF(AND(C229&lt;&gt;"",COUNTIFS('Gate plan'!$A$4:$A$353,C229,'Gate plan'!$C$4:$C$353,D229)=0),"Plan gate differs from event gate",IF(AND(C229&lt;&gt;"",O229&lt;&gt;"",COUNTIFS('Gate plan'!$A$4:$A$353,C229,'Gate plan'!$K$4:$K$353,"&lt;&gt;")&gt;0,COUNTIFS('Gate plan'!$A$4:$A$353,C229,'Gate plan'!$K$4:$K$353,O229)=0),"Plan UC-ID differs from event UC-ID",IF(AND(E229="Assurance opinion",J229=""),"Assurance opinion ref missing",IF(AND(G229="Opinion only",E229&lt;&gt;"Assurance opinion",E229&lt;&gt;"Review only"),"Opinion only is for Assurance opinion or Review only events",IF(AND(G229="No decision",E229&lt;&gt;"Review only",E229&lt;&gt;"Priority override",E229&lt;&gt;"Intake / registration"),"No decision is for Review only, Priority override or Intake / registration events",IF(OR(ISNUMBER(SEARCH(" ",TRIM(O229))),ISNUMBER(SEARCH("/",O229))),"One UC-ID per event row: split this event",IF(AND(E229="Precautionary pause (containment)",ISNUMBER(W229),ISNUMBER(F229),W229&lt;F229),"Follow-up decision due date is before the pause",IF(AND(G229="Resume",IFERROR(LOOKUP(2,1/(($B$3:B228=B229)*($O$3:O228=O229)),$G$3:G228),"")&lt;&gt;"Paused — pending decision"),"Resume is only for the event straight after a Precautionary pause on the same AIR-ID and UC-ID (in an earlier row)",IF(AND(E229="Decision",OR(G229="Progress",G229="Progress with condition",G229="Re-authorise",G229="Resume"),X229&lt;&gt;"Yes"),"Decision-maker has not confirmed the screening was considered (column X)","Check against source")))))))))))))))))))))))))))))</f>
        <v/>
      </c>
      <c r="O229" s="37" t="n"/>
      <c r="P229" s="37" t="n"/>
      <c r="Q229" s="14">
        <f>IF(A229="","",IF(E229&lt;&gt;"Decision","",IF(P229="UC-ID specific",IF(O229="","UC-ID REQUIRED","Check source decision for each UC-ID"),IF(P229="Shared system baseline",IF(O229&lt;&gt;"","REMOVE UC-ID OR CORRECT SCOPE","Baseline only — NOT UC approval"),"Decision scope missing"))))</f>
        <v/>
      </c>
      <c r="R229" s="43" t="n"/>
      <c r="S229" s="40" t="n"/>
      <c r="T229" s="40" t="n"/>
      <c r="U229" s="40" t="n"/>
      <c r="V229" s="40" t="n"/>
      <c r="W229" s="41" t="n"/>
      <c r="X229" s="38" t="n"/>
    </row>
    <row r="230">
      <c r="A230" s="38" t="n"/>
      <c r="B230" s="38" t="n"/>
      <c r="C230" s="38" t="n"/>
      <c r="D230" s="38" t="n"/>
      <c r="E230" s="38" t="n"/>
      <c r="F230" s="39" t="n"/>
      <c r="G230" s="38" t="n"/>
      <c r="H230" s="38" t="n"/>
      <c r="I230" s="38" t="n"/>
      <c r="J230" s="38" t="n"/>
      <c r="K230" s="38" t="n"/>
      <c r="L230" s="38" t="n"/>
      <c r="M230" s="38" t="n"/>
      <c r="N230" s="22">
        <f>IF(COUNTA(A230:M230,O230:P230,R230:X230)=0,"",IF(OR(A230="",B230="",F230=""),"Event ID, AIR-ID or date missing",IF(COUNTIF($A$4:$A$553,A230)&gt;1,"Duplicate Event ID",IF(E230="","Event type missing",IF(OR(NOT(ISNUMBER(F230)),F230&gt;TODAY()),"Date is not a real date or is in the future",IF(AND(C230&lt;&gt;"",COUNTIF('Gate plan'!$A$4:$A$353,C230)=0),"Plan ID not found in Gate plan",IF(AND(C230&lt;&gt;"",COUNTIFS('Gate plan'!$A$4:$A$353,C230,'Gate plan'!$B$4:$B$353,B230)=0),"Plan AIR-ID differs from event",IF(D230="","Gate / forum missing",IF(AND(E230="Precautionary pause (containment)",G230&lt;&gt;"Paused — pending decision"),"Precautionary pause: Outcome must be Paused, pending decision",IF(AND(E230="Precautionary pause (containment)",V230=""),"Precautionary pause: AIG-OPS-03 incident ref missing",IF(AND(E230="Precautionary pause (containment)",NOT(ISNUMBER(W230))),"Precautionary pause: follow-up decision due date missing",IF(AND(G230="Paused — pending decision",E230&lt;&gt;"Precautionary pause (containment)"),"Paused, pending decision is only for a Precautionary pause event",IF(AND(E230="Decision",OR(G230="",H230="",I230="")),"Outcome / delegation / decision ref missing",IF(AND(E230="Decision",NOT(OR(G230="Progress",G230="Progress with condition",G230="Return for evidence",G230="Pause",G230="Stop",G230="Suspend",G230="Decommission",G230="Re-authorise",G230="Resume"))),"Decision event needs a decision outcome",IF(AND(E230="Priority override",OR(H230="",I230="")),"Decision-maker / AIG-DEC-03 ref missing",IF(AND(E230="Priority override",G230&lt;&gt;"",G230&lt;&gt;"No decision"),"Priority override: Outcome blank or No decision",IF(AND(E230&lt;&gt;"Decision",OR(G230="Progress",G230="Progress with condition",G230="Return for evidence",G230="Pause",G230="Stop",G230="Suspend",G230="Decommission",G230="Re-authorise",G230="Resume")),"Outcome implies decision",IF(OR(ISNUMBER(SEARCH(",",O230)),ISNUMBER(SEARCH(";",O230))),"One UC-ID per event row — split this event",IF(AND(E230="Decision",OR(Q230="UC-ID REQUIRED",Q230="Decision scope missing",Q230="REMOVE UC-ID OR CORRECT SCOPE")),"Decision scope missing",IF(AND(G230="Progress with condition",COUNTIF(Conditions!$B$4:$B$553,A230)=0),"Progress with condition needs at least one Conditions row",IF(AND(C230&lt;&gt;"",COUNTIFS('Gate plan'!$A$4:$A$353,C230,'Gate plan'!$C$4:$C$353,D230)=0),"Plan gate differs from event gate",IF(AND(C230&lt;&gt;"",O230&lt;&gt;"",COUNTIFS('Gate plan'!$A$4:$A$353,C230,'Gate plan'!$K$4:$K$353,"&lt;&gt;")&gt;0,COUNTIFS('Gate plan'!$A$4:$A$353,C230,'Gate plan'!$K$4:$K$353,O230)=0),"Plan UC-ID differs from event UC-ID",IF(AND(E230="Assurance opinion",J230=""),"Assurance opinion ref missing",IF(AND(G230="Opinion only",E230&lt;&gt;"Assurance opinion",E230&lt;&gt;"Review only"),"Opinion only is for Assurance opinion or Review only events",IF(AND(G230="No decision",E230&lt;&gt;"Review only",E230&lt;&gt;"Priority override",E230&lt;&gt;"Intake / registration"),"No decision is for Review only, Priority override or Intake / registration events",IF(OR(ISNUMBER(SEARCH(" ",TRIM(O230))),ISNUMBER(SEARCH("/",O230))),"One UC-ID per event row: split this event",IF(AND(E230="Precautionary pause (containment)",ISNUMBER(W230),ISNUMBER(F230),W230&lt;F230),"Follow-up decision due date is before the pause",IF(AND(G230="Resume",IFERROR(LOOKUP(2,1/(($B$3:B229=B230)*($O$3:O229=O230)),$G$3:G229),"")&lt;&gt;"Paused — pending decision"),"Resume is only for the event straight after a Precautionary pause on the same AIR-ID and UC-ID (in an earlier row)",IF(AND(E230="Decision",OR(G230="Progress",G230="Progress with condition",G230="Re-authorise",G230="Resume"),X230&lt;&gt;"Yes"),"Decision-maker has not confirmed the screening was considered (column X)","Check against source")))))))))))))))))))))))))))))</f>
        <v/>
      </c>
      <c r="O230" s="37" t="n"/>
      <c r="P230" s="37" t="n"/>
      <c r="Q230" s="14">
        <f>IF(A230="","",IF(E230&lt;&gt;"Decision","",IF(P230="UC-ID specific",IF(O230="","UC-ID REQUIRED","Check source decision for each UC-ID"),IF(P230="Shared system baseline",IF(O230&lt;&gt;"","REMOVE UC-ID OR CORRECT SCOPE","Baseline only — NOT UC approval"),"Decision scope missing"))))</f>
        <v/>
      </c>
      <c r="R230" s="42" t="n"/>
      <c r="S230" s="38" t="n"/>
      <c r="T230" s="38" t="n"/>
      <c r="U230" s="38" t="n"/>
      <c r="V230" s="38" t="n"/>
      <c r="W230" s="39" t="n"/>
      <c r="X230" s="38" t="n"/>
    </row>
    <row r="231">
      <c r="A231" s="40" t="n"/>
      <c r="B231" s="40" t="n"/>
      <c r="C231" s="40" t="n"/>
      <c r="D231" s="40" t="n"/>
      <c r="E231" s="40" t="n"/>
      <c r="F231" s="41" t="n"/>
      <c r="G231" s="40" t="n"/>
      <c r="H231" s="40" t="n"/>
      <c r="I231" s="40" t="n"/>
      <c r="J231" s="40" t="n"/>
      <c r="K231" s="40" t="n"/>
      <c r="L231" s="40" t="n"/>
      <c r="M231" s="40" t="n"/>
      <c r="N231" s="24">
        <f>IF(COUNTA(A231:M231,O231:P231,R231:X231)=0,"",IF(OR(A231="",B231="",F231=""),"Event ID, AIR-ID or date missing",IF(COUNTIF($A$4:$A$553,A231)&gt;1,"Duplicate Event ID",IF(E231="","Event type missing",IF(OR(NOT(ISNUMBER(F231)),F231&gt;TODAY()),"Date is not a real date or is in the future",IF(AND(C231&lt;&gt;"",COUNTIF('Gate plan'!$A$4:$A$353,C231)=0),"Plan ID not found in Gate plan",IF(AND(C231&lt;&gt;"",COUNTIFS('Gate plan'!$A$4:$A$353,C231,'Gate plan'!$B$4:$B$353,B231)=0),"Plan AIR-ID differs from event",IF(D231="","Gate / forum missing",IF(AND(E231="Precautionary pause (containment)",G231&lt;&gt;"Paused — pending decision"),"Precautionary pause: Outcome must be Paused, pending decision",IF(AND(E231="Precautionary pause (containment)",V231=""),"Precautionary pause: AIG-OPS-03 incident ref missing",IF(AND(E231="Precautionary pause (containment)",NOT(ISNUMBER(W231))),"Precautionary pause: follow-up decision due date missing",IF(AND(G231="Paused — pending decision",E231&lt;&gt;"Precautionary pause (containment)"),"Paused, pending decision is only for a Precautionary pause event",IF(AND(E231="Decision",OR(G231="",H231="",I231="")),"Outcome / delegation / decision ref missing",IF(AND(E231="Decision",NOT(OR(G231="Progress",G231="Progress with condition",G231="Return for evidence",G231="Pause",G231="Stop",G231="Suspend",G231="Decommission",G231="Re-authorise",G231="Resume"))),"Decision event needs a decision outcome",IF(AND(E231="Priority override",OR(H231="",I231="")),"Decision-maker / AIG-DEC-03 ref missing",IF(AND(E231="Priority override",G231&lt;&gt;"",G231&lt;&gt;"No decision"),"Priority override: Outcome blank or No decision",IF(AND(E231&lt;&gt;"Decision",OR(G231="Progress",G231="Progress with condition",G231="Return for evidence",G231="Pause",G231="Stop",G231="Suspend",G231="Decommission",G231="Re-authorise",G231="Resume")),"Outcome implies decision",IF(OR(ISNUMBER(SEARCH(",",O231)),ISNUMBER(SEARCH(";",O231))),"One UC-ID per event row — split this event",IF(AND(E231="Decision",OR(Q231="UC-ID REQUIRED",Q231="Decision scope missing",Q231="REMOVE UC-ID OR CORRECT SCOPE")),"Decision scope missing",IF(AND(G231="Progress with condition",COUNTIF(Conditions!$B$4:$B$553,A231)=0),"Progress with condition needs at least one Conditions row",IF(AND(C231&lt;&gt;"",COUNTIFS('Gate plan'!$A$4:$A$353,C231,'Gate plan'!$C$4:$C$353,D231)=0),"Plan gate differs from event gate",IF(AND(C231&lt;&gt;"",O231&lt;&gt;"",COUNTIFS('Gate plan'!$A$4:$A$353,C231,'Gate plan'!$K$4:$K$353,"&lt;&gt;")&gt;0,COUNTIFS('Gate plan'!$A$4:$A$353,C231,'Gate plan'!$K$4:$K$353,O231)=0),"Plan UC-ID differs from event UC-ID",IF(AND(E231="Assurance opinion",J231=""),"Assurance opinion ref missing",IF(AND(G231="Opinion only",E231&lt;&gt;"Assurance opinion",E231&lt;&gt;"Review only"),"Opinion only is for Assurance opinion or Review only events",IF(AND(G231="No decision",E231&lt;&gt;"Review only",E231&lt;&gt;"Priority override",E231&lt;&gt;"Intake / registration"),"No decision is for Review only, Priority override or Intake / registration events",IF(OR(ISNUMBER(SEARCH(" ",TRIM(O231))),ISNUMBER(SEARCH("/",O231))),"One UC-ID per event row: split this event",IF(AND(E231="Precautionary pause (containment)",ISNUMBER(W231),ISNUMBER(F231),W231&lt;F231),"Follow-up decision due date is before the pause",IF(AND(G231="Resume",IFERROR(LOOKUP(2,1/(($B$3:B230=B231)*($O$3:O230=O231)),$G$3:G230),"")&lt;&gt;"Paused — pending decision"),"Resume is only for the event straight after a Precautionary pause on the same AIR-ID and UC-ID (in an earlier row)",IF(AND(E231="Decision",OR(G231="Progress",G231="Progress with condition",G231="Re-authorise",G231="Resume"),X231&lt;&gt;"Yes"),"Decision-maker has not confirmed the screening was considered (column X)","Check against source")))))))))))))))))))))))))))))</f>
        <v/>
      </c>
      <c r="O231" s="37" t="n"/>
      <c r="P231" s="37" t="n"/>
      <c r="Q231" s="14">
        <f>IF(A231="","",IF(E231&lt;&gt;"Decision","",IF(P231="UC-ID specific",IF(O231="","UC-ID REQUIRED","Check source decision for each UC-ID"),IF(P231="Shared system baseline",IF(O231&lt;&gt;"","REMOVE UC-ID OR CORRECT SCOPE","Baseline only — NOT UC approval"),"Decision scope missing"))))</f>
        <v/>
      </c>
      <c r="R231" s="43" t="n"/>
      <c r="S231" s="40" t="n"/>
      <c r="T231" s="40" t="n"/>
      <c r="U231" s="40" t="n"/>
      <c r="V231" s="40" t="n"/>
      <c r="W231" s="41" t="n"/>
      <c r="X231" s="38" t="n"/>
    </row>
    <row r="232">
      <c r="A232" s="38" t="n"/>
      <c r="B232" s="38" t="n"/>
      <c r="C232" s="38" t="n"/>
      <c r="D232" s="38" t="n"/>
      <c r="E232" s="38" t="n"/>
      <c r="F232" s="39" t="n"/>
      <c r="G232" s="38" t="n"/>
      <c r="H232" s="38" t="n"/>
      <c r="I232" s="38" t="n"/>
      <c r="J232" s="38" t="n"/>
      <c r="K232" s="38" t="n"/>
      <c r="L232" s="38" t="n"/>
      <c r="M232" s="38" t="n"/>
      <c r="N232" s="22">
        <f>IF(COUNTA(A232:M232,O232:P232,R232:X232)=0,"",IF(OR(A232="",B232="",F232=""),"Event ID, AIR-ID or date missing",IF(COUNTIF($A$4:$A$553,A232)&gt;1,"Duplicate Event ID",IF(E232="","Event type missing",IF(OR(NOT(ISNUMBER(F232)),F232&gt;TODAY()),"Date is not a real date or is in the future",IF(AND(C232&lt;&gt;"",COUNTIF('Gate plan'!$A$4:$A$353,C232)=0),"Plan ID not found in Gate plan",IF(AND(C232&lt;&gt;"",COUNTIFS('Gate plan'!$A$4:$A$353,C232,'Gate plan'!$B$4:$B$353,B232)=0),"Plan AIR-ID differs from event",IF(D232="","Gate / forum missing",IF(AND(E232="Precautionary pause (containment)",G232&lt;&gt;"Paused — pending decision"),"Precautionary pause: Outcome must be Paused, pending decision",IF(AND(E232="Precautionary pause (containment)",V232=""),"Precautionary pause: AIG-OPS-03 incident ref missing",IF(AND(E232="Precautionary pause (containment)",NOT(ISNUMBER(W232))),"Precautionary pause: follow-up decision due date missing",IF(AND(G232="Paused — pending decision",E232&lt;&gt;"Precautionary pause (containment)"),"Paused, pending decision is only for a Precautionary pause event",IF(AND(E232="Decision",OR(G232="",H232="",I232="")),"Outcome / delegation / decision ref missing",IF(AND(E232="Decision",NOT(OR(G232="Progress",G232="Progress with condition",G232="Return for evidence",G232="Pause",G232="Stop",G232="Suspend",G232="Decommission",G232="Re-authorise",G232="Resume"))),"Decision event needs a decision outcome",IF(AND(E232="Priority override",OR(H232="",I232="")),"Decision-maker / AIG-DEC-03 ref missing",IF(AND(E232="Priority override",G232&lt;&gt;"",G232&lt;&gt;"No decision"),"Priority override: Outcome blank or No decision",IF(AND(E232&lt;&gt;"Decision",OR(G232="Progress",G232="Progress with condition",G232="Return for evidence",G232="Pause",G232="Stop",G232="Suspend",G232="Decommission",G232="Re-authorise",G232="Resume")),"Outcome implies decision",IF(OR(ISNUMBER(SEARCH(",",O232)),ISNUMBER(SEARCH(";",O232))),"One UC-ID per event row — split this event",IF(AND(E232="Decision",OR(Q232="UC-ID REQUIRED",Q232="Decision scope missing",Q232="REMOVE UC-ID OR CORRECT SCOPE")),"Decision scope missing",IF(AND(G232="Progress with condition",COUNTIF(Conditions!$B$4:$B$553,A232)=0),"Progress with condition needs at least one Conditions row",IF(AND(C232&lt;&gt;"",COUNTIFS('Gate plan'!$A$4:$A$353,C232,'Gate plan'!$C$4:$C$353,D232)=0),"Plan gate differs from event gate",IF(AND(C232&lt;&gt;"",O232&lt;&gt;"",COUNTIFS('Gate plan'!$A$4:$A$353,C232,'Gate plan'!$K$4:$K$353,"&lt;&gt;")&gt;0,COUNTIFS('Gate plan'!$A$4:$A$353,C232,'Gate plan'!$K$4:$K$353,O232)=0),"Plan UC-ID differs from event UC-ID",IF(AND(E232="Assurance opinion",J232=""),"Assurance opinion ref missing",IF(AND(G232="Opinion only",E232&lt;&gt;"Assurance opinion",E232&lt;&gt;"Review only"),"Opinion only is for Assurance opinion or Review only events",IF(AND(G232="No decision",E232&lt;&gt;"Review only",E232&lt;&gt;"Priority override",E232&lt;&gt;"Intake / registration"),"No decision is for Review only, Priority override or Intake / registration events",IF(OR(ISNUMBER(SEARCH(" ",TRIM(O232))),ISNUMBER(SEARCH("/",O232))),"One UC-ID per event row: split this event",IF(AND(E232="Precautionary pause (containment)",ISNUMBER(W232),ISNUMBER(F232),W232&lt;F232),"Follow-up decision due date is before the pause",IF(AND(G232="Resume",IFERROR(LOOKUP(2,1/(($B$3:B231=B232)*($O$3:O231=O232)),$G$3:G231),"")&lt;&gt;"Paused — pending decision"),"Resume is only for the event straight after a Precautionary pause on the same AIR-ID and UC-ID (in an earlier row)",IF(AND(E232="Decision",OR(G232="Progress",G232="Progress with condition",G232="Re-authorise",G232="Resume"),X232&lt;&gt;"Yes"),"Decision-maker has not confirmed the screening was considered (column X)","Check against source")))))))))))))))))))))))))))))</f>
        <v/>
      </c>
      <c r="O232" s="37" t="n"/>
      <c r="P232" s="37" t="n"/>
      <c r="Q232" s="14">
        <f>IF(A232="","",IF(E232&lt;&gt;"Decision","",IF(P232="UC-ID specific",IF(O232="","UC-ID REQUIRED","Check source decision for each UC-ID"),IF(P232="Shared system baseline",IF(O232&lt;&gt;"","REMOVE UC-ID OR CORRECT SCOPE","Baseline only — NOT UC approval"),"Decision scope missing"))))</f>
        <v/>
      </c>
      <c r="R232" s="42" t="n"/>
      <c r="S232" s="38" t="n"/>
      <c r="T232" s="38" t="n"/>
      <c r="U232" s="38" t="n"/>
      <c r="V232" s="38" t="n"/>
      <c r="W232" s="39" t="n"/>
      <c r="X232" s="38" t="n"/>
    </row>
    <row r="233">
      <c r="A233" s="40" t="n"/>
      <c r="B233" s="40" t="n"/>
      <c r="C233" s="40" t="n"/>
      <c r="D233" s="40" t="n"/>
      <c r="E233" s="40" t="n"/>
      <c r="F233" s="41" t="n"/>
      <c r="G233" s="40" t="n"/>
      <c r="H233" s="40" t="n"/>
      <c r="I233" s="40" t="n"/>
      <c r="J233" s="40" t="n"/>
      <c r="K233" s="40" t="n"/>
      <c r="L233" s="40" t="n"/>
      <c r="M233" s="40" t="n"/>
      <c r="N233" s="24">
        <f>IF(COUNTA(A233:M233,O233:P233,R233:X233)=0,"",IF(OR(A233="",B233="",F233=""),"Event ID, AIR-ID or date missing",IF(COUNTIF($A$4:$A$553,A233)&gt;1,"Duplicate Event ID",IF(E233="","Event type missing",IF(OR(NOT(ISNUMBER(F233)),F233&gt;TODAY()),"Date is not a real date or is in the future",IF(AND(C233&lt;&gt;"",COUNTIF('Gate plan'!$A$4:$A$353,C233)=0),"Plan ID not found in Gate plan",IF(AND(C233&lt;&gt;"",COUNTIFS('Gate plan'!$A$4:$A$353,C233,'Gate plan'!$B$4:$B$353,B233)=0),"Plan AIR-ID differs from event",IF(D233="","Gate / forum missing",IF(AND(E233="Precautionary pause (containment)",G233&lt;&gt;"Paused — pending decision"),"Precautionary pause: Outcome must be Paused, pending decision",IF(AND(E233="Precautionary pause (containment)",V233=""),"Precautionary pause: AIG-OPS-03 incident ref missing",IF(AND(E233="Precautionary pause (containment)",NOT(ISNUMBER(W233))),"Precautionary pause: follow-up decision due date missing",IF(AND(G233="Paused — pending decision",E233&lt;&gt;"Precautionary pause (containment)"),"Paused, pending decision is only for a Precautionary pause event",IF(AND(E233="Decision",OR(G233="",H233="",I233="")),"Outcome / delegation / decision ref missing",IF(AND(E233="Decision",NOT(OR(G233="Progress",G233="Progress with condition",G233="Return for evidence",G233="Pause",G233="Stop",G233="Suspend",G233="Decommission",G233="Re-authorise",G233="Resume"))),"Decision event needs a decision outcome",IF(AND(E233="Priority override",OR(H233="",I233="")),"Decision-maker / AIG-DEC-03 ref missing",IF(AND(E233="Priority override",G233&lt;&gt;"",G233&lt;&gt;"No decision"),"Priority override: Outcome blank or No decision",IF(AND(E233&lt;&gt;"Decision",OR(G233="Progress",G233="Progress with condition",G233="Return for evidence",G233="Pause",G233="Stop",G233="Suspend",G233="Decommission",G233="Re-authorise",G233="Resume")),"Outcome implies decision",IF(OR(ISNUMBER(SEARCH(",",O233)),ISNUMBER(SEARCH(";",O233))),"One UC-ID per event row — split this event",IF(AND(E233="Decision",OR(Q233="UC-ID REQUIRED",Q233="Decision scope missing",Q233="REMOVE UC-ID OR CORRECT SCOPE")),"Decision scope missing",IF(AND(G233="Progress with condition",COUNTIF(Conditions!$B$4:$B$553,A233)=0),"Progress with condition needs at least one Conditions row",IF(AND(C233&lt;&gt;"",COUNTIFS('Gate plan'!$A$4:$A$353,C233,'Gate plan'!$C$4:$C$353,D233)=0),"Plan gate differs from event gate",IF(AND(C233&lt;&gt;"",O233&lt;&gt;"",COUNTIFS('Gate plan'!$A$4:$A$353,C233,'Gate plan'!$K$4:$K$353,"&lt;&gt;")&gt;0,COUNTIFS('Gate plan'!$A$4:$A$353,C233,'Gate plan'!$K$4:$K$353,O233)=0),"Plan UC-ID differs from event UC-ID",IF(AND(E233="Assurance opinion",J233=""),"Assurance opinion ref missing",IF(AND(G233="Opinion only",E233&lt;&gt;"Assurance opinion",E233&lt;&gt;"Review only"),"Opinion only is for Assurance opinion or Review only events",IF(AND(G233="No decision",E233&lt;&gt;"Review only",E233&lt;&gt;"Priority override",E233&lt;&gt;"Intake / registration"),"No decision is for Review only, Priority override or Intake / registration events",IF(OR(ISNUMBER(SEARCH(" ",TRIM(O233))),ISNUMBER(SEARCH("/",O233))),"One UC-ID per event row: split this event",IF(AND(E233="Precautionary pause (containment)",ISNUMBER(W233),ISNUMBER(F233),W233&lt;F233),"Follow-up decision due date is before the pause",IF(AND(G233="Resume",IFERROR(LOOKUP(2,1/(($B$3:B232=B233)*($O$3:O232=O233)),$G$3:G232),"")&lt;&gt;"Paused — pending decision"),"Resume is only for the event straight after a Precautionary pause on the same AIR-ID and UC-ID (in an earlier row)",IF(AND(E233="Decision",OR(G233="Progress",G233="Progress with condition",G233="Re-authorise",G233="Resume"),X233&lt;&gt;"Yes"),"Decision-maker has not confirmed the screening was considered (column X)","Check against source")))))))))))))))))))))))))))))</f>
        <v/>
      </c>
      <c r="O233" s="37" t="n"/>
      <c r="P233" s="37" t="n"/>
      <c r="Q233" s="14">
        <f>IF(A233="","",IF(E233&lt;&gt;"Decision","",IF(P233="UC-ID specific",IF(O233="","UC-ID REQUIRED","Check source decision for each UC-ID"),IF(P233="Shared system baseline",IF(O233&lt;&gt;"","REMOVE UC-ID OR CORRECT SCOPE","Baseline only — NOT UC approval"),"Decision scope missing"))))</f>
        <v/>
      </c>
      <c r="R233" s="43" t="n"/>
      <c r="S233" s="40" t="n"/>
      <c r="T233" s="40" t="n"/>
      <c r="U233" s="40" t="n"/>
      <c r="V233" s="40" t="n"/>
      <c r="W233" s="41" t="n"/>
      <c r="X233" s="38" t="n"/>
    </row>
    <row r="234">
      <c r="A234" s="38" t="n"/>
      <c r="B234" s="38" t="n"/>
      <c r="C234" s="38" t="n"/>
      <c r="D234" s="38" t="n"/>
      <c r="E234" s="38" t="n"/>
      <c r="F234" s="39" t="n"/>
      <c r="G234" s="38" t="n"/>
      <c r="H234" s="38" t="n"/>
      <c r="I234" s="38" t="n"/>
      <c r="J234" s="38" t="n"/>
      <c r="K234" s="38" t="n"/>
      <c r="L234" s="38" t="n"/>
      <c r="M234" s="38" t="n"/>
      <c r="N234" s="22">
        <f>IF(COUNTA(A234:M234,O234:P234,R234:X234)=0,"",IF(OR(A234="",B234="",F234=""),"Event ID, AIR-ID or date missing",IF(COUNTIF($A$4:$A$553,A234)&gt;1,"Duplicate Event ID",IF(E234="","Event type missing",IF(OR(NOT(ISNUMBER(F234)),F234&gt;TODAY()),"Date is not a real date or is in the future",IF(AND(C234&lt;&gt;"",COUNTIF('Gate plan'!$A$4:$A$353,C234)=0),"Plan ID not found in Gate plan",IF(AND(C234&lt;&gt;"",COUNTIFS('Gate plan'!$A$4:$A$353,C234,'Gate plan'!$B$4:$B$353,B234)=0),"Plan AIR-ID differs from event",IF(D234="","Gate / forum missing",IF(AND(E234="Precautionary pause (containment)",G234&lt;&gt;"Paused — pending decision"),"Precautionary pause: Outcome must be Paused, pending decision",IF(AND(E234="Precautionary pause (containment)",V234=""),"Precautionary pause: AIG-OPS-03 incident ref missing",IF(AND(E234="Precautionary pause (containment)",NOT(ISNUMBER(W234))),"Precautionary pause: follow-up decision due date missing",IF(AND(G234="Paused — pending decision",E234&lt;&gt;"Precautionary pause (containment)"),"Paused, pending decision is only for a Precautionary pause event",IF(AND(E234="Decision",OR(G234="",H234="",I234="")),"Outcome / delegation / decision ref missing",IF(AND(E234="Decision",NOT(OR(G234="Progress",G234="Progress with condition",G234="Return for evidence",G234="Pause",G234="Stop",G234="Suspend",G234="Decommission",G234="Re-authorise",G234="Resume"))),"Decision event needs a decision outcome",IF(AND(E234="Priority override",OR(H234="",I234="")),"Decision-maker / AIG-DEC-03 ref missing",IF(AND(E234="Priority override",G234&lt;&gt;"",G234&lt;&gt;"No decision"),"Priority override: Outcome blank or No decision",IF(AND(E234&lt;&gt;"Decision",OR(G234="Progress",G234="Progress with condition",G234="Return for evidence",G234="Pause",G234="Stop",G234="Suspend",G234="Decommission",G234="Re-authorise",G234="Resume")),"Outcome implies decision",IF(OR(ISNUMBER(SEARCH(",",O234)),ISNUMBER(SEARCH(";",O234))),"One UC-ID per event row — split this event",IF(AND(E234="Decision",OR(Q234="UC-ID REQUIRED",Q234="Decision scope missing",Q234="REMOVE UC-ID OR CORRECT SCOPE")),"Decision scope missing",IF(AND(G234="Progress with condition",COUNTIF(Conditions!$B$4:$B$553,A234)=0),"Progress with condition needs at least one Conditions row",IF(AND(C234&lt;&gt;"",COUNTIFS('Gate plan'!$A$4:$A$353,C234,'Gate plan'!$C$4:$C$353,D234)=0),"Plan gate differs from event gate",IF(AND(C234&lt;&gt;"",O234&lt;&gt;"",COUNTIFS('Gate plan'!$A$4:$A$353,C234,'Gate plan'!$K$4:$K$353,"&lt;&gt;")&gt;0,COUNTIFS('Gate plan'!$A$4:$A$353,C234,'Gate plan'!$K$4:$K$353,O234)=0),"Plan UC-ID differs from event UC-ID",IF(AND(E234="Assurance opinion",J234=""),"Assurance opinion ref missing",IF(AND(G234="Opinion only",E234&lt;&gt;"Assurance opinion",E234&lt;&gt;"Review only"),"Opinion only is for Assurance opinion or Review only events",IF(AND(G234="No decision",E234&lt;&gt;"Review only",E234&lt;&gt;"Priority override",E234&lt;&gt;"Intake / registration"),"No decision is for Review only, Priority override or Intake / registration events",IF(OR(ISNUMBER(SEARCH(" ",TRIM(O234))),ISNUMBER(SEARCH("/",O234))),"One UC-ID per event row: split this event",IF(AND(E234="Precautionary pause (containment)",ISNUMBER(W234),ISNUMBER(F234),W234&lt;F234),"Follow-up decision due date is before the pause",IF(AND(G234="Resume",IFERROR(LOOKUP(2,1/(($B$3:B233=B234)*($O$3:O233=O234)),$G$3:G233),"")&lt;&gt;"Paused — pending decision"),"Resume is only for the event straight after a Precautionary pause on the same AIR-ID and UC-ID (in an earlier row)",IF(AND(E234="Decision",OR(G234="Progress",G234="Progress with condition",G234="Re-authorise",G234="Resume"),X234&lt;&gt;"Yes"),"Decision-maker has not confirmed the screening was considered (column X)","Check against source")))))))))))))))))))))))))))))</f>
        <v/>
      </c>
      <c r="O234" s="37" t="n"/>
      <c r="P234" s="37" t="n"/>
      <c r="Q234" s="14">
        <f>IF(A234="","",IF(E234&lt;&gt;"Decision","",IF(P234="UC-ID specific",IF(O234="","UC-ID REQUIRED","Check source decision for each UC-ID"),IF(P234="Shared system baseline",IF(O234&lt;&gt;"","REMOVE UC-ID OR CORRECT SCOPE","Baseline only — NOT UC approval"),"Decision scope missing"))))</f>
        <v/>
      </c>
      <c r="R234" s="42" t="n"/>
      <c r="S234" s="38" t="n"/>
      <c r="T234" s="38" t="n"/>
      <c r="U234" s="38" t="n"/>
      <c r="V234" s="38" t="n"/>
      <c r="W234" s="39" t="n"/>
      <c r="X234" s="38" t="n"/>
    </row>
    <row r="235">
      <c r="A235" s="40" t="n"/>
      <c r="B235" s="40" t="n"/>
      <c r="C235" s="40" t="n"/>
      <c r="D235" s="40" t="n"/>
      <c r="E235" s="40" t="n"/>
      <c r="F235" s="41" t="n"/>
      <c r="G235" s="40" t="n"/>
      <c r="H235" s="40" t="n"/>
      <c r="I235" s="40" t="n"/>
      <c r="J235" s="40" t="n"/>
      <c r="K235" s="40" t="n"/>
      <c r="L235" s="40" t="n"/>
      <c r="M235" s="40" t="n"/>
      <c r="N235" s="24">
        <f>IF(COUNTA(A235:M235,O235:P235,R235:X235)=0,"",IF(OR(A235="",B235="",F235=""),"Event ID, AIR-ID or date missing",IF(COUNTIF($A$4:$A$553,A235)&gt;1,"Duplicate Event ID",IF(E235="","Event type missing",IF(OR(NOT(ISNUMBER(F235)),F235&gt;TODAY()),"Date is not a real date or is in the future",IF(AND(C235&lt;&gt;"",COUNTIF('Gate plan'!$A$4:$A$353,C235)=0),"Plan ID not found in Gate plan",IF(AND(C235&lt;&gt;"",COUNTIFS('Gate plan'!$A$4:$A$353,C235,'Gate plan'!$B$4:$B$353,B235)=0),"Plan AIR-ID differs from event",IF(D235="","Gate / forum missing",IF(AND(E235="Precautionary pause (containment)",G235&lt;&gt;"Paused — pending decision"),"Precautionary pause: Outcome must be Paused, pending decision",IF(AND(E235="Precautionary pause (containment)",V235=""),"Precautionary pause: AIG-OPS-03 incident ref missing",IF(AND(E235="Precautionary pause (containment)",NOT(ISNUMBER(W235))),"Precautionary pause: follow-up decision due date missing",IF(AND(G235="Paused — pending decision",E235&lt;&gt;"Precautionary pause (containment)"),"Paused, pending decision is only for a Precautionary pause event",IF(AND(E235="Decision",OR(G235="",H235="",I235="")),"Outcome / delegation / decision ref missing",IF(AND(E235="Decision",NOT(OR(G235="Progress",G235="Progress with condition",G235="Return for evidence",G235="Pause",G235="Stop",G235="Suspend",G235="Decommission",G235="Re-authorise",G235="Resume"))),"Decision event needs a decision outcome",IF(AND(E235="Priority override",OR(H235="",I235="")),"Decision-maker / AIG-DEC-03 ref missing",IF(AND(E235="Priority override",G235&lt;&gt;"",G235&lt;&gt;"No decision"),"Priority override: Outcome blank or No decision",IF(AND(E235&lt;&gt;"Decision",OR(G235="Progress",G235="Progress with condition",G235="Return for evidence",G235="Pause",G235="Stop",G235="Suspend",G235="Decommission",G235="Re-authorise",G235="Resume")),"Outcome implies decision",IF(OR(ISNUMBER(SEARCH(",",O235)),ISNUMBER(SEARCH(";",O235))),"One UC-ID per event row — split this event",IF(AND(E235="Decision",OR(Q235="UC-ID REQUIRED",Q235="Decision scope missing",Q235="REMOVE UC-ID OR CORRECT SCOPE")),"Decision scope missing",IF(AND(G235="Progress with condition",COUNTIF(Conditions!$B$4:$B$553,A235)=0),"Progress with condition needs at least one Conditions row",IF(AND(C235&lt;&gt;"",COUNTIFS('Gate plan'!$A$4:$A$353,C235,'Gate plan'!$C$4:$C$353,D235)=0),"Plan gate differs from event gate",IF(AND(C235&lt;&gt;"",O235&lt;&gt;"",COUNTIFS('Gate plan'!$A$4:$A$353,C235,'Gate plan'!$K$4:$K$353,"&lt;&gt;")&gt;0,COUNTIFS('Gate plan'!$A$4:$A$353,C235,'Gate plan'!$K$4:$K$353,O235)=0),"Plan UC-ID differs from event UC-ID",IF(AND(E235="Assurance opinion",J235=""),"Assurance opinion ref missing",IF(AND(G235="Opinion only",E235&lt;&gt;"Assurance opinion",E235&lt;&gt;"Review only"),"Opinion only is for Assurance opinion or Review only events",IF(AND(G235="No decision",E235&lt;&gt;"Review only",E235&lt;&gt;"Priority override",E235&lt;&gt;"Intake / registration"),"No decision is for Review only, Priority override or Intake / registration events",IF(OR(ISNUMBER(SEARCH(" ",TRIM(O235))),ISNUMBER(SEARCH("/",O235))),"One UC-ID per event row: split this event",IF(AND(E235="Precautionary pause (containment)",ISNUMBER(W235),ISNUMBER(F235),W235&lt;F235),"Follow-up decision due date is before the pause",IF(AND(G235="Resume",IFERROR(LOOKUP(2,1/(($B$3:B234=B235)*($O$3:O234=O235)),$G$3:G234),"")&lt;&gt;"Paused — pending decision"),"Resume is only for the event straight after a Precautionary pause on the same AIR-ID and UC-ID (in an earlier row)",IF(AND(E235="Decision",OR(G235="Progress",G235="Progress with condition",G235="Re-authorise",G235="Resume"),X235&lt;&gt;"Yes"),"Decision-maker has not confirmed the screening was considered (column X)","Check against source")))))))))))))))))))))))))))))</f>
        <v/>
      </c>
      <c r="O235" s="37" t="n"/>
      <c r="P235" s="37" t="n"/>
      <c r="Q235" s="14">
        <f>IF(A235="","",IF(E235&lt;&gt;"Decision","",IF(P235="UC-ID specific",IF(O235="","UC-ID REQUIRED","Check source decision for each UC-ID"),IF(P235="Shared system baseline",IF(O235&lt;&gt;"","REMOVE UC-ID OR CORRECT SCOPE","Baseline only — NOT UC approval"),"Decision scope missing"))))</f>
        <v/>
      </c>
      <c r="R235" s="43" t="n"/>
      <c r="S235" s="40" t="n"/>
      <c r="T235" s="40" t="n"/>
      <c r="U235" s="40" t="n"/>
      <c r="V235" s="40" t="n"/>
      <c r="W235" s="41" t="n"/>
      <c r="X235" s="38" t="n"/>
    </row>
    <row r="236">
      <c r="A236" s="38" t="n"/>
      <c r="B236" s="38" t="n"/>
      <c r="C236" s="38" t="n"/>
      <c r="D236" s="38" t="n"/>
      <c r="E236" s="38" t="n"/>
      <c r="F236" s="39" t="n"/>
      <c r="G236" s="38" t="n"/>
      <c r="H236" s="38" t="n"/>
      <c r="I236" s="38" t="n"/>
      <c r="J236" s="38" t="n"/>
      <c r="K236" s="38" t="n"/>
      <c r="L236" s="38" t="n"/>
      <c r="M236" s="38" t="n"/>
      <c r="N236" s="22">
        <f>IF(COUNTA(A236:M236,O236:P236,R236:X236)=0,"",IF(OR(A236="",B236="",F236=""),"Event ID, AIR-ID or date missing",IF(COUNTIF($A$4:$A$553,A236)&gt;1,"Duplicate Event ID",IF(E236="","Event type missing",IF(OR(NOT(ISNUMBER(F236)),F236&gt;TODAY()),"Date is not a real date or is in the future",IF(AND(C236&lt;&gt;"",COUNTIF('Gate plan'!$A$4:$A$353,C236)=0),"Plan ID not found in Gate plan",IF(AND(C236&lt;&gt;"",COUNTIFS('Gate plan'!$A$4:$A$353,C236,'Gate plan'!$B$4:$B$353,B236)=0),"Plan AIR-ID differs from event",IF(D236="","Gate / forum missing",IF(AND(E236="Precautionary pause (containment)",G236&lt;&gt;"Paused — pending decision"),"Precautionary pause: Outcome must be Paused, pending decision",IF(AND(E236="Precautionary pause (containment)",V236=""),"Precautionary pause: AIG-OPS-03 incident ref missing",IF(AND(E236="Precautionary pause (containment)",NOT(ISNUMBER(W236))),"Precautionary pause: follow-up decision due date missing",IF(AND(G236="Paused — pending decision",E236&lt;&gt;"Precautionary pause (containment)"),"Paused, pending decision is only for a Precautionary pause event",IF(AND(E236="Decision",OR(G236="",H236="",I236="")),"Outcome / delegation / decision ref missing",IF(AND(E236="Decision",NOT(OR(G236="Progress",G236="Progress with condition",G236="Return for evidence",G236="Pause",G236="Stop",G236="Suspend",G236="Decommission",G236="Re-authorise",G236="Resume"))),"Decision event needs a decision outcome",IF(AND(E236="Priority override",OR(H236="",I236="")),"Decision-maker / AIG-DEC-03 ref missing",IF(AND(E236="Priority override",G236&lt;&gt;"",G236&lt;&gt;"No decision"),"Priority override: Outcome blank or No decision",IF(AND(E236&lt;&gt;"Decision",OR(G236="Progress",G236="Progress with condition",G236="Return for evidence",G236="Pause",G236="Stop",G236="Suspend",G236="Decommission",G236="Re-authorise",G236="Resume")),"Outcome implies decision",IF(OR(ISNUMBER(SEARCH(",",O236)),ISNUMBER(SEARCH(";",O236))),"One UC-ID per event row — split this event",IF(AND(E236="Decision",OR(Q236="UC-ID REQUIRED",Q236="Decision scope missing",Q236="REMOVE UC-ID OR CORRECT SCOPE")),"Decision scope missing",IF(AND(G236="Progress with condition",COUNTIF(Conditions!$B$4:$B$553,A236)=0),"Progress with condition needs at least one Conditions row",IF(AND(C236&lt;&gt;"",COUNTIFS('Gate plan'!$A$4:$A$353,C236,'Gate plan'!$C$4:$C$353,D236)=0),"Plan gate differs from event gate",IF(AND(C236&lt;&gt;"",O236&lt;&gt;"",COUNTIFS('Gate plan'!$A$4:$A$353,C236,'Gate plan'!$K$4:$K$353,"&lt;&gt;")&gt;0,COUNTIFS('Gate plan'!$A$4:$A$353,C236,'Gate plan'!$K$4:$K$353,O236)=0),"Plan UC-ID differs from event UC-ID",IF(AND(E236="Assurance opinion",J236=""),"Assurance opinion ref missing",IF(AND(G236="Opinion only",E236&lt;&gt;"Assurance opinion",E236&lt;&gt;"Review only"),"Opinion only is for Assurance opinion or Review only events",IF(AND(G236="No decision",E236&lt;&gt;"Review only",E236&lt;&gt;"Priority override",E236&lt;&gt;"Intake / registration"),"No decision is for Review only, Priority override or Intake / registration events",IF(OR(ISNUMBER(SEARCH(" ",TRIM(O236))),ISNUMBER(SEARCH("/",O236))),"One UC-ID per event row: split this event",IF(AND(E236="Precautionary pause (containment)",ISNUMBER(W236),ISNUMBER(F236),W236&lt;F236),"Follow-up decision due date is before the pause",IF(AND(G236="Resume",IFERROR(LOOKUP(2,1/(($B$3:B235=B236)*($O$3:O235=O236)),$G$3:G235),"")&lt;&gt;"Paused — pending decision"),"Resume is only for the event straight after a Precautionary pause on the same AIR-ID and UC-ID (in an earlier row)",IF(AND(E236="Decision",OR(G236="Progress",G236="Progress with condition",G236="Re-authorise",G236="Resume"),X236&lt;&gt;"Yes"),"Decision-maker has not confirmed the screening was considered (column X)","Check against source")))))))))))))))))))))))))))))</f>
        <v/>
      </c>
      <c r="O236" s="37" t="n"/>
      <c r="P236" s="37" t="n"/>
      <c r="Q236" s="14">
        <f>IF(A236="","",IF(E236&lt;&gt;"Decision","",IF(P236="UC-ID specific",IF(O236="","UC-ID REQUIRED","Check source decision for each UC-ID"),IF(P236="Shared system baseline",IF(O236&lt;&gt;"","REMOVE UC-ID OR CORRECT SCOPE","Baseline only — NOT UC approval"),"Decision scope missing"))))</f>
        <v/>
      </c>
      <c r="R236" s="42" t="n"/>
      <c r="S236" s="38" t="n"/>
      <c r="T236" s="38" t="n"/>
      <c r="U236" s="38" t="n"/>
      <c r="V236" s="38" t="n"/>
      <c r="W236" s="39" t="n"/>
      <c r="X236" s="38" t="n"/>
    </row>
    <row r="237">
      <c r="A237" s="40" t="n"/>
      <c r="B237" s="40" t="n"/>
      <c r="C237" s="40" t="n"/>
      <c r="D237" s="40" t="n"/>
      <c r="E237" s="40" t="n"/>
      <c r="F237" s="41" t="n"/>
      <c r="G237" s="40" t="n"/>
      <c r="H237" s="40" t="n"/>
      <c r="I237" s="40" t="n"/>
      <c r="J237" s="40" t="n"/>
      <c r="K237" s="40" t="n"/>
      <c r="L237" s="40" t="n"/>
      <c r="M237" s="40" t="n"/>
      <c r="N237" s="24">
        <f>IF(COUNTA(A237:M237,O237:P237,R237:X237)=0,"",IF(OR(A237="",B237="",F237=""),"Event ID, AIR-ID or date missing",IF(COUNTIF($A$4:$A$553,A237)&gt;1,"Duplicate Event ID",IF(E237="","Event type missing",IF(OR(NOT(ISNUMBER(F237)),F237&gt;TODAY()),"Date is not a real date or is in the future",IF(AND(C237&lt;&gt;"",COUNTIF('Gate plan'!$A$4:$A$353,C237)=0),"Plan ID not found in Gate plan",IF(AND(C237&lt;&gt;"",COUNTIFS('Gate plan'!$A$4:$A$353,C237,'Gate plan'!$B$4:$B$353,B237)=0),"Plan AIR-ID differs from event",IF(D237="","Gate / forum missing",IF(AND(E237="Precautionary pause (containment)",G237&lt;&gt;"Paused — pending decision"),"Precautionary pause: Outcome must be Paused, pending decision",IF(AND(E237="Precautionary pause (containment)",V237=""),"Precautionary pause: AIG-OPS-03 incident ref missing",IF(AND(E237="Precautionary pause (containment)",NOT(ISNUMBER(W237))),"Precautionary pause: follow-up decision due date missing",IF(AND(G237="Paused — pending decision",E237&lt;&gt;"Precautionary pause (containment)"),"Paused, pending decision is only for a Precautionary pause event",IF(AND(E237="Decision",OR(G237="",H237="",I237="")),"Outcome / delegation / decision ref missing",IF(AND(E237="Decision",NOT(OR(G237="Progress",G237="Progress with condition",G237="Return for evidence",G237="Pause",G237="Stop",G237="Suspend",G237="Decommission",G237="Re-authorise",G237="Resume"))),"Decision event needs a decision outcome",IF(AND(E237="Priority override",OR(H237="",I237="")),"Decision-maker / AIG-DEC-03 ref missing",IF(AND(E237="Priority override",G237&lt;&gt;"",G237&lt;&gt;"No decision"),"Priority override: Outcome blank or No decision",IF(AND(E237&lt;&gt;"Decision",OR(G237="Progress",G237="Progress with condition",G237="Return for evidence",G237="Pause",G237="Stop",G237="Suspend",G237="Decommission",G237="Re-authorise",G237="Resume")),"Outcome implies decision",IF(OR(ISNUMBER(SEARCH(",",O237)),ISNUMBER(SEARCH(";",O237))),"One UC-ID per event row — split this event",IF(AND(E237="Decision",OR(Q237="UC-ID REQUIRED",Q237="Decision scope missing",Q237="REMOVE UC-ID OR CORRECT SCOPE")),"Decision scope missing",IF(AND(G237="Progress with condition",COUNTIF(Conditions!$B$4:$B$553,A237)=0),"Progress with condition needs at least one Conditions row",IF(AND(C237&lt;&gt;"",COUNTIFS('Gate plan'!$A$4:$A$353,C237,'Gate plan'!$C$4:$C$353,D237)=0),"Plan gate differs from event gate",IF(AND(C237&lt;&gt;"",O237&lt;&gt;"",COUNTIFS('Gate plan'!$A$4:$A$353,C237,'Gate plan'!$K$4:$K$353,"&lt;&gt;")&gt;0,COUNTIFS('Gate plan'!$A$4:$A$353,C237,'Gate plan'!$K$4:$K$353,O237)=0),"Plan UC-ID differs from event UC-ID",IF(AND(E237="Assurance opinion",J237=""),"Assurance opinion ref missing",IF(AND(G237="Opinion only",E237&lt;&gt;"Assurance opinion",E237&lt;&gt;"Review only"),"Opinion only is for Assurance opinion or Review only events",IF(AND(G237="No decision",E237&lt;&gt;"Review only",E237&lt;&gt;"Priority override",E237&lt;&gt;"Intake / registration"),"No decision is for Review only, Priority override or Intake / registration events",IF(OR(ISNUMBER(SEARCH(" ",TRIM(O237))),ISNUMBER(SEARCH("/",O237))),"One UC-ID per event row: split this event",IF(AND(E237="Precautionary pause (containment)",ISNUMBER(W237),ISNUMBER(F237),W237&lt;F237),"Follow-up decision due date is before the pause",IF(AND(G237="Resume",IFERROR(LOOKUP(2,1/(($B$3:B236=B237)*($O$3:O236=O237)),$G$3:G236),"")&lt;&gt;"Paused — pending decision"),"Resume is only for the event straight after a Precautionary pause on the same AIR-ID and UC-ID (in an earlier row)",IF(AND(E237="Decision",OR(G237="Progress",G237="Progress with condition",G237="Re-authorise",G237="Resume"),X237&lt;&gt;"Yes"),"Decision-maker has not confirmed the screening was considered (column X)","Check against source")))))))))))))))))))))))))))))</f>
        <v/>
      </c>
      <c r="O237" s="37" t="n"/>
      <c r="P237" s="37" t="n"/>
      <c r="Q237" s="14">
        <f>IF(A237="","",IF(E237&lt;&gt;"Decision","",IF(P237="UC-ID specific",IF(O237="","UC-ID REQUIRED","Check source decision for each UC-ID"),IF(P237="Shared system baseline",IF(O237&lt;&gt;"","REMOVE UC-ID OR CORRECT SCOPE","Baseline only — NOT UC approval"),"Decision scope missing"))))</f>
        <v/>
      </c>
      <c r="R237" s="43" t="n"/>
      <c r="S237" s="40" t="n"/>
      <c r="T237" s="40" t="n"/>
      <c r="U237" s="40" t="n"/>
      <c r="V237" s="40" t="n"/>
      <c r="W237" s="41" t="n"/>
      <c r="X237" s="38" t="n"/>
    </row>
    <row r="238">
      <c r="A238" s="38" t="n"/>
      <c r="B238" s="38" t="n"/>
      <c r="C238" s="38" t="n"/>
      <c r="D238" s="38" t="n"/>
      <c r="E238" s="38" t="n"/>
      <c r="F238" s="39" t="n"/>
      <c r="G238" s="38" t="n"/>
      <c r="H238" s="38" t="n"/>
      <c r="I238" s="38" t="n"/>
      <c r="J238" s="38" t="n"/>
      <c r="K238" s="38" t="n"/>
      <c r="L238" s="38" t="n"/>
      <c r="M238" s="38" t="n"/>
      <c r="N238" s="22">
        <f>IF(COUNTA(A238:M238,O238:P238,R238:X238)=0,"",IF(OR(A238="",B238="",F238=""),"Event ID, AIR-ID or date missing",IF(COUNTIF($A$4:$A$553,A238)&gt;1,"Duplicate Event ID",IF(E238="","Event type missing",IF(OR(NOT(ISNUMBER(F238)),F238&gt;TODAY()),"Date is not a real date or is in the future",IF(AND(C238&lt;&gt;"",COUNTIF('Gate plan'!$A$4:$A$353,C238)=0),"Plan ID not found in Gate plan",IF(AND(C238&lt;&gt;"",COUNTIFS('Gate plan'!$A$4:$A$353,C238,'Gate plan'!$B$4:$B$353,B238)=0),"Plan AIR-ID differs from event",IF(D238="","Gate / forum missing",IF(AND(E238="Precautionary pause (containment)",G238&lt;&gt;"Paused — pending decision"),"Precautionary pause: Outcome must be Paused, pending decision",IF(AND(E238="Precautionary pause (containment)",V238=""),"Precautionary pause: AIG-OPS-03 incident ref missing",IF(AND(E238="Precautionary pause (containment)",NOT(ISNUMBER(W238))),"Precautionary pause: follow-up decision due date missing",IF(AND(G238="Paused — pending decision",E238&lt;&gt;"Precautionary pause (containment)"),"Paused, pending decision is only for a Precautionary pause event",IF(AND(E238="Decision",OR(G238="",H238="",I238="")),"Outcome / delegation / decision ref missing",IF(AND(E238="Decision",NOT(OR(G238="Progress",G238="Progress with condition",G238="Return for evidence",G238="Pause",G238="Stop",G238="Suspend",G238="Decommission",G238="Re-authorise",G238="Resume"))),"Decision event needs a decision outcome",IF(AND(E238="Priority override",OR(H238="",I238="")),"Decision-maker / AIG-DEC-03 ref missing",IF(AND(E238="Priority override",G238&lt;&gt;"",G238&lt;&gt;"No decision"),"Priority override: Outcome blank or No decision",IF(AND(E238&lt;&gt;"Decision",OR(G238="Progress",G238="Progress with condition",G238="Return for evidence",G238="Pause",G238="Stop",G238="Suspend",G238="Decommission",G238="Re-authorise",G238="Resume")),"Outcome implies decision",IF(OR(ISNUMBER(SEARCH(",",O238)),ISNUMBER(SEARCH(";",O238))),"One UC-ID per event row — split this event",IF(AND(E238="Decision",OR(Q238="UC-ID REQUIRED",Q238="Decision scope missing",Q238="REMOVE UC-ID OR CORRECT SCOPE")),"Decision scope missing",IF(AND(G238="Progress with condition",COUNTIF(Conditions!$B$4:$B$553,A238)=0),"Progress with condition needs at least one Conditions row",IF(AND(C238&lt;&gt;"",COUNTIFS('Gate plan'!$A$4:$A$353,C238,'Gate plan'!$C$4:$C$353,D238)=0),"Plan gate differs from event gate",IF(AND(C238&lt;&gt;"",O238&lt;&gt;"",COUNTIFS('Gate plan'!$A$4:$A$353,C238,'Gate plan'!$K$4:$K$353,"&lt;&gt;")&gt;0,COUNTIFS('Gate plan'!$A$4:$A$353,C238,'Gate plan'!$K$4:$K$353,O238)=0),"Plan UC-ID differs from event UC-ID",IF(AND(E238="Assurance opinion",J238=""),"Assurance opinion ref missing",IF(AND(G238="Opinion only",E238&lt;&gt;"Assurance opinion",E238&lt;&gt;"Review only"),"Opinion only is for Assurance opinion or Review only events",IF(AND(G238="No decision",E238&lt;&gt;"Review only",E238&lt;&gt;"Priority override",E238&lt;&gt;"Intake / registration"),"No decision is for Review only, Priority override or Intake / registration events",IF(OR(ISNUMBER(SEARCH(" ",TRIM(O238))),ISNUMBER(SEARCH("/",O238))),"One UC-ID per event row: split this event",IF(AND(E238="Precautionary pause (containment)",ISNUMBER(W238),ISNUMBER(F238),W238&lt;F238),"Follow-up decision due date is before the pause",IF(AND(G238="Resume",IFERROR(LOOKUP(2,1/(($B$3:B237=B238)*($O$3:O237=O238)),$G$3:G237),"")&lt;&gt;"Paused — pending decision"),"Resume is only for the event straight after a Precautionary pause on the same AIR-ID and UC-ID (in an earlier row)",IF(AND(E238="Decision",OR(G238="Progress",G238="Progress with condition",G238="Re-authorise",G238="Resume"),X238&lt;&gt;"Yes"),"Decision-maker has not confirmed the screening was considered (column X)","Check against source")))))))))))))))))))))))))))))</f>
        <v/>
      </c>
      <c r="O238" s="37" t="n"/>
      <c r="P238" s="37" t="n"/>
      <c r="Q238" s="14">
        <f>IF(A238="","",IF(E238&lt;&gt;"Decision","",IF(P238="UC-ID specific",IF(O238="","UC-ID REQUIRED","Check source decision for each UC-ID"),IF(P238="Shared system baseline",IF(O238&lt;&gt;"","REMOVE UC-ID OR CORRECT SCOPE","Baseline only — NOT UC approval"),"Decision scope missing"))))</f>
        <v/>
      </c>
      <c r="R238" s="42" t="n"/>
      <c r="S238" s="38" t="n"/>
      <c r="T238" s="38" t="n"/>
      <c r="U238" s="38" t="n"/>
      <c r="V238" s="38" t="n"/>
      <c r="W238" s="39" t="n"/>
      <c r="X238" s="38" t="n"/>
    </row>
    <row r="239">
      <c r="A239" s="40" t="n"/>
      <c r="B239" s="40" t="n"/>
      <c r="C239" s="40" t="n"/>
      <c r="D239" s="40" t="n"/>
      <c r="E239" s="40" t="n"/>
      <c r="F239" s="41" t="n"/>
      <c r="G239" s="40" t="n"/>
      <c r="H239" s="40" t="n"/>
      <c r="I239" s="40" t="n"/>
      <c r="J239" s="40" t="n"/>
      <c r="K239" s="40" t="n"/>
      <c r="L239" s="40" t="n"/>
      <c r="M239" s="40" t="n"/>
      <c r="N239" s="24">
        <f>IF(COUNTA(A239:M239,O239:P239,R239:X239)=0,"",IF(OR(A239="",B239="",F239=""),"Event ID, AIR-ID or date missing",IF(COUNTIF($A$4:$A$553,A239)&gt;1,"Duplicate Event ID",IF(E239="","Event type missing",IF(OR(NOT(ISNUMBER(F239)),F239&gt;TODAY()),"Date is not a real date or is in the future",IF(AND(C239&lt;&gt;"",COUNTIF('Gate plan'!$A$4:$A$353,C239)=0),"Plan ID not found in Gate plan",IF(AND(C239&lt;&gt;"",COUNTIFS('Gate plan'!$A$4:$A$353,C239,'Gate plan'!$B$4:$B$353,B239)=0),"Plan AIR-ID differs from event",IF(D239="","Gate / forum missing",IF(AND(E239="Precautionary pause (containment)",G239&lt;&gt;"Paused — pending decision"),"Precautionary pause: Outcome must be Paused, pending decision",IF(AND(E239="Precautionary pause (containment)",V239=""),"Precautionary pause: AIG-OPS-03 incident ref missing",IF(AND(E239="Precautionary pause (containment)",NOT(ISNUMBER(W239))),"Precautionary pause: follow-up decision due date missing",IF(AND(G239="Paused — pending decision",E239&lt;&gt;"Precautionary pause (containment)"),"Paused, pending decision is only for a Precautionary pause event",IF(AND(E239="Decision",OR(G239="",H239="",I239="")),"Outcome / delegation / decision ref missing",IF(AND(E239="Decision",NOT(OR(G239="Progress",G239="Progress with condition",G239="Return for evidence",G239="Pause",G239="Stop",G239="Suspend",G239="Decommission",G239="Re-authorise",G239="Resume"))),"Decision event needs a decision outcome",IF(AND(E239="Priority override",OR(H239="",I239="")),"Decision-maker / AIG-DEC-03 ref missing",IF(AND(E239="Priority override",G239&lt;&gt;"",G239&lt;&gt;"No decision"),"Priority override: Outcome blank or No decision",IF(AND(E239&lt;&gt;"Decision",OR(G239="Progress",G239="Progress with condition",G239="Return for evidence",G239="Pause",G239="Stop",G239="Suspend",G239="Decommission",G239="Re-authorise",G239="Resume")),"Outcome implies decision",IF(OR(ISNUMBER(SEARCH(",",O239)),ISNUMBER(SEARCH(";",O239))),"One UC-ID per event row — split this event",IF(AND(E239="Decision",OR(Q239="UC-ID REQUIRED",Q239="Decision scope missing",Q239="REMOVE UC-ID OR CORRECT SCOPE")),"Decision scope missing",IF(AND(G239="Progress with condition",COUNTIF(Conditions!$B$4:$B$553,A239)=0),"Progress with condition needs at least one Conditions row",IF(AND(C239&lt;&gt;"",COUNTIFS('Gate plan'!$A$4:$A$353,C239,'Gate plan'!$C$4:$C$353,D239)=0),"Plan gate differs from event gate",IF(AND(C239&lt;&gt;"",O239&lt;&gt;"",COUNTIFS('Gate plan'!$A$4:$A$353,C239,'Gate plan'!$K$4:$K$353,"&lt;&gt;")&gt;0,COUNTIFS('Gate plan'!$A$4:$A$353,C239,'Gate plan'!$K$4:$K$353,O239)=0),"Plan UC-ID differs from event UC-ID",IF(AND(E239="Assurance opinion",J239=""),"Assurance opinion ref missing",IF(AND(G239="Opinion only",E239&lt;&gt;"Assurance opinion",E239&lt;&gt;"Review only"),"Opinion only is for Assurance opinion or Review only events",IF(AND(G239="No decision",E239&lt;&gt;"Review only",E239&lt;&gt;"Priority override",E239&lt;&gt;"Intake / registration"),"No decision is for Review only, Priority override or Intake / registration events",IF(OR(ISNUMBER(SEARCH(" ",TRIM(O239))),ISNUMBER(SEARCH("/",O239))),"One UC-ID per event row: split this event",IF(AND(E239="Precautionary pause (containment)",ISNUMBER(W239),ISNUMBER(F239),W239&lt;F239),"Follow-up decision due date is before the pause",IF(AND(G239="Resume",IFERROR(LOOKUP(2,1/(($B$3:B238=B239)*($O$3:O238=O239)),$G$3:G238),"")&lt;&gt;"Paused — pending decision"),"Resume is only for the event straight after a Precautionary pause on the same AIR-ID and UC-ID (in an earlier row)",IF(AND(E239="Decision",OR(G239="Progress",G239="Progress with condition",G239="Re-authorise",G239="Resume"),X239&lt;&gt;"Yes"),"Decision-maker has not confirmed the screening was considered (column X)","Check against source")))))))))))))))))))))))))))))</f>
        <v/>
      </c>
      <c r="O239" s="37" t="n"/>
      <c r="P239" s="37" t="n"/>
      <c r="Q239" s="14">
        <f>IF(A239="","",IF(E239&lt;&gt;"Decision","",IF(P239="UC-ID specific",IF(O239="","UC-ID REQUIRED","Check source decision for each UC-ID"),IF(P239="Shared system baseline",IF(O239&lt;&gt;"","REMOVE UC-ID OR CORRECT SCOPE","Baseline only — NOT UC approval"),"Decision scope missing"))))</f>
        <v/>
      </c>
      <c r="R239" s="43" t="n"/>
      <c r="S239" s="40" t="n"/>
      <c r="T239" s="40" t="n"/>
      <c r="U239" s="40" t="n"/>
      <c r="V239" s="40" t="n"/>
      <c r="W239" s="41" t="n"/>
      <c r="X239" s="38" t="n"/>
    </row>
    <row r="240">
      <c r="A240" s="38" t="n"/>
      <c r="B240" s="38" t="n"/>
      <c r="C240" s="38" t="n"/>
      <c r="D240" s="38" t="n"/>
      <c r="E240" s="38" t="n"/>
      <c r="F240" s="39" t="n"/>
      <c r="G240" s="38" t="n"/>
      <c r="H240" s="38" t="n"/>
      <c r="I240" s="38" t="n"/>
      <c r="J240" s="38" t="n"/>
      <c r="K240" s="38" t="n"/>
      <c r="L240" s="38" t="n"/>
      <c r="M240" s="38" t="n"/>
      <c r="N240" s="22">
        <f>IF(COUNTA(A240:M240,O240:P240,R240:X240)=0,"",IF(OR(A240="",B240="",F240=""),"Event ID, AIR-ID or date missing",IF(COUNTIF($A$4:$A$553,A240)&gt;1,"Duplicate Event ID",IF(E240="","Event type missing",IF(OR(NOT(ISNUMBER(F240)),F240&gt;TODAY()),"Date is not a real date or is in the future",IF(AND(C240&lt;&gt;"",COUNTIF('Gate plan'!$A$4:$A$353,C240)=0),"Plan ID not found in Gate plan",IF(AND(C240&lt;&gt;"",COUNTIFS('Gate plan'!$A$4:$A$353,C240,'Gate plan'!$B$4:$B$353,B240)=0),"Plan AIR-ID differs from event",IF(D240="","Gate / forum missing",IF(AND(E240="Precautionary pause (containment)",G240&lt;&gt;"Paused — pending decision"),"Precautionary pause: Outcome must be Paused, pending decision",IF(AND(E240="Precautionary pause (containment)",V240=""),"Precautionary pause: AIG-OPS-03 incident ref missing",IF(AND(E240="Precautionary pause (containment)",NOT(ISNUMBER(W240))),"Precautionary pause: follow-up decision due date missing",IF(AND(G240="Paused — pending decision",E240&lt;&gt;"Precautionary pause (containment)"),"Paused, pending decision is only for a Precautionary pause event",IF(AND(E240="Decision",OR(G240="",H240="",I240="")),"Outcome / delegation / decision ref missing",IF(AND(E240="Decision",NOT(OR(G240="Progress",G240="Progress with condition",G240="Return for evidence",G240="Pause",G240="Stop",G240="Suspend",G240="Decommission",G240="Re-authorise",G240="Resume"))),"Decision event needs a decision outcome",IF(AND(E240="Priority override",OR(H240="",I240="")),"Decision-maker / AIG-DEC-03 ref missing",IF(AND(E240="Priority override",G240&lt;&gt;"",G240&lt;&gt;"No decision"),"Priority override: Outcome blank or No decision",IF(AND(E240&lt;&gt;"Decision",OR(G240="Progress",G240="Progress with condition",G240="Return for evidence",G240="Pause",G240="Stop",G240="Suspend",G240="Decommission",G240="Re-authorise",G240="Resume")),"Outcome implies decision",IF(OR(ISNUMBER(SEARCH(",",O240)),ISNUMBER(SEARCH(";",O240))),"One UC-ID per event row — split this event",IF(AND(E240="Decision",OR(Q240="UC-ID REQUIRED",Q240="Decision scope missing",Q240="REMOVE UC-ID OR CORRECT SCOPE")),"Decision scope missing",IF(AND(G240="Progress with condition",COUNTIF(Conditions!$B$4:$B$553,A240)=0),"Progress with condition needs at least one Conditions row",IF(AND(C240&lt;&gt;"",COUNTIFS('Gate plan'!$A$4:$A$353,C240,'Gate plan'!$C$4:$C$353,D240)=0),"Plan gate differs from event gate",IF(AND(C240&lt;&gt;"",O240&lt;&gt;"",COUNTIFS('Gate plan'!$A$4:$A$353,C240,'Gate plan'!$K$4:$K$353,"&lt;&gt;")&gt;0,COUNTIFS('Gate plan'!$A$4:$A$353,C240,'Gate plan'!$K$4:$K$353,O240)=0),"Plan UC-ID differs from event UC-ID",IF(AND(E240="Assurance opinion",J240=""),"Assurance opinion ref missing",IF(AND(G240="Opinion only",E240&lt;&gt;"Assurance opinion",E240&lt;&gt;"Review only"),"Opinion only is for Assurance opinion or Review only events",IF(AND(G240="No decision",E240&lt;&gt;"Review only",E240&lt;&gt;"Priority override",E240&lt;&gt;"Intake / registration"),"No decision is for Review only, Priority override or Intake / registration events",IF(OR(ISNUMBER(SEARCH(" ",TRIM(O240))),ISNUMBER(SEARCH("/",O240))),"One UC-ID per event row: split this event",IF(AND(E240="Precautionary pause (containment)",ISNUMBER(W240),ISNUMBER(F240),W240&lt;F240),"Follow-up decision due date is before the pause",IF(AND(G240="Resume",IFERROR(LOOKUP(2,1/(($B$3:B239=B240)*($O$3:O239=O240)),$G$3:G239),"")&lt;&gt;"Paused — pending decision"),"Resume is only for the event straight after a Precautionary pause on the same AIR-ID and UC-ID (in an earlier row)",IF(AND(E240="Decision",OR(G240="Progress",G240="Progress with condition",G240="Re-authorise",G240="Resume"),X240&lt;&gt;"Yes"),"Decision-maker has not confirmed the screening was considered (column X)","Check against source")))))))))))))))))))))))))))))</f>
        <v/>
      </c>
      <c r="O240" s="37" t="n"/>
      <c r="P240" s="37" t="n"/>
      <c r="Q240" s="14">
        <f>IF(A240="","",IF(E240&lt;&gt;"Decision","",IF(P240="UC-ID specific",IF(O240="","UC-ID REQUIRED","Check source decision for each UC-ID"),IF(P240="Shared system baseline",IF(O240&lt;&gt;"","REMOVE UC-ID OR CORRECT SCOPE","Baseline only — NOT UC approval"),"Decision scope missing"))))</f>
        <v/>
      </c>
      <c r="R240" s="42" t="n"/>
      <c r="S240" s="38" t="n"/>
      <c r="T240" s="38" t="n"/>
      <c r="U240" s="38" t="n"/>
      <c r="V240" s="38" t="n"/>
      <c r="W240" s="39" t="n"/>
      <c r="X240" s="38" t="n"/>
    </row>
    <row r="241">
      <c r="A241" s="40" t="n"/>
      <c r="B241" s="40" t="n"/>
      <c r="C241" s="40" t="n"/>
      <c r="D241" s="40" t="n"/>
      <c r="E241" s="40" t="n"/>
      <c r="F241" s="41" t="n"/>
      <c r="G241" s="40" t="n"/>
      <c r="H241" s="40" t="n"/>
      <c r="I241" s="40" t="n"/>
      <c r="J241" s="40" t="n"/>
      <c r="K241" s="40" t="n"/>
      <c r="L241" s="40" t="n"/>
      <c r="M241" s="40" t="n"/>
      <c r="N241" s="24">
        <f>IF(COUNTA(A241:M241,O241:P241,R241:X241)=0,"",IF(OR(A241="",B241="",F241=""),"Event ID, AIR-ID or date missing",IF(COUNTIF($A$4:$A$553,A241)&gt;1,"Duplicate Event ID",IF(E241="","Event type missing",IF(OR(NOT(ISNUMBER(F241)),F241&gt;TODAY()),"Date is not a real date or is in the future",IF(AND(C241&lt;&gt;"",COUNTIF('Gate plan'!$A$4:$A$353,C241)=0),"Plan ID not found in Gate plan",IF(AND(C241&lt;&gt;"",COUNTIFS('Gate plan'!$A$4:$A$353,C241,'Gate plan'!$B$4:$B$353,B241)=0),"Plan AIR-ID differs from event",IF(D241="","Gate / forum missing",IF(AND(E241="Precautionary pause (containment)",G241&lt;&gt;"Paused — pending decision"),"Precautionary pause: Outcome must be Paused, pending decision",IF(AND(E241="Precautionary pause (containment)",V241=""),"Precautionary pause: AIG-OPS-03 incident ref missing",IF(AND(E241="Precautionary pause (containment)",NOT(ISNUMBER(W241))),"Precautionary pause: follow-up decision due date missing",IF(AND(G241="Paused — pending decision",E241&lt;&gt;"Precautionary pause (containment)"),"Paused, pending decision is only for a Precautionary pause event",IF(AND(E241="Decision",OR(G241="",H241="",I241="")),"Outcome / delegation / decision ref missing",IF(AND(E241="Decision",NOT(OR(G241="Progress",G241="Progress with condition",G241="Return for evidence",G241="Pause",G241="Stop",G241="Suspend",G241="Decommission",G241="Re-authorise",G241="Resume"))),"Decision event needs a decision outcome",IF(AND(E241="Priority override",OR(H241="",I241="")),"Decision-maker / AIG-DEC-03 ref missing",IF(AND(E241="Priority override",G241&lt;&gt;"",G241&lt;&gt;"No decision"),"Priority override: Outcome blank or No decision",IF(AND(E241&lt;&gt;"Decision",OR(G241="Progress",G241="Progress with condition",G241="Return for evidence",G241="Pause",G241="Stop",G241="Suspend",G241="Decommission",G241="Re-authorise",G241="Resume")),"Outcome implies decision",IF(OR(ISNUMBER(SEARCH(",",O241)),ISNUMBER(SEARCH(";",O241))),"One UC-ID per event row — split this event",IF(AND(E241="Decision",OR(Q241="UC-ID REQUIRED",Q241="Decision scope missing",Q241="REMOVE UC-ID OR CORRECT SCOPE")),"Decision scope missing",IF(AND(G241="Progress with condition",COUNTIF(Conditions!$B$4:$B$553,A241)=0),"Progress with condition needs at least one Conditions row",IF(AND(C241&lt;&gt;"",COUNTIFS('Gate plan'!$A$4:$A$353,C241,'Gate plan'!$C$4:$C$353,D241)=0),"Plan gate differs from event gate",IF(AND(C241&lt;&gt;"",O241&lt;&gt;"",COUNTIFS('Gate plan'!$A$4:$A$353,C241,'Gate plan'!$K$4:$K$353,"&lt;&gt;")&gt;0,COUNTIFS('Gate plan'!$A$4:$A$353,C241,'Gate plan'!$K$4:$K$353,O241)=0),"Plan UC-ID differs from event UC-ID",IF(AND(E241="Assurance opinion",J241=""),"Assurance opinion ref missing",IF(AND(G241="Opinion only",E241&lt;&gt;"Assurance opinion",E241&lt;&gt;"Review only"),"Opinion only is for Assurance opinion or Review only events",IF(AND(G241="No decision",E241&lt;&gt;"Review only",E241&lt;&gt;"Priority override",E241&lt;&gt;"Intake / registration"),"No decision is for Review only, Priority override or Intake / registration events",IF(OR(ISNUMBER(SEARCH(" ",TRIM(O241))),ISNUMBER(SEARCH("/",O241))),"One UC-ID per event row: split this event",IF(AND(E241="Precautionary pause (containment)",ISNUMBER(W241),ISNUMBER(F241),W241&lt;F241),"Follow-up decision due date is before the pause",IF(AND(G241="Resume",IFERROR(LOOKUP(2,1/(($B$3:B240=B241)*($O$3:O240=O241)),$G$3:G240),"")&lt;&gt;"Paused — pending decision"),"Resume is only for the event straight after a Precautionary pause on the same AIR-ID and UC-ID (in an earlier row)",IF(AND(E241="Decision",OR(G241="Progress",G241="Progress with condition",G241="Re-authorise",G241="Resume"),X241&lt;&gt;"Yes"),"Decision-maker has not confirmed the screening was considered (column X)","Check against source")))))))))))))))))))))))))))))</f>
        <v/>
      </c>
      <c r="O241" s="37" t="n"/>
      <c r="P241" s="37" t="n"/>
      <c r="Q241" s="14">
        <f>IF(A241="","",IF(E241&lt;&gt;"Decision","",IF(P241="UC-ID specific",IF(O241="","UC-ID REQUIRED","Check source decision for each UC-ID"),IF(P241="Shared system baseline",IF(O241&lt;&gt;"","REMOVE UC-ID OR CORRECT SCOPE","Baseline only — NOT UC approval"),"Decision scope missing"))))</f>
        <v/>
      </c>
      <c r="R241" s="43" t="n"/>
      <c r="S241" s="40" t="n"/>
      <c r="T241" s="40" t="n"/>
      <c r="U241" s="40" t="n"/>
      <c r="V241" s="40" t="n"/>
      <c r="W241" s="41" t="n"/>
      <c r="X241" s="38" t="n"/>
    </row>
    <row r="242">
      <c r="A242" s="38" t="n"/>
      <c r="B242" s="38" t="n"/>
      <c r="C242" s="38" t="n"/>
      <c r="D242" s="38" t="n"/>
      <c r="E242" s="38" t="n"/>
      <c r="F242" s="39" t="n"/>
      <c r="G242" s="38" t="n"/>
      <c r="H242" s="38" t="n"/>
      <c r="I242" s="38" t="n"/>
      <c r="J242" s="38" t="n"/>
      <c r="K242" s="38" t="n"/>
      <c r="L242" s="38" t="n"/>
      <c r="M242" s="38" t="n"/>
      <c r="N242" s="22">
        <f>IF(COUNTA(A242:M242,O242:P242,R242:X242)=0,"",IF(OR(A242="",B242="",F242=""),"Event ID, AIR-ID or date missing",IF(COUNTIF($A$4:$A$553,A242)&gt;1,"Duplicate Event ID",IF(E242="","Event type missing",IF(OR(NOT(ISNUMBER(F242)),F242&gt;TODAY()),"Date is not a real date or is in the future",IF(AND(C242&lt;&gt;"",COUNTIF('Gate plan'!$A$4:$A$353,C242)=0),"Plan ID not found in Gate plan",IF(AND(C242&lt;&gt;"",COUNTIFS('Gate plan'!$A$4:$A$353,C242,'Gate plan'!$B$4:$B$353,B242)=0),"Plan AIR-ID differs from event",IF(D242="","Gate / forum missing",IF(AND(E242="Precautionary pause (containment)",G242&lt;&gt;"Paused — pending decision"),"Precautionary pause: Outcome must be Paused, pending decision",IF(AND(E242="Precautionary pause (containment)",V242=""),"Precautionary pause: AIG-OPS-03 incident ref missing",IF(AND(E242="Precautionary pause (containment)",NOT(ISNUMBER(W242))),"Precautionary pause: follow-up decision due date missing",IF(AND(G242="Paused — pending decision",E242&lt;&gt;"Precautionary pause (containment)"),"Paused, pending decision is only for a Precautionary pause event",IF(AND(E242="Decision",OR(G242="",H242="",I242="")),"Outcome / delegation / decision ref missing",IF(AND(E242="Decision",NOT(OR(G242="Progress",G242="Progress with condition",G242="Return for evidence",G242="Pause",G242="Stop",G242="Suspend",G242="Decommission",G242="Re-authorise",G242="Resume"))),"Decision event needs a decision outcome",IF(AND(E242="Priority override",OR(H242="",I242="")),"Decision-maker / AIG-DEC-03 ref missing",IF(AND(E242="Priority override",G242&lt;&gt;"",G242&lt;&gt;"No decision"),"Priority override: Outcome blank or No decision",IF(AND(E242&lt;&gt;"Decision",OR(G242="Progress",G242="Progress with condition",G242="Return for evidence",G242="Pause",G242="Stop",G242="Suspend",G242="Decommission",G242="Re-authorise",G242="Resume")),"Outcome implies decision",IF(OR(ISNUMBER(SEARCH(",",O242)),ISNUMBER(SEARCH(";",O242))),"One UC-ID per event row — split this event",IF(AND(E242="Decision",OR(Q242="UC-ID REQUIRED",Q242="Decision scope missing",Q242="REMOVE UC-ID OR CORRECT SCOPE")),"Decision scope missing",IF(AND(G242="Progress with condition",COUNTIF(Conditions!$B$4:$B$553,A242)=0),"Progress with condition needs at least one Conditions row",IF(AND(C242&lt;&gt;"",COUNTIFS('Gate plan'!$A$4:$A$353,C242,'Gate plan'!$C$4:$C$353,D242)=0),"Plan gate differs from event gate",IF(AND(C242&lt;&gt;"",O242&lt;&gt;"",COUNTIFS('Gate plan'!$A$4:$A$353,C242,'Gate plan'!$K$4:$K$353,"&lt;&gt;")&gt;0,COUNTIFS('Gate plan'!$A$4:$A$353,C242,'Gate plan'!$K$4:$K$353,O242)=0),"Plan UC-ID differs from event UC-ID",IF(AND(E242="Assurance opinion",J242=""),"Assurance opinion ref missing",IF(AND(G242="Opinion only",E242&lt;&gt;"Assurance opinion",E242&lt;&gt;"Review only"),"Opinion only is for Assurance opinion or Review only events",IF(AND(G242="No decision",E242&lt;&gt;"Review only",E242&lt;&gt;"Priority override",E242&lt;&gt;"Intake / registration"),"No decision is for Review only, Priority override or Intake / registration events",IF(OR(ISNUMBER(SEARCH(" ",TRIM(O242))),ISNUMBER(SEARCH("/",O242))),"One UC-ID per event row: split this event",IF(AND(E242="Precautionary pause (containment)",ISNUMBER(W242),ISNUMBER(F242),W242&lt;F242),"Follow-up decision due date is before the pause",IF(AND(G242="Resume",IFERROR(LOOKUP(2,1/(($B$3:B241=B242)*($O$3:O241=O242)),$G$3:G241),"")&lt;&gt;"Paused — pending decision"),"Resume is only for the event straight after a Precautionary pause on the same AIR-ID and UC-ID (in an earlier row)",IF(AND(E242="Decision",OR(G242="Progress",G242="Progress with condition",G242="Re-authorise",G242="Resume"),X242&lt;&gt;"Yes"),"Decision-maker has not confirmed the screening was considered (column X)","Check against source")))))))))))))))))))))))))))))</f>
        <v/>
      </c>
      <c r="O242" s="37" t="n"/>
      <c r="P242" s="37" t="n"/>
      <c r="Q242" s="14">
        <f>IF(A242="","",IF(E242&lt;&gt;"Decision","",IF(P242="UC-ID specific",IF(O242="","UC-ID REQUIRED","Check source decision for each UC-ID"),IF(P242="Shared system baseline",IF(O242&lt;&gt;"","REMOVE UC-ID OR CORRECT SCOPE","Baseline only — NOT UC approval"),"Decision scope missing"))))</f>
        <v/>
      </c>
      <c r="R242" s="42" t="n"/>
      <c r="S242" s="38" t="n"/>
      <c r="T242" s="38" t="n"/>
      <c r="U242" s="38" t="n"/>
      <c r="V242" s="38" t="n"/>
      <c r="W242" s="39" t="n"/>
      <c r="X242" s="38" t="n"/>
    </row>
    <row r="243">
      <c r="A243" s="40" t="n"/>
      <c r="B243" s="40" t="n"/>
      <c r="C243" s="40" t="n"/>
      <c r="D243" s="40" t="n"/>
      <c r="E243" s="40" t="n"/>
      <c r="F243" s="41" t="n"/>
      <c r="G243" s="40" t="n"/>
      <c r="H243" s="40" t="n"/>
      <c r="I243" s="40" t="n"/>
      <c r="J243" s="40" t="n"/>
      <c r="K243" s="40" t="n"/>
      <c r="L243" s="40" t="n"/>
      <c r="M243" s="40" t="n"/>
      <c r="N243" s="24">
        <f>IF(COUNTA(A243:M243,O243:P243,R243:X243)=0,"",IF(OR(A243="",B243="",F243=""),"Event ID, AIR-ID or date missing",IF(COUNTIF($A$4:$A$553,A243)&gt;1,"Duplicate Event ID",IF(E243="","Event type missing",IF(OR(NOT(ISNUMBER(F243)),F243&gt;TODAY()),"Date is not a real date or is in the future",IF(AND(C243&lt;&gt;"",COUNTIF('Gate plan'!$A$4:$A$353,C243)=0),"Plan ID not found in Gate plan",IF(AND(C243&lt;&gt;"",COUNTIFS('Gate plan'!$A$4:$A$353,C243,'Gate plan'!$B$4:$B$353,B243)=0),"Plan AIR-ID differs from event",IF(D243="","Gate / forum missing",IF(AND(E243="Precautionary pause (containment)",G243&lt;&gt;"Paused — pending decision"),"Precautionary pause: Outcome must be Paused, pending decision",IF(AND(E243="Precautionary pause (containment)",V243=""),"Precautionary pause: AIG-OPS-03 incident ref missing",IF(AND(E243="Precautionary pause (containment)",NOT(ISNUMBER(W243))),"Precautionary pause: follow-up decision due date missing",IF(AND(G243="Paused — pending decision",E243&lt;&gt;"Precautionary pause (containment)"),"Paused, pending decision is only for a Precautionary pause event",IF(AND(E243="Decision",OR(G243="",H243="",I243="")),"Outcome / delegation / decision ref missing",IF(AND(E243="Decision",NOT(OR(G243="Progress",G243="Progress with condition",G243="Return for evidence",G243="Pause",G243="Stop",G243="Suspend",G243="Decommission",G243="Re-authorise",G243="Resume"))),"Decision event needs a decision outcome",IF(AND(E243="Priority override",OR(H243="",I243="")),"Decision-maker / AIG-DEC-03 ref missing",IF(AND(E243="Priority override",G243&lt;&gt;"",G243&lt;&gt;"No decision"),"Priority override: Outcome blank or No decision",IF(AND(E243&lt;&gt;"Decision",OR(G243="Progress",G243="Progress with condition",G243="Return for evidence",G243="Pause",G243="Stop",G243="Suspend",G243="Decommission",G243="Re-authorise",G243="Resume")),"Outcome implies decision",IF(OR(ISNUMBER(SEARCH(",",O243)),ISNUMBER(SEARCH(";",O243))),"One UC-ID per event row — split this event",IF(AND(E243="Decision",OR(Q243="UC-ID REQUIRED",Q243="Decision scope missing",Q243="REMOVE UC-ID OR CORRECT SCOPE")),"Decision scope missing",IF(AND(G243="Progress with condition",COUNTIF(Conditions!$B$4:$B$553,A243)=0),"Progress with condition needs at least one Conditions row",IF(AND(C243&lt;&gt;"",COUNTIFS('Gate plan'!$A$4:$A$353,C243,'Gate plan'!$C$4:$C$353,D243)=0),"Plan gate differs from event gate",IF(AND(C243&lt;&gt;"",O243&lt;&gt;"",COUNTIFS('Gate plan'!$A$4:$A$353,C243,'Gate plan'!$K$4:$K$353,"&lt;&gt;")&gt;0,COUNTIFS('Gate plan'!$A$4:$A$353,C243,'Gate plan'!$K$4:$K$353,O243)=0),"Plan UC-ID differs from event UC-ID",IF(AND(E243="Assurance opinion",J243=""),"Assurance opinion ref missing",IF(AND(G243="Opinion only",E243&lt;&gt;"Assurance opinion",E243&lt;&gt;"Review only"),"Opinion only is for Assurance opinion or Review only events",IF(AND(G243="No decision",E243&lt;&gt;"Review only",E243&lt;&gt;"Priority override",E243&lt;&gt;"Intake / registration"),"No decision is for Review only, Priority override or Intake / registration events",IF(OR(ISNUMBER(SEARCH(" ",TRIM(O243))),ISNUMBER(SEARCH("/",O243))),"One UC-ID per event row: split this event",IF(AND(E243="Precautionary pause (containment)",ISNUMBER(W243),ISNUMBER(F243),W243&lt;F243),"Follow-up decision due date is before the pause",IF(AND(G243="Resume",IFERROR(LOOKUP(2,1/(($B$3:B242=B243)*($O$3:O242=O243)),$G$3:G242),"")&lt;&gt;"Paused — pending decision"),"Resume is only for the event straight after a Precautionary pause on the same AIR-ID and UC-ID (in an earlier row)",IF(AND(E243="Decision",OR(G243="Progress",G243="Progress with condition",G243="Re-authorise",G243="Resume"),X243&lt;&gt;"Yes"),"Decision-maker has not confirmed the screening was considered (column X)","Check against source")))))))))))))))))))))))))))))</f>
        <v/>
      </c>
      <c r="O243" s="37" t="n"/>
      <c r="P243" s="37" t="n"/>
      <c r="Q243" s="14">
        <f>IF(A243="","",IF(E243&lt;&gt;"Decision","",IF(P243="UC-ID specific",IF(O243="","UC-ID REQUIRED","Check source decision for each UC-ID"),IF(P243="Shared system baseline",IF(O243&lt;&gt;"","REMOVE UC-ID OR CORRECT SCOPE","Baseline only — NOT UC approval"),"Decision scope missing"))))</f>
        <v/>
      </c>
      <c r="R243" s="43" t="n"/>
      <c r="S243" s="40" t="n"/>
      <c r="T243" s="40" t="n"/>
      <c r="U243" s="40" t="n"/>
      <c r="V243" s="40" t="n"/>
      <c r="W243" s="41" t="n"/>
      <c r="X243" s="38" t="n"/>
    </row>
    <row r="244">
      <c r="A244" s="38" t="n"/>
      <c r="B244" s="38" t="n"/>
      <c r="C244" s="38" t="n"/>
      <c r="D244" s="38" t="n"/>
      <c r="E244" s="38" t="n"/>
      <c r="F244" s="39" t="n"/>
      <c r="G244" s="38" t="n"/>
      <c r="H244" s="38" t="n"/>
      <c r="I244" s="38" t="n"/>
      <c r="J244" s="38" t="n"/>
      <c r="K244" s="38" t="n"/>
      <c r="L244" s="38" t="n"/>
      <c r="M244" s="38" t="n"/>
      <c r="N244" s="22">
        <f>IF(COUNTA(A244:M244,O244:P244,R244:X244)=0,"",IF(OR(A244="",B244="",F244=""),"Event ID, AIR-ID or date missing",IF(COUNTIF($A$4:$A$553,A244)&gt;1,"Duplicate Event ID",IF(E244="","Event type missing",IF(OR(NOT(ISNUMBER(F244)),F244&gt;TODAY()),"Date is not a real date or is in the future",IF(AND(C244&lt;&gt;"",COUNTIF('Gate plan'!$A$4:$A$353,C244)=0),"Plan ID not found in Gate plan",IF(AND(C244&lt;&gt;"",COUNTIFS('Gate plan'!$A$4:$A$353,C244,'Gate plan'!$B$4:$B$353,B244)=0),"Plan AIR-ID differs from event",IF(D244="","Gate / forum missing",IF(AND(E244="Precautionary pause (containment)",G244&lt;&gt;"Paused — pending decision"),"Precautionary pause: Outcome must be Paused, pending decision",IF(AND(E244="Precautionary pause (containment)",V244=""),"Precautionary pause: AIG-OPS-03 incident ref missing",IF(AND(E244="Precautionary pause (containment)",NOT(ISNUMBER(W244))),"Precautionary pause: follow-up decision due date missing",IF(AND(G244="Paused — pending decision",E244&lt;&gt;"Precautionary pause (containment)"),"Paused, pending decision is only for a Precautionary pause event",IF(AND(E244="Decision",OR(G244="",H244="",I244="")),"Outcome / delegation / decision ref missing",IF(AND(E244="Decision",NOT(OR(G244="Progress",G244="Progress with condition",G244="Return for evidence",G244="Pause",G244="Stop",G244="Suspend",G244="Decommission",G244="Re-authorise",G244="Resume"))),"Decision event needs a decision outcome",IF(AND(E244="Priority override",OR(H244="",I244="")),"Decision-maker / AIG-DEC-03 ref missing",IF(AND(E244="Priority override",G244&lt;&gt;"",G244&lt;&gt;"No decision"),"Priority override: Outcome blank or No decision",IF(AND(E244&lt;&gt;"Decision",OR(G244="Progress",G244="Progress with condition",G244="Return for evidence",G244="Pause",G244="Stop",G244="Suspend",G244="Decommission",G244="Re-authorise",G244="Resume")),"Outcome implies decision",IF(OR(ISNUMBER(SEARCH(",",O244)),ISNUMBER(SEARCH(";",O244))),"One UC-ID per event row — split this event",IF(AND(E244="Decision",OR(Q244="UC-ID REQUIRED",Q244="Decision scope missing",Q244="REMOVE UC-ID OR CORRECT SCOPE")),"Decision scope missing",IF(AND(G244="Progress with condition",COUNTIF(Conditions!$B$4:$B$553,A244)=0),"Progress with condition needs at least one Conditions row",IF(AND(C244&lt;&gt;"",COUNTIFS('Gate plan'!$A$4:$A$353,C244,'Gate plan'!$C$4:$C$353,D244)=0),"Plan gate differs from event gate",IF(AND(C244&lt;&gt;"",O244&lt;&gt;"",COUNTIFS('Gate plan'!$A$4:$A$353,C244,'Gate plan'!$K$4:$K$353,"&lt;&gt;")&gt;0,COUNTIFS('Gate plan'!$A$4:$A$353,C244,'Gate plan'!$K$4:$K$353,O244)=0),"Plan UC-ID differs from event UC-ID",IF(AND(E244="Assurance opinion",J244=""),"Assurance opinion ref missing",IF(AND(G244="Opinion only",E244&lt;&gt;"Assurance opinion",E244&lt;&gt;"Review only"),"Opinion only is for Assurance opinion or Review only events",IF(AND(G244="No decision",E244&lt;&gt;"Review only",E244&lt;&gt;"Priority override",E244&lt;&gt;"Intake / registration"),"No decision is for Review only, Priority override or Intake / registration events",IF(OR(ISNUMBER(SEARCH(" ",TRIM(O244))),ISNUMBER(SEARCH("/",O244))),"One UC-ID per event row: split this event",IF(AND(E244="Precautionary pause (containment)",ISNUMBER(W244),ISNUMBER(F244),W244&lt;F244),"Follow-up decision due date is before the pause",IF(AND(G244="Resume",IFERROR(LOOKUP(2,1/(($B$3:B243=B244)*($O$3:O243=O244)),$G$3:G243),"")&lt;&gt;"Paused — pending decision"),"Resume is only for the event straight after a Precautionary pause on the same AIR-ID and UC-ID (in an earlier row)",IF(AND(E244="Decision",OR(G244="Progress",G244="Progress with condition",G244="Re-authorise",G244="Resume"),X244&lt;&gt;"Yes"),"Decision-maker has not confirmed the screening was considered (column X)","Check against source")))))))))))))))))))))))))))))</f>
        <v/>
      </c>
      <c r="O244" s="37" t="n"/>
      <c r="P244" s="37" t="n"/>
      <c r="Q244" s="14">
        <f>IF(A244="","",IF(E244&lt;&gt;"Decision","",IF(P244="UC-ID specific",IF(O244="","UC-ID REQUIRED","Check source decision for each UC-ID"),IF(P244="Shared system baseline",IF(O244&lt;&gt;"","REMOVE UC-ID OR CORRECT SCOPE","Baseline only — NOT UC approval"),"Decision scope missing"))))</f>
        <v/>
      </c>
      <c r="R244" s="42" t="n"/>
      <c r="S244" s="38" t="n"/>
      <c r="T244" s="38" t="n"/>
      <c r="U244" s="38" t="n"/>
      <c r="V244" s="38" t="n"/>
      <c r="W244" s="39" t="n"/>
      <c r="X244" s="38" t="n"/>
    </row>
    <row r="245">
      <c r="A245" s="40" t="n"/>
      <c r="B245" s="40" t="n"/>
      <c r="C245" s="40" t="n"/>
      <c r="D245" s="40" t="n"/>
      <c r="E245" s="40" t="n"/>
      <c r="F245" s="41" t="n"/>
      <c r="G245" s="40" t="n"/>
      <c r="H245" s="40" t="n"/>
      <c r="I245" s="40" t="n"/>
      <c r="J245" s="40" t="n"/>
      <c r="K245" s="40" t="n"/>
      <c r="L245" s="40" t="n"/>
      <c r="M245" s="40" t="n"/>
      <c r="N245" s="24">
        <f>IF(COUNTA(A245:M245,O245:P245,R245:X245)=0,"",IF(OR(A245="",B245="",F245=""),"Event ID, AIR-ID or date missing",IF(COUNTIF($A$4:$A$553,A245)&gt;1,"Duplicate Event ID",IF(E245="","Event type missing",IF(OR(NOT(ISNUMBER(F245)),F245&gt;TODAY()),"Date is not a real date or is in the future",IF(AND(C245&lt;&gt;"",COUNTIF('Gate plan'!$A$4:$A$353,C245)=0),"Plan ID not found in Gate plan",IF(AND(C245&lt;&gt;"",COUNTIFS('Gate plan'!$A$4:$A$353,C245,'Gate plan'!$B$4:$B$353,B245)=0),"Plan AIR-ID differs from event",IF(D245="","Gate / forum missing",IF(AND(E245="Precautionary pause (containment)",G245&lt;&gt;"Paused — pending decision"),"Precautionary pause: Outcome must be Paused, pending decision",IF(AND(E245="Precautionary pause (containment)",V245=""),"Precautionary pause: AIG-OPS-03 incident ref missing",IF(AND(E245="Precautionary pause (containment)",NOT(ISNUMBER(W245))),"Precautionary pause: follow-up decision due date missing",IF(AND(G245="Paused — pending decision",E245&lt;&gt;"Precautionary pause (containment)"),"Paused, pending decision is only for a Precautionary pause event",IF(AND(E245="Decision",OR(G245="",H245="",I245="")),"Outcome / delegation / decision ref missing",IF(AND(E245="Decision",NOT(OR(G245="Progress",G245="Progress with condition",G245="Return for evidence",G245="Pause",G245="Stop",G245="Suspend",G245="Decommission",G245="Re-authorise",G245="Resume"))),"Decision event needs a decision outcome",IF(AND(E245="Priority override",OR(H245="",I245="")),"Decision-maker / AIG-DEC-03 ref missing",IF(AND(E245="Priority override",G245&lt;&gt;"",G245&lt;&gt;"No decision"),"Priority override: Outcome blank or No decision",IF(AND(E245&lt;&gt;"Decision",OR(G245="Progress",G245="Progress with condition",G245="Return for evidence",G245="Pause",G245="Stop",G245="Suspend",G245="Decommission",G245="Re-authorise",G245="Resume")),"Outcome implies decision",IF(OR(ISNUMBER(SEARCH(",",O245)),ISNUMBER(SEARCH(";",O245))),"One UC-ID per event row — split this event",IF(AND(E245="Decision",OR(Q245="UC-ID REQUIRED",Q245="Decision scope missing",Q245="REMOVE UC-ID OR CORRECT SCOPE")),"Decision scope missing",IF(AND(G245="Progress with condition",COUNTIF(Conditions!$B$4:$B$553,A245)=0),"Progress with condition needs at least one Conditions row",IF(AND(C245&lt;&gt;"",COUNTIFS('Gate plan'!$A$4:$A$353,C245,'Gate plan'!$C$4:$C$353,D245)=0),"Plan gate differs from event gate",IF(AND(C245&lt;&gt;"",O245&lt;&gt;"",COUNTIFS('Gate plan'!$A$4:$A$353,C245,'Gate plan'!$K$4:$K$353,"&lt;&gt;")&gt;0,COUNTIFS('Gate plan'!$A$4:$A$353,C245,'Gate plan'!$K$4:$K$353,O245)=0),"Plan UC-ID differs from event UC-ID",IF(AND(E245="Assurance opinion",J245=""),"Assurance opinion ref missing",IF(AND(G245="Opinion only",E245&lt;&gt;"Assurance opinion",E245&lt;&gt;"Review only"),"Opinion only is for Assurance opinion or Review only events",IF(AND(G245="No decision",E245&lt;&gt;"Review only",E245&lt;&gt;"Priority override",E245&lt;&gt;"Intake / registration"),"No decision is for Review only, Priority override or Intake / registration events",IF(OR(ISNUMBER(SEARCH(" ",TRIM(O245))),ISNUMBER(SEARCH("/",O245))),"One UC-ID per event row: split this event",IF(AND(E245="Precautionary pause (containment)",ISNUMBER(W245),ISNUMBER(F245),W245&lt;F245),"Follow-up decision due date is before the pause",IF(AND(G245="Resume",IFERROR(LOOKUP(2,1/(($B$3:B244=B245)*($O$3:O244=O245)),$G$3:G244),"")&lt;&gt;"Paused — pending decision"),"Resume is only for the event straight after a Precautionary pause on the same AIR-ID and UC-ID (in an earlier row)",IF(AND(E245="Decision",OR(G245="Progress",G245="Progress with condition",G245="Re-authorise",G245="Resume"),X245&lt;&gt;"Yes"),"Decision-maker has not confirmed the screening was considered (column X)","Check against source")))))))))))))))))))))))))))))</f>
        <v/>
      </c>
      <c r="O245" s="37" t="n"/>
      <c r="P245" s="37" t="n"/>
      <c r="Q245" s="14">
        <f>IF(A245="","",IF(E245&lt;&gt;"Decision","",IF(P245="UC-ID specific",IF(O245="","UC-ID REQUIRED","Check source decision for each UC-ID"),IF(P245="Shared system baseline",IF(O245&lt;&gt;"","REMOVE UC-ID OR CORRECT SCOPE","Baseline only — NOT UC approval"),"Decision scope missing"))))</f>
        <v/>
      </c>
      <c r="R245" s="43" t="n"/>
      <c r="S245" s="40" t="n"/>
      <c r="T245" s="40" t="n"/>
      <c r="U245" s="40" t="n"/>
      <c r="V245" s="40" t="n"/>
      <c r="W245" s="41" t="n"/>
      <c r="X245" s="38" t="n"/>
    </row>
    <row r="246">
      <c r="A246" s="38" t="n"/>
      <c r="B246" s="38" t="n"/>
      <c r="C246" s="38" t="n"/>
      <c r="D246" s="38" t="n"/>
      <c r="E246" s="38" t="n"/>
      <c r="F246" s="39" t="n"/>
      <c r="G246" s="38" t="n"/>
      <c r="H246" s="38" t="n"/>
      <c r="I246" s="38" t="n"/>
      <c r="J246" s="38" t="n"/>
      <c r="K246" s="38" t="n"/>
      <c r="L246" s="38" t="n"/>
      <c r="M246" s="38" t="n"/>
      <c r="N246" s="22">
        <f>IF(COUNTA(A246:M246,O246:P246,R246:X246)=0,"",IF(OR(A246="",B246="",F246=""),"Event ID, AIR-ID or date missing",IF(COUNTIF($A$4:$A$553,A246)&gt;1,"Duplicate Event ID",IF(E246="","Event type missing",IF(OR(NOT(ISNUMBER(F246)),F246&gt;TODAY()),"Date is not a real date or is in the future",IF(AND(C246&lt;&gt;"",COUNTIF('Gate plan'!$A$4:$A$353,C246)=0),"Plan ID not found in Gate plan",IF(AND(C246&lt;&gt;"",COUNTIFS('Gate plan'!$A$4:$A$353,C246,'Gate plan'!$B$4:$B$353,B246)=0),"Plan AIR-ID differs from event",IF(D246="","Gate / forum missing",IF(AND(E246="Precautionary pause (containment)",G246&lt;&gt;"Paused — pending decision"),"Precautionary pause: Outcome must be Paused, pending decision",IF(AND(E246="Precautionary pause (containment)",V246=""),"Precautionary pause: AIG-OPS-03 incident ref missing",IF(AND(E246="Precautionary pause (containment)",NOT(ISNUMBER(W246))),"Precautionary pause: follow-up decision due date missing",IF(AND(G246="Paused — pending decision",E246&lt;&gt;"Precautionary pause (containment)"),"Paused, pending decision is only for a Precautionary pause event",IF(AND(E246="Decision",OR(G246="",H246="",I246="")),"Outcome / delegation / decision ref missing",IF(AND(E246="Decision",NOT(OR(G246="Progress",G246="Progress with condition",G246="Return for evidence",G246="Pause",G246="Stop",G246="Suspend",G246="Decommission",G246="Re-authorise",G246="Resume"))),"Decision event needs a decision outcome",IF(AND(E246="Priority override",OR(H246="",I246="")),"Decision-maker / AIG-DEC-03 ref missing",IF(AND(E246="Priority override",G246&lt;&gt;"",G246&lt;&gt;"No decision"),"Priority override: Outcome blank or No decision",IF(AND(E246&lt;&gt;"Decision",OR(G246="Progress",G246="Progress with condition",G246="Return for evidence",G246="Pause",G246="Stop",G246="Suspend",G246="Decommission",G246="Re-authorise",G246="Resume")),"Outcome implies decision",IF(OR(ISNUMBER(SEARCH(",",O246)),ISNUMBER(SEARCH(";",O246))),"One UC-ID per event row — split this event",IF(AND(E246="Decision",OR(Q246="UC-ID REQUIRED",Q246="Decision scope missing",Q246="REMOVE UC-ID OR CORRECT SCOPE")),"Decision scope missing",IF(AND(G246="Progress with condition",COUNTIF(Conditions!$B$4:$B$553,A246)=0),"Progress with condition needs at least one Conditions row",IF(AND(C246&lt;&gt;"",COUNTIFS('Gate plan'!$A$4:$A$353,C246,'Gate plan'!$C$4:$C$353,D246)=0),"Plan gate differs from event gate",IF(AND(C246&lt;&gt;"",O246&lt;&gt;"",COUNTIFS('Gate plan'!$A$4:$A$353,C246,'Gate plan'!$K$4:$K$353,"&lt;&gt;")&gt;0,COUNTIFS('Gate plan'!$A$4:$A$353,C246,'Gate plan'!$K$4:$K$353,O246)=0),"Plan UC-ID differs from event UC-ID",IF(AND(E246="Assurance opinion",J246=""),"Assurance opinion ref missing",IF(AND(G246="Opinion only",E246&lt;&gt;"Assurance opinion",E246&lt;&gt;"Review only"),"Opinion only is for Assurance opinion or Review only events",IF(AND(G246="No decision",E246&lt;&gt;"Review only",E246&lt;&gt;"Priority override",E246&lt;&gt;"Intake / registration"),"No decision is for Review only, Priority override or Intake / registration events",IF(OR(ISNUMBER(SEARCH(" ",TRIM(O246))),ISNUMBER(SEARCH("/",O246))),"One UC-ID per event row: split this event",IF(AND(E246="Precautionary pause (containment)",ISNUMBER(W246),ISNUMBER(F246),W246&lt;F246),"Follow-up decision due date is before the pause",IF(AND(G246="Resume",IFERROR(LOOKUP(2,1/(($B$3:B245=B246)*($O$3:O245=O246)),$G$3:G245),"")&lt;&gt;"Paused — pending decision"),"Resume is only for the event straight after a Precautionary pause on the same AIR-ID and UC-ID (in an earlier row)",IF(AND(E246="Decision",OR(G246="Progress",G246="Progress with condition",G246="Re-authorise",G246="Resume"),X246&lt;&gt;"Yes"),"Decision-maker has not confirmed the screening was considered (column X)","Check against source")))))))))))))))))))))))))))))</f>
        <v/>
      </c>
      <c r="O246" s="37" t="n"/>
      <c r="P246" s="37" t="n"/>
      <c r="Q246" s="14">
        <f>IF(A246="","",IF(E246&lt;&gt;"Decision","",IF(P246="UC-ID specific",IF(O246="","UC-ID REQUIRED","Check source decision for each UC-ID"),IF(P246="Shared system baseline",IF(O246&lt;&gt;"","REMOVE UC-ID OR CORRECT SCOPE","Baseline only — NOT UC approval"),"Decision scope missing"))))</f>
        <v/>
      </c>
      <c r="R246" s="42" t="n"/>
      <c r="S246" s="38" t="n"/>
      <c r="T246" s="38" t="n"/>
      <c r="U246" s="38" t="n"/>
      <c r="V246" s="38" t="n"/>
      <c r="W246" s="39" t="n"/>
      <c r="X246" s="38" t="n"/>
    </row>
    <row r="247">
      <c r="A247" s="40" t="n"/>
      <c r="B247" s="40" t="n"/>
      <c r="C247" s="40" t="n"/>
      <c r="D247" s="40" t="n"/>
      <c r="E247" s="40" t="n"/>
      <c r="F247" s="41" t="n"/>
      <c r="G247" s="40" t="n"/>
      <c r="H247" s="40" t="n"/>
      <c r="I247" s="40" t="n"/>
      <c r="J247" s="40" t="n"/>
      <c r="K247" s="40" t="n"/>
      <c r="L247" s="40" t="n"/>
      <c r="M247" s="40" t="n"/>
      <c r="N247" s="24">
        <f>IF(COUNTA(A247:M247,O247:P247,R247:X247)=0,"",IF(OR(A247="",B247="",F247=""),"Event ID, AIR-ID or date missing",IF(COUNTIF($A$4:$A$553,A247)&gt;1,"Duplicate Event ID",IF(E247="","Event type missing",IF(OR(NOT(ISNUMBER(F247)),F247&gt;TODAY()),"Date is not a real date or is in the future",IF(AND(C247&lt;&gt;"",COUNTIF('Gate plan'!$A$4:$A$353,C247)=0),"Plan ID not found in Gate plan",IF(AND(C247&lt;&gt;"",COUNTIFS('Gate plan'!$A$4:$A$353,C247,'Gate plan'!$B$4:$B$353,B247)=0),"Plan AIR-ID differs from event",IF(D247="","Gate / forum missing",IF(AND(E247="Precautionary pause (containment)",G247&lt;&gt;"Paused — pending decision"),"Precautionary pause: Outcome must be Paused, pending decision",IF(AND(E247="Precautionary pause (containment)",V247=""),"Precautionary pause: AIG-OPS-03 incident ref missing",IF(AND(E247="Precautionary pause (containment)",NOT(ISNUMBER(W247))),"Precautionary pause: follow-up decision due date missing",IF(AND(G247="Paused — pending decision",E247&lt;&gt;"Precautionary pause (containment)"),"Paused, pending decision is only for a Precautionary pause event",IF(AND(E247="Decision",OR(G247="",H247="",I247="")),"Outcome / delegation / decision ref missing",IF(AND(E247="Decision",NOT(OR(G247="Progress",G247="Progress with condition",G247="Return for evidence",G247="Pause",G247="Stop",G247="Suspend",G247="Decommission",G247="Re-authorise",G247="Resume"))),"Decision event needs a decision outcome",IF(AND(E247="Priority override",OR(H247="",I247="")),"Decision-maker / AIG-DEC-03 ref missing",IF(AND(E247="Priority override",G247&lt;&gt;"",G247&lt;&gt;"No decision"),"Priority override: Outcome blank or No decision",IF(AND(E247&lt;&gt;"Decision",OR(G247="Progress",G247="Progress with condition",G247="Return for evidence",G247="Pause",G247="Stop",G247="Suspend",G247="Decommission",G247="Re-authorise",G247="Resume")),"Outcome implies decision",IF(OR(ISNUMBER(SEARCH(",",O247)),ISNUMBER(SEARCH(";",O247))),"One UC-ID per event row — split this event",IF(AND(E247="Decision",OR(Q247="UC-ID REQUIRED",Q247="Decision scope missing",Q247="REMOVE UC-ID OR CORRECT SCOPE")),"Decision scope missing",IF(AND(G247="Progress with condition",COUNTIF(Conditions!$B$4:$B$553,A247)=0),"Progress with condition needs at least one Conditions row",IF(AND(C247&lt;&gt;"",COUNTIFS('Gate plan'!$A$4:$A$353,C247,'Gate plan'!$C$4:$C$353,D247)=0),"Plan gate differs from event gate",IF(AND(C247&lt;&gt;"",O247&lt;&gt;"",COUNTIFS('Gate plan'!$A$4:$A$353,C247,'Gate plan'!$K$4:$K$353,"&lt;&gt;")&gt;0,COUNTIFS('Gate plan'!$A$4:$A$353,C247,'Gate plan'!$K$4:$K$353,O247)=0),"Plan UC-ID differs from event UC-ID",IF(AND(E247="Assurance opinion",J247=""),"Assurance opinion ref missing",IF(AND(G247="Opinion only",E247&lt;&gt;"Assurance opinion",E247&lt;&gt;"Review only"),"Opinion only is for Assurance opinion or Review only events",IF(AND(G247="No decision",E247&lt;&gt;"Review only",E247&lt;&gt;"Priority override",E247&lt;&gt;"Intake / registration"),"No decision is for Review only, Priority override or Intake / registration events",IF(OR(ISNUMBER(SEARCH(" ",TRIM(O247))),ISNUMBER(SEARCH("/",O247))),"One UC-ID per event row: split this event",IF(AND(E247="Precautionary pause (containment)",ISNUMBER(W247),ISNUMBER(F247),W247&lt;F247),"Follow-up decision due date is before the pause",IF(AND(G247="Resume",IFERROR(LOOKUP(2,1/(($B$3:B246=B247)*($O$3:O246=O247)),$G$3:G246),"")&lt;&gt;"Paused — pending decision"),"Resume is only for the event straight after a Precautionary pause on the same AIR-ID and UC-ID (in an earlier row)",IF(AND(E247="Decision",OR(G247="Progress",G247="Progress with condition",G247="Re-authorise",G247="Resume"),X247&lt;&gt;"Yes"),"Decision-maker has not confirmed the screening was considered (column X)","Check against source")))))))))))))))))))))))))))))</f>
        <v/>
      </c>
      <c r="O247" s="37" t="n"/>
      <c r="P247" s="37" t="n"/>
      <c r="Q247" s="14">
        <f>IF(A247="","",IF(E247&lt;&gt;"Decision","",IF(P247="UC-ID specific",IF(O247="","UC-ID REQUIRED","Check source decision for each UC-ID"),IF(P247="Shared system baseline",IF(O247&lt;&gt;"","REMOVE UC-ID OR CORRECT SCOPE","Baseline only — NOT UC approval"),"Decision scope missing"))))</f>
        <v/>
      </c>
      <c r="R247" s="43" t="n"/>
      <c r="S247" s="40" t="n"/>
      <c r="T247" s="40" t="n"/>
      <c r="U247" s="40" t="n"/>
      <c r="V247" s="40" t="n"/>
      <c r="W247" s="41" t="n"/>
      <c r="X247" s="38" t="n"/>
    </row>
    <row r="248">
      <c r="A248" s="38" t="n"/>
      <c r="B248" s="38" t="n"/>
      <c r="C248" s="38" t="n"/>
      <c r="D248" s="38" t="n"/>
      <c r="E248" s="38" t="n"/>
      <c r="F248" s="39" t="n"/>
      <c r="G248" s="38" t="n"/>
      <c r="H248" s="38" t="n"/>
      <c r="I248" s="38" t="n"/>
      <c r="J248" s="38" t="n"/>
      <c r="K248" s="38" t="n"/>
      <c r="L248" s="38" t="n"/>
      <c r="M248" s="38" t="n"/>
      <c r="N248" s="22">
        <f>IF(COUNTA(A248:M248,O248:P248,R248:X248)=0,"",IF(OR(A248="",B248="",F248=""),"Event ID, AIR-ID or date missing",IF(COUNTIF($A$4:$A$553,A248)&gt;1,"Duplicate Event ID",IF(E248="","Event type missing",IF(OR(NOT(ISNUMBER(F248)),F248&gt;TODAY()),"Date is not a real date or is in the future",IF(AND(C248&lt;&gt;"",COUNTIF('Gate plan'!$A$4:$A$353,C248)=0),"Plan ID not found in Gate plan",IF(AND(C248&lt;&gt;"",COUNTIFS('Gate plan'!$A$4:$A$353,C248,'Gate plan'!$B$4:$B$353,B248)=0),"Plan AIR-ID differs from event",IF(D248="","Gate / forum missing",IF(AND(E248="Precautionary pause (containment)",G248&lt;&gt;"Paused — pending decision"),"Precautionary pause: Outcome must be Paused, pending decision",IF(AND(E248="Precautionary pause (containment)",V248=""),"Precautionary pause: AIG-OPS-03 incident ref missing",IF(AND(E248="Precautionary pause (containment)",NOT(ISNUMBER(W248))),"Precautionary pause: follow-up decision due date missing",IF(AND(G248="Paused — pending decision",E248&lt;&gt;"Precautionary pause (containment)"),"Paused, pending decision is only for a Precautionary pause event",IF(AND(E248="Decision",OR(G248="",H248="",I248="")),"Outcome / delegation / decision ref missing",IF(AND(E248="Decision",NOT(OR(G248="Progress",G248="Progress with condition",G248="Return for evidence",G248="Pause",G248="Stop",G248="Suspend",G248="Decommission",G248="Re-authorise",G248="Resume"))),"Decision event needs a decision outcome",IF(AND(E248="Priority override",OR(H248="",I248="")),"Decision-maker / AIG-DEC-03 ref missing",IF(AND(E248="Priority override",G248&lt;&gt;"",G248&lt;&gt;"No decision"),"Priority override: Outcome blank or No decision",IF(AND(E248&lt;&gt;"Decision",OR(G248="Progress",G248="Progress with condition",G248="Return for evidence",G248="Pause",G248="Stop",G248="Suspend",G248="Decommission",G248="Re-authorise",G248="Resume")),"Outcome implies decision",IF(OR(ISNUMBER(SEARCH(",",O248)),ISNUMBER(SEARCH(";",O248))),"One UC-ID per event row — split this event",IF(AND(E248="Decision",OR(Q248="UC-ID REQUIRED",Q248="Decision scope missing",Q248="REMOVE UC-ID OR CORRECT SCOPE")),"Decision scope missing",IF(AND(G248="Progress with condition",COUNTIF(Conditions!$B$4:$B$553,A248)=0),"Progress with condition needs at least one Conditions row",IF(AND(C248&lt;&gt;"",COUNTIFS('Gate plan'!$A$4:$A$353,C248,'Gate plan'!$C$4:$C$353,D248)=0),"Plan gate differs from event gate",IF(AND(C248&lt;&gt;"",O248&lt;&gt;"",COUNTIFS('Gate plan'!$A$4:$A$353,C248,'Gate plan'!$K$4:$K$353,"&lt;&gt;")&gt;0,COUNTIFS('Gate plan'!$A$4:$A$353,C248,'Gate plan'!$K$4:$K$353,O248)=0),"Plan UC-ID differs from event UC-ID",IF(AND(E248="Assurance opinion",J248=""),"Assurance opinion ref missing",IF(AND(G248="Opinion only",E248&lt;&gt;"Assurance opinion",E248&lt;&gt;"Review only"),"Opinion only is for Assurance opinion or Review only events",IF(AND(G248="No decision",E248&lt;&gt;"Review only",E248&lt;&gt;"Priority override",E248&lt;&gt;"Intake / registration"),"No decision is for Review only, Priority override or Intake / registration events",IF(OR(ISNUMBER(SEARCH(" ",TRIM(O248))),ISNUMBER(SEARCH("/",O248))),"One UC-ID per event row: split this event",IF(AND(E248="Precautionary pause (containment)",ISNUMBER(W248),ISNUMBER(F248),W248&lt;F248),"Follow-up decision due date is before the pause",IF(AND(G248="Resume",IFERROR(LOOKUP(2,1/(($B$3:B247=B248)*($O$3:O247=O248)),$G$3:G247),"")&lt;&gt;"Paused — pending decision"),"Resume is only for the event straight after a Precautionary pause on the same AIR-ID and UC-ID (in an earlier row)",IF(AND(E248="Decision",OR(G248="Progress",G248="Progress with condition",G248="Re-authorise",G248="Resume"),X248&lt;&gt;"Yes"),"Decision-maker has not confirmed the screening was considered (column X)","Check against source")))))))))))))))))))))))))))))</f>
        <v/>
      </c>
      <c r="O248" s="37" t="n"/>
      <c r="P248" s="37" t="n"/>
      <c r="Q248" s="14">
        <f>IF(A248="","",IF(E248&lt;&gt;"Decision","",IF(P248="UC-ID specific",IF(O248="","UC-ID REQUIRED","Check source decision for each UC-ID"),IF(P248="Shared system baseline",IF(O248&lt;&gt;"","REMOVE UC-ID OR CORRECT SCOPE","Baseline only — NOT UC approval"),"Decision scope missing"))))</f>
        <v/>
      </c>
      <c r="R248" s="42" t="n"/>
      <c r="S248" s="38" t="n"/>
      <c r="T248" s="38" t="n"/>
      <c r="U248" s="38" t="n"/>
      <c r="V248" s="38" t="n"/>
      <c r="W248" s="39" t="n"/>
      <c r="X248" s="38" t="n"/>
    </row>
    <row r="249">
      <c r="A249" s="40" t="n"/>
      <c r="B249" s="40" t="n"/>
      <c r="C249" s="40" t="n"/>
      <c r="D249" s="40" t="n"/>
      <c r="E249" s="40" t="n"/>
      <c r="F249" s="41" t="n"/>
      <c r="G249" s="40" t="n"/>
      <c r="H249" s="40" t="n"/>
      <c r="I249" s="40" t="n"/>
      <c r="J249" s="40" t="n"/>
      <c r="K249" s="40" t="n"/>
      <c r="L249" s="40" t="n"/>
      <c r="M249" s="40" t="n"/>
      <c r="N249" s="24">
        <f>IF(COUNTA(A249:M249,O249:P249,R249:X249)=0,"",IF(OR(A249="",B249="",F249=""),"Event ID, AIR-ID or date missing",IF(COUNTIF($A$4:$A$553,A249)&gt;1,"Duplicate Event ID",IF(E249="","Event type missing",IF(OR(NOT(ISNUMBER(F249)),F249&gt;TODAY()),"Date is not a real date or is in the future",IF(AND(C249&lt;&gt;"",COUNTIF('Gate plan'!$A$4:$A$353,C249)=0),"Plan ID not found in Gate plan",IF(AND(C249&lt;&gt;"",COUNTIFS('Gate plan'!$A$4:$A$353,C249,'Gate plan'!$B$4:$B$353,B249)=0),"Plan AIR-ID differs from event",IF(D249="","Gate / forum missing",IF(AND(E249="Precautionary pause (containment)",G249&lt;&gt;"Paused — pending decision"),"Precautionary pause: Outcome must be Paused, pending decision",IF(AND(E249="Precautionary pause (containment)",V249=""),"Precautionary pause: AIG-OPS-03 incident ref missing",IF(AND(E249="Precautionary pause (containment)",NOT(ISNUMBER(W249))),"Precautionary pause: follow-up decision due date missing",IF(AND(G249="Paused — pending decision",E249&lt;&gt;"Precautionary pause (containment)"),"Paused, pending decision is only for a Precautionary pause event",IF(AND(E249="Decision",OR(G249="",H249="",I249="")),"Outcome / delegation / decision ref missing",IF(AND(E249="Decision",NOT(OR(G249="Progress",G249="Progress with condition",G249="Return for evidence",G249="Pause",G249="Stop",G249="Suspend",G249="Decommission",G249="Re-authorise",G249="Resume"))),"Decision event needs a decision outcome",IF(AND(E249="Priority override",OR(H249="",I249="")),"Decision-maker / AIG-DEC-03 ref missing",IF(AND(E249="Priority override",G249&lt;&gt;"",G249&lt;&gt;"No decision"),"Priority override: Outcome blank or No decision",IF(AND(E249&lt;&gt;"Decision",OR(G249="Progress",G249="Progress with condition",G249="Return for evidence",G249="Pause",G249="Stop",G249="Suspend",G249="Decommission",G249="Re-authorise",G249="Resume")),"Outcome implies decision",IF(OR(ISNUMBER(SEARCH(",",O249)),ISNUMBER(SEARCH(";",O249))),"One UC-ID per event row — split this event",IF(AND(E249="Decision",OR(Q249="UC-ID REQUIRED",Q249="Decision scope missing",Q249="REMOVE UC-ID OR CORRECT SCOPE")),"Decision scope missing",IF(AND(G249="Progress with condition",COUNTIF(Conditions!$B$4:$B$553,A249)=0),"Progress with condition needs at least one Conditions row",IF(AND(C249&lt;&gt;"",COUNTIFS('Gate plan'!$A$4:$A$353,C249,'Gate plan'!$C$4:$C$353,D249)=0),"Plan gate differs from event gate",IF(AND(C249&lt;&gt;"",O249&lt;&gt;"",COUNTIFS('Gate plan'!$A$4:$A$353,C249,'Gate plan'!$K$4:$K$353,"&lt;&gt;")&gt;0,COUNTIFS('Gate plan'!$A$4:$A$353,C249,'Gate plan'!$K$4:$K$353,O249)=0),"Plan UC-ID differs from event UC-ID",IF(AND(E249="Assurance opinion",J249=""),"Assurance opinion ref missing",IF(AND(G249="Opinion only",E249&lt;&gt;"Assurance opinion",E249&lt;&gt;"Review only"),"Opinion only is for Assurance opinion or Review only events",IF(AND(G249="No decision",E249&lt;&gt;"Review only",E249&lt;&gt;"Priority override",E249&lt;&gt;"Intake / registration"),"No decision is for Review only, Priority override or Intake / registration events",IF(OR(ISNUMBER(SEARCH(" ",TRIM(O249))),ISNUMBER(SEARCH("/",O249))),"One UC-ID per event row: split this event",IF(AND(E249="Precautionary pause (containment)",ISNUMBER(W249),ISNUMBER(F249),W249&lt;F249),"Follow-up decision due date is before the pause",IF(AND(G249="Resume",IFERROR(LOOKUP(2,1/(($B$3:B248=B249)*($O$3:O248=O249)),$G$3:G248),"")&lt;&gt;"Paused — pending decision"),"Resume is only for the event straight after a Precautionary pause on the same AIR-ID and UC-ID (in an earlier row)",IF(AND(E249="Decision",OR(G249="Progress",G249="Progress with condition",G249="Re-authorise",G249="Resume"),X249&lt;&gt;"Yes"),"Decision-maker has not confirmed the screening was considered (column X)","Check against source")))))))))))))))))))))))))))))</f>
        <v/>
      </c>
      <c r="O249" s="37" t="n"/>
      <c r="P249" s="37" t="n"/>
      <c r="Q249" s="14">
        <f>IF(A249="","",IF(E249&lt;&gt;"Decision","",IF(P249="UC-ID specific",IF(O249="","UC-ID REQUIRED","Check source decision for each UC-ID"),IF(P249="Shared system baseline",IF(O249&lt;&gt;"","REMOVE UC-ID OR CORRECT SCOPE","Baseline only — NOT UC approval"),"Decision scope missing"))))</f>
        <v/>
      </c>
      <c r="R249" s="43" t="n"/>
      <c r="S249" s="40" t="n"/>
      <c r="T249" s="40" t="n"/>
      <c r="U249" s="40" t="n"/>
      <c r="V249" s="40" t="n"/>
      <c r="W249" s="41" t="n"/>
      <c r="X249" s="38" t="n"/>
    </row>
    <row r="250">
      <c r="A250" s="38" t="n"/>
      <c r="B250" s="38" t="n"/>
      <c r="C250" s="38" t="n"/>
      <c r="D250" s="38" t="n"/>
      <c r="E250" s="38" t="n"/>
      <c r="F250" s="39" t="n"/>
      <c r="G250" s="38" t="n"/>
      <c r="H250" s="38" t="n"/>
      <c r="I250" s="38" t="n"/>
      <c r="J250" s="38" t="n"/>
      <c r="K250" s="38" t="n"/>
      <c r="L250" s="38" t="n"/>
      <c r="M250" s="38" t="n"/>
      <c r="N250" s="22">
        <f>IF(COUNTA(A250:M250,O250:P250,R250:X250)=0,"",IF(OR(A250="",B250="",F250=""),"Event ID, AIR-ID or date missing",IF(COUNTIF($A$4:$A$553,A250)&gt;1,"Duplicate Event ID",IF(E250="","Event type missing",IF(OR(NOT(ISNUMBER(F250)),F250&gt;TODAY()),"Date is not a real date or is in the future",IF(AND(C250&lt;&gt;"",COUNTIF('Gate plan'!$A$4:$A$353,C250)=0),"Plan ID not found in Gate plan",IF(AND(C250&lt;&gt;"",COUNTIFS('Gate plan'!$A$4:$A$353,C250,'Gate plan'!$B$4:$B$353,B250)=0),"Plan AIR-ID differs from event",IF(D250="","Gate / forum missing",IF(AND(E250="Precautionary pause (containment)",G250&lt;&gt;"Paused — pending decision"),"Precautionary pause: Outcome must be Paused, pending decision",IF(AND(E250="Precautionary pause (containment)",V250=""),"Precautionary pause: AIG-OPS-03 incident ref missing",IF(AND(E250="Precautionary pause (containment)",NOT(ISNUMBER(W250))),"Precautionary pause: follow-up decision due date missing",IF(AND(G250="Paused — pending decision",E250&lt;&gt;"Precautionary pause (containment)"),"Paused, pending decision is only for a Precautionary pause event",IF(AND(E250="Decision",OR(G250="",H250="",I250="")),"Outcome / delegation / decision ref missing",IF(AND(E250="Decision",NOT(OR(G250="Progress",G250="Progress with condition",G250="Return for evidence",G250="Pause",G250="Stop",G250="Suspend",G250="Decommission",G250="Re-authorise",G250="Resume"))),"Decision event needs a decision outcome",IF(AND(E250="Priority override",OR(H250="",I250="")),"Decision-maker / AIG-DEC-03 ref missing",IF(AND(E250="Priority override",G250&lt;&gt;"",G250&lt;&gt;"No decision"),"Priority override: Outcome blank or No decision",IF(AND(E250&lt;&gt;"Decision",OR(G250="Progress",G250="Progress with condition",G250="Return for evidence",G250="Pause",G250="Stop",G250="Suspend",G250="Decommission",G250="Re-authorise",G250="Resume")),"Outcome implies decision",IF(OR(ISNUMBER(SEARCH(",",O250)),ISNUMBER(SEARCH(";",O250))),"One UC-ID per event row — split this event",IF(AND(E250="Decision",OR(Q250="UC-ID REQUIRED",Q250="Decision scope missing",Q250="REMOVE UC-ID OR CORRECT SCOPE")),"Decision scope missing",IF(AND(G250="Progress with condition",COUNTIF(Conditions!$B$4:$B$553,A250)=0),"Progress with condition needs at least one Conditions row",IF(AND(C250&lt;&gt;"",COUNTIFS('Gate plan'!$A$4:$A$353,C250,'Gate plan'!$C$4:$C$353,D250)=0),"Plan gate differs from event gate",IF(AND(C250&lt;&gt;"",O250&lt;&gt;"",COUNTIFS('Gate plan'!$A$4:$A$353,C250,'Gate plan'!$K$4:$K$353,"&lt;&gt;")&gt;0,COUNTIFS('Gate plan'!$A$4:$A$353,C250,'Gate plan'!$K$4:$K$353,O250)=0),"Plan UC-ID differs from event UC-ID",IF(AND(E250="Assurance opinion",J250=""),"Assurance opinion ref missing",IF(AND(G250="Opinion only",E250&lt;&gt;"Assurance opinion",E250&lt;&gt;"Review only"),"Opinion only is for Assurance opinion or Review only events",IF(AND(G250="No decision",E250&lt;&gt;"Review only",E250&lt;&gt;"Priority override",E250&lt;&gt;"Intake / registration"),"No decision is for Review only, Priority override or Intake / registration events",IF(OR(ISNUMBER(SEARCH(" ",TRIM(O250))),ISNUMBER(SEARCH("/",O250))),"One UC-ID per event row: split this event",IF(AND(E250="Precautionary pause (containment)",ISNUMBER(W250),ISNUMBER(F250),W250&lt;F250),"Follow-up decision due date is before the pause",IF(AND(G250="Resume",IFERROR(LOOKUP(2,1/(($B$3:B249=B250)*($O$3:O249=O250)),$G$3:G249),"")&lt;&gt;"Paused — pending decision"),"Resume is only for the event straight after a Precautionary pause on the same AIR-ID and UC-ID (in an earlier row)",IF(AND(E250="Decision",OR(G250="Progress",G250="Progress with condition",G250="Re-authorise",G250="Resume"),X250&lt;&gt;"Yes"),"Decision-maker has not confirmed the screening was considered (column X)","Check against source")))))))))))))))))))))))))))))</f>
        <v/>
      </c>
      <c r="O250" s="37" t="n"/>
      <c r="P250" s="37" t="n"/>
      <c r="Q250" s="14">
        <f>IF(A250="","",IF(E250&lt;&gt;"Decision","",IF(P250="UC-ID specific",IF(O250="","UC-ID REQUIRED","Check source decision for each UC-ID"),IF(P250="Shared system baseline",IF(O250&lt;&gt;"","REMOVE UC-ID OR CORRECT SCOPE","Baseline only — NOT UC approval"),"Decision scope missing"))))</f>
        <v/>
      </c>
      <c r="R250" s="42" t="n"/>
      <c r="S250" s="38" t="n"/>
      <c r="T250" s="38" t="n"/>
      <c r="U250" s="38" t="n"/>
      <c r="V250" s="38" t="n"/>
      <c r="W250" s="39" t="n"/>
      <c r="X250" s="38" t="n"/>
    </row>
    <row r="251">
      <c r="A251" s="40" t="n"/>
      <c r="B251" s="40" t="n"/>
      <c r="C251" s="40" t="n"/>
      <c r="D251" s="40" t="n"/>
      <c r="E251" s="40" t="n"/>
      <c r="F251" s="41" t="n"/>
      <c r="G251" s="40" t="n"/>
      <c r="H251" s="40" t="n"/>
      <c r="I251" s="40" t="n"/>
      <c r="J251" s="40" t="n"/>
      <c r="K251" s="40" t="n"/>
      <c r="L251" s="40" t="n"/>
      <c r="M251" s="40" t="n"/>
      <c r="N251" s="24">
        <f>IF(COUNTA(A251:M251,O251:P251,R251:X251)=0,"",IF(OR(A251="",B251="",F251=""),"Event ID, AIR-ID or date missing",IF(COUNTIF($A$4:$A$553,A251)&gt;1,"Duplicate Event ID",IF(E251="","Event type missing",IF(OR(NOT(ISNUMBER(F251)),F251&gt;TODAY()),"Date is not a real date or is in the future",IF(AND(C251&lt;&gt;"",COUNTIF('Gate plan'!$A$4:$A$353,C251)=0),"Plan ID not found in Gate plan",IF(AND(C251&lt;&gt;"",COUNTIFS('Gate plan'!$A$4:$A$353,C251,'Gate plan'!$B$4:$B$353,B251)=0),"Plan AIR-ID differs from event",IF(D251="","Gate / forum missing",IF(AND(E251="Precautionary pause (containment)",G251&lt;&gt;"Paused — pending decision"),"Precautionary pause: Outcome must be Paused, pending decision",IF(AND(E251="Precautionary pause (containment)",V251=""),"Precautionary pause: AIG-OPS-03 incident ref missing",IF(AND(E251="Precautionary pause (containment)",NOT(ISNUMBER(W251))),"Precautionary pause: follow-up decision due date missing",IF(AND(G251="Paused — pending decision",E251&lt;&gt;"Precautionary pause (containment)"),"Paused, pending decision is only for a Precautionary pause event",IF(AND(E251="Decision",OR(G251="",H251="",I251="")),"Outcome / delegation / decision ref missing",IF(AND(E251="Decision",NOT(OR(G251="Progress",G251="Progress with condition",G251="Return for evidence",G251="Pause",G251="Stop",G251="Suspend",G251="Decommission",G251="Re-authorise",G251="Resume"))),"Decision event needs a decision outcome",IF(AND(E251="Priority override",OR(H251="",I251="")),"Decision-maker / AIG-DEC-03 ref missing",IF(AND(E251="Priority override",G251&lt;&gt;"",G251&lt;&gt;"No decision"),"Priority override: Outcome blank or No decision",IF(AND(E251&lt;&gt;"Decision",OR(G251="Progress",G251="Progress with condition",G251="Return for evidence",G251="Pause",G251="Stop",G251="Suspend",G251="Decommission",G251="Re-authorise",G251="Resume")),"Outcome implies decision",IF(OR(ISNUMBER(SEARCH(",",O251)),ISNUMBER(SEARCH(";",O251))),"One UC-ID per event row — split this event",IF(AND(E251="Decision",OR(Q251="UC-ID REQUIRED",Q251="Decision scope missing",Q251="REMOVE UC-ID OR CORRECT SCOPE")),"Decision scope missing",IF(AND(G251="Progress with condition",COUNTIF(Conditions!$B$4:$B$553,A251)=0),"Progress with condition needs at least one Conditions row",IF(AND(C251&lt;&gt;"",COUNTIFS('Gate plan'!$A$4:$A$353,C251,'Gate plan'!$C$4:$C$353,D251)=0),"Plan gate differs from event gate",IF(AND(C251&lt;&gt;"",O251&lt;&gt;"",COUNTIFS('Gate plan'!$A$4:$A$353,C251,'Gate plan'!$K$4:$K$353,"&lt;&gt;")&gt;0,COUNTIFS('Gate plan'!$A$4:$A$353,C251,'Gate plan'!$K$4:$K$353,O251)=0),"Plan UC-ID differs from event UC-ID",IF(AND(E251="Assurance opinion",J251=""),"Assurance opinion ref missing",IF(AND(G251="Opinion only",E251&lt;&gt;"Assurance opinion",E251&lt;&gt;"Review only"),"Opinion only is for Assurance opinion or Review only events",IF(AND(G251="No decision",E251&lt;&gt;"Review only",E251&lt;&gt;"Priority override",E251&lt;&gt;"Intake / registration"),"No decision is for Review only, Priority override or Intake / registration events",IF(OR(ISNUMBER(SEARCH(" ",TRIM(O251))),ISNUMBER(SEARCH("/",O251))),"One UC-ID per event row: split this event",IF(AND(E251="Precautionary pause (containment)",ISNUMBER(W251),ISNUMBER(F251),W251&lt;F251),"Follow-up decision due date is before the pause",IF(AND(G251="Resume",IFERROR(LOOKUP(2,1/(($B$3:B250=B251)*($O$3:O250=O251)),$G$3:G250),"")&lt;&gt;"Paused — pending decision"),"Resume is only for the event straight after a Precautionary pause on the same AIR-ID and UC-ID (in an earlier row)",IF(AND(E251="Decision",OR(G251="Progress",G251="Progress with condition",G251="Re-authorise",G251="Resume"),X251&lt;&gt;"Yes"),"Decision-maker has not confirmed the screening was considered (column X)","Check against source")))))))))))))))))))))))))))))</f>
        <v/>
      </c>
      <c r="O251" s="37" t="n"/>
      <c r="P251" s="37" t="n"/>
      <c r="Q251" s="14">
        <f>IF(A251="","",IF(E251&lt;&gt;"Decision","",IF(P251="UC-ID specific",IF(O251="","UC-ID REQUIRED","Check source decision for each UC-ID"),IF(P251="Shared system baseline",IF(O251&lt;&gt;"","REMOVE UC-ID OR CORRECT SCOPE","Baseline only — NOT UC approval"),"Decision scope missing"))))</f>
        <v/>
      </c>
      <c r="R251" s="43" t="n"/>
      <c r="S251" s="40" t="n"/>
      <c r="T251" s="40" t="n"/>
      <c r="U251" s="40" t="n"/>
      <c r="V251" s="40" t="n"/>
      <c r="W251" s="41" t="n"/>
      <c r="X251" s="38" t="n"/>
    </row>
    <row r="252">
      <c r="A252" s="38" t="n"/>
      <c r="B252" s="38" t="n"/>
      <c r="C252" s="38" t="n"/>
      <c r="D252" s="38" t="n"/>
      <c r="E252" s="38" t="n"/>
      <c r="F252" s="39" t="n"/>
      <c r="G252" s="38" t="n"/>
      <c r="H252" s="38" t="n"/>
      <c r="I252" s="38" t="n"/>
      <c r="J252" s="38" t="n"/>
      <c r="K252" s="38" t="n"/>
      <c r="L252" s="38" t="n"/>
      <c r="M252" s="38" t="n"/>
      <c r="N252" s="22">
        <f>IF(COUNTA(A252:M252,O252:P252,R252:X252)=0,"",IF(OR(A252="",B252="",F252=""),"Event ID, AIR-ID or date missing",IF(COUNTIF($A$4:$A$553,A252)&gt;1,"Duplicate Event ID",IF(E252="","Event type missing",IF(OR(NOT(ISNUMBER(F252)),F252&gt;TODAY()),"Date is not a real date or is in the future",IF(AND(C252&lt;&gt;"",COUNTIF('Gate plan'!$A$4:$A$353,C252)=0),"Plan ID not found in Gate plan",IF(AND(C252&lt;&gt;"",COUNTIFS('Gate plan'!$A$4:$A$353,C252,'Gate plan'!$B$4:$B$353,B252)=0),"Plan AIR-ID differs from event",IF(D252="","Gate / forum missing",IF(AND(E252="Precautionary pause (containment)",G252&lt;&gt;"Paused — pending decision"),"Precautionary pause: Outcome must be Paused, pending decision",IF(AND(E252="Precautionary pause (containment)",V252=""),"Precautionary pause: AIG-OPS-03 incident ref missing",IF(AND(E252="Precautionary pause (containment)",NOT(ISNUMBER(W252))),"Precautionary pause: follow-up decision due date missing",IF(AND(G252="Paused — pending decision",E252&lt;&gt;"Precautionary pause (containment)"),"Paused, pending decision is only for a Precautionary pause event",IF(AND(E252="Decision",OR(G252="",H252="",I252="")),"Outcome / delegation / decision ref missing",IF(AND(E252="Decision",NOT(OR(G252="Progress",G252="Progress with condition",G252="Return for evidence",G252="Pause",G252="Stop",G252="Suspend",G252="Decommission",G252="Re-authorise",G252="Resume"))),"Decision event needs a decision outcome",IF(AND(E252="Priority override",OR(H252="",I252="")),"Decision-maker / AIG-DEC-03 ref missing",IF(AND(E252="Priority override",G252&lt;&gt;"",G252&lt;&gt;"No decision"),"Priority override: Outcome blank or No decision",IF(AND(E252&lt;&gt;"Decision",OR(G252="Progress",G252="Progress with condition",G252="Return for evidence",G252="Pause",G252="Stop",G252="Suspend",G252="Decommission",G252="Re-authorise",G252="Resume")),"Outcome implies decision",IF(OR(ISNUMBER(SEARCH(",",O252)),ISNUMBER(SEARCH(";",O252))),"One UC-ID per event row — split this event",IF(AND(E252="Decision",OR(Q252="UC-ID REQUIRED",Q252="Decision scope missing",Q252="REMOVE UC-ID OR CORRECT SCOPE")),"Decision scope missing",IF(AND(G252="Progress with condition",COUNTIF(Conditions!$B$4:$B$553,A252)=0),"Progress with condition needs at least one Conditions row",IF(AND(C252&lt;&gt;"",COUNTIFS('Gate plan'!$A$4:$A$353,C252,'Gate plan'!$C$4:$C$353,D252)=0),"Plan gate differs from event gate",IF(AND(C252&lt;&gt;"",O252&lt;&gt;"",COUNTIFS('Gate plan'!$A$4:$A$353,C252,'Gate plan'!$K$4:$K$353,"&lt;&gt;")&gt;0,COUNTIFS('Gate plan'!$A$4:$A$353,C252,'Gate plan'!$K$4:$K$353,O252)=0),"Plan UC-ID differs from event UC-ID",IF(AND(E252="Assurance opinion",J252=""),"Assurance opinion ref missing",IF(AND(G252="Opinion only",E252&lt;&gt;"Assurance opinion",E252&lt;&gt;"Review only"),"Opinion only is for Assurance opinion or Review only events",IF(AND(G252="No decision",E252&lt;&gt;"Review only",E252&lt;&gt;"Priority override",E252&lt;&gt;"Intake / registration"),"No decision is for Review only, Priority override or Intake / registration events",IF(OR(ISNUMBER(SEARCH(" ",TRIM(O252))),ISNUMBER(SEARCH("/",O252))),"One UC-ID per event row: split this event",IF(AND(E252="Precautionary pause (containment)",ISNUMBER(W252),ISNUMBER(F252),W252&lt;F252),"Follow-up decision due date is before the pause",IF(AND(G252="Resume",IFERROR(LOOKUP(2,1/(($B$3:B251=B252)*($O$3:O251=O252)),$G$3:G251),"")&lt;&gt;"Paused — pending decision"),"Resume is only for the event straight after a Precautionary pause on the same AIR-ID and UC-ID (in an earlier row)",IF(AND(E252="Decision",OR(G252="Progress",G252="Progress with condition",G252="Re-authorise",G252="Resume"),X252&lt;&gt;"Yes"),"Decision-maker has not confirmed the screening was considered (column X)","Check against source")))))))))))))))))))))))))))))</f>
        <v/>
      </c>
      <c r="O252" s="37" t="n"/>
      <c r="P252" s="37" t="n"/>
      <c r="Q252" s="14">
        <f>IF(A252="","",IF(E252&lt;&gt;"Decision","",IF(P252="UC-ID specific",IF(O252="","UC-ID REQUIRED","Check source decision for each UC-ID"),IF(P252="Shared system baseline",IF(O252&lt;&gt;"","REMOVE UC-ID OR CORRECT SCOPE","Baseline only — NOT UC approval"),"Decision scope missing"))))</f>
        <v/>
      </c>
      <c r="R252" s="42" t="n"/>
      <c r="S252" s="38" t="n"/>
      <c r="T252" s="38" t="n"/>
      <c r="U252" s="38" t="n"/>
      <c r="V252" s="38" t="n"/>
      <c r="W252" s="39" t="n"/>
      <c r="X252" s="38" t="n"/>
    </row>
    <row r="253">
      <c r="A253" s="40" t="n"/>
      <c r="B253" s="40" t="n"/>
      <c r="C253" s="40" t="n"/>
      <c r="D253" s="40" t="n"/>
      <c r="E253" s="40" t="n"/>
      <c r="F253" s="41" t="n"/>
      <c r="G253" s="40" t="n"/>
      <c r="H253" s="40" t="n"/>
      <c r="I253" s="40" t="n"/>
      <c r="J253" s="40" t="n"/>
      <c r="K253" s="40" t="n"/>
      <c r="L253" s="40" t="n"/>
      <c r="M253" s="40" t="n"/>
      <c r="N253" s="24">
        <f>IF(COUNTA(A253:M253,O253:P253,R253:X253)=0,"",IF(OR(A253="",B253="",F253=""),"Event ID, AIR-ID or date missing",IF(COUNTIF($A$4:$A$553,A253)&gt;1,"Duplicate Event ID",IF(E253="","Event type missing",IF(OR(NOT(ISNUMBER(F253)),F253&gt;TODAY()),"Date is not a real date or is in the future",IF(AND(C253&lt;&gt;"",COUNTIF('Gate plan'!$A$4:$A$353,C253)=0),"Plan ID not found in Gate plan",IF(AND(C253&lt;&gt;"",COUNTIFS('Gate plan'!$A$4:$A$353,C253,'Gate plan'!$B$4:$B$353,B253)=0),"Plan AIR-ID differs from event",IF(D253="","Gate / forum missing",IF(AND(E253="Precautionary pause (containment)",G253&lt;&gt;"Paused — pending decision"),"Precautionary pause: Outcome must be Paused, pending decision",IF(AND(E253="Precautionary pause (containment)",V253=""),"Precautionary pause: AIG-OPS-03 incident ref missing",IF(AND(E253="Precautionary pause (containment)",NOT(ISNUMBER(W253))),"Precautionary pause: follow-up decision due date missing",IF(AND(G253="Paused — pending decision",E253&lt;&gt;"Precautionary pause (containment)"),"Paused, pending decision is only for a Precautionary pause event",IF(AND(E253="Decision",OR(G253="",H253="",I253="")),"Outcome / delegation / decision ref missing",IF(AND(E253="Decision",NOT(OR(G253="Progress",G253="Progress with condition",G253="Return for evidence",G253="Pause",G253="Stop",G253="Suspend",G253="Decommission",G253="Re-authorise",G253="Resume"))),"Decision event needs a decision outcome",IF(AND(E253="Priority override",OR(H253="",I253="")),"Decision-maker / AIG-DEC-03 ref missing",IF(AND(E253="Priority override",G253&lt;&gt;"",G253&lt;&gt;"No decision"),"Priority override: Outcome blank or No decision",IF(AND(E253&lt;&gt;"Decision",OR(G253="Progress",G253="Progress with condition",G253="Return for evidence",G253="Pause",G253="Stop",G253="Suspend",G253="Decommission",G253="Re-authorise",G253="Resume")),"Outcome implies decision",IF(OR(ISNUMBER(SEARCH(",",O253)),ISNUMBER(SEARCH(";",O253))),"One UC-ID per event row — split this event",IF(AND(E253="Decision",OR(Q253="UC-ID REQUIRED",Q253="Decision scope missing",Q253="REMOVE UC-ID OR CORRECT SCOPE")),"Decision scope missing",IF(AND(G253="Progress with condition",COUNTIF(Conditions!$B$4:$B$553,A253)=0),"Progress with condition needs at least one Conditions row",IF(AND(C253&lt;&gt;"",COUNTIFS('Gate plan'!$A$4:$A$353,C253,'Gate plan'!$C$4:$C$353,D253)=0),"Plan gate differs from event gate",IF(AND(C253&lt;&gt;"",O253&lt;&gt;"",COUNTIFS('Gate plan'!$A$4:$A$353,C253,'Gate plan'!$K$4:$K$353,"&lt;&gt;")&gt;0,COUNTIFS('Gate plan'!$A$4:$A$353,C253,'Gate plan'!$K$4:$K$353,O253)=0),"Plan UC-ID differs from event UC-ID",IF(AND(E253="Assurance opinion",J253=""),"Assurance opinion ref missing",IF(AND(G253="Opinion only",E253&lt;&gt;"Assurance opinion",E253&lt;&gt;"Review only"),"Opinion only is for Assurance opinion or Review only events",IF(AND(G253="No decision",E253&lt;&gt;"Review only",E253&lt;&gt;"Priority override",E253&lt;&gt;"Intake / registration"),"No decision is for Review only, Priority override or Intake / registration events",IF(OR(ISNUMBER(SEARCH(" ",TRIM(O253))),ISNUMBER(SEARCH("/",O253))),"One UC-ID per event row: split this event",IF(AND(E253="Precautionary pause (containment)",ISNUMBER(W253),ISNUMBER(F253),W253&lt;F253),"Follow-up decision due date is before the pause",IF(AND(G253="Resume",IFERROR(LOOKUP(2,1/(($B$3:B252=B253)*($O$3:O252=O253)),$G$3:G252),"")&lt;&gt;"Paused — pending decision"),"Resume is only for the event straight after a Precautionary pause on the same AIR-ID and UC-ID (in an earlier row)",IF(AND(E253="Decision",OR(G253="Progress",G253="Progress with condition",G253="Re-authorise",G253="Resume"),X253&lt;&gt;"Yes"),"Decision-maker has not confirmed the screening was considered (column X)","Check against source")))))))))))))))))))))))))))))</f>
        <v/>
      </c>
      <c r="O253" s="37" t="n"/>
      <c r="P253" s="37" t="n"/>
      <c r="Q253" s="14">
        <f>IF(A253="","",IF(E253&lt;&gt;"Decision","",IF(P253="UC-ID specific",IF(O253="","UC-ID REQUIRED","Check source decision for each UC-ID"),IF(P253="Shared system baseline",IF(O253&lt;&gt;"","REMOVE UC-ID OR CORRECT SCOPE","Baseline only — NOT UC approval"),"Decision scope missing"))))</f>
        <v/>
      </c>
      <c r="R253" s="43" t="n"/>
      <c r="S253" s="40" t="n"/>
      <c r="T253" s="40" t="n"/>
      <c r="U253" s="40" t="n"/>
      <c r="V253" s="40" t="n"/>
      <c r="W253" s="41" t="n"/>
      <c r="X253" s="38" t="n"/>
    </row>
    <row r="254">
      <c r="A254" s="38" t="n"/>
      <c r="B254" s="38" t="n"/>
      <c r="C254" s="38" t="n"/>
      <c r="D254" s="38" t="n"/>
      <c r="E254" s="38" t="n"/>
      <c r="F254" s="39" t="n"/>
      <c r="G254" s="38" t="n"/>
      <c r="H254" s="38" t="n"/>
      <c r="I254" s="38" t="n"/>
      <c r="J254" s="38" t="n"/>
      <c r="K254" s="38" t="n"/>
      <c r="L254" s="38" t="n"/>
      <c r="M254" s="38" t="n"/>
      <c r="N254" s="22">
        <f>IF(COUNTA(A254:M254,O254:P254,R254:X254)=0,"",IF(OR(A254="",B254="",F254=""),"Event ID, AIR-ID or date missing",IF(COUNTIF($A$4:$A$553,A254)&gt;1,"Duplicate Event ID",IF(E254="","Event type missing",IF(OR(NOT(ISNUMBER(F254)),F254&gt;TODAY()),"Date is not a real date or is in the future",IF(AND(C254&lt;&gt;"",COUNTIF('Gate plan'!$A$4:$A$353,C254)=0),"Plan ID not found in Gate plan",IF(AND(C254&lt;&gt;"",COUNTIFS('Gate plan'!$A$4:$A$353,C254,'Gate plan'!$B$4:$B$353,B254)=0),"Plan AIR-ID differs from event",IF(D254="","Gate / forum missing",IF(AND(E254="Precautionary pause (containment)",G254&lt;&gt;"Paused — pending decision"),"Precautionary pause: Outcome must be Paused, pending decision",IF(AND(E254="Precautionary pause (containment)",V254=""),"Precautionary pause: AIG-OPS-03 incident ref missing",IF(AND(E254="Precautionary pause (containment)",NOT(ISNUMBER(W254))),"Precautionary pause: follow-up decision due date missing",IF(AND(G254="Paused — pending decision",E254&lt;&gt;"Precautionary pause (containment)"),"Paused, pending decision is only for a Precautionary pause event",IF(AND(E254="Decision",OR(G254="",H254="",I254="")),"Outcome / delegation / decision ref missing",IF(AND(E254="Decision",NOT(OR(G254="Progress",G254="Progress with condition",G254="Return for evidence",G254="Pause",G254="Stop",G254="Suspend",G254="Decommission",G254="Re-authorise",G254="Resume"))),"Decision event needs a decision outcome",IF(AND(E254="Priority override",OR(H254="",I254="")),"Decision-maker / AIG-DEC-03 ref missing",IF(AND(E254="Priority override",G254&lt;&gt;"",G254&lt;&gt;"No decision"),"Priority override: Outcome blank or No decision",IF(AND(E254&lt;&gt;"Decision",OR(G254="Progress",G254="Progress with condition",G254="Return for evidence",G254="Pause",G254="Stop",G254="Suspend",G254="Decommission",G254="Re-authorise",G254="Resume")),"Outcome implies decision",IF(OR(ISNUMBER(SEARCH(",",O254)),ISNUMBER(SEARCH(";",O254))),"One UC-ID per event row — split this event",IF(AND(E254="Decision",OR(Q254="UC-ID REQUIRED",Q254="Decision scope missing",Q254="REMOVE UC-ID OR CORRECT SCOPE")),"Decision scope missing",IF(AND(G254="Progress with condition",COUNTIF(Conditions!$B$4:$B$553,A254)=0),"Progress with condition needs at least one Conditions row",IF(AND(C254&lt;&gt;"",COUNTIFS('Gate plan'!$A$4:$A$353,C254,'Gate plan'!$C$4:$C$353,D254)=0),"Plan gate differs from event gate",IF(AND(C254&lt;&gt;"",O254&lt;&gt;"",COUNTIFS('Gate plan'!$A$4:$A$353,C254,'Gate plan'!$K$4:$K$353,"&lt;&gt;")&gt;0,COUNTIFS('Gate plan'!$A$4:$A$353,C254,'Gate plan'!$K$4:$K$353,O254)=0),"Plan UC-ID differs from event UC-ID",IF(AND(E254="Assurance opinion",J254=""),"Assurance opinion ref missing",IF(AND(G254="Opinion only",E254&lt;&gt;"Assurance opinion",E254&lt;&gt;"Review only"),"Opinion only is for Assurance opinion or Review only events",IF(AND(G254="No decision",E254&lt;&gt;"Review only",E254&lt;&gt;"Priority override",E254&lt;&gt;"Intake / registration"),"No decision is for Review only, Priority override or Intake / registration events",IF(OR(ISNUMBER(SEARCH(" ",TRIM(O254))),ISNUMBER(SEARCH("/",O254))),"One UC-ID per event row: split this event",IF(AND(E254="Precautionary pause (containment)",ISNUMBER(W254),ISNUMBER(F254),W254&lt;F254),"Follow-up decision due date is before the pause",IF(AND(G254="Resume",IFERROR(LOOKUP(2,1/(($B$3:B253=B254)*($O$3:O253=O254)),$G$3:G253),"")&lt;&gt;"Paused — pending decision"),"Resume is only for the event straight after a Precautionary pause on the same AIR-ID and UC-ID (in an earlier row)",IF(AND(E254="Decision",OR(G254="Progress",G254="Progress with condition",G254="Re-authorise",G254="Resume"),X254&lt;&gt;"Yes"),"Decision-maker has not confirmed the screening was considered (column X)","Check against source")))))))))))))))))))))))))))))</f>
        <v/>
      </c>
      <c r="O254" s="37" t="n"/>
      <c r="P254" s="37" t="n"/>
      <c r="Q254" s="14">
        <f>IF(A254="","",IF(E254&lt;&gt;"Decision","",IF(P254="UC-ID specific",IF(O254="","UC-ID REQUIRED","Check source decision for each UC-ID"),IF(P254="Shared system baseline",IF(O254&lt;&gt;"","REMOVE UC-ID OR CORRECT SCOPE","Baseline only — NOT UC approval"),"Decision scope missing"))))</f>
        <v/>
      </c>
      <c r="R254" s="42" t="n"/>
      <c r="S254" s="38" t="n"/>
      <c r="T254" s="38" t="n"/>
      <c r="U254" s="38" t="n"/>
      <c r="V254" s="38" t="n"/>
      <c r="W254" s="39" t="n"/>
      <c r="X254" s="38" t="n"/>
    </row>
    <row r="255">
      <c r="A255" s="40" t="n"/>
      <c r="B255" s="40" t="n"/>
      <c r="C255" s="40" t="n"/>
      <c r="D255" s="40" t="n"/>
      <c r="E255" s="40" t="n"/>
      <c r="F255" s="41" t="n"/>
      <c r="G255" s="40" t="n"/>
      <c r="H255" s="40" t="n"/>
      <c r="I255" s="40" t="n"/>
      <c r="J255" s="40" t="n"/>
      <c r="K255" s="40" t="n"/>
      <c r="L255" s="40" t="n"/>
      <c r="M255" s="40" t="n"/>
      <c r="N255" s="24">
        <f>IF(COUNTA(A255:M255,O255:P255,R255:X255)=0,"",IF(OR(A255="",B255="",F255=""),"Event ID, AIR-ID or date missing",IF(COUNTIF($A$4:$A$553,A255)&gt;1,"Duplicate Event ID",IF(E255="","Event type missing",IF(OR(NOT(ISNUMBER(F255)),F255&gt;TODAY()),"Date is not a real date or is in the future",IF(AND(C255&lt;&gt;"",COUNTIF('Gate plan'!$A$4:$A$353,C255)=0),"Plan ID not found in Gate plan",IF(AND(C255&lt;&gt;"",COUNTIFS('Gate plan'!$A$4:$A$353,C255,'Gate plan'!$B$4:$B$353,B255)=0),"Plan AIR-ID differs from event",IF(D255="","Gate / forum missing",IF(AND(E255="Precautionary pause (containment)",G255&lt;&gt;"Paused — pending decision"),"Precautionary pause: Outcome must be Paused, pending decision",IF(AND(E255="Precautionary pause (containment)",V255=""),"Precautionary pause: AIG-OPS-03 incident ref missing",IF(AND(E255="Precautionary pause (containment)",NOT(ISNUMBER(W255))),"Precautionary pause: follow-up decision due date missing",IF(AND(G255="Paused — pending decision",E255&lt;&gt;"Precautionary pause (containment)"),"Paused, pending decision is only for a Precautionary pause event",IF(AND(E255="Decision",OR(G255="",H255="",I255="")),"Outcome / delegation / decision ref missing",IF(AND(E255="Decision",NOT(OR(G255="Progress",G255="Progress with condition",G255="Return for evidence",G255="Pause",G255="Stop",G255="Suspend",G255="Decommission",G255="Re-authorise",G255="Resume"))),"Decision event needs a decision outcome",IF(AND(E255="Priority override",OR(H255="",I255="")),"Decision-maker / AIG-DEC-03 ref missing",IF(AND(E255="Priority override",G255&lt;&gt;"",G255&lt;&gt;"No decision"),"Priority override: Outcome blank or No decision",IF(AND(E255&lt;&gt;"Decision",OR(G255="Progress",G255="Progress with condition",G255="Return for evidence",G255="Pause",G255="Stop",G255="Suspend",G255="Decommission",G255="Re-authorise",G255="Resume")),"Outcome implies decision",IF(OR(ISNUMBER(SEARCH(",",O255)),ISNUMBER(SEARCH(";",O255))),"One UC-ID per event row — split this event",IF(AND(E255="Decision",OR(Q255="UC-ID REQUIRED",Q255="Decision scope missing",Q255="REMOVE UC-ID OR CORRECT SCOPE")),"Decision scope missing",IF(AND(G255="Progress with condition",COUNTIF(Conditions!$B$4:$B$553,A255)=0),"Progress with condition needs at least one Conditions row",IF(AND(C255&lt;&gt;"",COUNTIFS('Gate plan'!$A$4:$A$353,C255,'Gate plan'!$C$4:$C$353,D255)=0),"Plan gate differs from event gate",IF(AND(C255&lt;&gt;"",O255&lt;&gt;"",COUNTIFS('Gate plan'!$A$4:$A$353,C255,'Gate plan'!$K$4:$K$353,"&lt;&gt;")&gt;0,COUNTIFS('Gate plan'!$A$4:$A$353,C255,'Gate plan'!$K$4:$K$353,O255)=0),"Plan UC-ID differs from event UC-ID",IF(AND(E255="Assurance opinion",J255=""),"Assurance opinion ref missing",IF(AND(G255="Opinion only",E255&lt;&gt;"Assurance opinion",E255&lt;&gt;"Review only"),"Opinion only is for Assurance opinion or Review only events",IF(AND(G255="No decision",E255&lt;&gt;"Review only",E255&lt;&gt;"Priority override",E255&lt;&gt;"Intake / registration"),"No decision is for Review only, Priority override or Intake / registration events",IF(OR(ISNUMBER(SEARCH(" ",TRIM(O255))),ISNUMBER(SEARCH("/",O255))),"One UC-ID per event row: split this event",IF(AND(E255="Precautionary pause (containment)",ISNUMBER(W255),ISNUMBER(F255),W255&lt;F255),"Follow-up decision due date is before the pause",IF(AND(G255="Resume",IFERROR(LOOKUP(2,1/(($B$3:B254=B255)*($O$3:O254=O255)),$G$3:G254),"")&lt;&gt;"Paused — pending decision"),"Resume is only for the event straight after a Precautionary pause on the same AIR-ID and UC-ID (in an earlier row)",IF(AND(E255="Decision",OR(G255="Progress",G255="Progress with condition",G255="Re-authorise",G255="Resume"),X255&lt;&gt;"Yes"),"Decision-maker has not confirmed the screening was considered (column X)","Check against source")))))))))))))))))))))))))))))</f>
        <v/>
      </c>
      <c r="O255" s="37" t="n"/>
      <c r="P255" s="37" t="n"/>
      <c r="Q255" s="14">
        <f>IF(A255="","",IF(E255&lt;&gt;"Decision","",IF(P255="UC-ID specific",IF(O255="","UC-ID REQUIRED","Check source decision for each UC-ID"),IF(P255="Shared system baseline",IF(O255&lt;&gt;"","REMOVE UC-ID OR CORRECT SCOPE","Baseline only — NOT UC approval"),"Decision scope missing"))))</f>
        <v/>
      </c>
      <c r="R255" s="43" t="n"/>
      <c r="S255" s="40" t="n"/>
      <c r="T255" s="40" t="n"/>
      <c r="U255" s="40" t="n"/>
      <c r="V255" s="40" t="n"/>
      <c r="W255" s="41" t="n"/>
      <c r="X255" s="38" t="n"/>
    </row>
    <row r="256">
      <c r="A256" s="38" t="n"/>
      <c r="B256" s="38" t="n"/>
      <c r="C256" s="38" t="n"/>
      <c r="D256" s="38" t="n"/>
      <c r="E256" s="38" t="n"/>
      <c r="F256" s="39" t="n"/>
      <c r="G256" s="38" t="n"/>
      <c r="H256" s="38" t="n"/>
      <c r="I256" s="38" t="n"/>
      <c r="J256" s="38" t="n"/>
      <c r="K256" s="38" t="n"/>
      <c r="L256" s="38" t="n"/>
      <c r="M256" s="38" t="n"/>
      <c r="N256" s="22">
        <f>IF(COUNTA(A256:M256,O256:P256,R256:X256)=0,"",IF(OR(A256="",B256="",F256=""),"Event ID, AIR-ID or date missing",IF(COUNTIF($A$4:$A$553,A256)&gt;1,"Duplicate Event ID",IF(E256="","Event type missing",IF(OR(NOT(ISNUMBER(F256)),F256&gt;TODAY()),"Date is not a real date or is in the future",IF(AND(C256&lt;&gt;"",COUNTIF('Gate plan'!$A$4:$A$353,C256)=0),"Plan ID not found in Gate plan",IF(AND(C256&lt;&gt;"",COUNTIFS('Gate plan'!$A$4:$A$353,C256,'Gate plan'!$B$4:$B$353,B256)=0),"Plan AIR-ID differs from event",IF(D256="","Gate / forum missing",IF(AND(E256="Precautionary pause (containment)",G256&lt;&gt;"Paused — pending decision"),"Precautionary pause: Outcome must be Paused, pending decision",IF(AND(E256="Precautionary pause (containment)",V256=""),"Precautionary pause: AIG-OPS-03 incident ref missing",IF(AND(E256="Precautionary pause (containment)",NOT(ISNUMBER(W256))),"Precautionary pause: follow-up decision due date missing",IF(AND(G256="Paused — pending decision",E256&lt;&gt;"Precautionary pause (containment)"),"Paused, pending decision is only for a Precautionary pause event",IF(AND(E256="Decision",OR(G256="",H256="",I256="")),"Outcome / delegation / decision ref missing",IF(AND(E256="Decision",NOT(OR(G256="Progress",G256="Progress with condition",G256="Return for evidence",G256="Pause",G256="Stop",G256="Suspend",G256="Decommission",G256="Re-authorise",G256="Resume"))),"Decision event needs a decision outcome",IF(AND(E256="Priority override",OR(H256="",I256="")),"Decision-maker / AIG-DEC-03 ref missing",IF(AND(E256="Priority override",G256&lt;&gt;"",G256&lt;&gt;"No decision"),"Priority override: Outcome blank or No decision",IF(AND(E256&lt;&gt;"Decision",OR(G256="Progress",G256="Progress with condition",G256="Return for evidence",G256="Pause",G256="Stop",G256="Suspend",G256="Decommission",G256="Re-authorise",G256="Resume")),"Outcome implies decision",IF(OR(ISNUMBER(SEARCH(",",O256)),ISNUMBER(SEARCH(";",O256))),"One UC-ID per event row — split this event",IF(AND(E256="Decision",OR(Q256="UC-ID REQUIRED",Q256="Decision scope missing",Q256="REMOVE UC-ID OR CORRECT SCOPE")),"Decision scope missing",IF(AND(G256="Progress with condition",COUNTIF(Conditions!$B$4:$B$553,A256)=0),"Progress with condition needs at least one Conditions row",IF(AND(C256&lt;&gt;"",COUNTIFS('Gate plan'!$A$4:$A$353,C256,'Gate plan'!$C$4:$C$353,D256)=0),"Plan gate differs from event gate",IF(AND(C256&lt;&gt;"",O256&lt;&gt;"",COUNTIFS('Gate plan'!$A$4:$A$353,C256,'Gate plan'!$K$4:$K$353,"&lt;&gt;")&gt;0,COUNTIFS('Gate plan'!$A$4:$A$353,C256,'Gate plan'!$K$4:$K$353,O256)=0),"Plan UC-ID differs from event UC-ID",IF(AND(E256="Assurance opinion",J256=""),"Assurance opinion ref missing",IF(AND(G256="Opinion only",E256&lt;&gt;"Assurance opinion",E256&lt;&gt;"Review only"),"Opinion only is for Assurance opinion or Review only events",IF(AND(G256="No decision",E256&lt;&gt;"Review only",E256&lt;&gt;"Priority override",E256&lt;&gt;"Intake / registration"),"No decision is for Review only, Priority override or Intake / registration events",IF(OR(ISNUMBER(SEARCH(" ",TRIM(O256))),ISNUMBER(SEARCH("/",O256))),"One UC-ID per event row: split this event",IF(AND(E256="Precautionary pause (containment)",ISNUMBER(W256),ISNUMBER(F256),W256&lt;F256),"Follow-up decision due date is before the pause",IF(AND(G256="Resume",IFERROR(LOOKUP(2,1/(($B$3:B255=B256)*($O$3:O255=O256)),$G$3:G255),"")&lt;&gt;"Paused — pending decision"),"Resume is only for the event straight after a Precautionary pause on the same AIR-ID and UC-ID (in an earlier row)",IF(AND(E256="Decision",OR(G256="Progress",G256="Progress with condition",G256="Re-authorise",G256="Resume"),X256&lt;&gt;"Yes"),"Decision-maker has not confirmed the screening was considered (column X)","Check against source")))))))))))))))))))))))))))))</f>
        <v/>
      </c>
      <c r="O256" s="37" t="n"/>
      <c r="P256" s="37" t="n"/>
      <c r="Q256" s="14">
        <f>IF(A256="","",IF(E256&lt;&gt;"Decision","",IF(P256="UC-ID specific",IF(O256="","UC-ID REQUIRED","Check source decision for each UC-ID"),IF(P256="Shared system baseline",IF(O256&lt;&gt;"","REMOVE UC-ID OR CORRECT SCOPE","Baseline only — NOT UC approval"),"Decision scope missing"))))</f>
        <v/>
      </c>
      <c r="R256" s="42" t="n"/>
      <c r="S256" s="38" t="n"/>
      <c r="T256" s="38" t="n"/>
      <c r="U256" s="38" t="n"/>
      <c r="V256" s="38" t="n"/>
      <c r="W256" s="39" t="n"/>
      <c r="X256" s="38" t="n"/>
    </row>
    <row r="257">
      <c r="A257" s="40" t="n"/>
      <c r="B257" s="40" t="n"/>
      <c r="C257" s="40" t="n"/>
      <c r="D257" s="40" t="n"/>
      <c r="E257" s="40" t="n"/>
      <c r="F257" s="41" t="n"/>
      <c r="G257" s="40" t="n"/>
      <c r="H257" s="40" t="n"/>
      <c r="I257" s="40" t="n"/>
      <c r="J257" s="40" t="n"/>
      <c r="K257" s="40" t="n"/>
      <c r="L257" s="40" t="n"/>
      <c r="M257" s="40" t="n"/>
      <c r="N257" s="24">
        <f>IF(COUNTA(A257:M257,O257:P257,R257:X257)=0,"",IF(OR(A257="",B257="",F257=""),"Event ID, AIR-ID or date missing",IF(COUNTIF($A$4:$A$553,A257)&gt;1,"Duplicate Event ID",IF(E257="","Event type missing",IF(OR(NOT(ISNUMBER(F257)),F257&gt;TODAY()),"Date is not a real date or is in the future",IF(AND(C257&lt;&gt;"",COUNTIF('Gate plan'!$A$4:$A$353,C257)=0),"Plan ID not found in Gate plan",IF(AND(C257&lt;&gt;"",COUNTIFS('Gate plan'!$A$4:$A$353,C257,'Gate plan'!$B$4:$B$353,B257)=0),"Plan AIR-ID differs from event",IF(D257="","Gate / forum missing",IF(AND(E257="Precautionary pause (containment)",G257&lt;&gt;"Paused — pending decision"),"Precautionary pause: Outcome must be Paused, pending decision",IF(AND(E257="Precautionary pause (containment)",V257=""),"Precautionary pause: AIG-OPS-03 incident ref missing",IF(AND(E257="Precautionary pause (containment)",NOT(ISNUMBER(W257))),"Precautionary pause: follow-up decision due date missing",IF(AND(G257="Paused — pending decision",E257&lt;&gt;"Precautionary pause (containment)"),"Paused, pending decision is only for a Precautionary pause event",IF(AND(E257="Decision",OR(G257="",H257="",I257="")),"Outcome / delegation / decision ref missing",IF(AND(E257="Decision",NOT(OR(G257="Progress",G257="Progress with condition",G257="Return for evidence",G257="Pause",G257="Stop",G257="Suspend",G257="Decommission",G257="Re-authorise",G257="Resume"))),"Decision event needs a decision outcome",IF(AND(E257="Priority override",OR(H257="",I257="")),"Decision-maker / AIG-DEC-03 ref missing",IF(AND(E257="Priority override",G257&lt;&gt;"",G257&lt;&gt;"No decision"),"Priority override: Outcome blank or No decision",IF(AND(E257&lt;&gt;"Decision",OR(G257="Progress",G257="Progress with condition",G257="Return for evidence",G257="Pause",G257="Stop",G257="Suspend",G257="Decommission",G257="Re-authorise",G257="Resume")),"Outcome implies decision",IF(OR(ISNUMBER(SEARCH(",",O257)),ISNUMBER(SEARCH(";",O257))),"One UC-ID per event row — split this event",IF(AND(E257="Decision",OR(Q257="UC-ID REQUIRED",Q257="Decision scope missing",Q257="REMOVE UC-ID OR CORRECT SCOPE")),"Decision scope missing",IF(AND(G257="Progress with condition",COUNTIF(Conditions!$B$4:$B$553,A257)=0),"Progress with condition needs at least one Conditions row",IF(AND(C257&lt;&gt;"",COUNTIFS('Gate plan'!$A$4:$A$353,C257,'Gate plan'!$C$4:$C$353,D257)=0),"Plan gate differs from event gate",IF(AND(C257&lt;&gt;"",O257&lt;&gt;"",COUNTIFS('Gate plan'!$A$4:$A$353,C257,'Gate plan'!$K$4:$K$353,"&lt;&gt;")&gt;0,COUNTIFS('Gate plan'!$A$4:$A$353,C257,'Gate plan'!$K$4:$K$353,O257)=0),"Plan UC-ID differs from event UC-ID",IF(AND(E257="Assurance opinion",J257=""),"Assurance opinion ref missing",IF(AND(G257="Opinion only",E257&lt;&gt;"Assurance opinion",E257&lt;&gt;"Review only"),"Opinion only is for Assurance opinion or Review only events",IF(AND(G257="No decision",E257&lt;&gt;"Review only",E257&lt;&gt;"Priority override",E257&lt;&gt;"Intake / registration"),"No decision is for Review only, Priority override or Intake / registration events",IF(OR(ISNUMBER(SEARCH(" ",TRIM(O257))),ISNUMBER(SEARCH("/",O257))),"One UC-ID per event row: split this event",IF(AND(E257="Precautionary pause (containment)",ISNUMBER(W257),ISNUMBER(F257),W257&lt;F257),"Follow-up decision due date is before the pause",IF(AND(G257="Resume",IFERROR(LOOKUP(2,1/(($B$3:B256=B257)*($O$3:O256=O257)),$G$3:G256),"")&lt;&gt;"Paused — pending decision"),"Resume is only for the event straight after a Precautionary pause on the same AIR-ID and UC-ID (in an earlier row)",IF(AND(E257="Decision",OR(G257="Progress",G257="Progress with condition",G257="Re-authorise",G257="Resume"),X257&lt;&gt;"Yes"),"Decision-maker has not confirmed the screening was considered (column X)","Check against source")))))))))))))))))))))))))))))</f>
        <v/>
      </c>
      <c r="O257" s="37" t="n"/>
      <c r="P257" s="37" t="n"/>
      <c r="Q257" s="14">
        <f>IF(A257="","",IF(E257&lt;&gt;"Decision","",IF(P257="UC-ID specific",IF(O257="","UC-ID REQUIRED","Check source decision for each UC-ID"),IF(P257="Shared system baseline",IF(O257&lt;&gt;"","REMOVE UC-ID OR CORRECT SCOPE","Baseline only — NOT UC approval"),"Decision scope missing"))))</f>
        <v/>
      </c>
      <c r="R257" s="43" t="n"/>
      <c r="S257" s="40" t="n"/>
      <c r="T257" s="40" t="n"/>
      <c r="U257" s="40" t="n"/>
      <c r="V257" s="40" t="n"/>
      <c r="W257" s="41" t="n"/>
      <c r="X257" s="38" t="n"/>
    </row>
    <row r="258">
      <c r="A258" s="38" t="n"/>
      <c r="B258" s="38" t="n"/>
      <c r="C258" s="38" t="n"/>
      <c r="D258" s="38" t="n"/>
      <c r="E258" s="38" t="n"/>
      <c r="F258" s="39" t="n"/>
      <c r="G258" s="38" t="n"/>
      <c r="H258" s="38" t="n"/>
      <c r="I258" s="38" t="n"/>
      <c r="J258" s="38" t="n"/>
      <c r="K258" s="38" t="n"/>
      <c r="L258" s="38" t="n"/>
      <c r="M258" s="38" t="n"/>
      <c r="N258" s="22">
        <f>IF(COUNTA(A258:M258,O258:P258,R258:X258)=0,"",IF(OR(A258="",B258="",F258=""),"Event ID, AIR-ID or date missing",IF(COUNTIF($A$4:$A$553,A258)&gt;1,"Duplicate Event ID",IF(E258="","Event type missing",IF(OR(NOT(ISNUMBER(F258)),F258&gt;TODAY()),"Date is not a real date or is in the future",IF(AND(C258&lt;&gt;"",COUNTIF('Gate plan'!$A$4:$A$353,C258)=0),"Plan ID not found in Gate plan",IF(AND(C258&lt;&gt;"",COUNTIFS('Gate plan'!$A$4:$A$353,C258,'Gate plan'!$B$4:$B$353,B258)=0),"Plan AIR-ID differs from event",IF(D258="","Gate / forum missing",IF(AND(E258="Precautionary pause (containment)",G258&lt;&gt;"Paused — pending decision"),"Precautionary pause: Outcome must be Paused, pending decision",IF(AND(E258="Precautionary pause (containment)",V258=""),"Precautionary pause: AIG-OPS-03 incident ref missing",IF(AND(E258="Precautionary pause (containment)",NOT(ISNUMBER(W258))),"Precautionary pause: follow-up decision due date missing",IF(AND(G258="Paused — pending decision",E258&lt;&gt;"Precautionary pause (containment)"),"Paused, pending decision is only for a Precautionary pause event",IF(AND(E258="Decision",OR(G258="",H258="",I258="")),"Outcome / delegation / decision ref missing",IF(AND(E258="Decision",NOT(OR(G258="Progress",G258="Progress with condition",G258="Return for evidence",G258="Pause",G258="Stop",G258="Suspend",G258="Decommission",G258="Re-authorise",G258="Resume"))),"Decision event needs a decision outcome",IF(AND(E258="Priority override",OR(H258="",I258="")),"Decision-maker / AIG-DEC-03 ref missing",IF(AND(E258="Priority override",G258&lt;&gt;"",G258&lt;&gt;"No decision"),"Priority override: Outcome blank or No decision",IF(AND(E258&lt;&gt;"Decision",OR(G258="Progress",G258="Progress with condition",G258="Return for evidence",G258="Pause",G258="Stop",G258="Suspend",G258="Decommission",G258="Re-authorise",G258="Resume")),"Outcome implies decision",IF(OR(ISNUMBER(SEARCH(",",O258)),ISNUMBER(SEARCH(";",O258))),"One UC-ID per event row — split this event",IF(AND(E258="Decision",OR(Q258="UC-ID REQUIRED",Q258="Decision scope missing",Q258="REMOVE UC-ID OR CORRECT SCOPE")),"Decision scope missing",IF(AND(G258="Progress with condition",COUNTIF(Conditions!$B$4:$B$553,A258)=0),"Progress with condition needs at least one Conditions row",IF(AND(C258&lt;&gt;"",COUNTIFS('Gate plan'!$A$4:$A$353,C258,'Gate plan'!$C$4:$C$353,D258)=0),"Plan gate differs from event gate",IF(AND(C258&lt;&gt;"",O258&lt;&gt;"",COUNTIFS('Gate plan'!$A$4:$A$353,C258,'Gate plan'!$K$4:$K$353,"&lt;&gt;")&gt;0,COUNTIFS('Gate plan'!$A$4:$A$353,C258,'Gate plan'!$K$4:$K$353,O258)=0),"Plan UC-ID differs from event UC-ID",IF(AND(E258="Assurance opinion",J258=""),"Assurance opinion ref missing",IF(AND(G258="Opinion only",E258&lt;&gt;"Assurance opinion",E258&lt;&gt;"Review only"),"Opinion only is for Assurance opinion or Review only events",IF(AND(G258="No decision",E258&lt;&gt;"Review only",E258&lt;&gt;"Priority override",E258&lt;&gt;"Intake / registration"),"No decision is for Review only, Priority override or Intake / registration events",IF(OR(ISNUMBER(SEARCH(" ",TRIM(O258))),ISNUMBER(SEARCH("/",O258))),"One UC-ID per event row: split this event",IF(AND(E258="Precautionary pause (containment)",ISNUMBER(W258),ISNUMBER(F258),W258&lt;F258),"Follow-up decision due date is before the pause",IF(AND(G258="Resume",IFERROR(LOOKUP(2,1/(($B$3:B257=B258)*($O$3:O257=O258)),$G$3:G257),"")&lt;&gt;"Paused — pending decision"),"Resume is only for the event straight after a Precautionary pause on the same AIR-ID and UC-ID (in an earlier row)",IF(AND(E258="Decision",OR(G258="Progress",G258="Progress with condition",G258="Re-authorise",G258="Resume"),X258&lt;&gt;"Yes"),"Decision-maker has not confirmed the screening was considered (column X)","Check against source")))))))))))))))))))))))))))))</f>
        <v/>
      </c>
      <c r="O258" s="37" t="n"/>
      <c r="P258" s="37" t="n"/>
      <c r="Q258" s="14">
        <f>IF(A258="","",IF(E258&lt;&gt;"Decision","",IF(P258="UC-ID specific",IF(O258="","UC-ID REQUIRED","Check source decision for each UC-ID"),IF(P258="Shared system baseline",IF(O258&lt;&gt;"","REMOVE UC-ID OR CORRECT SCOPE","Baseline only — NOT UC approval"),"Decision scope missing"))))</f>
        <v/>
      </c>
      <c r="R258" s="42" t="n"/>
      <c r="S258" s="38" t="n"/>
      <c r="T258" s="38" t="n"/>
      <c r="U258" s="38" t="n"/>
      <c r="V258" s="38" t="n"/>
      <c r="W258" s="39" t="n"/>
      <c r="X258" s="38" t="n"/>
    </row>
    <row r="259">
      <c r="A259" s="40" t="n"/>
      <c r="B259" s="40" t="n"/>
      <c r="C259" s="40" t="n"/>
      <c r="D259" s="40" t="n"/>
      <c r="E259" s="40" t="n"/>
      <c r="F259" s="41" t="n"/>
      <c r="G259" s="40" t="n"/>
      <c r="H259" s="40" t="n"/>
      <c r="I259" s="40" t="n"/>
      <c r="J259" s="40" t="n"/>
      <c r="K259" s="40" t="n"/>
      <c r="L259" s="40" t="n"/>
      <c r="M259" s="40" t="n"/>
      <c r="N259" s="24">
        <f>IF(COUNTA(A259:M259,O259:P259,R259:X259)=0,"",IF(OR(A259="",B259="",F259=""),"Event ID, AIR-ID or date missing",IF(COUNTIF($A$4:$A$553,A259)&gt;1,"Duplicate Event ID",IF(E259="","Event type missing",IF(OR(NOT(ISNUMBER(F259)),F259&gt;TODAY()),"Date is not a real date or is in the future",IF(AND(C259&lt;&gt;"",COUNTIF('Gate plan'!$A$4:$A$353,C259)=0),"Plan ID not found in Gate plan",IF(AND(C259&lt;&gt;"",COUNTIFS('Gate plan'!$A$4:$A$353,C259,'Gate plan'!$B$4:$B$353,B259)=0),"Plan AIR-ID differs from event",IF(D259="","Gate / forum missing",IF(AND(E259="Precautionary pause (containment)",G259&lt;&gt;"Paused — pending decision"),"Precautionary pause: Outcome must be Paused, pending decision",IF(AND(E259="Precautionary pause (containment)",V259=""),"Precautionary pause: AIG-OPS-03 incident ref missing",IF(AND(E259="Precautionary pause (containment)",NOT(ISNUMBER(W259))),"Precautionary pause: follow-up decision due date missing",IF(AND(G259="Paused — pending decision",E259&lt;&gt;"Precautionary pause (containment)"),"Paused, pending decision is only for a Precautionary pause event",IF(AND(E259="Decision",OR(G259="",H259="",I259="")),"Outcome / delegation / decision ref missing",IF(AND(E259="Decision",NOT(OR(G259="Progress",G259="Progress with condition",G259="Return for evidence",G259="Pause",G259="Stop",G259="Suspend",G259="Decommission",G259="Re-authorise",G259="Resume"))),"Decision event needs a decision outcome",IF(AND(E259="Priority override",OR(H259="",I259="")),"Decision-maker / AIG-DEC-03 ref missing",IF(AND(E259="Priority override",G259&lt;&gt;"",G259&lt;&gt;"No decision"),"Priority override: Outcome blank or No decision",IF(AND(E259&lt;&gt;"Decision",OR(G259="Progress",G259="Progress with condition",G259="Return for evidence",G259="Pause",G259="Stop",G259="Suspend",G259="Decommission",G259="Re-authorise",G259="Resume")),"Outcome implies decision",IF(OR(ISNUMBER(SEARCH(",",O259)),ISNUMBER(SEARCH(";",O259))),"One UC-ID per event row — split this event",IF(AND(E259="Decision",OR(Q259="UC-ID REQUIRED",Q259="Decision scope missing",Q259="REMOVE UC-ID OR CORRECT SCOPE")),"Decision scope missing",IF(AND(G259="Progress with condition",COUNTIF(Conditions!$B$4:$B$553,A259)=0),"Progress with condition needs at least one Conditions row",IF(AND(C259&lt;&gt;"",COUNTIFS('Gate plan'!$A$4:$A$353,C259,'Gate plan'!$C$4:$C$353,D259)=0),"Plan gate differs from event gate",IF(AND(C259&lt;&gt;"",O259&lt;&gt;"",COUNTIFS('Gate plan'!$A$4:$A$353,C259,'Gate plan'!$K$4:$K$353,"&lt;&gt;")&gt;0,COUNTIFS('Gate plan'!$A$4:$A$353,C259,'Gate plan'!$K$4:$K$353,O259)=0),"Plan UC-ID differs from event UC-ID",IF(AND(E259="Assurance opinion",J259=""),"Assurance opinion ref missing",IF(AND(G259="Opinion only",E259&lt;&gt;"Assurance opinion",E259&lt;&gt;"Review only"),"Opinion only is for Assurance opinion or Review only events",IF(AND(G259="No decision",E259&lt;&gt;"Review only",E259&lt;&gt;"Priority override",E259&lt;&gt;"Intake / registration"),"No decision is for Review only, Priority override or Intake / registration events",IF(OR(ISNUMBER(SEARCH(" ",TRIM(O259))),ISNUMBER(SEARCH("/",O259))),"One UC-ID per event row: split this event",IF(AND(E259="Precautionary pause (containment)",ISNUMBER(W259),ISNUMBER(F259),W259&lt;F259),"Follow-up decision due date is before the pause",IF(AND(G259="Resume",IFERROR(LOOKUP(2,1/(($B$3:B258=B259)*($O$3:O258=O259)),$G$3:G258),"")&lt;&gt;"Paused — pending decision"),"Resume is only for the event straight after a Precautionary pause on the same AIR-ID and UC-ID (in an earlier row)",IF(AND(E259="Decision",OR(G259="Progress",G259="Progress with condition",G259="Re-authorise",G259="Resume"),X259&lt;&gt;"Yes"),"Decision-maker has not confirmed the screening was considered (column X)","Check against source")))))))))))))))))))))))))))))</f>
        <v/>
      </c>
      <c r="O259" s="37" t="n"/>
      <c r="P259" s="37" t="n"/>
      <c r="Q259" s="14">
        <f>IF(A259="","",IF(E259&lt;&gt;"Decision","",IF(P259="UC-ID specific",IF(O259="","UC-ID REQUIRED","Check source decision for each UC-ID"),IF(P259="Shared system baseline",IF(O259&lt;&gt;"","REMOVE UC-ID OR CORRECT SCOPE","Baseline only — NOT UC approval"),"Decision scope missing"))))</f>
        <v/>
      </c>
      <c r="R259" s="43" t="n"/>
      <c r="S259" s="40" t="n"/>
      <c r="T259" s="40" t="n"/>
      <c r="U259" s="40" t="n"/>
      <c r="V259" s="40" t="n"/>
      <c r="W259" s="41" t="n"/>
      <c r="X259" s="38" t="n"/>
    </row>
    <row r="260">
      <c r="A260" s="38" t="n"/>
      <c r="B260" s="38" t="n"/>
      <c r="C260" s="38" t="n"/>
      <c r="D260" s="38" t="n"/>
      <c r="E260" s="38" t="n"/>
      <c r="F260" s="39" t="n"/>
      <c r="G260" s="38" t="n"/>
      <c r="H260" s="38" t="n"/>
      <c r="I260" s="38" t="n"/>
      <c r="J260" s="38" t="n"/>
      <c r="K260" s="38" t="n"/>
      <c r="L260" s="38" t="n"/>
      <c r="M260" s="38" t="n"/>
      <c r="N260" s="22">
        <f>IF(COUNTA(A260:M260,O260:P260,R260:X260)=0,"",IF(OR(A260="",B260="",F260=""),"Event ID, AIR-ID or date missing",IF(COUNTIF($A$4:$A$553,A260)&gt;1,"Duplicate Event ID",IF(E260="","Event type missing",IF(OR(NOT(ISNUMBER(F260)),F260&gt;TODAY()),"Date is not a real date or is in the future",IF(AND(C260&lt;&gt;"",COUNTIF('Gate plan'!$A$4:$A$353,C260)=0),"Plan ID not found in Gate plan",IF(AND(C260&lt;&gt;"",COUNTIFS('Gate plan'!$A$4:$A$353,C260,'Gate plan'!$B$4:$B$353,B260)=0),"Plan AIR-ID differs from event",IF(D260="","Gate / forum missing",IF(AND(E260="Precautionary pause (containment)",G260&lt;&gt;"Paused — pending decision"),"Precautionary pause: Outcome must be Paused, pending decision",IF(AND(E260="Precautionary pause (containment)",V260=""),"Precautionary pause: AIG-OPS-03 incident ref missing",IF(AND(E260="Precautionary pause (containment)",NOT(ISNUMBER(W260))),"Precautionary pause: follow-up decision due date missing",IF(AND(G260="Paused — pending decision",E260&lt;&gt;"Precautionary pause (containment)"),"Paused, pending decision is only for a Precautionary pause event",IF(AND(E260="Decision",OR(G260="",H260="",I260="")),"Outcome / delegation / decision ref missing",IF(AND(E260="Decision",NOT(OR(G260="Progress",G260="Progress with condition",G260="Return for evidence",G260="Pause",G260="Stop",G260="Suspend",G260="Decommission",G260="Re-authorise",G260="Resume"))),"Decision event needs a decision outcome",IF(AND(E260="Priority override",OR(H260="",I260="")),"Decision-maker / AIG-DEC-03 ref missing",IF(AND(E260="Priority override",G260&lt;&gt;"",G260&lt;&gt;"No decision"),"Priority override: Outcome blank or No decision",IF(AND(E260&lt;&gt;"Decision",OR(G260="Progress",G260="Progress with condition",G260="Return for evidence",G260="Pause",G260="Stop",G260="Suspend",G260="Decommission",G260="Re-authorise",G260="Resume")),"Outcome implies decision",IF(OR(ISNUMBER(SEARCH(",",O260)),ISNUMBER(SEARCH(";",O260))),"One UC-ID per event row — split this event",IF(AND(E260="Decision",OR(Q260="UC-ID REQUIRED",Q260="Decision scope missing",Q260="REMOVE UC-ID OR CORRECT SCOPE")),"Decision scope missing",IF(AND(G260="Progress with condition",COUNTIF(Conditions!$B$4:$B$553,A260)=0),"Progress with condition needs at least one Conditions row",IF(AND(C260&lt;&gt;"",COUNTIFS('Gate plan'!$A$4:$A$353,C260,'Gate plan'!$C$4:$C$353,D260)=0),"Plan gate differs from event gate",IF(AND(C260&lt;&gt;"",O260&lt;&gt;"",COUNTIFS('Gate plan'!$A$4:$A$353,C260,'Gate plan'!$K$4:$K$353,"&lt;&gt;")&gt;0,COUNTIFS('Gate plan'!$A$4:$A$353,C260,'Gate plan'!$K$4:$K$353,O260)=0),"Plan UC-ID differs from event UC-ID",IF(AND(E260="Assurance opinion",J260=""),"Assurance opinion ref missing",IF(AND(G260="Opinion only",E260&lt;&gt;"Assurance opinion",E260&lt;&gt;"Review only"),"Opinion only is for Assurance opinion or Review only events",IF(AND(G260="No decision",E260&lt;&gt;"Review only",E260&lt;&gt;"Priority override",E260&lt;&gt;"Intake / registration"),"No decision is for Review only, Priority override or Intake / registration events",IF(OR(ISNUMBER(SEARCH(" ",TRIM(O260))),ISNUMBER(SEARCH("/",O260))),"One UC-ID per event row: split this event",IF(AND(E260="Precautionary pause (containment)",ISNUMBER(W260),ISNUMBER(F260),W260&lt;F260),"Follow-up decision due date is before the pause",IF(AND(G260="Resume",IFERROR(LOOKUP(2,1/(($B$3:B259=B260)*($O$3:O259=O260)),$G$3:G259),"")&lt;&gt;"Paused — pending decision"),"Resume is only for the event straight after a Precautionary pause on the same AIR-ID and UC-ID (in an earlier row)",IF(AND(E260="Decision",OR(G260="Progress",G260="Progress with condition",G260="Re-authorise",G260="Resume"),X260&lt;&gt;"Yes"),"Decision-maker has not confirmed the screening was considered (column X)","Check against source")))))))))))))))))))))))))))))</f>
        <v/>
      </c>
      <c r="O260" s="37" t="n"/>
      <c r="P260" s="37" t="n"/>
      <c r="Q260" s="14">
        <f>IF(A260="","",IF(E260&lt;&gt;"Decision","",IF(P260="UC-ID specific",IF(O260="","UC-ID REQUIRED","Check source decision for each UC-ID"),IF(P260="Shared system baseline",IF(O260&lt;&gt;"","REMOVE UC-ID OR CORRECT SCOPE","Baseline only — NOT UC approval"),"Decision scope missing"))))</f>
        <v/>
      </c>
      <c r="R260" s="42" t="n"/>
      <c r="S260" s="38" t="n"/>
      <c r="T260" s="38" t="n"/>
      <c r="U260" s="38" t="n"/>
      <c r="V260" s="38" t="n"/>
      <c r="W260" s="39" t="n"/>
      <c r="X260" s="38" t="n"/>
    </row>
    <row r="261">
      <c r="A261" s="40" t="n"/>
      <c r="B261" s="40" t="n"/>
      <c r="C261" s="40" t="n"/>
      <c r="D261" s="40" t="n"/>
      <c r="E261" s="40" t="n"/>
      <c r="F261" s="41" t="n"/>
      <c r="G261" s="40" t="n"/>
      <c r="H261" s="40" t="n"/>
      <c r="I261" s="40" t="n"/>
      <c r="J261" s="40" t="n"/>
      <c r="K261" s="40" t="n"/>
      <c r="L261" s="40" t="n"/>
      <c r="M261" s="40" t="n"/>
      <c r="N261" s="24">
        <f>IF(COUNTA(A261:M261,O261:P261,R261:X261)=0,"",IF(OR(A261="",B261="",F261=""),"Event ID, AIR-ID or date missing",IF(COUNTIF($A$4:$A$553,A261)&gt;1,"Duplicate Event ID",IF(E261="","Event type missing",IF(OR(NOT(ISNUMBER(F261)),F261&gt;TODAY()),"Date is not a real date or is in the future",IF(AND(C261&lt;&gt;"",COUNTIF('Gate plan'!$A$4:$A$353,C261)=0),"Plan ID not found in Gate plan",IF(AND(C261&lt;&gt;"",COUNTIFS('Gate plan'!$A$4:$A$353,C261,'Gate plan'!$B$4:$B$353,B261)=0),"Plan AIR-ID differs from event",IF(D261="","Gate / forum missing",IF(AND(E261="Precautionary pause (containment)",G261&lt;&gt;"Paused — pending decision"),"Precautionary pause: Outcome must be Paused, pending decision",IF(AND(E261="Precautionary pause (containment)",V261=""),"Precautionary pause: AIG-OPS-03 incident ref missing",IF(AND(E261="Precautionary pause (containment)",NOT(ISNUMBER(W261))),"Precautionary pause: follow-up decision due date missing",IF(AND(G261="Paused — pending decision",E261&lt;&gt;"Precautionary pause (containment)"),"Paused, pending decision is only for a Precautionary pause event",IF(AND(E261="Decision",OR(G261="",H261="",I261="")),"Outcome / delegation / decision ref missing",IF(AND(E261="Decision",NOT(OR(G261="Progress",G261="Progress with condition",G261="Return for evidence",G261="Pause",G261="Stop",G261="Suspend",G261="Decommission",G261="Re-authorise",G261="Resume"))),"Decision event needs a decision outcome",IF(AND(E261="Priority override",OR(H261="",I261="")),"Decision-maker / AIG-DEC-03 ref missing",IF(AND(E261="Priority override",G261&lt;&gt;"",G261&lt;&gt;"No decision"),"Priority override: Outcome blank or No decision",IF(AND(E261&lt;&gt;"Decision",OR(G261="Progress",G261="Progress with condition",G261="Return for evidence",G261="Pause",G261="Stop",G261="Suspend",G261="Decommission",G261="Re-authorise",G261="Resume")),"Outcome implies decision",IF(OR(ISNUMBER(SEARCH(",",O261)),ISNUMBER(SEARCH(";",O261))),"One UC-ID per event row — split this event",IF(AND(E261="Decision",OR(Q261="UC-ID REQUIRED",Q261="Decision scope missing",Q261="REMOVE UC-ID OR CORRECT SCOPE")),"Decision scope missing",IF(AND(G261="Progress with condition",COUNTIF(Conditions!$B$4:$B$553,A261)=0),"Progress with condition needs at least one Conditions row",IF(AND(C261&lt;&gt;"",COUNTIFS('Gate plan'!$A$4:$A$353,C261,'Gate plan'!$C$4:$C$353,D261)=0),"Plan gate differs from event gate",IF(AND(C261&lt;&gt;"",O261&lt;&gt;"",COUNTIFS('Gate plan'!$A$4:$A$353,C261,'Gate plan'!$K$4:$K$353,"&lt;&gt;")&gt;0,COUNTIFS('Gate plan'!$A$4:$A$353,C261,'Gate plan'!$K$4:$K$353,O261)=0),"Plan UC-ID differs from event UC-ID",IF(AND(E261="Assurance opinion",J261=""),"Assurance opinion ref missing",IF(AND(G261="Opinion only",E261&lt;&gt;"Assurance opinion",E261&lt;&gt;"Review only"),"Opinion only is for Assurance opinion or Review only events",IF(AND(G261="No decision",E261&lt;&gt;"Review only",E261&lt;&gt;"Priority override",E261&lt;&gt;"Intake / registration"),"No decision is for Review only, Priority override or Intake / registration events",IF(OR(ISNUMBER(SEARCH(" ",TRIM(O261))),ISNUMBER(SEARCH("/",O261))),"One UC-ID per event row: split this event",IF(AND(E261="Precautionary pause (containment)",ISNUMBER(W261),ISNUMBER(F261),W261&lt;F261),"Follow-up decision due date is before the pause",IF(AND(G261="Resume",IFERROR(LOOKUP(2,1/(($B$3:B260=B261)*($O$3:O260=O261)),$G$3:G260),"")&lt;&gt;"Paused — pending decision"),"Resume is only for the event straight after a Precautionary pause on the same AIR-ID and UC-ID (in an earlier row)",IF(AND(E261="Decision",OR(G261="Progress",G261="Progress with condition",G261="Re-authorise",G261="Resume"),X261&lt;&gt;"Yes"),"Decision-maker has not confirmed the screening was considered (column X)","Check against source")))))))))))))))))))))))))))))</f>
        <v/>
      </c>
      <c r="O261" s="37" t="n"/>
      <c r="P261" s="37" t="n"/>
      <c r="Q261" s="14">
        <f>IF(A261="","",IF(E261&lt;&gt;"Decision","",IF(P261="UC-ID specific",IF(O261="","UC-ID REQUIRED","Check source decision for each UC-ID"),IF(P261="Shared system baseline",IF(O261&lt;&gt;"","REMOVE UC-ID OR CORRECT SCOPE","Baseline only — NOT UC approval"),"Decision scope missing"))))</f>
        <v/>
      </c>
      <c r="R261" s="43" t="n"/>
      <c r="S261" s="40" t="n"/>
      <c r="T261" s="40" t="n"/>
      <c r="U261" s="40" t="n"/>
      <c r="V261" s="40" t="n"/>
      <c r="W261" s="41" t="n"/>
      <c r="X261" s="38" t="n"/>
    </row>
    <row r="262">
      <c r="A262" s="38" t="n"/>
      <c r="B262" s="38" t="n"/>
      <c r="C262" s="38" t="n"/>
      <c r="D262" s="38" t="n"/>
      <c r="E262" s="38" t="n"/>
      <c r="F262" s="39" t="n"/>
      <c r="G262" s="38" t="n"/>
      <c r="H262" s="38" t="n"/>
      <c r="I262" s="38" t="n"/>
      <c r="J262" s="38" t="n"/>
      <c r="K262" s="38" t="n"/>
      <c r="L262" s="38" t="n"/>
      <c r="M262" s="38" t="n"/>
      <c r="N262" s="22">
        <f>IF(COUNTA(A262:M262,O262:P262,R262:X262)=0,"",IF(OR(A262="",B262="",F262=""),"Event ID, AIR-ID or date missing",IF(COUNTIF($A$4:$A$553,A262)&gt;1,"Duplicate Event ID",IF(E262="","Event type missing",IF(OR(NOT(ISNUMBER(F262)),F262&gt;TODAY()),"Date is not a real date or is in the future",IF(AND(C262&lt;&gt;"",COUNTIF('Gate plan'!$A$4:$A$353,C262)=0),"Plan ID not found in Gate plan",IF(AND(C262&lt;&gt;"",COUNTIFS('Gate plan'!$A$4:$A$353,C262,'Gate plan'!$B$4:$B$353,B262)=0),"Plan AIR-ID differs from event",IF(D262="","Gate / forum missing",IF(AND(E262="Precautionary pause (containment)",G262&lt;&gt;"Paused — pending decision"),"Precautionary pause: Outcome must be Paused, pending decision",IF(AND(E262="Precautionary pause (containment)",V262=""),"Precautionary pause: AIG-OPS-03 incident ref missing",IF(AND(E262="Precautionary pause (containment)",NOT(ISNUMBER(W262))),"Precautionary pause: follow-up decision due date missing",IF(AND(G262="Paused — pending decision",E262&lt;&gt;"Precautionary pause (containment)"),"Paused, pending decision is only for a Precautionary pause event",IF(AND(E262="Decision",OR(G262="",H262="",I262="")),"Outcome / delegation / decision ref missing",IF(AND(E262="Decision",NOT(OR(G262="Progress",G262="Progress with condition",G262="Return for evidence",G262="Pause",G262="Stop",G262="Suspend",G262="Decommission",G262="Re-authorise",G262="Resume"))),"Decision event needs a decision outcome",IF(AND(E262="Priority override",OR(H262="",I262="")),"Decision-maker / AIG-DEC-03 ref missing",IF(AND(E262="Priority override",G262&lt;&gt;"",G262&lt;&gt;"No decision"),"Priority override: Outcome blank or No decision",IF(AND(E262&lt;&gt;"Decision",OR(G262="Progress",G262="Progress with condition",G262="Return for evidence",G262="Pause",G262="Stop",G262="Suspend",G262="Decommission",G262="Re-authorise",G262="Resume")),"Outcome implies decision",IF(OR(ISNUMBER(SEARCH(",",O262)),ISNUMBER(SEARCH(";",O262))),"One UC-ID per event row — split this event",IF(AND(E262="Decision",OR(Q262="UC-ID REQUIRED",Q262="Decision scope missing",Q262="REMOVE UC-ID OR CORRECT SCOPE")),"Decision scope missing",IF(AND(G262="Progress with condition",COUNTIF(Conditions!$B$4:$B$553,A262)=0),"Progress with condition needs at least one Conditions row",IF(AND(C262&lt;&gt;"",COUNTIFS('Gate plan'!$A$4:$A$353,C262,'Gate plan'!$C$4:$C$353,D262)=0),"Plan gate differs from event gate",IF(AND(C262&lt;&gt;"",O262&lt;&gt;"",COUNTIFS('Gate plan'!$A$4:$A$353,C262,'Gate plan'!$K$4:$K$353,"&lt;&gt;")&gt;0,COUNTIFS('Gate plan'!$A$4:$A$353,C262,'Gate plan'!$K$4:$K$353,O262)=0),"Plan UC-ID differs from event UC-ID",IF(AND(E262="Assurance opinion",J262=""),"Assurance opinion ref missing",IF(AND(G262="Opinion only",E262&lt;&gt;"Assurance opinion",E262&lt;&gt;"Review only"),"Opinion only is for Assurance opinion or Review only events",IF(AND(G262="No decision",E262&lt;&gt;"Review only",E262&lt;&gt;"Priority override",E262&lt;&gt;"Intake / registration"),"No decision is for Review only, Priority override or Intake / registration events",IF(OR(ISNUMBER(SEARCH(" ",TRIM(O262))),ISNUMBER(SEARCH("/",O262))),"One UC-ID per event row: split this event",IF(AND(E262="Precautionary pause (containment)",ISNUMBER(W262),ISNUMBER(F262),W262&lt;F262),"Follow-up decision due date is before the pause",IF(AND(G262="Resume",IFERROR(LOOKUP(2,1/(($B$3:B261=B262)*($O$3:O261=O262)),$G$3:G261),"")&lt;&gt;"Paused — pending decision"),"Resume is only for the event straight after a Precautionary pause on the same AIR-ID and UC-ID (in an earlier row)",IF(AND(E262="Decision",OR(G262="Progress",G262="Progress with condition",G262="Re-authorise",G262="Resume"),X262&lt;&gt;"Yes"),"Decision-maker has not confirmed the screening was considered (column X)","Check against source")))))))))))))))))))))))))))))</f>
        <v/>
      </c>
      <c r="O262" s="37" t="n"/>
      <c r="P262" s="37" t="n"/>
      <c r="Q262" s="14">
        <f>IF(A262="","",IF(E262&lt;&gt;"Decision","",IF(P262="UC-ID specific",IF(O262="","UC-ID REQUIRED","Check source decision for each UC-ID"),IF(P262="Shared system baseline",IF(O262&lt;&gt;"","REMOVE UC-ID OR CORRECT SCOPE","Baseline only — NOT UC approval"),"Decision scope missing"))))</f>
        <v/>
      </c>
      <c r="R262" s="42" t="n"/>
      <c r="S262" s="38" t="n"/>
      <c r="T262" s="38" t="n"/>
      <c r="U262" s="38" t="n"/>
      <c r="V262" s="38" t="n"/>
      <c r="W262" s="39" t="n"/>
      <c r="X262" s="38" t="n"/>
    </row>
    <row r="263">
      <c r="A263" s="40" t="n"/>
      <c r="B263" s="40" t="n"/>
      <c r="C263" s="40" t="n"/>
      <c r="D263" s="40" t="n"/>
      <c r="E263" s="40" t="n"/>
      <c r="F263" s="41" t="n"/>
      <c r="G263" s="40" t="n"/>
      <c r="H263" s="40" t="n"/>
      <c r="I263" s="40" t="n"/>
      <c r="J263" s="40" t="n"/>
      <c r="K263" s="40" t="n"/>
      <c r="L263" s="40" t="n"/>
      <c r="M263" s="40" t="n"/>
      <c r="N263" s="24">
        <f>IF(COUNTA(A263:M263,O263:P263,R263:X263)=0,"",IF(OR(A263="",B263="",F263=""),"Event ID, AIR-ID or date missing",IF(COUNTIF($A$4:$A$553,A263)&gt;1,"Duplicate Event ID",IF(E263="","Event type missing",IF(OR(NOT(ISNUMBER(F263)),F263&gt;TODAY()),"Date is not a real date or is in the future",IF(AND(C263&lt;&gt;"",COUNTIF('Gate plan'!$A$4:$A$353,C263)=0),"Plan ID not found in Gate plan",IF(AND(C263&lt;&gt;"",COUNTIFS('Gate plan'!$A$4:$A$353,C263,'Gate plan'!$B$4:$B$353,B263)=0),"Plan AIR-ID differs from event",IF(D263="","Gate / forum missing",IF(AND(E263="Precautionary pause (containment)",G263&lt;&gt;"Paused — pending decision"),"Precautionary pause: Outcome must be Paused, pending decision",IF(AND(E263="Precautionary pause (containment)",V263=""),"Precautionary pause: AIG-OPS-03 incident ref missing",IF(AND(E263="Precautionary pause (containment)",NOT(ISNUMBER(W263))),"Precautionary pause: follow-up decision due date missing",IF(AND(G263="Paused — pending decision",E263&lt;&gt;"Precautionary pause (containment)"),"Paused, pending decision is only for a Precautionary pause event",IF(AND(E263="Decision",OR(G263="",H263="",I263="")),"Outcome / delegation / decision ref missing",IF(AND(E263="Decision",NOT(OR(G263="Progress",G263="Progress with condition",G263="Return for evidence",G263="Pause",G263="Stop",G263="Suspend",G263="Decommission",G263="Re-authorise",G263="Resume"))),"Decision event needs a decision outcome",IF(AND(E263="Priority override",OR(H263="",I263="")),"Decision-maker / AIG-DEC-03 ref missing",IF(AND(E263="Priority override",G263&lt;&gt;"",G263&lt;&gt;"No decision"),"Priority override: Outcome blank or No decision",IF(AND(E263&lt;&gt;"Decision",OR(G263="Progress",G263="Progress with condition",G263="Return for evidence",G263="Pause",G263="Stop",G263="Suspend",G263="Decommission",G263="Re-authorise",G263="Resume")),"Outcome implies decision",IF(OR(ISNUMBER(SEARCH(",",O263)),ISNUMBER(SEARCH(";",O263))),"One UC-ID per event row — split this event",IF(AND(E263="Decision",OR(Q263="UC-ID REQUIRED",Q263="Decision scope missing",Q263="REMOVE UC-ID OR CORRECT SCOPE")),"Decision scope missing",IF(AND(G263="Progress with condition",COUNTIF(Conditions!$B$4:$B$553,A263)=0),"Progress with condition needs at least one Conditions row",IF(AND(C263&lt;&gt;"",COUNTIFS('Gate plan'!$A$4:$A$353,C263,'Gate plan'!$C$4:$C$353,D263)=0),"Plan gate differs from event gate",IF(AND(C263&lt;&gt;"",O263&lt;&gt;"",COUNTIFS('Gate plan'!$A$4:$A$353,C263,'Gate plan'!$K$4:$K$353,"&lt;&gt;")&gt;0,COUNTIFS('Gate plan'!$A$4:$A$353,C263,'Gate plan'!$K$4:$K$353,O263)=0),"Plan UC-ID differs from event UC-ID",IF(AND(E263="Assurance opinion",J263=""),"Assurance opinion ref missing",IF(AND(G263="Opinion only",E263&lt;&gt;"Assurance opinion",E263&lt;&gt;"Review only"),"Opinion only is for Assurance opinion or Review only events",IF(AND(G263="No decision",E263&lt;&gt;"Review only",E263&lt;&gt;"Priority override",E263&lt;&gt;"Intake / registration"),"No decision is for Review only, Priority override or Intake / registration events",IF(OR(ISNUMBER(SEARCH(" ",TRIM(O263))),ISNUMBER(SEARCH("/",O263))),"One UC-ID per event row: split this event",IF(AND(E263="Precautionary pause (containment)",ISNUMBER(W263),ISNUMBER(F263),W263&lt;F263),"Follow-up decision due date is before the pause",IF(AND(G263="Resume",IFERROR(LOOKUP(2,1/(($B$3:B262=B263)*($O$3:O262=O263)),$G$3:G262),"")&lt;&gt;"Paused — pending decision"),"Resume is only for the event straight after a Precautionary pause on the same AIR-ID and UC-ID (in an earlier row)",IF(AND(E263="Decision",OR(G263="Progress",G263="Progress with condition",G263="Re-authorise",G263="Resume"),X263&lt;&gt;"Yes"),"Decision-maker has not confirmed the screening was considered (column X)","Check against source")))))))))))))))))))))))))))))</f>
        <v/>
      </c>
      <c r="O263" s="37" t="n"/>
      <c r="P263" s="37" t="n"/>
      <c r="Q263" s="14">
        <f>IF(A263="","",IF(E263&lt;&gt;"Decision","",IF(P263="UC-ID specific",IF(O263="","UC-ID REQUIRED","Check source decision for each UC-ID"),IF(P263="Shared system baseline",IF(O263&lt;&gt;"","REMOVE UC-ID OR CORRECT SCOPE","Baseline only — NOT UC approval"),"Decision scope missing"))))</f>
        <v/>
      </c>
      <c r="R263" s="43" t="n"/>
      <c r="S263" s="40" t="n"/>
      <c r="T263" s="40" t="n"/>
      <c r="U263" s="40" t="n"/>
      <c r="V263" s="40" t="n"/>
      <c r="W263" s="41" t="n"/>
      <c r="X263" s="38" t="n"/>
    </row>
    <row r="264">
      <c r="A264" s="38" t="n"/>
      <c r="B264" s="38" t="n"/>
      <c r="C264" s="38" t="n"/>
      <c r="D264" s="38" t="n"/>
      <c r="E264" s="38" t="n"/>
      <c r="F264" s="39" t="n"/>
      <c r="G264" s="38" t="n"/>
      <c r="H264" s="38" t="n"/>
      <c r="I264" s="38" t="n"/>
      <c r="J264" s="38" t="n"/>
      <c r="K264" s="38" t="n"/>
      <c r="L264" s="38" t="n"/>
      <c r="M264" s="38" t="n"/>
      <c r="N264" s="22">
        <f>IF(COUNTA(A264:M264,O264:P264,R264:X264)=0,"",IF(OR(A264="",B264="",F264=""),"Event ID, AIR-ID or date missing",IF(COUNTIF($A$4:$A$553,A264)&gt;1,"Duplicate Event ID",IF(E264="","Event type missing",IF(OR(NOT(ISNUMBER(F264)),F264&gt;TODAY()),"Date is not a real date or is in the future",IF(AND(C264&lt;&gt;"",COUNTIF('Gate plan'!$A$4:$A$353,C264)=0),"Plan ID not found in Gate plan",IF(AND(C264&lt;&gt;"",COUNTIFS('Gate plan'!$A$4:$A$353,C264,'Gate plan'!$B$4:$B$353,B264)=0),"Plan AIR-ID differs from event",IF(D264="","Gate / forum missing",IF(AND(E264="Precautionary pause (containment)",G264&lt;&gt;"Paused — pending decision"),"Precautionary pause: Outcome must be Paused, pending decision",IF(AND(E264="Precautionary pause (containment)",V264=""),"Precautionary pause: AIG-OPS-03 incident ref missing",IF(AND(E264="Precautionary pause (containment)",NOT(ISNUMBER(W264))),"Precautionary pause: follow-up decision due date missing",IF(AND(G264="Paused — pending decision",E264&lt;&gt;"Precautionary pause (containment)"),"Paused, pending decision is only for a Precautionary pause event",IF(AND(E264="Decision",OR(G264="",H264="",I264="")),"Outcome / delegation / decision ref missing",IF(AND(E264="Decision",NOT(OR(G264="Progress",G264="Progress with condition",G264="Return for evidence",G264="Pause",G264="Stop",G264="Suspend",G264="Decommission",G264="Re-authorise",G264="Resume"))),"Decision event needs a decision outcome",IF(AND(E264="Priority override",OR(H264="",I264="")),"Decision-maker / AIG-DEC-03 ref missing",IF(AND(E264="Priority override",G264&lt;&gt;"",G264&lt;&gt;"No decision"),"Priority override: Outcome blank or No decision",IF(AND(E264&lt;&gt;"Decision",OR(G264="Progress",G264="Progress with condition",G264="Return for evidence",G264="Pause",G264="Stop",G264="Suspend",G264="Decommission",G264="Re-authorise",G264="Resume")),"Outcome implies decision",IF(OR(ISNUMBER(SEARCH(",",O264)),ISNUMBER(SEARCH(";",O264))),"One UC-ID per event row — split this event",IF(AND(E264="Decision",OR(Q264="UC-ID REQUIRED",Q264="Decision scope missing",Q264="REMOVE UC-ID OR CORRECT SCOPE")),"Decision scope missing",IF(AND(G264="Progress with condition",COUNTIF(Conditions!$B$4:$B$553,A264)=0),"Progress with condition needs at least one Conditions row",IF(AND(C264&lt;&gt;"",COUNTIFS('Gate plan'!$A$4:$A$353,C264,'Gate plan'!$C$4:$C$353,D264)=0),"Plan gate differs from event gate",IF(AND(C264&lt;&gt;"",O264&lt;&gt;"",COUNTIFS('Gate plan'!$A$4:$A$353,C264,'Gate plan'!$K$4:$K$353,"&lt;&gt;")&gt;0,COUNTIFS('Gate plan'!$A$4:$A$353,C264,'Gate plan'!$K$4:$K$353,O264)=0),"Plan UC-ID differs from event UC-ID",IF(AND(E264="Assurance opinion",J264=""),"Assurance opinion ref missing",IF(AND(G264="Opinion only",E264&lt;&gt;"Assurance opinion",E264&lt;&gt;"Review only"),"Opinion only is for Assurance opinion or Review only events",IF(AND(G264="No decision",E264&lt;&gt;"Review only",E264&lt;&gt;"Priority override",E264&lt;&gt;"Intake / registration"),"No decision is for Review only, Priority override or Intake / registration events",IF(OR(ISNUMBER(SEARCH(" ",TRIM(O264))),ISNUMBER(SEARCH("/",O264))),"One UC-ID per event row: split this event",IF(AND(E264="Precautionary pause (containment)",ISNUMBER(W264),ISNUMBER(F264),W264&lt;F264),"Follow-up decision due date is before the pause",IF(AND(G264="Resume",IFERROR(LOOKUP(2,1/(($B$3:B263=B264)*($O$3:O263=O264)),$G$3:G263),"")&lt;&gt;"Paused — pending decision"),"Resume is only for the event straight after a Precautionary pause on the same AIR-ID and UC-ID (in an earlier row)",IF(AND(E264="Decision",OR(G264="Progress",G264="Progress with condition",G264="Re-authorise",G264="Resume"),X264&lt;&gt;"Yes"),"Decision-maker has not confirmed the screening was considered (column X)","Check against source")))))))))))))))))))))))))))))</f>
        <v/>
      </c>
      <c r="O264" s="37" t="n"/>
      <c r="P264" s="37" t="n"/>
      <c r="Q264" s="14">
        <f>IF(A264="","",IF(E264&lt;&gt;"Decision","",IF(P264="UC-ID specific",IF(O264="","UC-ID REQUIRED","Check source decision for each UC-ID"),IF(P264="Shared system baseline",IF(O264&lt;&gt;"","REMOVE UC-ID OR CORRECT SCOPE","Baseline only — NOT UC approval"),"Decision scope missing"))))</f>
        <v/>
      </c>
      <c r="R264" s="42" t="n"/>
      <c r="S264" s="38" t="n"/>
      <c r="T264" s="38" t="n"/>
      <c r="U264" s="38" t="n"/>
      <c r="V264" s="38" t="n"/>
      <c r="W264" s="39" t="n"/>
      <c r="X264" s="38" t="n"/>
    </row>
    <row r="265">
      <c r="A265" s="40" t="n"/>
      <c r="B265" s="40" t="n"/>
      <c r="C265" s="40" t="n"/>
      <c r="D265" s="40" t="n"/>
      <c r="E265" s="40" t="n"/>
      <c r="F265" s="41" t="n"/>
      <c r="G265" s="40" t="n"/>
      <c r="H265" s="40" t="n"/>
      <c r="I265" s="40" t="n"/>
      <c r="J265" s="40" t="n"/>
      <c r="K265" s="40" t="n"/>
      <c r="L265" s="40" t="n"/>
      <c r="M265" s="40" t="n"/>
      <c r="N265" s="24">
        <f>IF(COUNTA(A265:M265,O265:P265,R265:X265)=0,"",IF(OR(A265="",B265="",F265=""),"Event ID, AIR-ID or date missing",IF(COUNTIF($A$4:$A$553,A265)&gt;1,"Duplicate Event ID",IF(E265="","Event type missing",IF(OR(NOT(ISNUMBER(F265)),F265&gt;TODAY()),"Date is not a real date or is in the future",IF(AND(C265&lt;&gt;"",COUNTIF('Gate plan'!$A$4:$A$353,C265)=0),"Plan ID not found in Gate plan",IF(AND(C265&lt;&gt;"",COUNTIFS('Gate plan'!$A$4:$A$353,C265,'Gate plan'!$B$4:$B$353,B265)=0),"Plan AIR-ID differs from event",IF(D265="","Gate / forum missing",IF(AND(E265="Precautionary pause (containment)",G265&lt;&gt;"Paused — pending decision"),"Precautionary pause: Outcome must be Paused, pending decision",IF(AND(E265="Precautionary pause (containment)",V265=""),"Precautionary pause: AIG-OPS-03 incident ref missing",IF(AND(E265="Precautionary pause (containment)",NOT(ISNUMBER(W265))),"Precautionary pause: follow-up decision due date missing",IF(AND(G265="Paused — pending decision",E265&lt;&gt;"Precautionary pause (containment)"),"Paused, pending decision is only for a Precautionary pause event",IF(AND(E265="Decision",OR(G265="",H265="",I265="")),"Outcome / delegation / decision ref missing",IF(AND(E265="Decision",NOT(OR(G265="Progress",G265="Progress with condition",G265="Return for evidence",G265="Pause",G265="Stop",G265="Suspend",G265="Decommission",G265="Re-authorise",G265="Resume"))),"Decision event needs a decision outcome",IF(AND(E265="Priority override",OR(H265="",I265="")),"Decision-maker / AIG-DEC-03 ref missing",IF(AND(E265="Priority override",G265&lt;&gt;"",G265&lt;&gt;"No decision"),"Priority override: Outcome blank or No decision",IF(AND(E265&lt;&gt;"Decision",OR(G265="Progress",G265="Progress with condition",G265="Return for evidence",G265="Pause",G265="Stop",G265="Suspend",G265="Decommission",G265="Re-authorise",G265="Resume")),"Outcome implies decision",IF(OR(ISNUMBER(SEARCH(",",O265)),ISNUMBER(SEARCH(";",O265))),"One UC-ID per event row — split this event",IF(AND(E265="Decision",OR(Q265="UC-ID REQUIRED",Q265="Decision scope missing",Q265="REMOVE UC-ID OR CORRECT SCOPE")),"Decision scope missing",IF(AND(G265="Progress with condition",COUNTIF(Conditions!$B$4:$B$553,A265)=0),"Progress with condition needs at least one Conditions row",IF(AND(C265&lt;&gt;"",COUNTIFS('Gate plan'!$A$4:$A$353,C265,'Gate plan'!$C$4:$C$353,D265)=0),"Plan gate differs from event gate",IF(AND(C265&lt;&gt;"",O265&lt;&gt;"",COUNTIFS('Gate plan'!$A$4:$A$353,C265,'Gate plan'!$K$4:$K$353,"&lt;&gt;")&gt;0,COUNTIFS('Gate plan'!$A$4:$A$353,C265,'Gate plan'!$K$4:$K$353,O265)=0),"Plan UC-ID differs from event UC-ID",IF(AND(E265="Assurance opinion",J265=""),"Assurance opinion ref missing",IF(AND(G265="Opinion only",E265&lt;&gt;"Assurance opinion",E265&lt;&gt;"Review only"),"Opinion only is for Assurance opinion or Review only events",IF(AND(G265="No decision",E265&lt;&gt;"Review only",E265&lt;&gt;"Priority override",E265&lt;&gt;"Intake / registration"),"No decision is for Review only, Priority override or Intake / registration events",IF(OR(ISNUMBER(SEARCH(" ",TRIM(O265))),ISNUMBER(SEARCH("/",O265))),"One UC-ID per event row: split this event",IF(AND(E265="Precautionary pause (containment)",ISNUMBER(W265),ISNUMBER(F265),W265&lt;F265),"Follow-up decision due date is before the pause",IF(AND(G265="Resume",IFERROR(LOOKUP(2,1/(($B$3:B264=B265)*($O$3:O264=O265)),$G$3:G264),"")&lt;&gt;"Paused — pending decision"),"Resume is only for the event straight after a Precautionary pause on the same AIR-ID and UC-ID (in an earlier row)",IF(AND(E265="Decision",OR(G265="Progress",G265="Progress with condition",G265="Re-authorise",G265="Resume"),X265&lt;&gt;"Yes"),"Decision-maker has not confirmed the screening was considered (column X)","Check against source")))))))))))))))))))))))))))))</f>
        <v/>
      </c>
      <c r="O265" s="37" t="n"/>
      <c r="P265" s="37" t="n"/>
      <c r="Q265" s="14">
        <f>IF(A265="","",IF(E265&lt;&gt;"Decision","",IF(P265="UC-ID specific",IF(O265="","UC-ID REQUIRED","Check source decision for each UC-ID"),IF(P265="Shared system baseline",IF(O265&lt;&gt;"","REMOVE UC-ID OR CORRECT SCOPE","Baseline only — NOT UC approval"),"Decision scope missing"))))</f>
        <v/>
      </c>
      <c r="R265" s="43" t="n"/>
      <c r="S265" s="40" t="n"/>
      <c r="T265" s="40" t="n"/>
      <c r="U265" s="40" t="n"/>
      <c r="V265" s="40" t="n"/>
      <c r="W265" s="41" t="n"/>
      <c r="X265" s="38" t="n"/>
    </row>
    <row r="266">
      <c r="A266" s="38" t="n"/>
      <c r="B266" s="38" t="n"/>
      <c r="C266" s="38" t="n"/>
      <c r="D266" s="38" t="n"/>
      <c r="E266" s="38" t="n"/>
      <c r="F266" s="39" t="n"/>
      <c r="G266" s="38" t="n"/>
      <c r="H266" s="38" t="n"/>
      <c r="I266" s="38" t="n"/>
      <c r="J266" s="38" t="n"/>
      <c r="K266" s="38" t="n"/>
      <c r="L266" s="38" t="n"/>
      <c r="M266" s="38" t="n"/>
      <c r="N266" s="22">
        <f>IF(COUNTA(A266:M266,O266:P266,R266:X266)=0,"",IF(OR(A266="",B266="",F266=""),"Event ID, AIR-ID or date missing",IF(COUNTIF($A$4:$A$553,A266)&gt;1,"Duplicate Event ID",IF(E266="","Event type missing",IF(OR(NOT(ISNUMBER(F266)),F266&gt;TODAY()),"Date is not a real date or is in the future",IF(AND(C266&lt;&gt;"",COUNTIF('Gate plan'!$A$4:$A$353,C266)=0),"Plan ID not found in Gate plan",IF(AND(C266&lt;&gt;"",COUNTIFS('Gate plan'!$A$4:$A$353,C266,'Gate plan'!$B$4:$B$353,B266)=0),"Plan AIR-ID differs from event",IF(D266="","Gate / forum missing",IF(AND(E266="Precautionary pause (containment)",G266&lt;&gt;"Paused — pending decision"),"Precautionary pause: Outcome must be Paused, pending decision",IF(AND(E266="Precautionary pause (containment)",V266=""),"Precautionary pause: AIG-OPS-03 incident ref missing",IF(AND(E266="Precautionary pause (containment)",NOT(ISNUMBER(W266))),"Precautionary pause: follow-up decision due date missing",IF(AND(G266="Paused — pending decision",E266&lt;&gt;"Precautionary pause (containment)"),"Paused, pending decision is only for a Precautionary pause event",IF(AND(E266="Decision",OR(G266="",H266="",I266="")),"Outcome / delegation / decision ref missing",IF(AND(E266="Decision",NOT(OR(G266="Progress",G266="Progress with condition",G266="Return for evidence",G266="Pause",G266="Stop",G266="Suspend",G266="Decommission",G266="Re-authorise",G266="Resume"))),"Decision event needs a decision outcome",IF(AND(E266="Priority override",OR(H266="",I266="")),"Decision-maker / AIG-DEC-03 ref missing",IF(AND(E266="Priority override",G266&lt;&gt;"",G266&lt;&gt;"No decision"),"Priority override: Outcome blank or No decision",IF(AND(E266&lt;&gt;"Decision",OR(G266="Progress",G266="Progress with condition",G266="Return for evidence",G266="Pause",G266="Stop",G266="Suspend",G266="Decommission",G266="Re-authorise",G266="Resume")),"Outcome implies decision",IF(OR(ISNUMBER(SEARCH(",",O266)),ISNUMBER(SEARCH(";",O266))),"One UC-ID per event row — split this event",IF(AND(E266="Decision",OR(Q266="UC-ID REQUIRED",Q266="Decision scope missing",Q266="REMOVE UC-ID OR CORRECT SCOPE")),"Decision scope missing",IF(AND(G266="Progress with condition",COUNTIF(Conditions!$B$4:$B$553,A266)=0),"Progress with condition needs at least one Conditions row",IF(AND(C266&lt;&gt;"",COUNTIFS('Gate plan'!$A$4:$A$353,C266,'Gate plan'!$C$4:$C$353,D266)=0),"Plan gate differs from event gate",IF(AND(C266&lt;&gt;"",O266&lt;&gt;"",COUNTIFS('Gate plan'!$A$4:$A$353,C266,'Gate plan'!$K$4:$K$353,"&lt;&gt;")&gt;0,COUNTIFS('Gate plan'!$A$4:$A$353,C266,'Gate plan'!$K$4:$K$353,O266)=0),"Plan UC-ID differs from event UC-ID",IF(AND(E266="Assurance opinion",J266=""),"Assurance opinion ref missing",IF(AND(G266="Opinion only",E266&lt;&gt;"Assurance opinion",E266&lt;&gt;"Review only"),"Opinion only is for Assurance opinion or Review only events",IF(AND(G266="No decision",E266&lt;&gt;"Review only",E266&lt;&gt;"Priority override",E266&lt;&gt;"Intake / registration"),"No decision is for Review only, Priority override or Intake / registration events",IF(OR(ISNUMBER(SEARCH(" ",TRIM(O266))),ISNUMBER(SEARCH("/",O266))),"One UC-ID per event row: split this event",IF(AND(E266="Precautionary pause (containment)",ISNUMBER(W266),ISNUMBER(F266),W266&lt;F266),"Follow-up decision due date is before the pause",IF(AND(G266="Resume",IFERROR(LOOKUP(2,1/(($B$3:B265=B266)*($O$3:O265=O266)),$G$3:G265),"")&lt;&gt;"Paused — pending decision"),"Resume is only for the event straight after a Precautionary pause on the same AIR-ID and UC-ID (in an earlier row)",IF(AND(E266="Decision",OR(G266="Progress",G266="Progress with condition",G266="Re-authorise",G266="Resume"),X266&lt;&gt;"Yes"),"Decision-maker has not confirmed the screening was considered (column X)","Check against source")))))))))))))))))))))))))))))</f>
        <v/>
      </c>
      <c r="O266" s="37" t="n"/>
      <c r="P266" s="37" t="n"/>
      <c r="Q266" s="14">
        <f>IF(A266="","",IF(E266&lt;&gt;"Decision","",IF(P266="UC-ID specific",IF(O266="","UC-ID REQUIRED","Check source decision for each UC-ID"),IF(P266="Shared system baseline",IF(O266&lt;&gt;"","REMOVE UC-ID OR CORRECT SCOPE","Baseline only — NOT UC approval"),"Decision scope missing"))))</f>
        <v/>
      </c>
      <c r="R266" s="42" t="n"/>
      <c r="S266" s="38" t="n"/>
      <c r="T266" s="38" t="n"/>
      <c r="U266" s="38" t="n"/>
      <c r="V266" s="38" t="n"/>
      <c r="W266" s="39" t="n"/>
      <c r="X266" s="38" t="n"/>
    </row>
    <row r="267">
      <c r="A267" s="40" t="n"/>
      <c r="B267" s="40" t="n"/>
      <c r="C267" s="40" t="n"/>
      <c r="D267" s="40" t="n"/>
      <c r="E267" s="40" t="n"/>
      <c r="F267" s="41" t="n"/>
      <c r="G267" s="40" t="n"/>
      <c r="H267" s="40" t="n"/>
      <c r="I267" s="40" t="n"/>
      <c r="J267" s="40" t="n"/>
      <c r="K267" s="40" t="n"/>
      <c r="L267" s="40" t="n"/>
      <c r="M267" s="40" t="n"/>
      <c r="N267" s="24">
        <f>IF(COUNTA(A267:M267,O267:P267,R267:X267)=0,"",IF(OR(A267="",B267="",F267=""),"Event ID, AIR-ID or date missing",IF(COUNTIF($A$4:$A$553,A267)&gt;1,"Duplicate Event ID",IF(E267="","Event type missing",IF(OR(NOT(ISNUMBER(F267)),F267&gt;TODAY()),"Date is not a real date or is in the future",IF(AND(C267&lt;&gt;"",COUNTIF('Gate plan'!$A$4:$A$353,C267)=0),"Plan ID not found in Gate plan",IF(AND(C267&lt;&gt;"",COUNTIFS('Gate plan'!$A$4:$A$353,C267,'Gate plan'!$B$4:$B$353,B267)=0),"Plan AIR-ID differs from event",IF(D267="","Gate / forum missing",IF(AND(E267="Precautionary pause (containment)",G267&lt;&gt;"Paused — pending decision"),"Precautionary pause: Outcome must be Paused, pending decision",IF(AND(E267="Precautionary pause (containment)",V267=""),"Precautionary pause: AIG-OPS-03 incident ref missing",IF(AND(E267="Precautionary pause (containment)",NOT(ISNUMBER(W267))),"Precautionary pause: follow-up decision due date missing",IF(AND(G267="Paused — pending decision",E267&lt;&gt;"Precautionary pause (containment)"),"Paused, pending decision is only for a Precautionary pause event",IF(AND(E267="Decision",OR(G267="",H267="",I267="")),"Outcome / delegation / decision ref missing",IF(AND(E267="Decision",NOT(OR(G267="Progress",G267="Progress with condition",G267="Return for evidence",G267="Pause",G267="Stop",G267="Suspend",G267="Decommission",G267="Re-authorise",G267="Resume"))),"Decision event needs a decision outcome",IF(AND(E267="Priority override",OR(H267="",I267="")),"Decision-maker / AIG-DEC-03 ref missing",IF(AND(E267="Priority override",G267&lt;&gt;"",G267&lt;&gt;"No decision"),"Priority override: Outcome blank or No decision",IF(AND(E267&lt;&gt;"Decision",OR(G267="Progress",G267="Progress with condition",G267="Return for evidence",G267="Pause",G267="Stop",G267="Suspend",G267="Decommission",G267="Re-authorise",G267="Resume")),"Outcome implies decision",IF(OR(ISNUMBER(SEARCH(",",O267)),ISNUMBER(SEARCH(";",O267))),"One UC-ID per event row — split this event",IF(AND(E267="Decision",OR(Q267="UC-ID REQUIRED",Q267="Decision scope missing",Q267="REMOVE UC-ID OR CORRECT SCOPE")),"Decision scope missing",IF(AND(G267="Progress with condition",COUNTIF(Conditions!$B$4:$B$553,A267)=0),"Progress with condition needs at least one Conditions row",IF(AND(C267&lt;&gt;"",COUNTIFS('Gate plan'!$A$4:$A$353,C267,'Gate plan'!$C$4:$C$353,D267)=0),"Plan gate differs from event gate",IF(AND(C267&lt;&gt;"",O267&lt;&gt;"",COUNTIFS('Gate plan'!$A$4:$A$353,C267,'Gate plan'!$K$4:$K$353,"&lt;&gt;")&gt;0,COUNTIFS('Gate plan'!$A$4:$A$353,C267,'Gate plan'!$K$4:$K$353,O267)=0),"Plan UC-ID differs from event UC-ID",IF(AND(E267="Assurance opinion",J267=""),"Assurance opinion ref missing",IF(AND(G267="Opinion only",E267&lt;&gt;"Assurance opinion",E267&lt;&gt;"Review only"),"Opinion only is for Assurance opinion or Review only events",IF(AND(G267="No decision",E267&lt;&gt;"Review only",E267&lt;&gt;"Priority override",E267&lt;&gt;"Intake / registration"),"No decision is for Review only, Priority override or Intake / registration events",IF(OR(ISNUMBER(SEARCH(" ",TRIM(O267))),ISNUMBER(SEARCH("/",O267))),"One UC-ID per event row: split this event",IF(AND(E267="Precautionary pause (containment)",ISNUMBER(W267),ISNUMBER(F267),W267&lt;F267),"Follow-up decision due date is before the pause",IF(AND(G267="Resume",IFERROR(LOOKUP(2,1/(($B$3:B266=B267)*($O$3:O266=O267)),$G$3:G266),"")&lt;&gt;"Paused — pending decision"),"Resume is only for the event straight after a Precautionary pause on the same AIR-ID and UC-ID (in an earlier row)",IF(AND(E267="Decision",OR(G267="Progress",G267="Progress with condition",G267="Re-authorise",G267="Resume"),X267&lt;&gt;"Yes"),"Decision-maker has not confirmed the screening was considered (column X)","Check against source")))))))))))))))))))))))))))))</f>
        <v/>
      </c>
      <c r="O267" s="37" t="n"/>
      <c r="P267" s="37" t="n"/>
      <c r="Q267" s="14">
        <f>IF(A267="","",IF(E267&lt;&gt;"Decision","",IF(P267="UC-ID specific",IF(O267="","UC-ID REQUIRED","Check source decision for each UC-ID"),IF(P267="Shared system baseline",IF(O267&lt;&gt;"","REMOVE UC-ID OR CORRECT SCOPE","Baseline only — NOT UC approval"),"Decision scope missing"))))</f>
        <v/>
      </c>
      <c r="R267" s="43" t="n"/>
      <c r="S267" s="40" t="n"/>
      <c r="T267" s="40" t="n"/>
      <c r="U267" s="40" t="n"/>
      <c r="V267" s="40" t="n"/>
      <c r="W267" s="41" t="n"/>
      <c r="X267" s="38" t="n"/>
    </row>
    <row r="268">
      <c r="A268" s="38" t="n"/>
      <c r="B268" s="38" t="n"/>
      <c r="C268" s="38" t="n"/>
      <c r="D268" s="38" t="n"/>
      <c r="E268" s="38" t="n"/>
      <c r="F268" s="39" t="n"/>
      <c r="G268" s="38" t="n"/>
      <c r="H268" s="38" t="n"/>
      <c r="I268" s="38" t="n"/>
      <c r="J268" s="38" t="n"/>
      <c r="K268" s="38" t="n"/>
      <c r="L268" s="38" t="n"/>
      <c r="M268" s="38" t="n"/>
      <c r="N268" s="22">
        <f>IF(COUNTA(A268:M268,O268:P268,R268:X268)=0,"",IF(OR(A268="",B268="",F268=""),"Event ID, AIR-ID or date missing",IF(COUNTIF($A$4:$A$553,A268)&gt;1,"Duplicate Event ID",IF(E268="","Event type missing",IF(OR(NOT(ISNUMBER(F268)),F268&gt;TODAY()),"Date is not a real date or is in the future",IF(AND(C268&lt;&gt;"",COUNTIF('Gate plan'!$A$4:$A$353,C268)=0),"Plan ID not found in Gate plan",IF(AND(C268&lt;&gt;"",COUNTIFS('Gate plan'!$A$4:$A$353,C268,'Gate plan'!$B$4:$B$353,B268)=0),"Plan AIR-ID differs from event",IF(D268="","Gate / forum missing",IF(AND(E268="Precautionary pause (containment)",G268&lt;&gt;"Paused — pending decision"),"Precautionary pause: Outcome must be Paused, pending decision",IF(AND(E268="Precautionary pause (containment)",V268=""),"Precautionary pause: AIG-OPS-03 incident ref missing",IF(AND(E268="Precautionary pause (containment)",NOT(ISNUMBER(W268))),"Precautionary pause: follow-up decision due date missing",IF(AND(G268="Paused — pending decision",E268&lt;&gt;"Precautionary pause (containment)"),"Paused, pending decision is only for a Precautionary pause event",IF(AND(E268="Decision",OR(G268="",H268="",I268="")),"Outcome / delegation / decision ref missing",IF(AND(E268="Decision",NOT(OR(G268="Progress",G268="Progress with condition",G268="Return for evidence",G268="Pause",G268="Stop",G268="Suspend",G268="Decommission",G268="Re-authorise",G268="Resume"))),"Decision event needs a decision outcome",IF(AND(E268="Priority override",OR(H268="",I268="")),"Decision-maker / AIG-DEC-03 ref missing",IF(AND(E268="Priority override",G268&lt;&gt;"",G268&lt;&gt;"No decision"),"Priority override: Outcome blank or No decision",IF(AND(E268&lt;&gt;"Decision",OR(G268="Progress",G268="Progress with condition",G268="Return for evidence",G268="Pause",G268="Stop",G268="Suspend",G268="Decommission",G268="Re-authorise",G268="Resume")),"Outcome implies decision",IF(OR(ISNUMBER(SEARCH(",",O268)),ISNUMBER(SEARCH(";",O268))),"One UC-ID per event row — split this event",IF(AND(E268="Decision",OR(Q268="UC-ID REQUIRED",Q268="Decision scope missing",Q268="REMOVE UC-ID OR CORRECT SCOPE")),"Decision scope missing",IF(AND(G268="Progress with condition",COUNTIF(Conditions!$B$4:$B$553,A268)=0),"Progress with condition needs at least one Conditions row",IF(AND(C268&lt;&gt;"",COUNTIFS('Gate plan'!$A$4:$A$353,C268,'Gate plan'!$C$4:$C$353,D268)=0),"Plan gate differs from event gate",IF(AND(C268&lt;&gt;"",O268&lt;&gt;"",COUNTIFS('Gate plan'!$A$4:$A$353,C268,'Gate plan'!$K$4:$K$353,"&lt;&gt;")&gt;0,COUNTIFS('Gate plan'!$A$4:$A$353,C268,'Gate plan'!$K$4:$K$353,O268)=0),"Plan UC-ID differs from event UC-ID",IF(AND(E268="Assurance opinion",J268=""),"Assurance opinion ref missing",IF(AND(G268="Opinion only",E268&lt;&gt;"Assurance opinion",E268&lt;&gt;"Review only"),"Opinion only is for Assurance opinion or Review only events",IF(AND(G268="No decision",E268&lt;&gt;"Review only",E268&lt;&gt;"Priority override",E268&lt;&gt;"Intake / registration"),"No decision is for Review only, Priority override or Intake / registration events",IF(OR(ISNUMBER(SEARCH(" ",TRIM(O268))),ISNUMBER(SEARCH("/",O268))),"One UC-ID per event row: split this event",IF(AND(E268="Precautionary pause (containment)",ISNUMBER(W268),ISNUMBER(F268),W268&lt;F268),"Follow-up decision due date is before the pause",IF(AND(G268="Resume",IFERROR(LOOKUP(2,1/(($B$3:B267=B268)*($O$3:O267=O268)),$G$3:G267),"")&lt;&gt;"Paused — pending decision"),"Resume is only for the event straight after a Precautionary pause on the same AIR-ID and UC-ID (in an earlier row)",IF(AND(E268="Decision",OR(G268="Progress",G268="Progress with condition",G268="Re-authorise",G268="Resume"),X268&lt;&gt;"Yes"),"Decision-maker has not confirmed the screening was considered (column X)","Check against source")))))))))))))))))))))))))))))</f>
        <v/>
      </c>
      <c r="O268" s="37" t="n"/>
      <c r="P268" s="37" t="n"/>
      <c r="Q268" s="14">
        <f>IF(A268="","",IF(E268&lt;&gt;"Decision","",IF(P268="UC-ID specific",IF(O268="","UC-ID REQUIRED","Check source decision for each UC-ID"),IF(P268="Shared system baseline",IF(O268&lt;&gt;"","REMOVE UC-ID OR CORRECT SCOPE","Baseline only — NOT UC approval"),"Decision scope missing"))))</f>
        <v/>
      </c>
      <c r="R268" s="42" t="n"/>
      <c r="S268" s="38" t="n"/>
      <c r="T268" s="38" t="n"/>
      <c r="U268" s="38" t="n"/>
      <c r="V268" s="38" t="n"/>
      <c r="W268" s="39" t="n"/>
      <c r="X268" s="38" t="n"/>
    </row>
    <row r="269">
      <c r="A269" s="40" t="n"/>
      <c r="B269" s="40" t="n"/>
      <c r="C269" s="40" t="n"/>
      <c r="D269" s="40" t="n"/>
      <c r="E269" s="40" t="n"/>
      <c r="F269" s="41" t="n"/>
      <c r="G269" s="40" t="n"/>
      <c r="H269" s="40" t="n"/>
      <c r="I269" s="40" t="n"/>
      <c r="J269" s="40" t="n"/>
      <c r="K269" s="40" t="n"/>
      <c r="L269" s="40" t="n"/>
      <c r="M269" s="40" t="n"/>
      <c r="N269" s="24">
        <f>IF(COUNTA(A269:M269,O269:P269,R269:X269)=0,"",IF(OR(A269="",B269="",F269=""),"Event ID, AIR-ID or date missing",IF(COUNTIF($A$4:$A$553,A269)&gt;1,"Duplicate Event ID",IF(E269="","Event type missing",IF(OR(NOT(ISNUMBER(F269)),F269&gt;TODAY()),"Date is not a real date or is in the future",IF(AND(C269&lt;&gt;"",COUNTIF('Gate plan'!$A$4:$A$353,C269)=0),"Plan ID not found in Gate plan",IF(AND(C269&lt;&gt;"",COUNTIFS('Gate plan'!$A$4:$A$353,C269,'Gate plan'!$B$4:$B$353,B269)=0),"Plan AIR-ID differs from event",IF(D269="","Gate / forum missing",IF(AND(E269="Precautionary pause (containment)",G269&lt;&gt;"Paused — pending decision"),"Precautionary pause: Outcome must be Paused, pending decision",IF(AND(E269="Precautionary pause (containment)",V269=""),"Precautionary pause: AIG-OPS-03 incident ref missing",IF(AND(E269="Precautionary pause (containment)",NOT(ISNUMBER(W269))),"Precautionary pause: follow-up decision due date missing",IF(AND(G269="Paused — pending decision",E269&lt;&gt;"Precautionary pause (containment)"),"Paused, pending decision is only for a Precautionary pause event",IF(AND(E269="Decision",OR(G269="",H269="",I269="")),"Outcome / delegation / decision ref missing",IF(AND(E269="Decision",NOT(OR(G269="Progress",G269="Progress with condition",G269="Return for evidence",G269="Pause",G269="Stop",G269="Suspend",G269="Decommission",G269="Re-authorise",G269="Resume"))),"Decision event needs a decision outcome",IF(AND(E269="Priority override",OR(H269="",I269="")),"Decision-maker / AIG-DEC-03 ref missing",IF(AND(E269="Priority override",G269&lt;&gt;"",G269&lt;&gt;"No decision"),"Priority override: Outcome blank or No decision",IF(AND(E269&lt;&gt;"Decision",OR(G269="Progress",G269="Progress with condition",G269="Return for evidence",G269="Pause",G269="Stop",G269="Suspend",G269="Decommission",G269="Re-authorise",G269="Resume")),"Outcome implies decision",IF(OR(ISNUMBER(SEARCH(",",O269)),ISNUMBER(SEARCH(";",O269))),"One UC-ID per event row — split this event",IF(AND(E269="Decision",OR(Q269="UC-ID REQUIRED",Q269="Decision scope missing",Q269="REMOVE UC-ID OR CORRECT SCOPE")),"Decision scope missing",IF(AND(G269="Progress with condition",COUNTIF(Conditions!$B$4:$B$553,A269)=0),"Progress with condition needs at least one Conditions row",IF(AND(C269&lt;&gt;"",COUNTIFS('Gate plan'!$A$4:$A$353,C269,'Gate plan'!$C$4:$C$353,D269)=0),"Plan gate differs from event gate",IF(AND(C269&lt;&gt;"",O269&lt;&gt;"",COUNTIFS('Gate plan'!$A$4:$A$353,C269,'Gate plan'!$K$4:$K$353,"&lt;&gt;")&gt;0,COUNTIFS('Gate plan'!$A$4:$A$353,C269,'Gate plan'!$K$4:$K$353,O269)=0),"Plan UC-ID differs from event UC-ID",IF(AND(E269="Assurance opinion",J269=""),"Assurance opinion ref missing",IF(AND(G269="Opinion only",E269&lt;&gt;"Assurance opinion",E269&lt;&gt;"Review only"),"Opinion only is for Assurance opinion or Review only events",IF(AND(G269="No decision",E269&lt;&gt;"Review only",E269&lt;&gt;"Priority override",E269&lt;&gt;"Intake / registration"),"No decision is for Review only, Priority override or Intake / registration events",IF(OR(ISNUMBER(SEARCH(" ",TRIM(O269))),ISNUMBER(SEARCH("/",O269))),"One UC-ID per event row: split this event",IF(AND(E269="Precautionary pause (containment)",ISNUMBER(W269),ISNUMBER(F269),W269&lt;F269),"Follow-up decision due date is before the pause",IF(AND(G269="Resume",IFERROR(LOOKUP(2,1/(($B$3:B268=B269)*($O$3:O268=O269)),$G$3:G268),"")&lt;&gt;"Paused — pending decision"),"Resume is only for the event straight after a Precautionary pause on the same AIR-ID and UC-ID (in an earlier row)",IF(AND(E269="Decision",OR(G269="Progress",G269="Progress with condition",G269="Re-authorise",G269="Resume"),X269&lt;&gt;"Yes"),"Decision-maker has not confirmed the screening was considered (column X)","Check against source")))))))))))))))))))))))))))))</f>
        <v/>
      </c>
      <c r="O269" s="37" t="n"/>
      <c r="P269" s="37" t="n"/>
      <c r="Q269" s="14">
        <f>IF(A269="","",IF(E269&lt;&gt;"Decision","",IF(P269="UC-ID specific",IF(O269="","UC-ID REQUIRED","Check source decision for each UC-ID"),IF(P269="Shared system baseline",IF(O269&lt;&gt;"","REMOVE UC-ID OR CORRECT SCOPE","Baseline only — NOT UC approval"),"Decision scope missing"))))</f>
        <v/>
      </c>
      <c r="R269" s="43" t="n"/>
      <c r="S269" s="40" t="n"/>
      <c r="T269" s="40" t="n"/>
      <c r="U269" s="40" t="n"/>
      <c r="V269" s="40" t="n"/>
      <c r="W269" s="41" t="n"/>
      <c r="X269" s="38" t="n"/>
    </row>
    <row r="270">
      <c r="A270" s="38" t="n"/>
      <c r="B270" s="38" t="n"/>
      <c r="C270" s="38" t="n"/>
      <c r="D270" s="38" t="n"/>
      <c r="E270" s="38" t="n"/>
      <c r="F270" s="39" t="n"/>
      <c r="G270" s="38" t="n"/>
      <c r="H270" s="38" t="n"/>
      <c r="I270" s="38" t="n"/>
      <c r="J270" s="38" t="n"/>
      <c r="K270" s="38" t="n"/>
      <c r="L270" s="38" t="n"/>
      <c r="M270" s="38" t="n"/>
      <c r="N270" s="22">
        <f>IF(COUNTA(A270:M270,O270:P270,R270:X270)=0,"",IF(OR(A270="",B270="",F270=""),"Event ID, AIR-ID or date missing",IF(COUNTIF($A$4:$A$553,A270)&gt;1,"Duplicate Event ID",IF(E270="","Event type missing",IF(OR(NOT(ISNUMBER(F270)),F270&gt;TODAY()),"Date is not a real date or is in the future",IF(AND(C270&lt;&gt;"",COUNTIF('Gate plan'!$A$4:$A$353,C270)=0),"Plan ID not found in Gate plan",IF(AND(C270&lt;&gt;"",COUNTIFS('Gate plan'!$A$4:$A$353,C270,'Gate plan'!$B$4:$B$353,B270)=0),"Plan AIR-ID differs from event",IF(D270="","Gate / forum missing",IF(AND(E270="Precautionary pause (containment)",G270&lt;&gt;"Paused — pending decision"),"Precautionary pause: Outcome must be Paused, pending decision",IF(AND(E270="Precautionary pause (containment)",V270=""),"Precautionary pause: AIG-OPS-03 incident ref missing",IF(AND(E270="Precautionary pause (containment)",NOT(ISNUMBER(W270))),"Precautionary pause: follow-up decision due date missing",IF(AND(G270="Paused — pending decision",E270&lt;&gt;"Precautionary pause (containment)"),"Paused, pending decision is only for a Precautionary pause event",IF(AND(E270="Decision",OR(G270="",H270="",I270="")),"Outcome / delegation / decision ref missing",IF(AND(E270="Decision",NOT(OR(G270="Progress",G270="Progress with condition",G270="Return for evidence",G270="Pause",G270="Stop",G270="Suspend",G270="Decommission",G270="Re-authorise",G270="Resume"))),"Decision event needs a decision outcome",IF(AND(E270="Priority override",OR(H270="",I270="")),"Decision-maker / AIG-DEC-03 ref missing",IF(AND(E270="Priority override",G270&lt;&gt;"",G270&lt;&gt;"No decision"),"Priority override: Outcome blank or No decision",IF(AND(E270&lt;&gt;"Decision",OR(G270="Progress",G270="Progress with condition",G270="Return for evidence",G270="Pause",G270="Stop",G270="Suspend",G270="Decommission",G270="Re-authorise",G270="Resume")),"Outcome implies decision",IF(OR(ISNUMBER(SEARCH(",",O270)),ISNUMBER(SEARCH(";",O270))),"One UC-ID per event row — split this event",IF(AND(E270="Decision",OR(Q270="UC-ID REQUIRED",Q270="Decision scope missing",Q270="REMOVE UC-ID OR CORRECT SCOPE")),"Decision scope missing",IF(AND(G270="Progress with condition",COUNTIF(Conditions!$B$4:$B$553,A270)=0),"Progress with condition needs at least one Conditions row",IF(AND(C270&lt;&gt;"",COUNTIFS('Gate plan'!$A$4:$A$353,C270,'Gate plan'!$C$4:$C$353,D270)=0),"Plan gate differs from event gate",IF(AND(C270&lt;&gt;"",O270&lt;&gt;"",COUNTIFS('Gate plan'!$A$4:$A$353,C270,'Gate plan'!$K$4:$K$353,"&lt;&gt;")&gt;0,COUNTIFS('Gate plan'!$A$4:$A$353,C270,'Gate plan'!$K$4:$K$353,O270)=0),"Plan UC-ID differs from event UC-ID",IF(AND(E270="Assurance opinion",J270=""),"Assurance opinion ref missing",IF(AND(G270="Opinion only",E270&lt;&gt;"Assurance opinion",E270&lt;&gt;"Review only"),"Opinion only is for Assurance opinion or Review only events",IF(AND(G270="No decision",E270&lt;&gt;"Review only",E270&lt;&gt;"Priority override",E270&lt;&gt;"Intake / registration"),"No decision is for Review only, Priority override or Intake / registration events",IF(OR(ISNUMBER(SEARCH(" ",TRIM(O270))),ISNUMBER(SEARCH("/",O270))),"One UC-ID per event row: split this event",IF(AND(E270="Precautionary pause (containment)",ISNUMBER(W270),ISNUMBER(F270),W270&lt;F270),"Follow-up decision due date is before the pause",IF(AND(G270="Resume",IFERROR(LOOKUP(2,1/(($B$3:B269=B270)*($O$3:O269=O270)),$G$3:G269),"")&lt;&gt;"Paused — pending decision"),"Resume is only for the event straight after a Precautionary pause on the same AIR-ID and UC-ID (in an earlier row)",IF(AND(E270="Decision",OR(G270="Progress",G270="Progress with condition",G270="Re-authorise",G270="Resume"),X270&lt;&gt;"Yes"),"Decision-maker has not confirmed the screening was considered (column X)","Check against source")))))))))))))))))))))))))))))</f>
        <v/>
      </c>
      <c r="O270" s="37" t="n"/>
      <c r="P270" s="37" t="n"/>
      <c r="Q270" s="14">
        <f>IF(A270="","",IF(E270&lt;&gt;"Decision","",IF(P270="UC-ID specific",IF(O270="","UC-ID REQUIRED","Check source decision for each UC-ID"),IF(P270="Shared system baseline",IF(O270&lt;&gt;"","REMOVE UC-ID OR CORRECT SCOPE","Baseline only — NOT UC approval"),"Decision scope missing"))))</f>
        <v/>
      </c>
      <c r="R270" s="42" t="n"/>
      <c r="S270" s="38" t="n"/>
      <c r="T270" s="38" t="n"/>
      <c r="U270" s="38" t="n"/>
      <c r="V270" s="38" t="n"/>
      <c r="W270" s="39" t="n"/>
      <c r="X270" s="38" t="n"/>
    </row>
    <row r="271">
      <c r="A271" s="40" t="n"/>
      <c r="B271" s="40" t="n"/>
      <c r="C271" s="40" t="n"/>
      <c r="D271" s="40" t="n"/>
      <c r="E271" s="40" t="n"/>
      <c r="F271" s="41" t="n"/>
      <c r="G271" s="40" t="n"/>
      <c r="H271" s="40" t="n"/>
      <c r="I271" s="40" t="n"/>
      <c r="J271" s="40" t="n"/>
      <c r="K271" s="40" t="n"/>
      <c r="L271" s="40" t="n"/>
      <c r="M271" s="40" t="n"/>
      <c r="N271" s="24">
        <f>IF(COUNTA(A271:M271,O271:P271,R271:X271)=0,"",IF(OR(A271="",B271="",F271=""),"Event ID, AIR-ID or date missing",IF(COUNTIF($A$4:$A$553,A271)&gt;1,"Duplicate Event ID",IF(E271="","Event type missing",IF(OR(NOT(ISNUMBER(F271)),F271&gt;TODAY()),"Date is not a real date or is in the future",IF(AND(C271&lt;&gt;"",COUNTIF('Gate plan'!$A$4:$A$353,C271)=0),"Plan ID not found in Gate plan",IF(AND(C271&lt;&gt;"",COUNTIFS('Gate plan'!$A$4:$A$353,C271,'Gate plan'!$B$4:$B$353,B271)=0),"Plan AIR-ID differs from event",IF(D271="","Gate / forum missing",IF(AND(E271="Precautionary pause (containment)",G271&lt;&gt;"Paused — pending decision"),"Precautionary pause: Outcome must be Paused, pending decision",IF(AND(E271="Precautionary pause (containment)",V271=""),"Precautionary pause: AIG-OPS-03 incident ref missing",IF(AND(E271="Precautionary pause (containment)",NOT(ISNUMBER(W271))),"Precautionary pause: follow-up decision due date missing",IF(AND(G271="Paused — pending decision",E271&lt;&gt;"Precautionary pause (containment)"),"Paused, pending decision is only for a Precautionary pause event",IF(AND(E271="Decision",OR(G271="",H271="",I271="")),"Outcome / delegation / decision ref missing",IF(AND(E271="Decision",NOT(OR(G271="Progress",G271="Progress with condition",G271="Return for evidence",G271="Pause",G271="Stop",G271="Suspend",G271="Decommission",G271="Re-authorise",G271="Resume"))),"Decision event needs a decision outcome",IF(AND(E271="Priority override",OR(H271="",I271="")),"Decision-maker / AIG-DEC-03 ref missing",IF(AND(E271="Priority override",G271&lt;&gt;"",G271&lt;&gt;"No decision"),"Priority override: Outcome blank or No decision",IF(AND(E271&lt;&gt;"Decision",OR(G271="Progress",G271="Progress with condition",G271="Return for evidence",G271="Pause",G271="Stop",G271="Suspend",G271="Decommission",G271="Re-authorise",G271="Resume")),"Outcome implies decision",IF(OR(ISNUMBER(SEARCH(",",O271)),ISNUMBER(SEARCH(";",O271))),"One UC-ID per event row — split this event",IF(AND(E271="Decision",OR(Q271="UC-ID REQUIRED",Q271="Decision scope missing",Q271="REMOVE UC-ID OR CORRECT SCOPE")),"Decision scope missing",IF(AND(G271="Progress with condition",COUNTIF(Conditions!$B$4:$B$553,A271)=0),"Progress with condition needs at least one Conditions row",IF(AND(C271&lt;&gt;"",COUNTIFS('Gate plan'!$A$4:$A$353,C271,'Gate plan'!$C$4:$C$353,D271)=0),"Plan gate differs from event gate",IF(AND(C271&lt;&gt;"",O271&lt;&gt;"",COUNTIFS('Gate plan'!$A$4:$A$353,C271,'Gate plan'!$K$4:$K$353,"&lt;&gt;")&gt;0,COUNTIFS('Gate plan'!$A$4:$A$353,C271,'Gate plan'!$K$4:$K$353,O271)=0),"Plan UC-ID differs from event UC-ID",IF(AND(E271="Assurance opinion",J271=""),"Assurance opinion ref missing",IF(AND(G271="Opinion only",E271&lt;&gt;"Assurance opinion",E271&lt;&gt;"Review only"),"Opinion only is for Assurance opinion or Review only events",IF(AND(G271="No decision",E271&lt;&gt;"Review only",E271&lt;&gt;"Priority override",E271&lt;&gt;"Intake / registration"),"No decision is for Review only, Priority override or Intake / registration events",IF(OR(ISNUMBER(SEARCH(" ",TRIM(O271))),ISNUMBER(SEARCH("/",O271))),"One UC-ID per event row: split this event",IF(AND(E271="Precautionary pause (containment)",ISNUMBER(W271),ISNUMBER(F271),W271&lt;F271),"Follow-up decision due date is before the pause",IF(AND(G271="Resume",IFERROR(LOOKUP(2,1/(($B$3:B270=B271)*($O$3:O270=O271)),$G$3:G270),"")&lt;&gt;"Paused — pending decision"),"Resume is only for the event straight after a Precautionary pause on the same AIR-ID and UC-ID (in an earlier row)",IF(AND(E271="Decision",OR(G271="Progress",G271="Progress with condition",G271="Re-authorise",G271="Resume"),X271&lt;&gt;"Yes"),"Decision-maker has not confirmed the screening was considered (column X)","Check against source")))))))))))))))))))))))))))))</f>
        <v/>
      </c>
      <c r="O271" s="37" t="n"/>
      <c r="P271" s="37" t="n"/>
      <c r="Q271" s="14">
        <f>IF(A271="","",IF(E271&lt;&gt;"Decision","",IF(P271="UC-ID specific",IF(O271="","UC-ID REQUIRED","Check source decision for each UC-ID"),IF(P271="Shared system baseline",IF(O271&lt;&gt;"","REMOVE UC-ID OR CORRECT SCOPE","Baseline only — NOT UC approval"),"Decision scope missing"))))</f>
        <v/>
      </c>
      <c r="R271" s="43" t="n"/>
      <c r="S271" s="40" t="n"/>
      <c r="T271" s="40" t="n"/>
      <c r="U271" s="40" t="n"/>
      <c r="V271" s="40" t="n"/>
      <c r="W271" s="41" t="n"/>
      <c r="X271" s="38" t="n"/>
    </row>
    <row r="272">
      <c r="A272" s="38" t="n"/>
      <c r="B272" s="38" t="n"/>
      <c r="C272" s="38" t="n"/>
      <c r="D272" s="38" t="n"/>
      <c r="E272" s="38" t="n"/>
      <c r="F272" s="39" t="n"/>
      <c r="G272" s="38" t="n"/>
      <c r="H272" s="38" t="n"/>
      <c r="I272" s="38" t="n"/>
      <c r="J272" s="38" t="n"/>
      <c r="K272" s="38" t="n"/>
      <c r="L272" s="38" t="n"/>
      <c r="M272" s="38" t="n"/>
      <c r="N272" s="22">
        <f>IF(COUNTA(A272:M272,O272:P272,R272:X272)=0,"",IF(OR(A272="",B272="",F272=""),"Event ID, AIR-ID or date missing",IF(COUNTIF($A$4:$A$553,A272)&gt;1,"Duplicate Event ID",IF(E272="","Event type missing",IF(OR(NOT(ISNUMBER(F272)),F272&gt;TODAY()),"Date is not a real date or is in the future",IF(AND(C272&lt;&gt;"",COUNTIF('Gate plan'!$A$4:$A$353,C272)=0),"Plan ID not found in Gate plan",IF(AND(C272&lt;&gt;"",COUNTIFS('Gate plan'!$A$4:$A$353,C272,'Gate plan'!$B$4:$B$353,B272)=0),"Plan AIR-ID differs from event",IF(D272="","Gate / forum missing",IF(AND(E272="Precautionary pause (containment)",G272&lt;&gt;"Paused — pending decision"),"Precautionary pause: Outcome must be Paused, pending decision",IF(AND(E272="Precautionary pause (containment)",V272=""),"Precautionary pause: AIG-OPS-03 incident ref missing",IF(AND(E272="Precautionary pause (containment)",NOT(ISNUMBER(W272))),"Precautionary pause: follow-up decision due date missing",IF(AND(G272="Paused — pending decision",E272&lt;&gt;"Precautionary pause (containment)"),"Paused, pending decision is only for a Precautionary pause event",IF(AND(E272="Decision",OR(G272="",H272="",I272="")),"Outcome / delegation / decision ref missing",IF(AND(E272="Decision",NOT(OR(G272="Progress",G272="Progress with condition",G272="Return for evidence",G272="Pause",G272="Stop",G272="Suspend",G272="Decommission",G272="Re-authorise",G272="Resume"))),"Decision event needs a decision outcome",IF(AND(E272="Priority override",OR(H272="",I272="")),"Decision-maker / AIG-DEC-03 ref missing",IF(AND(E272="Priority override",G272&lt;&gt;"",G272&lt;&gt;"No decision"),"Priority override: Outcome blank or No decision",IF(AND(E272&lt;&gt;"Decision",OR(G272="Progress",G272="Progress with condition",G272="Return for evidence",G272="Pause",G272="Stop",G272="Suspend",G272="Decommission",G272="Re-authorise",G272="Resume")),"Outcome implies decision",IF(OR(ISNUMBER(SEARCH(",",O272)),ISNUMBER(SEARCH(";",O272))),"One UC-ID per event row — split this event",IF(AND(E272="Decision",OR(Q272="UC-ID REQUIRED",Q272="Decision scope missing",Q272="REMOVE UC-ID OR CORRECT SCOPE")),"Decision scope missing",IF(AND(G272="Progress with condition",COUNTIF(Conditions!$B$4:$B$553,A272)=0),"Progress with condition needs at least one Conditions row",IF(AND(C272&lt;&gt;"",COUNTIFS('Gate plan'!$A$4:$A$353,C272,'Gate plan'!$C$4:$C$353,D272)=0),"Plan gate differs from event gate",IF(AND(C272&lt;&gt;"",O272&lt;&gt;"",COUNTIFS('Gate plan'!$A$4:$A$353,C272,'Gate plan'!$K$4:$K$353,"&lt;&gt;")&gt;0,COUNTIFS('Gate plan'!$A$4:$A$353,C272,'Gate plan'!$K$4:$K$353,O272)=0),"Plan UC-ID differs from event UC-ID",IF(AND(E272="Assurance opinion",J272=""),"Assurance opinion ref missing",IF(AND(G272="Opinion only",E272&lt;&gt;"Assurance opinion",E272&lt;&gt;"Review only"),"Opinion only is for Assurance opinion or Review only events",IF(AND(G272="No decision",E272&lt;&gt;"Review only",E272&lt;&gt;"Priority override",E272&lt;&gt;"Intake / registration"),"No decision is for Review only, Priority override or Intake / registration events",IF(OR(ISNUMBER(SEARCH(" ",TRIM(O272))),ISNUMBER(SEARCH("/",O272))),"One UC-ID per event row: split this event",IF(AND(E272="Precautionary pause (containment)",ISNUMBER(W272),ISNUMBER(F272),W272&lt;F272),"Follow-up decision due date is before the pause",IF(AND(G272="Resume",IFERROR(LOOKUP(2,1/(($B$3:B271=B272)*($O$3:O271=O272)),$G$3:G271),"")&lt;&gt;"Paused — pending decision"),"Resume is only for the event straight after a Precautionary pause on the same AIR-ID and UC-ID (in an earlier row)",IF(AND(E272="Decision",OR(G272="Progress",G272="Progress with condition",G272="Re-authorise",G272="Resume"),X272&lt;&gt;"Yes"),"Decision-maker has not confirmed the screening was considered (column X)","Check against source")))))))))))))))))))))))))))))</f>
        <v/>
      </c>
      <c r="O272" s="37" t="n"/>
      <c r="P272" s="37" t="n"/>
      <c r="Q272" s="14">
        <f>IF(A272="","",IF(E272&lt;&gt;"Decision","",IF(P272="UC-ID specific",IF(O272="","UC-ID REQUIRED","Check source decision for each UC-ID"),IF(P272="Shared system baseline",IF(O272&lt;&gt;"","REMOVE UC-ID OR CORRECT SCOPE","Baseline only — NOT UC approval"),"Decision scope missing"))))</f>
        <v/>
      </c>
      <c r="R272" s="42" t="n"/>
      <c r="S272" s="38" t="n"/>
      <c r="T272" s="38" t="n"/>
      <c r="U272" s="38" t="n"/>
      <c r="V272" s="38" t="n"/>
      <c r="W272" s="39" t="n"/>
      <c r="X272" s="38" t="n"/>
    </row>
    <row r="273">
      <c r="A273" s="40" t="n"/>
      <c r="B273" s="40" t="n"/>
      <c r="C273" s="40" t="n"/>
      <c r="D273" s="40" t="n"/>
      <c r="E273" s="40" t="n"/>
      <c r="F273" s="41" t="n"/>
      <c r="G273" s="40" t="n"/>
      <c r="H273" s="40" t="n"/>
      <c r="I273" s="40" t="n"/>
      <c r="J273" s="40" t="n"/>
      <c r="K273" s="40" t="n"/>
      <c r="L273" s="40" t="n"/>
      <c r="M273" s="40" t="n"/>
      <c r="N273" s="24">
        <f>IF(COUNTA(A273:M273,O273:P273,R273:X273)=0,"",IF(OR(A273="",B273="",F273=""),"Event ID, AIR-ID or date missing",IF(COUNTIF($A$4:$A$553,A273)&gt;1,"Duplicate Event ID",IF(E273="","Event type missing",IF(OR(NOT(ISNUMBER(F273)),F273&gt;TODAY()),"Date is not a real date or is in the future",IF(AND(C273&lt;&gt;"",COUNTIF('Gate plan'!$A$4:$A$353,C273)=0),"Plan ID not found in Gate plan",IF(AND(C273&lt;&gt;"",COUNTIFS('Gate plan'!$A$4:$A$353,C273,'Gate plan'!$B$4:$B$353,B273)=0),"Plan AIR-ID differs from event",IF(D273="","Gate / forum missing",IF(AND(E273="Precautionary pause (containment)",G273&lt;&gt;"Paused — pending decision"),"Precautionary pause: Outcome must be Paused, pending decision",IF(AND(E273="Precautionary pause (containment)",V273=""),"Precautionary pause: AIG-OPS-03 incident ref missing",IF(AND(E273="Precautionary pause (containment)",NOT(ISNUMBER(W273))),"Precautionary pause: follow-up decision due date missing",IF(AND(G273="Paused — pending decision",E273&lt;&gt;"Precautionary pause (containment)"),"Paused, pending decision is only for a Precautionary pause event",IF(AND(E273="Decision",OR(G273="",H273="",I273="")),"Outcome / delegation / decision ref missing",IF(AND(E273="Decision",NOT(OR(G273="Progress",G273="Progress with condition",G273="Return for evidence",G273="Pause",G273="Stop",G273="Suspend",G273="Decommission",G273="Re-authorise",G273="Resume"))),"Decision event needs a decision outcome",IF(AND(E273="Priority override",OR(H273="",I273="")),"Decision-maker / AIG-DEC-03 ref missing",IF(AND(E273="Priority override",G273&lt;&gt;"",G273&lt;&gt;"No decision"),"Priority override: Outcome blank or No decision",IF(AND(E273&lt;&gt;"Decision",OR(G273="Progress",G273="Progress with condition",G273="Return for evidence",G273="Pause",G273="Stop",G273="Suspend",G273="Decommission",G273="Re-authorise",G273="Resume")),"Outcome implies decision",IF(OR(ISNUMBER(SEARCH(",",O273)),ISNUMBER(SEARCH(";",O273))),"One UC-ID per event row — split this event",IF(AND(E273="Decision",OR(Q273="UC-ID REQUIRED",Q273="Decision scope missing",Q273="REMOVE UC-ID OR CORRECT SCOPE")),"Decision scope missing",IF(AND(G273="Progress with condition",COUNTIF(Conditions!$B$4:$B$553,A273)=0),"Progress with condition needs at least one Conditions row",IF(AND(C273&lt;&gt;"",COUNTIFS('Gate plan'!$A$4:$A$353,C273,'Gate plan'!$C$4:$C$353,D273)=0),"Plan gate differs from event gate",IF(AND(C273&lt;&gt;"",O273&lt;&gt;"",COUNTIFS('Gate plan'!$A$4:$A$353,C273,'Gate plan'!$K$4:$K$353,"&lt;&gt;")&gt;0,COUNTIFS('Gate plan'!$A$4:$A$353,C273,'Gate plan'!$K$4:$K$353,O273)=0),"Plan UC-ID differs from event UC-ID",IF(AND(E273="Assurance opinion",J273=""),"Assurance opinion ref missing",IF(AND(G273="Opinion only",E273&lt;&gt;"Assurance opinion",E273&lt;&gt;"Review only"),"Opinion only is for Assurance opinion or Review only events",IF(AND(G273="No decision",E273&lt;&gt;"Review only",E273&lt;&gt;"Priority override",E273&lt;&gt;"Intake / registration"),"No decision is for Review only, Priority override or Intake / registration events",IF(OR(ISNUMBER(SEARCH(" ",TRIM(O273))),ISNUMBER(SEARCH("/",O273))),"One UC-ID per event row: split this event",IF(AND(E273="Precautionary pause (containment)",ISNUMBER(W273),ISNUMBER(F273),W273&lt;F273),"Follow-up decision due date is before the pause",IF(AND(G273="Resume",IFERROR(LOOKUP(2,1/(($B$3:B272=B273)*($O$3:O272=O273)),$G$3:G272),"")&lt;&gt;"Paused — pending decision"),"Resume is only for the event straight after a Precautionary pause on the same AIR-ID and UC-ID (in an earlier row)",IF(AND(E273="Decision",OR(G273="Progress",G273="Progress with condition",G273="Re-authorise",G273="Resume"),X273&lt;&gt;"Yes"),"Decision-maker has not confirmed the screening was considered (column X)","Check against source")))))))))))))))))))))))))))))</f>
        <v/>
      </c>
      <c r="O273" s="37" t="n"/>
      <c r="P273" s="37" t="n"/>
      <c r="Q273" s="14">
        <f>IF(A273="","",IF(E273&lt;&gt;"Decision","",IF(P273="UC-ID specific",IF(O273="","UC-ID REQUIRED","Check source decision for each UC-ID"),IF(P273="Shared system baseline",IF(O273&lt;&gt;"","REMOVE UC-ID OR CORRECT SCOPE","Baseline only — NOT UC approval"),"Decision scope missing"))))</f>
        <v/>
      </c>
      <c r="R273" s="43" t="n"/>
      <c r="S273" s="40" t="n"/>
      <c r="T273" s="40" t="n"/>
      <c r="U273" s="40" t="n"/>
      <c r="V273" s="40" t="n"/>
      <c r="W273" s="41" t="n"/>
      <c r="X273" s="38" t="n"/>
    </row>
    <row r="274">
      <c r="A274" s="38" t="n"/>
      <c r="B274" s="38" t="n"/>
      <c r="C274" s="38" t="n"/>
      <c r="D274" s="38" t="n"/>
      <c r="E274" s="38" t="n"/>
      <c r="F274" s="39" t="n"/>
      <c r="G274" s="38" t="n"/>
      <c r="H274" s="38" t="n"/>
      <c r="I274" s="38" t="n"/>
      <c r="J274" s="38" t="n"/>
      <c r="K274" s="38" t="n"/>
      <c r="L274" s="38" t="n"/>
      <c r="M274" s="38" t="n"/>
      <c r="N274" s="22">
        <f>IF(COUNTA(A274:M274,O274:P274,R274:X274)=0,"",IF(OR(A274="",B274="",F274=""),"Event ID, AIR-ID or date missing",IF(COUNTIF($A$4:$A$553,A274)&gt;1,"Duplicate Event ID",IF(E274="","Event type missing",IF(OR(NOT(ISNUMBER(F274)),F274&gt;TODAY()),"Date is not a real date or is in the future",IF(AND(C274&lt;&gt;"",COUNTIF('Gate plan'!$A$4:$A$353,C274)=0),"Plan ID not found in Gate plan",IF(AND(C274&lt;&gt;"",COUNTIFS('Gate plan'!$A$4:$A$353,C274,'Gate plan'!$B$4:$B$353,B274)=0),"Plan AIR-ID differs from event",IF(D274="","Gate / forum missing",IF(AND(E274="Precautionary pause (containment)",G274&lt;&gt;"Paused — pending decision"),"Precautionary pause: Outcome must be Paused, pending decision",IF(AND(E274="Precautionary pause (containment)",V274=""),"Precautionary pause: AIG-OPS-03 incident ref missing",IF(AND(E274="Precautionary pause (containment)",NOT(ISNUMBER(W274))),"Precautionary pause: follow-up decision due date missing",IF(AND(G274="Paused — pending decision",E274&lt;&gt;"Precautionary pause (containment)"),"Paused, pending decision is only for a Precautionary pause event",IF(AND(E274="Decision",OR(G274="",H274="",I274="")),"Outcome / delegation / decision ref missing",IF(AND(E274="Decision",NOT(OR(G274="Progress",G274="Progress with condition",G274="Return for evidence",G274="Pause",G274="Stop",G274="Suspend",G274="Decommission",G274="Re-authorise",G274="Resume"))),"Decision event needs a decision outcome",IF(AND(E274="Priority override",OR(H274="",I274="")),"Decision-maker / AIG-DEC-03 ref missing",IF(AND(E274="Priority override",G274&lt;&gt;"",G274&lt;&gt;"No decision"),"Priority override: Outcome blank or No decision",IF(AND(E274&lt;&gt;"Decision",OR(G274="Progress",G274="Progress with condition",G274="Return for evidence",G274="Pause",G274="Stop",G274="Suspend",G274="Decommission",G274="Re-authorise",G274="Resume")),"Outcome implies decision",IF(OR(ISNUMBER(SEARCH(",",O274)),ISNUMBER(SEARCH(";",O274))),"One UC-ID per event row — split this event",IF(AND(E274="Decision",OR(Q274="UC-ID REQUIRED",Q274="Decision scope missing",Q274="REMOVE UC-ID OR CORRECT SCOPE")),"Decision scope missing",IF(AND(G274="Progress with condition",COUNTIF(Conditions!$B$4:$B$553,A274)=0),"Progress with condition needs at least one Conditions row",IF(AND(C274&lt;&gt;"",COUNTIFS('Gate plan'!$A$4:$A$353,C274,'Gate plan'!$C$4:$C$353,D274)=0),"Plan gate differs from event gate",IF(AND(C274&lt;&gt;"",O274&lt;&gt;"",COUNTIFS('Gate plan'!$A$4:$A$353,C274,'Gate plan'!$K$4:$K$353,"&lt;&gt;")&gt;0,COUNTIFS('Gate plan'!$A$4:$A$353,C274,'Gate plan'!$K$4:$K$353,O274)=0),"Plan UC-ID differs from event UC-ID",IF(AND(E274="Assurance opinion",J274=""),"Assurance opinion ref missing",IF(AND(G274="Opinion only",E274&lt;&gt;"Assurance opinion",E274&lt;&gt;"Review only"),"Opinion only is for Assurance opinion or Review only events",IF(AND(G274="No decision",E274&lt;&gt;"Review only",E274&lt;&gt;"Priority override",E274&lt;&gt;"Intake / registration"),"No decision is for Review only, Priority override or Intake / registration events",IF(OR(ISNUMBER(SEARCH(" ",TRIM(O274))),ISNUMBER(SEARCH("/",O274))),"One UC-ID per event row: split this event",IF(AND(E274="Precautionary pause (containment)",ISNUMBER(W274),ISNUMBER(F274),W274&lt;F274),"Follow-up decision due date is before the pause",IF(AND(G274="Resume",IFERROR(LOOKUP(2,1/(($B$3:B273=B274)*($O$3:O273=O274)),$G$3:G273),"")&lt;&gt;"Paused — pending decision"),"Resume is only for the event straight after a Precautionary pause on the same AIR-ID and UC-ID (in an earlier row)",IF(AND(E274="Decision",OR(G274="Progress",G274="Progress with condition",G274="Re-authorise",G274="Resume"),X274&lt;&gt;"Yes"),"Decision-maker has not confirmed the screening was considered (column X)","Check against source")))))))))))))))))))))))))))))</f>
        <v/>
      </c>
      <c r="O274" s="37" t="n"/>
      <c r="P274" s="37" t="n"/>
      <c r="Q274" s="14">
        <f>IF(A274="","",IF(E274&lt;&gt;"Decision","",IF(P274="UC-ID specific",IF(O274="","UC-ID REQUIRED","Check source decision for each UC-ID"),IF(P274="Shared system baseline",IF(O274&lt;&gt;"","REMOVE UC-ID OR CORRECT SCOPE","Baseline only — NOT UC approval"),"Decision scope missing"))))</f>
        <v/>
      </c>
      <c r="R274" s="42" t="n"/>
      <c r="S274" s="38" t="n"/>
      <c r="T274" s="38" t="n"/>
      <c r="U274" s="38" t="n"/>
      <c r="V274" s="38" t="n"/>
      <c r="W274" s="39" t="n"/>
      <c r="X274" s="38" t="n"/>
    </row>
    <row r="275">
      <c r="A275" s="40" t="n"/>
      <c r="B275" s="40" t="n"/>
      <c r="C275" s="40" t="n"/>
      <c r="D275" s="40" t="n"/>
      <c r="E275" s="40" t="n"/>
      <c r="F275" s="41" t="n"/>
      <c r="G275" s="40" t="n"/>
      <c r="H275" s="40" t="n"/>
      <c r="I275" s="40" t="n"/>
      <c r="J275" s="40" t="n"/>
      <c r="K275" s="40" t="n"/>
      <c r="L275" s="40" t="n"/>
      <c r="M275" s="40" t="n"/>
      <c r="N275" s="24">
        <f>IF(COUNTA(A275:M275,O275:P275,R275:X275)=0,"",IF(OR(A275="",B275="",F275=""),"Event ID, AIR-ID or date missing",IF(COUNTIF($A$4:$A$553,A275)&gt;1,"Duplicate Event ID",IF(E275="","Event type missing",IF(OR(NOT(ISNUMBER(F275)),F275&gt;TODAY()),"Date is not a real date or is in the future",IF(AND(C275&lt;&gt;"",COUNTIF('Gate plan'!$A$4:$A$353,C275)=0),"Plan ID not found in Gate plan",IF(AND(C275&lt;&gt;"",COUNTIFS('Gate plan'!$A$4:$A$353,C275,'Gate plan'!$B$4:$B$353,B275)=0),"Plan AIR-ID differs from event",IF(D275="","Gate / forum missing",IF(AND(E275="Precautionary pause (containment)",G275&lt;&gt;"Paused — pending decision"),"Precautionary pause: Outcome must be Paused, pending decision",IF(AND(E275="Precautionary pause (containment)",V275=""),"Precautionary pause: AIG-OPS-03 incident ref missing",IF(AND(E275="Precautionary pause (containment)",NOT(ISNUMBER(W275))),"Precautionary pause: follow-up decision due date missing",IF(AND(G275="Paused — pending decision",E275&lt;&gt;"Precautionary pause (containment)"),"Paused, pending decision is only for a Precautionary pause event",IF(AND(E275="Decision",OR(G275="",H275="",I275="")),"Outcome / delegation / decision ref missing",IF(AND(E275="Decision",NOT(OR(G275="Progress",G275="Progress with condition",G275="Return for evidence",G275="Pause",G275="Stop",G275="Suspend",G275="Decommission",G275="Re-authorise",G275="Resume"))),"Decision event needs a decision outcome",IF(AND(E275="Priority override",OR(H275="",I275="")),"Decision-maker / AIG-DEC-03 ref missing",IF(AND(E275="Priority override",G275&lt;&gt;"",G275&lt;&gt;"No decision"),"Priority override: Outcome blank or No decision",IF(AND(E275&lt;&gt;"Decision",OR(G275="Progress",G275="Progress with condition",G275="Return for evidence",G275="Pause",G275="Stop",G275="Suspend",G275="Decommission",G275="Re-authorise",G275="Resume")),"Outcome implies decision",IF(OR(ISNUMBER(SEARCH(",",O275)),ISNUMBER(SEARCH(";",O275))),"One UC-ID per event row — split this event",IF(AND(E275="Decision",OR(Q275="UC-ID REQUIRED",Q275="Decision scope missing",Q275="REMOVE UC-ID OR CORRECT SCOPE")),"Decision scope missing",IF(AND(G275="Progress with condition",COUNTIF(Conditions!$B$4:$B$553,A275)=0),"Progress with condition needs at least one Conditions row",IF(AND(C275&lt;&gt;"",COUNTIFS('Gate plan'!$A$4:$A$353,C275,'Gate plan'!$C$4:$C$353,D275)=0),"Plan gate differs from event gate",IF(AND(C275&lt;&gt;"",O275&lt;&gt;"",COUNTIFS('Gate plan'!$A$4:$A$353,C275,'Gate plan'!$K$4:$K$353,"&lt;&gt;")&gt;0,COUNTIFS('Gate plan'!$A$4:$A$353,C275,'Gate plan'!$K$4:$K$353,O275)=0),"Plan UC-ID differs from event UC-ID",IF(AND(E275="Assurance opinion",J275=""),"Assurance opinion ref missing",IF(AND(G275="Opinion only",E275&lt;&gt;"Assurance opinion",E275&lt;&gt;"Review only"),"Opinion only is for Assurance opinion or Review only events",IF(AND(G275="No decision",E275&lt;&gt;"Review only",E275&lt;&gt;"Priority override",E275&lt;&gt;"Intake / registration"),"No decision is for Review only, Priority override or Intake / registration events",IF(OR(ISNUMBER(SEARCH(" ",TRIM(O275))),ISNUMBER(SEARCH("/",O275))),"One UC-ID per event row: split this event",IF(AND(E275="Precautionary pause (containment)",ISNUMBER(W275),ISNUMBER(F275),W275&lt;F275),"Follow-up decision due date is before the pause",IF(AND(G275="Resume",IFERROR(LOOKUP(2,1/(($B$3:B274=B275)*($O$3:O274=O275)),$G$3:G274),"")&lt;&gt;"Paused — pending decision"),"Resume is only for the event straight after a Precautionary pause on the same AIR-ID and UC-ID (in an earlier row)",IF(AND(E275="Decision",OR(G275="Progress",G275="Progress with condition",G275="Re-authorise",G275="Resume"),X275&lt;&gt;"Yes"),"Decision-maker has not confirmed the screening was considered (column X)","Check against source")))))))))))))))))))))))))))))</f>
        <v/>
      </c>
      <c r="O275" s="37" t="n"/>
      <c r="P275" s="37" t="n"/>
      <c r="Q275" s="14">
        <f>IF(A275="","",IF(E275&lt;&gt;"Decision","",IF(P275="UC-ID specific",IF(O275="","UC-ID REQUIRED","Check source decision for each UC-ID"),IF(P275="Shared system baseline",IF(O275&lt;&gt;"","REMOVE UC-ID OR CORRECT SCOPE","Baseline only — NOT UC approval"),"Decision scope missing"))))</f>
        <v/>
      </c>
      <c r="R275" s="43" t="n"/>
      <c r="S275" s="40" t="n"/>
      <c r="T275" s="40" t="n"/>
      <c r="U275" s="40" t="n"/>
      <c r="V275" s="40" t="n"/>
      <c r="W275" s="41" t="n"/>
      <c r="X275" s="38" t="n"/>
    </row>
    <row r="276">
      <c r="A276" s="38" t="n"/>
      <c r="B276" s="38" t="n"/>
      <c r="C276" s="38" t="n"/>
      <c r="D276" s="38" t="n"/>
      <c r="E276" s="38" t="n"/>
      <c r="F276" s="39" t="n"/>
      <c r="G276" s="38" t="n"/>
      <c r="H276" s="38" t="n"/>
      <c r="I276" s="38" t="n"/>
      <c r="J276" s="38" t="n"/>
      <c r="K276" s="38" t="n"/>
      <c r="L276" s="38" t="n"/>
      <c r="M276" s="38" t="n"/>
      <c r="N276" s="22">
        <f>IF(COUNTA(A276:M276,O276:P276,R276:X276)=0,"",IF(OR(A276="",B276="",F276=""),"Event ID, AIR-ID or date missing",IF(COUNTIF($A$4:$A$553,A276)&gt;1,"Duplicate Event ID",IF(E276="","Event type missing",IF(OR(NOT(ISNUMBER(F276)),F276&gt;TODAY()),"Date is not a real date or is in the future",IF(AND(C276&lt;&gt;"",COUNTIF('Gate plan'!$A$4:$A$353,C276)=0),"Plan ID not found in Gate plan",IF(AND(C276&lt;&gt;"",COUNTIFS('Gate plan'!$A$4:$A$353,C276,'Gate plan'!$B$4:$B$353,B276)=0),"Plan AIR-ID differs from event",IF(D276="","Gate / forum missing",IF(AND(E276="Precautionary pause (containment)",G276&lt;&gt;"Paused — pending decision"),"Precautionary pause: Outcome must be Paused, pending decision",IF(AND(E276="Precautionary pause (containment)",V276=""),"Precautionary pause: AIG-OPS-03 incident ref missing",IF(AND(E276="Precautionary pause (containment)",NOT(ISNUMBER(W276))),"Precautionary pause: follow-up decision due date missing",IF(AND(G276="Paused — pending decision",E276&lt;&gt;"Precautionary pause (containment)"),"Paused, pending decision is only for a Precautionary pause event",IF(AND(E276="Decision",OR(G276="",H276="",I276="")),"Outcome / delegation / decision ref missing",IF(AND(E276="Decision",NOT(OR(G276="Progress",G276="Progress with condition",G276="Return for evidence",G276="Pause",G276="Stop",G276="Suspend",G276="Decommission",G276="Re-authorise",G276="Resume"))),"Decision event needs a decision outcome",IF(AND(E276="Priority override",OR(H276="",I276="")),"Decision-maker / AIG-DEC-03 ref missing",IF(AND(E276="Priority override",G276&lt;&gt;"",G276&lt;&gt;"No decision"),"Priority override: Outcome blank or No decision",IF(AND(E276&lt;&gt;"Decision",OR(G276="Progress",G276="Progress with condition",G276="Return for evidence",G276="Pause",G276="Stop",G276="Suspend",G276="Decommission",G276="Re-authorise",G276="Resume")),"Outcome implies decision",IF(OR(ISNUMBER(SEARCH(",",O276)),ISNUMBER(SEARCH(";",O276))),"One UC-ID per event row — split this event",IF(AND(E276="Decision",OR(Q276="UC-ID REQUIRED",Q276="Decision scope missing",Q276="REMOVE UC-ID OR CORRECT SCOPE")),"Decision scope missing",IF(AND(G276="Progress with condition",COUNTIF(Conditions!$B$4:$B$553,A276)=0),"Progress with condition needs at least one Conditions row",IF(AND(C276&lt;&gt;"",COUNTIFS('Gate plan'!$A$4:$A$353,C276,'Gate plan'!$C$4:$C$353,D276)=0),"Plan gate differs from event gate",IF(AND(C276&lt;&gt;"",O276&lt;&gt;"",COUNTIFS('Gate plan'!$A$4:$A$353,C276,'Gate plan'!$K$4:$K$353,"&lt;&gt;")&gt;0,COUNTIFS('Gate plan'!$A$4:$A$353,C276,'Gate plan'!$K$4:$K$353,O276)=0),"Plan UC-ID differs from event UC-ID",IF(AND(E276="Assurance opinion",J276=""),"Assurance opinion ref missing",IF(AND(G276="Opinion only",E276&lt;&gt;"Assurance opinion",E276&lt;&gt;"Review only"),"Opinion only is for Assurance opinion or Review only events",IF(AND(G276="No decision",E276&lt;&gt;"Review only",E276&lt;&gt;"Priority override",E276&lt;&gt;"Intake / registration"),"No decision is for Review only, Priority override or Intake / registration events",IF(OR(ISNUMBER(SEARCH(" ",TRIM(O276))),ISNUMBER(SEARCH("/",O276))),"One UC-ID per event row: split this event",IF(AND(E276="Precautionary pause (containment)",ISNUMBER(W276),ISNUMBER(F276),W276&lt;F276),"Follow-up decision due date is before the pause",IF(AND(G276="Resume",IFERROR(LOOKUP(2,1/(($B$3:B275=B276)*($O$3:O275=O276)),$G$3:G275),"")&lt;&gt;"Paused — pending decision"),"Resume is only for the event straight after a Precautionary pause on the same AIR-ID and UC-ID (in an earlier row)",IF(AND(E276="Decision",OR(G276="Progress",G276="Progress with condition",G276="Re-authorise",G276="Resume"),X276&lt;&gt;"Yes"),"Decision-maker has not confirmed the screening was considered (column X)","Check against source")))))))))))))))))))))))))))))</f>
        <v/>
      </c>
      <c r="O276" s="37" t="n"/>
      <c r="P276" s="37" t="n"/>
      <c r="Q276" s="14">
        <f>IF(A276="","",IF(E276&lt;&gt;"Decision","",IF(P276="UC-ID specific",IF(O276="","UC-ID REQUIRED","Check source decision for each UC-ID"),IF(P276="Shared system baseline",IF(O276&lt;&gt;"","REMOVE UC-ID OR CORRECT SCOPE","Baseline only — NOT UC approval"),"Decision scope missing"))))</f>
        <v/>
      </c>
      <c r="R276" s="42" t="n"/>
      <c r="S276" s="38" t="n"/>
      <c r="T276" s="38" t="n"/>
      <c r="U276" s="38" t="n"/>
      <c r="V276" s="38" t="n"/>
      <c r="W276" s="39" t="n"/>
      <c r="X276" s="38" t="n"/>
    </row>
    <row r="277">
      <c r="A277" s="40" t="n"/>
      <c r="B277" s="40" t="n"/>
      <c r="C277" s="40" t="n"/>
      <c r="D277" s="40" t="n"/>
      <c r="E277" s="40" t="n"/>
      <c r="F277" s="41" t="n"/>
      <c r="G277" s="40" t="n"/>
      <c r="H277" s="40" t="n"/>
      <c r="I277" s="40" t="n"/>
      <c r="J277" s="40" t="n"/>
      <c r="K277" s="40" t="n"/>
      <c r="L277" s="40" t="n"/>
      <c r="M277" s="40" t="n"/>
      <c r="N277" s="24">
        <f>IF(COUNTA(A277:M277,O277:P277,R277:X277)=0,"",IF(OR(A277="",B277="",F277=""),"Event ID, AIR-ID or date missing",IF(COUNTIF($A$4:$A$553,A277)&gt;1,"Duplicate Event ID",IF(E277="","Event type missing",IF(OR(NOT(ISNUMBER(F277)),F277&gt;TODAY()),"Date is not a real date or is in the future",IF(AND(C277&lt;&gt;"",COUNTIF('Gate plan'!$A$4:$A$353,C277)=0),"Plan ID not found in Gate plan",IF(AND(C277&lt;&gt;"",COUNTIFS('Gate plan'!$A$4:$A$353,C277,'Gate plan'!$B$4:$B$353,B277)=0),"Plan AIR-ID differs from event",IF(D277="","Gate / forum missing",IF(AND(E277="Precautionary pause (containment)",G277&lt;&gt;"Paused — pending decision"),"Precautionary pause: Outcome must be Paused, pending decision",IF(AND(E277="Precautionary pause (containment)",V277=""),"Precautionary pause: AIG-OPS-03 incident ref missing",IF(AND(E277="Precautionary pause (containment)",NOT(ISNUMBER(W277))),"Precautionary pause: follow-up decision due date missing",IF(AND(G277="Paused — pending decision",E277&lt;&gt;"Precautionary pause (containment)"),"Paused, pending decision is only for a Precautionary pause event",IF(AND(E277="Decision",OR(G277="",H277="",I277="")),"Outcome / delegation / decision ref missing",IF(AND(E277="Decision",NOT(OR(G277="Progress",G277="Progress with condition",G277="Return for evidence",G277="Pause",G277="Stop",G277="Suspend",G277="Decommission",G277="Re-authorise",G277="Resume"))),"Decision event needs a decision outcome",IF(AND(E277="Priority override",OR(H277="",I277="")),"Decision-maker / AIG-DEC-03 ref missing",IF(AND(E277="Priority override",G277&lt;&gt;"",G277&lt;&gt;"No decision"),"Priority override: Outcome blank or No decision",IF(AND(E277&lt;&gt;"Decision",OR(G277="Progress",G277="Progress with condition",G277="Return for evidence",G277="Pause",G277="Stop",G277="Suspend",G277="Decommission",G277="Re-authorise",G277="Resume")),"Outcome implies decision",IF(OR(ISNUMBER(SEARCH(",",O277)),ISNUMBER(SEARCH(";",O277))),"One UC-ID per event row — split this event",IF(AND(E277="Decision",OR(Q277="UC-ID REQUIRED",Q277="Decision scope missing",Q277="REMOVE UC-ID OR CORRECT SCOPE")),"Decision scope missing",IF(AND(G277="Progress with condition",COUNTIF(Conditions!$B$4:$B$553,A277)=0),"Progress with condition needs at least one Conditions row",IF(AND(C277&lt;&gt;"",COUNTIFS('Gate plan'!$A$4:$A$353,C277,'Gate plan'!$C$4:$C$353,D277)=0),"Plan gate differs from event gate",IF(AND(C277&lt;&gt;"",O277&lt;&gt;"",COUNTIFS('Gate plan'!$A$4:$A$353,C277,'Gate plan'!$K$4:$K$353,"&lt;&gt;")&gt;0,COUNTIFS('Gate plan'!$A$4:$A$353,C277,'Gate plan'!$K$4:$K$353,O277)=0),"Plan UC-ID differs from event UC-ID",IF(AND(E277="Assurance opinion",J277=""),"Assurance opinion ref missing",IF(AND(G277="Opinion only",E277&lt;&gt;"Assurance opinion",E277&lt;&gt;"Review only"),"Opinion only is for Assurance opinion or Review only events",IF(AND(G277="No decision",E277&lt;&gt;"Review only",E277&lt;&gt;"Priority override",E277&lt;&gt;"Intake / registration"),"No decision is for Review only, Priority override or Intake / registration events",IF(OR(ISNUMBER(SEARCH(" ",TRIM(O277))),ISNUMBER(SEARCH("/",O277))),"One UC-ID per event row: split this event",IF(AND(E277="Precautionary pause (containment)",ISNUMBER(W277),ISNUMBER(F277),W277&lt;F277),"Follow-up decision due date is before the pause",IF(AND(G277="Resume",IFERROR(LOOKUP(2,1/(($B$3:B276=B277)*($O$3:O276=O277)),$G$3:G276),"")&lt;&gt;"Paused — pending decision"),"Resume is only for the event straight after a Precautionary pause on the same AIR-ID and UC-ID (in an earlier row)",IF(AND(E277="Decision",OR(G277="Progress",G277="Progress with condition",G277="Re-authorise",G277="Resume"),X277&lt;&gt;"Yes"),"Decision-maker has not confirmed the screening was considered (column X)","Check against source")))))))))))))))))))))))))))))</f>
        <v/>
      </c>
      <c r="O277" s="37" t="n"/>
      <c r="P277" s="37" t="n"/>
      <c r="Q277" s="14">
        <f>IF(A277="","",IF(E277&lt;&gt;"Decision","",IF(P277="UC-ID specific",IF(O277="","UC-ID REQUIRED","Check source decision for each UC-ID"),IF(P277="Shared system baseline",IF(O277&lt;&gt;"","REMOVE UC-ID OR CORRECT SCOPE","Baseline only — NOT UC approval"),"Decision scope missing"))))</f>
        <v/>
      </c>
      <c r="R277" s="43" t="n"/>
      <c r="S277" s="40" t="n"/>
      <c r="T277" s="40" t="n"/>
      <c r="U277" s="40" t="n"/>
      <c r="V277" s="40" t="n"/>
      <c r="W277" s="41" t="n"/>
      <c r="X277" s="38" t="n"/>
    </row>
    <row r="278">
      <c r="A278" s="38" t="n"/>
      <c r="B278" s="38" t="n"/>
      <c r="C278" s="38" t="n"/>
      <c r="D278" s="38" t="n"/>
      <c r="E278" s="38" t="n"/>
      <c r="F278" s="39" t="n"/>
      <c r="G278" s="38" t="n"/>
      <c r="H278" s="38" t="n"/>
      <c r="I278" s="38" t="n"/>
      <c r="J278" s="38" t="n"/>
      <c r="K278" s="38" t="n"/>
      <c r="L278" s="38" t="n"/>
      <c r="M278" s="38" t="n"/>
      <c r="N278" s="22">
        <f>IF(COUNTA(A278:M278,O278:P278,R278:X278)=0,"",IF(OR(A278="",B278="",F278=""),"Event ID, AIR-ID or date missing",IF(COUNTIF($A$4:$A$553,A278)&gt;1,"Duplicate Event ID",IF(E278="","Event type missing",IF(OR(NOT(ISNUMBER(F278)),F278&gt;TODAY()),"Date is not a real date or is in the future",IF(AND(C278&lt;&gt;"",COUNTIF('Gate plan'!$A$4:$A$353,C278)=0),"Plan ID not found in Gate plan",IF(AND(C278&lt;&gt;"",COUNTIFS('Gate plan'!$A$4:$A$353,C278,'Gate plan'!$B$4:$B$353,B278)=0),"Plan AIR-ID differs from event",IF(D278="","Gate / forum missing",IF(AND(E278="Precautionary pause (containment)",G278&lt;&gt;"Paused — pending decision"),"Precautionary pause: Outcome must be Paused, pending decision",IF(AND(E278="Precautionary pause (containment)",V278=""),"Precautionary pause: AIG-OPS-03 incident ref missing",IF(AND(E278="Precautionary pause (containment)",NOT(ISNUMBER(W278))),"Precautionary pause: follow-up decision due date missing",IF(AND(G278="Paused — pending decision",E278&lt;&gt;"Precautionary pause (containment)"),"Paused, pending decision is only for a Precautionary pause event",IF(AND(E278="Decision",OR(G278="",H278="",I278="")),"Outcome / delegation / decision ref missing",IF(AND(E278="Decision",NOT(OR(G278="Progress",G278="Progress with condition",G278="Return for evidence",G278="Pause",G278="Stop",G278="Suspend",G278="Decommission",G278="Re-authorise",G278="Resume"))),"Decision event needs a decision outcome",IF(AND(E278="Priority override",OR(H278="",I278="")),"Decision-maker / AIG-DEC-03 ref missing",IF(AND(E278="Priority override",G278&lt;&gt;"",G278&lt;&gt;"No decision"),"Priority override: Outcome blank or No decision",IF(AND(E278&lt;&gt;"Decision",OR(G278="Progress",G278="Progress with condition",G278="Return for evidence",G278="Pause",G278="Stop",G278="Suspend",G278="Decommission",G278="Re-authorise",G278="Resume")),"Outcome implies decision",IF(OR(ISNUMBER(SEARCH(",",O278)),ISNUMBER(SEARCH(";",O278))),"One UC-ID per event row — split this event",IF(AND(E278="Decision",OR(Q278="UC-ID REQUIRED",Q278="Decision scope missing",Q278="REMOVE UC-ID OR CORRECT SCOPE")),"Decision scope missing",IF(AND(G278="Progress with condition",COUNTIF(Conditions!$B$4:$B$553,A278)=0),"Progress with condition needs at least one Conditions row",IF(AND(C278&lt;&gt;"",COUNTIFS('Gate plan'!$A$4:$A$353,C278,'Gate plan'!$C$4:$C$353,D278)=0),"Plan gate differs from event gate",IF(AND(C278&lt;&gt;"",O278&lt;&gt;"",COUNTIFS('Gate plan'!$A$4:$A$353,C278,'Gate plan'!$K$4:$K$353,"&lt;&gt;")&gt;0,COUNTIFS('Gate plan'!$A$4:$A$353,C278,'Gate plan'!$K$4:$K$353,O278)=0),"Plan UC-ID differs from event UC-ID",IF(AND(E278="Assurance opinion",J278=""),"Assurance opinion ref missing",IF(AND(G278="Opinion only",E278&lt;&gt;"Assurance opinion",E278&lt;&gt;"Review only"),"Opinion only is for Assurance opinion or Review only events",IF(AND(G278="No decision",E278&lt;&gt;"Review only",E278&lt;&gt;"Priority override",E278&lt;&gt;"Intake / registration"),"No decision is for Review only, Priority override or Intake / registration events",IF(OR(ISNUMBER(SEARCH(" ",TRIM(O278))),ISNUMBER(SEARCH("/",O278))),"One UC-ID per event row: split this event",IF(AND(E278="Precautionary pause (containment)",ISNUMBER(W278),ISNUMBER(F278),W278&lt;F278),"Follow-up decision due date is before the pause",IF(AND(G278="Resume",IFERROR(LOOKUP(2,1/(($B$3:B277=B278)*($O$3:O277=O278)),$G$3:G277),"")&lt;&gt;"Paused — pending decision"),"Resume is only for the event straight after a Precautionary pause on the same AIR-ID and UC-ID (in an earlier row)",IF(AND(E278="Decision",OR(G278="Progress",G278="Progress with condition",G278="Re-authorise",G278="Resume"),X278&lt;&gt;"Yes"),"Decision-maker has not confirmed the screening was considered (column X)","Check against source")))))))))))))))))))))))))))))</f>
        <v/>
      </c>
      <c r="O278" s="37" t="n"/>
      <c r="P278" s="37" t="n"/>
      <c r="Q278" s="14">
        <f>IF(A278="","",IF(E278&lt;&gt;"Decision","",IF(P278="UC-ID specific",IF(O278="","UC-ID REQUIRED","Check source decision for each UC-ID"),IF(P278="Shared system baseline",IF(O278&lt;&gt;"","REMOVE UC-ID OR CORRECT SCOPE","Baseline only — NOT UC approval"),"Decision scope missing"))))</f>
        <v/>
      </c>
      <c r="R278" s="42" t="n"/>
      <c r="S278" s="38" t="n"/>
      <c r="T278" s="38" t="n"/>
      <c r="U278" s="38" t="n"/>
      <c r="V278" s="38" t="n"/>
      <c r="W278" s="39" t="n"/>
      <c r="X278" s="38" t="n"/>
    </row>
    <row r="279">
      <c r="A279" s="40" t="n"/>
      <c r="B279" s="40" t="n"/>
      <c r="C279" s="40" t="n"/>
      <c r="D279" s="40" t="n"/>
      <c r="E279" s="40" t="n"/>
      <c r="F279" s="41" t="n"/>
      <c r="G279" s="40" t="n"/>
      <c r="H279" s="40" t="n"/>
      <c r="I279" s="40" t="n"/>
      <c r="J279" s="40" t="n"/>
      <c r="K279" s="40" t="n"/>
      <c r="L279" s="40" t="n"/>
      <c r="M279" s="40" t="n"/>
      <c r="N279" s="24">
        <f>IF(COUNTA(A279:M279,O279:P279,R279:X279)=0,"",IF(OR(A279="",B279="",F279=""),"Event ID, AIR-ID or date missing",IF(COUNTIF($A$4:$A$553,A279)&gt;1,"Duplicate Event ID",IF(E279="","Event type missing",IF(OR(NOT(ISNUMBER(F279)),F279&gt;TODAY()),"Date is not a real date or is in the future",IF(AND(C279&lt;&gt;"",COUNTIF('Gate plan'!$A$4:$A$353,C279)=0),"Plan ID not found in Gate plan",IF(AND(C279&lt;&gt;"",COUNTIFS('Gate plan'!$A$4:$A$353,C279,'Gate plan'!$B$4:$B$353,B279)=0),"Plan AIR-ID differs from event",IF(D279="","Gate / forum missing",IF(AND(E279="Precautionary pause (containment)",G279&lt;&gt;"Paused — pending decision"),"Precautionary pause: Outcome must be Paused, pending decision",IF(AND(E279="Precautionary pause (containment)",V279=""),"Precautionary pause: AIG-OPS-03 incident ref missing",IF(AND(E279="Precautionary pause (containment)",NOT(ISNUMBER(W279))),"Precautionary pause: follow-up decision due date missing",IF(AND(G279="Paused — pending decision",E279&lt;&gt;"Precautionary pause (containment)"),"Paused, pending decision is only for a Precautionary pause event",IF(AND(E279="Decision",OR(G279="",H279="",I279="")),"Outcome / delegation / decision ref missing",IF(AND(E279="Decision",NOT(OR(G279="Progress",G279="Progress with condition",G279="Return for evidence",G279="Pause",G279="Stop",G279="Suspend",G279="Decommission",G279="Re-authorise",G279="Resume"))),"Decision event needs a decision outcome",IF(AND(E279="Priority override",OR(H279="",I279="")),"Decision-maker / AIG-DEC-03 ref missing",IF(AND(E279="Priority override",G279&lt;&gt;"",G279&lt;&gt;"No decision"),"Priority override: Outcome blank or No decision",IF(AND(E279&lt;&gt;"Decision",OR(G279="Progress",G279="Progress with condition",G279="Return for evidence",G279="Pause",G279="Stop",G279="Suspend",G279="Decommission",G279="Re-authorise",G279="Resume")),"Outcome implies decision",IF(OR(ISNUMBER(SEARCH(",",O279)),ISNUMBER(SEARCH(";",O279))),"One UC-ID per event row — split this event",IF(AND(E279="Decision",OR(Q279="UC-ID REQUIRED",Q279="Decision scope missing",Q279="REMOVE UC-ID OR CORRECT SCOPE")),"Decision scope missing",IF(AND(G279="Progress with condition",COUNTIF(Conditions!$B$4:$B$553,A279)=0),"Progress with condition needs at least one Conditions row",IF(AND(C279&lt;&gt;"",COUNTIFS('Gate plan'!$A$4:$A$353,C279,'Gate plan'!$C$4:$C$353,D279)=0),"Plan gate differs from event gate",IF(AND(C279&lt;&gt;"",O279&lt;&gt;"",COUNTIFS('Gate plan'!$A$4:$A$353,C279,'Gate plan'!$K$4:$K$353,"&lt;&gt;")&gt;0,COUNTIFS('Gate plan'!$A$4:$A$353,C279,'Gate plan'!$K$4:$K$353,O279)=0),"Plan UC-ID differs from event UC-ID",IF(AND(E279="Assurance opinion",J279=""),"Assurance opinion ref missing",IF(AND(G279="Opinion only",E279&lt;&gt;"Assurance opinion",E279&lt;&gt;"Review only"),"Opinion only is for Assurance opinion or Review only events",IF(AND(G279="No decision",E279&lt;&gt;"Review only",E279&lt;&gt;"Priority override",E279&lt;&gt;"Intake / registration"),"No decision is for Review only, Priority override or Intake / registration events",IF(OR(ISNUMBER(SEARCH(" ",TRIM(O279))),ISNUMBER(SEARCH("/",O279))),"One UC-ID per event row: split this event",IF(AND(E279="Precautionary pause (containment)",ISNUMBER(W279),ISNUMBER(F279),W279&lt;F279),"Follow-up decision due date is before the pause",IF(AND(G279="Resume",IFERROR(LOOKUP(2,1/(($B$3:B278=B279)*($O$3:O278=O279)),$G$3:G278),"")&lt;&gt;"Paused — pending decision"),"Resume is only for the event straight after a Precautionary pause on the same AIR-ID and UC-ID (in an earlier row)",IF(AND(E279="Decision",OR(G279="Progress",G279="Progress with condition",G279="Re-authorise",G279="Resume"),X279&lt;&gt;"Yes"),"Decision-maker has not confirmed the screening was considered (column X)","Check against source")))))))))))))))))))))))))))))</f>
        <v/>
      </c>
      <c r="O279" s="37" t="n"/>
      <c r="P279" s="37" t="n"/>
      <c r="Q279" s="14">
        <f>IF(A279="","",IF(E279&lt;&gt;"Decision","",IF(P279="UC-ID specific",IF(O279="","UC-ID REQUIRED","Check source decision for each UC-ID"),IF(P279="Shared system baseline",IF(O279&lt;&gt;"","REMOVE UC-ID OR CORRECT SCOPE","Baseline only — NOT UC approval"),"Decision scope missing"))))</f>
        <v/>
      </c>
      <c r="R279" s="43" t="n"/>
      <c r="S279" s="40" t="n"/>
      <c r="T279" s="40" t="n"/>
      <c r="U279" s="40" t="n"/>
      <c r="V279" s="40" t="n"/>
      <c r="W279" s="41" t="n"/>
      <c r="X279" s="38" t="n"/>
    </row>
    <row r="280">
      <c r="A280" s="38" t="n"/>
      <c r="B280" s="38" t="n"/>
      <c r="C280" s="38" t="n"/>
      <c r="D280" s="38" t="n"/>
      <c r="E280" s="38" t="n"/>
      <c r="F280" s="39" t="n"/>
      <c r="G280" s="38" t="n"/>
      <c r="H280" s="38" t="n"/>
      <c r="I280" s="38" t="n"/>
      <c r="J280" s="38" t="n"/>
      <c r="K280" s="38" t="n"/>
      <c r="L280" s="38" t="n"/>
      <c r="M280" s="38" t="n"/>
      <c r="N280" s="22">
        <f>IF(COUNTA(A280:M280,O280:P280,R280:X280)=0,"",IF(OR(A280="",B280="",F280=""),"Event ID, AIR-ID or date missing",IF(COUNTIF($A$4:$A$553,A280)&gt;1,"Duplicate Event ID",IF(E280="","Event type missing",IF(OR(NOT(ISNUMBER(F280)),F280&gt;TODAY()),"Date is not a real date or is in the future",IF(AND(C280&lt;&gt;"",COUNTIF('Gate plan'!$A$4:$A$353,C280)=0),"Plan ID not found in Gate plan",IF(AND(C280&lt;&gt;"",COUNTIFS('Gate plan'!$A$4:$A$353,C280,'Gate plan'!$B$4:$B$353,B280)=0),"Plan AIR-ID differs from event",IF(D280="","Gate / forum missing",IF(AND(E280="Precautionary pause (containment)",G280&lt;&gt;"Paused — pending decision"),"Precautionary pause: Outcome must be Paused, pending decision",IF(AND(E280="Precautionary pause (containment)",V280=""),"Precautionary pause: AIG-OPS-03 incident ref missing",IF(AND(E280="Precautionary pause (containment)",NOT(ISNUMBER(W280))),"Precautionary pause: follow-up decision due date missing",IF(AND(G280="Paused — pending decision",E280&lt;&gt;"Precautionary pause (containment)"),"Paused, pending decision is only for a Precautionary pause event",IF(AND(E280="Decision",OR(G280="",H280="",I280="")),"Outcome / delegation / decision ref missing",IF(AND(E280="Decision",NOT(OR(G280="Progress",G280="Progress with condition",G280="Return for evidence",G280="Pause",G280="Stop",G280="Suspend",G280="Decommission",G280="Re-authorise",G280="Resume"))),"Decision event needs a decision outcome",IF(AND(E280="Priority override",OR(H280="",I280="")),"Decision-maker / AIG-DEC-03 ref missing",IF(AND(E280="Priority override",G280&lt;&gt;"",G280&lt;&gt;"No decision"),"Priority override: Outcome blank or No decision",IF(AND(E280&lt;&gt;"Decision",OR(G280="Progress",G280="Progress with condition",G280="Return for evidence",G280="Pause",G280="Stop",G280="Suspend",G280="Decommission",G280="Re-authorise",G280="Resume")),"Outcome implies decision",IF(OR(ISNUMBER(SEARCH(",",O280)),ISNUMBER(SEARCH(";",O280))),"One UC-ID per event row — split this event",IF(AND(E280="Decision",OR(Q280="UC-ID REQUIRED",Q280="Decision scope missing",Q280="REMOVE UC-ID OR CORRECT SCOPE")),"Decision scope missing",IF(AND(G280="Progress with condition",COUNTIF(Conditions!$B$4:$B$553,A280)=0),"Progress with condition needs at least one Conditions row",IF(AND(C280&lt;&gt;"",COUNTIFS('Gate plan'!$A$4:$A$353,C280,'Gate plan'!$C$4:$C$353,D280)=0),"Plan gate differs from event gate",IF(AND(C280&lt;&gt;"",O280&lt;&gt;"",COUNTIFS('Gate plan'!$A$4:$A$353,C280,'Gate plan'!$K$4:$K$353,"&lt;&gt;")&gt;0,COUNTIFS('Gate plan'!$A$4:$A$353,C280,'Gate plan'!$K$4:$K$353,O280)=0),"Plan UC-ID differs from event UC-ID",IF(AND(E280="Assurance opinion",J280=""),"Assurance opinion ref missing",IF(AND(G280="Opinion only",E280&lt;&gt;"Assurance opinion",E280&lt;&gt;"Review only"),"Opinion only is for Assurance opinion or Review only events",IF(AND(G280="No decision",E280&lt;&gt;"Review only",E280&lt;&gt;"Priority override",E280&lt;&gt;"Intake / registration"),"No decision is for Review only, Priority override or Intake / registration events",IF(OR(ISNUMBER(SEARCH(" ",TRIM(O280))),ISNUMBER(SEARCH("/",O280))),"One UC-ID per event row: split this event",IF(AND(E280="Precautionary pause (containment)",ISNUMBER(W280),ISNUMBER(F280),W280&lt;F280),"Follow-up decision due date is before the pause",IF(AND(G280="Resume",IFERROR(LOOKUP(2,1/(($B$3:B279=B280)*($O$3:O279=O280)),$G$3:G279),"")&lt;&gt;"Paused — pending decision"),"Resume is only for the event straight after a Precautionary pause on the same AIR-ID and UC-ID (in an earlier row)",IF(AND(E280="Decision",OR(G280="Progress",G280="Progress with condition",G280="Re-authorise",G280="Resume"),X280&lt;&gt;"Yes"),"Decision-maker has not confirmed the screening was considered (column X)","Check against source")))))))))))))))))))))))))))))</f>
        <v/>
      </c>
      <c r="O280" s="37" t="n"/>
      <c r="P280" s="37" t="n"/>
      <c r="Q280" s="14">
        <f>IF(A280="","",IF(E280&lt;&gt;"Decision","",IF(P280="UC-ID specific",IF(O280="","UC-ID REQUIRED","Check source decision for each UC-ID"),IF(P280="Shared system baseline",IF(O280&lt;&gt;"","REMOVE UC-ID OR CORRECT SCOPE","Baseline only — NOT UC approval"),"Decision scope missing"))))</f>
        <v/>
      </c>
      <c r="R280" s="42" t="n"/>
      <c r="S280" s="38" t="n"/>
      <c r="T280" s="38" t="n"/>
      <c r="U280" s="38" t="n"/>
      <c r="V280" s="38" t="n"/>
      <c r="W280" s="39" t="n"/>
      <c r="X280" s="38" t="n"/>
    </row>
    <row r="281">
      <c r="A281" s="40" t="n"/>
      <c r="B281" s="40" t="n"/>
      <c r="C281" s="40" t="n"/>
      <c r="D281" s="40" t="n"/>
      <c r="E281" s="40" t="n"/>
      <c r="F281" s="41" t="n"/>
      <c r="G281" s="40" t="n"/>
      <c r="H281" s="40" t="n"/>
      <c r="I281" s="40" t="n"/>
      <c r="J281" s="40" t="n"/>
      <c r="K281" s="40" t="n"/>
      <c r="L281" s="40" t="n"/>
      <c r="M281" s="40" t="n"/>
      <c r="N281" s="24">
        <f>IF(COUNTA(A281:M281,O281:P281,R281:X281)=0,"",IF(OR(A281="",B281="",F281=""),"Event ID, AIR-ID or date missing",IF(COUNTIF($A$4:$A$553,A281)&gt;1,"Duplicate Event ID",IF(E281="","Event type missing",IF(OR(NOT(ISNUMBER(F281)),F281&gt;TODAY()),"Date is not a real date or is in the future",IF(AND(C281&lt;&gt;"",COUNTIF('Gate plan'!$A$4:$A$353,C281)=0),"Plan ID not found in Gate plan",IF(AND(C281&lt;&gt;"",COUNTIFS('Gate plan'!$A$4:$A$353,C281,'Gate plan'!$B$4:$B$353,B281)=0),"Plan AIR-ID differs from event",IF(D281="","Gate / forum missing",IF(AND(E281="Precautionary pause (containment)",G281&lt;&gt;"Paused — pending decision"),"Precautionary pause: Outcome must be Paused, pending decision",IF(AND(E281="Precautionary pause (containment)",V281=""),"Precautionary pause: AIG-OPS-03 incident ref missing",IF(AND(E281="Precautionary pause (containment)",NOT(ISNUMBER(W281))),"Precautionary pause: follow-up decision due date missing",IF(AND(G281="Paused — pending decision",E281&lt;&gt;"Precautionary pause (containment)"),"Paused, pending decision is only for a Precautionary pause event",IF(AND(E281="Decision",OR(G281="",H281="",I281="")),"Outcome / delegation / decision ref missing",IF(AND(E281="Decision",NOT(OR(G281="Progress",G281="Progress with condition",G281="Return for evidence",G281="Pause",G281="Stop",G281="Suspend",G281="Decommission",G281="Re-authorise",G281="Resume"))),"Decision event needs a decision outcome",IF(AND(E281="Priority override",OR(H281="",I281="")),"Decision-maker / AIG-DEC-03 ref missing",IF(AND(E281="Priority override",G281&lt;&gt;"",G281&lt;&gt;"No decision"),"Priority override: Outcome blank or No decision",IF(AND(E281&lt;&gt;"Decision",OR(G281="Progress",G281="Progress with condition",G281="Return for evidence",G281="Pause",G281="Stop",G281="Suspend",G281="Decommission",G281="Re-authorise",G281="Resume")),"Outcome implies decision",IF(OR(ISNUMBER(SEARCH(",",O281)),ISNUMBER(SEARCH(";",O281))),"One UC-ID per event row — split this event",IF(AND(E281="Decision",OR(Q281="UC-ID REQUIRED",Q281="Decision scope missing",Q281="REMOVE UC-ID OR CORRECT SCOPE")),"Decision scope missing",IF(AND(G281="Progress with condition",COUNTIF(Conditions!$B$4:$B$553,A281)=0),"Progress with condition needs at least one Conditions row",IF(AND(C281&lt;&gt;"",COUNTIFS('Gate plan'!$A$4:$A$353,C281,'Gate plan'!$C$4:$C$353,D281)=0),"Plan gate differs from event gate",IF(AND(C281&lt;&gt;"",O281&lt;&gt;"",COUNTIFS('Gate plan'!$A$4:$A$353,C281,'Gate plan'!$K$4:$K$353,"&lt;&gt;")&gt;0,COUNTIFS('Gate plan'!$A$4:$A$353,C281,'Gate plan'!$K$4:$K$353,O281)=0),"Plan UC-ID differs from event UC-ID",IF(AND(E281="Assurance opinion",J281=""),"Assurance opinion ref missing",IF(AND(G281="Opinion only",E281&lt;&gt;"Assurance opinion",E281&lt;&gt;"Review only"),"Opinion only is for Assurance opinion or Review only events",IF(AND(G281="No decision",E281&lt;&gt;"Review only",E281&lt;&gt;"Priority override",E281&lt;&gt;"Intake / registration"),"No decision is for Review only, Priority override or Intake / registration events",IF(OR(ISNUMBER(SEARCH(" ",TRIM(O281))),ISNUMBER(SEARCH("/",O281))),"One UC-ID per event row: split this event",IF(AND(E281="Precautionary pause (containment)",ISNUMBER(W281),ISNUMBER(F281),W281&lt;F281),"Follow-up decision due date is before the pause",IF(AND(G281="Resume",IFERROR(LOOKUP(2,1/(($B$3:B280=B281)*($O$3:O280=O281)),$G$3:G280),"")&lt;&gt;"Paused — pending decision"),"Resume is only for the event straight after a Precautionary pause on the same AIR-ID and UC-ID (in an earlier row)",IF(AND(E281="Decision",OR(G281="Progress",G281="Progress with condition",G281="Re-authorise",G281="Resume"),X281&lt;&gt;"Yes"),"Decision-maker has not confirmed the screening was considered (column X)","Check against source")))))))))))))))))))))))))))))</f>
        <v/>
      </c>
      <c r="O281" s="37" t="n"/>
      <c r="P281" s="37" t="n"/>
      <c r="Q281" s="14">
        <f>IF(A281="","",IF(E281&lt;&gt;"Decision","",IF(P281="UC-ID specific",IF(O281="","UC-ID REQUIRED","Check source decision for each UC-ID"),IF(P281="Shared system baseline",IF(O281&lt;&gt;"","REMOVE UC-ID OR CORRECT SCOPE","Baseline only — NOT UC approval"),"Decision scope missing"))))</f>
        <v/>
      </c>
      <c r="R281" s="43" t="n"/>
      <c r="S281" s="40" t="n"/>
      <c r="T281" s="40" t="n"/>
      <c r="U281" s="40" t="n"/>
      <c r="V281" s="40" t="n"/>
      <c r="W281" s="41" t="n"/>
      <c r="X281" s="38" t="n"/>
    </row>
    <row r="282">
      <c r="A282" s="38" t="n"/>
      <c r="B282" s="38" t="n"/>
      <c r="C282" s="38" t="n"/>
      <c r="D282" s="38" t="n"/>
      <c r="E282" s="38" t="n"/>
      <c r="F282" s="39" t="n"/>
      <c r="G282" s="38" t="n"/>
      <c r="H282" s="38" t="n"/>
      <c r="I282" s="38" t="n"/>
      <c r="J282" s="38" t="n"/>
      <c r="K282" s="38" t="n"/>
      <c r="L282" s="38" t="n"/>
      <c r="M282" s="38" t="n"/>
      <c r="N282" s="22">
        <f>IF(COUNTA(A282:M282,O282:P282,R282:X282)=0,"",IF(OR(A282="",B282="",F282=""),"Event ID, AIR-ID or date missing",IF(COUNTIF($A$4:$A$553,A282)&gt;1,"Duplicate Event ID",IF(E282="","Event type missing",IF(OR(NOT(ISNUMBER(F282)),F282&gt;TODAY()),"Date is not a real date or is in the future",IF(AND(C282&lt;&gt;"",COUNTIF('Gate plan'!$A$4:$A$353,C282)=0),"Plan ID not found in Gate plan",IF(AND(C282&lt;&gt;"",COUNTIFS('Gate plan'!$A$4:$A$353,C282,'Gate plan'!$B$4:$B$353,B282)=0),"Plan AIR-ID differs from event",IF(D282="","Gate / forum missing",IF(AND(E282="Precautionary pause (containment)",G282&lt;&gt;"Paused — pending decision"),"Precautionary pause: Outcome must be Paused, pending decision",IF(AND(E282="Precautionary pause (containment)",V282=""),"Precautionary pause: AIG-OPS-03 incident ref missing",IF(AND(E282="Precautionary pause (containment)",NOT(ISNUMBER(W282))),"Precautionary pause: follow-up decision due date missing",IF(AND(G282="Paused — pending decision",E282&lt;&gt;"Precautionary pause (containment)"),"Paused, pending decision is only for a Precautionary pause event",IF(AND(E282="Decision",OR(G282="",H282="",I282="")),"Outcome / delegation / decision ref missing",IF(AND(E282="Decision",NOT(OR(G282="Progress",G282="Progress with condition",G282="Return for evidence",G282="Pause",G282="Stop",G282="Suspend",G282="Decommission",G282="Re-authorise",G282="Resume"))),"Decision event needs a decision outcome",IF(AND(E282="Priority override",OR(H282="",I282="")),"Decision-maker / AIG-DEC-03 ref missing",IF(AND(E282="Priority override",G282&lt;&gt;"",G282&lt;&gt;"No decision"),"Priority override: Outcome blank or No decision",IF(AND(E282&lt;&gt;"Decision",OR(G282="Progress",G282="Progress with condition",G282="Return for evidence",G282="Pause",G282="Stop",G282="Suspend",G282="Decommission",G282="Re-authorise",G282="Resume")),"Outcome implies decision",IF(OR(ISNUMBER(SEARCH(",",O282)),ISNUMBER(SEARCH(";",O282))),"One UC-ID per event row — split this event",IF(AND(E282="Decision",OR(Q282="UC-ID REQUIRED",Q282="Decision scope missing",Q282="REMOVE UC-ID OR CORRECT SCOPE")),"Decision scope missing",IF(AND(G282="Progress with condition",COUNTIF(Conditions!$B$4:$B$553,A282)=0),"Progress with condition needs at least one Conditions row",IF(AND(C282&lt;&gt;"",COUNTIFS('Gate plan'!$A$4:$A$353,C282,'Gate plan'!$C$4:$C$353,D282)=0),"Plan gate differs from event gate",IF(AND(C282&lt;&gt;"",O282&lt;&gt;"",COUNTIFS('Gate plan'!$A$4:$A$353,C282,'Gate plan'!$K$4:$K$353,"&lt;&gt;")&gt;0,COUNTIFS('Gate plan'!$A$4:$A$353,C282,'Gate plan'!$K$4:$K$353,O282)=0),"Plan UC-ID differs from event UC-ID",IF(AND(E282="Assurance opinion",J282=""),"Assurance opinion ref missing",IF(AND(G282="Opinion only",E282&lt;&gt;"Assurance opinion",E282&lt;&gt;"Review only"),"Opinion only is for Assurance opinion or Review only events",IF(AND(G282="No decision",E282&lt;&gt;"Review only",E282&lt;&gt;"Priority override",E282&lt;&gt;"Intake / registration"),"No decision is for Review only, Priority override or Intake / registration events",IF(OR(ISNUMBER(SEARCH(" ",TRIM(O282))),ISNUMBER(SEARCH("/",O282))),"One UC-ID per event row: split this event",IF(AND(E282="Precautionary pause (containment)",ISNUMBER(W282),ISNUMBER(F282),W282&lt;F282),"Follow-up decision due date is before the pause",IF(AND(G282="Resume",IFERROR(LOOKUP(2,1/(($B$3:B281=B282)*($O$3:O281=O282)),$G$3:G281),"")&lt;&gt;"Paused — pending decision"),"Resume is only for the event straight after a Precautionary pause on the same AIR-ID and UC-ID (in an earlier row)",IF(AND(E282="Decision",OR(G282="Progress",G282="Progress with condition",G282="Re-authorise",G282="Resume"),X282&lt;&gt;"Yes"),"Decision-maker has not confirmed the screening was considered (column X)","Check against source")))))))))))))))))))))))))))))</f>
        <v/>
      </c>
      <c r="O282" s="37" t="n"/>
      <c r="P282" s="37" t="n"/>
      <c r="Q282" s="14">
        <f>IF(A282="","",IF(E282&lt;&gt;"Decision","",IF(P282="UC-ID specific",IF(O282="","UC-ID REQUIRED","Check source decision for each UC-ID"),IF(P282="Shared system baseline",IF(O282&lt;&gt;"","REMOVE UC-ID OR CORRECT SCOPE","Baseline only — NOT UC approval"),"Decision scope missing"))))</f>
        <v/>
      </c>
      <c r="R282" s="42" t="n"/>
      <c r="S282" s="38" t="n"/>
      <c r="T282" s="38" t="n"/>
      <c r="U282" s="38" t="n"/>
      <c r="V282" s="38" t="n"/>
      <c r="W282" s="39" t="n"/>
      <c r="X282" s="38" t="n"/>
    </row>
    <row r="283">
      <c r="A283" s="40" t="n"/>
      <c r="B283" s="40" t="n"/>
      <c r="C283" s="40" t="n"/>
      <c r="D283" s="40" t="n"/>
      <c r="E283" s="40" t="n"/>
      <c r="F283" s="41" t="n"/>
      <c r="G283" s="40" t="n"/>
      <c r="H283" s="40" t="n"/>
      <c r="I283" s="40" t="n"/>
      <c r="J283" s="40" t="n"/>
      <c r="K283" s="40" t="n"/>
      <c r="L283" s="40" t="n"/>
      <c r="M283" s="40" t="n"/>
      <c r="N283" s="24">
        <f>IF(COUNTA(A283:M283,O283:P283,R283:X283)=0,"",IF(OR(A283="",B283="",F283=""),"Event ID, AIR-ID or date missing",IF(COUNTIF($A$4:$A$553,A283)&gt;1,"Duplicate Event ID",IF(E283="","Event type missing",IF(OR(NOT(ISNUMBER(F283)),F283&gt;TODAY()),"Date is not a real date or is in the future",IF(AND(C283&lt;&gt;"",COUNTIF('Gate plan'!$A$4:$A$353,C283)=0),"Plan ID not found in Gate plan",IF(AND(C283&lt;&gt;"",COUNTIFS('Gate plan'!$A$4:$A$353,C283,'Gate plan'!$B$4:$B$353,B283)=0),"Plan AIR-ID differs from event",IF(D283="","Gate / forum missing",IF(AND(E283="Precautionary pause (containment)",G283&lt;&gt;"Paused — pending decision"),"Precautionary pause: Outcome must be Paused, pending decision",IF(AND(E283="Precautionary pause (containment)",V283=""),"Precautionary pause: AIG-OPS-03 incident ref missing",IF(AND(E283="Precautionary pause (containment)",NOT(ISNUMBER(W283))),"Precautionary pause: follow-up decision due date missing",IF(AND(G283="Paused — pending decision",E283&lt;&gt;"Precautionary pause (containment)"),"Paused, pending decision is only for a Precautionary pause event",IF(AND(E283="Decision",OR(G283="",H283="",I283="")),"Outcome / delegation / decision ref missing",IF(AND(E283="Decision",NOT(OR(G283="Progress",G283="Progress with condition",G283="Return for evidence",G283="Pause",G283="Stop",G283="Suspend",G283="Decommission",G283="Re-authorise",G283="Resume"))),"Decision event needs a decision outcome",IF(AND(E283="Priority override",OR(H283="",I283="")),"Decision-maker / AIG-DEC-03 ref missing",IF(AND(E283="Priority override",G283&lt;&gt;"",G283&lt;&gt;"No decision"),"Priority override: Outcome blank or No decision",IF(AND(E283&lt;&gt;"Decision",OR(G283="Progress",G283="Progress with condition",G283="Return for evidence",G283="Pause",G283="Stop",G283="Suspend",G283="Decommission",G283="Re-authorise",G283="Resume")),"Outcome implies decision",IF(OR(ISNUMBER(SEARCH(",",O283)),ISNUMBER(SEARCH(";",O283))),"One UC-ID per event row — split this event",IF(AND(E283="Decision",OR(Q283="UC-ID REQUIRED",Q283="Decision scope missing",Q283="REMOVE UC-ID OR CORRECT SCOPE")),"Decision scope missing",IF(AND(G283="Progress with condition",COUNTIF(Conditions!$B$4:$B$553,A283)=0),"Progress with condition needs at least one Conditions row",IF(AND(C283&lt;&gt;"",COUNTIFS('Gate plan'!$A$4:$A$353,C283,'Gate plan'!$C$4:$C$353,D283)=0),"Plan gate differs from event gate",IF(AND(C283&lt;&gt;"",O283&lt;&gt;"",COUNTIFS('Gate plan'!$A$4:$A$353,C283,'Gate plan'!$K$4:$K$353,"&lt;&gt;")&gt;0,COUNTIFS('Gate plan'!$A$4:$A$353,C283,'Gate plan'!$K$4:$K$353,O283)=0),"Plan UC-ID differs from event UC-ID",IF(AND(E283="Assurance opinion",J283=""),"Assurance opinion ref missing",IF(AND(G283="Opinion only",E283&lt;&gt;"Assurance opinion",E283&lt;&gt;"Review only"),"Opinion only is for Assurance opinion or Review only events",IF(AND(G283="No decision",E283&lt;&gt;"Review only",E283&lt;&gt;"Priority override",E283&lt;&gt;"Intake / registration"),"No decision is for Review only, Priority override or Intake / registration events",IF(OR(ISNUMBER(SEARCH(" ",TRIM(O283))),ISNUMBER(SEARCH("/",O283))),"One UC-ID per event row: split this event",IF(AND(E283="Precautionary pause (containment)",ISNUMBER(W283),ISNUMBER(F283),W283&lt;F283),"Follow-up decision due date is before the pause",IF(AND(G283="Resume",IFERROR(LOOKUP(2,1/(($B$3:B282=B283)*($O$3:O282=O283)),$G$3:G282),"")&lt;&gt;"Paused — pending decision"),"Resume is only for the event straight after a Precautionary pause on the same AIR-ID and UC-ID (in an earlier row)",IF(AND(E283="Decision",OR(G283="Progress",G283="Progress with condition",G283="Re-authorise",G283="Resume"),X283&lt;&gt;"Yes"),"Decision-maker has not confirmed the screening was considered (column X)","Check against source")))))))))))))))))))))))))))))</f>
        <v/>
      </c>
      <c r="O283" s="37" t="n"/>
      <c r="P283" s="37" t="n"/>
      <c r="Q283" s="14">
        <f>IF(A283="","",IF(E283&lt;&gt;"Decision","",IF(P283="UC-ID specific",IF(O283="","UC-ID REQUIRED","Check source decision for each UC-ID"),IF(P283="Shared system baseline",IF(O283&lt;&gt;"","REMOVE UC-ID OR CORRECT SCOPE","Baseline only — NOT UC approval"),"Decision scope missing"))))</f>
        <v/>
      </c>
      <c r="R283" s="43" t="n"/>
      <c r="S283" s="40" t="n"/>
      <c r="T283" s="40" t="n"/>
      <c r="U283" s="40" t="n"/>
      <c r="V283" s="40" t="n"/>
      <c r="W283" s="41" t="n"/>
      <c r="X283" s="38" t="n"/>
    </row>
    <row r="284">
      <c r="A284" s="38" t="n"/>
      <c r="B284" s="38" t="n"/>
      <c r="C284" s="38" t="n"/>
      <c r="D284" s="38" t="n"/>
      <c r="E284" s="38" t="n"/>
      <c r="F284" s="39" t="n"/>
      <c r="G284" s="38" t="n"/>
      <c r="H284" s="38" t="n"/>
      <c r="I284" s="38" t="n"/>
      <c r="J284" s="38" t="n"/>
      <c r="K284" s="38" t="n"/>
      <c r="L284" s="38" t="n"/>
      <c r="M284" s="38" t="n"/>
      <c r="N284" s="22">
        <f>IF(COUNTA(A284:M284,O284:P284,R284:X284)=0,"",IF(OR(A284="",B284="",F284=""),"Event ID, AIR-ID or date missing",IF(COUNTIF($A$4:$A$553,A284)&gt;1,"Duplicate Event ID",IF(E284="","Event type missing",IF(OR(NOT(ISNUMBER(F284)),F284&gt;TODAY()),"Date is not a real date or is in the future",IF(AND(C284&lt;&gt;"",COUNTIF('Gate plan'!$A$4:$A$353,C284)=0),"Plan ID not found in Gate plan",IF(AND(C284&lt;&gt;"",COUNTIFS('Gate plan'!$A$4:$A$353,C284,'Gate plan'!$B$4:$B$353,B284)=0),"Plan AIR-ID differs from event",IF(D284="","Gate / forum missing",IF(AND(E284="Precautionary pause (containment)",G284&lt;&gt;"Paused — pending decision"),"Precautionary pause: Outcome must be Paused, pending decision",IF(AND(E284="Precautionary pause (containment)",V284=""),"Precautionary pause: AIG-OPS-03 incident ref missing",IF(AND(E284="Precautionary pause (containment)",NOT(ISNUMBER(W284))),"Precautionary pause: follow-up decision due date missing",IF(AND(G284="Paused — pending decision",E284&lt;&gt;"Precautionary pause (containment)"),"Paused, pending decision is only for a Precautionary pause event",IF(AND(E284="Decision",OR(G284="",H284="",I284="")),"Outcome / delegation / decision ref missing",IF(AND(E284="Decision",NOT(OR(G284="Progress",G284="Progress with condition",G284="Return for evidence",G284="Pause",G284="Stop",G284="Suspend",G284="Decommission",G284="Re-authorise",G284="Resume"))),"Decision event needs a decision outcome",IF(AND(E284="Priority override",OR(H284="",I284="")),"Decision-maker / AIG-DEC-03 ref missing",IF(AND(E284="Priority override",G284&lt;&gt;"",G284&lt;&gt;"No decision"),"Priority override: Outcome blank or No decision",IF(AND(E284&lt;&gt;"Decision",OR(G284="Progress",G284="Progress with condition",G284="Return for evidence",G284="Pause",G284="Stop",G284="Suspend",G284="Decommission",G284="Re-authorise",G284="Resume")),"Outcome implies decision",IF(OR(ISNUMBER(SEARCH(",",O284)),ISNUMBER(SEARCH(";",O284))),"One UC-ID per event row — split this event",IF(AND(E284="Decision",OR(Q284="UC-ID REQUIRED",Q284="Decision scope missing",Q284="REMOVE UC-ID OR CORRECT SCOPE")),"Decision scope missing",IF(AND(G284="Progress with condition",COUNTIF(Conditions!$B$4:$B$553,A284)=0),"Progress with condition needs at least one Conditions row",IF(AND(C284&lt;&gt;"",COUNTIFS('Gate plan'!$A$4:$A$353,C284,'Gate plan'!$C$4:$C$353,D284)=0),"Plan gate differs from event gate",IF(AND(C284&lt;&gt;"",O284&lt;&gt;"",COUNTIFS('Gate plan'!$A$4:$A$353,C284,'Gate plan'!$K$4:$K$353,"&lt;&gt;")&gt;0,COUNTIFS('Gate plan'!$A$4:$A$353,C284,'Gate plan'!$K$4:$K$353,O284)=0),"Plan UC-ID differs from event UC-ID",IF(AND(E284="Assurance opinion",J284=""),"Assurance opinion ref missing",IF(AND(G284="Opinion only",E284&lt;&gt;"Assurance opinion",E284&lt;&gt;"Review only"),"Opinion only is for Assurance opinion or Review only events",IF(AND(G284="No decision",E284&lt;&gt;"Review only",E284&lt;&gt;"Priority override",E284&lt;&gt;"Intake / registration"),"No decision is for Review only, Priority override or Intake / registration events",IF(OR(ISNUMBER(SEARCH(" ",TRIM(O284))),ISNUMBER(SEARCH("/",O284))),"One UC-ID per event row: split this event",IF(AND(E284="Precautionary pause (containment)",ISNUMBER(W284),ISNUMBER(F284),W284&lt;F284),"Follow-up decision due date is before the pause",IF(AND(G284="Resume",IFERROR(LOOKUP(2,1/(($B$3:B283=B284)*($O$3:O283=O284)),$G$3:G283),"")&lt;&gt;"Paused — pending decision"),"Resume is only for the event straight after a Precautionary pause on the same AIR-ID and UC-ID (in an earlier row)",IF(AND(E284="Decision",OR(G284="Progress",G284="Progress with condition",G284="Re-authorise",G284="Resume"),X284&lt;&gt;"Yes"),"Decision-maker has not confirmed the screening was considered (column X)","Check against source")))))))))))))))))))))))))))))</f>
        <v/>
      </c>
      <c r="O284" s="37" t="n"/>
      <c r="P284" s="37" t="n"/>
      <c r="Q284" s="14">
        <f>IF(A284="","",IF(E284&lt;&gt;"Decision","",IF(P284="UC-ID specific",IF(O284="","UC-ID REQUIRED","Check source decision for each UC-ID"),IF(P284="Shared system baseline",IF(O284&lt;&gt;"","REMOVE UC-ID OR CORRECT SCOPE","Baseline only — NOT UC approval"),"Decision scope missing"))))</f>
        <v/>
      </c>
      <c r="R284" s="42" t="n"/>
      <c r="S284" s="38" t="n"/>
      <c r="T284" s="38" t="n"/>
      <c r="U284" s="38" t="n"/>
      <c r="V284" s="38" t="n"/>
      <c r="W284" s="39" t="n"/>
      <c r="X284" s="38" t="n"/>
    </row>
    <row r="285">
      <c r="A285" s="40" t="n"/>
      <c r="B285" s="40" t="n"/>
      <c r="C285" s="40" t="n"/>
      <c r="D285" s="40" t="n"/>
      <c r="E285" s="40" t="n"/>
      <c r="F285" s="41" t="n"/>
      <c r="G285" s="40" t="n"/>
      <c r="H285" s="40" t="n"/>
      <c r="I285" s="40" t="n"/>
      <c r="J285" s="40" t="n"/>
      <c r="K285" s="40" t="n"/>
      <c r="L285" s="40" t="n"/>
      <c r="M285" s="40" t="n"/>
      <c r="N285" s="24">
        <f>IF(COUNTA(A285:M285,O285:P285,R285:X285)=0,"",IF(OR(A285="",B285="",F285=""),"Event ID, AIR-ID or date missing",IF(COUNTIF($A$4:$A$553,A285)&gt;1,"Duplicate Event ID",IF(E285="","Event type missing",IF(OR(NOT(ISNUMBER(F285)),F285&gt;TODAY()),"Date is not a real date or is in the future",IF(AND(C285&lt;&gt;"",COUNTIF('Gate plan'!$A$4:$A$353,C285)=0),"Plan ID not found in Gate plan",IF(AND(C285&lt;&gt;"",COUNTIFS('Gate plan'!$A$4:$A$353,C285,'Gate plan'!$B$4:$B$353,B285)=0),"Plan AIR-ID differs from event",IF(D285="","Gate / forum missing",IF(AND(E285="Precautionary pause (containment)",G285&lt;&gt;"Paused — pending decision"),"Precautionary pause: Outcome must be Paused, pending decision",IF(AND(E285="Precautionary pause (containment)",V285=""),"Precautionary pause: AIG-OPS-03 incident ref missing",IF(AND(E285="Precautionary pause (containment)",NOT(ISNUMBER(W285))),"Precautionary pause: follow-up decision due date missing",IF(AND(G285="Paused — pending decision",E285&lt;&gt;"Precautionary pause (containment)"),"Paused, pending decision is only for a Precautionary pause event",IF(AND(E285="Decision",OR(G285="",H285="",I285="")),"Outcome / delegation / decision ref missing",IF(AND(E285="Decision",NOT(OR(G285="Progress",G285="Progress with condition",G285="Return for evidence",G285="Pause",G285="Stop",G285="Suspend",G285="Decommission",G285="Re-authorise",G285="Resume"))),"Decision event needs a decision outcome",IF(AND(E285="Priority override",OR(H285="",I285="")),"Decision-maker / AIG-DEC-03 ref missing",IF(AND(E285="Priority override",G285&lt;&gt;"",G285&lt;&gt;"No decision"),"Priority override: Outcome blank or No decision",IF(AND(E285&lt;&gt;"Decision",OR(G285="Progress",G285="Progress with condition",G285="Return for evidence",G285="Pause",G285="Stop",G285="Suspend",G285="Decommission",G285="Re-authorise",G285="Resume")),"Outcome implies decision",IF(OR(ISNUMBER(SEARCH(",",O285)),ISNUMBER(SEARCH(";",O285))),"One UC-ID per event row — split this event",IF(AND(E285="Decision",OR(Q285="UC-ID REQUIRED",Q285="Decision scope missing",Q285="REMOVE UC-ID OR CORRECT SCOPE")),"Decision scope missing",IF(AND(G285="Progress with condition",COUNTIF(Conditions!$B$4:$B$553,A285)=0),"Progress with condition needs at least one Conditions row",IF(AND(C285&lt;&gt;"",COUNTIFS('Gate plan'!$A$4:$A$353,C285,'Gate plan'!$C$4:$C$353,D285)=0),"Plan gate differs from event gate",IF(AND(C285&lt;&gt;"",O285&lt;&gt;"",COUNTIFS('Gate plan'!$A$4:$A$353,C285,'Gate plan'!$K$4:$K$353,"&lt;&gt;")&gt;0,COUNTIFS('Gate plan'!$A$4:$A$353,C285,'Gate plan'!$K$4:$K$353,O285)=0),"Plan UC-ID differs from event UC-ID",IF(AND(E285="Assurance opinion",J285=""),"Assurance opinion ref missing",IF(AND(G285="Opinion only",E285&lt;&gt;"Assurance opinion",E285&lt;&gt;"Review only"),"Opinion only is for Assurance opinion or Review only events",IF(AND(G285="No decision",E285&lt;&gt;"Review only",E285&lt;&gt;"Priority override",E285&lt;&gt;"Intake / registration"),"No decision is for Review only, Priority override or Intake / registration events",IF(OR(ISNUMBER(SEARCH(" ",TRIM(O285))),ISNUMBER(SEARCH("/",O285))),"One UC-ID per event row: split this event",IF(AND(E285="Precautionary pause (containment)",ISNUMBER(W285),ISNUMBER(F285),W285&lt;F285),"Follow-up decision due date is before the pause",IF(AND(G285="Resume",IFERROR(LOOKUP(2,1/(($B$3:B284=B285)*($O$3:O284=O285)),$G$3:G284),"")&lt;&gt;"Paused — pending decision"),"Resume is only for the event straight after a Precautionary pause on the same AIR-ID and UC-ID (in an earlier row)",IF(AND(E285="Decision",OR(G285="Progress",G285="Progress with condition",G285="Re-authorise",G285="Resume"),X285&lt;&gt;"Yes"),"Decision-maker has not confirmed the screening was considered (column X)","Check against source")))))))))))))))))))))))))))))</f>
        <v/>
      </c>
      <c r="O285" s="37" t="n"/>
      <c r="P285" s="37" t="n"/>
      <c r="Q285" s="14">
        <f>IF(A285="","",IF(E285&lt;&gt;"Decision","",IF(P285="UC-ID specific",IF(O285="","UC-ID REQUIRED","Check source decision for each UC-ID"),IF(P285="Shared system baseline",IF(O285&lt;&gt;"","REMOVE UC-ID OR CORRECT SCOPE","Baseline only — NOT UC approval"),"Decision scope missing"))))</f>
        <v/>
      </c>
      <c r="R285" s="43" t="n"/>
      <c r="S285" s="40" t="n"/>
      <c r="T285" s="40" t="n"/>
      <c r="U285" s="40" t="n"/>
      <c r="V285" s="40" t="n"/>
      <c r="W285" s="41" t="n"/>
      <c r="X285" s="38" t="n"/>
    </row>
    <row r="286">
      <c r="A286" s="38" t="n"/>
      <c r="B286" s="38" t="n"/>
      <c r="C286" s="38" t="n"/>
      <c r="D286" s="38" t="n"/>
      <c r="E286" s="38" t="n"/>
      <c r="F286" s="39" t="n"/>
      <c r="G286" s="38" t="n"/>
      <c r="H286" s="38" t="n"/>
      <c r="I286" s="38" t="n"/>
      <c r="J286" s="38" t="n"/>
      <c r="K286" s="38" t="n"/>
      <c r="L286" s="38" t="n"/>
      <c r="M286" s="38" t="n"/>
      <c r="N286" s="22">
        <f>IF(COUNTA(A286:M286,O286:P286,R286:X286)=0,"",IF(OR(A286="",B286="",F286=""),"Event ID, AIR-ID or date missing",IF(COUNTIF($A$4:$A$553,A286)&gt;1,"Duplicate Event ID",IF(E286="","Event type missing",IF(OR(NOT(ISNUMBER(F286)),F286&gt;TODAY()),"Date is not a real date or is in the future",IF(AND(C286&lt;&gt;"",COUNTIF('Gate plan'!$A$4:$A$353,C286)=0),"Plan ID not found in Gate plan",IF(AND(C286&lt;&gt;"",COUNTIFS('Gate plan'!$A$4:$A$353,C286,'Gate plan'!$B$4:$B$353,B286)=0),"Plan AIR-ID differs from event",IF(D286="","Gate / forum missing",IF(AND(E286="Precautionary pause (containment)",G286&lt;&gt;"Paused — pending decision"),"Precautionary pause: Outcome must be Paused, pending decision",IF(AND(E286="Precautionary pause (containment)",V286=""),"Precautionary pause: AIG-OPS-03 incident ref missing",IF(AND(E286="Precautionary pause (containment)",NOT(ISNUMBER(W286))),"Precautionary pause: follow-up decision due date missing",IF(AND(G286="Paused — pending decision",E286&lt;&gt;"Precautionary pause (containment)"),"Paused, pending decision is only for a Precautionary pause event",IF(AND(E286="Decision",OR(G286="",H286="",I286="")),"Outcome / delegation / decision ref missing",IF(AND(E286="Decision",NOT(OR(G286="Progress",G286="Progress with condition",G286="Return for evidence",G286="Pause",G286="Stop",G286="Suspend",G286="Decommission",G286="Re-authorise",G286="Resume"))),"Decision event needs a decision outcome",IF(AND(E286="Priority override",OR(H286="",I286="")),"Decision-maker / AIG-DEC-03 ref missing",IF(AND(E286="Priority override",G286&lt;&gt;"",G286&lt;&gt;"No decision"),"Priority override: Outcome blank or No decision",IF(AND(E286&lt;&gt;"Decision",OR(G286="Progress",G286="Progress with condition",G286="Return for evidence",G286="Pause",G286="Stop",G286="Suspend",G286="Decommission",G286="Re-authorise",G286="Resume")),"Outcome implies decision",IF(OR(ISNUMBER(SEARCH(",",O286)),ISNUMBER(SEARCH(";",O286))),"One UC-ID per event row — split this event",IF(AND(E286="Decision",OR(Q286="UC-ID REQUIRED",Q286="Decision scope missing",Q286="REMOVE UC-ID OR CORRECT SCOPE")),"Decision scope missing",IF(AND(G286="Progress with condition",COUNTIF(Conditions!$B$4:$B$553,A286)=0),"Progress with condition needs at least one Conditions row",IF(AND(C286&lt;&gt;"",COUNTIFS('Gate plan'!$A$4:$A$353,C286,'Gate plan'!$C$4:$C$353,D286)=0),"Plan gate differs from event gate",IF(AND(C286&lt;&gt;"",O286&lt;&gt;"",COUNTIFS('Gate plan'!$A$4:$A$353,C286,'Gate plan'!$K$4:$K$353,"&lt;&gt;")&gt;0,COUNTIFS('Gate plan'!$A$4:$A$353,C286,'Gate plan'!$K$4:$K$353,O286)=0),"Plan UC-ID differs from event UC-ID",IF(AND(E286="Assurance opinion",J286=""),"Assurance opinion ref missing",IF(AND(G286="Opinion only",E286&lt;&gt;"Assurance opinion",E286&lt;&gt;"Review only"),"Opinion only is for Assurance opinion or Review only events",IF(AND(G286="No decision",E286&lt;&gt;"Review only",E286&lt;&gt;"Priority override",E286&lt;&gt;"Intake / registration"),"No decision is for Review only, Priority override or Intake / registration events",IF(OR(ISNUMBER(SEARCH(" ",TRIM(O286))),ISNUMBER(SEARCH("/",O286))),"One UC-ID per event row: split this event",IF(AND(E286="Precautionary pause (containment)",ISNUMBER(W286),ISNUMBER(F286),W286&lt;F286),"Follow-up decision due date is before the pause",IF(AND(G286="Resume",IFERROR(LOOKUP(2,1/(($B$3:B285=B286)*($O$3:O285=O286)),$G$3:G285),"")&lt;&gt;"Paused — pending decision"),"Resume is only for the event straight after a Precautionary pause on the same AIR-ID and UC-ID (in an earlier row)",IF(AND(E286="Decision",OR(G286="Progress",G286="Progress with condition",G286="Re-authorise",G286="Resume"),X286&lt;&gt;"Yes"),"Decision-maker has not confirmed the screening was considered (column X)","Check against source")))))))))))))))))))))))))))))</f>
        <v/>
      </c>
      <c r="O286" s="37" t="n"/>
      <c r="P286" s="37" t="n"/>
      <c r="Q286" s="14">
        <f>IF(A286="","",IF(E286&lt;&gt;"Decision","",IF(P286="UC-ID specific",IF(O286="","UC-ID REQUIRED","Check source decision for each UC-ID"),IF(P286="Shared system baseline",IF(O286&lt;&gt;"","REMOVE UC-ID OR CORRECT SCOPE","Baseline only — NOT UC approval"),"Decision scope missing"))))</f>
        <v/>
      </c>
      <c r="R286" s="42" t="n"/>
      <c r="S286" s="38" t="n"/>
      <c r="T286" s="38" t="n"/>
      <c r="U286" s="38" t="n"/>
      <c r="V286" s="38" t="n"/>
      <c r="W286" s="39" t="n"/>
      <c r="X286" s="38" t="n"/>
    </row>
    <row r="287">
      <c r="A287" s="40" t="n"/>
      <c r="B287" s="40" t="n"/>
      <c r="C287" s="40" t="n"/>
      <c r="D287" s="40" t="n"/>
      <c r="E287" s="40" t="n"/>
      <c r="F287" s="41" t="n"/>
      <c r="G287" s="40" t="n"/>
      <c r="H287" s="40" t="n"/>
      <c r="I287" s="40" t="n"/>
      <c r="J287" s="40" t="n"/>
      <c r="K287" s="40" t="n"/>
      <c r="L287" s="40" t="n"/>
      <c r="M287" s="40" t="n"/>
      <c r="N287" s="24">
        <f>IF(COUNTA(A287:M287,O287:P287,R287:X287)=0,"",IF(OR(A287="",B287="",F287=""),"Event ID, AIR-ID or date missing",IF(COUNTIF($A$4:$A$553,A287)&gt;1,"Duplicate Event ID",IF(E287="","Event type missing",IF(OR(NOT(ISNUMBER(F287)),F287&gt;TODAY()),"Date is not a real date or is in the future",IF(AND(C287&lt;&gt;"",COUNTIF('Gate plan'!$A$4:$A$353,C287)=0),"Plan ID not found in Gate plan",IF(AND(C287&lt;&gt;"",COUNTIFS('Gate plan'!$A$4:$A$353,C287,'Gate plan'!$B$4:$B$353,B287)=0),"Plan AIR-ID differs from event",IF(D287="","Gate / forum missing",IF(AND(E287="Precautionary pause (containment)",G287&lt;&gt;"Paused — pending decision"),"Precautionary pause: Outcome must be Paused, pending decision",IF(AND(E287="Precautionary pause (containment)",V287=""),"Precautionary pause: AIG-OPS-03 incident ref missing",IF(AND(E287="Precautionary pause (containment)",NOT(ISNUMBER(W287))),"Precautionary pause: follow-up decision due date missing",IF(AND(G287="Paused — pending decision",E287&lt;&gt;"Precautionary pause (containment)"),"Paused, pending decision is only for a Precautionary pause event",IF(AND(E287="Decision",OR(G287="",H287="",I287="")),"Outcome / delegation / decision ref missing",IF(AND(E287="Decision",NOT(OR(G287="Progress",G287="Progress with condition",G287="Return for evidence",G287="Pause",G287="Stop",G287="Suspend",G287="Decommission",G287="Re-authorise",G287="Resume"))),"Decision event needs a decision outcome",IF(AND(E287="Priority override",OR(H287="",I287="")),"Decision-maker / AIG-DEC-03 ref missing",IF(AND(E287="Priority override",G287&lt;&gt;"",G287&lt;&gt;"No decision"),"Priority override: Outcome blank or No decision",IF(AND(E287&lt;&gt;"Decision",OR(G287="Progress",G287="Progress with condition",G287="Return for evidence",G287="Pause",G287="Stop",G287="Suspend",G287="Decommission",G287="Re-authorise",G287="Resume")),"Outcome implies decision",IF(OR(ISNUMBER(SEARCH(",",O287)),ISNUMBER(SEARCH(";",O287))),"One UC-ID per event row — split this event",IF(AND(E287="Decision",OR(Q287="UC-ID REQUIRED",Q287="Decision scope missing",Q287="REMOVE UC-ID OR CORRECT SCOPE")),"Decision scope missing",IF(AND(G287="Progress with condition",COUNTIF(Conditions!$B$4:$B$553,A287)=0),"Progress with condition needs at least one Conditions row",IF(AND(C287&lt;&gt;"",COUNTIFS('Gate plan'!$A$4:$A$353,C287,'Gate plan'!$C$4:$C$353,D287)=0),"Plan gate differs from event gate",IF(AND(C287&lt;&gt;"",O287&lt;&gt;"",COUNTIFS('Gate plan'!$A$4:$A$353,C287,'Gate plan'!$K$4:$K$353,"&lt;&gt;")&gt;0,COUNTIFS('Gate plan'!$A$4:$A$353,C287,'Gate plan'!$K$4:$K$353,O287)=0),"Plan UC-ID differs from event UC-ID",IF(AND(E287="Assurance opinion",J287=""),"Assurance opinion ref missing",IF(AND(G287="Opinion only",E287&lt;&gt;"Assurance opinion",E287&lt;&gt;"Review only"),"Opinion only is for Assurance opinion or Review only events",IF(AND(G287="No decision",E287&lt;&gt;"Review only",E287&lt;&gt;"Priority override",E287&lt;&gt;"Intake / registration"),"No decision is for Review only, Priority override or Intake / registration events",IF(OR(ISNUMBER(SEARCH(" ",TRIM(O287))),ISNUMBER(SEARCH("/",O287))),"One UC-ID per event row: split this event",IF(AND(E287="Precautionary pause (containment)",ISNUMBER(W287),ISNUMBER(F287),W287&lt;F287),"Follow-up decision due date is before the pause",IF(AND(G287="Resume",IFERROR(LOOKUP(2,1/(($B$3:B286=B287)*($O$3:O286=O287)),$G$3:G286),"")&lt;&gt;"Paused — pending decision"),"Resume is only for the event straight after a Precautionary pause on the same AIR-ID and UC-ID (in an earlier row)",IF(AND(E287="Decision",OR(G287="Progress",G287="Progress with condition",G287="Re-authorise",G287="Resume"),X287&lt;&gt;"Yes"),"Decision-maker has not confirmed the screening was considered (column X)","Check against source")))))))))))))))))))))))))))))</f>
        <v/>
      </c>
      <c r="O287" s="37" t="n"/>
      <c r="P287" s="37" t="n"/>
      <c r="Q287" s="14">
        <f>IF(A287="","",IF(E287&lt;&gt;"Decision","",IF(P287="UC-ID specific",IF(O287="","UC-ID REQUIRED","Check source decision for each UC-ID"),IF(P287="Shared system baseline",IF(O287&lt;&gt;"","REMOVE UC-ID OR CORRECT SCOPE","Baseline only — NOT UC approval"),"Decision scope missing"))))</f>
        <v/>
      </c>
      <c r="R287" s="43" t="n"/>
      <c r="S287" s="40" t="n"/>
      <c r="T287" s="40" t="n"/>
      <c r="U287" s="40" t="n"/>
      <c r="V287" s="40" t="n"/>
      <c r="W287" s="41" t="n"/>
      <c r="X287" s="38" t="n"/>
    </row>
    <row r="288">
      <c r="A288" s="38" t="n"/>
      <c r="B288" s="38" t="n"/>
      <c r="C288" s="38" t="n"/>
      <c r="D288" s="38" t="n"/>
      <c r="E288" s="38" t="n"/>
      <c r="F288" s="39" t="n"/>
      <c r="G288" s="38" t="n"/>
      <c r="H288" s="38" t="n"/>
      <c r="I288" s="38" t="n"/>
      <c r="J288" s="38" t="n"/>
      <c r="K288" s="38" t="n"/>
      <c r="L288" s="38" t="n"/>
      <c r="M288" s="38" t="n"/>
      <c r="N288" s="22">
        <f>IF(COUNTA(A288:M288,O288:P288,R288:X288)=0,"",IF(OR(A288="",B288="",F288=""),"Event ID, AIR-ID or date missing",IF(COUNTIF($A$4:$A$553,A288)&gt;1,"Duplicate Event ID",IF(E288="","Event type missing",IF(OR(NOT(ISNUMBER(F288)),F288&gt;TODAY()),"Date is not a real date or is in the future",IF(AND(C288&lt;&gt;"",COUNTIF('Gate plan'!$A$4:$A$353,C288)=0),"Plan ID not found in Gate plan",IF(AND(C288&lt;&gt;"",COUNTIFS('Gate plan'!$A$4:$A$353,C288,'Gate plan'!$B$4:$B$353,B288)=0),"Plan AIR-ID differs from event",IF(D288="","Gate / forum missing",IF(AND(E288="Precautionary pause (containment)",G288&lt;&gt;"Paused — pending decision"),"Precautionary pause: Outcome must be Paused, pending decision",IF(AND(E288="Precautionary pause (containment)",V288=""),"Precautionary pause: AIG-OPS-03 incident ref missing",IF(AND(E288="Precautionary pause (containment)",NOT(ISNUMBER(W288))),"Precautionary pause: follow-up decision due date missing",IF(AND(G288="Paused — pending decision",E288&lt;&gt;"Precautionary pause (containment)"),"Paused, pending decision is only for a Precautionary pause event",IF(AND(E288="Decision",OR(G288="",H288="",I288="")),"Outcome / delegation / decision ref missing",IF(AND(E288="Decision",NOT(OR(G288="Progress",G288="Progress with condition",G288="Return for evidence",G288="Pause",G288="Stop",G288="Suspend",G288="Decommission",G288="Re-authorise",G288="Resume"))),"Decision event needs a decision outcome",IF(AND(E288="Priority override",OR(H288="",I288="")),"Decision-maker / AIG-DEC-03 ref missing",IF(AND(E288="Priority override",G288&lt;&gt;"",G288&lt;&gt;"No decision"),"Priority override: Outcome blank or No decision",IF(AND(E288&lt;&gt;"Decision",OR(G288="Progress",G288="Progress with condition",G288="Return for evidence",G288="Pause",G288="Stop",G288="Suspend",G288="Decommission",G288="Re-authorise",G288="Resume")),"Outcome implies decision",IF(OR(ISNUMBER(SEARCH(",",O288)),ISNUMBER(SEARCH(";",O288))),"One UC-ID per event row — split this event",IF(AND(E288="Decision",OR(Q288="UC-ID REQUIRED",Q288="Decision scope missing",Q288="REMOVE UC-ID OR CORRECT SCOPE")),"Decision scope missing",IF(AND(G288="Progress with condition",COUNTIF(Conditions!$B$4:$B$553,A288)=0),"Progress with condition needs at least one Conditions row",IF(AND(C288&lt;&gt;"",COUNTIFS('Gate plan'!$A$4:$A$353,C288,'Gate plan'!$C$4:$C$353,D288)=0),"Plan gate differs from event gate",IF(AND(C288&lt;&gt;"",O288&lt;&gt;"",COUNTIFS('Gate plan'!$A$4:$A$353,C288,'Gate plan'!$K$4:$K$353,"&lt;&gt;")&gt;0,COUNTIFS('Gate plan'!$A$4:$A$353,C288,'Gate plan'!$K$4:$K$353,O288)=0),"Plan UC-ID differs from event UC-ID",IF(AND(E288="Assurance opinion",J288=""),"Assurance opinion ref missing",IF(AND(G288="Opinion only",E288&lt;&gt;"Assurance opinion",E288&lt;&gt;"Review only"),"Opinion only is for Assurance opinion or Review only events",IF(AND(G288="No decision",E288&lt;&gt;"Review only",E288&lt;&gt;"Priority override",E288&lt;&gt;"Intake / registration"),"No decision is for Review only, Priority override or Intake / registration events",IF(OR(ISNUMBER(SEARCH(" ",TRIM(O288))),ISNUMBER(SEARCH("/",O288))),"One UC-ID per event row: split this event",IF(AND(E288="Precautionary pause (containment)",ISNUMBER(W288),ISNUMBER(F288),W288&lt;F288),"Follow-up decision due date is before the pause",IF(AND(G288="Resume",IFERROR(LOOKUP(2,1/(($B$3:B287=B288)*($O$3:O287=O288)),$G$3:G287),"")&lt;&gt;"Paused — pending decision"),"Resume is only for the event straight after a Precautionary pause on the same AIR-ID and UC-ID (in an earlier row)",IF(AND(E288="Decision",OR(G288="Progress",G288="Progress with condition",G288="Re-authorise",G288="Resume"),X288&lt;&gt;"Yes"),"Decision-maker has not confirmed the screening was considered (column X)","Check against source")))))))))))))))))))))))))))))</f>
        <v/>
      </c>
      <c r="O288" s="37" t="n"/>
      <c r="P288" s="37" t="n"/>
      <c r="Q288" s="14">
        <f>IF(A288="","",IF(E288&lt;&gt;"Decision","",IF(P288="UC-ID specific",IF(O288="","UC-ID REQUIRED","Check source decision for each UC-ID"),IF(P288="Shared system baseline",IF(O288&lt;&gt;"","REMOVE UC-ID OR CORRECT SCOPE","Baseline only — NOT UC approval"),"Decision scope missing"))))</f>
        <v/>
      </c>
      <c r="R288" s="42" t="n"/>
      <c r="S288" s="38" t="n"/>
      <c r="T288" s="38" t="n"/>
      <c r="U288" s="38" t="n"/>
      <c r="V288" s="38" t="n"/>
      <c r="W288" s="39" t="n"/>
      <c r="X288" s="38" t="n"/>
    </row>
    <row r="289">
      <c r="A289" s="40" t="n"/>
      <c r="B289" s="40" t="n"/>
      <c r="C289" s="40" t="n"/>
      <c r="D289" s="40" t="n"/>
      <c r="E289" s="40" t="n"/>
      <c r="F289" s="41" t="n"/>
      <c r="G289" s="40" t="n"/>
      <c r="H289" s="40" t="n"/>
      <c r="I289" s="40" t="n"/>
      <c r="J289" s="40" t="n"/>
      <c r="K289" s="40" t="n"/>
      <c r="L289" s="40" t="n"/>
      <c r="M289" s="40" t="n"/>
      <c r="N289" s="24">
        <f>IF(COUNTA(A289:M289,O289:P289,R289:X289)=0,"",IF(OR(A289="",B289="",F289=""),"Event ID, AIR-ID or date missing",IF(COUNTIF($A$4:$A$553,A289)&gt;1,"Duplicate Event ID",IF(E289="","Event type missing",IF(OR(NOT(ISNUMBER(F289)),F289&gt;TODAY()),"Date is not a real date or is in the future",IF(AND(C289&lt;&gt;"",COUNTIF('Gate plan'!$A$4:$A$353,C289)=0),"Plan ID not found in Gate plan",IF(AND(C289&lt;&gt;"",COUNTIFS('Gate plan'!$A$4:$A$353,C289,'Gate plan'!$B$4:$B$353,B289)=0),"Plan AIR-ID differs from event",IF(D289="","Gate / forum missing",IF(AND(E289="Precautionary pause (containment)",G289&lt;&gt;"Paused — pending decision"),"Precautionary pause: Outcome must be Paused, pending decision",IF(AND(E289="Precautionary pause (containment)",V289=""),"Precautionary pause: AIG-OPS-03 incident ref missing",IF(AND(E289="Precautionary pause (containment)",NOT(ISNUMBER(W289))),"Precautionary pause: follow-up decision due date missing",IF(AND(G289="Paused — pending decision",E289&lt;&gt;"Precautionary pause (containment)"),"Paused, pending decision is only for a Precautionary pause event",IF(AND(E289="Decision",OR(G289="",H289="",I289="")),"Outcome / delegation / decision ref missing",IF(AND(E289="Decision",NOT(OR(G289="Progress",G289="Progress with condition",G289="Return for evidence",G289="Pause",G289="Stop",G289="Suspend",G289="Decommission",G289="Re-authorise",G289="Resume"))),"Decision event needs a decision outcome",IF(AND(E289="Priority override",OR(H289="",I289="")),"Decision-maker / AIG-DEC-03 ref missing",IF(AND(E289="Priority override",G289&lt;&gt;"",G289&lt;&gt;"No decision"),"Priority override: Outcome blank or No decision",IF(AND(E289&lt;&gt;"Decision",OR(G289="Progress",G289="Progress with condition",G289="Return for evidence",G289="Pause",G289="Stop",G289="Suspend",G289="Decommission",G289="Re-authorise",G289="Resume")),"Outcome implies decision",IF(OR(ISNUMBER(SEARCH(",",O289)),ISNUMBER(SEARCH(";",O289))),"One UC-ID per event row — split this event",IF(AND(E289="Decision",OR(Q289="UC-ID REQUIRED",Q289="Decision scope missing",Q289="REMOVE UC-ID OR CORRECT SCOPE")),"Decision scope missing",IF(AND(G289="Progress with condition",COUNTIF(Conditions!$B$4:$B$553,A289)=0),"Progress with condition needs at least one Conditions row",IF(AND(C289&lt;&gt;"",COUNTIFS('Gate plan'!$A$4:$A$353,C289,'Gate plan'!$C$4:$C$353,D289)=0),"Plan gate differs from event gate",IF(AND(C289&lt;&gt;"",O289&lt;&gt;"",COUNTIFS('Gate plan'!$A$4:$A$353,C289,'Gate plan'!$K$4:$K$353,"&lt;&gt;")&gt;0,COUNTIFS('Gate plan'!$A$4:$A$353,C289,'Gate plan'!$K$4:$K$353,O289)=0),"Plan UC-ID differs from event UC-ID",IF(AND(E289="Assurance opinion",J289=""),"Assurance opinion ref missing",IF(AND(G289="Opinion only",E289&lt;&gt;"Assurance opinion",E289&lt;&gt;"Review only"),"Opinion only is for Assurance opinion or Review only events",IF(AND(G289="No decision",E289&lt;&gt;"Review only",E289&lt;&gt;"Priority override",E289&lt;&gt;"Intake / registration"),"No decision is for Review only, Priority override or Intake / registration events",IF(OR(ISNUMBER(SEARCH(" ",TRIM(O289))),ISNUMBER(SEARCH("/",O289))),"One UC-ID per event row: split this event",IF(AND(E289="Precautionary pause (containment)",ISNUMBER(W289),ISNUMBER(F289),W289&lt;F289),"Follow-up decision due date is before the pause",IF(AND(G289="Resume",IFERROR(LOOKUP(2,1/(($B$3:B288=B289)*($O$3:O288=O289)),$G$3:G288),"")&lt;&gt;"Paused — pending decision"),"Resume is only for the event straight after a Precautionary pause on the same AIR-ID and UC-ID (in an earlier row)",IF(AND(E289="Decision",OR(G289="Progress",G289="Progress with condition",G289="Re-authorise",G289="Resume"),X289&lt;&gt;"Yes"),"Decision-maker has not confirmed the screening was considered (column X)","Check against source")))))))))))))))))))))))))))))</f>
        <v/>
      </c>
      <c r="O289" s="37" t="n"/>
      <c r="P289" s="37" t="n"/>
      <c r="Q289" s="14">
        <f>IF(A289="","",IF(E289&lt;&gt;"Decision","",IF(P289="UC-ID specific",IF(O289="","UC-ID REQUIRED","Check source decision for each UC-ID"),IF(P289="Shared system baseline",IF(O289&lt;&gt;"","REMOVE UC-ID OR CORRECT SCOPE","Baseline only — NOT UC approval"),"Decision scope missing"))))</f>
        <v/>
      </c>
      <c r="R289" s="43" t="n"/>
      <c r="S289" s="40" t="n"/>
      <c r="T289" s="40" t="n"/>
      <c r="U289" s="40" t="n"/>
      <c r="V289" s="40" t="n"/>
      <c r="W289" s="41" t="n"/>
      <c r="X289" s="38" t="n"/>
    </row>
    <row r="290">
      <c r="A290" s="38" t="n"/>
      <c r="B290" s="38" t="n"/>
      <c r="C290" s="38" t="n"/>
      <c r="D290" s="38" t="n"/>
      <c r="E290" s="38" t="n"/>
      <c r="F290" s="39" t="n"/>
      <c r="G290" s="38" t="n"/>
      <c r="H290" s="38" t="n"/>
      <c r="I290" s="38" t="n"/>
      <c r="J290" s="38" t="n"/>
      <c r="K290" s="38" t="n"/>
      <c r="L290" s="38" t="n"/>
      <c r="M290" s="38" t="n"/>
      <c r="N290" s="22">
        <f>IF(COUNTA(A290:M290,O290:P290,R290:X290)=0,"",IF(OR(A290="",B290="",F290=""),"Event ID, AIR-ID or date missing",IF(COUNTIF($A$4:$A$553,A290)&gt;1,"Duplicate Event ID",IF(E290="","Event type missing",IF(OR(NOT(ISNUMBER(F290)),F290&gt;TODAY()),"Date is not a real date or is in the future",IF(AND(C290&lt;&gt;"",COUNTIF('Gate plan'!$A$4:$A$353,C290)=0),"Plan ID not found in Gate plan",IF(AND(C290&lt;&gt;"",COUNTIFS('Gate plan'!$A$4:$A$353,C290,'Gate plan'!$B$4:$B$353,B290)=0),"Plan AIR-ID differs from event",IF(D290="","Gate / forum missing",IF(AND(E290="Precautionary pause (containment)",G290&lt;&gt;"Paused — pending decision"),"Precautionary pause: Outcome must be Paused, pending decision",IF(AND(E290="Precautionary pause (containment)",V290=""),"Precautionary pause: AIG-OPS-03 incident ref missing",IF(AND(E290="Precautionary pause (containment)",NOT(ISNUMBER(W290))),"Precautionary pause: follow-up decision due date missing",IF(AND(G290="Paused — pending decision",E290&lt;&gt;"Precautionary pause (containment)"),"Paused, pending decision is only for a Precautionary pause event",IF(AND(E290="Decision",OR(G290="",H290="",I290="")),"Outcome / delegation / decision ref missing",IF(AND(E290="Decision",NOT(OR(G290="Progress",G290="Progress with condition",G290="Return for evidence",G290="Pause",G290="Stop",G290="Suspend",G290="Decommission",G290="Re-authorise",G290="Resume"))),"Decision event needs a decision outcome",IF(AND(E290="Priority override",OR(H290="",I290="")),"Decision-maker / AIG-DEC-03 ref missing",IF(AND(E290="Priority override",G290&lt;&gt;"",G290&lt;&gt;"No decision"),"Priority override: Outcome blank or No decision",IF(AND(E290&lt;&gt;"Decision",OR(G290="Progress",G290="Progress with condition",G290="Return for evidence",G290="Pause",G290="Stop",G290="Suspend",G290="Decommission",G290="Re-authorise",G290="Resume")),"Outcome implies decision",IF(OR(ISNUMBER(SEARCH(",",O290)),ISNUMBER(SEARCH(";",O290))),"One UC-ID per event row — split this event",IF(AND(E290="Decision",OR(Q290="UC-ID REQUIRED",Q290="Decision scope missing",Q290="REMOVE UC-ID OR CORRECT SCOPE")),"Decision scope missing",IF(AND(G290="Progress with condition",COUNTIF(Conditions!$B$4:$B$553,A290)=0),"Progress with condition needs at least one Conditions row",IF(AND(C290&lt;&gt;"",COUNTIFS('Gate plan'!$A$4:$A$353,C290,'Gate plan'!$C$4:$C$353,D290)=0),"Plan gate differs from event gate",IF(AND(C290&lt;&gt;"",O290&lt;&gt;"",COUNTIFS('Gate plan'!$A$4:$A$353,C290,'Gate plan'!$K$4:$K$353,"&lt;&gt;")&gt;0,COUNTIFS('Gate plan'!$A$4:$A$353,C290,'Gate plan'!$K$4:$K$353,O290)=0),"Plan UC-ID differs from event UC-ID",IF(AND(E290="Assurance opinion",J290=""),"Assurance opinion ref missing",IF(AND(G290="Opinion only",E290&lt;&gt;"Assurance opinion",E290&lt;&gt;"Review only"),"Opinion only is for Assurance opinion or Review only events",IF(AND(G290="No decision",E290&lt;&gt;"Review only",E290&lt;&gt;"Priority override",E290&lt;&gt;"Intake / registration"),"No decision is for Review only, Priority override or Intake / registration events",IF(OR(ISNUMBER(SEARCH(" ",TRIM(O290))),ISNUMBER(SEARCH("/",O290))),"One UC-ID per event row: split this event",IF(AND(E290="Precautionary pause (containment)",ISNUMBER(W290),ISNUMBER(F290),W290&lt;F290),"Follow-up decision due date is before the pause",IF(AND(G290="Resume",IFERROR(LOOKUP(2,1/(($B$3:B289=B290)*($O$3:O289=O290)),$G$3:G289),"")&lt;&gt;"Paused — pending decision"),"Resume is only for the event straight after a Precautionary pause on the same AIR-ID and UC-ID (in an earlier row)",IF(AND(E290="Decision",OR(G290="Progress",G290="Progress with condition",G290="Re-authorise",G290="Resume"),X290&lt;&gt;"Yes"),"Decision-maker has not confirmed the screening was considered (column X)","Check against source")))))))))))))))))))))))))))))</f>
        <v/>
      </c>
      <c r="O290" s="37" t="n"/>
      <c r="P290" s="37" t="n"/>
      <c r="Q290" s="14">
        <f>IF(A290="","",IF(E290&lt;&gt;"Decision","",IF(P290="UC-ID specific",IF(O290="","UC-ID REQUIRED","Check source decision for each UC-ID"),IF(P290="Shared system baseline",IF(O290&lt;&gt;"","REMOVE UC-ID OR CORRECT SCOPE","Baseline only — NOT UC approval"),"Decision scope missing"))))</f>
        <v/>
      </c>
      <c r="R290" s="42" t="n"/>
      <c r="S290" s="38" t="n"/>
      <c r="T290" s="38" t="n"/>
      <c r="U290" s="38" t="n"/>
      <c r="V290" s="38" t="n"/>
      <c r="W290" s="39" t="n"/>
      <c r="X290" s="38" t="n"/>
    </row>
    <row r="291">
      <c r="A291" s="40" t="n"/>
      <c r="B291" s="40" t="n"/>
      <c r="C291" s="40" t="n"/>
      <c r="D291" s="40" t="n"/>
      <c r="E291" s="40" t="n"/>
      <c r="F291" s="41" t="n"/>
      <c r="G291" s="40" t="n"/>
      <c r="H291" s="40" t="n"/>
      <c r="I291" s="40" t="n"/>
      <c r="J291" s="40" t="n"/>
      <c r="K291" s="40" t="n"/>
      <c r="L291" s="40" t="n"/>
      <c r="M291" s="40" t="n"/>
      <c r="N291" s="24">
        <f>IF(COUNTA(A291:M291,O291:P291,R291:X291)=0,"",IF(OR(A291="",B291="",F291=""),"Event ID, AIR-ID or date missing",IF(COUNTIF($A$4:$A$553,A291)&gt;1,"Duplicate Event ID",IF(E291="","Event type missing",IF(OR(NOT(ISNUMBER(F291)),F291&gt;TODAY()),"Date is not a real date or is in the future",IF(AND(C291&lt;&gt;"",COUNTIF('Gate plan'!$A$4:$A$353,C291)=0),"Plan ID not found in Gate plan",IF(AND(C291&lt;&gt;"",COUNTIFS('Gate plan'!$A$4:$A$353,C291,'Gate plan'!$B$4:$B$353,B291)=0),"Plan AIR-ID differs from event",IF(D291="","Gate / forum missing",IF(AND(E291="Precautionary pause (containment)",G291&lt;&gt;"Paused — pending decision"),"Precautionary pause: Outcome must be Paused, pending decision",IF(AND(E291="Precautionary pause (containment)",V291=""),"Precautionary pause: AIG-OPS-03 incident ref missing",IF(AND(E291="Precautionary pause (containment)",NOT(ISNUMBER(W291))),"Precautionary pause: follow-up decision due date missing",IF(AND(G291="Paused — pending decision",E291&lt;&gt;"Precautionary pause (containment)"),"Paused, pending decision is only for a Precautionary pause event",IF(AND(E291="Decision",OR(G291="",H291="",I291="")),"Outcome / delegation / decision ref missing",IF(AND(E291="Decision",NOT(OR(G291="Progress",G291="Progress with condition",G291="Return for evidence",G291="Pause",G291="Stop",G291="Suspend",G291="Decommission",G291="Re-authorise",G291="Resume"))),"Decision event needs a decision outcome",IF(AND(E291="Priority override",OR(H291="",I291="")),"Decision-maker / AIG-DEC-03 ref missing",IF(AND(E291="Priority override",G291&lt;&gt;"",G291&lt;&gt;"No decision"),"Priority override: Outcome blank or No decision",IF(AND(E291&lt;&gt;"Decision",OR(G291="Progress",G291="Progress with condition",G291="Return for evidence",G291="Pause",G291="Stop",G291="Suspend",G291="Decommission",G291="Re-authorise",G291="Resume")),"Outcome implies decision",IF(OR(ISNUMBER(SEARCH(",",O291)),ISNUMBER(SEARCH(";",O291))),"One UC-ID per event row — split this event",IF(AND(E291="Decision",OR(Q291="UC-ID REQUIRED",Q291="Decision scope missing",Q291="REMOVE UC-ID OR CORRECT SCOPE")),"Decision scope missing",IF(AND(G291="Progress with condition",COUNTIF(Conditions!$B$4:$B$553,A291)=0),"Progress with condition needs at least one Conditions row",IF(AND(C291&lt;&gt;"",COUNTIFS('Gate plan'!$A$4:$A$353,C291,'Gate plan'!$C$4:$C$353,D291)=0),"Plan gate differs from event gate",IF(AND(C291&lt;&gt;"",O291&lt;&gt;"",COUNTIFS('Gate plan'!$A$4:$A$353,C291,'Gate plan'!$K$4:$K$353,"&lt;&gt;")&gt;0,COUNTIFS('Gate plan'!$A$4:$A$353,C291,'Gate plan'!$K$4:$K$353,O291)=0),"Plan UC-ID differs from event UC-ID",IF(AND(E291="Assurance opinion",J291=""),"Assurance opinion ref missing",IF(AND(G291="Opinion only",E291&lt;&gt;"Assurance opinion",E291&lt;&gt;"Review only"),"Opinion only is for Assurance opinion or Review only events",IF(AND(G291="No decision",E291&lt;&gt;"Review only",E291&lt;&gt;"Priority override",E291&lt;&gt;"Intake / registration"),"No decision is for Review only, Priority override or Intake / registration events",IF(OR(ISNUMBER(SEARCH(" ",TRIM(O291))),ISNUMBER(SEARCH("/",O291))),"One UC-ID per event row: split this event",IF(AND(E291="Precautionary pause (containment)",ISNUMBER(W291),ISNUMBER(F291),W291&lt;F291),"Follow-up decision due date is before the pause",IF(AND(G291="Resume",IFERROR(LOOKUP(2,1/(($B$3:B290=B291)*($O$3:O290=O291)),$G$3:G290),"")&lt;&gt;"Paused — pending decision"),"Resume is only for the event straight after a Precautionary pause on the same AIR-ID and UC-ID (in an earlier row)",IF(AND(E291="Decision",OR(G291="Progress",G291="Progress with condition",G291="Re-authorise",G291="Resume"),X291&lt;&gt;"Yes"),"Decision-maker has not confirmed the screening was considered (column X)","Check against source")))))))))))))))))))))))))))))</f>
        <v/>
      </c>
      <c r="O291" s="37" t="n"/>
      <c r="P291" s="37" t="n"/>
      <c r="Q291" s="14">
        <f>IF(A291="","",IF(E291&lt;&gt;"Decision","",IF(P291="UC-ID specific",IF(O291="","UC-ID REQUIRED","Check source decision for each UC-ID"),IF(P291="Shared system baseline",IF(O291&lt;&gt;"","REMOVE UC-ID OR CORRECT SCOPE","Baseline only — NOT UC approval"),"Decision scope missing"))))</f>
        <v/>
      </c>
      <c r="R291" s="43" t="n"/>
      <c r="S291" s="40" t="n"/>
      <c r="T291" s="40" t="n"/>
      <c r="U291" s="40" t="n"/>
      <c r="V291" s="40" t="n"/>
      <c r="W291" s="41" t="n"/>
      <c r="X291" s="38" t="n"/>
    </row>
    <row r="292">
      <c r="A292" s="38" t="n"/>
      <c r="B292" s="38" t="n"/>
      <c r="C292" s="38" t="n"/>
      <c r="D292" s="38" t="n"/>
      <c r="E292" s="38" t="n"/>
      <c r="F292" s="39" t="n"/>
      <c r="G292" s="38" t="n"/>
      <c r="H292" s="38" t="n"/>
      <c r="I292" s="38" t="n"/>
      <c r="J292" s="38" t="n"/>
      <c r="K292" s="38" t="n"/>
      <c r="L292" s="38" t="n"/>
      <c r="M292" s="38" t="n"/>
      <c r="N292" s="22">
        <f>IF(COUNTA(A292:M292,O292:P292,R292:X292)=0,"",IF(OR(A292="",B292="",F292=""),"Event ID, AIR-ID or date missing",IF(COUNTIF($A$4:$A$553,A292)&gt;1,"Duplicate Event ID",IF(E292="","Event type missing",IF(OR(NOT(ISNUMBER(F292)),F292&gt;TODAY()),"Date is not a real date or is in the future",IF(AND(C292&lt;&gt;"",COUNTIF('Gate plan'!$A$4:$A$353,C292)=0),"Plan ID not found in Gate plan",IF(AND(C292&lt;&gt;"",COUNTIFS('Gate plan'!$A$4:$A$353,C292,'Gate plan'!$B$4:$B$353,B292)=0),"Plan AIR-ID differs from event",IF(D292="","Gate / forum missing",IF(AND(E292="Precautionary pause (containment)",G292&lt;&gt;"Paused — pending decision"),"Precautionary pause: Outcome must be Paused, pending decision",IF(AND(E292="Precautionary pause (containment)",V292=""),"Precautionary pause: AIG-OPS-03 incident ref missing",IF(AND(E292="Precautionary pause (containment)",NOT(ISNUMBER(W292))),"Precautionary pause: follow-up decision due date missing",IF(AND(G292="Paused — pending decision",E292&lt;&gt;"Precautionary pause (containment)"),"Paused, pending decision is only for a Precautionary pause event",IF(AND(E292="Decision",OR(G292="",H292="",I292="")),"Outcome / delegation / decision ref missing",IF(AND(E292="Decision",NOT(OR(G292="Progress",G292="Progress with condition",G292="Return for evidence",G292="Pause",G292="Stop",G292="Suspend",G292="Decommission",G292="Re-authorise",G292="Resume"))),"Decision event needs a decision outcome",IF(AND(E292="Priority override",OR(H292="",I292="")),"Decision-maker / AIG-DEC-03 ref missing",IF(AND(E292="Priority override",G292&lt;&gt;"",G292&lt;&gt;"No decision"),"Priority override: Outcome blank or No decision",IF(AND(E292&lt;&gt;"Decision",OR(G292="Progress",G292="Progress with condition",G292="Return for evidence",G292="Pause",G292="Stop",G292="Suspend",G292="Decommission",G292="Re-authorise",G292="Resume")),"Outcome implies decision",IF(OR(ISNUMBER(SEARCH(",",O292)),ISNUMBER(SEARCH(";",O292))),"One UC-ID per event row — split this event",IF(AND(E292="Decision",OR(Q292="UC-ID REQUIRED",Q292="Decision scope missing",Q292="REMOVE UC-ID OR CORRECT SCOPE")),"Decision scope missing",IF(AND(G292="Progress with condition",COUNTIF(Conditions!$B$4:$B$553,A292)=0),"Progress with condition needs at least one Conditions row",IF(AND(C292&lt;&gt;"",COUNTIFS('Gate plan'!$A$4:$A$353,C292,'Gate plan'!$C$4:$C$353,D292)=0),"Plan gate differs from event gate",IF(AND(C292&lt;&gt;"",O292&lt;&gt;"",COUNTIFS('Gate plan'!$A$4:$A$353,C292,'Gate plan'!$K$4:$K$353,"&lt;&gt;")&gt;0,COUNTIFS('Gate plan'!$A$4:$A$353,C292,'Gate plan'!$K$4:$K$353,O292)=0),"Plan UC-ID differs from event UC-ID",IF(AND(E292="Assurance opinion",J292=""),"Assurance opinion ref missing",IF(AND(G292="Opinion only",E292&lt;&gt;"Assurance opinion",E292&lt;&gt;"Review only"),"Opinion only is for Assurance opinion or Review only events",IF(AND(G292="No decision",E292&lt;&gt;"Review only",E292&lt;&gt;"Priority override",E292&lt;&gt;"Intake / registration"),"No decision is for Review only, Priority override or Intake / registration events",IF(OR(ISNUMBER(SEARCH(" ",TRIM(O292))),ISNUMBER(SEARCH("/",O292))),"One UC-ID per event row: split this event",IF(AND(E292="Precautionary pause (containment)",ISNUMBER(W292),ISNUMBER(F292),W292&lt;F292),"Follow-up decision due date is before the pause",IF(AND(G292="Resume",IFERROR(LOOKUP(2,1/(($B$3:B291=B292)*($O$3:O291=O292)),$G$3:G291),"")&lt;&gt;"Paused — pending decision"),"Resume is only for the event straight after a Precautionary pause on the same AIR-ID and UC-ID (in an earlier row)",IF(AND(E292="Decision",OR(G292="Progress",G292="Progress with condition",G292="Re-authorise",G292="Resume"),X292&lt;&gt;"Yes"),"Decision-maker has not confirmed the screening was considered (column X)","Check against source")))))))))))))))))))))))))))))</f>
        <v/>
      </c>
      <c r="O292" s="37" t="n"/>
      <c r="P292" s="37" t="n"/>
      <c r="Q292" s="14">
        <f>IF(A292="","",IF(E292&lt;&gt;"Decision","",IF(P292="UC-ID specific",IF(O292="","UC-ID REQUIRED","Check source decision for each UC-ID"),IF(P292="Shared system baseline",IF(O292&lt;&gt;"","REMOVE UC-ID OR CORRECT SCOPE","Baseline only — NOT UC approval"),"Decision scope missing"))))</f>
        <v/>
      </c>
      <c r="R292" s="42" t="n"/>
      <c r="S292" s="38" t="n"/>
      <c r="T292" s="38" t="n"/>
      <c r="U292" s="38" t="n"/>
      <c r="V292" s="38" t="n"/>
      <c r="W292" s="39" t="n"/>
      <c r="X292" s="38" t="n"/>
    </row>
    <row r="293">
      <c r="A293" s="40" t="n"/>
      <c r="B293" s="40" t="n"/>
      <c r="C293" s="40" t="n"/>
      <c r="D293" s="40" t="n"/>
      <c r="E293" s="40" t="n"/>
      <c r="F293" s="41" t="n"/>
      <c r="G293" s="40" t="n"/>
      <c r="H293" s="40" t="n"/>
      <c r="I293" s="40" t="n"/>
      <c r="J293" s="40" t="n"/>
      <c r="K293" s="40" t="n"/>
      <c r="L293" s="40" t="n"/>
      <c r="M293" s="40" t="n"/>
      <c r="N293" s="24">
        <f>IF(COUNTA(A293:M293,O293:P293,R293:X293)=0,"",IF(OR(A293="",B293="",F293=""),"Event ID, AIR-ID or date missing",IF(COUNTIF($A$4:$A$553,A293)&gt;1,"Duplicate Event ID",IF(E293="","Event type missing",IF(OR(NOT(ISNUMBER(F293)),F293&gt;TODAY()),"Date is not a real date or is in the future",IF(AND(C293&lt;&gt;"",COUNTIF('Gate plan'!$A$4:$A$353,C293)=0),"Plan ID not found in Gate plan",IF(AND(C293&lt;&gt;"",COUNTIFS('Gate plan'!$A$4:$A$353,C293,'Gate plan'!$B$4:$B$353,B293)=0),"Plan AIR-ID differs from event",IF(D293="","Gate / forum missing",IF(AND(E293="Precautionary pause (containment)",G293&lt;&gt;"Paused — pending decision"),"Precautionary pause: Outcome must be Paused, pending decision",IF(AND(E293="Precautionary pause (containment)",V293=""),"Precautionary pause: AIG-OPS-03 incident ref missing",IF(AND(E293="Precautionary pause (containment)",NOT(ISNUMBER(W293))),"Precautionary pause: follow-up decision due date missing",IF(AND(G293="Paused — pending decision",E293&lt;&gt;"Precautionary pause (containment)"),"Paused, pending decision is only for a Precautionary pause event",IF(AND(E293="Decision",OR(G293="",H293="",I293="")),"Outcome / delegation / decision ref missing",IF(AND(E293="Decision",NOT(OR(G293="Progress",G293="Progress with condition",G293="Return for evidence",G293="Pause",G293="Stop",G293="Suspend",G293="Decommission",G293="Re-authorise",G293="Resume"))),"Decision event needs a decision outcome",IF(AND(E293="Priority override",OR(H293="",I293="")),"Decision-maker / AIG-DEC-03 ref missing",IF(AND(E293="Priority override",G293&lt;&gt;"",G293&lt;&gt;"No decision"),"Priority override: Outcome blank or No decision",IF(AND(E293&lt;&gt;"Decision",OR(G293="Progress",G293="Progress with condition",G293="Return for evidence",G293="Pause",G293="Stop",G293="Suspend",G293="Decommission",G293="Re-authorise",G293="Resume")),"Outcome implies decision",IF(OR(ISNUMBER(SEARCH(",",O293)),ISNUMBER(SEARCH(";",O293))),"One UC-ID per event row — split this event",IF(AND(E293="Decision",OR(Q293="UC-ID REQUIRED",Q293="Decision scope missing",Q293="REMOVE UC-ID OR CORRECT SCOPE")),"Decision scope missing",IF(AND(G293="Progress with condition",COUNTIF(Conditions!$B$4:$B$553,A293)=0),"Progress with condition needs at least one Conditions row",IF(AND(C293&lt;&gt;"",COUNTIFS('Gate plan'!$A$4:$A$353,C293,'Gate plan'!$C$4:$C$353,D293)=0),"Plan gate differs from event gate",IF(AND(C293&lt;&gt;"",O293&lt;&gt;"",COUNTIFS('Gate plan'!$A$4:$A$353,C293,'Gate plan'!$K$4:$K$353,"&lt;&gt;")&gt;0,COUNTIFS('Gate plan'!$A$4:$A$353,C293,'Gate plan'!$K$4:$K$353,O293)=0),"Plan UC-ID differs from event UC-ID",IF(AND(E293="Assurance opinion",J293=""),"Assurance opinion ref missing",IF(AND(G293="Opinion only",E293&lt;&gt;"Assurance opinion",E293&lt;&gt;"Review only"),"Opinion only is for Assurance opinion or Review only events",IF(AND(G293="No decision",E293&lt;&gt;"Review only",E293&lt;&gt;"Priority override",E293&lt;&gt;"Intake / registration"),"No decision is for Review only, Priority override or Intake / registration events",IF(OR(ISNUMBER(SEARCH(" ",TRIM(O293))),ISNUMBER(SEARCH("/",O293))),"One UC-ID per event row: split this event",IF(AND(E293="Precautionary pause (containment)",ISNUMBER(W293),ISNUMBER(F293),W293&lt;F293),"Follow-up decision due date is before the pause",IF(AND(G293="Resume",IFERROR(LOOKUP(2,1/(($B$3:B292=B293)*($O$3:O292=O293)),$G$3:G292),"")&lt;&gt;"Paused — pending decision"),"Resume is only for the event straight after a Precautionary pause on the same AIR-ID and UC-ID (in an earlier row)",IF(AND(E293="Decision",OR(G293="Progress",G293="Progress with condition",G293="Re-authorise",G293="Resume"),X293&lt;&gt;"Yes"),"Decision-maker has not confirmed the screening was considered (column X)","Check against source")))))))))))))))))))))))))))))</f>
        <v/>
      </c>
      <c r="O293" s="37" t="n"/>
      <c r="P293" s="37" t="n"/>
      <c r="Q293" s="14">
        <f>IF(A293="","",IF(E293&lt;&gt;"Decision","",IF(P293="UC-ID specific",IF(O293="","UC-ID REQUIRED","Check source decision for each UC-ID"),IF(P293="Shared system baseline",IF(O293&lt;&gt;"","REMOVE UC-ID OR CORRECT SCOPE","Baseline only — NOT UC approval"),"Decision scope missing"))))</f>
        <v/>
      </c>
      <c r="R293" s="43" t="n"/>
      <c r="S293" s="40" t="n"/>
      <c r="T293" s="40" t="n"/>
      <c r="U293" s="40" t="n"/>
      <c r="V293" s="40" t="n"/>
      <c r="W293" s="41" t="n"/>
      <c r="X293" s="38" t="n"/>
    </row>
    <row r="294">
      <c r="A294" s="38" t="n"/>
      <c r="B294" s="38" t="n"/>
      <c r="C294" s="38" t="n"/>
      <c r="D294" s="38" t="n"/>
      <c r="E294" s="38" t="n"/>
      <c r="F294" s="39" t="n"/>
      <c r="G294" s="38" t="n"/>
      <c r="H294" s="38" t="n"/>
      <c r="I294" s="38" t="n"/>
      <c r="J294" s="38" t="n"/>
      <c r="K294" s="38" t="n"/>
      <c r="L294" s="38" t="n"/>
      <c r="M294" s="38" t="n"/>
      <c r="N294" s="22">
        <f>IF(COUNTA(A294:M294,O294:P294,R294:X294)=0,"",IF(OR(A294="",B294="",F294=""),"Event ID, AIR-ID or date missing",IF(COUNTIF($A$4:$A$553,A294)&gt;1,"Duplicate Event ID",IF(E294="","Event type missing",IF(OR(NOT(ISNUMBER(F294)),F294&gt;TODAY()),"Date is not a real date or is in the future",IF(AND(C294&lt;&gt;"",COUNTIF('Gate plan'!$A$4:$A$353,C294)=0),"Plan ID not found in Gate plan",IF(AND(C294&lt;&gt;"",COUNTIFS('Gate plan'!$A$4:$A$353,C294,'Gate plan'!$B$4:$B$353,B294)=0),"Plan AIR-ID differs from event",IF(D294="","Gate / forum missing",IF(AND(E294="Precautionary pause (containment)",G294&lt;&gt;"Paused — pending decision"),"Precautionary pause: Outcome must be Paused, pending decision",IF(AND(E294="Precautionary pause (containment)",V294=""),"Precautionary pause: AIG-OPS-03 incident ref missing",IF(AND(E294="Precautionary pause (containment)",NOT(ISNUMBER(W294))),"Precautionary pause: follow-up decision due date missing",IF(AND(G294="Paused — pending decision",E294&lt;&gt;"Precautionary pause (containment)"),"Paused, pending decision is only for a Precautionary pause event",IF(AND(E294="Decision",OR(G294="",H294="",I294="")),"Outcome / delegation / decision ref missing",IF(AND(E294="Decision",NOT(OR(G294="Progress",G294="Progress with condition",G294="Return for evidence",G294="Pause",G294="Stop",G294="Suspend",G294="Decommission",G294="Re-authorise",G294="Resume"))),"Decision event needs a decision outcome",IF(AND(E294="Priority override",OR(H294="",I294="")),"Decision-maker / AIG-DEC-03 ref missing",IF(AND(E294="Priority override",G294&lt;&gt;"",G294&lt;&gt;"No decision"),"Priority override: Outcome blank or No decision",IF(AND(E294&lt;&gt;"Decision",OR(G294="Progress",G294="Progress with condition",G294="Return for evidence",G294="Pause",G294="Stop",G294="Suspend",G294="Decommission",G294="Re-authorise",G294="Resume")),"Outcome implies decision",IF(OR(ISNUMBER(SEARCH(",",O294)),ISNUMBER(SEARCH(";",O294))),"One UC-ID per event row — split this event",IF(AND(E294="Decision",OR(Q294="UC-ID REQUIRED",Q294="Decision scope missing",Q294="REMOVE UC-ID OR CORRECT SCOPE")),"Decision scope missing",IF(AND(G294="Progress with condition",COUNTIF(Conditions!$B$4:$B$553,A294)=0),"Progress with condition needs at least one Conditions row",IF(AND(C294&lt;&gt;"",COUNTIFS('Gate plan'!$A$4:$A$353,C294,'Gate plan'!$C$4:$C$353,D294)=0),"Plan gate differs from event gate",IF(AND(C294&lt;&gt;"",O294&lt;&gt;"",COUNTIFS('Gate plan'!$A$4:$A$353,C294,'Gate plan'!$K$4:$K$353,"&lt;&gt;")&gt;0,COUNTIFS('Gate plan'!$A$4:$A$353,C294,'Gate plan'!$K$4:$K$353,O294)=0),"Plan UC-ID differs from event UC-ID",IF(AND(E294="Assurance opinion",J294=""),"Assurance opinion ref missing",IF(AND(G294="Opinion only",E294&lt;&gt;"Assurance opinion",E294&lt;&gt;"Review only"),"Opinion only is for Assurance opinion or Review only events",IF(AND(G294="No decision",E294&lt;&gt;"Review only",E294&lt;&gt;"Priority override",E294&lt;&gt;"Intake / registration"),"No decision is for Review only, Priority override or Intake / registration events",IF(OR(ISNUMBER(SEARCH(" ",TRIM(O294))),ISNUMBER(SEARCH("/",O294))),"One UC-ID per event row: split this event",IF(AND(E294="Precautionary pause (containment)",ISNUMBER(W294),ISNUMBER(F294),W294&lt;F294),"Follow-up decision due date is before the pause",IF(AND(G294="Resume",IFERROR(LOOKUP(2,1/(($B$3:B293=B294)*($O$3:O293=O294)),$G$3:G293),"")&lt;&gt;"Paused — pending decision"),"Resume is only for the event straight after a Precautionary pause on the same AIR-ID and UC-ID (in an earlier row)",IF(AND(E294="Decision",OR(G294="Progress",G294="Progress with condition",G294="Re-authorise",G294="Resume"),X294&lt;&gt;"Yes"),"Decision-maker has not confirmed the screening was considered (column X)","Check against source")))))))))))))))))))))))))))))</f>
        <v/>
      </c>
      <c r="O294" s="37" t="n"/>
      <c r="P294" s="37" t="n"/>
      <c r="Q294" s="14">
        <f>IF(A294="","",IF(E294&lt;&gt;"Decision","",IF(P294="UC-ID specific",IF(O294="","UC-ID REQUIRED","Check source decision for each UC-ID"),IF(P294="Shared system baseline",IF(O294&lt;&gt;"","REMOVE UC-ID OR CORRECT SCOPE","Baseline only — NOT UC approval"),"Decision scope missing"))))</f>
        <v/>
      </c>
      <c r="R294" s="42" t="n"/>
      <c r="S294" s="38" t="n"/>
      <c r="T294" s="38" t="n"/>
      <c r="U294" s="38" t="n"/>
      <c r="V294" s="38" t="n"/>
      <c r="W294" s="39" t="n"/>
      <c r="X294" s="38" t="n"/>
    </row>
    <row r="295">
      <c r="A295" s="40" t="n"/>
      <c r="B295" s="40" t="n"/>
      <c r="C295" s="40" t="n"/>
      <c r="D295" s="40" t="n"/>
      <c r="E295" s="40" t="n"/>
      <c r="F295" s="41" t="n"/>
      <c r="G295" s="40" t="n"/>
      <c r="H295" s="40" t="n"/>
      <c r="I295" s="40" t="n"/>
      <c r="J295" s="40" t="n"/>
      <c r="K295" s="40" t="n"/>
      <c r="L295" s="40" t="n"/>
      <c r="M295" s="40" t="n"/>
      <c r="N295" s="24">
        <f>IF(COUNTA(A295:M295,O295:P295,R295:X295)=0,"",IF(OR(A295="",B295="",F295=""),"Event ID, AIR-ID or date missing",IF(COUNTIF($A$4:$A$553,A295)&gt;1,"Duplicate Event ID",IF(E295="","Event type missing",IF(OR(NOT(ISNUMBER(F295)),F295&gt;TODAY()),"Date is not a real date or is in the future",IF(AND(C295&lt;&gt;"",COUNTIF('Gate plan'!$A$4:$A$353,C295)=0),"Plan ID not found in Gate plan",IF(AND(C295&lt;&gt;"",COUNTIFS('Gate plan'!$A$4:$A$353,C295,'Gate plan'!$B$4:$B$353,B295)=0),"Plan AIR-ID differs from event",IF(D295="","Gate / forum missing",IF(AND(E295="Precautionary pause (containment)",G295&lt;&gt;"Paused — pending decision"),"Precautionary pause: Outcome must be Paused, pending decision",IF(AND(E295="Precautionary pause (containment)",V295=""),"Precautionary pause: AIG-OPS-03 incident ref missing",IF(AND(E295="Precautionary pause (containment)",NOT(ISNUMBER(W295))),"Precautionary pause: follow-up decision due date missing",IF(AND(G295="Paused — pending decision",E295&lt;&gt;"Precautionary pause (containment)"),"Paused, pending decision is only for a Precautionary pause event",IF(AND(E295="Decision",OR(G295="",H295="",I295="")),"Outcome / delegation / decision ref missing",IF(AND(E295="Decision",NOT(OR(G295="Progress",G295="Progress with condition",G295="Return for evidence",G295="Pause",G295="Stop",G295="Suspend",G295="Decommission",G295="Re-authorise",G295="Resume"))),"Decision event needs a decision outcome",IF(AND(E295="Priority override",OR(H295="",I295="")),"Decision-maker / AIG-DEC-03 ref missing",IF(AND(E295="Priority override",G295&lt;&gt;"",G295&lt;&gt;"No decision"),"Priority override: Outcome blank or No decision",IF(AND(E295&lt;&gt;"Decision",OR(G295="Progress",G295="Progress with condition",G295="Return for evidence",G295="Pause",G295="Stop",G295="Suspend",G295="Decommission",G295="Re-authorise",G295="Resume")),"Outcome implies decision",IF(OR(ISNUMBER(SEARCH(",",O295)),ISNUMBER(SEARCH(";",O295))),"One UC-ID per event row — split this event",IF(AND(E295="Decision",OR(Q295="UC-ID REQUIRED",Q295="Decision scope missing",Q295="REMOVE UC-ID OR CORRECT SCOPE")),"Decision scope missing",IF(AND(G295="Progress with condition",COUNTIF(Conditions!$B$4:$B$553,A295)=0),"Progress with condition needs at least one Conditions row",IF(AND(C295&lt;&gt;"",COUNTIFS('Gate plan'!$A$4:$A$353,C295,'Gate plan'!$C$4:$C$353,D295)=0),"Plan gate differs from event gate",IF(AND(C295&lt;&gt;"",O295&lt;&gt;"",COUNTIFS('Gate plan'!$A$4:$A$353,C295,'Gate plan'!$K$4:$K$353,"&lt;&gt;")&gt;0,COUNTIFS('Gate plan'!$A$4:$A$353,C295,'Gate plan'!$K$4:$K$353,O295)=0),"Plan UC-ID differs from event UC-ID",IF(AND(E295="Assurance opinion",J295=""),"Assurance opinion ref missing",IF(AND(G295="Opinion only",E295&lt;&gt;"Assurance opinion",E295&lt;&gt;"Review only"),"Opinion only is for Assurance opinion or Review only events",IF(AND(G295="No decision",E295&lt;&gt;"Review only",E295&lt;&gt;"Priority override",E295&lt;&gt;"Intake / registration"),"No decision is for Review only, Priority override or Intake / registration events",IF(OR(ISNUMBER(SEARCH(" ",TRIM(O295))),ISNUMBER(SEARCH("/",O295))),"One UC-ID per event row: split this event",IF(AND(E295="Precautionary pause (containment)",ISNUMBER(W295),ISNUMBER(F295),W295&lt;F295),"Follow-up decision due date is before the pause",IF(AND(G295="Resume",IFERROR(LOOKUP(2,1/(($B$3:B294=B295)*($O$3:O294=O295)),$G$3:G294),"")&lt;&gt;"Paused — pending decision"),"Resume is only for the event straight after a Precautionary pause on the same AIR-ID and UC-ID (in an earlier row)",IF(AND(E295="Decision",OR(G295="Progress",G295="Progress with condition",G295="Re-authorise",G295="Resume"),X295&lt;&gt;"Yes"),"Decision-maker has not confirmed the screening was considered (column X)","Check against source")))))))))))))))))))))))))))))</f>
        <v/>
      </c>
      <c r="O295" s="37" t="n"/>
      <c r="P295" s="37" t="n"/>
      <c r="Q295" s="14">
        <f>IF(A295="","",IF(E295&lt;&gt;"Decision","",IF(P295="UC-ID specific",IF(O295="","UC-ID REQUIRED","Check source decision for each UC-ID"),IF(P295="Shared system baseline",IF(O295&lt;&gt;"","REMOVE UC-ID OR CORRECT SCOPE","Baseline only — NOT UC approval"),"Decision scope missing"))))</f>
        <v/>
      </c>
      <c r="R295" s="43" t="n"/>
      <c r="S295" s="40" t="n"/>
      <c r="T295" s="40" t="n"/>
      <c r="U295" s="40" t="n"/>
      <c r="V295" s="40" t="n"/>
      <c r="W295" s="41" t="n"/>
      <c r="X295" s="38" t="n"/>
    </row>
    <row r="296">
      <c r="A296" s="38" t="n"/>
      <c r="B296" s="38" t="n"/>
      <c r="C296" s="38" t="n"/>
      <c r="D296" s="38" t="n"/>
      <c r="E296" s="38" t="n"/>
      <c r="F296" s="39" t="n"/>
      <c r="G296" s="38" t="n"/>
      <c r="H296" s="38" t="n"/>
      <c r="I296" s="38" t="n"/>
      <c r="J296" s="38" t="n"/>
      <c r="K296" s="38" t="n"/>
      <c r="L296" s="38" t="n"/>
      <c r="M296" s="38" t="n"/>
      <c r="N296" s="22">
        <f>IF(COUNTA(A296:M296,O296:P296,R296:X296)=0,"",IF(OR(A296="",B296="",F296=""),"Event ID, AIR-ID or date missing",IF(COUNTIF($A$4:$A$553,A296)&gt;1,"Duplicate Event ID",IF(E296="","Event type missing",IF(OR(NOT(ISNUMBER(F296)),F296&gt;TODAY()),"Date is not a real date or is in the future",IF(AND(C296&lt;&gt;"",COUNTIF('Gate plan'!$A$4:$A$353,C296)=0),"Plan ID not found in Gate plan",IF(AND(C296&lt;&gt;"",COUNTIFS('Gate plan'!$A$4:$A$353,C296,'Gate plan'!$B$4:$B$353,B296)=0),"Plan AIR-ID differs from event",IF(D296="","Gate / forum missing",IF(AND(E296="Precautionary pause (containment)",G296&lt;&gt;"Paused — pending decision"),"Precautionary pause: Outcome must be Paused, pending decision",IF(AND(E296="Precautionary pause (containment)",V296=""),"Precautionary pause: AIG-OPS-03 incident ref missing",IF(AND(E296="Precautionary pause (containment)",NOT(ISNUMBER(W296))),"Precautionary pause: follow-up decision due date missing",IF(AND(G296="Paused — pending decision",E296&lt;&gt;"Precautionary pause (containment)"),"Paused, pending decision is only for a Precautionary pause event",IF(AND(E296="Decision",OR(G296="",H296="",I296="")),"Outcome / delegation / decision ref missing",IF(AND(E296="Decision",NOT(OR(G296="Progress",G296="Progress with condition",G296="Return for evidence",G296="Pause",G296="Stop",G296="Suspend",G296="Decommission",G296="Re-authorise",G296="Resume"))),"Decision event needs a decision outcome",IF(AND(E296="Priority override",OR(H296="",I296="")),"Decision-maker / AIG-DEC-03 ref missing",IF(AND(E296="Priority override",G296&lt;&gt;"",G296&lt;&gt;"No decision"),"Priority override: Outcome blank or No decision",IF(AND(E296&lt;&gt;"Decision",OR(G296="Progress",G296="Progress with condition",G296="Return for evidence",G296="Pause",G296="Stop",G296="Suspend",G296="Decommission",G296="Re-authorise",G296="Resume")),"Outcome implies decision",IF(OR(ISNUMBER(SEARCH(",",O296)),ISNUMBER(SEARCH(";",O296))),"One UC-ID per event row — split this event",IF(AND(E296="Decision",OR(Q296="UC-ID REQUIRED",Q296="Decision scope missing",Q296="REMOVE UC-ID OR CORRECT SCOPE")),"Decision scope missing",IF(AND(G296="Progress with condition",COUNTIF(Conditions!$B$4:$B$553,A296)=0),"Progress with condition needs at least one Conditions row",IF(AND(C296&lt;&gt;"",COUNTIFS('Gate plan'!$A$4:$A$353,C296,'Gate plan'!$C$4:$C$353,D296)=0),"Plan gate differs from event gate",IF(AND(C296&lt;&gt;"",O296&lt;&gt;"",COUNTIFS('Gate plan'!$A$4:$A$353,C296,'Gate plan'!$K$4:$K$353,"&lt;&gt;")&gt;0,COUNTIFS('Gate plan'!$A$4:$A$353,C296,'Gate plan'!$K$4:$K$353,O296)=0),"Plan UC-ID differs from event UC-ID",IF(AND(E296="Assurance opinion",J296=""),"Assurance opinion ref missing",IF(AND(G296="Opinion only",E296&lt;&gt;"Assurance opinion",E296&lt;&gt;"Review only"),"Opinion only is for Assurance opinion or Review only events",IF(AND(G296="No decision",E296&lt;&gt;"Review only",E296&lt;&gt;"Priority override",E296&lt;&gt;"Intake / registration"),"No decision is for Review only, Priority override or Intake / registration events",IF(OR(ISNUMBER(SEARCH(" ",TRIM(O296))),ISNUMBER(SEARCH("/",O296))),"One UC-ID per event row: split this event",IF(AND(E296="Precautionary pause (containment)",ISNUMBER(W296),ISNUMBER(F296),W296&lt;F296),"Follow-up decision due date is before the pause",IF(AND(G296="Resume",IFERROR(LOOKUP(2,1/(($B$3:B295=B296)*($O$3:O295=O296)),$G$3:G295),"")&lt;&gt;"Paused — pending decision"),"Resume is only for the event straight after a Precautionary pause on the same AIR-ID and UC-ID (in an earlier row)",IF(AND(E296="Decision",OR(G296="Progress",G296="Progress with condition",G296="Re-authorise",G296="Resume"),X296&lt;&gt;"Yes"),"Decision-maker has not confirmed the screening was considered (column X)","Check against source")))))))))))))))))))))))))))))</f>
        <v/>
      </c>
      <c r="O296" s="37" t="n"/>
      <c r="P296" s="37" t="n"/>
      <c r="Q296" s="14">
        <f>IF(A296="","",IF(E296&lt;&gt;"Decision","",IF(P296="UC-ID specific",IF(O296="","UC-ID REQUIRED","Check source decision for each UC-ID"),IF(P296="Shared system baseline",IF(O296&lt;&gt;"","REMOVE UC-ID OR CORRECT SCOPE","Baseline only — NOT UC approval"),"Decision scope missing"))))</f>
        <v/>
      </c>
      <c r="R296" s="42" t="n"/>
      <c r="S296" s="38" t="n"/>
      <c r="T296" s="38" t="n"/>
      <c r="U296" s="38" t="n"/>
      <c r="V296" s="38" t="n"/>
      <c r="W296" s="39" t="n"/>
      <c r="X296" s="38" t="n"/>
    </row>
    <row r="297">
      <c r="A297" s="40" t="n"/>
      <c r="B297" s="40" t="n"/>
      <c r="C297" s="40" t="n"/>
      <c r="D297" s="40" t="n"/>
      <c r="E297" s="40" t="n"/>
      <c r="F297" s="41" t="n"/>
      <c r="G297" s="40" t="n"/>
      <c r="H297" s="40" t="n"/>
      <c r="I297" s="40" t="n"/>
      <c r="J297" s="40" t="n"/>
      <c r="K297" s="40" t="n"/>
      <c r="L297" s="40" t="n"/>
      <c r="M297" s="40" t="n"/>
      <c r="N297" s="24">
        <f>IF(COUNTA(A297:M297,O297:P297,R297:X297)=0,"",IF(OR(A297="",B297="",F297=""),"Event ID, AIR-ID or date missing",IF(COUNTIF($A$4:$A$553,A297)&gt;1,"Duplicate Event ID",IF(E297="","Event type missing",IF(OR(NOT(ISNUMBER(F297)),F297&gt;TODAY()),"Date is not a real date or is in the future",IF(AND(C297&lt;&gt;"",COUNTIF('Gate plan'!$A$4:$A$353,C297)=0),"Plan ID not found in Gate plan",IF(AND(C297&lt;&gt;"",COUNTIFS('Gate plan'!$A$4:$A$353,C297,'Gate plan'!$B$4:$B$353,B297)=0),"Plan AIR-ID differs from event",IF(D297="","Gate / forum missing",IF(AND(E297="Precautionary pause (containment)",G297&lt;&gt;"Paused — pending decision"),"Precautionary pause: Outcome must be Paused, pending decision",IF(AND(E297="Precautionary pause (containment)",V297=""),"Precautionary pause: AIG-OPS-03 incident ref missing",IF(AND(E297="Precautionary pause (containment)",NOT(ISNUMBER(W297))),"Precautionary pause: follow-up decision due date missing",IF(AND(G297="Paused — pending decision",E297&lt;&gt;"Precautionary pause (containment)"),"Paused, pending decision is only for a Precautionary pause event",IF(AND(E297="Decision",OR(G297="",H297="",I297="")),"Outcome / delegation / decision ref missing",IF(AND(E297="Decision",NOT(OR(G297="Progress",G297="Progress with condition",G297="Return for evidence",G297="Pause",G297="Stop",G297="Suspend",G297="Decommission",G297="Re-authorise",G297="Resume"))),"Decision event needs a decision outcome",IF(AND(E297="Priority override",OR(H297="",I297="")),"Decision-maker / AIG-DEC-03 ref missing",IF(AND(E297="Priority override",G297&lt;&gt;"",G297&lt;&gt;"No decision"),"Priority override: Outcome blank or No decision",IF(AND(E297&lt;&gt;"Decision",OR(G297="Progress",G297="Progress with condition",G297="Return for evidence",G297="Pause",G297="Stop",G297="Suspend",G297="Decommission",G297="Re-authorise",G297="Resume")),"Outcome implies decision",IF(OR(ISNUMBER(SEARCH(",",O297)),ISNUMBER(SEARCH(";",O297))),"One UC-ID per event row — split this event",IF(AND(E297="Decision",OR(Q297="UC-ID REQUIRED",Q297="Decision scope missing",Q297="REMOVE UC-ID OR CORRECT SCOPE")),"Decision scope missing",IF(AND(G297="Progress with condition",COUNTIF(Conditions!$B$4:$B$553,A297)=0),"Progress with condition needs at least one Conditions row",IF(AND(C297&lt;&gt;"",COUNTIFS('Gate plan'!$A$4:$A$353,C297,'Gate plan'!$C$4:$C$353,D297)=0),"Plan gate differs from event gate",IF(AND(C297&lt;&gt;"",O297&lt;&gt;"",COUNTIFS('Gate plan'!$A$4:$A$353,C297,'Gate plan'!$K$4:$K$353,"&lt;&gt;")&gt;0,COUNTIFS('Gate plan'!$A$4:$A$353,C297,'Gate plan'!$K$4:$K$353,O297)=0),"Plan UC-ID differs from event UC-ID",IF(AND(E297="Assurance opinion",J297=""),"Assurance opinion ref missing",IF(AND(G297="Opinion only",E297&lt;&gt;"Assurance opinion",E297&lt;&gt;"Review only"),"Opinion only is for Assurance opinion or Review only events",IF(AND(G297="No decision",E297&lt;&gt;"Review only",E297&lt;&gt;"Priority override",E297&lt;&gt;"Intake / registration"),"No decision is for Review only, Priority override or Intake / registration events",IF(OR(ISNUMBER(SEARCH(" ",TRIM(O297))),ISNUMBER(SEARCH("/",O297))),"One UC-ID per event row: split this event",IF(AND(E297="Precautionary pause (containment)",ISNUMBER(W297),ISNUMBER(F297),W297&lt;F297),"Follow-up decision due date is before the pause",IF(AND(G297="Resume",IFERROR(LOOKUP(2,1/(($B$3:B296=B297)*($O$3:O296=O297)),$G$3:G296),"")&lt;&gt;"Paused — pending decision"),"Resume is only for the event straight after a Precautionary pause on the same AIR-ID and UC-ID (in an earlier row)",IF(AND(E297="Decision",OR(G297="Progress",G297="Progress with condition",G297="Re-authorise",G297="Resume"),X297&lt;&gt;"Yes"),"Decision-maker has not confirmed the screening was considered (column X)","Check against source")))))))))))))))))))))))))))))</f>
        <v/>
      </c>
      <c r="O297" s="37" t="n"/>
      <c r="P297" s="37" t="n"/>
      <c r="Q297" s="14">
        <f>IF(A297="","",IF(E297&lt;&gt;"Decision","",IF(P297="UC-ID specific",IF(O297="","UC-ID REQUIRED","Check source decision for each UC-ID"),IF(P297="Shared system baseline",IF(O297&lt;&gt;"","REMOVE UC-ID OR CORRECT SCOPE","Baseline only — NOT UC approval"),"Decision scope missing"))))</f>
        <v/>
      </c>
      <c r="R297" s="43" t="n"/>
      <c r="S297" s="40" t="n"/>
      <c r="T297" s="40" t="n"/>
      <c r="U297" s="40" t="n"/>
      <c r="V297" s="40" t="n"/>
      <c r="W297" s="41" t="n"/>
      <c r="X297" s="38" t="n"/>
    </row>
    <row r="298">
      <c r="A298" s="38" t="n"/>
      <c r="B298" s="38" t="n"/>
      <c r="C298" s="38" t="n"/>
      <c r="D298" s="38" t="n"/>
      <c r="E298" s="38" t="n"/>
      <c r="F298" s="39" t="n"/>
      <c r="G298" s="38" t="n"/>
      <c r="H298" s="38" t="n"/>
      <c r="I298" s="38" t="n"/>
      <c r="J298" s="38" t="n"/>
      <c r="K298" s="38" t="n"/>
      <c r="L298" s="38" t="n"/>
      <c r="M298" s="38" t="n"/>
      <c r="N298" s="22">
        <f>IF(COUNTA(A298:M298,O298:P298,R298:X298)=0,"",IF(OR(A298="",B298="",F298=""),"Event ID, AIR-ID or date missing",IF(COUNTIF($A$4:$A$553,A298)&gt;1,"Duplicate Event ID",IF(E298="","Event type missing",IF(OR(NOT(ISNUMBER(F298)),F298&gt;TODAY()),"Date is not a real date or is in the future",IF(AND(C298&lt;&gt;"",COUNTIF('Gate plan'!$A$4:$A$353,C298)=0),"Plan ID not found in Gate plan",IF(AND(C298&lt;&gt;"",COUNTIFS('Gate plan'!$A$4:$A$353,C298,'Gate plan'!$B$4:$B$353,B298)=0),"Plan AIR-ID differs from event",IF(D298="","Gate / forum missing",IF(AND(E298="Precautionary pause (containment)",G298&lt;&gt;"Paused — pending decision"),"Precautionary pause: Outcome must be Paused, pending decision",IF(AND(E298="Precautionary pause (containment)",V298=""),"Precautionary pause: AIG-OPS-03 incident ref missing",IF(AND(E298="Precautionary pause (containment)",NOT(ISNUMBER(W298))),"Precautionary pause: follow-up decision due date missing",IF(AND(G298="Paused — pending decision",E298&lt;&gt;"Precautionary pause (containment)"),"Paused, pending decision is only for a Precautionary pause event",IF(AND(E298="Decision",OR(G298="",H298="",I298="")),"Outcome / delegation / decision ref missing",IF(AND(E298="Decision",NOT(OR(G298="Progress",G298="Progress with condition",G298="Return for evidence",G298="Pause",G298="Stop",G298="Suspend",G298="Decommission",G298="Re-authorise",G298="Resume"))),"Decision event needs a decision outcome",IF(AND(E298="Priority override",OR(H298="",I298="")),"Decision-maker / AIG-DEC-03 ref missing",IF(AND(E298="Priority override",G298&lt;&gt;"",G298&lt;&gt;"No decision"),"Priority override: Outcome blank or No decision",IF(AND(E298&lt;&gt;"Decision",OR(G298="Progress",G298="Progress with condition",G298="Return for evidence",G298="Pause",G298="Stop",G298="Suspend",G298="Decommission",G298="Re-authorise",G298="Resume")),"Outcome implies decision",IF(OR(ISNUMBER(SEARCH(",",O298)),ISNUMBER(SEARCH(";",O298))),"One UC-ID per event row — split this event",IF(AND(E298="Decision",OR(Q298="UC-ID REQUIRED",Q298="Decision scope missing",Q298="REMOVE UC-ID OR CORRECT SCOPE")),"Decision scope missing",IF(AND(G298="Progress with condition",COUNTIF(Conditions!$B$4:$B$553,A298)=0),"Progress with condition needs at least one Conditions row",IF(AND(C298&lt;&gt;"",COUNTIFS('Gate plan'!$A$4:$A$353,C298,'Gate plan'!$C$4:$C$353,D298)=0),"Plan gate differs from event gate",IF(AND(C298&lt;&gt;"",O298&lt;&gt;"",COUNTIFS('Gate plan'!$A$4:$A$353,C298,'Gate plan'!$K$4:$K$353,"&lt;&gt;")&gt;0,COUNTIFS('Gate plan'!$A$4:$A$353,C298,'Gate plan'!$K$4:$K$353,O298)=0),"Plan UC-ID differs from event UC-ID",IF(AND(E298="Assurance opinion",J298=""),"Assurance opinion ref missing",IF(AND(G298="Opinion only",E298&lt;&gt;"Assurance opinion",E298&lt;&gt;"Review only"),"Opinion only is for Assurance opinion or Review only events",IF(AND(G298="No decision",E298&lt;&gt;"Review only",E298&lt;&gt;"Priority override",E298&lt;&gt;"Intake / registration"),"No decision is for Review only, Priority override or Intake / registration events",IF(OR(ISNUMBER(SEARCH(" ",TRIM(O298))),ISNUMBER(SEARCH("/",O298))),"One UC-ID per event row: split this event",IF(AND(E298="Precautionary pause (containment)",ISNUMBER(W298),ISNUMBER(F298),W298&lt;F298),"Follow-up decision due date is before the pause",IF(AND(G298="Resume",IFERROR(LOOKUP(2,1/(($B$3:B297=B298)*($O$3:O297=O298)),$G$3:G297),"")&lt;&gt;"Paused — pending decision"),"Resume is only for the event straight after a Precautionary pause on the same AIR-ID and UC-ID (in an earlier row)",IF(AND(E298="Decision",OR(G298="Progress",G298="Progress with condition",G298="Re-authorise",G298="Resume"),X298&lt;&gt;"Yes"),"Decision-maker has not confirmed the screening was considered (column X)","Check against source")))))))))))))))))))))))))))))</f>
        <v/>
      </c>
      <c r="O298" s="37" t="n"/>
      <c r="P298" s="37" t="n"/>
      <c r="Q298" s="14">
        <f>IF(A298="","",IF(E298&lt;&gt;"Decision","",IF(P298="UC-ID specific",IF(O298="","UC-ID REQUIRED","Check source decision for each UC-ID"),IF(P298="Shared system baseline",IF(O298&lt;&gt;"","REMOVE UC-ID OR CORRECT SCOPE","Baseline only — NOT UC approval"),"Decision scope missing"))))</f>
        <v/>
      </c>
      <c r="R298" s="42" t="n"/>
      <c r="S298" s="38" t="n"/>
      <c r="T298" s="38" t="n"/>
      <c r="U298" s="38" t="n"/>
      <c r="V298" s="38" t="n"/>
      <c r="W298" s="39" t="n"/>
      <c r="X298" s="38" t="n"/>
    </row>
    <row r="299">
      <c r="A299" s="40" t="n"/>
      <c r="B299" s="40" t="n"/>
      <c r="C299" s="40" t="n"/>
      <c r="D299" s="40" t="n"/>
      <c r="E299" s="40" t="n"/>
      <c r="F299" s="41" t="n"/>
      <c r="G299" s="40" t="n"/>
      <c r="H299" s="40" t="n"/>
      <c r="I299" s="40" t="n"/>
      <c r="J299" s="40" t="n"/>
      <c r="K299" s="40" t="n"/>
      <c r="L299" s="40" t="n"/>
      <c r="M299" s="40" t="n"/>
      <c r="N299" s="24">
        <f>IF(COUNTA(A299:M299,O299:P299,R299:X299)=0,"",IF(OR(A299="",B299="",F299=""),"Event ID, AIR-ID or date missing",IF(COUNTIF($A$4:$A$553,A299)&gt;1,"Duplicate Event ID",IF(E299="","Event type missing",IF(OR(NOT(ISNUMBER(F299)),F299&gt;TODAY()),"Date is not a real date or is in the future",IF(AND(C299&lt;&gt;"",COUNTIF('Gate plan'!$A$4:$A$353,C299)=0),"Plan ID not found in Gate plan",IF(AND(C299&lt;&gt;"",COUNTIFS('Gate plan'!$A$4:$A$353,C299,'Gate plan'!$B$4:$B$353,B299)=0),"Plan AIR-ID differs from event",IF(D299="","Gate / forum missing",IF(AND(E299="Precautionary pause (containment)",G299&lt;&gt;"Paused — pending decision"),"Precautionary pause: Outcome must be Paused, pending decision",IF(AND(E299="Precautionary pause (containment)",V299=""),"Precautionary pause: AIG-OPS-03 incident ref missing",IF(AND(E299="Precautionary pause (containment)",NOT(ISNUMBER(W299))),"Precautionary pause: follow-up decision due date missing",IF(AND(G299="Paused — pending decision",E299&lt;&gt;"Precautionary pause (containment)"),"Paused, pending decision is only for a Precautionary pause event",IF(AND(E299="Decision",OR(G299="",H299="",I299="")),"Outcome / delegation / decision ref missing",IF(AND(E299="Decision",NOT(OR(G299="Progress",G299="Progress with condition",G299="Return for evidence",G299="Pause",G299="Stop",G299="Suspend",G299="Decommission",G299="Re-authorise",G299="Resume"))),"Decision event needs a decision outcome",IF(AND(E299="Priority override",OR(H299="",I299="")),"Decision-maker / AIG-DEC-03 ref missing",IF(AND(E299="Priority override",G299&lt;&gt;"",G299&lt;&gt;"No decision"),"Priority override: Outcome blank or No decision",IF(AND(E299&lt;&gt;"Decision",OR(G299="Progress",G299="Progress with condition",G299="Return for evidence",G299="Pause",G299="Stop",G299="Suspend",G299="Decommission",G299="Re-authorise",G299="Resume")),"Outcome implies decision",IF(OR(ISNUMBER(SEARCH(",",O299)),ISNUMBER(SEARCH(";",O299))),"One UC-ID per event row — split this event",IF(AND(E299="Decision",OR(Q299="UC-ID REQUIRED",Q299="Decision scope missing",Q299="REMOVE UC-ID OR CORRECT SCOPE")),"Decision scope missing",IF(AND(G299="Progress with condition",COUNTIF(Conditions!$B$4:$B$553,A299)=0),"Progress with condition needs at least one Conditions row",IF(AND(C299&lt;&gt;"",COUNTIFS('Gate plan'!$A$4:$A$353,C299,'Gate plan'!$C$4:$C$353,D299)=0),"Plan gate differs from event gate",IF(AND(C299&lt;&gt;"",O299&lt;&gt;"",COUNTIFS('Gate plan'!$A$4:$A$353,C299,'Gate plan'!$K$4:$K$353,"&lt;&gt;")&gt;0,COUNTIFS('Gate plan'!$A$4:$A$353,C299,'Gate plan'!$K$4:$K$353,O299)=0),"Plan UC-ID differs from event UC-ID",IF(AND(E299="Assurance opinion",J299=""),"Assurance opinion ref missing",IF(AND(G299="Opinion only",E299&lt;&gt;"Assurance opinion",E299&lt;&gt;"Review only"),"Opinion only is for Assurance opinion or Review only events",IF(AND(G299="No decision",E299&lt;&gt;"Review only",E299&lt;&gt;"Priority override",E299&lt;&gt;"Intake / registration"),"No decision is for Review only, Priority override or Intake / registration events",IF(OR(ISNUMBER(SEARCH(" ",TRIM(O299))),ISNUMBER(SEARCH("/",O299))),"One UC-ID per event row: split this event",IF(AND(E299="Precautionary pause (containment)",ISNUMBER(W299),ISNUMBER(F299),W299&lt;F299),"Follow-up decision due date is before the pause",IF(AND(G299="Resume",IFERROR(LOOKUP(2,1/(($B$3:B298=B299)*($O$3:O298=O299)),$G$3:G298),"")&lt;&gt;"Paused — pending decision"),"Resume is only for the event straight after a Precautionary pause on the same AIR-ID and UC-ID (in an earlier row)",IF(AND(E299="Decision",OR(G299="Progress",G299="Progress with condition",G299="Re-authorise",G299="Resume"),X299&lt;&gt;"Yes"),"Decision-maker has not confirmed the screening was considered (column X)","Check against source")))))))))))))))))))))))))))))</f>
        <v/>
      </c>
      <c r="O299" s="37" t="n"/>
      <c r="P299" s="37" t="n"/>
      <c r="Q299" s="14">
        <f>IF(A299="","",IF(E299&lt;&gt;"Decision","",IF(P299="UC-ID specific",IF(O299="","UC-ID REQUIRED","Check source decision for each UC-ID"),IF(P299="Shared system baseline",IF(O299&lt;&gt;"","REMOVE UC-ID OR CORRECT SCOPE","Baseline only — NOT UC approval"),"Decision scope missing"))))</f>
        <v/>
      </c>
      <c r="R299" s="43" t="n"/>
      <c r="S299" s="40" t="n"/>
      <c r="T299" s="40" t="n"/>
      <c r="U299" s="40" t="n"/>
      <c r="V299" s="40" t="n"/>
      <c r="W299" s="41" t="n"/>
      <c r="X299" s="38" t="n"/>
    </row>
    <row r="300">
      <c r="A300" s="38" t="n"/>
      <c r="B300" s="38" t="n"/>
      <c r="C300" s="38" t="n"/>
      <c r="D300" s="38" t="n"/>
      <c r="E300" s="38" t="n"/>
      <c r="F300" s="39" t="n"/>
      <c r="G300" s="38" t="n"/>
      <c r="H300" s="38" t="n"/>
      <c r="I300" s="38" t="n"/>
      <c r="J300" s="38" t="n"/>
      <c r="K300" s="38" t="n"/>
      <c r="L300" s="38" t="n"/>
      <c r="M300" s="38" t="n"/>
      <c r="N300" s="22">
        <f>IF(COUNTA(A300:M300,O300:P300,R300:X300)=0,"",IF(OR(A300="",B300="",F300=""),"Event ID, AIR-ID or date missing",IF(COUNTIF($A$4:$A$553,A300)&gt;1,"Duplicate Event ID",IF(E300="","Event type missing",IF(OR(NOT(ISNUMBER(F300)),F300&gt;TODAY()),"Date is not a real date or is in the future",IF(AND(C300&lt;&gt;"",COUNTIF('Gate plan'!$A$4:$A$353,C300)=0),"Plan ID not found in Gate plan",IF(AND(C300&lt;&gt;"",COUNTIFS('Gate plan'!$A$4:$A$353,C300,'Gate plan'!$B$4:$B$353,B300)=0),"Plan AIR-ID differs from event",IF(D300="","Gate / forum missing",IF(AND(E300="Precautionary pause (containment)",G300&lt;&gt;"Paused — pending decision"),"Precautionary pause: Outcome must be Paused, pending decision",IF(AND(E300="Precautionary pause (containment)",V300=""),"Precautionary pause: AIG-OPS-03 incident ref missing",IF(AND(E300="Precautionary pause (containment)",NOT(ISNUMBER(W300))),"Precautionary pause: follow-up decision due date missing",IF(AND(G300="Paused — pending decision",E300&lt;&gt;"Precautionary pause (containment)"),"Paused, pending decision is only for a Precautionary pause event",IF(AND(E300="Decision",OR(G300="",H300="",I300="")),"Outcome / delegation / decision ref missing",IF(AND(E300="Decision",NOT(OR(G300="Progress",G300="Progress with condition",G300="Return for evidence",G300="Pause",G300="Stop",G300="Suspend",G300="Decommission",G300="Re-authorise",G300="Resume"))),"Decision event needs a decision outcome",IF(AND(E300="Priority override",OR(H300="",I300="")),"Decision-maker / AIG-DEC-03 ref missing",IF(AND(E300="Priority override",G300&lt;&gt;"",G300&lt;&gt;"No decision"),"Priority override: Outcome blank or No decision",IF(AND(E300&lt;&gt;"Decision",OR(G300="Progress",G300="Progress with condition",G300="Return for evidence",G300="Pause",G300="Stop",G300="Suspend",G300="Decommission",G300="Re-authorise",G300="Resume")),"Outcome implies decision",IF(OR(ISNUMBER(SEARCH(",",O300)),ISNUMBER(SEARCH(";",O300))),"One UC-ID per event row — split this event",IF(AND(E300="Decision",OR(Q300="UC-ID REQUIRED",Q300="Decision scope missing",Q300="REMOVE UC-ID OR CORRECT SCOPE")),"Decision scope missing",IF(AND(G300="Progress with condition",COUNTIF(Conditions!$B$4:$B$553,A300)=0),"Progress with condition needs at least one Conditions row",IF(AND(C300&lt;&gt;"",COUNTIFS('Gate plan'!$A$4:$A$353,C300,'Gate plan'!$C$4:$C$353,D300)=0),"Plan gate differs from event gate",IF(AND(C300&lt;&gt;"",O300&lt;&gt;"",COUNTIFS('Gate plan'!$A$4:$A$353,C300,'Gate plan'!$K$4:$K$353,"&lt;&gt;")&gt;0,COUNTIFS('Gate plan'!$A$4:$A$353,C300,'Gate plan'!$K$4:$K$353,O300)=0),"Plan UC-ID differs from event UC-ID",IF(AND(E300="Assurance opinion",J300=""),"Assurance opinion ref missing",IF(AND(G300="Opinion only",E300&lt;&gt;"Assurance opinion",E300&lt;&gt;"Review only"),"Opinion only is for Assurance opinion or Review only events",IF(AND(G300="No decision",E300&lt;&gt;"Review only",E300&lt;&gt;"Priority override",E300&lt;&gt;"Intake / registration"),"No decision is for Review only, Priority override or Intake / registration events",IF(OR(ISNUMBER(SEARCH(" ",TRIM(O300))),ISNUMBER(SEARCH("/",O300))),"One UC-ID per event row: split this event",IF(AND(E300="Precautionary pause (containment)",ISNUMBER(W300),ISNUMBER(F300),W300&lt;F300),"Follow-up decision due date is before the pause",IF(AND(G300="Resume",IFERROR(LOOKUP(2,1/(($B$3:B299=B300)*($O$3:O299=O300)),$G$3:G299),"")&lt;&gt;"Paused — pending decision"),"Resume is only for the event straight after a Precautionary pause on the same AIR-ID and UC-ID (in an earlier row)",IF(AND(E300="Decision",OR(G300="Progress",G300="Progress with condition",G300="Re-authorise",G300="Resume"),X300&lt;&gt;"Yes"),"Decision-maker has not confirmed the screening was considered (column X)","Check against source")))))))))))))))))))))))))))))</f>
        <v/>
      </c>
      <c r="O300" s="37" t="n"/>
      <c r="P300" s="37" t="n"/>
      <c r="Q300" s="14">
        <f>IF(A300="","",IF(E300&lt;&gt;"Decision","",IF(P300="UC-ID specific",IF(O300="","UC-ID REQUIRED","Check source decision for each UC-ID"),IF(P300="Shared system baseline",IF(O300&lt;&gt;"","REMOVE UC-ID OR CORRECT SCOPE","Baseline only — NOT UC approval"),"Decision scope missing"))))</f>
        <v/>
      </c>
      <c r="R300" s="42" t="n"/>
      <c r="S300" s="38" t="n"/>
      <c r="T300" s="38" t="n"/>
      <c r="U300" s="38" t="n"/>
      <c r="V300" s="38" t="n"/>
      <c r="W300" s="39" t="n"/>
      <c r="X300" s="38" t="n"/>
    </row>
    <row r="301">
      <c r="A301" s="40" t="n"/>
      <c r="B301" s="40" t="n"/>
      <c r="C301" s="40" t="n"/>
      <c r="D301" s="40" t="n"/>
      <c r="E301" s="40" t="n"/>
      <c r="F301" s="41" t="n"/>
      <c r="G301" s="40" t="n"/>
      <c r="H301" s="40" t="n"/>
      <c r="I301" s="40" t="n"/>
      <c r="J301" s="40" t="n"/>
      <c r="K301" s="40" t="n"/>
      <c r="L301" s="40" t="n"/>
      <c r="M301" s="40" t="n"/>
      <c r="N301" s="24">
        <f>IF(COUNTA(A301:M301,O301:P301,R301:X301)=0,"",IF(OR(A301="",B301="",F301=""),"Event ID, AIR-ID or date missing",IF(COUNTIF($A$4:$A$553,A301)&gt;1,"Duplicate Event ID",IF(E301="","Event type missing",IF(OR(NOT(ISNUMBER(F301)),F301&gt;TODAY()),"Date is not a real date or is in the future",IF(AND(C301&lt;&gt;"",COUNTIF('Gate plan'!$A$4:$A$353,C301)=0),"Plan ID not found in Gate plan",IF(AND(C301&lt;&gt;"",COUNTIFS('Gate plan'!$A$4:$A$353,C301,'Gate plan'!$B$4:$B$353,B301)=0),"Plan AIR-ID differs from event",IF(D301="","Gate / forum missing",IF(AND(E301="Precautionary pause (containment)",G301&lt;&gt;"Paused — pending decision"),"Precautionary pause: Outcome must be Paused, pending decision",IF(AND(E301="Precautionary pause (containment)",V301=""),"Precautionary pause: AIG-OPS-03 incident ref missing",IF(AND(E301="Precautionary pause (containment)",NOT(ISNUMBER(W301))),"Precautionary pause: follow-up decision due date missing",IF(AND(G301="Paused — pending decision",E301&lt;&gt;"Precautionary pause (containment)"),"Paused, pending decision is only for a Precautionary pause event",IF(AND(E301="Decision",OR(G301="",H301="",I301="")),"Outcome / delegation / decision ref missing",IF(AND(E301="Decision",NOT(OR(G301="Progress",G301="Progress with condition",G301="Return for evidence",G301="Pause",G301="Stop",G301="Suspend",G301="Decommission",G301="Re-authorise",G301="Resume"))),"Decision event needs a decision outcome",IF(AND(E301="Priority override",OR(H301="",I301="")),"Decision-maker / AIG-DEC-03 ref missing",IF(AND(E301="Priority override",G301&lt;&gt;"",G301&lt;&gt;"No decision"),"Priority override: Outcome blank or No decision",IF(AND(E301&lt;&gt;"Decision",OR(G301="Progress",G301="Progress with condition",G301="Return for evidence",G301="Pause",G301="Stop",G301="Suspend",G301="Decommission",G301="Re-authorise",G301="Resume")),"Outcome implies decision",IF(OR(ISNUMBER(SEARCH(",",O301)),ISNUMBER(SEARCH(";",O301))),"One UC-ID per event row — split this event",IF(AND(E301="Decision",OR(Q301="UC-ID REQUIRED",Q301="Decision scope missing",Q301="REMOVE UC-ID OR CORRECT SCOPE")),"Decision scope missing",IF(AND(G301="Progress with condition",COUNTIF(Conditions!$B$4:$B$553,A301)=0),"Progress with condition needs at least one Conditions row",IF(AND(C301&lt;&gt;"",COUNTIFS('Gate plan'!$A$4:$A$353,C301,'Gate plan'!$C$4:$C$353,D301)=0),"Plan gate differs from event gate",IF(AND(C301&lt;&gt;"",O301&lt;&gt;"",COUNTIFS('Gate plan'!$A$4:$A$353,C301,'Gate plan'!$K$4:$K$353,"&lt;&gt;")&gt;0,COUNTIFS('Gate plan'!$A$4:$A$353,C301,'Gate plan'!$K$4:$K$353,O301)=0),"Plan UC-ID differs from event UC-ID",IF(AND(E301="Assurance opinion",J301=""),"Assurance opinion ref missing",IF(AND(G301="Opinion only",E301&lt;&gt;"Assurance opinion",E301&lt;&gt;"Review only"),"Opinion only is for Assurance opinion or Review only events",IF(AND(G301="No decision",E301&lt;&gt;"Review only",E301&lt;&gt;"Priority override",E301&lt;&gt;"Intake / registration"),"No decision is for Review only, Priority override or Intake / registration events",IF(OR(ISNUMBER(SEARCH(" ",TRIM(O301))),ISNUMBER(SEARCH("/",O301))),"One UC-ID per event row: split this event",IF(AND(E301="Precautionary pause (containment)",ISNUMBER(W301),ISNUMBER(F301),W301&lt;F301),"Follow-up decision due date is before the pause",IF(AND(G301="Resume",IFERROR(LOOKUP(2,1/(($B$3:B300=B301)*($O$3:O300=O301)),$G$3:G300),"")&lt;&gt;"Paused — pending decision"),"Resume is only for the event straight after a Precautionary pause on the same AIR-ID and UC-ID (in an earlier row)",IF(AND(E301="Decision",OR(G301="Progress",G301="Progress with condition",G301="Re-authorise",G301="Resume"),X301&lt;&gt;"Yes"),"Decision-maker has not confirmed the screening was considered (column X)","Check against source")))))))))))))))))))))))))))))</f>
        <v/>
      </c>
      <c r="O301" s="37" t="n"/>
      <c r="P301" s="37" t="n"/>
      <c r="Q301" s="14">
        <f>IF(A301="","",IF(E301&lt;&gt;"Decision","",IF(P301="UC-ID specific",IF(O301="","UC-ID REQUIRED","Check source decision for each UC-ID"),IF(P301="Shared system baseline",IF(O301&lt;&gt;"","REMOVE UC-ID OR CORRECT SCOPE","Baseline only — NOT UC approval"),"Decision scope missing"))))</f>
        <v/>
      </c>
      <c r="R301" s="43" t="n"/>
      <c r="S301" s="40" t="n"/>
      <c r="T301" s="40" t="n"/>
      <c r="U301" s="40" t="n"/>
      <c r="V301" s="40" t="n"/>
      <c r="W301" s="41" t="n"/>
      <c r="X301" s="38" t="n"/>
    </row>
    <row r="302">
      <c r="A302" s="38" t="n"/>
      <c r="B302" s="38" t="n"/>
      <c r="C302" s="38" t="n"/>
      <c r="D302" s="38" t="n"/>
      <c r="E302" s="38" t="n"/>
      <c r="F302" s="39" t="n"/>
      <c r="G302" s="38" t="n"/>
      <c r="H302" s="38" t="n"/>
      <c r="I302" s="38" t="n"/>
      <c r="J302" s="38" t="n"/>
      <c r="K302" s="38" t="n"/>
      <c r="L302" s="38" t="n"/>
      <c r="M302" s="38" t="n"/>
      <c r="N302" s="22">
        <f>IF(COUNTA(A302:M302,O302:P302,R302:X302)=0,"",IF(OR(A302="",B302="",F302=""),"Event ID, AIR-ID or date missing",IF(COUNTIF($A$4:$A$553,A302)&gt;1,"Duplicate Event ID",IF(E302="","Event type missing",IF(OR(NOT(ISNUMBER(F302)),F302&gt;TODAY()),"Date is not a real date or is in the future",IF(AND(C302&lt;&gt;"",COUNTIF('Gate plan'!$A$4:$A$353,C302)=0),"Plan ID not found in Gate plan",IF(AND(C302&lt;&gt;"",COUNTIFS('Gate plan'!$A$4:$A$353,C302,'Gate plan'!$B$4:$B$353,B302)=0),"Plan AIR-ID differs from event",IF(D302="","Gate / forum missing",IF(AND(E302="Precautionary pause (containment)",G302&lt;&gt;"Paused — pending decision"),"Precautionary pause: Outcome must be Paused, pending decision",IF(AND(E302="Precautionary pause (containment)",V302=""),"Precautionary pause: AIG-OPS-03 incident ref missing",IF(AND(E302="Precautionary pause (containment)",NOT(ISNUMBER(W302))),"Precautionary pause: follow-up decision due date missing",IF(AND(G302="Paused — pending decision",E302&lt;&gt;"Precautionary pause (containment)"),"Paused, pending decision is only for a Precautionary pause event",IF(AND(E302="Decision",OR(G302="",H302="",I302="")),"Outcome / delegation / decision ref missing",IF(AND(E302="Decision",NOT(OR(G302="Progress",G302="Progress with condition",G302="Return for evidence",G302="Pause",G302="Stop",G302="Suspend",G302="Decommission",G302="Re-authorise",G302="Resume"))),"Decision event needs a decision outcome",IF(AND(E302="Priority override",OR(H302="",I302="")),"Decision-maker / AIG-DEC-03 ref missing",IF(AND(E302="Priority override",G302&lt;&gt;"",G302&lt;&gt;"No decision"),"Priority override: Outcome blank or No decision",IF(AND(E302&lt;&gt;"Decision",OR(G302="Progress",G302="Progress with condition",G302="Return for evidence",G302="Pause",G302="Stop",G302="Suspend",G302="Decommission",G302="Re-authorise",G302="Resume")),"Outcome implies decision",IF(OR(ISNUMBER(SEARCH(",",O302)),ISNUMBER(SEARCH(";",O302))),"One UC-ID per event row — split this event",IF(AND(E302="Decision",OR(Q302="UC-ID REQUIRED",Q302="Decision scope missing",Q302="REMOVE UC-ID OR CORRECT SCOPE")),"Decision scope missing",IF(AND(G302="Progress with condition",COUNTIF(Conditions!$B$4:$B$553,A302)=0),"Progress with condition needs at least one Conditions row",IF(AND(C302&lt;&gt;"",COUNTIFS('Gate plan'!$A$4:$A$353,C302,'Gate plan'!$C$4:$C$353,D302)=0),"Plan gate differs from event gate",IF(AND(C302&lt;&gt;"",O302&lt;&gt;"",COUNTIFS('Gate plan'!$A$4:$A$353,C302,'Gate plan'!$K$4:$K$353,"&lt;&gt;")&gt;0,COUNTIFS('Gate plan'!$A$4:$A$353,C302,'Gate plan'!$K$4:$K$353,O302)=0),"Plan UC-ID differs from event UC-ID",IF(AND(E302="Assurance opinion",J302=""),"Assurance opinion ref missing",IF(AND(G302="Opinion only",E302&lt;&gt;"Assurance opinion",E302&lt;&gt;"Review only"),"Opinion only is for Assurance opinion or Review only events",IF(AND(G302="No decision",E302&lt;&gt;"Review only",E302&lt;&gt;"Priority override",E302&lt;&gt;"Intake / registration"),"No decision is for Review only, Priority override or Intake / registration events",IF(OR(ISNUMBER(SEARCH(" ",TRIM(O302))),ISNUMBER(SEARCH("/",O302))),"One UC-ID per event row: split this event",IF(AND(E302="Precautionary pause (containment)",ISNUMBER(W302),ISNUMBER(F302),W302&lt;F302),"Follow-up decision due date is before the pause",IF(AND(G302="Resume",IFERROR(LOOKUP(2,1/(($B$3:B301=B302)*($O$3:O301=O302)),$G$3:G301),"")&lt;&gt;"Paused — pending decision"),"Resume is only for the event straight after a Precautionary pause on the same AIR-ID and UC-ID (in an earlier row)",IF(AND(E302="Decision",OR(G302="Progress",G302="Progress with condition",G302="Re-authorise",G302="Resume"),X302&lt;&gt;"Yes"),"Decision-maker has not confirmed the screening was considered (column X)","Check against source")))))))))))))))))))))))))))))</f>
        <v/>
      </c>
      <c r="O302" s="37" t="n"/>
      <c r="P302" s="37" t="n"/>
      <c r="Q302" s="14">
        <f>IF(A302="","",IF(E302&lt;&gt;"Decision","",IF(P302="UC-ID specific",IF(O302="","UC-ID REQUIRED","Check source decision for each UC-ID"),IF(P302="Shared system baseline",IF(O302&lt;&gt;"","REMOVE UC-ID OR CORRECT SCOPE","Baseline only — NOT UC approval"),"Decision scope missing"))))</f>
        <v/>
      </c>
      <c r="R302" s="42" t="n"/>
      <c r="S302" s="38" t="n"/>
      <c r="T302" s="38" t="n"/>
      <c r="U302" s="38" t="n"/>
      <c r="V302" s="38" t="n"/>
      <c r="W302" s="39" t="n"/>
      <c r="X302" s="38" t="n"/>
    </row>
    <row r="303">
      <c r="A303" s="40" t="n"/>
      <c r="B303" s="40" t="n"/>
      <c r="C303" s="40" t="n"/>
      <c r="D303" s="40" t="n"/>
      <c r="E303" s="40" t="n"/>
      <c r="F303" s="41" t="n"/>
      <c r="G303" s="40" t="n"/>
      <c r="H303" s="40" t="n"/>
      <c r="I303" s="40" t="n"/>
      <c r="J303" s="40" t="n"/>
      <c r="K303" s="40" t="n"/>
      <c r="L303" s="40" t="n"/>
      <c r="M303" s="40" t="n"/>
      <c r="N303" s="24">
        <f>IF(COUNTA(A303:M303,O303:P303,R303:X303)=0,"",IF(OR(A303="",B303="",F303=""),"Event ID, AIR-ID or date missing",IF(COUNTIF($A$4:$A$553,A303)&gt;1,"Duplicate Event ID",IF(E303="","Event type missing",IF(OR(NOT(ISNUMBER(F303)),F303&gt;TODAY()),"Date is not a real date or is in the future",IF(AND(C303&lt;&gt;"",COUNTIF('Gate plan'!$A$4:$A$353,C303)=0),"Plan ID not found in Gate plan",IF(AND(C303&lt;&gt;"",COUNTIFS('Gate plan'!$A$4:$A$353,C303,'Gate plan'!$B$4:$B$353,B303)=0),"Plan AIR-ID differs from event",IF(D303="","Gate / forum missing",IF(AND(E303="Precautionary pause (containment)",G303&lt;&gt;"Paused — pending decision"),"Precautionary pause: Outcome must be Paused, pending decision",IF(AND(E303="Precautionary pause (containment)",V303=""),"Precautionary pause: AIG-OPS-03 incident ref missing",IF(AND(E303="Precautionary pause (containment)",NOT(ISNUMBER(W303))),"Precautionary pause: follow-up decision due date missing",IF(AND(G303="Paused — pending decision",E303&lt;&gt;"Precautionary pause (containment)"),"Paused, pending decision is only for a Precautionary pause event",IF(AND(E303="Decision",OR(G303="",H303="",I303="")),"Outcome / delegation / decision ref missing",IF(AND(E303="Decision",NOT(OR(G303="Progress",G303="Progress with condition",G303="Return for evidence",G303="Pause",G303="Stop",G303="Suspend",G303="Decommission",G303="Re-authorise",G303="Resume"))),"Decision event needs a decision outcome",IF(AND(E303="Priority override",OR(H303="",I303="")),"Decision-maker / AIG-DEC-03 ref missing",IF(AND(E303="Priority override",G303&lt;&gt;"",G303&lt;&gt;"No decision"),"Priority override: Outcome blank or No decision",IF(AND(E303&lt;&gt;"Decision",OR(G303="Progress",G303="Progress with condition",G303="Return for evidence",G303="Pause",G303="Stop",G303="Suspend",G303="Decommission",G303="Re-authorise",G303="Resume")),"Outcome implies decision",IF(OR(ISNUMBER(SEARCH(",",O303)),ISNUMBER(SEARCH(";",O303))),"One UC-ID per event row — split this event",IF(AND(E303="Decision",OR(Q303="UC-ID REQUIRED",Q303="Decision scope missing",Q303="REMOVE UC-ID OR CORRECT SCOPE")),"Decision scope missing",IF(AND(G303="Progress with condition",COUNTIF(Conditions!$B$4:$B$553,A303)=0),"Progress with condition needs at least one Conditions row",IF(AND(C303&lt;&gt;"",COUNTIFS('Gate plan'!$A$4:$A$353,C303,'Gate plan'!$C$4:$C$353,D303)=0),"Plan gate differs from event gate",IF(AND(C303&lt;&gt;"",O303&lt;&gt;"",COUNTIFS('Gate plan'!$A$4:$A$353,C303,'Gate plan'!$K$4:$K$353,"&lt;&gt;")&gt;0,COUNTIFS('Gate plan'!$A$4:$A$353,C303,'Gate plan'!$K$4:$K$353,O303)=0),"Plan UC-ID differs from event UC-ID",IF(AND(E303="Assurance opinion",J303=""),"Assurance opinion ref missing",IF(AND(G303="Opinion only",E303&lt;&gt;"Assurance opinion",E303&lt;&gt;"Review only"),"Opinion only is for Assurance opinion or Review only events",IF(AND(G303="No decision",E303&lt;&gt;"Review only",E303&lt;&gt;"Priority override",E303&lt;&gt;"Intake / registration"),"No decision is for Review only, Priority override or Intake / registration events",IF(OR(ISNUMBER(SEARCH(" ",TRIM(O303))),ISNUMBER(SEARCH("/",O303))),"One UC-ID per event row: split this event",IF(AND(E303="Precautionary pause (containment)",ISNUMBER(W303),ISNUMBER(F303),W303&lt;F303),"Follow-up decision due date is before the pause",IF(AND(G303="Resume",IFERROR(LOOKUP(2,1/(($B$3:B302=B303)*($O$3:O302=O303)),$G$3:G302),"")&lt;&gt;"Paused — pending decision"),"Resume is only for the event straight after a Precautionary pause on the same AIR-ID and UC-ID (in an earlier row)",IF(AND(E303="Decision",OR(G303="Progress",G303="Progress with condition",G303="Re-authorise",G303="Resume"),X303&lt;&gt;"Yes"),"Decision-maker has not confirmed the screening was considered (column X)","Check against source")))))))))))))))))))))))))))))</f>
        <v/>
      </c>
      <c r="O303" s="37" t="n"/>
      <c r="P303" s="37" t="n"/>
      <c r="Q303" s="14">
        <f>IF(A303="","",IF(E303&lt;&gt;"Decision","",IF(P303="UC-ID specific",IF(O303="","UC-ID REQUIRED","Check source decision for each UC-ID"),IF(P303="Shared system baseline",IF(O303&lt;&gt;"","REMOVE UC-ID OR CORRECT SCOPE","Baseline only — NOT UC approval"),"Decision scope missing"))))</f>
        <v/>
      </c>
      <c r="R303" s="43" t="n"/>
      <c r="S303" s="40" t="n"/>
      <c r="T303" s="40" t="n"/>
      <c r="U303" s="40" t="n"/>
      <c r="V303" s="40" t="n"/>
      <c r="W303" s="41" t="n"/>
      <c r="X303" s="38" t="n"/>
    </row>
    <row r="304">
      <c r="A304" s="38" t="n"/>
      <c r="B304" s="38" t="n"/>
      <c r="C304" s="38" t="n"/>
      <c r="D304" s="38" t="n"/>
      <c r="E304" s="38" t="n"/>
      <c r="F304" s="39" t="n"/>
      <c r="G304" s="38" t="n"/>
      <c r="H304" s="38" t="n"/>
      <c r="I304" s="38" t="n"/>
      <c r="J304" s="38" t="n"/>
      <c r="K304" s="38" t="n"/>
      <c r="L304" s="38" t="n"/>
      <c r="M304" s="38" t="n"/>
      <c r="N304" s="22">
        <f>IF(COUNTA(A304:M304,O304:P304,R304:X304)=0,"",IF(OR(A304="",B304="",F304=""),"Event ID, AIR-ID or date missing",IF(COUNTIF($A$4:$A$553,A304)&gt;1,"Duplicate Event ID",IF(E304="","Event type missing",IF(OR(NOT(ISNUMBER(F304)),F304&gt;TODAY()),"Date is not a real date or is in the future",IF(AND(C304&lt;&gt;"",COUNTIF('Gate plan'!$A$4:$A$353,C304)=0),"Plan ID not found in Gate plan",IF(AND(C304&lt;&gt;"",COUNTIFS('Gate plan'!$A$4:$A$353,C304,'Gate plan'!$B$4:$B$353,B304)=0),"Plan AIR-ID differs from event",IF(D304="","Gate / forum missing",IF(AND(E304="Precautionary pause (containment)",G304&lt;&gt;"Paused — pending decision"),"Precautionary pause: Outcome must be Paused, pending decision",IF(AND(E304="Precautionary pause (containment)",V304=""),"Precautionary pause: AIG-OPS-03 incident ref missing",IF(AND(E304="Precautionary pause (containment)",NOT(ISNUMBER(W304))),"Precautionary pause: follow-up decision due date missing",IF(AND(G304="Paused — pending decision",E304&lt;&gt;"Precautionary pause (containment)"),"Paused, pending decision is only for a Precautionary pause event",IF(AND(E304="Decision",OR(G304="",H304="",I304="")),"Outcome / delegation / decision ref missing",IF(AND(E304="Decision",NOT(OR(G304="Progress",G304="Progress with condition",G304="Return for evidence",G304="Pause",G304="Stop",G304="Suspend",G304="Decommission",G304="Re-authorise",G304="Resume"))),"Decision event needs a decision outcome",IF(AND(E304="Priority override",OR(H304="",I304="")),"Decision-maker / AIG-DEC-03 ref missing",IF(AND(E304="Priority override",G304&lt;&gt;"",G304&lt;&gt;"No decision"),"Priority override: Outcome blank or No decision",IF(AND(E304&lt;&gt;"Decision",OR(G304="Progress",G304="Progress with condition",G304="Return for evidence",G304="Pause",G304="Stop",G304="Suspend",G304="Decommission",G304="Re-authorise",G304="Resume")),"Outcome implies decision",IF(OR(ISNUMBER(SEARCH(",",O304)),ISNUMBER(SEARCH(";",O304))),"One UC-ID per event row — split this event",IF(AND(E304="Decision",OR(Q304="UC-ID REQUIRED",Q304="Decision scope missing",Q304="REMOVE UC-ID OR CORRECT SCOPE")),"Decision scope missing",IF(AND(G304="Progress with condition",COUNTIF(Conditions!$B$4:$B$553,A304)=0),"Progress with condition needs at least one Conditions row",IF(AND(C304&lt;&gt;"",COUNTIFS('Gate plan'!$A$4:$A$353,C304,'Gate plan'!$C$4:$C$353,D304)=0),"Plan gate differs from event gate",IF(AND(C304&lt;&gt;"",O304&lt;&gt;"",COUNTIFS('Gate plan'!$A$4:$A$353,C304,'Gate plan'!$K$4:$K$353,"&lt;&gt;")&gt;0,COUNTIFS('Gate plan'!$A$4:$A$353,C304,'Gate plan'!$K$4:$K$353,O304)=0),"Plan UC-ID differs from event UC-ID",IF(AND(E304="Assurance opinion",J304=""),"Assurance opinion ref missing",IF(AND(G304="Opinion only",E304&lt;&gt;"Assurance opinion",E304&lt;&gt;"Review only"),"Opinion only is for Assurance opinion or Review only events",IF(AND(G304="No decision",E304&lt;&gt;"Review only",E304&lt;&gt;"Priority override",E304&lt;&gt;"Intake / registration"),"No decision is for Review only, Priority override or Intake / registration events",IF(OR(ISNUMBER(SEARCH(" ",TRIM(O304))),ISNUMBER(SEARCH("/",O304))),"One UC-ID per event row: split this event",IF(AND(E304="Precautionary pause (containment)",ISNUMBER(W304),ISNUMBER(F304),W304&lt;F304),"Follow-up decision due date is before the pause",IF(AND(G304="Resume",IFERROR(LOOKUP(2,1/(($B$3:B303=B304)*($O$3:O303=O304)),$G$3:G303),"")&lt;&gt;"Paused — pending decision"),"Resume is only for the event straight after a Precautionary pause on the same AIR-ID and UC-ID (in an earlier row)",IF(AND(E304="Decision",OR(G304="Progress",G304="Progress with condition",G304="Re-authorise",G304="Resume"),X304&lt;&gt;"Yes"),"Decision-maker has not confirmed the screening was considered (column X)","Check against source")))))))))))))))))))))))))))))</f>
        <v/>
      </c>
      <c r="O304" s="37" t="n"/>
      <c r="P304" s="37" t="n"/>
      <c r="Q304" s="14">
        <f>IF(A304="","",IF(E304&lt;&gt;"Decision","",IF(P304="UC-ID specific",IF(O304="","UC-ID REQUIRED","Check source decision for each UC-ID"),IF(P304="Shared system baseline",IF(O304&lt;&gt;"","REMOVE UC-ID OR CORRECT SCOPE","Baseline only — NOT UC approval"),"Decision scope missing"))))</f>
        <v/>
      </c>
      <c r="R304" s="42" t="n"/>
      <c r="S304" s="38" t="n"/>
      <c r="T304" s="38" t="n"/>
      <c r="U304" s="38" t="n"/>
      <c r="V304" s="38" t="n"/>
      <c r="W304" s="39" t="n"/>
      <c r="X304" s="38" t="n"/>
    </row>
    <row r="305">
      <c r="A305" s="40" t="n"/>
      <c r="B305" s="40" t="n"/>
      <c r="C305" s="40" t="n"/>
      <c r="D305" s="40" t="n"/>
      <c r="E305" s="40" t="n"/>
      <c r="F305" s="41" t="n"/>
      <c r="G305" s="40" t="n"/>
      <c r="H305" s="40" t="n"/>
      <c r="I305" s="40" t="n"/>
      <c r="J305" s="40" t="n"/>
      <c r="K305" s="40" t="n"/>
      <c r="L305" s="40" t="n"/>
      <c r="M305" s="40" t="n"/>
      <c r="N305" s="24">
        <f>IF(COUNTA(A305:M305,O305:P305,R305:X305)=0,"",IF(OR(A305="",B305="",F305=""),"Event ID, AIR-ID or date missing",IF(COUNTIF($A$4:$A$553,A305)&gt;1,"Duplicate Event ID",IF(E305="","Event type missing",IF(OR(NOT(ISNUMBER(F305)),F305&gt;TODAY()),"Date is not a real date or is in the future",IF(AND(C305&lt;&gt;"",COUNTIF('Gate plan'!$A$4:$A$353,C305)=0),"Plan ID not found in Gate plan",IF(AND(C305&lt;&gt;"",COUNTIFS('Gate plan'!$A$4:$A$353,C305,'Gate plan'!$B$4:$B$353,B305)=0),"Plan AIR-ID differs from event",IF(D305="","Gate / forum missing",IF(AND(E305="Precautionary pause (containment)",G305&lt;&gt;"Paused — pending decision"),"Precautionary pause: Outcome must be Paused, pending decision",IF(AND(E305="Precautionary pause (containment)",V305=""),"Precautionary pause: AIG-OPS-03 incident ref missing",IF(AND(E305="Precautionary pause (containment)",NOT(ISNUMBER(W305))),"Precautionary pause: follow-up decision due date missing",IF(AND(G305="Paused — pending decision",E305&lt;&gt;"Precautionary pause (containment)"),"Paused, pending decision is only for a Precautionary pause event",IF(AND(E305="Decision",OR(G305="",H305="",I305="")),"Outcome / delegation / decision ref missing",IF(AND(E305="Decision",NOT(OR(G305="Progress",G305="Progress with condition",G305="Return for evidence",G305="Pause",G305="Stop",G305="Suspend",G305="Decommission",G305="Re-authorise",G305="Resume"))),"Decision event needs a decision outcome",IF(AND(E305="Priority override",OR(H305="",I305="")),"Decision-maker / AIG-DEC-03 ref missing",IF(AND(E305="Priority override",G305&lt;&gt;"",G305&lt;&gt;"No decision"),"Priority override: Outcome blank or No decision",IF(AND(E305&lt;&gt;"Decision",OR(G305="Progress",G305="Progress with condition",G305="Return for evidence",G305="Pause",G305="Stop",G305="Suspend",G305="Decommission",G305="Re-authorise",G305="Resume")),"Outcome implies decision",IF(OR(ISNUMBER(SEARCH(",",O305)),ISNUMBER(SEARCH(";",O305))),"One UC-ID per event row — split this event",IF(AND(E305="Decision",OR(Q305="UC-ID REQUIRED",Q305="Decision scope missing",Q305="REMOVE UC-ID OR CORRECT SCOPE")),"Decision scope missing",IF(AND(G305="Progress with condition",COUNTIF(Conditions!$B$4:$B$553,A305)=0),"Progress with condition needs at least one Conditions row",IF(AND(C305&lt;&gt;"",COUNTIFS('Gate plan'!$A$4:$A$353,C305,'Gate plan'!$C$4:$C$353,D305)=0),"Plan gate differs from event gate",IF(AND(C305&lt;&gt;"",O305&lt;&gt;"",COUNTIFS('Gate plan'!$A$4:$A$353,C305,'Gate plan'!$K$4:$K$353,"&lt;&gt;")&gt;0,COUNTIFS('Gate plan'!$A$4:$A$353,C305,'Gate plan'!$K$4:$K$353,O305)=0),"Plan UC-ID differs from event UC-ID",IF(AND(E305="Assurance opinion",J305=""),"Assurance opinion ref missing",IF(AND(G305="Opinion only",E305&lt;&gt;"Assurance opinion",E305&lt;&gt;"Review only"),"Opinion only is for Assurance opinion or Review only events",IF(AND(G305="No decision",E305&lt;&gt;"Review only",E305&lt;&gt;"Priority override",E305&lt;&gt;"Intake / registration"),"No decision is for Review only, Priority override or Intake / registration events",IF(OR(ISNUMBER(SEARCH(" ",TRIM(O305))),ISNUMBER(SEARCH("/",O305))),"One UC-ID per event row: split this event",IF(AND(E305="Precautionary pause (containment)",ISNUMBER(W305),ISNUMBER(F305),W305&lt;F305),"Follow-up decision due date is before the pause",IF(AND(G305="Resume",IFERROR(LOOKUP(2,1/(($B$3:B304=B305)*($O$3:O304=O305)),$G$3:G304),"")&lt;&gt;"Paused — pending decision"),"Resume is only for the event straight after a Precautionary pause on the same AIR-ID and UC-ID (in an earlier row)",IF(AND(E305="Decision",OR(G305="Progress",G305="Progress with condition",G305="Re-authorise",G305="Resume"),X305&lt;&gt;"Yes"),"Decision-maker has not confirmed the screening was considered (column X)","Check against source")))))))))))))))))))))))))))))</f>
        <v/>
      </c>
      <c r="O305" s="37" t="n"/>
      <c r="P305" s="37" t="n"/>
      <c r="Q305" s="14">
        <f>IF(A305="","",IF(E305&lt;&gt;"Decision","",IF(P305="UC-ID specific",IF(O305="","UC-ID REQUIRED","Check source decision for each UC-ID"),IF(P305="Shared system baseline",IF(O305&lt;&gt;"","REMOVE UC-ID OR CORRECT SCOPE","Baseline only — NOT UC approval"),"Decision scope missing"))))</f>
        <v/>
      </c>
      <c r="R305" s="43" t="n"/>
      <c r="S305" s="40" t="n"/>
      <c r="T305" s="40" t="n"/>
      <c r="U305" s="40" t="n"/>
      <c r="V305" s="40" t="n"/>
      <c r="W305" s="41" t="n"/>
      <c r="X305" s="38" t="n"/>
    </row>
    <row r="306">
      <c r="A306" s="38" t="n"/>
      <c r="B306" s="38" t="n"/>
      <c r="C306" s="38" t="n"/>
      <c r="D306" s="38" t="n"/>
      <c r="E306" s="38" t="n"/>
      <c r="F306" s="39" t="n"/>
      <c r="G306" s="38" t="n"/>
      <c r="H306" s="38" t="n"/>
      <c r="I306" s="38" t="n"/>
      <c r="J306" s="38" t="n"/>
      <c r="K306" s="38" t="n"/>
      <c r="L306" s="38" t="n"/>
      <c r="M306" s="38" t="n"/>
      <c r="N306" s="22">
        <f>IF(COUNTA(A306:M306,O306:P306,R306:X306)=0,"",IF(OR(A306="",B306="",F306=""),"Event ID, AIR-ID or date missing",IF(COUNTIF($A$4:$A$553,A306)&gt;1,"Duplicate Event ID",IF(E306="","Event type missing",IF(OR(NOT(ISNUMBER(F306)),F306&gt;TODAY()),"Date is not a real date or is in the future",IF(AND(C306&lt;&gt;"",COUNTIF('Gate plan'!$A$4:$A$353,C306)=0),"Plan ID not found in Gate plan",IF(AND(C306&lt;&gt;"",COUNTIFS('Gate plan'!$A$4:$A$353,C306,'Gate plan'!$B$4:$B$353,B306)=0),"Plan AIR-ID differs from event",IF(D306="","Gate / forum missing",IF(AND(E306="Precautionary pause (containment)",G306&lt;&gt;"Paused — pending decision"),"Precautionary pause: Outcome must be Paused, pending decision",IF(AND(E306="Precautionary pause (containment)",V306=""),"Precautionary pause: AIG-OPS-03 incident ref missing",IF(AND(E306="Precautionary pause (containment)",NOT(ISNUMBER(W306))),"Precautionary pause: follow-up decision due date missing",IF(AND(G306="Paused — pending decision",E306&lt;&gt;"Precautionary pause (containment)"),"Paused, pending decision is only for a Precautionary pause event",IF(AND(E306="Decision",OR(G306="",H306="",I306="")),"Outcome / delegation / decision ref missing",IF(AND(E306="Decision",NOT(OR(G306="Progress",G306="Progress with condition",G306="Return for evidence",G306="Pause",G306="Stop",G306="Suspend",G306="Decommission",G306="Re-authorise",G306="Resume"))),"Decision event needs a decision outcome",IF(AND(E306="Priority override",OR(H306="",I306="")),"Decision-maker / AIG-DEC-03 ref missing",IF(AND(E306="Priority override",G306&lt;&gt;"",G306&lt;&gt;"No decision"),"Priority override: Outcome blank or No decision",IF(AND(E306&lt;&gt;"Decision",OR(G306="Progress",G306="Progress with condition",G306="Return for evidence",G306="Pause",G306="Stop",G306="Suspend",G306="Decommission",G306="Re-authorise",G306="Resume")),"Outcome implies decision",IF(OR(ISNUMBER(SEARCH(",",O306)),ISNUMBER(SEARCH(";",O306))),"One UC-ID per event row — split this event",IF(AND(E306="Decision",OR(Q306="UC-ID REQUIRED",Q306="Decision scope missing",Q306="REMOVE UC-ID OR CORRECT SCOPE")),"Decision scope missing",IF(AND(G306="Progress with condition",COUNTIF(Conditions!$B$4:$B$553,A306)=0),"Progress with condition needs at least one Conditions row",IF(AND(C306&lt;&gt;"",COUNTIFS('Gate plan'!$A$4:$A$353,C306,'Gate plan'!$C$4:$C$353,D306)=0),"Plan gate differs from event gate",IF(AND(C306&lt;&gt;"",O306&lt;&gt;"",COUNTIFS('Gate plan'!$A$4:$A$353,C306,'Gate plan'!$K$4:$K$353,"&lt;&gt;")&gt;0,COUNTIFS('Gate plan'!$A$4:$A$353,C306,'Gate plan'!$K$4:$K$353,O306)=0),"Plan UC-ID differs from event UC-ID",IF(AND(E306="Assurance opinion",J306=""),"Assurance opinion ref missing",IF(AND(G306="Opinion only",E306&lt;&gt;"Assurance opinion",E306&lt;&gt;"Review only"),"Opinion only is for Assurance opinion or Review only events",IF(AND(G306="No decision",E306&lt;&gt;"Review only",E306&lt;&gt;"Priority override",E306&lt;&gt;"Intake / registration"),"No decision is for Review only, Priority override or Intake / registration events",IF(OR(ISNUMBER(SEARCH(" ",TRIM(O306))),ISNUMBER(SEARCH("/",O306))),"One UC-ID per event row: split this event",IF(AND(E306="Precautionary pause (containment)",ISNUMBER(W306),ISNUMBER(F306),W306&lt;F306),"Follow-up decision due date is before the pause",IF(AND(G306="Resume",IFERROR(LOOKUP(2,1/(($B$3:B305=B306)*($O$3:O305=O306)),$G$3:G305),"")&lt;&gt;"Paused — pending decision"),"Resume is only for the event straight after a Precautionary pause on the same AIR-ID and UC-ID (in an earlier row)",IF(AND(E306="Decision",OR(G306="Progress",G306="Progress with condition",G306="Re-authorise",G306="Resume"),X306&lt;&gt;"Yes"),"Decision-maker has not confirmed the screening was considered (column X)","Check against source")))))))))))))))))))))))))))))</f>
        <v/>
      </c>
      <c r="O306" s="37" t="n"/>
      <c r="P306" s="37" t="n"/>
      <c r="Q306" s="14">
        <f>IF(A306="","",IF(E306&lt;&gt;"Decision","",IF(P306="UC-ID specific",IF(O306="","UC-ID REQUIRED","Check source decision for each UC-ID"),IF(P306="Shared system baseline",IF(O306&lt;&gt;"","REMOVE UC-ID OR CORRECT SCOPE","Baseline only — NOT UC approval"),"Decision scope missing"))))</f>
        <v/>
      </c>
      <c r="R306" s="42" t="n"/>
      <c r="S306" s="38" t="n"/>
      <c r="T306" s="38" t="n"/>
      <c r="U306" s="38" t="n"/>
      <c r="V306" s="38" t="n"/>
      <c r="W306" s="39" t="n"/>
      <c r="X306" s="38" t="n"/>
    </row>
    <row r="307">
      <c r="A307" s="40" t="n"/>
      <c r="B307" s="40" t="n"/>
      <c r="C307" s="40" t="n"/>
      <c r="D307" s="40" t="n"/>
      <c r="E307" s="40" t="n"/>
      <c r="F307" s="41" t="n"/>
      <c r="G307" s="40" t="n"/>
      <c r="H307" s="40" t="n"/>
      <c r="I307" s="40" t="n"/>
      <c r="J307" s="40" t="n"/>
      <c r="K307" s="40" t="n"/>
      <c r="L307" s="40" t="n"/>
      <c r="M307" s="40" t="n"/>
      <c r="N307" s="24">
        <f>IF(COUNTA(A307:M307,O307:P307,R307:X307)=0,"",IF(OR(A307="",B307="",F307=""),"Event ID, AIR-ID or date missing",IF(COUNTIF($A$4:$A$553,A307)&gt;1,"Duplicate Event ID",IF(E307="","Event type missing",IF(OR(NOT(ISNUMBER(F307)),F307&gt;TODAY()),"Date is not a real date or is in the future",IF(AND(C307&lt;&gt;"",COUNTIF('Gate plan'!$A$4:$A$353,C307)=0),"Plan ID not found in Gate plan",IF(AND(C307&lt;&gt;"",COUNTIFS('Gate plan'!$A$4:$A$353,C307,'Gate plan'!$B$4:$B$353,B307)=0),"Plan AIR-ID differs from event",IF(D307="","Gate / forum missing",IF(AND(E307="Precautionary pause (containment)",G307&lt;&gt;"Paused — pending decision"),"Precautionary pause: Outcome must be Paused, pending decision",IF(AND(E307="Precautionary pause (containment)",V307=""),"Precautionary pause: AIG-OPS-03 incident ref missing",IF(AND(E307="Precautionary pause (containment)",NOT(ISNUMBER(W307))),"Precautionary pause: follow-up decision due date missing",IF(AND(G307="Paused — pending decision",E307&lt;&gt;"Precautionary pause (containment)"),"Paused, pending decision is only for a Precautionary pause event",IF(AND(E307="Decision",OR(G307="",H307="",I307="")),"Outcome / delegation / decision ref missing",IF(AND(E307="Decision",NOT(OR(G307="Progress",G307="Progress with condition",G307="Return for evidence",G307="Pause",G307="Stop",G307="Suspend",G307="Decommission",G307="Re-authorise",G307="Resume"))),"Decision event needs a decision outcome",IF(AND(E307="Priority override",OR(H307="",I307="")),"Decision-maker / AIG-DEC-03 ref missing",IF(AND(E307="Priority override",G307&lt;&gt;"",G307&lt;&gt;"No decision"),"Priority override: Outcome blank or No decision",IF(AND(E307&lt;&gt;"Decision",OR(G307="Progress",G307="Progress with condition",G307="Return for evidence",G307="Pause",G307="Stop",G307="Suspend",G307="Decommission",G307="Re-authorise",G307="Resume")),"Outcome implies decision",IF(OR(ISNUMBER(SEARCH(",",O307)),ISNUMBER(SEARCH(";",O307))),"One UC-ID per event row — split this event",IF(AND(E307="Decision",OR(Q307="UC-ID REQUIRED",Q307="Decision scope missing",Q307="REMOVE UC-ID OR CORRECT SCOPE")),"Decision scope missing",IF(AND(G307="Progress with condition",COUNTIF(Conditions!$B$4:$B$553,A307)=0),"Progress with condition needs at least one Conditions row",IF(AND(C307&lt;&gt;"",COUNTIFS('Gate plan'!$A$4:$A$353,C307,'Gate plan'!$C$4:$C$353,D307)=0),"Plan gate differs from event gate",IF(AND(C307&lt;&gt;"",O307&lt;&gt;"",COUNTIFS('Gate plan'!$A$4:$A$353,C307,'Gate plan'!$K$4:$K$353,"&lt;&gt;")&gt;0,COUNTIFS('Gate plan'!$A$4:$A$353,C307,'Gate plan'!$K$4:$K$353,O307)=0),"Plan UC-ID differs from event UC-ID",IF(AND(E307="Assurance opinion",J307=""),"Assurance opinion ref missing",IF(AND(G307="Opinion only",E307&lt;&gt;"Assurance opinion",E307&lt;&gt;"Review only"),"Opinion only is for Assurance opinion or Review only events",IF(AND(G307="No decision",E307&lt;&gt;"Review only",E307&lt;&gt;"Priority override",E307&lt;&gt;"Intake / registration"),"No decision is for Review only, Priority override or Intake / registration events",IF(OR(ISNUMBER(SEARCH(" ",TRIM(O307))),ISNUMBER(SEARCH("/",O307))),"One UC-ID per event row: split this event",IF(AND(E307="Precautionary pause (containment)",ISNUMBER(W307),ISNUMBER(F307),W307&lt;F307),"Follow-up decision due date is before the pause",IF(AND(G307="Resume",IFERROR(LOOKUP(2,1/(($B$3:B306=B307)*($O$3:O306=O307)),$G$3:G306),"")&lt;&gt;"Paused — pending decision"),"Resume is only for the event straight after a Precautionary pause on the same AIR-ID and UC-ID (in an earlier row)",IF(AND(E307="Decision",OR(G307="Progress",G307="Progress with condition",G307="Re-authorise",G307="Resume"),X307&lt;&gt;"Yes"),"Decision-maker has not confirmed the screening was considered (column X)","Check against source")))))))))))))))))))))))))))))</f>
        <v/>
      </c>
      <c r="O307" s="37" t="n"/>
      <c r="P307" s="37" t="n"/>
      <c r="Q307" s="14">
        <f>IF(A307="","",IF(E307&lt;&gt;"Decision","",IF(P307="UC-ID specific",IF(O307="","UC-ID REQUIRED","Check source decision for each UC-ID"),IF(P307="Shared system baseline",IF(O307&lt;&gt;"","REMOVE UC-ID OR CORRECT SCOPE","Baseline only — NOT UC approval"),"Decision scope missing"))))</f>
        <v/>
      </c>
      <c r="R307" s="43" t="n"/>
      <c r="S307" s="40" t="n"/>
      <c r="T307" s="40" t="n"/>
      <c r="U307" s="40" t="n"/>
      <c r="V307" s="40" t="n"/>
      <c r="W307" s="41" t="n"/>
      <c r="X307" s="38" t="n"/>
    </row>
    <row r="308">
      <c r="A308" s="38" t="n"/>
      <c r="B308" s="38" t="n"/>
      <c r="C308" s="38" t="n"/>
      <c r="D308" s="38" t="n"/>
      <c r="E308" s="38" t="n"/>
      <c r="F308" s="39" t="n"/>
      <c r="G308" s="38" t="n"/>
      <c r="H308" s="38" t="n"/>
      <c r="I308" s="38" t="n"/>
      <c r="J308" s="38" t="n"/>
      <c r="K308" s="38" t="n"/>
      <c r="L308" s="38" t="n"/>
      <c r="M308" s="38" t="n"/>
      <c r="N308" s="22">
        <f>IF(COUNTA(A308:M308,O308:P308,R308:X308)=0,"",IF(OR(A308="",B308="",F308=""),"Event ID, AIR-ID or date missing",IF(COUNTIF($A$4:$A$553,A308)&gt;1,"Duplicate Event ID",IF(E308="","Event type missing",IF(OR(NOT(ISNUMBER(F308)),F308&gt;TODAY()),"Date is not a real date or is in the future",IF(AND(C308&lt;&gt;"",COUNTIF('Gate plan'!$A$4:$A$353,C308)=0),"Plan ID not found in Gate plan",IF(AND(C308&lt;&gt;"",COUNTIFS('Gate plan'!$A$4:$A$353,C308,'Gate plan'!$B$4:$B$353,B308)=0),"Plan AIR-ID differs from event",IF(D308="","Gate / forum missing",IF(AND(E308="Precautionary pause (containment)",G308&lt;&gt;"Paused — pending decision"),"Precautionary pause: Outcome must be Paused, pending decision",IF(AND(E308="Precautionary pause (containment)",V308=""),"Precautionary pause: AIG-OPS-03 incident ref missing",IF(AND(E308="Precautionary pause (containment)",NOT(ISNUMBER(W308))),"Precautionary pause: follow-up decision due date missing",IF(AND(G308="Paused — pending decision",E308&lt;&gt;"Precautionary pause (containment)"),"Paused, pending decision is only for a Precautionary pause event",IF(AND(E308="Decision",OR(G308="",H308="",I308="")),"Outcome / delegation / decision ref missing",IF(AND(E308="Decision",NOT(OR(G308="Progress",G308="Progress with condition",G308="Return for evidence",G308="Pause",G308="Stop",G308="Suspend",G308="Decommission",G308="Re-authorise",G308="Resume"))),"Decision event needs a decision outcome",IF(AND(E308="Priority override",OR(H308="",I308="")),"Decision-maker / AIG-DEC-03 ref missing",IF(AND(E308="Priority override",G308&lt;&gt;"",G308&lt;&gt;"No decision"),"Priority override: Outcome blank or No decision",IF(AND(E308&lt;&gt;"Decision",OR(G308="Progress",G308="Progress with condition",G308="Return for evidence",G308="Pause",G308="Stop",G308="Suspend",G308="Decommission",G308="Re-authorise",G308="Resume")),"Outcome implies decision",IF(OR(ISNUMBER(SEARCH(",",O308)),ISNUMBER(SEARCH(";",O308))),"One UC-ID per event row — split this event",IF(AND(E308="Decision",OR(Q308="UC-ID REQUIRED",Q308="Decision scope missing",Q308="REMOVE UC-ID OR CORRECT SCOPE")),"Decision scope missing",IF(AND(G308="Progress with condition",COUNTIF(Conditions!$B$4:$B$553,A308)=0),"Progress with condition needs at least one Conditions row",IF(AND(C308&lt;&gt;"",COUNTIFS('Gate plan'!$A$4:$A$353,C308,'Gate plan'!$C$4:$C$353,D308)=0),"Plan gate differs from event gate",IF(AND(C308&lt;&gt;"",O308&lt;&gt;"",COUNTIFS('Gate plan'!$A$4:$A$353,C308,'Gate plan'!$K$4:$K$353,"&lt;&gt;")&gt;0,COUNTIFS('Gate plan'!$A$4:$A$353,C308,'Gate plan'!$K$4:$K$353,O308)=0),"Plan UC-ID differs from event UC-ID",IF(AND(E308="Assurance opinion",J308=""),"Assurance opinion ref missing",IF(AND(G308="Opinion only",E308&lt;&gt;"Assurance opinion",E308&lt;&gt;"Review only"),"Opinion only is for Assurance opinion or Review only events",IF(AND(G308="No decision",E308&lt;&gt;"Review only",E308&lt;&gt;"Priority override",E308&lt;&gt;"Intake / registration"),"No decision is for Review only, Priority override or Intake / registration events",IF(OR(ISNUMBER(SEARCH(" ",TRIM(O308))),ISNUMBER(SEARCH("/",O308))),"One UC-ID per event row: split this event",IF(AND(E308="Precautionary pause (containment)",ISNUMBER(W308),ISNUMBER(F308),W308&lt;F308),"Follow-up decision due date is before the pause",IF(AND(G308="Resume",IFERROR(LOOKUP(2,1/(($B$3:B307=B308)*($O$3:O307=O308)),$G$3:G307),"")&lt;&gt;"Paused — pending decision"),"Resume is only for the event straight after a Precautionary pause on the same AIR-ID and UC-ID (in an earlier row)",IF(AND(E308="Decision",OR(G308="Progress",G308="Progress with condition",G308="Re-authorise",G308="Resume"),X308&lt;&gt;"Yes"),"Decision-maker has not confirmed the screening was considered (column X)","Check against source")))))))))))))))))))))))))))))</f>
        <v/>
      </c>
      <c r="O308" s="37" t="n"/>
      <c r="P308" s="37" t="n"/>
      <c r="Q308" s="14">
        <f>IF(A308="","",IF(E308&lt;&gt;"Decision","",IF(P308="UC-ID specific",IF(O308="","UC-ID REQUIRED","Check source decision for each UC-ID"),IF(P308="Shared system baseline",IF(O308&lt;&gt;"","REMOVE UC-ID OR CORRECT SCOPE","Baseline only — NOT UC approval"),"Decision scope missing"))))</f>
        <v/>
      </c>
      <c r="R308" s="42" t="n"/>
      <c r="S308" s="38" t="n"/>
      <c r="T308" s="38" t="n"/>
      <c r="U308" s="38" t="n"/>
      <c r="V308" s="38" t="n"/>
      <c r="W308" s="39" t="n"/>
      <c r="X308" s="38" t="n"/>
    </row>
    <row r="309">
      <c r="A309" s="40" t="n"/>
      <c r="B309" s="40" t="n"/>
      <c r="C309" s="40" t="n"/>
      <c r="D309" s="40" t="n"/>
      <c r="E309" s="40" t="n"/>
      <c r="F309" s="41" t="n"/>
      <c r="G309" s="40" t="n"/>
      <c r="H309" s="40" t="n"/>
      <c r="I309" s="40" t="n"/>
      <c r="J309" s="40" t="n"/>
      <c r="K309" s="40" t="n"/>
      <c r="L309" s="40" t="n"/>
      <c r="M309" s="40" t="n"/>
      <c r="N309" s="24">
        <f>IF(COUNTA(A309:M309,O309:P309,R309:X309)=0,"",IF(OR(A309="",B309="",F309=""),"Event ID, AIR-ID or date missing",IF(COUNTIF($A$4:$A$553,A309)&gt;1,"Duplicate Event ID",IF(E309="","Event type missing",IF(OR(NOT(ISNUMBER(F309)),F309&gt;TODAY()),"Date is not a real date or is in the future",IF(AND(C309&lt;&gt;"",COUNTIF('Gate plan'!$A$4:$A$353,C309)=0),"Plan ID not found in Gate plan",IF(AND(C309&lt;&gt;"",COUNTIFS('Gate plan'!$A$4:$A$353,C309,'Gate plan'!$B$4:$B$353,B309)=0),"Plan AIR-ID differs from event",IF(D309="","Gate / forum missing",IF(AND(E309="Precautionary pause (containment)",G309&lt;&gt;"Paused — pending decision"),"Precautionary pause: Outcome must be Paused, pending decision",IF(AND(E309="Precautionary pause (containment)",V309=""),"Precautionary pause: AIG-OPS-03 incident ref missing",IF(AND(E309="Precautionary pause (containment)",NOT(ISNUMBER(W309))),"Precautionary pause: follow-up decision due date missing",IF(AND(G309="Paused — pending decision",E309&lt;&gt;"Precautionary pause (containment)"),"Paused, pending decision is only for a Precautionary pause event",IF(AND(E309="Decision",OR(G309="",H309="",I309="")),"Outcome / delegation / decision ref missing",IF(AND(E309="Decision",NOT(OR(G309="Progress",G309="Progress with condition",G309="Return for evidence",G309="Pause",G309="Stop",G309="Suspend",G309="Decommission",G309="Re-authorise",G309="Resume"))),"Decision event needs a decision outcome",IF(AND(E309="Priority override",OR(H309="",I309="")),"Decision-maker / AIG-DEC-03 ref missing",IF(AND(E309="Priority override",G309&lt;&gt;"",G309&lt;&gt;"No decision"),"Priority override: Outcome blank or No decision",IF(AND(E309&lt;&gt;"Decision",OR(G309="Progress",G309="Progress with condition",G309="Return for evidence",G309="Pause",G309="Stop",G309="Suspend",G309="Decommission",G309="Re-authorise",G309="Resume")),"Outcome implies decision",IF(OR(ISNUMBER(SEARCH(",",O309)),ISNUMBER(SEARCH(";",O309))),"One UC-ID per event row — split this event",IF(AND(E309="Decision",OR(Q309="UC-ID REQUIRED",Q309="Decision scope missing",Q309="REMOVE UC-ID OR CORRECT SCOPE")),"Decision scope missing",IF(AND(G309="Progress with condition",COUNTIF(Conditions!$B$4:$B$553,A309)=0),"Progress with condition needs at least one Conditions row",IF(AND(C309&lt;&gt;"",COUNTIFS('Gate plan'!$A$4:$A$353,C309,'Gate plan'!$C$4:$C$353,D309)=0),"Plan gate differs from event gate",IF(AND(C309&lt;&gt;"",O309&lt;&gt;"",COUNTIFS('Gate plan'!$A$4:$A$353,C309,'Gate plan'!$K$4:$K$353,"&lt;&gt;")&gt;0,COUNTIFS('Gate plan'!$A$4:$A$353,C309,'Gate plan'!$K$4:$K$353,O309)=0),"Plan UC-ID differs from event UC-ID",IF(AND(E309="Assurance opinion",J309=""),"Assurance opinion ref missing",IF(AND(G309="Opinion only",E309&lt;&gt;"Assurance opinion",E309&lt;&gt;"Review only"),"Opinion only is for Assurance opinion or Review only events",IF(AND(G309="No decision",E309&lt;&gt;"Review only",E309&lt;&gt;"Priority override",E309&lt;&gt;"Intake / registration"),"No decision is for Review only, Priority override or Intake / registration events",IF(OR(ISNUMBER(SEARCH(" ",TRIM(O309))),ISNUMBER(SEARCH("/",O309))),"One UC-ID per event row: split this event",IF(AND(E309="Precautionary pause (containment)",ISNUMBER(W309),ISNUMBER(F309),W309&lt;F309),"Follow-up decision due date is before the pause",IF(AND(G309="Resume",IFERROR(LOOKUP(2,1/(($B$3:B308=B309)*($O$3:O308=O309)),$G$3:G308),"")&lt;&gt;"Paused — pending decision"),"Resume is only for the event straight after a Precautionary pause on the same AIR-ID and UC-ID (in an earlier row)",IF(AND(E309="Decision",OR(G309="Progress",G309="Progress with condition",G309="Re-authorise",G309="Resume"),X309&lt;&gt;"Yes"),"Decision-maker has not confirmed the screening was considered (column X)","Check against source")))))))))))))))))))))))))))))</f>
        <v/>
      </c>
      <c r="O309" s="37" t="n"/>
      <c r="P309" s="37" t="n"/>
      <c r="Q309" s="14">
        <f>IF(A309="","",IF(E309&lt;&gt;"Decision","",IF(P309="UC-ID specific",IF(O309="","UC-ID REQUIRED","Check source decision for each UC-ID"),IF(P309="Shared system baseline",IF(O309&lt;&gt;"","REMOVE UC-ID OR CORRECT SCOPE","Baseline only — NOT UC approval"),"Decision scope missing"))))</f>
        <v/>
      </c>
      <c r="R309" s="43" t="n"/>
      <c r="S309" s="40" t="n"/>
      <c r="T309" s="40" t="n"/>
      <c r="U309" s="40" t="n"/>
      <c r="V309" s="40" t="n"/>
      <c r="W309" s="41" t="n"/>
      <c r="X309" s="38" t="n"/>
    </row>
    <row r="310">
      <c r="A310" s="38" t="n"/>
      <c r="B310" s="38" t="n"/>
      <c r="C310" s="38" t="n"/>
      <c r="D310" s="38" t="n"/>
      <c r="E310" s="38" t="n"/>
      <c r="F310" s="39" t="n"/>
      <c r="G310" s="38" t="n"/>
      <c r="H310" s="38" t="n"/>
      <c r="I310" s="38" t="n"/>
      <c r="J310" s="38" t="n"/>
      <c r="K310" s="38" t="n"/>
      <c r="L310" s="38" t="n"/>
      <c r="M310" s="38" t="n"/>
      <c r="N310" s="22">
        <f>IF(COUNTA(A310:M310,O310:P310,R310:X310)=0,"",IF(OR(A310="",B310="",F310=""),"Event ID, AIR-ID or date missing",IF(COUNTIF($A$4:$A$553,A310)&gt;1,"Duplicate Event ID",IF(E310="","Event type missing",IF(OR(NOT(ISNUMBER(F310)),F310&gt;TODAY()),"Date is not a real date or is in the future",IF(AND(C310&lt;&gt;"",COUNTIF('Gate plan'!$A$4:$A$353,C310)=0),"Plan ID not found in Gate plan",IF(AND(C310&lt;&gt;"",COUNTIFS('Gate plan'!$A$4:$A$353,C310,'Gate plan'!$B$4:$B$353,B310)=0),"Plan AIR-ID differs from event",IF(D310="","Gate / forum missing",IF(AND(E310="Precautionary pause (containment)",G310&lt;&gt;"Paused — pending decision"),"Precautionary pause: Outcome must be Paused, pending decision",IF(AND(E310="Precautionary pause (containment)",V310=""),"Precautionary pause: AIG-OPS-03 incident ref missing",IF(AND(E310="Precautionary pause (containment)",NOT(ISNUMBER(W310))),"Precautionary pause: follow-up decision due date missing",IF(AND(G310="Paused — pending decision",E310&lt;&gt;"Precautionary pause (containment)"),"Paused, pending decision is only for a Precautionary pause event",IF(AND(E310="Decision",OR(G310="",H310="",I310="")),"Outcome / delegation / decision ref missing",IF(AND(E310="Decision",NOT(OR(G310="Progress",G310="Progress with condition",G310="Return for evidence",G310="Pause",G310="Stop",G310="Suspend",G310="Decommission",G310="Re-authorise",G310="Resume"))),"Decision event needs a decision outcome",IF(AND(E310="Priority override",OR(H310="",I310="")),"Decision-maker / AIG-DEC-03 ref missing",IF(AND(E310="Priority override",G310&lt;&gt;"",G310&lt;&gt;"No decision"),"Priority override: Outcome blank or No decision",IF(AND(E310&lt;&gt;"Decision",OR(G310="Progress",G310="Progress with condition",G310="Return for evidence",G310="Pause",G310="Stop",G310="Suspend",G310="Decommission",G310="Re-authorise",G310="Resume")),"Outcome implies decision",IF(OR(ISNUMBER(SEARCH(",",O310)),ISNUMBER(SEARCH(";",O310))),"One UC-ID per event row — split this event",IF(AND(E310="Decision",OR(Q310="UC-ID REQUIRED",Q310="Decision scope missing",Q310="REMOVE UC-ID OR CORRECT SCOPE")),"Decision scope missing",IF(AND(G310="Progress with condition",COUNTIF(Conditions!$B$4:$B$553,A310)=0),"Progress with condition needs at least one Conditions row",IF(AND(C310&lt;&gt;"",COUNTIFS('Gate plan'!$A$4:$A$353,C310,'Gate plan'!$C$4:$C$353,D310)=0),"Plan gate differs from event gate",IF(AND(C310&lt;&gt;"",O310&lt;&gt;"",COUNTIFS('Gate plan'!$A$4:$A$353,C310,'Gate plan'!$K$4:$K$353,"&lt;&gt;")&gt;0,COUNTIFS('Gate plan'!$A$4:$A$353,C310,'Gate plan'!$K$4:$K$353,O310)=0),"Plan UC-ID differs from event UC-ID",IF(AND(E310="Assurance opinion",J310=""),"Assurance opinion ref missing",IF(AND(G310="Opinion only",E310&lt;&gt;"Assurance opinion",E310&lt;&gt;"Review only"),"Opinion only is for Assurance opinion or Review only events",IF(AND(G310="No decision",E310&lt;&gt;"Review only",E310&lt;&gt;"Priority override",E310&lt;&gt;"Intake / registration"),"No decision is for Review only, Priority override or Intake / registration events",IF(OR(ISNUMBER(SEARCH(" ",TRIM(O310))),ISNUMBER(SEARCH("/",O310))),"One UC-ID per event row: split this event",IF(AND(E310="Precautionary pause (containment)",ISNUMBER(W310),ISNUMBER(F310),W310&lt;F310),"Follow-up decision due date is before the pause",IF(AND(G310="Resume",IFERROR(LOOKUP(2,1/(($B$3:B309=B310)*($O$3:O309=O310)),$G$3:G309),"")&lt;&gt;"Paused — pending decision"),"Resume is only for the event straight after a Precautionary pause on the same AIR-ID and UC-ID (in an earlier row)",IF(AND(E310="Decision",OR(G310="Progress",G310="Progress with condition",G310="Re-authorise",G310="Resume"),X310&lt;&gt;"Yes"),"Decision-maker has not confirmed the screening was considered (column X)","Check against source")))))))))))))))))))))))))))))</f>
        <v/>
      </c>
      <c r="O310" s="37" t="n"/>
      <c r="P310" s="37" t="n"/>
      <c r="Q310" s="14">
        <f>IF(A310="","",IF(E310&lt;&gt;"Decision","",IF(P310="UC-ID specific",IF(O310="","UC-ID REQUIRED","Check source decision for each UC-ID"),IF(P310="Shared system baseline",IF(O310&lt;&gt;"","REMOVE UC-ID OR CORRECT SCOPE","Baseline only — NOT UC approval"),"Decision scope missing"))))</f>
        <v/>
      </c>
      <c r="R310" s="42" t="n"/>
      <c r="S310" s="38" t="n"/>
      <c r="T310" s="38" t="n"/>
      <c r="U310" s="38" t="n"/>
      <c r="V310" s="38" t="n"/>
      <c r="W310" s="39" t="n"/>
      <c r="X310" s="38" t="n"/>
    </row>
    <row r="311">
      <c r="A311" s="40" t="n"/>
      <c r="B311" s="40" t="n"/>
      <c r="C311" s="40" t="n"/>
      <c r="D311" s="40" t="n"/>
      <c r="E311" s="40" t="n"/>
      <c r="F311" s="41" t="n"/>
      <c r="G311" s="40" t="n"/>
      <c r="H311" s="40" t="n"/>
      <c r="I311" s="40" t="n"/>
      <c r="J311" s="40" t="n"/>
      <c r="K311" s="40" t="n"/>
      <c r="L311" s="40" t="n"/>
      <c r="M311" s="40" t="n"/>
      <c r="N311" s="24">
        <f>IF(COUNTA(A311:M311,O311:P311,R311:X311)=0,"",IF(OR(A311="",B311="",F311=""),"Event ID, AIR-ID or date missing",IF(COUNTIF($A$4:$A$553,A311)&gt;1,"Duplicate Event ID",IF(E311="","Event type missing",IF(OR(NOT(ISNUMBER(F311)),F311&gt;TODAY()),"Date is not a real date or is in the future",IF(AND(C311&lt;&gt;"",COUNTIF('Gate plan'!$A$4:$A$353,C311)=0),"Plan ID not found in Gate plan",IF(AND(C311&lt;&gt;"",COUNTIFS('Gate plan'!$A$4:$A$353,C311,'Gate plan'!$B$4:$B$353,B311)=0),"Plan AIR-ID differs from event",IF(D311="","Gate / forum missing",IF(AND(E311="Precautionary pause (containment)",G311&lt;&gt;"Paused — pending decision"),"Precautionary pause: Outcome must be Paused, pending decision",IF(AND(E311="Precautionary pause (containment)",V311=""),"Precautionary pause: AIG-OPS-03 incident ref missing",IF(AND(E311="Precautionary pause (containment)",NOT(ISNUMBER(W311))),"Precautionary pause: follow-up decision due date missing",IF(AND(G311="Paused — pending decision",E311&lt;&gt;"Precautionary pause (containment)"),"Paused, pending decision is only for a Precautionary pause event",IF(AND(E311="Decision",OR(G311="",H311="",I311="")),"Outcome / delegation / decision ref missing",IF(AND(E311="Decision",NOT(OR(G311="Progress",G311="Progress with condition",G311="Return for evidence",G311="Pause",G311="Stop",G311="Suspend",G311="Decommission",G311="Re-authorise",G311="Resume"))),"Decision event needs a decision outcome",IF(AND(E311="Priority override",OR(H311="",I311="")),"Decision-maker / AIG-DEC-03 ref missing",IF(AND(E311="Priority override",G311&lt;&gt;"",G311&lt;&gt;"No decision"),"Priority override: Outcome blank or No decision",IF(AND(E311&lt;&gt;"Decision",OR(G311="Progress",G311="Progress with condition",G311="Return for evidence",G311="Pause",G311="Stop",G311="Suspend",G311="Decommission",G311="Re-authorise",G311="Resume")),"Outcome implies decision",IF(OR(ISNUMBER(SEARCH(",",O311)),ISNUMBER(SEARCH(";",O311))),"One UC-ID per event row — split this event",IF(AND(E311="Decision",OR(Q311="UC-ID REQUIRED",Q311="Decision scope missing",Q311="REMOVE UC-ID OR CORRECT SCOPE")),"Decision scope missing",IF(AND(G311="Progress with condition",COUNTIF(Conditions!$B$4:$B$553,A311)=0),"Progress with condition needs at least one Conditions row",IF(AND(C311&lt;&gt;"",COUNTIFS('Gate plan'!$A$4:$A$353,C311,'Gate plan'!$C$4:$C$353,D311)=0),"Plan gate differs from event gate",IF(AND(C311&lt;&gt;"",O311&lt;&gt;"",COUNTIFS('Gate plan'!$A$4:$A$353,C311,'Gate plan'!$K$4:$K$353,"&lt;&gt;")&gt;0,COUNTIFS('Gate plan'!$A$4:$A$353,C311,'Gate plan'!$K$4:$K$353,O311)=0),"Plan UC-ID differs from event UC-ID",IF(AND(E311="Assurance opinion",J311=""),"Assurance opinion ref missing",IF(AND(G311="Opinion only",E311&lt;&gt;"Assurance opinion",E311&lt;&gt;"Review only"),"Opinion only is for Assurance opinion or Review only events",IF(AND(G311="No decision",E311&lt;&gt;"Review only",E311&lt;&gt;"Priority override",E311&lt;&gt;"Intake / registration"),"No decision is for Review only, Priority override or Intake / registration events",IF(OR(ISNUMBER(SEARCH(" ",TRIM(O311))),ISNUMBER(SEARCH("/",O311))),"One UC-ID per event row: split this event",IF(AND(E311="Precautionary pause (containment)",ISNUMBER(W311),ISNUMBER(F311),W311&lt;F311),"Follow-up decision due date is before the pause",IF(AND(G311="Resume",IFERROR(LOOKUP(2,1/(($B$3:B310=B311)*($O$3:O310=O311)),$G$3:G310),"")&lt;&gt;"Paused — pending decision"),"Resume is only for the event straight after a Precautionary pause on the same AIR-ID and UC-ID (in an earlier row)",IF(AND(E311="Decision",OR(G311="Progress",G311="Progress with condition",G311="Re-authorise",G311="Resume"),X311&lt;&gt;"Yes"),"Decision-maker has not confirmed the screening was considered (column X)","Check against source")))))))))))))))))))))))))))))</f>
        <v/>
      </c>
      <c r="O311" s="37" t="n"/>
      <c r="P311" s="37" t="n"/>
      <c r="Q311" s="14">
        <f>IF(A311="","",IF(E311&lt;&gt;"Decision","",IF(P311="UC-ID specific",IF(O311="","UC-ID REQUIRED","Check source decision for each UC-ID"),IF(P311="Shared system baseline",IF(O311&lt;&gt;"","REMOVE UC-ID OR CORRECT SCOPE","Baseline only — NOT UC approval"),"Decision scope missing"))))</f>
        <v/>
      </c>
      <c r="R311" s="43" t="n"/>
      <c r="S311" s="40" t="n"/>
      <c r="T311" s="40" t="n"/>
      <c r="U311" s="40" t="n"/>
      <c r="V311" s="40" t="n"/>
      <c r="W311" s="41" t="n"/>
      <c r="X311" s="38" t="n"/>
    </row>
    <row r="312">
      <c r="A312" s="38" t="n"/>
      <c r="B312" s="38" t="n"/>
      <c r="C312" s="38" t="n"/>
      <c r="D312" s="38" t="n"/>
      <c r="E312" s="38" t="n"/>
      <c r="F312" s="39" t="n"/>
      <c r="G312" s="38" t="n"/>
      <c r="H312" s="38" t="n"/>
      <c r="I312" s="38" t="n"/>
      <c r="J312" s="38" t="n"/>
      <c r="K312" s="38" t="n"/>
      <c r="L312" s="38" t="n"/>
      <c r="M312" s="38" t="n"/>
      <c r="N312" s="22">
        <f>IF(COUNTA(A312:M312,O312:P312,R312:X312)=0,"",IF(OR(A312="",B312="",F312=""),"Event ID, AIR-ID or date missing",IF(COUNTIF($A$4:$A$553,A312)&gt;1,"Duplicate Event ID",IF(E312="","Event type missing",IF(OR(NOT(ISNUMBER(F312)),F312&gt;TODAY()),"Date is not a real date or is in the future",IF(AND(C312&lt;&gt;"",COUNTIF('Gate plan'!$A$4:$A$353,C312)=0),"Plan ID not found in Gate plan",IF(AND(C312&lt;&gt;"",COUNTIFS('Gate plan'!$A$4:$A$353,C312,'Gate plan'!$B$4:$B$353,B312)=0),"Plan AIR-ID differs from event",IF(D312="","Gate / forum missing",IF(AND(E312="Precautionary pause (containment)",G312&lt;&gt;"Paused — pending decision"),"Precautionary pause: Outcome must be Paused, pending decision",IF(AND(E312="Precautionary pause (containment)",V312=""),"Precautionary pause: AIG-OPS-03 incident ref missing",IF(AND(E312="Precautionary pause (containment)",NOT(ISNUMBER(W312))),"Precautionary pause: follow-up decision due date missing",IF(AND(G312="Paused — pending decision",E312&lt;&gt;"Precautionary pause (containment)"),"Paused, pending decision is only for a Precautionary pause event",IF(AND(E312="Decision",OR(G312="",H312="",I312="")),"Outcome / delegation / decision ref missing",IF(AND(E312="Decision",NOT(OR(G312="Progress",G312="Progress with condition",G312="Return for evidence",G312="Pause",G312="Stop",G312="Suspend",G312="Decommission",G312="Re-authorise",G312="Resume"))),"Decision event needs a decision outcome",IF(AND(E312="Priority override",OR(H312="",I312="")),"Decision-maker / AIG-DEC-03 ref missing",IF(AND(E312="Priority override",G312&lt;&gt;"",G312&lt;&gt;"No decision"),"Priority override: Outcome blank or No decision",IF(AND(E312&lt;&gt;"Decision",OR(G312="Progress",G312="Progress with condition",G312="Return for evidence",G312="Pause",G312="Stop",G312="Suspend",G312="Decommission",G312="Re-authorise",G312="Resume")),"Outcome implies decision",IF(OR(ISNUMBER(SEARCH(",",O312)),ISNUMBER(SEARCH(";",O312))),"One UC-ID per event row — split this event",IF(AND(E312="Decision",OR(Q312="UC-ID REQUIRED",Q312="Decision scope missing",Q312="REMOVE UC-ID OR CORRECT SCOPE")),"Decision scope missing",IF(AND(G312="Progress with condition",COUNTIF(Conditions!$B$4:$B$553,A312)=0),"Progress with condition needs at least one Conditions row",IF(AND(C312&lt;&gt;"",COUNTIFS('Gate plan'!$A$4:$A$353,C312,'Gate plan'!$C$4:$C$353,D312)=0),"Plan gate differs from event gate",IF(AND(C312&lt;&gt;"",O312&lt;&gt;"",COUNTIFS('Gate plan'!$A$4:$A$353,C312,'Gate plan'!$K$4:$K$353,"&lt;&gt;")&gt;0,COUNTIFS('Gate plan'!$A$4:$A$353,C312,'Gate plan'!$K$4:$K$353,O312)=0),"Plan UC-ID differs from event UC-ID",IF(AND(E312="Assurance opinion",J312=""),"Assurance opinion ref missing",IF(AND(G312="Opinion only",E312&lt;&gt;"Assurance opinion",E312&lt;&gt;"Review only"),"Opinion only is for Assurance opinion or Review only events",IF(AND(G312="No decision",E312&lt;&gt;"Review only",E312&lt;&gt;"Priority override",E312&lt;&gt;"Intake / registration"),"No decision is for Review only, Priority override or Intake / registration events",IF(OR(ISNUMBER(SEARCH(" ",TRIM(O312))),ISNUMBER(SEARCH("/",O312))),"One UC-ID per event row: split this event",IF(AND(E312="Precautionary pause (containment)",ISNUMBER(W312),ISNUMBER(F312),W312&lt;F312),"Follow-up decision due date is before the pause",IF(AND(G312="Resume",IFERROR(LOOKUP(2,1/(($B$3:B311=B312)*($O$3:O311=O312)),$G$3:G311),"")&lt;&gt;"Paused — pending decision"),"Resume is only for the event straight after a Precautionary pause on the same AIR-ID and UC-ID (in an earlier row)",IF(AND(E312="Decision",OR(G312="Progress",G312="Progress with condition",G312="Re-authorise",G312="Resume"),X312&lt;&gt;"Yes"),"Decision-maker has not confirmed the screening was considered (column X)","Check against source")))))))))))))))))))))))))))))</f>
        <v/>
      </c>
      <c r="O312" s="37" t="n"/>
      <c r="P312" s="37" t="n"/>
      <c r="Q312" s="14">
        <f>IF(A312="","",IF(E312&lt;&gt;"Decision","",IF(P312="UC-ID specific",IF(O312="","UC-ID REQUIRED","Check source decision for each UC-ID"),IF(P312="Shared system baseline",IF(O312&lt;&gt;"","REMOVE UC-ID OR CORRECT SCOPE","Baseline only — NOT UC approval"),"Decision scope missing"))))</f>
        <v/>
      </c>
      <c r="R312" s="42" t="n"/>
      <c r="S312" s="38" t="n"/>
      <c r="T312" s="38" t="n"/>
      <c r="U312" s="38" t="n"/>
      <c r="V312" s="38" t="n"/>
      <c r="W312" s="39" t="n"/>
      <c r="X312" s="38" t="n"/>
    </row>
    <row r="313">
      <c r="A313" s="40" t="n"/>
      <c r="B313" s="40" t="n"/>
      <c r="C313" s="40" t="n"/>
      <c r="D313" s="40" t="n"/>
      <c r="E313" s="40" t="n"/>
      <c r="F313" s="41" t="n"/>
      <c r="G313" s="40" t="n"/>
      <c r="H313" s="40" t="n"/>
      <c r="I313" s="40" t="n"/>
      <c r="J313" s="40" t="n"/>
      <c r="K313" s="40" t="n"/>
      <c r="L313" s="40" t="n"/>
      <c r="M313" s="40" t="n"/>
      <c r="N313" s="24">
        <f>IF(COUNTA(A313:M313,O313:P313,R313:X313)=0,"",IF(OR(A313="",B313="",F313=""),"Event ID, AIR-ID or date missing",IF(COUNTIF($A$4:$A$553,A313)&gt;1,"Duplicate Event ID",IF(E313="","Event type missing",IF(OR(NOT(ISNUMBER(F313)),F313&gt;TODAY()),"Date is not a real date or is in the future",IF(AND(C313&lt;&gt;"",COUNTIF('Gate plan'!$A$4:$A$353,C313)=0),"Plan ID not found in Gate plan",IF(AND(C313&lt;&gt;"",COUNTIFS('Gate plan'!$A$4:$A$353,C313,'Gate plan'!$B$4:$B$353,B313)=0),"Plan AIR-ID differs from event",IF(D313="","Gate / forum missing",IF(AND(E313="Precautionary pause (containment)",G313&lt;&gt;"Paused — pending decision"),"Precautionary pause: Outcome must be Paused, pending decision",IF(AND(E313="Precautionary pause (containment)",V313=""),"Precautionary pause: AIG-OPS-03 incident ref missing",IF(AND(E313="Precautionary pause (containment)",NOT(ISNUMBER(W313))),"Precautionary pause: follow-up decision due date missing",IF(AND(G313="Paused — pending decision",E313&lt;&gt;"Precautionary pause (containment)"),"Paused, pending decision is only for a Precautionary pause event",IF(AND(E313="Decision",OR(G313="",H313="",I313="")),"Outcome / delegation / decision ref missing",IF(AND(E313="Decision",NOT(OR(G313="Progress",G313="Progress with condition",G313="Return for evidence",G313="Pause",G313="Stop",G313="Suspend",G313="Decommission",G313="Re-authorise",G313="Resume"))),"Decision event needs a decision outcome",IF(AND(E313="Priority override",OR(H313="",I313="")),"Decision-maker / AIG-DEC-03 ref missing",IF(AND(E313="Priority override",G313&lt;&gt;"",G313&lt;&gt;"No decision"),"Priority override: Outcome blank or No decision",IF(AND(E313&lt;&gt;"Decision",OR(G313="Progress",G313="Progress with condition",G313="Return for evidence",G313="Pause",G313="Stop",G313="Suspend",G313="Decommission",G313="Re-authorise",G313="Resume")),"Outcome implies decision",IF(OR(ISNUMBER(SEARCH(",",O313)),ISNUMBER(SEARCH(";",O313))),"One UC-ID per event row — split this event",IF(AND(E313="Decision",OR(Q313="UC-ID REQUIRED",Q313="Decision scope missing",Q313="REMOVE UC-ID OR CORRECT SCOPE")),"Decision scope missing",IF(AND(G313="Progress with condition",COUNTIF(Conditions!$B$4:$B$553,A313)=0),"Progress with condition needs at least one Conditions row",IF(AND(C313&lt;&gt;"",COUNTIFS('Gate plan'!$A$4:$A$353,C313,'Gate plan'!$C$4:$C$353,D313)=0),"Plan gate differs from event gate",IF(AND(C313&lt;&gt;"",O313&lt;&gt;"",COUNTIFS('Gate plan'!$A$4:$A$353,C313,'Gate plan'!$K$4:$K$353,"&lt;&gt;")&gt;0,COUNTIFS('Gate plan'!$A$4:$A$353,C313,'Gate plan'!$K$4:$K$353,O313)=0),"Plan UC-ID differs from event UC-ID",IF(AND(E313="Assurance opinion",J313=""),"Assurance opinion ref missing",IF(AND(G313="Opinion only",E313&lt;&gt;"Assurance opinion",E313&lt;&gt;"Review only"),"Opinion only is for Assurance opinion or Review only events",IF(AND(G313="No decision",E313&lt;&gt;"Review only",E313&lt;&gt;"Priority override",E313&lt;&gt;"Intake / registration"),"No decision is for Review only, Priority override or Intake / registration events",IF(OR(ISNUMBER(SEARCH(" ",TRIM(O313))),ISNUMBER(SEARCH("/",O313))),"One UC-ID per event row: split this event",IF(AND(E313="Precautionary pause (containment)",ISNUMBER(W313),ISNUMBER(F313),W313&lt;F313),"Follow-up decision due date is before the pause",IF(AND(G313="Resume",IFERROR(LOOKUP(2,1/(($B$3:B312=B313)*($O$3:O312=O313)),$G$3:G312),"")&lt;&gt;"Paused — pending decision"),"Resume is only for the event straight after a Precautionary pause on the same AIR-ID and UC-ID (in an earlier row)",IF(AND(E313="Decision",OR(G313="Progress",G313="Progress with condition",G313="Re-authorise",G313="Resume"),X313&lt;&gt;"Yes"),"Decision-maker has not confirmed the screening was considered (column X)","Check against source")))))))))))))))))))))))))))))</f>
        <v/>
      </c>
      <c r="O313" s="37" t="n"/>
      <c r="P313" s="37" t="n"/>
      <c r="Q313" s="14">
        <f>IF(A313="","",IF(E313&lt;&gt;"Decision","",IF(P313="UC-ID specific",IF(O313="","UC-ID REQUIRED","Check source decision for each UC-ID"),IF(P313="Shared system baseline",IF(O313&lt;&gt;"","REMOVE UC-ID OR CORRECT SCOPE","Baseline only — NOT UC approval"),"Decision scope missing"))))</f>
        <v/>
      </c>
      <c r="R313" s="43" t="n"/>
      <c r="S313" s="40" t="n"/>
      <c r="T313" s="40" t="n"/>
      <c r="U313" s="40" t="n"/>
      <c r="V313" s="40" t="n"/>
      <c r="W313" s="41" t="n"/>
      <c r="X313" s="38" t="n"/>
    </row>
    <row r="314">
      <c r="A314" s="38" t="n"/>
      <c r="B314" s="38" t="n"/>
      <c r="C314" s="38" t="n"/>
      <c r="D314" s="38" t="n"/>
      <c r="E314" s="38" t="n"/>
      <c r="F314" s="39" t="n"/>
      <c r="G314" s="38" t="n"/>
      <c r="H314" s="38" t="n"/>
      <c r="I314" s="38" t="n"/>
      <c r="J314" s="38" t="n"/>
      <c r="K314" s="38" t="n"/>
      <c r="L314" s="38" t="n"/>
      <c r="M314" s="38" t="n"/>
      <c r="N314" s="22">
        <f>IF(COUNTA(A314:M314,O314:P314,R314:X314)=0,"",IF(OR(A314="",B314="",F314=""),"Event ID, AIR-ID or date missing",IF(COUNTIF($A$4:$A$553,A314)&gt;1,"Duplicate Event ID",IF(E314="","Event type missing",IF(OR(NOT(ISNUMBER(F314)),F314&gt;TODAY()),"Date is not a real date or is in the future",IF(AND(C314&lt;&gt;"",COUNTIF('Gate plan'!$A$4:$A$353,C314)=0),"Plan ID not found in Gate plan",IF(AND(C314&lt;&gt;"",COUNTIFS('Gate plan'!$A$4:$A$353,C314,'Gate plan'!$B$4:$B$353,B314)=0),"Plan AIR-ID differs from event",IF(D314="","Gate / forum missing",IF(AND(E314="Precautionary pause (containment)",G314&lt;&gt;"Paused — pending decision"),"Precautionary pause: Outcome must be Paused, pending decision",IF(AND(E314="Precautionary pause (containment)",V314=""),"Precautionary pause: AIG-OPS-03 incident ref missing",IF(AND(E314="Precautionary pause (containment)",NOT(ISNUMBER(W314))),"Precautionary pause: follow-up decision due date missing",IF(AND(G314="Paused — pending decision",E314&lt;&gt;"Precautionary pause (containment)"),"Paused, pending decision is only for a Precautionary pause event",IF(AND(E314="Decision",OR(G314="",H314="",I314="")),"Outcome / delegation / decision ref missing",IF(AND(E314="Decision",NOT(OR(G314="Progress",G314="Progress with condition",G314="Return for evidence",G314="Pause",G314="Stop",G314="Suspend",G314="Decommission",G314="Re-authorise",G314="Resume"))),"Decision event needs a decision outcome",IF(AND(E314="Priority override",OR(H314="",I314="")),"Decision-maker / AIG-DEC-03 ref missing",IF(AND(E314="Priority override",G314&lt;&gt;"",G314&lt;&gt;"No decision"),"Priority override: Outcome blank or No decision",IF(AND(E314&lt;&gt;"Decision",OR(G314="Progress",G314="Progress with condition",G314="Return for evidence",G314="Pause",G314="Stop",G314="Suspend",G314="Decommission",G314="Re-authorise",G314="Resume")),"Outcome implies decision",IF(OR(ISNUMBER(SEARCH(",",O314)),ISNUMBER(SEARCH(";",O314))),"One UC-ID per event row — split this event",IF(AND(E314="Decision",OR(Q314="UC-ID REQUIRED",Q314="Decision scope missing",Q314="REMOVE UC-ID OR CORRECT SCOPE")),"Decision scope missing",IF(AND(G314="Progress with condition",COUNTIF(Conditions!$B$4:$B$553,A314)=0),"Progress with condition needs at least one Conditions row",IF(AND(C314&lt;&gt;"",COUNTIFS('Gate plan'!$A$4:$A$353,C314,'Gate plan'!$C$4:$C$353,D314)=0),"Plan gate differs from event gate",IF(AND(C314&lt;&gt;"",O314&lt;&gt;"",COUNTIFS('Gate plan'!$A$4:$A$353,C314,'Gate plan'!$K$4:$K$353,"&lt;&gt;")&gt;0,COUNTIFS('Gate plan'!$A$4:$A$353,C314,'Gate plan'!$K$4:$K$353,O314)=0),"Plan UC-ID differs from event UC-ID",IF(AND(E314="Assurance opinion",J314=""),"Assurance opinion ref missing",IF(AND(G314="Opinion only",E314&lt;&gt;"Assurance opinion",E314&lt;&gt;"Review only"),"Opinion only is for Assurance opinion or Review only events",IF(AND(G314="No decision",E314&lt;&gt;"Review only",E314&lt;&gt;"Priority override",E314&lt;&gt;"Intake / registration"),"No decision is for Review only, Priority override or Intake / registration events",IF(OR(ISNUMBER(SEARCH(" ",TRIM(O314))),ISNUMBER(SEARCH("/",O314))),"One UC-ID per event row: split this event",IF(AND(E314="Precautionary pause (containment)",ISNUMBER(W314),ISNUMBER(F314),W314&lt;F314),"Follow-up decision due date is before the pause",IF(AND(G314="Resume",IFERROR(LOOKUP(2,1/(($B$3:B313=B314)*($O$3:O313=O314)),$G$3:G313),"")&lt;&gt;"Paused — pending decision"),"Resume is only for the event straight after a Precautionary pause on the same AIR-ID and UC-ID (in an earlier row)",IF(AND(E314="Decision",OR(G314="Progress",G314="Progress with condition",G314="Re-authorise",G314="Resume"),X314&lt;&gt;"Yes"),"Decision-maker has not confirmed the screening was considered (column X)","Check against source")))))))))))))))))))))))))))))</f>
        <v/>
      </c>
      <c r="O314" s="37" t="n"/>
      <c r="P314" s="37" t="n"/>
      <c r="Q314" s="14">
        <f>IF(A314="","",IF(E314&lt;&gt;"Decision","",IF(P314="UC-ID specific",IF(O314="","UC-ID REQUIRED","Check source decision for each UC-ID"),IF(P314="Shared system baseline",IF(O314&lt;&gt;"","REMOVE UC-ID OR CORRECT SCOPE","Baseline only — NOT UC approval"),"Decision scope missing"))))</f>
        <v/>
      </c>
      <c r="R314" s="42" t="n"/>
      <c r="S314" s="38" t="n"/>
      <c r="T314" s="38" t="n"/>
      <c r="U314" s="38" t="n"/>
      <c r="V314" s="38" t="n"/>
      <c r="W314" s="39" t="n"/>
      <c r="X314" s="38" t="n"/>
    </row>
    <row r="315">
      <c r="A315" s="40" t="n"/>
      <c r="B315" s="40" t="n"/>
      <c r="C315" s="40" t="n"/>
      <c r="D315" s="40" t="n"/>
      <c r="E315" s="40" t="n"/>
      <c r="F315" s="41" t="n"/>
      <c r="G315" s="40" t="n"/>
      <c r="H315" s="40" t="n"/>
      <c r="I315" s="40" t="n"/>
      <c r="J315" s="40" t="n"/>
      <c r="K315" s="40" t="n"/>
      <c r="L315" s="40" t="n"/>
      <c r="M315" s="40" t="n"/>
      <c r="N315" s="24">
        <f>IF(COUNTA(A315:M315,O315:P315,R315:X315)=0,"",IF(OR(A315="",B315="",F315=""),"Event ID, AIR-ID or date missing",IF(COUNTIF($A$4:$A$553,A315)&gt;1,"Duplicate Event ID",IF(E315="","Event type missing",IF(OR(NOT(ISNUMBER(F315)),F315&gt;TODAY()),"Date is not a real date or is in the future",IF(AND(C315&lt;&gt;"",COUNTIF('Gate plan'!$A$4:$A$353,C315)=0),"Plan ID not found in Gate plan",IF(AND(C315&lt;&gt;"",COUNTIFS('Gate plan'!$A$4:$A$353,C315,'Gate plan'!$B$4:$B$353,B315)=0),"Plan AIR-ID differs from event",IF(D315="","Gate / forum missing",IF(AND(E315="Precautionary pause (containment)",G315&lt;&gt;"Paused — pending decision"),"Precautionary pause: Outcome must be Paused, pending decision",IF(AND(E315="Precautionary pause (containment)",V315=""),"Precautionary pause: AIG-OPS-03 incident ref missing",IF(AND(E315="Precautionary pause (containment)",NOT(ISNUMBER(W315))),"Precautionary pause: follow-up decision due date missing",IF(AND(G315="Paused — pending decision",E315&lt;&gt;"Precautionary pause (containment)"),"Paused, pending decision is only for a Precautionary pause event",IF(AND(E315="Decision",OR(G315="",H315="",I315="")),"Outcome / delegation / decision ref missing",IF(AND(E315="Decision",NOT(OR(G315="Progress",G315="Progress with condition",G315="Return for evidence",G315="Pause",G315="Stop",G315="Suspend",G315="Decommission",G315="Re-authorise",G315="Resume"))),"Decision event needs a decision outcome",IF(AND(E315="Priority override",OR(H315="",I315="")),"Decision-maker / AIG-DEC-03 ref missing",IF(AND(E315="Priority override",G315&lt;&gt;"",G315&lt;&gt;"No decision"),"Priority override: Outcome blank or No decision",IF(AND(E315&lt;&gt;"Decision",OR(G315="Progress",G315="Progress with condition",G315="Return for evidence",G315="Pause",G315="Stop",G315="Suspend",G315="Decommission",G315="Re-authorise",G315="Resume")),"Outcome implies decision",IF(OR(ISNUMBER(SEARCH(",",O315)),ISNUMBER(SEARCH(";",O315))),"One UC-ID per event row — split this event",IF(AND(E315="Decision",OR(Q315="UC-ID REQUIRED",Q315="Decision scope missing",Q315="REMOVE UC-ID OR CORRECT SCOPE")),"Decision scope missing",IF(AND(G315="Progress with condition",COUNTIF(Conditions!$B$4:$B$553,A315)=0),"Progress with condition needs at least one Conditions row",IF(AND(C315&lt;&gt;"",COUNTIFS('Gate plan'!$A$4:$A$353,C315,'Gate plan'!$C$4:$C$353,D315)=0),"Plan gate differs from event gate",IF(AND(C315&lt;&gt;"",O315&lt;&gt;"",COUNTIFS('Gate plan'!$A$4:$A$353,C315,'Gate plan'!$K$4:$K$353,"&lt;&gt;")&gt;0,COUNTIFS('Gate plan'!$A$4:$A$353,C315,'Gate plan'!$K$4:$K$353,O315)=0),"Plan UC-ID differs from event UC-ID",IF(AND(E315="Assurance opinion",J315=""),"Assurance opinion ref missing",IF(AND(G315="Opinion only",E315&lt;&gt;"Assurance opinion",E315&lt;&gt;"Review only"),"Opinion only is for Assurance opinion or Review only events",IF(AND(G315="No decision",E315&lt;&gt;"Review only",E315&lt;&gt;"Priority override",E315&lt;&gt;"Intake / registration"),"No decision is for Review only, Priority override or Intake / registration events",IF(OR(ISNUMBER(SEARCH(" ",TRIM(O315))),ISNUMBER(SEARCH("/",O315))),"One UC-ID per event row: split this event",IF(AND(E315="Precautionary pause (containment)",ISNUMBER(W315),ISNUMBER(F315),W315&lt;F315),"Follow-up decision due date is before the pause",IF(AND(G315="Resume",IFERROR(LOOKUP(2,1/(($B$3:B314=B315)*($O$3:O314=O315)),$G$3:G314),"")&lt;&gt;"Paused — pending decision"),"Resume is only for the event straight after a Precautionary pause on the same AIR-ID and UC-ID (in an earlier row)",IF(AND(E315="Decision",OR(G315="Progress",G315="Progress with condition",G315="Re-authorise",G315="Resume"),X315&lt;&gt;"Yes"),"Decision-maker has not confirmed the screening was considered (column X)","Check against source")))))))))))))))))))))))))))))</f>
        <v/>
      </c>
      <c r="O315" s="37" t="n"/>
      <c r="P315" s="37" t="n"/>
      <c r="Q315" s="14">
        <f>IF(A315="","",IF(E315&lt;&gt;"Decision","",IF(P315="UC-ID specific",IF(O315="","UC-ID REQUIRED","Check source decision for each UC-ID"),IF(P315="Shared system baseline",IF(O315&lt;&gt;"","REMOVE UC-ID OR CORRECT SCOPE","Baseline only — NOT UC approval"),"Decision scope missing"))))</f>
        <v/>
      </c>
      <c r="R315" s="43" t="n"/>
      <c r="S315" s="40" t="n"/>
      <c r="T315" s="40" t="n"/>
      <c r="U315" s="40" t="n"/>
      <c r="V315" s="40" t="n"/>
      <c r="W315" s="41" t="n"/>
      <c r="X315" s="38" t="n"/>
    </row>
    <row r="316">
      <c r="A316" s="38" t="n"/>
      <c r="B316" s="38" t="n"/>
      <c r="C316" s="38" t="n"/>
      <c r="D316" s="38" t="n"/>
      <c r="E316" s="38" t="n"/>
      <c r="F316" s="39" t="n"/>
      <c r="G316" s="38" t="n"/>
      <c r="H316" s="38" t="n"/>
      <c r="I316" s="38" t="n"/>
      <c r="J316" s="38" t="n"/>
      <c r="K316" s="38" t="n"/>
      <c r="L316" s="38" t="n"/>
      <c r="M316" s="38" t="n"/>
      <c r="N316" s="22">
        <f>IF(COUNTA(A316:M316,O316:P316,R316:X316)=0,"",IF(OR(A316="",B316="",F316=""),"Event ID, AIR-ID or date missing",IF(COUNTIF($A$4:$A$553,A316)&gt;1,"Duplicate Event ID",IF(E316="","Event type missing",IF(OR(NOT(ISNUMBER(F316)),F316&gt;TODAY()),"Date is not a real date or is in the future",IF(AND(C316&lt;&gt;"",COUNTIF('Gate plan'!$A$4:$A$353,C316)=0),"Plan ID not found in Gate plan",IF(AND(C316&lt;&gt;"",COUNTIFS('Gate plan'!$A$4:$A$353,C316,'Gate plan'!$B$4:$B$353,B316)=0),"Plan AIR-ID differs from event",IF(D316="","Gate / forum missing",IF(AND(E316="Precautionary pause (containment)",G316&lt;&gt;"Paused — pending decision"),"Precautionary pause: Outcome must be Paused, pending decision",IF(AND(E316="Precautionary pause (containment)",V316=""),"Precautionary pause: AIG-OPS-03 incident ref missing",IF(AND(E316="Precautionary pause (containment)",NOT(ISNUMBER(W316))),"Precautionary pause: follow-up decision due date missing",IF(AND(G316="Paused — pending decision",E316&lt;&gt;"Precautionary pause (containment)"),"Paused, pending decision is only for a Precautionary pause event",IF(AND(E316="Decision",OR(G316="",H316="",I316="")),"Outcome / delegation / decision ref missing",IF(AND(E316="Decision",NOT(OR(G316="Progress",G316="Progress with condition",G316="Return for evidence",G316="Pause",G316="Stop",G316="Suspend",G316="Decommission",G316="Re-authorise",G316="Resume"))),"Decision event needs a decision outcome",IF(AND(E316="Priority override",OR(H316="",I316="")),"Decision-maker / AIG-DEC-03 ref missing",IF(AND(E316="Priority override",G316&lt;&gt;"",G316&lt;&gt;"No decision"),"Priority override: Outcome blank or No decision",IF(AND(E316&lt;&gt;"Decision",OR(G316="Progress",G316="Progress with condition",G316="Return for evidence",G316="Pause",G316="Stop",G316="Suspend",G316="Decommission",G316="Re-authorise",G316="Resume")),"Outcome implies decision",IF(OR(ISNUMBER(SEARCH(",",O316)),ISNUMBER(SEARCH(";",O316))),"One UC-ID per event row — split this event",IF(AND(E316="Decision",OR(Q316="UC-ID REQUIRED",Q316="Decision scope missing",Q316="REMOVE UC-ID OR CORRECT SCOPE")),"Decision scope missing",IF(AND(G316="Progress with condition",COUNTIF(Conditions!$B$4:$B$553,A316)=0),"Progress with condition needs at least one Conditions row",IF(AND(C316&lt;&gt;"",COUNTIFS('Gate plan'!$A$4:$A$353,C316,'Gate plan'!$C$4:$C$353,D316)=0),"Plan gate differs from event gate",IF(AND(C316&lt;&gt;"",O316&lt;&gt;"",COUNTIFS('Gate plan'!$A$4:$A$353,C316,'Gate plan'!$K$4:$K$353,"&lt;&gt;")&gt;0,COUNTIFS('Gate plan'!$A$4:$A$353,C316,'Gate plan'!$K$4:$K$353,O316)=0),"Plan UC-ID differs from event UC-ID",IF(AND(E316="Assurance opinion",J316=""),"Assurance opinion ref missing",IF(AND(G316="Opinion only",E316&lt;&gt;"Assurance opinion",E316&lt;&gt;"Review only"),"Opinion only is for Assurance opinion or Review only events",IF(AND(G316="No decision",E316&lt;&gt;"Review only",E316&lt;&gt;"Priority override",E316&lt;&gt;"Intake / registration"),"No decision is for Review only, Priority override or Intake / registration events",IF(OR(ISNUMBER(SEARCH(" ",TRIM(O316))),ISNUMBER(SEARCH("/",O316))),"One UC-ID per event row: split this event",IF(AND(E316="Precautionary pause (containment)",ISNUMBER(W316),ISNUMBER(F316),W316&lt;F316),"Follow-up decision due date is before the pause",IF(AND(G316="Resume",IFERROR(LOOKUP(2,1/(($B$3:B315=B316)*($O$3:O315=O316)),$G$3:G315),"")&lt;&gt;"Paused — pending decision"),"Resume is only for the event straight after a Precautionary pause on the same AIR-ID and UC-ID (in an earlier row)",IF(AND(E316="Decision",OR(G316="Progress",G316="Progress with condition",G316="Re-authorise",G316="Resume"),X316&lt;&gt;"Yes"),"Decision-maker has not confirmed the screening was considered (column X)","Check against source")))))))))))))))))))))))))))))</f>
        <v/>
      </c>
      <c r="O316" s="37" t="n"/>
      <c r="P316" s="37" t="n"/>
      <c r="Q316" s="14">
        <f>IF(A316="","",IF(E316&lt;&gt;"Decision","",IF(P316="UC-ID specific",IF(O316="","UC-ID REQUIRED","Check source decision for each UC-ID"),IF(P316="Shared system baseline",IF(O316&lt;&gt;"","REMOVE UC-ID OR CORRECT SCOPE","Baseline only — NOT UC approval"),"Decision scope missing"))))</f>
        <v/>
      </c>
      <c r="R316" s="42" t="n"/>
      <c r="S316" s="38" t="n"/>
      <c r="T316" s="38" t="n"/>
      <c r="U316" s="38" t="n"/>
      <c r="V316" s="38" t="n"/>
      <c r="W316" s="39" t="n"/>
      <c r="X316" s="38" t="n"/>
    </row>
    <row r="317">
      <c r="A317" s="40" t="n"/>
      <c r="B317" s="40" t="n"/>
      <c r="C317" s="40" t="n"/>
      <c r="D317" s="40" t="n"/>
      <c r="E317" s="40" t="n"/>
      <c r="F317" s="41" t="n"/>
      <c r="G317" s="40" t="n"/>
      <c r="H317" s="40" t="n"/>
      <c r="I317" s="40" t="n"/>
      <c r="J317" s="40" t="n"/>
      <c r="K317" s="40" t="n"/>
      <c r="L317" s="40" t="n"/>
      <c r="M317" s="40" t="n"/>
      <c r="N317" s="24">
        <f>IF(COUNTA(A317:M317,O317:P317,R317:X317)=0,"",IF(OR(A317="",B317="",F317=""),"Event ID, AIR-ID or date missing",IF(COUNTIF($A$4:$A$553,A317)&gt;1,"Duplicate Event ID",IF(E317="","Event type missing",IF(OR(NOT(ISNUMBER(F317)),F317&gt;TODAY()),"Date is not a real date or is in the future",IF(AND(C317&lt;&gt;"",COUNTIF('Gate plan'!$A$4:$A$353,C317)=0),"Plan ID not found in Gate plan",IF(AND(C317&lt;&gt;"",COUNTIFS('Gate plan'!$A$4:$A$353,C317,'Gate plan'!$B$4:$B$353,B317)=0),"Plan AIR-ID differs from event",IF(D317="","Gate / forum missing",IF(AND(E317="Precautionary pause (containment)",G317&lt;&gt;"Paused — pending decision"),"Precautionary pause: Outcome must be Paused, pending decision",IF(AND(E317="Precautionary pause (containment)",V317=""),"Precautionary pause: AIG-OPS-03 incident ref missing",IF(AND(E317="Precautionary pause (containment)",NOT(ISNUMBER(W317))),"Precautionary pause: follow-up decision due date missing",IF(AND(G317="Paused — pending decision",E317&lt;&gt;"Precautionary pause (containment)"),"Paused, pending decision is only for a Precautionary pause event",IF(AND(E317="Decision",OR(G317="",H317="",I317="")),"Outcome / delegation / decision ref missing",IF(AND(E317="Decision",NOT(OR(G317="Progress",G317="Progress with condition",G317="Return for evidence",G317="Pause",G317="Stop",G317="Suspend",G317="Decommission",G317="Re-authorise",G317="Resume"))),"Decision event needs a decision outcome",IF(AND(E317="Priority override",OR(H317="",I317="")),"Decision-maker / AIG-DEC-03 ref missing",IF(AND(E317="Priority override",G317&lt;&gt;"",G317&lt;&gt;"No decision"),"Priority override: Outcome blank or No decision",IF(AND(E317&lt;&gt;"Decision",OR(G317="Progress",G317="Progress with condition",G317="Return for evidence",G317="Pause",G317="Stop",G317="Suspend",G317="Decommission",G317="Re-authorise",G317="Resume")),"Outcome implies decision",IF(OR(ISNUMBER(SEARCH(",",O317)),ISNUMBER(SEARCH(";",O317))),"One UC-ID per event row — split this event",IF(AND(E317="Decision",OR(Q317="UC-ID REQUIRED",Q317="Decision scope missing",Q317="REMOVE UC-ID OR CORRECT SCOPE")),"Decision scope missing",IF(AND(G317="Progress with condition",COUNTIF(Conditions!$B$4:$B$553,A317)=0),"Progress with condition needs at least one Conditions row",IF(AND(C317&lt;&gt;"",COUNTIFS('Gate plan'!$A$4:$A$353,C317,'Gate plan'!$C$4:$C$353,D317)=0),"Plan gate differs from event gate",IF(AND(C317&lt;&gt;"",O317&lt;&gt;"",COUNTIFS('Gate plan'!$A$4:$A$353,C317,'Gate plan'!$K$4:$K$353,"&lt;&gt;")&gt;0,COUNTIFS('Gate plan'!$A$4:$A$353,C317,'Gate plan'!$K$4:$K$353,O317)=0),"Plan UC-ID differs from event UC-ID",IF(AND(E317="Assurance opinion",J317=""),"Assurance opinion ref missing",IF(AND(G317="Opinion only",E317&lt;&gt;"Assurance opinion",E317&lt;&gt;"Review only"),"Opinion only is for Assurance opinion or Review only events",IF(AND(G317="No decision",E317&lt;&gt;"Review only",E317&lt;&gt;"Priority override",E317&lt;&gt;"Intake / registration"),"No decision is for Review only, Priority override or Intake / registration events",IF(OR(ISNUMBER(SEARCH(" ",TRIM(O317))),ISNUMBER(SEARCH("/",O317))),"One UC-ID per event row: split this event",IF(AND(E317="Precautionary pause (containment)",ISNUMBER(W317),ISNUMBER(F317),W317&lt;F317),"Follow-up decision due date is before the pause",IF(AND(G317="Resume",IFERROR(LOOKUP(2,1/(($B$3:B316=B317)*($O$3:O316=O317)),$G$3:G316),"")&lt;&gt;"Paused — pending decision"),"Resume is only for the event straight after a Precautionary pause on the same AIR-ID and UC-ID (in an earlier row)",IF(AND(E317="Decision",OR(G317="Progress",G317="Progress with condition",G317="Re-authorise",G317="Resume"),X317&lt;&gt;"Yes"),"Decision-maker has not confirmed the screening was considered (column X)","Check against source")))))))))))))))))))))))))))))</f>
        <v/>
      </c>
      <c r="O317" s="37" t="n"/>
      <c r="P317" s="37" t="n"/>
      <c r="Q317" s="14">
        <f>IF(A317="","",IF(E317&lt;&gt;"Decision","",IF(P317="UC-ID specific",IF(O317="","UC-ID REQUIRED","Check source decision for each UC-ID"),IF(P317="Shared system baseline",IF(O317&lt;&gt;"","REMOVE UC-ID OR CORRECT SCOPE","Baseline only — NOT UC approval"),"Decision scope missing"))))</f>
        <v/>
      </c>
      <c r="R317" s="43" t="n"/>
      <c r="S317" s="40" t="n"/>
      <c r="T317" s="40" t="n"/>
      <c r="U317" s="40" t="n"/>
      <c r="V317" s="40" t="n"/>
      <c r="W317" s="41" t="n"/>
      <c r="X317" s="38" t="n"/>
    </row>
    <row r="318">
      <c r="A318" s="38" t="n"/>
      <c r="B318" s="38" t="n"/>
      <c r="C318" s="38" t="n"/>
      <c r="D318" s="38" t="n"/>
      <c r="E318" s="38" t="n"/>
      <c r="F318" s="39" t="n"/>
      <c r="G318" s="38" t="n"/>
      <c r="H318" s="38" t="n"/>
      <c r="I318" s="38" t="n"/>
      <c r="J318" s="38" t="n"/>
      <c r="K318" s="38" t="n"/>
      <c r="L318" s="38" t="n"/>
      <c r="M318" s="38" t="n"/>
      <c r="N318" s="22">
        <f>IF(COUNTA(A318:M318,O318:P318,R318:X318)=0,"",IF(OR(A318="",B318="",F318=""),"Event ID, AIR-ID or date missing",IF(COUNTIF($A$4:$A$553,A318)&gt;1,"Duplicate Event ID",IF(E318="","Event type missing",IF(OR(NOT(ISNUMBER(F318)),F318&gt;TODAY()),"Date is not a real date or is in the future",IF(AND(C318&lt;&gt;"",COUNTIF('Gate plan'!$A$4:$A$353,C318)=0),"Plan ID not found in Gate plan",IF(AND(C318&lt;&gt;"",COUNTIFS('Gate plan'!$A$4:$A$353,C318,'Gate plan'!$B$4:$B$353,B318)=0),"Plan AIR-ID differs from event",IF(D318="","Gate / forum missing",IF(AND(E318="Precautionary pause (containment)",G318&lt;&gt;"Paused — pending decision"),"Precautionary pause: Outcome must be Paused, pending decision",IF(AND(E318="Precautionary pause (containment)",V318=""),"Precautionary pause: AIG-OPS-03 incident ref missing",IF(AND(E318="Precautionary pause (containment)",NOT(ISNUMBER(W318))),"Precautionary pause: follow-up decision due date missing",IF(AND(G318="Paused — pending decision",E318&lt;&gt;"Precautionary pause (containment)"),"Paused, pending decision is only for a Precautionary pause event",IF(AND(E318="Decision",OR(G318="",H318="",I318="")),"Outcome / delegation / decision ref missing",IF(AND(E318="Decision",NOT(OR(G318="Progress",G318="Progress with condition",G318="Return for evidence",G318="Pause",G318="Stop",G318="Suspend",G318="Decommission",G318="Re-authorise",G318="Resume"))),"Decision event needs a decision outcome",IF(AND(E318="Priority override",OR(H318="",I318="")),"Decision-maker / AIG-DEC-03 ref missing",IF(AND(E318="Priority override",G318&lt;&gt;"",G318&lt;&gt;"No decision"),"Priority override: Outcome blank or No decision",IF(AND(E318&lt;&gt;"Decision",OR(G318="Progress",G318="Progress with condition",G318="Return for evidence",G318="Pause",G318="Stop",G318="Suspend",G318="Decommission",G318="Re-authorise",G318="Resume")),"Outcome implies decision",IF(OR(ISNUMBER(SEARCH(",",O318)),ISNUMBER(SEARCH(";",O318))),"One UC-ID per event row — split this event",IF(AND(E318="Decision",OR(Q318="UC-ID REQUIRED",Q318="Decision scope missing",Q318="REMOVE UC-ID OR CORRECT SCOPE")),"Decision scope missing",IF(AND(G318="Progress with condition",COUNTIF(Conditions!$B$4:$B$553,A318)=0),"Progress with condition needs at least one Conditions row",IF(AND(C318&lt;&gt;"",COUNTIFS('Gate plan'!$A$4:$A$353,C318,'Gate plan'!$C$4:$C$353,D318)=0),"Plan gate differs from event gate",IF(AND(C318&lt;&gt;"",O318&lt;&gt;"",COUNTIFS('Gate plan'!$A$4:$A$353,C318,'Gate plan'!$K$4:$K$353,"&lt;&gt;")&gt;0,COUNTIFS('Gate plan'!$A$4:$A$353,C318,'Gate plan'!$K$4:$K$353,O318)=0),"Plan UC-ID differs from event UC-ID",IF(AND(E318="Assurance opinion",J318=""),"Assurance opinion ref missing",IF(AND(G318="Opinion only",E318&lt;&gt;"Assurance opinion",E318&lt;&gt;"Review only"),"Opinion only is for Assurance opinion or Review only events",IF(AND(G318="No decision",E318&lt;&gt;"Review only",E318&lt;&gt;"Priority override",E318&lt;&gt;"Intake / registration"),"No decision is for Review only, Priority override or Intake / registration events",IF(OR(ISNUMBER(SEARCH(" ",TRIM(O318))),ISNUMBER(SEARCH("/",O318))),"One UC-ID per event row: split this event",IF(AND(E318="Precautionary pause (containment)",ISNUMBER(W318),ISNUMBER(F318),W318&lt;F318),"Follow-up decision due date is before the pause",IF(AND(G318="Resume",IFERROR(LOOKUP(2,1/(($B$3:B317=B318)*($O$3:O317=O318)),$G$3:G317),"")&lt;&gt;"Paused — pending decision"),"Resume is only for the event straight after a Precautionary pause on the same AIR-ID and UC-ID (in an earlier row)",IF(AND(E318="Decision",OR(G318="Progress",G318="Progress with condition",G318="Re-authorise",G318="Resume"),X318&lt;&gt;"Yes"),"Decision-maker has not confirmed the screening was considered (column X)","Check against source")))))))))))))))))))))))))))))</f>
        <v/>
      </c>
      <c r="O318" s="37" t="n"/>
      <c r="P318" s="37" t="n"/>
      <c r="Q318" s="14">
        <f>IF(A318="","",IF(E318&lt;&gt;"Decision","",IF(P318="UC-ID specific",IF(O318="","UC-ID REQUIRED","Check source decision for each UC-ID"),IF(P318="Shared system baseline",IF(O318&lt;&gt;"","REMOVE UC-ID OR CORRECT SCOPE","Baseline only — NOT UC approval"),"Decision scope missing"))))</f>
        <v/>
      </c>
      <c r="R318" s="42" t="n"/>
      <c r="S318" s="38" t="n"/>
      <c r="T318" s="38" t="n"/>
      <c r="U318" s="38" t="n"/>
      <c r="V318" s="38" t="n"/>
      <c r="W318" s="39" t="n"/>
      <c r="X318" s="38" t="n"/>
    </row>
    <row r="319">
      <c r="A319" s="40" t="n"/>
      <c r="B319" s="40" t="n"/>
      <c r="C319" s="40" t="n"/>
      <c r="D319" s="40" t="n"/>
      <c r="E319" s="40" t="n"/>
      <c r="F319" s="41" t="n"/>
      <c r="G319" s="40" t="n"/>
      <c r="H319" s="40" t="n"/>
      <c r="I319" s="40" t="n"/>
      <c r="J319" s="40" t="n"/>
      <c r="K319" s="40" t="n"/>
      <c r="L319" s="40" t="n"/>
      <c r="M319" s="40" t="n"/>
      <c r="N319" s="24">
        <f>IF(COUNTA(A319:M319,O319:P319,R319:X319)=0,"",IF(OR(A319="",B319="",F319=""),"Event ID, AIR-ID or date missing",IF(COUNTIF($A$4:$A$553,A319)&gt;1,"Duplicate Event ID",IF(E319="","Event type missing",IF(OR(NOT(ISNUMBER(F319)),F319&gt;TODAY()),"Date is not a real date or is in the future",IF(AND(C319&lt;&gt;"",COUNTIF('Gate plan'!$A$4:$A$353,C319)=0),"Plan ID not found in Gate plan",IF(AND(C319&lt;&gt;"",COUNTIFS('Gate plan'!$A$4:$A$353,C319,'Gate plan'!$B$4:$B$353,B319)=0),"Plan AIR-ID differs from event",IF(D319="","Gate / forum missing",IF(AND(E319="Precautionary pause (containment)",G319&lt;&gt;"Paused — pending decision"),"Precautionary pause: Outcome must be Paused, pending decision",IF(AND(E319="Precautionary pause (containment)",V319=""),"Precautionary pause: AIG-OPS-03 incident ref missing",IF(AND(E319="Precautionary pause (containment)",NOT(ISNUMBER(W319))),"Precautionary pause: follow-up decision due date missing",IF(AND(G319="Paused — pending decision",E319&lt;&gt;"Precautionary pause (containment)"),"Paused, pending decision is only for a Precautionary pause event",IF(AND(E319="Decision",OR(G319="",H319="",I319="")),"Outcome / delegation / decision ref missing",IF(AND(E319="Decision",NOT(OR(G319="Progress",G319="Progress with condition",G319="Return for evidence",G319="Pause",G319="Stop",G319="Suspend",G319="Decommission",G319="Re-authorise",G319="Resume"))),"Decision event needs a decision outcome",IF(AND(E319="Priority override",OR(H319="",I319="")),"Decision-maker / AIG-DEC-03 ref missing",IF(AND(E319="Priority override",G319&lt;&gt;"",G319&lt;&gt;"No decision"),"Priority override: Outcome blank or No decision",IF(AND(E319&lt;&gt;"Decision",OR(G319="Progress",G319="Progress with condition",G319="Return for evidence",G319="Pause",G319="Stop",G319="Suspend",G319="Decommission",G319="Re-authorise",G319="Resume")),"Outcome implies decision",IF(OR(ISNUMBER(SEARCH(",",O319)),ISNUMBER(SEARCH(";",O319))),"One UC-ID per event row — split this event",IF(AND(E319="Decision",OR(Q319="UC-ID REQUIRED",Q319="Decision scope missing",Q319="REMOVE UC-ID OR CORRECT SCOPE")),"Decision scope missing",IF(AND(G319="Progress with condition",COUNTIF(Conditions!$B$4:$B$553,A319)=0),"Progress with condition needs at least one Conditions row",IF(AND(C319&lt;&gt;"",COUNTIFS('Gate plan'!$A$4:$A$353,C319,'Gate plan'!$C$4:$C$353,D319)=0),"Plan gate differs from event gate",IF(AND(C319&lt;&gt;"",O319&lt;&gt;"",COUNTIFS('Gate plan'!$A$4:$A$353,C319,'Gate plan'!$K$4:$K$353,"&lt;&gt;")&gt;0,COUNTIFS('Gate plan'!$A$4:$A$353,C319,'Gate plan'!$K$4:$K$353,O319)=0),"Plan UC-ID differs from event UC-ID",IF(AND(E319="Assurance opinion",J319=""),"Assurance opinion ref missing",IF(AND(G319="Opinion only",E319&lt;&gt;"Assurance opinion",E319&lt;&gt;"Review only"),"Opinion only is for Assurance opinion or Review only events",IF(AND(G319="No decision",E319&lt;&gt;"Review only",E319&lt;&gt;"Priority override",E319&lt;&gt;"Intake / registration"),"No decision is for Review only, Priority override or Intake / registration events",IF(OR(ISNUMBER(SEARCH(" ",TRIM(O319))),ISNUMBER(SEARCH("/",O319))),"One UC-ID per event row: split this event",IF(AND(E319="Precautionary pause (containment)",ISNUMBER(W319),ISNUMBER(F319),W319&lt;F319),"Follow-up decision due date is before the pause",IF(AND(G319="Resume",IFERROR(LOOKUP(2,1/(($B$3:B318=B319)*($O$3:O318=O319)),$G$3:G318),"")&lt;&gt;"Paused — pending decision"),"Resume is only for the event straight after a Precautionary pause on the same AIR-ID and UC-ID (in an earlier row)",IF(AND(E319="Decision",OR(G319="Progress",G319="Progress with condition",G319="Re-authorise",G319="Resume"),X319&lt;&gt;"Yes"),"Decision-maker has not confirmed the screening was considered (column X)","Check against source")))))))))))))))))))))))))))))</f>
        <v/>
      </c>
      <c r="O319" s="37" t="n"/>
      <c r="P319" s="37" t="n"/>
      <c r="Q319" s="14">
        <f>IF(A319="","",IF(E319&lt;&gt;"Decision","",IF(P319="UC-ID specific",IF(O319="","UC-ID REQUIRED","Check source decision for each UC-ID"),IF(P319="Shared system baseline",IF(O319&lt;&gt;"","REMOVE UC-ID OR CORRECT SCOPE","Baseline only — NOT UC approval"),"Decision scope missing"))))</f>
        <v/>
      </c>
      <c r="R319" s="43" t="n"/>
      <c r="S319" s="40" t="n"/>
      <c r="T319" s="40" t="n"/>
      <c r="U319" s="40" t="n"/>
      <c r="V319" s="40" t="n"/>
      <c r="W319" s="41" t="n"/>
      <c r="X319" s="38" t="n"/>
    </row>
    <row r="320">
      <c r="A320" s="38" t="n"/>
      <c r="B320" s="38" t="n"/>
      <c r="C320" s="38" t="n"/>
      <c r="D320" s="38" t="n"/>
      <c r="E320" s="38" t="n"/>
      <c r="F320" s="39" t="n"/>
      <c r="G320" s="38" t="n"/>
      <c r="H320" s="38" t="n"/>
      <c r="I320" s="38" t="n"/>
      <c r="J320" s="38" t="n"/>
      <c r="K320" s="38" t="n"/>
      <c r="L320" s="38" t="n"/>
      <c r="M320" s="38" t="n"/>
      <c r="N320" s="22">
        <f>IF(COUNTA(A320:M320,O320:P320,R320:X320)=0,"",IF(OR(A320="",B320="",F320=""),"Event ID, AIR-ID or date missing",IF(COUNTIF($A$4:$A$553,A320)&gt;1,"Duplicate Event ID",IF(E320="","Event type missing",IF(OR(NOT(ISNUMBER(F320)),F320&gt;TODAY()),"Date is not a real date or is in the future",IF(AND(C320&lt;&gt;"",COUNTIF('Gate plan'!$A$4:$A$353,C320)=0),"Plan ID not found in Gate plan",IF(AND(C320&lt;&gt;"",COUNTIFS('Gate plan'!$A$4:$A$353,C320,'Gate plan'!$B$4:$B$353,B320)=0),"Plan AIR-ID differs from event",IF(D320="","Gate / forum missing",IF(AND(E320="Precautionary pause (containment)",G320&lt;&gt;"Paused — pending decision"),"Precautionary pause: Outcome must be Paused, pending decision",IF(AND(E320="Precautionary pause (containment)",V320=""),"Precautionary pause: AIG-OPS-03 incident ref missing",IF(AND(E320="Precautionary pause (containment)",NOT(ISNUMBER(W320))),"Precautionary pause: follow-up decision due date missing",IF(AND(G320="Paused — pending decision",E320&lt;&gt;"Precautionary pause (containment)"),"Paused, pending decision is only for a Precautionary pause event",IF(AND(E320="Decision",OR(G320="",H320="",I320="")),"Outcome / delegation / decision ref missing",IF(AND(E320="Decision",NOT(OR(G320="Progress",G320="Progress with condition",G320="Return for evidence",G320="Pause",G320="Stop",G320="Suspend",G320="Decommission",G320="Re-authorise",G320="Resume"))),"Decision event needs a decision outcome",IF(AND(E320="Priority override",OR(H320="",I320="")),"Decision-maker / AIG-DEC-03 ref missing",IF(AND(E320="Priority override",G320&lt;&gt;"",G320&lt;&gt;"No decision"),"Priority override: Outcome blank or No decision",IF(AND(E320&lt;&gt;"Decision",OR(G320="Progress",G320="Progress with condition",G320="Return for evidence",G320="Pause",G320="Stop",G320="Suspend",G320="Decommission",G320="Re-authorise",G320="Resume")),"Outcome implies decision",IF(OR(ISNUMBER(SEARCH(",",O320)),ISNUMBER(SEARCH(";",O320))),"One UC-ID per event row — split this event",IF(AND(E320="Decision",OR(Q320="UC-ID REQUIRED",Q320="Decision scope missing",Q320="REMOVE UC-ID OR CORRECT SCOPE")),"Decision scope missing",IF(AND(G320="Progress with condition",COUNTIF(Conditions!$B$4:$B$553,A320)=0),"Progress with condition needs at least one Conditions row",IF(AND(C320&lt;&gt;"",COUNTIFS('Gate plan'!$A$4:$A$353,C320,'Gate plan'!$C$4:$C$353,D320)=0),"Plan gate differs from event gate",IF(AND(C320&lt;&gt;"",O320&lt;&gt;"",COUNTIFS('Gate plan'!$A$4:$A$353,C320,'Gate plan'!$K$4:$K$353,"&lt;&gt;")&gt;0,COUNTIFS('Gate plan'!$A$4:$A$353,C320,'Gate plan'!$K$4:$K$353,O320)=0),"Plan UC-ID differs from event UC-ID",IF(AND(E320="Assurance opinion",J320=""),"Assurance opinion ref missing",IF(AND(G320="Opinion only",E320&lt;&gt;"Assurance opinion",E320&lt;&gt;"Review only"),"Opinion only is for Assurance opinion or Review only events",IF(AND(G320="No decision",E320&lt;&gt;"Review only",E320&lt;&gt;"Priority override",E320&lt;&gt;"Intake / registration"),"No decision is for Review only, Priority override or Intake / registration events",IF(OR(ISNUMBER(SEARCH(" ",TRIM(O320))),ISNUMBER(SEARCH("/",O320))),"One UC-ID per event row: split this event",IF(AND(E320="Precautionary pause (containment)",ISNUMBER(W320),ISNUMBER(F320),W320&lt;F320),"Follow-up decision due date is before the pause",IF(AND(G320="Resume",IFERROR(LOOKUP(2,1/(($B$3:B319=B320)*($O$3:O319=O320)),$G$3:G319),"")&lt;&gt;"Paused — pending decision"),"Resume is only for the event straight after a Precautionary pause on the same AIR-ID and UC-ID (in an earlier row)",IF(AND(E320="Decision",OR(G320="Progress",G320="Progress with condition",G320="Re-authorise",G320="Resume"),X320&lt;&gt;"Yes"),"Decision-maker has not confirmed the screening was considered (column X)","Check against source")))))))))))))))))))))))))))))</f>
        <v/>
      </c>
      <c r="O320" s="37" t="n"/>
      <c r="P320" s="37" t="n"/>
      <c r="Q320" s="14">
        <f>IF(A320="","",IF(E320&lt;&gt;"Decision","",IF(P320="UC-ID specific",IF(O320="","UC-ID REQUIRED","Check source decision for each UC-ID"),IF(P320="Shared system baseline",IF(O320&lt;&gt;"","REMOVE UC-ID OR CORRECT SCOPE","Baseline only — NOT UC approval"),"Decision scope missing"))))</f>
        <v/>
      </c>
      <c r="R320" s="42" t="n"/>
      <c r="S320" s="38" t="n"/>
      <c r="T320" s="38" t="n"/>
      <c r="U320" s="38" t="n"/>
      <c r="V320" s="38" t="n"/>
      <c r="W320" s="39" t="n"/>
      <c r="X320" s="38" t="n"/>
    </row>
    <row r="321">
      <c r="A321" s="40" t="n"/>
      <c r="B321" s="40" t="n"/>
      <c r="C321" s="40" t="n"/>
      <c r="D321" s="40" t="n"/>
      <c r="E321" s="40" t="n"/>
      <c r="F321" s="41" t="n"/>
      <c r="G321" s="40" t="n"/>
      <c r="H321" s="40" t="n"/>
      <c r="I321" s="40" t="n"/>
      <c r="J321" s="40" t="n"/>
      <c r="K321" s="40" t="n"/>
      <c r="L321" s="40" t="n"/>
      <c r="M321" s="40" t="n"/>
      <c r="N321" s="24">
        <f>IF(COUNTA(A321:M321,O321:P321,R321:X321)=0,"",IF(OR(A321="",B321="",F321=""),"Event ID, AIR-ID or date missing",IF(COUNTIF($A$4:$A$553,A321)&gt;1,"Duplicate Event ID",IF(E321="","Event type missing",IF(OR(NOT(ISNUMBER(F321)),F321&gt;TODAY()),"Date is not a real date or is in the future",IF(AND(C321&lt;&gt;"",COUNTIF('Gate plan'!$A$4:$A$353,C321)=0),"Plan ID not found in Gate plan",IF(AND(C321&lt;&gt;"",COUNTIFS('Gate plan'!$A$4:$A$353,C321,'Gate plan'!$B$4:$B$353,B321)=0),"Plan AIR-ID differs from event",IF(D321="","Gate / forum missing",IF(AND(E321="Precautionary pause (containment)",G321&lt;&gt;"Paused — pending decision"),"Precautionary pause: Outcome must be Paused, pending decision",IF(AND(E321="Precautionary pause (containment)",V321=""),"Precautionary pause: AIG-OPS-03 incident ref missing",IF(AND(E321="Precautionary pause (containment)",NOT(ISNUMBER(W321))),"Precautionary pause: follow-up decision due date missing",IF(AND(G321="Paused — pending decision",E321&lt;&gt;"Precautionary pause (containment)"),"Paused, pending decision is only for a Precautionary pause event",IF(AND(E321="Decision",OR(G321="",H321="",I321="")),"Outcome / delegation / decision ref missing",IF(AND(E321="Decision",NOT(OR(G321="Progress",G321="Progress with condition",G321="Return for evidence",G321="Pause",G321="Stop",G321="Suspend",G321="Decommission",G321="Re-authorise",G321="Resume"))),"Decision event needs a decision outcome",IF(AND(E321="Priority override",OR(H321="",I321="")),"Decision-maker / AIG-DEC-03 ref missing",IF(AND(E321="Priority override",G321&lt;&gt;"",G321&lt;&gt;"No decision"),"Priority override: Outcome blank or No decision",IF(AND(E321&lt;&gt;"Decision",OR(G321="Progress",G321="Progress with condition",G321="Return for evidence",G321="Pause",G321="Stop",G321="Suspend",G321="Decommission",G321="Re-authorise",G321="Resume")),"Outcome implies decision",IF(OR(ISNUMBER(SEARCH(",",O321)),ISNUMBER(SEARCH(";",O321))),"One UC-ID per event row — split this event",IF(AND(E321="Decision",OR(Q321="UC-ID REQUIRED",Q321="Decision scope missing",Q321="REMOVE UC-ID OR CORRECT SCOPE")),"Decision scope missing",IF(AND(G321="Progress with condition",COUNTIF(Conditions!$B$4:$B$553,A321)=0),"Progress with condition needs at least one Conditions row",IF(AND(C321&lt;&gt;"",COUNTIFS('Gate plan'!$A$4:$A$353,C321,'Gate plan'!$C$4:$C$353,D321)=0),"Plan gate differs from event gate",IF(AND(C321&lt;&gt;"",O321&lt;&gt;"",COUNTIFS('Gate plan'!$A$4:$A$353,C321,'Gate plan'!$K$4:$K$353,"&lt;&gt;")&gt;0,COUNTIFS('Gate plan'!$A$4:$A$353,C321,'Gate plan'!$K$4:$K$353,O321)=0),"Plan UC-ID differs from event UC-ID",IF(AND(E321="Assurance opinion",J321=""),"Assurance opinion ref missing",IF(AND(G321="Opinion only",E321&lt;&gt;"Assurance opinion",E321&lt;&gt;"Review only"),"Opinion only is for Assurance opinion or Review only events",IF(AND(G321="No decision",E321&lt;&gt;"Review only",E321&lt;&gt;"Priority override",E321&lt;&gt;"Intake / registration"),"No decision is for Review only, Priority override or Intake / registration events",IF(OR(ISNUMBER(SEARCH(" ",TRIM(O321))),ISNUMBER(SEARCH("/",O321))),"One UC-ID per event row: split this event",IF(AND(E321="Precautionary pause (containment)",ISNUMBER(W321),ISNUMBER(F321),W321&lt;F321),"Follow-up decision due date is before the pause",IF(AND(G321="Resume",IFERROR(LOOKUP(2,1/(($B$3:B320=B321)*($O$3:O320=O321)),$G$3:G320),"")&lt;&gt;"Paused — pending decision"),"Resume is only for the event straight after a Precautionary pause on the same AIR-ID and UC-ID (in an earlier row)",IF(AND(E321="Decision",OR(G321="Progress",G321="Progress with condition",G321="Re-authorise",G321="Resume"),X321&lt;&gt;"Yes"),"Decision-maker has not confirmed the screening was considered (column X)","Check against source")))))))))))))))))))))))))))))</f>
        <v/>
      </c>
      <c r="O321" s="37" t="n"/>
      <c r="P321" s="37" t="n"/>
      <c r="Q321" s="14">
        <f>IF(A321="","",IF(E321&lt;&gt;"Decision","",IF(P321="UC-ID specific",IF(O321="","UC-ID REQUIRED","Check source decision for each UC-ID"),IF(P321="Shared system baseline",IF(O321&lt;&gt;"","REMOVE UC-ID OR CORRECT SCOPE","Baseline only — NOT UC approval"),"Decision scope missing"))))</f>
        <v/>
      </c>
      <c r="R321" s="43" t="n"/>
      <c r="S321" s="40" t="n"/>
      <c r="T321" s="40" t="n"/>
      <c r="U321" s="40" t="n"/>
      <c r="V321" s="40" t="n"/>
      <c r="W321" s="41" t="n"/>
      <c r="X321" s="38" t="n"/>
    </row>
    <row r="322">
      <c r="A322" s="38" t="n"/>
      <c r="B322" s="38" t="n"/>
      <c r="C322" s="38" t="n"/>
      <c r="D322" s="38" t="n"/>
      <c r="E322" s="38" t="n"/>
      <c r="F322" s="39" t="n"/>
      <c r="G322" s="38" t="n"/>
      <c r="H322" s="38" t="n"/>
      <c r="I322" s="38" t="n"/>
      <c r="J322" s="38" t="n"/>
      <c r="K322" s="38" t="n"/>
      <c r="L322" s="38" t="n"/>
      <c r="M322" s="38" t="n"/>
      <c r="N322" s="22">
        <f>IF(COUNTA(A322:M322,O322:P322,R322:X322)=0,"",IF(OR(A322="",B322="",F322=""),"Event ID, AIR-ID or date missing",IF(COUNTIF($A$4:$A$553,A322)&gt;1,"Duplicate Event ID",IF(E322="","Event type missing",IF(OR(NOT(ISNUMBER(F322)),F322&gt;TODAY()),"Date is not a real date or is in the future",IF(AND(C322&lt;&gt;"",COUNTIF('Gate plan'!$A$4:$A$353,C322)=0),"Plan ID not found in Gate plan",IF(AND(C322&lt;&gt;"",COUNTIFS('Gate plan'!$A$4:$A$353,C322,'Gate plan'!$B$4:$B$353,B322)=0),"Plan AIR-ID differs from event",IF(D322="","Gate / forum missing",IF(AND(E322="Precautionary pause (containment)",G322&lt;&gt;"Paused — pending decision"),"Precautionary pause: Outcome must be Paused, pending decision",IF(AND(E322="Precautionary pause (containment)",V322=""),"Precautionary pause: AIG-OPS-03 incident ref missing",IF(AND(E322="Precautionary pause (containment)",NOT(ISNUMBER(W322))),"Precautionary pause: follow-up decision due date missing",IF(AND(G322="Paused — pending decision",E322&lt;&gt;"Precautionary pause (containment)"),"Paused, pending decision is only for a Precautionary pause event",IF(AND(E322="Decision",OR(G322="",H322="",I322="")),"Outcome / delegation / decision ref missing",IF(AND(E322="Decision",NOT(OR(G322="Progress",G322="Progress with condition",G322="Return for evidence",G322="Pause",G322="Stop",G322="Suspend",G322="Decommission",G322="Re-authorise",G322="Resume"))),"Decision event needs a decision outcome",IF(AND(E322="Priority override",OR(H322="",I322="")),"Decision-maker / AIG-DEC-03 ref missing",IF(AND(E322="Priority override",G322&lt;&gt;"",G322&lt;&gt;"No decision"),"Priority override: Outcome blank or No decision",IF(AND(E322&lt;&gt;"Decision",OR(G322="Progress",G322="Progress with condition",G322="Return for evidence",G322="Pause",G322="Stop",G322="Suspend",G322="Decommission",G322="Re-authorise",G322="Resume")),"Outcome implies decision",IF(OR(ISNUMBER(SEARCH(",",O322)),ISNUMBER(SEARCH(";",O322))),"One UC-ID per event row — split this event",IF(AND(E322="Decision",OR(Q322="UC-ID REQUIRED",Q322="Decision scope missing",Q322="REMOVE UC-ID OR CORRECT SCOPE")),"Decision scope missing",IF(AND(G322="Progress with condition",COUNTIF(Conditions!$B$4:$B$553,A322)=0),"Progress with condition needs at least one Conditions row",IF(AND(C322&lt;&gt;"",COUNTIFS('Gate plan'!$A$4:$A$353,C322,'Gate plan'!$C$4:$C$353,D322)=0),"Plan gate differs from event gate",IF(AND(C322&lt;&gt;"",O322&lt;&gt;"",COUNTIFS('Gate plan'!$A$4:$A$353,C322,'Gate plan'!$K$4:$K$353,"&lt;&gt;")&gt;0,COUNTIFS('Gate plan'!$A$4:$A$353,C322,'Gate plan'!$K$4:$K$353,O322)=0),"Plan UC-ID differs from event UC-ID",IF(AND(E322="Assurance opinion",J322=""),"Assurance opinion ref missing",IF(AND(G322="Opinion only",E322&lt;&gt;"Assurance opinion",E322&lt;&gt;"Review only"),"Opinion only is for Assurance opinion or Review only events",IF(AND(G322="No decision",E322&lt;&gt;"Review only",E322&lt;&gt;"Priority override",E322&lt;&gt;"Intake / registration"),"No decision is for Review only, Priority override or Intake / registration events",IF(OR(ISNUMBER(SEARCH(" ",TRIM(O322))),ISNUMBER(SEARCH("/",O322))),"One UC-ID per event row: split this event",IF(AND(E322="Precautionary pause (containment)",ISNUMBER(W322),ISNUMBER(F322),W322&lt;F322),"Follow-up decision due date is before the pause",IF(AND(G322="Resume",IFERROR(LOOKUP(2,1/(($B$3:B321=B322)*($O$3:O321=O322)),$G$3:G321),"")&lt;&gt;"Paused — pending decision"),"Resume is only for the event straight after a Precautionary pause on the same AIR-ID and UC-ID (in an earlier row)",IF(AND(E322="Decision",OR(G322="Progress",G322="Progress with condition",G322="Re-authorise",G322="Resume"),X322&lt;&gt;"Yes"),"Decision-maker has not confirmed the screening was considered (column X)","Check against source")))))))))))))))))))))))))))))</f>
        <v/>
      </c>
      <c r="O322" s="37" t="n"/>
      <c r="P322" s="37" t="n"/>
      <c r="Q322" s="14">
        <f>IF(A322="","",IF(E322&lt;&gt;"Decision","",IF(P322="UC-ID specific",IF(O322="","UC-ID REQUIRED","Check source decision for each UC-ID"),IF(P322="Shared system baseline",IF(O322&lt;&gt;"","REMOVE UC-ID OR CORRECT SCOPE","Baseline only — NOT UC approval"),"Decision scope missing"))))</f>
        <v/>
      </c>
      <c r="R322" s="42" t="n"/>
      <c r="S322" s="38" t="n"/>
      <c r="T322" s="38" t="n"/>
      <c r="U322" s="38" t="n"/>
      <c r="V322" s="38" t="n"/>
      <c r="W322" s="39" t="n"/>
      <c r="X322" s="38" t="n"/>
    </row>
    <row r="323">
      <c r="A323" s="40" t="n"/>
      <c r="B323" s="40" t="n"/>
      <c r="C323" s="40" t="n"/>
      <c r="D323" s="40" t="n"/>
      <c r="E323" s="40" t="n"/>
      <c r="F323" s="41" t="n"/>
      <c r="G323" s="40" t="n"/>
      <c r="H323" s="40" t="n"/>
      <c r="I323" s="40" t="n"/>
      <c r="J323" s="40" t="n"/>
      <c r="K323" s="40" t="n"/>
      <c r="L323" s="40" t="n"/>
      <c r="M323" s="40" t="n"/>
      <c r="N323" s="24">
        <f>IF(COUNTA(A323:M323,O323:P323,R323:X323)=0,"",IF(OR(A323="",B323="",F323=""),"Event ID, AIR-ID or date missing",IF(COUNTIF($A$4:$A$553,A323)&gt;1,"Duplicate Event ID",IF(E323="","Event type missing",IF(OR(NOT(ISNUMBER(F323)),F323&gt;TODAY()),"Date is not a real date or is in the future",IF(AND(C323&lt;&gt;"",COUNTIF('Gate plan'!$A$4:$A$353,C323)=0),"Plan ID not found in Gate plan",IF(AND(C323&lt;&gt;"",COUNTIFS('Gate plan'!$A$4:$A$353,C323,'Gate plan'!$B$4:$B$353,B323)=0),"Plan AIR-ID differs from event",IF(D323="","Gate / forum missing",IF(AND(E323="Precautionary pause (containment)",G323&lt;&gt;"Paused — pending decision"),"Precautionary pause: Outcome must be Paused, pending decision",IF(AND(E323="Precautionary pause (containment)",V323=""),"Precautionary pause: AIG-OPS-03 incident ref missing",IF(AND(E323="Precautionary pause (containment)",NOT(ISNUMBER(W323))),"Precautionary pause: follow-up decision due date missing",IF(AND(G323="Paused — pending decision",E323&lt;&gt;"Precautionary pause (containment)"),"Paused, pending decision is only for a Precautionary pause event",IF(AND(E323="Decision",OR(G323="",H323="",I323="")),"Outcome / delegation / decision ref missing",IF(AND(E323="Decision",NOT(OR(G323="Progress",G323="Progress with condition",G323="Return for evidence",G323="Pause",G323="Stop",G323="Suspend",G323="Decommission",G323="Re-authorise",G323="Resume"))),"Decision event needs a decision outcome",IF(AND(E323="Priority override",OR(H323="",I323="")),"Decision-maker / AIG-DEC-03 ref missing",IF(AND(E323="Priority override",G323&lt;&gt;"",G323&lt;&gt;"No decision"),"Priority override: Outcome blank or No decision",IF(AND(E323&lt;&gt;"Decision",OR(G323="Progress",G323="Progress with condition",G323="Return for evidence",G323="Pause",G323="Stop",G323="Suspend",G323="Decommission",G323="Re-authorise",G323="Resume")),"Outcome implies decision",IF(OR(ISNUMBER(SEARCH(",",O323)),ISNUMBER(SEARCH(";",O323))),"One UC-ID per event row — split this event",IF(AND(E323="Decision",OR(Q323="UC-ID REQUIRED",Q323="Decision scope missing",Q323="REMOVE UC-ID OR CORRECT SCOPE")),"Decision scope missing",IF(AND(G323="Progress with condition",COUNTIF(Conditions!$B$4:$B$553,A323)=0),"Progress with condition needs at least one Conditions row",IF(AND(C323&lt;&gt;"",COUNTIFS('Gate plan'!$A$4:$A$353,C323,'Gate plan'!$C$4:$C$353,D323)=0),"Plan gate differs from event gate",IF(AND(C323&lt;&gt;"",O323&lt;&gt;"",COUNTIFS('Gate plan'!$A$4:$A$353,C323,'Gate plan'!$K$4:$K$353,"&lt;&gt;")&gt;0,COUNTIFS('Gate plan'!$A$4:$A$353,C323,'Gate plan'!$K$4:$K$353,O323)=0),"Plan UC-ID differs from event UC-ID",IF(AND(E323="Assurance opinion",J323=""),"Assurance opinion ref missing",IF(AND(G323="Opinion only",E323&lt;&gt;"Assurance opinion",E323&lt;&gt;"Review only"),"Opinion only is for Assurance opinion or Review only events",IF(AND(G323="No decision",E323&lt;&gt;"Review only",E323&lt;&gt;"Priority override",E323&lt;&gt;"Intake / registration"),"No decision is for Review only, Priority override or Intake / registration events",IF(OR(ISNUMBER(SEARCH(" ",TRIM(O323))),ISNUMBER(SEARCH("/",O323))),"One UC-ID per event row: split this event",IF(AND(E323="Precautionary pause (containment)",ISNUMBER(W323),ISNUMBER(F323),W323&lt;F323),"Follow-up decision due date is before the pause",IF(AND(G323="Resume",IFERROR(LOOKUP(2,1/(($B$3:B322=B323)*($O$3:O322=O323)),$G$3:G322),"")&lt;&gt;"Paused — pending decision"),"Resume is only for the event straight after a Precautionary pause on the same AIR-ID and UC-ID (in an earlier row)",IF(AND(E323="Decision",OR(G323="Progress",G323="Progress with condition",G323="Re-authorise",G323="Resume"),X323&lt;&gt;"Yes"),"Decision-maker has not confirmed the screening was considered (column X)","Check against source")))))))))))))))))))))))))))))</f>
        <v/>
      </c>
      <c r="O323" s="37" t="n"/>
      <c r="P323" s="37" t="n"/>
      <c r="Q323" s="14">
        <f>IF(A323="","",IF(E323&lt;&gt;"Decision","",IF(P323="UC-ID specific",IF(O323="","UC-ID REQUIRED","Check source decision for each UC-ID"),IF(P323="Shared system baseline",IF(O323&lt;&gt;"","REMOVE UC-ID OR CORRECT SCOPE","Baseline only — NOT UC approval"),"Decision scope missing"))))</f>
        <v/>
      </c>
      <c r="R323" s="43" t="n"/>
      <c r="S323" s="40" t="n"/>
      <c r="T323" s="40" t="n"/>
      <c r="U323" s="40" t="n"/>
      <c r="V323" s="40" t="n"/>
      <c r="W323" s="41" t="n"/>
      <c r="X323" s="38" t="n"/>
    </row>
    <row r="324">
      <c r="A324" s="38" t="n"/>
      <c r="B324" s="38" t="n"/>
      <c r="C324" s="38" t="n"/>
      <c r="D324" s="38" t="n"/>
      <c r="E324" s="38" t="n"/>
      <c r="F324" s="39" t="n"/>
      <c r="G324" s="38" t="n"/>
      <c r="H324" s="38" t="n"/>
      <c r="I324" s="38" t="n"/>
      <c r="J324" s="38" t="n"/>
      <c r="K324" s="38" t="n"/>
      <c r="L324" s="38" t="n"/>
      <c r="M324" s="38" t="n"/>
      <c r="N324" s="22">
        <f>IF(COUNTA(A324:M324,O324:P324,R324:X324)=0,"",IF(OR(A324="",B324="",F324=""),"Event ID, AIR-ID or date missing",IF(COUNTIF($A$4:$A$553,A324)&gt;1,"Duplicate Event ID",IF(E324="","Event type missing",IF(OR(NOT(ISNUMBER(F324)),F324&gt;TODAY()),"Date is not a real date or is in the future",IF(AND(C324&lt;&gt;"",COUNTIF('Gate plan'!$A$4:$A$353,C324)=0),"Plan ID not found in Gate plan",IF(AND(C324&lt;&gt;"",COUNTIFS('Gate plan'!$A$4:$A$353,C324,'Gate plan'!$B$4:$B$353,B324)=0),"Plan AIR-ID differs from event",IF(D324="","Gate / forum missing",IF(AND(E324="Precautionary pause (containment)",G324&lt;&gt;"Paused — pending decision"),"Precautionary pause: Outcome must be Paused, pending decision",IF(AND(E324="Precautionary pause (containment)",V324=""),"Precautionary pause: AIG-OPS-03 incident ref missing",IF(AND(E324="Precautionary pause (containment)",NOT(ISNUMBER(W324))),"Precautionary pause: follow-up decision due date missing",IF(AND(G324="Paused — pending decision",E324&lt;&gt;"Precautionary pause (containment)"),"Paused, pending decision is only for a Precautionary pause event",IF(AND(E324="Decision",OR(G324="",H324="",I324="")),"Outcome / delegation / decision ref missing",IF(AND(E324="Decision",NOT(OR(G324="Progress",G324="Progress with condition",G324="Return for evidence",G324="Pause",G324="Stop",G324="Suspend",G324="Decommission",G324="Re-authorise",G324="Resume"))),"Decision event needs a decision outcome",IF(AND(E324="Priority override",OR(H324="",I324="")),"Decision-maker / AIG-DEC-03 ref missing",IF(AND(E324="Priority override",G324&lt;&gt;"",G324&lt;&gt;"No decision"),"Priority override: Outcome blank or No decision",IF(AND(E324&lt;&gt;"Decision",OR(G324="Progress",G324="Progress with condition",G324="Return for evidence",G324="Pause",G324="Stop",G324="Suspend",G324="Decommission",G324="Re-authorise",G324="Resume")),"Outcome implies decision",IF(OR(ISNUMBER(SEARCH(",",O324)),ISNUMBER(SEARCH(";",O324))),"One UC-ID per event row — split this event",IF(AND(E324="Decision",OR(Q324="UC-ID REQUIRED",Q324="Decision scope missing",Q324="REMOVE UC-ID OR CORRECT SCOPE")),"Decision scope missing",IF(AND(G324="Progress with condition",COUNTIF(Conditions!$B$4:$B$553,A324)=0),"Progress with condition needs at least one Conditions row",IF(AND(C324&lt;&gt;"",COUNTIFS('Gate plan'!$A$4:$A$353,C324,'Gate plan'!$C$4:$C$353,D324)=0),"Plan gate differs from event gate",IF(AND(C324&lt;&gt;"",O324&lt;&gt;"",COUNTIFS('Gate plan'!$A$4:$A$353,C324,'Gate plan'!$K$4:$K$353,"&lt;&gt;")&gt;0,COUNTIFS('Gate plan'!$A$4:$A$353,C324,'Gate plan'!$K$4:$K$353,O324)=0),"Plan UC-ID differs from event UC-ID",IF(AND(E324="Assurance opinion",J324=""),"Assurance opinion ref missing",IF(AND(G324="Opinion only",E324&lt;&gt;"Assurance opinion",E324&lt;&gt;"Review only"),"Opinion only is for Assurance opinion or Review only events",IF(AND(G324="No decision",E324&lt;&gt;"Review only",E324&lt;&gt;"Priority override",E324&lt;&gt;"Intake / registration"),"No decision is for Review only, Priority override or Intake / registration events",IF(OR(ISNUMBER(SEARCH(" ",TRIM(O324))),ISNUMBER(SEARCH("/",O324))),"One UC-ID per event row: split this event",IF(AND(E324="Precautionary pause (containment)",ISNUMBER(W324),ISNUMBER(F324),W324&lt;F324),"Follow-up decision due date is before the pause",IF(AND(G324="Resume",IFERROR(LOOKUP(2,1/(($B$3:B323=B324)*($O$3:O323=O324)),$G$3:G323),"")&lt;&gt;"Paused — pending decision"),"Resume is only for the event straight after a Precautionary pause on the same AIR-ID and UC-ID (in an earlier row)",IF(AND(E324="Decision",OR(G324="Progress",G324="Progress with condition",G324="Re-authorise",G324="Resume"),X324&lt;&gt;"Yes"),"Decision-maker has not confirmed the screening was considered (column X)","Check against source")))))))))))))))))))))))))))))</f>
        <v/>
      </c>
      <c r="O324" s="37" t="n"/>
      <c r="P324" s="37" t="n"/>
      <c r="Q324" s="14">
        <f>IF(A324="","",IF(E324&lt;&gt;"Decision","",IF(P324="UC-ID specific",IF(O324="","UC-ID REQUIRED","Check source decision for each UC-ID"),IF(P324="Shared system baseline",IF(O324&lt;&gt;"","REMOVE UC-ID OR CORRECT SCOPE","Baseline only — NOT UC approval"),"Decision scope missing"))))</f>
        <v/>
      </c>
      <c r="R324" s="42" t="n"/>
      <c r="S324" s="38" t="n"/>
      <c r="T324" s="38" t="n"/>
      <c r="U324" s="38" t="n"/>
      <c r="V324" s="38" t="n"/>
      <c r="W324" s="39" t="n"/>
      <c r="X324" s="38" t="n"/>
    </row>
    <row r="325">
      <c r="A325" s="40" t="n"/>
      <c r="B325" s="40" t="n"/>
      <c r="C325" s="40" t="n"/>
      <c r="D325" s="40" t="n"/>
      <c r="E325" s="40" t="n"/>
      <c r="F325" s="41" t="n"/>
      <c r="G325" s="40" t="n"/>
      <c r="H325" s="40" t="n"/>
      <c r="I325" s="40" t="n"/>
      <c r="J325" s="40" t="n"/>
      <c r="K325" s="40" t="n"/>
      <c r="L325" s="40" t="n"/>
      <c r="M325" s="40" t="n"/>
      <c r="N325" s="24">
        <f>IF(COUNTA(A325:M325,O325:P325,R325:X325)=0,"",IF(OR(A325="",B325="",F325=""),"Event ID, AIR-ID or date missing",IF(COUNTIF($A$4:$A$553,A325)&gt;1,"Duplicate Event ID",IF(E325="","Event type missing",IF(OR(NOT(ISNUMBER(F325)),F325&gt;TODAY()),"Date is not a real date or is in the future",IF(AND(C325&lt;&gt;"",COUNTIF('Gate plan'!$A$4:$A$353,C325)=0),"Plan ID not found in Gate plan",IF(AND(C325&lt;&gt;"",COUNTIFS('Gate plan'!$A$4:$A$353,C325,'Gate plan'!$B$4:$B$353,B325)=0),"Plan AIR-ID differs from event",IF(D325="","Gate / forum missing",IF(AND(E325="Precautionary pause (containment)",G325&lt;&gt;"Paused — pending decision"),"Precautionary pause: Outcome must be Paused, pending decision",IF(AND(E325="Precautionary pause (containment)",V325=""),"Precautionary pause: AIG-OPS-03 incident ref missing",IF(AND(E325="Precautionary pause (containment)",NOT(ISNUMBER(W325))),"Precautionary pause: follow-up decision due date missing",IF(AND(G325="Paused — pending decision",E325&lt;&gt;"Precautionary pause (containment)"),"Paused, pending decision is only for a Precautionary pause event",IF(AND(E325="Decision",OR(G325="",H325="",I325="")),"Outcome / delegation / decision ref missing",IF(AND(E325="Decision",NOT(OR(G325="Progress",G325="Progress with condition",G325="Return for evidence",G325="Pause",G325="Stop",G325="Suspend",G325="Decommission",G325="Re-authorise",G325="Resume"))),"Decision event needs a decision outcome",IF(AND(E325="Priority override",OR(H325="",I325="")),"Decision-maker / AIG-DEC-03 ref missing",IF(AND(E325="Priority override",G325&lt;&gt;"",G325&lt;&gt;"No decision"),"Priority override: Outcome blank or No decision",IF(AND(E325&lt;&gt;"Decision",OR(G325="Progress",G325="Progress with condition",G325="Return for evidence",G325="Pause",G325="Stop",G325="Suspend",G325="Decommission",G325="Re-authorise",G325="Resume")),"Outcome implies decision",IF(OR(ISNUMBER(SEARCH(",",O325)),ISNUMBER(SEARCH(";",O325))),"One UC-ID per event row — split this event",IF(AND(E325="Decision",OR(Q325="UC-ID REQUIRED",Q325="Decision scope missing",Q325="REMOVE UC-ID OR CORRECT SCOPE")),"Decision scope missing",IF(AND(G325="Progress with condition",COUNTIF(Conditions!$B$4:$B$553,A325)=0),"Progress with condition needs at least one Conditions row",IF(AND(C325&lt;&gt;"",COUNTIFS('Gate plan'!$A$4:$A$353,C325,'Gate plan'!$C$4:$C$353,D325)=0),"Plan gate differs from event gate",IF(AND(C325&lt;&gt;"",O325&lt;&gt;"",COUNTIFS('Gate plan'!$A$4:$A$353,C325,'Gate plan'!$K$4:$K$353,"&lt;&gt;")&gt;0,COUNTIFS('Gate plan'!$A$4:$A$353,C325,'Gate plan'!$K$4:$K$353,O325)=0),"Plan UC-ID differs from event UC-ID",IF(AND(E325="Assurance opinion",J325=""),"Assurance opinion ref missing",IF(AND(G325="Opinion only",E325&lt;&gt;"Assurance opinion",E325&lt;&gt;"Review only"),"Opinion only is for Assurance opinion or Review only events",IF(AND(G325="No decision",E325&lt;&gt;"Review only",E325&lt;&gt;"Priority override",E325&lt;&gt;"Intake / registration"),"No decision is for Review only, Priority override or Intake / registration events",IF(OR(ISNUMBER(SEARCH(" ",TRIM(O325))),ISNUMBER(SEARCH("/",O325))),"One UC-ID per event row: split this event",IF(AND(E325="Precautionary pause (containment)",ISNUMBER(W325),ISNUMBER(F325),W325&lt;F325),"Follow-up decision due date is before the pause",IF(AND(G325="Resume",IFERROR(LOOKUP(2,1/(($B$3:B324=B325)*($O$3:O324=O325)),$G$3:G324),"")&lt;&gt;"Paused — pending decision"),"Resume is only for the event straight after a Precautionary pause on the same AIR-ID and UC-ID (in an earlier row)",IF(AND(E325="Decision",OR(G325="Progress",G325="Progress with condition",G325="Re-authorise",G325="Resume"),X325&lt;&gt;"Yes"),"Decision-maker has not confirmed the screening was considered (column X)","Check against source")))))))))))))))))))))))))))))</f>
        <v/>
      </c>
      <c r="O325" s="37" t="n"/>
      <c r="P325" s="37" t="n"/>
      <c r="Q325" s="14">
        <f>IF(A325="","",IF(E325&lt;&gt;"Decision","",IF(P325="UC-ID specific",IF(O325="","UC-ID REQUIRED","Check source decision for each UC-ID"),IF(P325="Shared system baseline",IF(O325&lt;&gt;"","REMOVE UC-ID OR CORRECT SCOPE","Baseline only — NOT UC approval"),"Decision scope missing"))))</f>
        <v/>
      </c>
      <c r="R325" s="43" t="n"/>
      <c r="S325" s="40" t="n"/>
      <c r="T325" s="40" t="n"/>
      <c r="U325" s="40" t="n"/>
      <c r="V325" s="40" t="n"/>
      <c r="W325" s="41" t="n"/>
      <c r="X325" s="38" t="n"/>
    </row>
    <row r="326">
      <c r="A326" s="38" t="n"/>
      <c r="B326" s="38" t="n"/>
      <c r="C326" s="38" t="n"/>
      <c r="D326" s="38" t="n"/>
      <c r="E326" s="38" t="n"/>
      <c r="F326" s="39" t="n"/>
      <c r="G326" s="38" t="n"/>
      <c r="H326" s="38" t="n"/>
      <c r="I326" s="38" t="n"/>
      <c r="J326" s="38" t="n"/>
      <c r="K326" s="38" t="n"/>
      <c r="L326" s="38" t="n"/>
      <c r="M326" s="38" t="n"/>
      <c r="N326" s="22">
        <f>IF(COUNTA(A326:M326,O326:P326,R326:X326)=0,"",IF(OR(A326="",B326="",F326=""),"Event ID, AIR-ID or date missing",IF(COUNTIF($A$4:$A$553,A326)&gt;1,"Duplicate Event ID",IF(E326="","Event type missing",IF(OR(NOT(ISNUMBER(F326)),F326&gt;TODAY()),"Date is not a real date or is in the future",IF(AND(C326&lt;&gt;"",COUNTIF('Gate plan'!$A$4:$A$353,C326)=0),"Plan ID not found in Gate plan",IF(AND(C326&lt;&gt;"",COUNTIFS('Gate plan'!$A$4:$A$353,C326,'Gate plan'!$B$4:$B$353,B326)=0),"Plan AIR-ID differs from event",IF(D326="","Gate / forum missing",IF(AND(E326="Precautionary pause (containment)",G326&lt;&gt;"Paused — pending decision"),"Precautionary pause: Outcome must be Paused, pending decision",IF(AND(E326="Precautionary pause (containment)",V326=""),"Precautionary pause: AIG-OPS-03 incident ref missing",IF(AND(E326="Precautionary pause (containment)",NOT(ISNUMBER(W326))),"Precautionary pause: follow-up decision due date missing",IF(AND(G326="Paused — pending decision",E326&lt;&gt;"Precautionary pause (containment)"),"Paused, pending decision is only for a Precautionary pause event",IF(AND(E326="Decision",OR(G326="",H326="",I326="")),"Outcome / delegation / decision ref missing",IF(AND(E326="Decision",NOT(OR(G326="Progress",G326="Progress with condition",G326="Return for evidence",G326="Pause",G326="Stop",G326="Suspend",G326="Decommission",G326="Re-authorise",G326="Resume"))),"Decision event needs a decision outcome",IF(AND(E326="Priority override",OR(H326="",I326="")),"Decision-maker / AIG-DEC-03 ref missing",IF(AND(E326="Priority override",G326&lt;&gt;"",G326&lt;&gt;"No decision"),"Priority override: Outcome blank or No decision",IF(AND(E326&lt;&gt;"Decision",OR(G326="Progress",G326="Progress with condition",G326="Return for evidence",G326="Pause",G326="Stop",G326="Suspend",G326="Decommission",G326="Re-authorise",G326="Resume")),"Outcome implies decision",IF(OR(ISNUMBER(SEARCH(",",O326)),ISNUMBER(SEARCH(";",O326))),"One UC-ID per event row — split this event",IF(AND(E326="Decision",OR(Q326="UC-ID REQUIRED",Q326="Decision scope missing",Q326="REMOVE UC-ID OR CORRECT SCOPE")),"Decision scope missing",IF(AND(G326="Progress with condition",COUNTIF(Conditions!$B$4:$B$553,A326)=0),"Progress with condition needs at least one Conditions row",IF(AND(C326&lt;&gt;"",COUNTIFS('Gate plan'!$A$4:$A$353,C326,'Gate plan'!$C$4:$C$353,D326)=0),"Plan gate differs from event gate",IF(AND(C326&lt;&gt;"",O326&lt;&gt;"",COUNTIFS('Gate plan'!$A$4:$A$353,C326,'Gate plan'!$K$4:$K$353,"&lt;&gt;")&gt;0,COUNTIFS('Gate plan'!$A$4:$A$353,C326,'Gate plan'!$K$4:$K$353,O326)=0),"Plan UC-ID differs from event UC-ID",IF(AND(E326="Assurance opinion",J326=""),"Assurance opinion ref missing",IF(AND(G326="Opinion only",E326&lt;&gt;"Assurance opinion",E326&lt;&gt;"Review only"),"Opinion only is for Assurance opinion or Review only events",IF(AND(G326="No decision",E326&lt;&gt;"Review only",E326&lt;&gt;"Priority override",E326&lt;&gt;"Intake / registration"),"No decision is for Review only, Priority override or Intake / registration events",IF(OR(ISNUMBER(SEARCH(" ",TRIM(O326))),ISNUMBER(SEARCH("/",O326))),"One UC-ID per event row: split this event",IF(AND(E326="Precautionary pause (containment)",ISNUMBER(W326),ISNUMBER(F326),W326&lt;F326),"Follow-up decision due date is before the pause",IF(AND(G326="Resume",IFERROR(LOOKUP(2,1/(($B$3:B325=B326)*($O$3:O325=O326)),$G$3:G325),"")&lt;&gt;"Paused — pending decision"),"Resume is only for the event straight after a Precautionary pause on the same AIR-ID and UC-ID (in an earlier row)",IF(AND(E326="Decision",OR(G326="Progress",G326="Progress with condition",G326="Re-authorise",G326="Resume"),X326&lt;&gt;"Yes"),"Decision-maker has not confirmed the screening was considered (column X)","Check against source")))))))))))))))))))))))))))))</f>
        <v/>
      </c>
      <c r="O326" s="37" t="n"/>
      <c r="P326" s="37" t="n"/>
      <c r="Q326" s="14">
        <f>IF(A326="","",IF(E326&lt;&gt;"Decision","",IF(P326="UC-ID specific",IF(O326="","UC-ID REQUIRED","Check source decision for each UC-ID"),IF(P326="Shared system baseline",IF(O326&lt;&gt;"","REMOVE UC-ID OR CORRECT SCOPE","Baseline only — NOT UC approval"),"Decision scope missing"))))</f>
        <v/>
      </c>
      <c r="R326" s="42" t="n"/>
      <c r="S326" s="38" t="n"/>
      <c r="T326" s="38" t="n"/>
      <c r="U326" s="38" t="n"/>
      <c r="V326" s="38" t="n"/>
      <c r="W326" s="39" t="n"/>
      <c r="X326" s="38" t="n"/>
    </row>
    <row r="327">
      <c r="A327" s="40" t="n"/>
      <c r="B327" s="40" t="n"/>
      <c r="C327" s="40" t="n"/>
      <c r="D327" s="40" t="n"/>
      <c r="E327" s="40" t="n"/>
      <c r="F327" s="41" t="n"/>
      <c r="G327" s="40" t="n"/>
      <c r="H327" s="40" t="n"/>
      <c r="I327" s="40" t="n"/>
      <c r="J327" s="40" t="n"/>
      <c r="K327" s="40" t="n"/>
      <c r="L327" s="40" t="n"/>
      <c r="M327" s="40" t="n"/>
      <c r="N327" s="24">
        <f>IF(COUNTA(A327:M327,O327:P327,R327:X327)=0,"",IF(OR(A327="",B327="",F327=""),"Event ID, AIR-ID or date missing",IF(COUNTIF($A$4:$A$553,A327)&gt;1,"Duplicate Event ID",IF(E327="","Event type missing",IF(OR(NOT(ISNUMBER(F327)),F327&gt;TODAY()),"Date is not a real date or is in the future",IF(AND(C327&lt;&gt;"",COUNTIF('Gate plan'!$A$4:$A$353,C327)=0),"Plan ID not found in Gate plan",IF(AND(C327&lt;&gt;"",COUNTIFS('Gate plan'!$A$4:$A$353,C327,'Gate plan'!$B$4:$B$353,B327)=0),"Plan AIR-ID differs from event",IF(D327="","Gate / forum missing",IF(AND(E327="Precautionary pause (containment)",G327&lt;&gt;"Paused — pending decision"),"Precautionary pause: Outcome must be Paused, pending decision",IF(AND(E327="Precautionary pause (containment)",V327=""),"Precautionary pause: AIG-OPS-03 incident ref missing",IF(AND(E327="Precautionary pause (containment)",NOT(ISNUMBER(W327))),"Precautionary pause: follow-up decision due date missing",IF(AND(G327="Paused — pending decision",E327&lt;&gt;"Precautionary pause (containment)"),"Paused, pending decision is only for a Precautionary pause event",IF(AND(E327="Decision",OR(G327="",H327="",I327="")),"Outcome / delegation / decision ref missing",IF(AND(E327="Decision",NOT(OR(G327="Progress",G327="Progress with condition",G327="Return for evidence",G327="Pause",G327="Stop",G327="Suspend",G327="Decommission",G327="Re-authorise",G327="Resume"))),"Decision event needs a decision outcome",IF(AND(E327="Priority override",OR(H327="",I327="")),"Decision-maker / AIG-DEC-03 ref missing",IF(AND(E327="Priority override",G327&lt;&gt;"",G327&lt;&gt;"No decision"),"Priority override: Outcome blank or No decision",IF(AND(E327&lt;&gt;"Decision",OR(G327="Progress",G327="Progress with condition",G327="Return for evidence",G327="Pause",G327="Stop",G327="Suspend",G327="Decommission",G327="Re-authorise",G327="Resume")),"Outcome implies decision",IF(OR(ISNUMBER(SEARCH(",",O327)),ISNUMBER(SEARCH(";",O327))),"One UC-ID per event row — split this event",IF(AND(E327="Decision",OR(Q327="UC-ID REQUIRED",Q327="Decision scope missing",Q327="REMOVE UC-ID OR CORRECT SCOPE")),"Decision scope missing",IF(AND(G327="Progress with condition",COUNTIF(Conditions!$B$4:$B$553,A327)=0),"Progress with condition needs at least one Conditions row",IF(AND(C327&lt;&gt;"",COUNTIFS('Gate plan'!$A$4:$A$353,C327,'Gate plan'!$C$4:$C$353,D327)=0),"Plan gate differs from event gate",IF(AND(C327&lt;&gt;"",O327&lt;&gt;"",COUNTIFS('Gate plan'!$A$4:$A$353,C327,'Gate plan'!$K$4:$K$353,"&lt;&gt;")&gt;0,COUNTIFS('Gate plan'!$A$4:$A$353,C327,'Gate plan'!$K$4:$K$353,O327)=0),"Plan UC-ID differs from event UC-ID",IF(AND(E327="Assurance opinion",J327=""),"Assurance opinion ref missing",IF(AND(G327="Opinion only",E327&lt;&gt;"Assurance opinion",E327&lt;&gt;"Review only"),"Opinion only is for Assurance opinion or Review only events",IF(AND(G327="No decision",E327&lt;&gt;"Review only",E327&lt;&gt;"Priority override",E327&lt;&gt;"Intake / registration"),"No decision is for Review only, Priority override or Intake / registration events",IF(OR(ISNUMBER(SEARCH(" ",TRIM(O327))),ISNUMBER(SEARCH("/",O327))),"One UC-ID per event row: split this event",IF(AND(E327="Precautionary pause (containment)",ISNUMBER(W327),ISNUMBER(F327),W327&lt;F327),"Follow-up decision due date is before the pause",IF(AND(G327="Resume",IFERROR(LOOKUP(2,1/(($B$3:B326=B327)*($O$3:O326=O327)),$G$3:G326),"")&lt;&gt;"Paused — pending decision"),"Resume is only for the event straight after a Precautionary pause on the same AIR-ID and UC-ID (in an earlier row)",IF(AND(E327="Decision",OR(G327="Progress",G327="Progress with condition",G327="Re-authorise",G327="Resume"),X327&lt;&gt;"Yes"),"Decision-maker has not confirmed the screening was considered (column X)","Check against source")))))))))))))))))))))))))))))</f>
        <v/>
      </c>
      <c r="O327" s="37" t="n"/>
      <c r="P327" s="37" t="n"/>
      <c r="Q327" s="14">
        <f>IF(A327="","",IF(E327&lt;&gt;"Decision","",IF(P327="UC-ID specific",IF(O327="","UC-ID REQUIRED","Check source decision for each UC-ID"),IF(P327="Shared system baseline",IF(O327&lt;&gt;"","REMOVE UC-ID OR CORRECT SCOPE","Baseline only — NOT UC approval"),"Decision scope missing"))))</f>
        <v/>
      </c>
      <c r="R327" s="43" t="n"/>
      <c r="S327" s="40" t="n"/>
      <c r="T327" s="40" t="n"/>
      <c r="U327" s="40" t="n"/>
      <c r="V327" s="40" t="n"/>
      <c r="W327" s="41" t="n"/>
      <c r="X327" s="38" t="n"/>
    </row>
    <row r="328">
      <c r="A328" s="38" t="n"/>
      <c r="B328" s="38" t="n"/>
      <c r="C328" s="38" t="n"/>
      <c r="D328" s="38" t="n"/>
      <c r="E328" s="38" t="n"/>
      <c r="F328" s="39" t="n"/>
      <c r="G328" s="38" t="n"/>
      <c r="H328" s="38" t="n"/>
      <c r="I328" s="38" t="n"/>
      <c r="J328" s="38" t="n"/>
      <c r="K328" s="38" t="n"/>
      <c r="L328" s="38" t="n"/>
      <c r="M328" s="38" t="n"/>
      <c r="N328" s="22">
        <f>IF(COUNTA(A328:M328,O328:P328,R328:X328)=0,"",IF(OR(A328="",B328="",F328=""),"Event ID, AIR-ID or date missing",IF(COUNTIF($A$4:$A$553,A328)&gt;1,"Duplicate Event ID",IF(E328="","Event type missing",IF(OR(NOT(ISNUMBER(F328)),F328&gt;TODAY()),"Date is not a real date or is in the future",IF(AND(C328&lt;&gt;"",COUNTIF('Gate plan'!$A$4:$A$353,C328)=0),"Plan ID not found in Gate plan",IF(AND(C328&lt;&gt;"",COUNTIFS('Gate plan'!$A$4:$A$353,C328,'Gate plan'!$B$4:$B$353,B328)=0),"Plan AIR-ID differs from event",IF(D328="","Gate / forum missing",IF(AND(E328="Precautionary pause (containment)",G328&lt;&gt;"Paused — pending decision"),"Precautionary pause: Outcome must be Paused, pending decision",IF(AND(E328="Precautionary pause (containment)",V328=""),"Precautionary pause: AIG-OPS-03 incident ref missing",IF(AND(E328="Precautionary pause (containment)",NOT(ISNUMBER(W328))),"Precautionary pause: follow-up decision due date missing",IF(AND(G328="Paused — pending decision",E328&lt;&gt;"Precautionary pause (containment)"),"Paused, pending decision is only for a Precautionary pause event",IF(AND(E328="Decision",OR(G328="",H328="",I328="")),"Outcome / delegation / decision ref missing",IF(AND(E328="Decision",NOT(OR(G328="Progress",G328="Progress with condition",G328="Return for evidence",G328="Pause",G328="Stop",G328="Suspend",G328="Decommission",G328="Re-authorise",G328="Resume"))),"Decision event needs a decision outcome",IF(AND(E328="Priority override",OR(H328="",I328="")),"Decision-maker / AIG-DEC-03 ref missing",IF(AND(E328="Priority override",G328&lt;&gt;"",G328&lt;&gt;"No decision"),"Priority override: Outcome blank or No decision",IF(AND(E328&lt;&gt;"Decision",OR(G328="Progress",G328="Progress with condition",G328="Return for evidence",G328="Pause",G328="Stop",G328="Suspend",G328="Decommission",G328="Re-authorise",G328="Resume")),"Outcome implies decision",IF(OR(ISNUMBER(SEARCH(",",O328)),ISNUMBER(SEARCH(";",O328))),"One UC-ID per event row — split this event",IF(AND(E328="Decision",OR(Q328="UC-ID REQUIRED",Q328="Decision scope missing",Q328="REMOVE UC-ID OR CORRECT SCOPE")),"Decision scope missing",IF(AND(G328="Progress with condition",COUNTIF(Conditions!$B$4:$B$553,A328)=0),"Progress with condition needs at least one Conditions row",IF(AND(C328&lt;&gt;"",COUNTIFS('Gate plan'!$A$4:$A$353,C328,'Gate plan'!$C$4:$C$353,D328)=0),"Plan gate differs from event gate",IF(AND(C328&lt;&gt;"",O328&lt;&gt;"",COUNTIFS('Gate plan'!$A$4:$A$353,C328,'Gate plan'!$K$4:$K$353,"&lt;&gt;")&gt;0,COUNTIFS('Gate plan'!$A$4:$A$353,C328,'Gate plan'!$K$4:$K$353,O328)=0),"Plan UC-ID differs from event UC-ID",IF(AND(E328="Assurance opinion",J328=""),"Assurance opinion ref missing",IF(AND(G328="Opinion only",E328&lt;&gt;"Assurance opinion",E328&lt;&gt;"Review only"),"Opinion only is for Assurance opinion or Review only events",IF(AND(G328="No decision",E328&lt;&gt;"Review only",E328&lt;&gt;"Priority override",E328&lt;&gt;"Intake / registration"),"No decision is for Review only, Priority override or Intake / registration events",IF(OR(ISNUMBER(SEARCH(" ",TRIM(O328))),ISNUMBER(SEARCH("/",O328))),"One UC-ID per event row: split this event",IF(AND(E328="Precautionary pause (containment)",ISNUMBER(W328),ISNUMBER(F328),W328&lt;F328),"Follow-up decision due date is before the pause",IF(AND(G328="Resume",IFERROR(LOOKUP(2,1/(($B$3:B327=B328)*($O$3:O327=O328)),$G$3:G327),"")&lt;&gt;"Paused — pending decision"),"Resume is only for the event straight after a Precautionary pause on the same AIR-ID and UC-ID (in an earlier row)",IF(AND(E328="Decision",OR(G328="Progress",G328="Progress with condition",G328="Re-authorise",G328="Resume"),X328&lt;&gt;"Yes"),"Decision-maker has not confirmed the screening was considered (column X)","Check against source")))))))))))))))))))))))))))))</f>
        <v/>
      </c>
      <c r="O328" s="37" t="n"/>
      <c r="P328" s="37" t="n"/>
      <c r="Q328" s="14">
        <f>IF(A328="","",IF(E328&lt;&gt;"Decision","",IF(P328="UC-ID specific",IF(O328="","UC-ID REQUIRED","Check source decision for each UC-ID"),IF(P328="Shared system baseline",IF(O328&lt;&gt;"","REMOVE UC-ID OR CORRECT SCOPE","Baseline only — NOT UC approval"),"Decision scope missing"))))</f>
        <v/>
      </c>
      <c r="R328" s="42" t="n"/>
      <c r="S328" s="38" t="n"/>
      <c r="T328" s="38" t="n"/>
      <c r="U328" s="38" t="n"/>
      <c r="V328" s="38" t="n"/>
      <c r="W328" s="39" t="n"/>
      <c r="X328" s="38" t="n"/>
    </row>
    <row r="329">
      <c r="A329" s="40" t="n"/>
      <c r="B329" s="40" t="n"/>
      <c r="C329" s="40" t="n"/>
      <c r="D329" s="40" t="n"/>
      <c r="E329" s="40" t="n"/>
      <c r="F329" s="41" t="n"/>
      <c r="G329" s="40" t="n"/>
      <c r="H329" s="40" t="n"/>
      <c r="I329" s="40" t="n"/>
      <c r="J329" s="40" t="n"/>
      <c r="K329" s="40" t="n"/>
      <c r="L329" s="40" t="n"/>
      <c r="M329" s="40" t="n"/>
      <c r="N329" s="24">
        <f>IF(COUNTA(A329:M329,O329:P329,R329:X329)=0,"",IF(OR(A329="",B329="",F329=""),"Event ID, AIR-ID or date missing",IF(COUNTIF($A$4:$A$553,A329)&gt;1,"Duplicate Event ID",IF(E329="","Event type missing",IF(OR(NOT(ISNUMBER(F329)),F329&gt;TODAY()),"Date is not a real date or is in the future",IF(AND(C329&lt;&gt;"",COUNTIF('Gate plan'!$A$4:$A$353,C329)=0),"Plan ID not found in Gate plan",IF(AND(C329&lt;&gt;"",COUNTIFS('Gate plan'!$A$4:$A$353,C329,'Gate plan'!$B$4:$B$353,B329)=0),"Plan AIR-ID differs from event",IF(D329="","Gate / forum missing",IF(AND(E329="Precautionary pause (containment)",G329&lt;&gt;"Paused — pending decision"),"Precautionary pause: Outcome must be Paused, pending decision",IF(AND(E329="Precautionary pause (containment)",V329=""),"Precautionary pause: AIG-OPS-03 incident ref missing",IF(AND(E329="Precautionary pause (containment)",NOT(ISNUMBER(W329))),"Precautionary pause: follow-up decision due date missing",IF(AND(G329="Paused — pending decision",E329&lt;&gt;"Precautionary pause (containment)"),"Paused, pending decision is only for a Precautionary pause event",IF(AND(E329="Decision",OR(G329="",H329="",I329="")),"Outcome / delegation / decision ref missing",IF(AND(E329="Decision",NOT(OR(G329="Progress",G329="Progress with condition",G329="Return for evidence",G329="Pause",G329="Stop",G329="Suspend",G329="Decommission",G329="Re-authorise",G329="Resume"))),"Decision event needs a decision outcome",IF(AND(E329="Priority override",OR(H329="",I329="")),"Decision-maker / AIG-DEC-03 ref missing",IF(AND(E329="Priority override",G329&lt;&gt;"",G329&lt;&gt;"No decision"),"Priority override: Outcome blank or No decision",IF(AND(E329&lt;&gt;"Decision",OR(G329="Progress",G329="Progress with condition",G329="Return for evidence",G329="Pause",G329="Stop",G329="Suspend",G329="Decommission",G329="Re-authorise",G329="Resume")),"Outcome implies decision",IF(OR(ISNUMBER(SEARCH(",",O329)),ISNUMBER(SEARCH(";",O329))),"One UC-ID per event row — split this event",IF(AND(E329="Decision",OR(Q329="UC-ID REQUIRED",Q329="Decision scope missing",Q329="REMOVE UC-ID OR CORRECT SCOPE")),"Decision scope missing",IF(AND(G329="Progress with condition",COUNTIF(Conditions!$B$4:$B$553,A329)=0),"Progress with condition needs at least one Conditions row",IF(AND(C329&lt;&gt;"",COUNTIFS('Gate plan'!$A$4:$A$353,C329,'Gate plan'!$C$4:$C$353,D329)=0),"Plan gate differs from event gate",IF(AND(C329&lt;&gt;"",O329&lt;&gt;"",COUNTIFS('Gate plan'!$A$4:$A$353,C329,'Gate plan'!$K$4:$K$353,"&lt;&gt;")&gt;0,COUNTIFS('Gate plan'!$A$4:$A$353,C329,'Gate plan'!$K$4:$K$353,O329)=0),"Plan UC-ID differs from event UC-ID",IF(AND(E329="Assurance opinion",J329=""),"Assurance opinion ref missing",IF(AND(G329="Opinion only",E329&lt;&gt;"Assurance opinion",E329&lt;&gt;"Review only"),"Opinion only is for Assurance opinion or Review only events",IF(AND(G329="No decision",E329&lt;&gt;"Review only",E329&lt;&gt;"Priority override",E329&lt;&gt;"Intake / registration"),"No decision is for Review only, Priority override or Intake / registration events",IF(OR(ISNUMBER(SEARCH(" ",TRIM(O329))),ISNUMBER(SEARCH("/",O329))),"One UC-ID per event row: split this event",IF(AND(E329="Precautionary pause (containment)",ISNUMBER(W329),ISNUMBER(F329),W329&lt;F329),"Follow-up decision due date is before the pause",IF(AND(G329="Resume",IFERROR(LOOKUP(2,1/(($B$3:B328=B329)*($O$3:O328=O329)),$G$3:G328),"")&lt;&gt;"Paused — pending decision"),"Resume is only for the event straight after a Precautionary pause on the same AIR-ID and UC-ID (in an earlier row)",IF(AND(E329="Decision",OR(G329="Progress",G329="Progress with condition",G329="Re-authorise",G329="Resume"),X329&lt;&gt;"Yes"),"Decision-maker has not confirmed the screening was considered (column X)","Check against source")))))))))))))))))))))))))))))</f>
        <v/>
      </c>
      <c r="O329" s="37" t="n"/>
      <c r="P329" s="37" t="n"/>
      <c r="Q329" s="14">
        <f>IF(A329="","",IF(E329&lt;&gt;"Decision","",IF(P329="UC-ID specific",IF(O329="","UC-ID REQUIRED","Check source decision for each UC-ID"),IF(P329="Shared system baseline",IF(O329&lt;&gt;"","REMOVE UC-ID OR CORRECT SCOPE","Baseline only — NOT UC approval"),"Decision scope missing"))))</f>
        <v/>
      </c>
      <c r="R329" s="43" t="n"/>
      <c r="S329" s="40" t="n"/>
      <c r="T329" s="40" t="n"/>
      <c r="U329" s="40" t="n"/>
      <c r="V329" s="40" t="n"/>
      <c r="W329" s="41" t="n"/>
      <c r="X329" s="38" t="n"/>
    </row>
    <row r="330">
      <c r="A330" s="38" t="n"/>
      <c r="B330" s="38" t="n"/>
      <c r="C330" s="38" t="n"/>
      <c r="D330" s="38" t="n"/>
      <c r="E330" s="38" t="n"/>
      <c r="F330" s="39" t="n"/>
      <c r="G330" s="38" t="n"/>
      <c r="H330" s="38" t="n"/>
      <c r="I330" s="38" t="n"/>
      <c r="J330" s="38" t="n"/>
      <c r="K330" s="38" t="n"/>
      <c r="L330" s="38" t="n"/>
      <c r="M330" s="38" t="n"/>
      <c r="N330" s="22">
        <f>IF(COUNTA(A330:M330,O330:P330,R330:X330)=0,"",IF(OR(A330="",B330="",F330=""),"Event ID, AIR-ID or date missing",IF(COUNTIF($A$4:$A$553,A330)&gt;1,"Duplicate Event ID",IF(E330="","Event type missing",IF(OR(NOT(ISNUMBER(F330)),F330&gt;TODAY()),"Date is not a real date or is in the future",IF(AND(C330&lt;&gt;"",COUNTIF('Gate plan'!$A$4:$A$353,C330)=0),"Plan ID not found in Gate plan",IF(AND(C330&lt;&gt;"",COUNTIFS('Gate plan'!$A$4:$A$353,C330,'Gate plan'!$B$4:$B$353,B330)=0),"Plan AIR-ID differs from event",IF(D330="","Gate / forum missing",IF(AND(E330="Precautionary pause (containment)",G330&lt;&gt;"Paused — pending decision"),"Precautionary pause: Outcome must be Paused, pending decision",IF(AND(E330="Precautionary pause (containment)",V330=""),"Precautionary pause: AIG-OPS-03 incident ref missing",IF(AND(E330="Precautionary pause (containment)",NOT(ISNUMBER(W330))),"Precautionary pause: follow-up decision due date missing",IF(AND(G330="Paused — pending decision",E330&lt;&gt;"Precautionary pause (containment)"),"Paused, pending decision is only for a Precautionary pause event",IF(AND(E330="Decision",OR(G330="",H330="",I330="")),"Outcome / delegation / decision ref missing",IF(AND(E330="Decision",NOT(OR(G330="Progress",G330="Progress with condition",G330="Return for evidence",G330="Pause",G330="Stop",G330="Suspend",G330="Decommission",G330="Re-authorise",G330="Resume"))),"Decision event needs a decision outcome",IF(AND(E330="Priority override",OR(H330="",I330="")),"Decision-maker / AIG-DEC-03 ref missing",IF(AND(E330="Priority override",G330&lt;&gt;"",G330&lt;&gt;"No decision"),"Priority override: Outcome blank or No decision",IF(AND(E330&lt;&gt;"Decision",OR(G330="Progress",G330="Progress with condition",G330="Return for evidence",G330="Pause",G330="Stop",G330="Suspend",G330="Decommission",G330="Re-authorise",G330="Resume")),"Outcome implies decision",IF(OR(ISNUMBER(SEARCH(",",O330)),ISNUMBER(SEARCH(";",O330))),"One UC-ID per event row — split this event",IF(AND(E330="Decision",OR(Q330="UC-ID REQUIRED",Q330="Decision scope missing",Q330="REMOVE UC-ID OR CORRECT SCOPE")),"Decision scope missing",IF(AND(G330="Progress with condition",COUNTIF(Conditions!$B$4:$B$553,A330)=0),"Progress with condition needs at least one Conditions row",IF(AND(C330&lt;&gt;"",COUNTIFS('Gate plan'!$A$4:$A$353,C330,'Gate plan'!$C$4:$C$353,D330)=0),"Plan gate differs from event gate",IF(AND(C330&lt;&gt;"",O330&lt;&gt;"",COUNTIFS('Gate plan'!$A$4:$A$353,C330,'Gate plan'!$K$4:$K$353,"&lt;&gt;")&gt;0,COUNTIFS('Gate plan'!$A$4:$A$353,C330,'Gate plan'!$K$4:$K$353,O330)=0),"Plan UC-ID differs from event UC-ID",IF(AND(E330="Assurance opinion",J330=""),"Assurance opinion ref missing",IF(AND(G330="Opinion only",E330&lt;&gt;"Assurance opinion",E330&lt;&gt;"Review only"),"Opinion only is for Assurance opinion or Review only events",IF(AND(G330="No decision",E330&lt;&gt;"Review only",E330&lt;&gt;"Priority override",E330&lt;&gt;"Intake / registration"),"No decision is for Review only, Priority override or Intake / registration events",IF(OR(ISNUMBER(SEARCH(" ",TRIM(O330))),ISNUMBER(SEARCH("/",O330))),"One UC-ID per event row: split this event",IF(AND(E330="Precautionary pause (containment)",ISNUMBER(W330),ISNUMBER(F330),W330&lt;F330),"Follow-up decision due date is before the pause",IF(AND(G330="Resume",IFERROR(LOOKUP(2,1/(($B$3:B329=B330)*($O$3:O329=O330)),$G$3:G329),"")&lt;&gt;"Paused — pending decision"),"Resume is only for the event straight after a Precautionary pause on the same AIR-ID and UC-ID (in an earlier row)",IF(AND(E330="Decision",OR(G330="Progress",G330="Progress with condition",G330="Re-authorise",G330="Resume"),X330&lt;&gt;"Yes"),"Decision-maker has not confirmed the screening was considered (column X)","Check against source")))))))))))))))))))))))))))))</f>
        <v/>
      </c>
      <c r="O330" s="37" t="n"/>
      <c r="P330" s="37" t="n"/>
      <c r="Q330" s="14">
        <f>IF(A330="","",IF(E330&lt;&gt;"Decision","",IF(P330="UC-ID specific",IF(O330="","UC-ID REQUIRED","Check source decision for each UC-ID"),IF(P330="Shared system baseline",IF(O330&lt;&gt;"","REMOVE UC-ID OR CORRECT SCOPE","Baseline only — NOT UC approval"),"Decision scope missing"))))</f>
        <v/>
      </c>
      <c r="R330" s="42" t="n"/>
      <c r="S330" s="38" t="n"/>
      <c r="T330" s="38" t="n"/>
      <c r="U330" s="38" t="n"/>
      <c r="V330" s="38" t="n"/>
      <c r="W330" s="39" t="n"/>
      <c r="X330" s="38" t="n"/>
    </row>
    <row r="331">
      <c r="A331" s="40" t="n"/>
      <c r="B331" s="40" t="n"/>
      <c r="C331" s="40" t="n"/>
      <c r="D331" s="40" t="n"/>
      <c r="E331" s="40" t="n"/>
      <c r="F331" s="41" t="n"/>
      <c r="G331" s="40" t="n"/>
      <c r="H331" s="40" t="n"/>
      <c r="I331" s="40" t="n"/>
      <c r="J331" s="40" t="n"/>
      <c r="K331" s="40" t="n"/>
      <c r="L331" s="40" t="n"/>
      <c r="M331" s="40" t="n"/>
      <c r="N331" s="24">
        <f>IF(COUNTA(A331:M331,O331:P331,R331:X331)=0,"",IF(OR(A331="",B331="",F331=""),"Event ID, AIR-ID or date missing",IF(COUNTIF($A$4:$A$553,A331)&gt;1,"Duplicate Event ID",IF(E331="","Event type missing",IF(OR(NOT(ISNUMBER(F331)),F331&gt;TODAY()),"Date is not a real date or is in the future",IF(AND(C331&lt;&gt;"",COUNTIF('Gate plan'!$A$4:$A$353,C331)=0),"Plan ID not found in Gate plan",IF(AND(C331&lt;&gt;"",COUNTIFS('Gate plan'!$A$4:$A$353,C331,'Gate plan'!$B$4:$B$353,B331)=0),"Plan AIR-ID differs from event",IF(D331="","Gate / forum missing",IF(AND(E331="Precautionary pause (containment)",G331&lt;&gt;"Paused — pending decision"),"Precautionary pause: Outcome must be Paused, pending decision",IF(AND(E331="Precautionary pause (containment)",V331=""),"Precautionary pause: AIG-OPS-03 incident ref missing",IF(AND(E331="Precautionary pause (containment)",NOT(ISNUMBER(W331))),"Precautionary pause: follow-up decision due date missing",IF(AND(G331="Paused — pending decision",E331&lt;&gt;"Precautionary pause (containment)"),"Paused, pending decision is only for a Precautionary pause event",IF(AND(E331="Decision",OR(G331="",H331="",I331="")),"Outcome / delegation / decision ref missing",IF(AND(E331="Decision",NOT(OR(G331="Progress",G331="Progress with condition",G331="Return for evidence",G331="Pause",G331="Stop",G331="Suspend",G331="Decommission",G331="Re-authorise",G331="Resume"))),"Decision event needs a decision outcome",IF(AND(E331="Priority override",OR(H331="",I331="")),"Decision-maker / AIG-DEC-03 ref missing",IF(AND(E331="Priority override",G331&lt;&gt;"",G331&lt;&gt;"No decision"),"Priority override: Outcome blank or No decision",IF(AND(E331&lt;&gt;"Decision",OR(G331="Progress",G331="Progress with condition",G331="Return for evidence",G331="Pause",G331="Stop",G331="Suspend",G331="Decommission",G331="Re-authorise",G331="Resume")),"Outcome implies decision",IF(OR(ISNUMBER(SEARCH(",",O331)),ISNUMBER(SEARCH(";",O331))),"One UC-ID per event row — split this event",IF(AND(E331="Decision",OR(Q331="UC-ID REQUIRED",Q331="Decision scope missing",Q331="REMOVE UC-ID OR CORRECT SCOPE")),"Decision scope missing",IF(AND(G331="Progress with condition",COUNTIF(Conditions!$B$4:$B$553,A331)=0),"Progress with condition needs at least one Conditions row",IF(AND(C331&lt;&gt;"",COUNTIFS('Gate plan'!$A$4:$A$353,C331,'Gate plan'!$C$4:$C$353,D331)=0),"Plan gate differs from event gate",IF(AND(C331&lt;&gt;"",O331&lt;&gt;"",COUNTIFS('Gate plan'!$A$4:$A$353,C331,'Gate plan'!$K$4:$K$353,"&lt;&gt;")&gt;0,COUNTIFS('Gate plan'!$A$4:$A$353,C331,'Gate plan'!$K$4:$K$353,O331)=0),"Plan UC-ID differs from event UC-ID",IF(AND(E331="Assurance opinion",J331=""),"Assurance opinion ref missing",IF(AND(G331="Opinion only",E331&lt;&gt;"Assurance opinion",E331&lt;&gt;"Review only"),"Opinion only is for Assurance opinion or Review only events",IF(AND(G331="No decision",E331&lt;&gt;"Review only",E331&lt;&gt;"Priority override",E331&lt;&gt;"Intake / registration"),"No decision is for Review only, Priority override or Intake / registration events",IF(OR(ISNUMBER(SEARCH(" ",TRIM(O331))),ISNUMBER(SEARCH("/",O331))),"One UC-ID per event row: split this event",IF(AND(E331="Precautionary pause (containment)",ISNUMBER(W331),ISNUMBER(F331),W331&lt;F331),"Follow-up decision due date is before the pause",IF(AND(G331="Resume",IFERROR(LOOKUP(2,1/(($B$3:B330=B331)*($O$3:O330=O331)),$G$3:G330),"")&lt;&gt;"Paused — pending decision"),"Resume is only for the event straight after a Precautionary pause on the same AIR-ID and UC-ID (in an earlier row)",IF(AND(E331="Decision",OR(G331="Progress",G331="Progress with condition",G331="Re-authorise",G331="Resume"),X331&lt;&gt;"Yes"),"Decision-maker has not confirmed the screening was considered (column X)","Check against source")))))))))))))))))))))))))))))</f>
        <v/>
      </c>
      <c r="O331" s="37" t="n"/>
      <c r="P331" s="37" t="n"/>
      <c r="Q331" s="14">
        <f>IF(A331="","",IF(E331&lt;&gt;"Decision","",IF(P331="UC-ID specific",IF(O331="","UC-ID REQUIRED","Check source decision for each UC-ID"),IF(P331="Shared system baseline",IF(O331&lt;&gt;"","REMOVE UC-ID OR CORRECT SCOPE","Baseline only — NOT UC approval"),"Decision scope missing"))))</f>
        <v/>
      </c>
      <c r="R331" s="43" t="n"/>
      <c r="S331" s="40" t="n"/>
      <c r="T331" s="40" t="n"/>
      <c r="U331" s="40" t="n"/>
      <c r="V331" s="40" t="n"/>
      <c r="W331" s="41" t="n"/>
      <c r="X331" s="38" t="n"/>
    </row>
    <row r="332">
      <c r="A332" s="38" t="n"/>
      <c r="B332" s="38" t="n"/>
      <c r="C332" s="38" t="n"/>
      <c r="D332" s="38" t="n"/>
      <c r="E332" s="38" t="n"/>
      <c r="F332" s="39" t="n"/>
      <c r="G332" s="38" t="n"/>
      <c r="H332" s="38" t="n"/>
      <c r="I332" s="38" t="n"/>
      <c r="J332" s="38" t="n"/>
      <c r="K332" s="38" t="n"/>
      <c r="L332" s="38" t="n"/>
      <c r="M332" s="38" t="n"/>
      <c r="N332" s="22">
        <f>IF(COUNTA(A332:M332,O332:P332,R332:X332)=0,"",IF(OR(A332="",B332="",F332=""),"Event ID, AIR-ID or date missing",IF(COUNTIF($A$4:$A$553,A332)&gt;1,"Duplicate Event ID",IF(E332="","Event type missing",IF(OR(NOT(ISNUMBER(F332)),F332&gt;TODAY()),"Date is not a real date or is in the future",IF(AND(C332&lt;&gt;"",COUNTIF('Gate plan'!$A$4:$A$353,C332)=0),"Plan ID not found in Gate plan",IF(AND(C332&lt;&gt;"",COUNTIFS('Gate plan'!$A$4:$A$353,C332,'Gate plan'!$B$4:$B$353,B332)=0),"Plan AIR-ID differs from event",IF(D332="","Gate / forum missing",IF(AND(E332="Precautionary pause (containment)",G332&lt;&gt;"Paused — pending decision"),"Precautionary pause: Outcome must be Paused, pending decision",IF(AND(E332="Precautionary pause (containment)",V332=""),"Precautionary pause: AIG-OPS-03 incident ref missing",IF(AND(E332="Precautionary pause (containment)",NOT(ISNUMBER(W332))),"Precautionary pause: follow-up decision due date missing",IF(AND(G332="Paused — pending decision",E332&lt;&gt;"Precautionary pause (containment)"),"Paused, pending decision is only for a Precautionary pause event",IF(AND(E332="Decision",OR(G332="",H332="",I332="")),"Outcome / delegation / decision ref missing",IF(AND(E332="Decision",NOT(OR(G332="Progress",G332="Progress with condition",G332="Return for evidence",G332="Pause",G332="Stop",G332="Suspend",G332="Decommission",G332="Re-authorise",G332="Resume"))),"Decision event needs a decision outcome",IF(AND(E332="Priority override",OR(H332="",I332="")),"Decision-maker / AIG-DEC-03 ref missing",IF(AND(E332="Priority override",G332&lt;&gt;"",G332&lt;&gt;"No decision"),"Priority override: Outcome blank or No decision",IF(AND(E332&lt;&gt;"Decision",OR(G332="Progress",G332="Progress with condition",G332="Return for evidence",G332="Pause",G332="Stop",G332="Suspend",G332="Decommission",G332="Re-authorise",G332="Resume")),"Outcome implies decision",IF(OR(ISNUMBER(SEARCH(",",O332)),ISNUMBER(SEARCH(";",O332))),"One UC-ID per event row — split this event",IF(AND(E332="Decision",OR(Q332="UC-ID REQUIRED",Q332="Decision scope missing",Q332="REMOVE UC-ID OR CORRECT SCOPE")),"Decision scope missing",IF(AND(G332="Progress with condition",COUNTIF(Conditions!$B$4:$B$553,A332)=0),"Progress with condition needs at least one Conditions row",IF(AND(C332&lt;&gt;"",COUNTIFS('Gate plan'!$A$4:$A$353,C332,'Gate plan'!$C$4:$C$353,D332)=0),"Plan gate differs from event gate",IF(AND(C332&lt;&gt;"",O332&lt;&gt;"",COUNTIFS('Gate plan'!$A$4:$A$353,C332,'Gate plan'!$K$4:$K$353,"&lt;&gt;")&gt;0,COUNTIFS('Gate plan'!$A$4:$A$353,C332,'Gate plan'!$K$4:$K$353,O332)=0),"Plan UC-ID differs from event UC-ID",IF(AND(E332="Assurance opinion",J332=""),"Assurance opinion ref missing",IF(AND(G332="Opinion only",E332&lt;&gt;"Assurance opinion",E332&lt;&gt;"Review only"),"Opinion only is for Assurance opinion or Review only events",IF(AND(G332="No decision",E332&lt;&gt;"Review only",E332&lt;&gt;"Priority override",E332&lt;&gt;"Intake / registration"),"No decision is for Review only, Priority override or Intake / registration events",IF(OR(ISNUMBER(SEARCH(" ",TRIM(O332))),ISNUMBER(SEARCH("/",O332))),"One UC-ID per event row: split this event",IF(AND(E332="Precautionary pause (containment)",ISNUMBER(W332),ISNUMBER(F332),W332&lt;F332),"Follow-up decision due date is before the pause",IF(AND(G332="Resume",IFERROR(LOOKUP(2,1/(($B$3:B331=B332)*($O$3:O331=O332)),$G$3:G331),"")&lt;&gt;"Paused — pending decision"),"Resume is only for the event straight after a Precautionary pause on the same AIR-ID and UC-ID (in an earlier row)",IF(AND(E332="Decision",OR(G332="Progress",G332="Progress with condition",G332="Re-authorise",G332="Resume"),X332&lt;&gt;"Yes"),"Decision-maker has not confirmed the screening was considered (column X)","Check against source")))))))))))))))))))))))))))))</f>
        <v/>
      </c>
      <c r="O332" s="37" t="n"/>
      <c r="P332" s="37" t="n"/>
      <c r="Q332" s="14">
        <f>IF(A332="","",IF(E332&lt;&gt;"Decision","",IF(P332="UC-ID specific",IF(O332="","UC-ID REQUIRED","Check source decision for each UC-ID"),IF(P332="Shared system baseline",IF(O332&lt;&gt;"","REMOVE UC-ID OR CORRECT SCOPE","Baseline only — NOT UC approval"),"Decision scope missing"))))</f>
        <v/>
      </c>
      <c r="R332" s="42" t="n"/>
      <c r="S332" s="38" t="n"/>
      <c r="T332" s="38" t="n"/>
      <c r="U332" s="38" t="n"/>
      <c r="V332" s="38" t="n"/>
      <c r="W332" s="39" t="n"/>
      <c r="X332" s="38" t="n"/>
    </row>
    <row r="333">
      <c r="A333" s="40" t="n"/>
      <c r="B333" s="40" t="n"/>
      <c r="C333" s="40" t="n"/>
      <c r="D333" s="40" t="n"/>
      <c r="E333" s="40" t="n"/>
      <c r="F333" s="41" t="n"/>
      <c r="G333" s="40" t="n"/>
      <c r="H333" s="40" t="n"/>
      <c r="I333" s="40" t="n"/>
      <c r="J333" s="40" t="n"/>
      <c r="K333" s="40" t="n"/>
      <c r="L333" s="40" t="n"/>
      <c r="M333" s="40" t="n"/>
      <c r="N333" s="24">
        <f>IF(COUNTA(A333:M333,O333:P333,R333:X333)=0,"",IF(OR(A333="",B333="",F333=""),"Event ID, AIR-ID or date missing",IF(COUNTIF($A$4:$A$553,A333)&gt;1,"Duplicate Event ID",IF(E333="","Event type missing",IF(OR(NOT(ISNUMBER(F333)),F333&gt;TODAY()),"Date is not a real date or is in the future",IF(AND(C333&lt;&gt;"",COUNTIF('Gate plan'!$A$4:$A$353,C333)=0),"Plan ID not found in Gate plan",IF(AND(C333&lt;&gt;"",COUNTIFS('Gate plan'!$A$4:$A$353,C333,'Gate plan'!$B$4:$B$353,B333)=0),"Plan AIR-ID differs from event",IF(D333="","Gate / forum missing",IF(AND(E333="Precautionary pause (containment)",G333&lt;&gt;"Paused — pending decision"),"Precautionary pause: Outcome must be Paused, pending decision",IF(AND(E333="Precautionary pause (containment)",V333=""),"Precautionary pause: AIG-OPS-03 incident ref missing",IF(AND(E333="Precautionary pause (containment)",NOT(ISNUMBER(W333))),"Precautionary pause: follow-up decision due date missing",IF(AND(G333="Paused — pending decision",E333&lt;&gt;"Precautionary pause (containment)"),"Paused, pending decision is only for a Precautionary pause event",IF(AND(E333="Decision",OR(G333="",H333="",I333="")),"Outcome / delegation / decision ref missing",IF(AND(E333="Decision",NOT(OR(G333="Progress",G333="Progress with condition",G333="Return for evidence",G333="Pause",G333="Stop",G333="Suspend",G333="Decommission",G333="Re-authorise",G333="Resume"))),"Decision event needs a decision outcome",IF(AND(E333="Priority override",OR(H333="",I333="")),"Decision-maker / AIG-DEC-03 ref missing",IF(AND(E333="Priority override",G333&lt;&gt;"",G333&lt;&gt;"No decision"),"Priority override: Outcome blank or No decision",IF(AND(E333&lt;&gt;"Decision",OR(G333="Progress",G333="Progress with condition",G333="Return for evidence",G333="Pause",G333="Stop",G333="Suspend",G333="Decommission",G333="Re-authorise",G333="Resume")),"Outcome implies decision",IF(OR(ISNUMBER(SEARCH(",",O333)),ISNUMBER(SEARCH(";",O333))),"One UC-ID per event row — split this event",IF(AND(E333="Decision",OR(Q333="UC-ID REQUIRED",Q333="Decision scope missing",Q333="REMOVE UC-ID OR CORRECT SCOPE")),"Decision scope missing",IF(AND(G333="Progress with condition",COUNTIF(Conditions!$B$4:$B$553,A333)=0),"Progress with condition needs at least one Conditions row",IF(AND(C333&lt;&gt;"",COUNTIFS('Gate plan'!$A$4:$A$353,C333,'Gate plan'!$C$4:$C$353,D333)=0),"Plan gate differs from event gate",IF(AND(C333&lt;&gt;"",O333&lt;&gt;"",COUNTIFS('Gate plan'!$A$4:$A$353,C333,'Gate plan'!$K$4:$K$353,"&lt;&gt;")&gt;0,COUNTIFS('Gate plan'!$A$4:$A$353,C333,'Gate plan'!$K$4:$K$353,O333)=0),"Plan UC-ID differs from event UC-ID",IF(AND(E333="Assurance opinion",J333=""),"Assurance opinion ref missing",IF(AND(G333="Opinion only",E333&lt;&gt;"Assurance opinion",E333&lt;&gt;"Review only"),"Opinion only is for Assurance opinion or Review only events",IF(AND(G333="No decision",E333&lt;&gt;"Review only",E333&lt;&gt;"Priority override",E333&lt;&gt;"Intake / registration"),"No decision is for Review only, Priority override or Intake / registration events",IF(OR(ISNUMBER(SEARCH(" ",TRIM(O333))),ISNUMBER(SEARCH("/",O333))),"One UC-ID per event row: split this event",IF(AND(E333="Precautionary pause (containment)",ISNUMBER(W333),ISNUMBER(F333),W333&lt;F333),"Follow-up decision due date is before the pause",IF(AND(G333="Resume",IFERROR(LOOKUP(2,1/(($B$3:B332=B333)*($O$3:O332=O333)),$G$3:G332),"")&lt;&gt;"Paused — pending decision"),"Resume is only for the event straight after a Precautionary pause on the same AIR-ID and UC-ID (in an earlier row)",IF(AND(E333="Decision",OR(G333="Progress",G333="Progress with condition",G333="Re-authorise",G333="Resume"),X333&lt;&gt;"Yes"),"Decision-maker has not confirmed the screening was considered (column X)","Check against source")))))))))))))))))))))))))))))</f>
        <v/>
      </c>
      <c r="O333" s="37" t="n"/>
      <c r="P333" s="37" t="n"/>
      <c r="Q333" s="14">
        <f>IF(A333="","",IF(E333&lt;&gt;"Decision","",IF(P333="UC-ID specific",IF(O333="","UC-ID REQUIRED","Check source decision for each UC-ID"),IF(P333="Shared system baseline",IF(O333&lt;&gt;"","REMOVE UC-ID OR CORRECT SCOPE","Baseline only — NOT UC approval"),"Decision scope missing"))))</f>
        <v/>
      </c>
      <c r="R333" s="43" t="n"/>
      <c r="S333" s="40" t="n"/>
      <c r="T333" s="40" t="n"/>
      <c r="U333" s="40" t="n"/>
      <c r="V333" s="40" t="n"/>
      <c r="W333" s="41" t="n"/>
      <c r="X333" s="38" t="n"/>
    </row>
    <row r="334">
      <c r="A334" s="38" t="n"/>
      <c r="B334" s="38" t="n"/>
      <c r="C334" s="38" t="n"/>
      <c r="D334" s="38" t="n"/>
      <c r="E334" s="38" t="n"/>
      <c r="F334" s="39" t="n"/>
      <c r="G334" s="38" t="n"/>
      <c r="H334" s="38" t="n"/>
      <c r="I334" s="38" t="n"/>
      <c r="J334" s="38" t="n"/>
      <c r="K334" s="38" t="n"/>
      <c r="L334" s="38" t="n"/>
      <c r="M334" s="38" t="n"/>
      <c r="N334" s="22">
        <f>IF(COUNTA(A334:M334,O334:P334,R334:X334)=0,"",IF(OR(A334="",B334="",F334=""),"Event ID, AIR-ID or date missing",IF(COUNTIF($A$4:$A$553,A334)&gt;1,"Duplicate Event ID",IF(E334="","Event type missing",IF(OR(NOT(ISNUMBER(F334)),F334&gt;TODAY()),"Date is not a real date or is in the future",IF(AND(C334&lt;&gt;"",COUNTIF('Gate plan'!$A$4:$A$353,C334)=0),"Plan ID not found in Gate plan",IF(AND(C334&lt;&gt;"",COUNTIFS('Gate plan'!$A$4:$A$353,C334,'Gate plan'!$B$4:$B$353,B334)=0),"Plan AIR-ID differs from event",IF(D334="","Gate / forum missing",IF(AND(E334="Precautionary pause (containment)",G334&lt;&gt;"Paused — pending decision"),"Precautionary pause: Outcome must be Paused, pending decision",IF(AND(E334="Precautionary pause (containment)",V334=""),"Precautionary pause: AIG-OPS-03 incident ref missing",IF(AND(E334="Precautionary pause (containment)",NOT(ISNUMBER(W334))),"Precautionary pause: follow-up decision due date missing",IF(AND(G334="Paused — pending decision",E334&lt;&gt;"Precautionary pause (containment)"),"Paused, pending decision is only for a Precautionary pause event",IF(AND(E334="Decision",OR(G334="",H334="",I334="")),"Outcome / delegation / decision ref missing",IF(AND(E334="Decision",NOT(OR(G334="Progress",G334="Progress with condition",G334="Return for evidence",G334="Pause",G334="Stop",G334="Suspend",G334="Decommission",G334="Re-authorise",G334="Resume"))),"Decision event needs a decision outcome",IF(AND(E334="Priority override",OR(H334="",I334="")),"Decision-maker / AIG-DEC-03 ref missing",IF(AND(E334="Priority override",G334&lt;&gt;"",G334&lt;&gt;"No decision"),"Priority override: Outcome blank or No decision",IF(AND(E334&lt;&gt;"Decision",OR(G334="Progress",G334="Progress with condition",G334="Return for evidence",G334="Pause",G334="Stop",G334="Suspend",G334="Decommission",G334="Re-authorise",G334="Resume")),"Outcome implies decision",IF(OR(ISNUMBER(SEARCH(",",O334)),ISNUMBER(SEARCH(";",O334))),"One UC-ID per event row — split this event",IF(AND(E334="Decision",OR(Q334="UC-ID REQUIRED",Q334="Decision scope missing",Q334="REMOVE UC-ID OR CORRECT SCOPE")),"Decision scope missing",IF(AND(G334="Progress with condition",COUNTIF(Conditions!$B$4:$B$553,A334)=0),"Progress with condition needs at least one Conditions row",IF(AND(C334&lt;&gt;"",COUNTIFS('Gate plan'!$A$4:$A$353,C334,'Gate plan'!$C$4:$C$353,D334)=0),"Plan gate differs from event gate",IF(AND(C334&lt;&gt;"",O334&lt;&gt;"",COUNTIFS('Gate plan'!$A$4:$A$353,C334,'Gate plan'!$K$4:$K$353,"&lt;&gt;")&gt;0,COUNTIFS('Gate plan'!$A$4:$A$353,C334,'Gate plan'!$K$4:$K$353,O334)=0),"Plan UC-ID differs from event UC-ID",IF(AND(E334="Assurance opinion",J334=""),"Assurance opinion ref missing",IF(AND(G334="Opinion only",E334&lt;&gt;"Assurance opinion",E334&lt;&gt;"Review only"),"Opinion only is for Assurance opinion or Review only events",IF(AND(G334="No decision",E334&lt;&gt;"Review only",E334&lt;&gt;"Priority override",E334&lt;&gt;"Intake / registration"),"No decision is for Review only, Priority override or Intake / registration events",IF(OR(ISNUMBER(SEARCH(" ",TRIM(O334))),ISNUMBER(SEARCH("/",O334))),"One UC-ID per event row: split this event",IF(AND(E334="Precautionary pause (containment)",ISNUMBER(W334),ISNUMBER(F334),W334&lt;F334),"Follow-up decision due date is before the pause",IF(AND(G334="Resume",IFERROR(LOOKUP(2,1/(($B$3:B333=B334)*($O$3:O333=O334)),$G$3:G333),"")&lt;&gt;"Paused — pending decision"),"Resume is only for the event straight after a Precautionary pause on the same AIR-ID and UC-ID (in an earlier row)",IF(AND(E334="Decision",OR(G334="Progress",G334="Progress with condition",G334="Re-authorise",G334="Resume"),X334&lt;&gt;"Yes"),"Decision-maker has not confirmed the screening was considered (column X)","Check against source")))))))))))))))))))))))))))))</f>
        <v/>
      </c>
      <c r="O334" s="37" t="n"/>
      <c r="P334" s="37" t="n"/>
      <c r="Q334" s="14">
        <f>IF(A334="","",IF(E334&lt;&gt;"Decision","",IF(P334="UC-ID specific",IF(O334="","UC-ID REQUIRED","Check source decision for each UC-ID"),IF(P334="Shared system baseline",IF(O334&lt;&gt;"","REMOVE UC-ID OR CORRECT SCOPE","Baseline only — NOT UC approval"),"Decision scope missing"))))</f>
        <v/>
      </c>
      <c r="R334" s="42" t="n"/>
      <c r="S334" s="38" t="n"/>
      <c r="T334" s="38" t="n"/>
      <c r="U334" s="38" t="n"/>
      <c r="V334" s="38" t="n"/>
      <c r="W334" s="39" t="n"/>
      <c r="X334" s="38" t="n"/>
    </row>
    <row r="335">
      <c r="A335" s="40" t="n"/>
      <c r="B335" s="40" t="n"/>
      <c r="C335" s="40" t="n"/>
      <c r="D335" s="40" t="n"/>
      <c r="E335" s="40" t="n"/>
      <c r="F335" s="41" t="n"/>
      <c r="G335" s="40" t="n"/>
      <c r="H335" s="40" t="n"/>
      <c r="I335" s="40" t="n"/>
      <c r="J335" s="40" t="n"/>
      <c r="K335" s="40" t="n"/>
      <c r="L335" s="40" t="n"/>
      <c r="M335" s="40" t="n"/>
      <c r="N335" s="24">
        <f>IF(COUNTA(A335:M335,O335:P335,R335:X335)=0,"",IF(OR(A335="",B335="",F335=""),"Event ID, AIR-ID or date missing",IF(COUNTIF($A$4:$A$553,A335)&gt;1,"Duplicate Event ID",IF(E335="","Event type missing",IF(OR(NOT(ISNUMBER(F335)),F335&gt;TODAY()),"Date is not a real date or is in the future",IF(AND(C335&lt;&gt;"",COUNTIF('Gate plan'!$A$4:$A$353,C335)=0),"Plan ID not found in Gate plan",IF(AND(C335&lt;&gt;"",COUNTIFS('Gate plan'!$A$4:$A$353,C335,'Gate plan'!$B$4:$B$353,B335)=0),"Plan AIR-ID differs from event",IF(D335="","Gate / forum missing",IF(AND(E335="Precautionary pause (containment)",G335&lt;&gt;"Paused — pending decision"),"Precautionary pause: Outcome must be Paused, pending decision",IF(AND(E335="Precautionary pause (containment)",V335=""),"Precautionary pause: AIG-OPS-03 incident ref missing",IF(AND(E335="Precautionary pause (containment)",NOT(ISNUMBER(W335))),"Precautionary pause: follow-up decision due date missing",IF(AND(G335="Paused — pending decision",E335&lt;&gt;"Precautionary pause (containment)"),"Paused, pending decision is only for a Precautionary pause event",IF(AND(E335="Decision",OR(G335="",H335="",I335="")),"Outcome / delegation / decision ref missing",IF(AND(E335="Decision",NOT(OR(G335="Progress",G335="Progress with condition",G335="Return for evidence",G335="Pause",G335="Stop",G335="Suspend",G335="Decommission",G335="Re-authorise",G335="Resume"))),"Decision event needs a decision outcome",IF(AND(E335="Priority override",OR(H335="",I335="")),"Decision-maker / AIG-DEC-03 ref missing",IF(AND(E335="Priority override",G335&lt;&gt;"",G335&lt;&gt;"No decision"),"Priority override: Outcome blank or No decision",IF(AND(E335&lt;&gt;"Decision",OR(G335="Progress",G335="Progress with condition",G335="Return for evidence",G335="Pause",G335="Stop",G335="Suspend",G335="Decommission",G335="Re-authorise",G335="Resume")),"Outcome implies decision",IF(OR(ISNUMBER(SEARCH(",",O335)),ISNUMBER(SEARCH(";",O335))),"One UC-ID per event row — split this event",IF(AND(E335="Decision",OR(Q335="UC-ID REQUIRED",Q335="Decision scope missing",Q335="REMOVE UC-ID OR CORRECT SCOPE")),"Decision scope missing",IF(AND(G335="Progress with condition",COUNTIF(Conditions!$B$4:$B$553,A335)=0),"Progress with condition needs at least one Conditions row",IF(AND(C335&lt;&gt;"",COUNTIFS('Gate plan'!$A$4:$A$353,C335,'Gate plan'!$C$4:$C$353,D335)=0),"Plan gate differs from event gate",IF(AND(C335&lt;&gt;"",O335&lt;&gt;"",COUNTIFS('Gate plan'!$A$4:$A$353,C335,'Gate plan'!$K$4:$K$353,"&lt;&gt;")&gt;0,COUNTIFS('Gate plan'!$A$4:$A$353,C335,'Gate plan'!$K$4:$K$353,O335)=0),"Plan UC-ID differs from event UC-ID",IF(AND(E335="Assurance opinion",J335=""),"Assurance opinion ref missing",IF(AND(G335="Opinion only",E335&lt;&gt;"Assurance opinion",E335&lt;&gt;"Review only"),"Opinion only is for Assurance opinion or Review only events",IF(AND(G335="No decision",E335&lt;&gt;"Review only",E335&lt;&gt;"Priority override",E335&lt;&gt;"Intake / registration"),"No decision is for Review only, Priority override or Intake / registration events",IF(OR(ISNUMBER(SEARCH(" ",TRIM(O335))),ISNUMBER(SEARCH("/",O335))),"One UC-ID per event row: split this event",IF(AND(E335="Precautionary pause (containment)",ISNUMBER(W335),ISNUMBER(F335),W335&lt;F335),"Follow-up decision due date is before the pause",IF(AND(G335="Resume",IFERROR(LOOKUP(2,1/(($B$3:B334=B335)*($O$3:O334=O335)),$G$3:G334),"")&lt;&gt;"Paused — pending decision"),"Resume is only for the event straight after a Precautionary pause on the same AIR-ID and UC-ID (in an earlier row)",IF(AND(E335="Decision",OR(G335="Progress",G335="Progress with condition",G335="Re-authorise",G335="Resume"),X335&lt;&gt;"Yes"),"Decision-maker has not confirmed the screening was considered (column X)","Check against source")))))))))))))))))))))))))))))</f>
        <v/>
      </c>
      <c r="O335" s="37" t="n"/>
      <c r="P335" s="37" t="n"/>
      <c r="Q335" s="14">
        <f>IF(A335="","",IF(E335&lt;&gt;"Decision","",IF(P335="UC-ID specific",IF(O335="","UC-ID REQUIRED","Check source decision for each UC-ID"),IF(P335="Shared system baseline",IF(O335&lt;&gt;"","REMOVE UC-ID OR CORRECT SCOPE","Baseline only — NOT UC approval"),"Decision scope missing"))))</f>
        <v/>
      </c>
      <c r="R335" s="43" t="n"/>
      <c r="S335" s="40" t="n"/>
      <c r="T335" s="40" t="n"/>
      <c r="U335" s="40" t="n"/>
      <c r="V335" s="40" t="n"/>
      <c r="W335" s="41" t="n"/>
      <c r="X335" s="38" t="n"/>
    </row>
    <row r="336">
      <c r="A336" s="38" t="n"/>
      <c r="B336" s="38" t="n"/>
      <c r="C336" s="38" t="n"/>
      <c r="D336" s="38" t="n"/>
      <c r="E336" s="38" t="n"/>
      <c r="F336" s="39" t="n"/>
      <c r="G336" s="38" t="n"/>
      <c r="H336" s="38" t="n"/>
      <c r="I336" s="38" t="n"/>
      <c r="J336" s="38" t="n"/>
      <c r="K336" s="38" t="n"/>
      <c r="L336" s="38" t="n"/>
      <c r="M336" s="38" t="n"/>
      <c r="N336" s="22">
        <f>IF(COUNTA(A336:M336,O336:P336,R336:X336)=0,"",IF(OR(A336="",B336="",F336=""),"Event ID, AIR-ID or date missing",IF(COUNTIF($A$4:$A$553,A336)&gt;1,"Duplicate Event ID",IF(E336="","Event type missing",IF(OR(NOT(ISNUMBER(F336)),F336&gt;TODAY()),"Date is not a real date or is in the future",IF(AND(C336&lt;&gt;"",COUNTIF('Gate plan'!$A$4:$A$353,C336)=0),"Plan ID not found in Gate plan",IF(AND(C336&lt;&gt;"",COUNTIFS('Gate plan'!$A$4:$A$353,C336,'Gate plan'!$B$4:$B$353,B336)=0),"Plan AIR-ID differs from event",IF(D336="","Gate / forum missing",IF(AND(E336="Precautionary pause (containment)",G336&lt;&gt;"Paused — pending decision"),"Precautionary pause: Outcome must be Paused, pending decision",IF(AND(E336="Precautionary pause (containment)",V336=""),"Precautionary pause: AIG-OPS-03 incident ref missing",IF(AND(E336="Precautionary pause (containment)",NOT(ISNUMBER(W336))),"Precautionary pause: follow-up decision due date missing",IF(AND(G336="Paused — pending decision",E336&lt;&gt;"Precautionary pause (containment)"),"Paused, pending decision is only for a Precautionary pause event",IF(AND(E336="Decision",OR(G336="",H336="",I336="")),"Outcome / delegation / decision ref missing",IF(AND(E336="Decision",NOT(OR(G336="Progress",G336="Progress with condition",G336="Return for evidence",G336="Pause",G336="Stop",G336="Suspend",G336="Decommission",G336="Re-authorise",G336="Resume"))),"Decision event needs a decision outcome",IF(AND(E336="Priority override",OR(H336="",I336="")),"Decision-maker / AIG-DEC-03 ref missing",IF(AND(E336="Priority override",G336&lt;&gt;"",G336&lt;&gt;"No decision"),"Priority override: Outcome blank or No decision",IF(AND(E336&lt;&gt;"Decision",OR(G336="Progress",G336="Progress with condition",G336="Return for evidence",G336="Pause",G336="Stop",G336="Suspend",G336="Decommission",G336="Re-authorise",G336="Resume")),"Outcome implies decision",IF(OR(ISNUMBER(SEARCH(",",O336)),ISNUMBER(SEARCH(";",O336))),"One UC-ID per event row — split this event",IF(AND(E336="Decision",OR(Q336="UC-ID REQUIRED",Q336="Decision scope missing",Q336="REMOVE UC-ID OR CORRECT SCOPE")),"Decision scope missing",IF(AND(G336="Progress with condition",COUNTIF(Conditions!$B$4:$B$553,A336)=0),"Progress with condition needs at least one Conditions row",IF(AND(C336&lt;&gt;"",COUNTIFS('Gate plan'!$A$4:$A$353,C336,'Gate plan'!$C$4:$C$353,D336)=0),"Plan gate differs from event gate",IF(AND(C336&lt;&gt;"",O336&lt;&gt;"",COUNTIFS('Gate plan'!$A$4:$A$353,C336,'Gate plan'!$K$4:$K$353,"&lt;&gt;")&gt;0,COUNTIFS('Gate plan'!$A$4:$A$353,C336,'Gate plan'!$K$4:$K$353,O336)=0),"Plan UC-ID differs from event UC-ID",IF(AND(E336="Assurance opinion",J336=""),"Assurance opinion ref missing",IF(AND(G336="Opinion only",E336&lt;&gt;"Assurance opinion",E336&lt;&gt;"Review only"),"Opinion only is for Assurance opinion or Review only events",IF(AND(G336="No decision",E336&lt;&gt;"Review only",E336&lt;&gt;"Priority override",E336&lt;&gt;"Intake / registration"),"No decision is for Review only, Priority override or Intake / registration events",IF(OR(ISNUMBER(SEARCH(" ",TRIM(O336))),ISNUMBER(SEARCH("/",O336))),"One UC-ID per event row: split this event",IF(AND(E336="Precautionary pause (containment)",ISNUMBER(W336),ISNUMBER(F336),W336&lt;F336),"Follow-up decision due date is before the pause",IF(AND(G336="Resume",IFERROR(LOOKUP(2,1/(($B$3:B335=B336)*($O$3:O335=O336)),$G$3:G335),"")&lt;&gt;"Paused — pending decision"),"Resume is only for the event straight after a Precautionary pause on the same AIR-ID and UC-ID (in an earlier row)",IF(AND(E336="Decision",OR(G336="Progress",G336="Progress with condition",G336="Re-authorise",G336="Resume"),X336&lt;&gt;"Yes"),"Decision-maker has not confirmed the screening was considered (column X)","Check against source")))))))))))))))))))))))))))))</f>
        <v/>
      </c>
      <c r="O336" s="37" t="n"/>
      <c r="P336" s="37" t="n"/>
      <c r="Q336" s="14">
        <f>IF(A336="","",IF(E336&lt;&gt;"Decision","",IF(P336="UC-ID specific",IF(O336="","UC-ID REQUIRED","Check source decision for each UC-ID"),IF(P336="Shared system baseline",IF(O336&lt;&gt;"","REMOVE UC-ID OR CORRECT SCOPE","Baseline only — NOT UC approval"),"Decision scope missing"))))</f>
        <v/>
      </c>
      <c r="R336" s="42" t="n"/>
      <c r="S336" s="38" t="n"/>
      <c r="T336" s="38" t="n"/>
      <c r="U336" s="38" t="n"/>
      <c r="V336" s="38" t="n"/>
      <c r="W336" s="39" t="n"/>
      <c r="X336" s="38" t="n"/>
    </row>
    <row r="337">
      <c r="A337" s="40" t="n"/>
      <c r="B337" s="40" t="n"/>
      <c r="C337" s="40" t="n"/>
      <c r="D337" s="40" t="n"/>
      <c r="E337" s="40" t="n"/>
      <c r="F337" s="41" t="n"/>
      <c r="G337" s="40" t="n"/>
      <c r="H337" s="40" t="n"/>
      <c r="I337" s="40" t="n"/>
      <c r="J337" s="40" t="n"/>
      <c r="K337" s="40" t="n"/>
      <c r="L337" s="40" t="n"/>
      <c r="M337" s="40" t="n"/>
      <c r="N337" s="24">
        <f>IF(COUNTA(A337:M337,O337:P337,R337:X337)=0,"",IF(OR(A337="",B337="",F337=""),"Event ID, AIR-ID or date missing",IF(COUNTIF($A$4:$A$553,A337)&gt;1,"Duplicate Event ID",IF(E337="","Event type missing",IF(OR(NOT(ISNUMBER(F337)),F337&gt;TODAY()),"Date is not a real date or is in the future",IF(AND(C337&lt;&gt;"",COUNTIF('Gate plan'!$A$4:$A$353,C337)=0),"Plan ID not found in Gate plan",IF(AND(C337&lt;&gt;"",COUNTIFS('Gate plan'!$A$4:$A$353,C337,'Gate plan'!$B$4:$B$353,B337)=0),"Plan AIR-ID differs from event",IF(D337="","Gate / forum missing",IF(AND(E337="Precautionary pause (containment)",G337&lt;&gt;"Paused — pending decision"),"Precautionary pause: Outcome must be Paused, pending decision",IF(AND(E337="Precautionary pause (containment)",V337=""),"Precautionary pause: AIG-OPS-03 incident ref missing",IF(AND(E337="Precautionary pause (containment)",NOT(ISNUMBER(W337))),"Precautionary pause: follow-up decision due date missing",IF(AND(G337="Paused — pending decision",E337&lt;&gt;"Precautionary pause (containment)"),"Paused, pending decision is only for a Precautionary pause event",IF(AND(E337="Decision",OR(G337="",H337="",I337="")),"Outcome / delegation / decision ref missing",IF(AND(E337="Decision",NOT(OR(G337="Progress",G337="Progress with condition",G337="Return for evidence",G337="Pause",G337="Stop",G337="Suspend",G337="Decommission",G337="Re-authorise",G337="Resume"))),"Decision event needs a decision outcome",IF(AND(E337="Priority override",OR(H337="",I337="")),"Decision-maker / AIG-DEC-03 ref missing",IF(AND(E337="Priority override",G337&lt;&gt;"",G337&lt;&gt;"No decision"),"Priority override: Outcome blank or No decision",IF(AND(E337&lt;&gt;"Decision",OR(G337="Progress",G337="Progress with condition",G337="Return for evidence",G337="Pause",G337="Stop",G337="Suspend",G337="Decommission",G337="Re-authorise",G337="Resume")),"Outcome implies decision",IF(OR(ISNUMBER(SEARCH(",",O337)),ISNUMBER(SEARCH(";",O337))),"One UC-ID per event row — split this event",IF(AND(E337="Decision",OR(Q337="UC-ID REQUIRED",Q337="Decision scope missing",Q337="REMOVE UC-ID OR CORRECT SCOPE")),"Decision scope missing",IF(AND(G337="Progress with condition",COUNTIF(Conditions!$B$4:$B$553,A337)=0),"Progress with condition needs at least one Conditions row",IF(AND(C337&lt;&gt;"",COUNTIFS('Gate plan'!$A$4:$A$353,C337,'Gate plan'!$C$4:$C$353,D337)=0),"Plan gate differs from event gate",IF(AND(C337&lt;&gt;"",O337&lt;&gt;"",COUNTIFS('Gate plan'!$A$4:$A$353,C337,'Gate plan'!$K$4:$K$353,"&lt;&gt;")&gt;0,COUNTIFS('Gate plan'!$A$4:$A$353,C337,'Gate plan'!$K$4:$K$353,O337)=0),"Plan UC-ID differs from event UC-ID",IF(AND(E337="Assurance opinion",J337=""),"Assurance opinion ref missing",IF(AND(G337="Opinion only",E337&lt;&gt;"Assurance opinion",E337&lt;&gt;"Review only"),"Opinion only is for Assurance opinion or Review only events",IF(AND(G337="No decision",E337&lt;&gt;"Review only",E337&lt;&gt;"Priority override",E337&lt;&gt;"Intake / registration"),"No decision is for Review only, Priority override or Intake / registration events",IF(OR(ISNUMBER(SEARCH(" ",TRIM(O337))),ISNUMBER(SEARCH("/",O337))),"One UC-ID per event row: split this event",IF(AND(E337="Precautionary pause (containment)",ISNUMBER(W337),ISNUMBER(F337),W337&lt;F337),"Follow-up decision due date is before the pause",IF(AND(G337="Resume",IFERROR(LOOKUP(2,1/(($B$3:B336=B337)*($O$3:O336=O337)),$G$3:G336),"")&lt;&gt;"Paused — pending decision"),"Resume is only for the event straight after a Precautionary pause on the same AIR-ID and UC-ID (in an earlier row)",IF(AND(E337="Decision",OR(G337="Progress",G337="Progress with condition",G337="Re-authorise",G337="Resume"),X337&lt;&gt;"Yes"),"Decision-maker has not confirmed the screening was considered (column X)","Check against source")))))))))))))))))))))))))))))</f>
        <v/>
      </c>
      <c r="O337" s="37" t="n"/>
      <c r="P337" s="37" t="n"/>
      <c r="Q337" s="14">
        <f>IF(A337="","",IF(E337&lt;&gt;"Decision","",IF(P337="UC-ID specific",IF(O337="","UC-ID REQUIRED","Check source decision for each UC-ID"),IF(P337="Shared system baseline",IF(O337&lt;&gt;"","REMOVE UC-ID OR CORRECT SCOPE","Baseline only — NOT UC approval"),"Decision scope missing"))))</f>
        <v/>
      </c>
      <c r="R337" s="43" t="n"/>
      <c r="S337" s="40" t="n"/>
      <c r="T337" s="40" t="n"/>
      <c r="U337" s="40" t="n"/>
      <c r="V337" s="40" t="n"/>
      <c r="W337" s="41" t="n"/>
      <c r="X337" s="38" t="n"/>
    </row>
    <row r="338">
      <c r="A338" s="38" t="n"/>
      <c r="B338" s="38" t="n"/>
      <c r="C338" s="38" t="n"/>
      <c r="D338" s="38" t="n"/>
      <c r="E338" s="38" t="n"/>
      <c r="F338" s="39" t="n"/>
      <c r="G338" s="38" t="n"/>
      <c r="H338" s="38" t="n"/>
      <c r="I338" s="38" t="n"/>
      <c r="J338" s="38" t="n"/>
      <c r="K338" s="38" t="n"/>
      <c r="L338" s="38" t="n"/>
      <c r="M338" s="38" t="n"/>
      <c r="N338" s="22">
        <f>IF(COUNTA(A338:M338,O338:P338,R338:X338)=0,"",IF(OR(A338="",B338="",F338=""),"Event ID, AIR-ID or date missing",IF(COUNTIF($A$4:$A$553,A338)&gt;1,"Duplicate Event ID",IF(E338="","Event type missing",IF(OR(NOT(ISNUMBER(F338)),F338&gt;TODAY()),"Date is not a real date or is in the future",IF(AND(C338&lt;&gt;"",COUNTIF('Gate plan'!$A$4:$A$353,C338)=0),"Plan ID not found in Gate plan",IF(AND(C338&lt;&gt;"",COUNTIFS('Gate plan'!$A$4:$A$353,C338,'Gate plan'!$B$4:$B$353,B338)=0),"Plan AIR-ID differs from event",IF(D338="","Gate / forum missing",IF(AND(E338="Precautionary pause (containment)",G338&lt;&gt;"Paused — pending decision"),"Precautionary pause: Outcome must be Paused, pending decision",IF(AND(E338="Precautionary pause (containment)",V338=""),"Precautionary pause: AIG-OPS-03 incident ref missing",IF(AND(E338="Precautionary pause (containment)",NOT(ISNUMBER(W338))),"Precautionary pause: follow-up decision due date missing",IF(AND(G338="Paused — pending decision",E338&lt;&gt;"Precautionary pause (containment)"),"Paused, pending decision is only for a Precautionary pause event",IF(AND(E338="Decision",OR(G338="",H338="",I338="")),"Outcome / delegation / decision ref missing",IF(AND(E338="Decision",NOT(OR(G338="Progress",G338="Progress with condition",G338="Return for evidence",G338="Pause",G338="Stop",G338="Suspend",G338="Decommission",G338="Re-authorise",G338="Resume"))),"Decision event needs a decision outcome",IF(AND(E338="Priority override",OR(H338="",I338="")),"Decision-maker / AIG-DEC-03 ref missing",IF(AND(E338="Priority override",G338&lt;&gt;"",G338&lt;&gt;"No decision"),"Priority override: Outcome blank or No decision",IF(AND(E338&lt;&gt;"Decision",OR(G338="Progress",G338="Progress with condition",G338="Return for evidence",G338="Pause",G338="Stop",G338="Suspend",G338="Decommission",G338="Re-authorise",G338="Resume")),"Outcome implies decision",IF(OR(ISNUMBER(SEARCH(",",O338)),ISNUMBER(SEARCH(";",O338))),"One UC-ID per event row — split this event",IF(AND(E338="Decision",OR(Q338="UC-ID REQUIRED",Q338="Decision scope missing",Q338="REMOVE UC-ID OR CORRECT SCOPE")),"Decision scope missing",IF(AND(G338="Progress with condition",COUNTIF(Conditions!$B$4:$B$553,A338)=0),"Progress with condition needs at least one Conditions row",IF(AND(C338&lt;&gt;"",COUNTIFS('Gate plan'!$A$4:$A$353,C338,'Gate plan'!$C$4:$C$353,D338)=0),"Plan gate differs from event gate",IF(AND(C338&lt;&gt;"",O338&lt;&gt;"",COUNTIFS('Gate plan'!$A$4:$A$353,C338,'Gate plan'!$K$4:$K$353,"&lt;&gt;")&gt;0,COUNTIFS('Gate plan'!$A$4:$A$353,C338,'Gate plan'!$K$4:$K$353,O338)=0),"Plan UC-ID differs from event UC-ID",IF(AND(E338="Assurance opinion",J338=""),"Assurance opinion ref missing",IF(AND(G338="Opinion only",E338&lt;&gt;"Assurance opinion",E338&lt;&gt;"Review only"),"Opinion only is for Assurance opinion or Review only events",IF(AND(G338="No decision",E338&lt;&gt;"Review only",E338&lt;&gt;"Priority override",E338&lt;&gt;"Intake / registration"),"No decision is for Review only, Priority override or Intake / registration events",IF(OR(ISNUMBER(SEARCH(" ",TRIM(O338))),ISNUMBER(SEARCH("/",O338))),"One UC-ID per event row: split this event",IF(AND(E338="Precautionary pause (containment)",ISNUMBER(W338),ISNUMBER(F338),W338&lt;F338),"Follow-up decision due date is before the pause",IF(AND(G338="Resume",IFERROR(LOOKUP(2,1/(($B$3:B337=B338)*($O$3:O337=O338)),$G$3:G337),"")&lt;&gt;"Paused — pending decision"),"Resume is only for the event straight after a Precautionary pause on the same AIR-ID and UC-ID (in an earlier row)",IF(AND(E338="Decision",OR(G338="Progress",G338="Progress with condition",G338="Re-authorise",G338="Resume"),X338&lt;&gt;"Yes"),"Decision-maker has not confirmed the screening was considered (column X)","Check against source")))))))))))))))))))))))))))))</f>
        <v/>
      </c>
      <c r="O338" s="37" t="n"/>
      <c r="P338" s="37" t="n"/>
      <c r="Q338" s="14">
        <f>IF(A338="","",IF(E338&lt;&gt;"Decision","",IF(P338="UC-ID specific",IF(O338="","UC-ID REQUIRED","Check source decision for each UC-ID"),IF(P338="Shared system baseline",IF(O338&lt;&gt;"","REMOVE UC-ID OR CORRECT SCOPE","Baseline only — NOT UC approval"),"Decision scope missing"))))</f>
        <v/>
      </c>
      <c r="R338" s="42" t="n"/>
      <c r="S338" s="38" t="n"/>
      <c r="T338" s="38" t="n"/>
      <c r="U338" s="38" t="n"/>
      <c r="V338" s="38" t="n"/>
      <c r="W338" s="39" t="n"/>
      <c r="X338" s="38" t="n"/>
    </row>
    <row r="339">
      <c r="A339" s="40" t="n"/>
      <c r="B339" s="40" t="n"/>
      <c r="C339" s="40" t="n"/>
      <c r="D339" s="40" t="n"/>
      <c r="E339" s="40" t="n"/>
      <c r="F339" s="41" t="n"/>
      <c r="G339" s="40" t="n"/>
      <c r="H339" s="40" t="n"/>
      <c r="I339" s="40" t="n"/>
      <c r="J339" s="40" t="n"/>
      <c r="K339" s="40" t="n"/>
      <c r="L339" s="40" t="n"/>
      <c r="M339" s="40" t="n"/>
      <c r="N339" s="24">
        <f>IF(COUNTA(A339:M339,O339:P339,R339:X339)=0,"",IF(OR(A339="",B339="",F339=""),"Event ID, AIR-ID or date missing",IF(COUNTIF($A$4:$A$553,A339)&gt;1,"Duplicate Event ID",IF(E339="","Event type missing",IF(OR(NOT(ISNUMBER(F339)),F339&gt;TODAY()),"Date is not a real date or is in the future",IF(AND(C339&lt;&gt;"",COUNTIF('Gate plan'!$A$4:$A$353,C339)=0),"Plan ID not found in Gate plan",IF(AND(C339&lt;&gt;"",COUNTIFS('Gate plan'!$A$4:$A$353,C339,'Gate plan'!$B$4:$B$353,B339)=0),"Plan AIR-ID differs from event",IF(D339="","Gate / forum missing",IF(AND(E339="Precautionary pause (containment)",G339&lt;&gt;"Paused — pending decision"),"Precautionary pause: Outcome must be Paused, pending decision",IF(AND(E339="Precautionary pause (containment)",V339=""),"Precautionary pause: AIG-OPS-03 incident ref missing",IF(AND(E339="Precautionary pause (containment)",NOT(ISNUMBER(W339))),"Precautionary pause: follow-up decision due date missing",IF(AND(G339="Paused — pending decision",E339&lt;&gt;"Precautionary pause (containment)"),"Paused, pending decision is only for a Precautionary pause event",IF(AND(E339="Decision",OR(G339="",H339="",I339="")),"Outcome / delegation / decision ref missing",IF(AND(E339="Decision",NOT(OR(G339="Progress",G339="Progress with condition",G339="Return for evidence",G339="Pause",G339="Stop",G339="Suspend",G339="Decommission",G339="Re-authorise",G339="Resume"))),"Decision event needs a decision outcome",IF(AND(E339="Priority override",OR(H339="",I339="")),"Decision-maker / AIG-DEC-03 ref missing",IF(AND(E339="Priority override",G339&lt;&gt;"",G339&lt;&gt;"No decision"),"Priority override: Outcome blank or No decision",IF(AND(E339&lt;&gt;"Decision",OR(G339="Progress",G339="Progress with condition",G339="Return for evidence",G339="Pause",G339="Stop",G339="Suspend",G339="Decommission",G339="Re-authorise",G339="Resume")),"Outcome implies decision",IF(OR(ISNUMBER(SEARCH(",",O339)),ISNUMBER(SEARCH(";",O339))),"One UC-ID per event row — split this event",IF(AND(E339="Decision",OR(Q339="UC-ID REQUIRED",Q339="Decision scope missing",Q339="REMOVE UC-ID OR CORRECT SCOPE")),"Decision scope missing",IF(AND(G339="Progress with condition",COUNTIF(Conditions!$B$4:$B$553,A339)=0),"Progress with condition needs at least one Conditions row",IF(AND(C339&lt;&gt;"",COUNTIFS('Gate plan'!$A$4:$A$353,C339,'Gate plan'!$C$4:$C$353,D339)=0),"Plan gate differs from event gate",IF(AND(C339&lt;&gt;"",O339&lt;&gt;"",COUNTIFS('Gate plan'!$A$4:$A$353,C339,'Gate plan'!$K$4:$K$353,"&lt;&gt;")&gt;0,COUNTIFS('Gate plan'!$A$4:$A$353,C339,'Gate plan'!$K$4:$K$353,O339)=0),"Plan UC-ID differs from event UC-ID",IF(AND(E339="Assurance opinion",J339=""),"Assurance opinion ref missing",IF(AND(G339="Opinion only",E339&lt;&gt;"Assurance opinion",E339&lt;&gt;"Review only"),"Opinion only is for Assurance opinion or Review only events",IF(AND(G339="No decision",E339&lt;&gt;"Review only",E339&lt;&gt;"Priority override",E339&lt;&gt;"Intake / registration"),"No decision is for Review only, Priority override or Intake / registration events",IF(OR(ISNUMBER(SEARCH(" ",TRIM(O339))),ISNUMBER(SEARCH("/",O339))),"One UC-ID per event row: split this event",IF(AND(E339="Precautionary pause (containment)",ISNUMBER(W339),ISNUMBER(F339),W339&lt;F339),"Follow-up decision due date is before the pause",IF(AND(G339="Resume",IFERROR(LOOKUP(2,1/(($B$3:B338=B339)*($O$3:O338=O339)),$G$3:G338),"")&lt;&gt;"Paused — pending decision"),"Resume is only for the event straight after a Precautionary pause on the same AIR-ID and UC-ID (in an earlier row)",IF(AND(E339="Decision",OR(G339="Progress",G339="Progress with condition",G339="Re-authorise",G339="Resume"),X339&lt;&gt;"Yes"),"Decision-maker has not confirmed the screening was considered (column X)","Check against source")))))))))))))))))))))))))))))</f>
        <v/>
      </c>
      <c r="O339" s="37" t="n"/>
      <c r="P339" s="37" t="n"/>
      <c r="Q339" s="14">
        <f>IF(A339="","",IF(E339&lt;&gt;"Decision","",IF(P339="UC-ID specific",IF(O339="","UC-ID REQUIRED","Check source decision for each UC-ID"),IF(P339="Shared system baseline",IF(O339&lt;&gt;"","REMOVE UC-ID OR CORRECT SCOPE","Baseline only — NOT UC approval"),"Decision scope missing"))))</f>
        <v/>
      </c>
      <c r="R339" s="43" t="n"/>
      <c r="S339" s="40" t="n"/>
      <c r="T339" s="40" t="n"/>
      <c r="U339" s="40" t="n"/>
      <c r="V339" s="40" t="n"/>
      <c r="W339" s="41" t="n"/>
      <c r="X339" s="38" t="n"/>
    </row>
    <row r="340">
      <c r="A340" s="38" t="n"/>
      <c r="B340" s="38" t="n"/>
      <c r="C340" s="38" t="n"/>
      <c r="D340" s="38" t="n"/>
      <c r="E340" s="38" t="n"/>
      <c r="F340" s="39" t="n"/>
      <c r="G340" s="38" t="n"/>
      <c r="H340" s="38" t="n"/>
      <c r="I340" s="38" t="n"/>
      <c r="J340" s="38" t="n"/>
      <c r="K340" s="38" t="n"/>
      <c r="L340" s="38" t="n"/>
      <c r="M340" s="38" t="n"/>
      <c r="N340" s="22">
        <f>IF(COUNTA(A340:M340,O340:P340,R340:X340)=0,"",IF(OR(A340="",B340="",F340=""),"Event ID, AIR-ID or date missing",IF(COUNTIF($A$4:$A$553,A340)&gt;1,"Duplicate Event ID",IF(E340="","Event type missing",IF(OR(NOT(ISNUMBER(F340)),F340&gt;TODAY()),"Date is not a real date or is in the future",IF(AND(C340&lt;&gt;"",COUNTIF('Gate plan'!$A$4:$A$353,C340)=0),"Plan ID not found in Gate plan",IF(AND(C340&lt;&gt;"",COUNTIFS('Gate plan'!$A$4:$A$353,C340,'Gate plan'!$B$4:$B$353,B340)=0),"Plan AIR-ID differs from event",IF(D340="","Gate / forum missing",IF(AND(E340="Precautionary pause (containment)",G340&lt;&gt;"Paused — pending decision"),"Precautionary pause: Outcome must be Paused, pending decision",IF(AND(E340="Precautionary pause (containment)",V340=""),"Precautionary pause: AIG-OPS-03 incident ref missing",IF(AND(E340="Precautionary pause (containment)",NOT(ISNUMBER(W340))),"Precautionary pause: follow-up decision due date missing",IF(AND(G340="Paused — pending decision",E340&lt;&gt;"Precautionary pause (containment)"),"Paused, pending decision is only for a Precautionary pause event",IF(AND(E340="Decision",OR(G340="",H340="",I340="")),"Outcome / delegation / decision ref missing",IF(AND(E340="Decision",NOT(OR(G340="Progress",G340="Progress with condition",G340="Return for evidence",G340="Pause",G340="Stop",G340="Suspend",G340="Decommission",G340="Re-authorise",G340="Resume"))),"Decision event needs a decision outcome",IF(AND(E340="Priority override",OR(H340="",I340="")),"Decision-maker / AIG-DEC-03 ref missing",IF(AND(E340="Priority override",G340&lt;&gt;"",G340&lt;&gt;"No decision"),"Priority override: Outcome blank or No decision",IF(AND(E340&lt;&gt;"Decision",OR(G340="Progress",G340="Progress with condition",G340="Return for evidence",G340="Pause",G340="Stop",G340="Suspend",G340="Decommission",G340="Re-authorise",G340="Resume")),"Outcome implies decision",IF(OR(ISNUMBER(SEARCH(",",O340)),ISNUMBER(SEARCH(";",O340))),"One UC-ID per event row — split this event",IF(AND(E340="Decision",OR(Q340="UC-ID REQUIRED",Q340="Decision scope missing",Q340="REMOVE UC-ID OR CORRECT SCOPE")),"Decision scope missing",IF(AND(G340="Progress with condition",COUNTIF(Conditions!$B$4:$B$553,A340)=0),"Progress with condition needs at least one Conditions row",IF(AND(C340&lt;&gt;"",COUNTIFS('Gate plan'!$A$4:$A$353,C340,'Gate plan'!$C$4:$C$353,D340)=0),"Plan gate differs from event gate",IF(AND(C340&lt;&gt;"",O340&lt;&gt;"",COUNTIFS('Gate plan'!$A$4:$A$353,C340,'Gate plan'!$K$4:$K$353,"&lt;&gt;")&gt;0,COUNTIFS('Gate plan'!$A$4:$A$353,C340,'Gate plan'!$K$4:$K$353,O340)=0),"Plan UC-ID differs from event UC-ID",IF(AND(E340="Assurance opinion",J340=""),"Assurance opinion ref missing",IF(AND(G340="Opinion only",E340&lt;&gt;"Assurance opinion",E340&lt;&gt;"Review only"),"Opinion only is for Assurance opinion or Review only events",IF(AND(G340="No decision",E340&lt;&gt;"Review only",E340&lt;&gt;"Priority override",E340&lt;&gt;"Intake / registration"),"No decision is for Review only, Priority override or Intake / registration events",IF(OR(ISNUMBER(SEARCH(" ",TRIM(O340))),ISNUMBER(SEARCH("/",O340))),"One UC-ID per event row: split this event",IF(AND(E340="Precautionary pause (containment)",ISNUMBER(W340),ISNUMBER(F340),W340&lt;F340),"Follow-up decision due date is before the pause",IF(AND(G340="Resume",IFERROR(LOOKUP(2,1/(($B$3:B339=B340)*($O$3:O339=O340)),$G$3:G339),"")&lt;&gt;"Paused — pending decision"),"Resume is only for the event straight after a Precautionary pause on the same AIR-ID and UC-ID (in an earlier row)",IF(AND(E340="Decision",OR(G340="Progress",G340="Progress with condition",G340="Re-authorise",G340="Resume"),X340&lt;&gt;"Yes"),"Decision-maker has not confirmed the screening was considered (column X)","Check against source")))))))))))))))))))))))))))))</f>
        <v/>
      </c>
      <c r="O340" s="37" t="n"/>
      <c r="P340" s="37" t="n"/>
      <c r="Q340" s="14">
        <f>IF(A340="","",IF(E340&lt;&gt;"Decision","",IF(P340="UC-ID specific",IF(O340="","UC-ID REQUIRED","Check source decision for each UC-ID"),IF(P340="Shared system baseline",IF(O340&lt;&gt;"","REMOVE UC-ID OR CORRECT SCOPE","Baseline only — NOT UC approval"),"Decision scope missing"))))</f>
        <v/>
      </c>
      <c r="R340" s="42" t="n"/>
      <c r="S340" s="38" t="n"/>
      <c r="T340" s="38" t="n"/>
      <c r="U340" s="38" t="n"/>
      <c r="V340" s="38" t="n"/>
      <c r="W340" s="39" t="n"/>
      <c r="X340" s="38" t="n"/>
    </row>
    <row r="341">
      <c r="A341" s="40" t="n"/>
      <c r="B341" s="40" t="n"/>
      <c r="C341" s="40" t="n"/>
      <c r="D341" s="40" t="n"/>
      <c r="E341" s="40" t="n"/>
      <c r="F341" s="41" t="n"/>
      <c r="G341" s="40" t="n"/>
      <c r="H341" s="40" t="n"/>
      <c r="I341" s="40" t="n"/>
      <c r="J341" s="40" t="n"/>
      <c r="K341" s="40" t="n"/>
      <c r="L341" s="40" t="n"/>
      <c r="M341" s="40" t="n"/>
      <c r="N341" s="24">
        <f>IF(COUNTA(A341:M341,O341:P341,R341:X341)=0,"",IF(OR(A341="",B341="",F341=""),"Event ID, AIR-ID or date missing",IF(COUNTIF($A$4:$A$553,A341)&gt;1,"Duplicate Event ID",IF(E341="","Event type missing",IF(OR(NOT(ISNUMBER(F341)),F341&gt;TODAY()),"Date is not a real date or is in the future",IF(AND(C341&lt;&gt;"",COUNTIF('Gate plan'!$A$4:$A$353,C341)=0),"Plan ID not found in Gate plan",IF(AND(C341&lt;&gt;"",COUNTIFS('Gate plan'!$A$4:$A$353,C341,'Gate plan'!$B$4:$B$353,B341)=0),"Plan AIR-ID differs from event",IF(D341="","Gate / forum missing",IF(AND(E341="Precautionary pause (containment)",G341&lt;&gt;"Paused — pending decision"),"Precautionary pause: Outcome must be Paused, pending decision",IF(AND(E341="Precautionary pause (containment)",V341=""),"Precautionary pause: AIG-OPS-03 incident ref missing",IF(AND(E341="Precautionary pause (containment)",NOT(ISNUMBER(W341))),"Precautionary pause: follow-up decision due date missing",IF(AND(G341="Paused — pending decision",E341&lt;&gt;"Precautionary pause (containment)"),"Paused, pending decision is only for a Precautionary pause event",IF(AND(E341="Decision",OR(G341="",H341="",I341="")),"Outcome / delegation / decision ref missing",IF(AND(E341="Decision",NOT(OR(G341="Progress",G341="Progress with condition",G341="Return for evidence",G341="Pause",G341="Stop",G341="Suspend",G341="Decommission",G341="Re-authorise",G341="Resume"))),"Decision event needs a decision outcome",IF(AND(E341="Priority override",OR(H341="",I341="")),"Decision-maker / AIG-DEC-03 ref missing",IF(AND(E341="Priority override",G341&lt;&gt;"",G341&lt;&gt;"No decision"),"Priority override: Outcome blank or No decision",IF(AND(E341&lt;&gt;"Decision",OR(G341="Progress",G341="Progress with condition",G341="Return for evidence",G341="Pause",G341="Stop",G341="Suspend",G341="Decommission",G341="Re-authorise",G341="Resume")),"Outcome implies decision",IF(OR(ISNUMBER(SEARCH(",",O341)),ISNUMBER(SEARCH(";",O341))),"One UC-ID per event row — split this event",IF(AND(E341="Decision",OR(Q341="UC-ID REQUIRED",Q341="Decision scope missing",Q341="REMOVE UC-ID OR CORRECT SCOPE")),"Decision scope missing",IF(AND(G341="Progress with condition",COUNTIF(Conditions!$B$4:$B$553,A341)=0),"Progress with condition needs at least one Conditions row",IF(AND(C341&lt;&gt;"",COUNTIFS('Gate plan'!$A$4:$A$353,C341,'Gate plan'!$C$4:$C$353,D341)=0),"Plan gate differs from event gate",IF(AND(C341&lt;&gt;"",O341&lt;&gt;"",COUNTIFS('Gate plan'!$A$4:$A$353,C341,'Gate plan'!$K$4:$K$353,"&lt;&gt;")&gt;0,COUNTIFS('Gate plan'!$A$4:$A$353,C341,'Gate plan'!$K$4:$K$353,O341)=0),"Plan UC-ID differs from event UC-ID",IF(AND(E341="Assurance opinion",J341=""),"Assurance opinion ref missing",IF(AND(G341="Opinion only",E341&lt;&gt;"Assurance opinion",E341&lt;&gt;"Review only"),"Opinion only is for Assurance opinion or Review only events",IF(AND(G341="No decision",E341&lt;&gt;"Review only",E341&lt;&gt;"Priority override",E341&lt;&gt;"Intake / registration"),"No decision is for Review only, Priority override or Intake / registration events",IF(OR(ISNUMBER(SEARCH(" ",TRIM(O341))),ISNUMBER(SEARCH("/",O341))),"One UC-ID per event row: split this event",IF(AND(E341="Precautionary pause (containment)",ISNUMBER(W341),ISNUMBER(F341),W341&lt;F341),"Follow-up decision due date is before the pause",IF(AND(G341="Resume",IFERROR(LOOKUP(2,1/(($B$3:B340=B341)*($O$3:O340=O341)),$G$3:G340),"")&lt;&gt;"Paused — pending decision"),"Resume is only for the event straight after a Precautionary pause on the same AIR-ID and UC-ID (in an earlier row)",IF(AND(E341="Decision",OR(G341="Progress",G341="Progress with condition",G341="Re-authorise",G341="Resume"),X341&lt;&gt;"Yes"),"Decision-maker has not confirmed the screening was considered (column X)","Check against source")))))))))))))))))))))))))))))</f>
        <v/>
      </c>
      <c r="O341" s="37" t="n"/>
      <c r="P341" s="37" t="n"/>
      <c r="Q341" s="14">
        <f>IF(A341="","",IF(E341&lt;&gt;"Decision","",IF(P341="UC-ID specific",IF(O341="","UC-ID REQUIRED","Check source decision for each UC-ID"),IF(P341="Shared system baseline",IF(O341&lt;&gt;"","REMOVE UC-ID OR CORRECT SCOPE","Baseline only — NOT UC approval"),"Decision scope missing"))))</f>
        <v/>
      </c>
      <c r="R341" s="43" t="n"/>
      <c r="S341" s="40" t="n"/>
      <c r="T341" s="40" t="n"/>
      <c r="U341" s="40" t="n"/>
      <c r="V341" s="40" t="n"/>
      <c r="W341" s="41" t="n"/>
      <c r="X341" s="38" t="n"/>
    </row>
    <row r="342">
      <c r="A342" s="38" t="n"/>
      <c r="B342" s="38" t="n"/>
      <c r="C342" s="38" t="n"/>
      <c r="D342" s="38" t="n"/>
      <c r="E342" s="38" t="n"/>
      <c r="F342" s="39" t="n"/>
      <c r="G342" s="38" t="n"/>
      <c r="H342" s="38" t="n"/>
      <c r="I342" s="38" t="n"/>
      <c r="J342" s="38" t="n"/>
      <c r="K342" s="38" t="n"/>
      <c r="L342" s="38" t="n"/>
      <c r="M342" s="38" t="n"/>
      <c r="N342" s="22">
        <f>IF(COUNTA(A342:M342,O342:P342,R342:X342)=0,"",IF(OR(A342="",B342="",F342=""),"Event ID, AIR-ID or date missing",IF(COUNTIF($A$4:$A$553,A342)&gt;1,"Duplicate Event ID",IF(E342="","Event type missing",IF(OR(NOT(ISNUMBER(F342)),F342&gt;TODAY()),"Date is not a real date or is in the future",IF(AND(C342&lt;&gt;"",COUNTIF('Gate plan'!$A$4:$A$353,C342)=0),"Plan ID not found in Gate plan",IF(AND(C342&lt;&gt;"",COUNTIFS('Gate plan'!$A$4:$A$353,C342,'Gate plan'!$B$4:$B$353,B342)=0),"Plan AIR-ID differs from event",IF(D342="","Gate / forum missing",IF(AND(E342="Precautionary pause (containment)",G342&lt;&gt;"Paused — pending decision"),"Precautionary pause: Outcome must be Paused, pending decision",IF(AND(E342="Precautionary pause (containment)",V342=""),"Precautionary pause: AIG-OPS-03 incident ref missing",IF(AND(E342="Precautionary pause (containment)",NOT(ISNUMBER(W342))),"Precautionary pause: follow-up decision due date missing",IF(AND(G342="Paused — pending decision",E342&lt;&gt;"Precautionary pause (containment)"),"Paused, pending decision is only for a Precautionary pause event",IF(AND(E342="Decision",OR(G342="",H342="",I342="")),"Outcome / delegation / decision ref missing",IF(AND(E342="Decision",NOT(OR(G342="Progress",G342="Progress with condition",G342="Return for evidence",G342="Pause",G342="Stop",G342="Suspend",G342="Decommission",G342="Re-authorise",G342="Resume"))),"Decision event needs a decision outcome",IF(AND(E342="Priority override",OR(H342="",I342="")),"Decision-maker / AIG-DEC-03 ref missing",IF(AND(E342="Priority override",G342&lt;&gt;"",G342&lt;&gt;"No decision"),"Priority override: Outcome blank or No decision",IF(AND(E342&lt;&gt;"Decision",OR(G342="Progress",G342="Progress with condition",G342="Return for evidence",G342="Pause",G342="Stop",G342="Suspend",G342="Decommission",G342="Re-authorise",G342="Resume")),"Outcome implies decision",IF(OR(ISNUMBER(SEARCH(",",O342)),ISNUMBER(SEARCH(";",O342))),"One UC-ID per event row — split this event",IF(AND(E342="Decision",OR(Q342="UC-ID REQUIRED",Q342="Decision scope missing",Q342="REMOVE UC-ID OR CORRECT SCOPE")),"Decision scope missing",IF(AND(G342="Progress with condition",COUNTIF(Conditions!$B$4:$B$553,A342)=0),"Progress with condition needs at least one Conditions row",IF(AND(C342&lt;&gt;"",COUNTIFS('Gate plan'!$A$4:$A$353,C342,'Gate plan'!$C$4:$C$353,D342)=0),"Plan gate differs from event gate",IF(AND(C342&lt;&gt;"",O342&lt;&gt;"",COUNTIFS('Gate plan'!$A$4:$A$353,C342,'Gate plan'!$K$4:$K$353,"&lt;&gt;")&gt;0,COUNTIFS('Gate plan'!$A$4:$A$353,C342,'Gate plan'!$K$4:$K$353,O342)=0),"Plan UC-ID differs from event UC-ID",IF(AND(E342="Assurance opinion",J342=""),"Assurance opinion ref missing",IF(AND(G342="Opinion only",E342&lt;&gt;"Assurance opinion",E342&lt;&gt;"Review only"),"Opinion only is for Assurance opinion or Review only events",IF(AND(G342="No decision",E342&lt;&gt;"Review only",E342&lt;&gt;"Priority override",E342&lt;&gt;"Intake / registration"),"No decision is for Review only, Priority override or Intake / registration events",IF(OR(ISNUMBER(SEARCH(" ",TRIM(O342))),ISNUMBER(SEARCH("/",O342))),"One UC-ID per event row: split this event",IF(AND(E342="Precautionary pause (containment)",ISNUMBER(W342),ISNUMBER(F342),W342&lt;F342),"Follow-up decision due date is before the pause",IF(AND(G342="Resume",IFERROR(LOOKUP(2,1/(($B$3:B341=B342)*($O$3:O341=O342)),$G$3:G341),"")&lt;&gt;"Paused — pending decision"),"Resume is only for the event straight after a Precautionary pause on the same AIR-ID and UC-ID (in an earlier row)",IF(AND(E342="Decision",OR(G342="Progress",G342="Progress with condition",G342="Re-authorise",G342="Resume"),X342&lt;&gt;"Yes"),"Decision-maker has not confirmed the screening was considered (column X)","Check against source")))))))))))))))))))))))))))))</f>
        <v/>
      </c>
      <c r="O342" s="37" t="n"/>
      <c r="P342" s="37" t="n"/>
      <c r="Q342" s="14">
        <f>IF(A342="","",IF(E342&lt;&gt;"Decision","",IF(P342="UC-ID specific",IF(O342="","UC-ID REQUIRED","Check source decision for each UC-ID"),IF(P342="Shared system baseline",IF(O342&lt;&gt;"","REMOVE UC-ID OR CORRECT SCOPE","Baseline only — NOT UC approval"),"Decision scope missing"))))</f>
        <v/>
      </c>
      <c r="R342" s="42" t="n"/>
      <c r="S342" s="38" t="n"/>
      <c r="T342" s="38" t="n"/>
      <c r="U342" s="38" t="n"/>
      <c r="V342" s="38" t="n"/>
      <c r="W342" s="39" t="n"/>
      <c r="X342" s="38" t="n"/>
    </row>
    <row r="343">
      <c r="A343" s="40" t="n"/>
      <c r="B343" s="40" t="n"/>
      <c r="C343" s="40" t="n"/>
      <c r="D343" s="40" t="n"/>
      <c r="E343" s="40" t="n"/>
      <c r="F343" s="41" t="n"/>
      <c r="G343" s="40" t="n"/>
      <c r="H343" s="40" t="n"/>
      <c r="I343" s="40" t="n"/>
      <c r="J343" s="40" t="n"/>
      <c r="K343" s="40" t="n"/>
      <c r="L343" s="40" t="n"/>
      <c r="M343" s="40" t="n"/>
      <c r="N343" s="24">
        <f>IF(COUNTA(A343:M343,O343:P343,R343:X343)=0,"",IF(OR(A343="",B343="",F343=""),"Event ID, AIR-ID or date missing",IF(COUNTIF($A$4:$A$553,A343)&gt;1,"Duplicate Event ID",IF(E343="","Event type missing",IF(OR(NOT(ISNUMBER(F343)),F343&gt;TODAY()),"Date is not a real date or is in the future",IF(AND(C343&lt;&gt;"",COUNTIF('Gate plan'!$A$4:$A$353,C343)=0),"Plan ID not found in Gate plan",IF(AND(C343&lt;&gt;"",COUNTIFS('Gate plan'!$A$4:$A$353,C343,'Gate plan'!$B$4:$B$353,B343)=0),"Plan AIR-ID differs from event",IF(D343="","Gate / forum missing",IF(AND(E343="Precautionary pause (containment)",G343&lt;&gt;"Paused — pending decision"),"Precautionary pause: Outcome must be Paused, pending decision",IF(AND(E343="Precautionary pause (containment)",V343=""),"Precautionary pause: AIG-OPS-03 incident ref missing",IF(AND(E343="Precautionary pause (containment)",NOT(ISNUMBER(W343))),"Precautionary pause: follow-up decision due date missing",IF(AND(G343="Paused — pending decision",E343&lt;&gt;"Precautionary pause (containment)"),"Paused, pending decision is only for a Precautionary pause event",IF(AND(E343="Decision",OR(G343="",H343="",I343="")),"Outcome / delegation / decision ref missing",IF(AND(E343="Decision",NOT(OR(G343="Progress",G343="Progress with condition",G343="Return for evidence",G343="Pause",G343="Stop",G343="Suspend",G343="Decommission",G343="Re-authorise",G343="Resume"))),"Decision event needs a decision outcome",IF(AND(E343="Priority override",OR(H343="",I343="")),"Decision-maker / AIG-DEC-03 ref missing",IF(AND(E343="Priority override",G343&lt;&gt;"",G343&lt;&gt;"No decision"),"Priority override: Outcome blank or No decision",IF(AND(E343&lt;&gt;"Decision",OR(G343="Progress",G343="Progress with condition",G343="Return for evidence",G343="Pause",G343="Stop",G343="Suspend",G343="Decommission",G343="Re-authorise",G343="Resume")),"Outcome implies decision",IF(OR(ISNUMBER(SEARCH(",",O343)),ISNUMBER(SEARCH(";",O343))),"One UC-ID per event row — split this event",IF(AND(E343="Decision",OR(Q343="UC-ID REQUIRED",Q343="Decision scope missing",Q343="REMOVE UC-ID OR CORRECT SCOPE")),"Decision scope missing",IF(AND(G343="Progress with condition",COUNTIF(Conditions!$B$4:$B$553,A343)=0),"Progress with condition needs at least one Conditions row",IF(AND(C343&lt;&gt;"",COUNTIFS('Gate plan'!$A$4:$A$353,C343,'Gate plan'!$C$4:$C$353,D343)=0),"Plan gate differs from event gate",IF(AND(C343&lt;&gt;"",O343&lt;&gt;"",COUNTIFS('Gate plan'!$A$4:$A$353,C343,'Gate plan'!$K$4:$K$353,"&lt;&gt;")&gt;0,COUNTIFS('Gate plan'!$A$4:$A$353,C343,'Gate plan'!$K$4:$K$353,O343)=0),"Plan UC-ID differs from event UC-ID",IF(AND(E343="Assurance opinion",J343=""),"Assurance opinion ref missing",IF(AND(G343="Opinion only",E343&lt;&gt;"Assurance opinion",E343&lt;&gt;"Review only"),"Opinion only is for Assurance opinion or Review only events",IF(AND(G343="No decision",E343&lt;&gt;"Review only",E343&lt;&gt;"Priority override",E343&lt;&gt;"Intake / registration"),"No decision is for Review only, Priority override or Intake / registration events",IF(OR(ISNUMBER(SEARCH(" ",TRIM(O343))),ISNUMBER(SEARCH("/",O343))),"One UC-ID per event row: split this event",IF(AND(E343="Precautionary pause (containment)",ISNUMBER(W343),ISNUMBER(F343),W343&lt;F343),"Follow-up decision due date is before the pause",IF(AND(G343="Resume",IFERROR(LOOKUP(2,1/(($B$3:B342=B343)*($O$3:O342=O343)),$G$3:G342),"")&lt;&gt;"Paused — pending decision"),"Resume is only for the event straight after a Precautionary pause on the same AIR-ID and UC-ID (in an earlier row)",IF(AND(E343="Decision",OR(G343="Progress",G343="Progress with condition",G343="Re-authorise",G343="Resume"),X343&lt;&gt;"Yes"),"Decision-maker has not confirmed the screening was considered (column X)","Check against source")))))))))))))))))))))))))))))</f>
        <v/>
      </c>
      <c r="O343" s="37" t="n"/>
      <c r="P343" s="37" t="n"/>
      <c r="Q343" s="14">
        <f>IF(A343="","",IF(E343&lt;&gt;"Decision","",IF(P343="UC-ID specific",IF(O343="","UC-ID REQUIRED","Check source decision for each UC-ID"),IF(P343="Shared system baseline",IF(O343&lt;&gt;"","REMOVE UC-ID OR CORRECT SCOPE","Baseline only — NOT UC approval"),"Decision scope missing"))))</f>
        <v/>
      </c>
      <c r="R343" s="43" t="n"/>
      <c r="S343" s="40" t="n"/>
      <c r="T343" s="40" t="n"/>
      <c r="U343" s="40" t="n"/>
      <c r="V343" s="40" t="n"/>
      <c r="W343" s="41" t="n"/>
      <c r="X343" s="38" t="n"/>
    </row>
    <row r="344">
      <c r="A344" s="38" t="n"/>
      <c r="B344" s="38" t="n"/>
      <c r="C344" s="38" t="n"/>
      <c r="D344" s="38" t="n"/>
      <c r="E344" s="38" t="n"/>
      <c r="F344" s="39" t="n"/>
      <c r="G344" s="38" t="n"/>
      <c r="H344" s="38" t="n"/>
      <c r="I344" s="38" t="n"/>
      <c r="J344" s="38" t="n"/>
      <c r="K344" s="38" t="n"/>
      <c r="L344" s="38" t="n"/>
      <c r="M344" s="38" t="n"/>
      <c r="N344" s="22">
        <f>IF(COUNTA(A344:M344,O344:P344,R344:X344)=0,"",IF(OR(A344="",B344="",F344=""),"Event ID, AIR-ID or date missing",IF(COUNTIF($A$4:$A$553,A344)&gt;1,"Duplicate Event ID",IF(E344="","Event type missing",IF(OR(NOT(ISNUMBER(F344)),F344&gt;TODAY()),"Date is not a real date or is in the future",IF(AND(C344&lt;&gt;"",COUNTIF('Gate plan'!$A$4:$A$353,C344)=0),"Plan ID not found in Gate plan",IF(AND(C344&lt;&gt;"",COUNTIFS('Gate plan'!$A$4:$A$353,C344,'Gate plan'!$B$4:$B$353,B344)=0),"Plan AIR-ID differs from event",IF(D344="","Gate / forum missing",IF(AND(E344="Precautionary pause (containment)",G344&lt;&gt;"Paused — pending decision"),"Precautionary pause: Outcome must be Paused, pending decision",IF(AND(E344="Precautionary pause (containment)",V344=""),"Precautionary pause: AIG-OPS-03 incident ref missing",IF(AND(E344="Precautionary pause (containment)",NOT(ISNUMBER(W344))),"Precautionary pause: follow-up decision due date missing",IF(AND(G344="Paused — pending decision",E344&lt;&gt;"Precautionary pause (containment)"),"Paused, pending decision is only for a Precautionary pause event",IF(AND(E344="Decision",OR(G344="",H344="",I344="")),"Outcome / delegation / decision ref missing",IF(AND(E344="Decision",NOT(OR(G344="Progress",G344="Progress with condition",G344="Return for evidence",G344="Pause",G344="Stop",G344="Suspend",G344="Decommission",G344="Re-authorise",G344="Resume"))),"Decision event needs a decision outcome",IF(AND(E344="Priority override",OR(H344="",I344="")),"Decision-maker / AIG-DEC-03 ref missing",IF(AND(E344="Priority override",G344&lt;&gt;"",G344&lt;&gt;"No decision"),"Priority override: Outcome blank or No decision",IF(AND(E344&lt;&gt;"Decision",OR(G344="Progress",G344="Progress with condition",G344="Return for evidence",G344="Pause",G344="Stop",G344="Suspend",G344="Decommission",G344="Re-authorise",G344="Resume")),"Outcome implies decision",IF(OR(ISNUMBER(SEARCH(",",O344)),ISNUMBER(SEARCH(";",O344))),"One UC-ID per event row — split this event",IF(AND(E344="Decision",OR(Q344="UC-ID REQUIRED",Q344="Decision scope missing",Q344="REMOVE UC-ID OR CORRECT SCOPE")),"Decision scope missing",IF(AND(G344="Progress with condition",COUNTIF(Conditions!$B$4:$B$553,A344)=0),"Progress with condition needs at least one Conditions row",IF(AND(C344&lt;&gt;"",COUNTIFS('Gate plan'!$A$4:$A$353,C344,'Gate plan'!$C$4:$C$353,D344)=0),"Plan gate differs from event gate",IF(AND(C344&lt;&gt;"",O344&lt;&gt;"",COUNTIFS('Gate plan'!$A$4:$A$353,C344,'Gate plan'!$K$4:$K$353,"&lt;&gt;")&gt;0,COUNTIFS('Gate plan'!$A$4:$A$353,C344,'Gate plan'!$K$4:$K$353,O344)=0),"Plan UC-ID differs from event UC-ID",IF(AND(E344="Assurance opinion",J344=""),"Assurance opinion ref missing",IF(AND(G344="Opinion only",E344&lt;&gt;"Assurance opinion",E344&lt;&gt;"Review only"),"Opinion only is for Assurance opinion or Review only events",IF(AND(G344="No decision",E344&lt;&gt;"Review only",E344&lt;&gt;"Priority override",E344&lt;&gt;"Intake / registration"),"No decision is for Review only, Priority override or Intake / registration events",IF(OR(ISNUMBER(SEARCH(" ",TRIM(O344))),ISNUMBER(SEARCH("/",O344))),"One UC-ID per event row: split this event",IF(AND(E344="Precautionary pause (containment)",ISNUMBER(W344),ISNUMBER(F344),W344&lt;F344),"Follow-up decision due date is before the pause",IF(AND(G344="Resume",IFERROR(LOOKUP(2,1/(($B$3:B343=B344)*($O$3:O343=O344)),$G$3:G343),"")&lt;&gt;"Paused — pending decision"),"Resume is only for the event straight after a Precautionary pause on the same AIR-ID and UC-ID (in an earlier row)",IF(AND(E344="Decision",OR(G344="Progress",G344="Progress with condition",G344="Re-authorise",G344="Resume"),X344&lt;&gt;"Yes"),"Decision-maker has not confirmed the screening was considered (column X)","Check against source")))))))))))))))))))))))))))))</f>
        <v/>
      </c>
      <c r="O344" s="37" t="n"/>
      <c r="P344" s="37" t="n"/>
      <c r="Q344" s="14">
        <f>IF(A344="","",IF(E344&lt;&gt;"Decision","",IF(P344="UC-ID specific",IF(O344="","UC-ID REQUIRED","Check source decision for each UC-ID"),IF(P344="Shared system baseline",IF(O344&lt;&gt;"","REMOVE UC-ID OR CORRECT SCOPE","Baseline only — NOT UC approval"),"Decision scope missing"))))</f>
        <v/>
      </c>
      <c r="R344" s="42" t="n"/>
      <c r="S344" s="38" t="n"/>
      <c r="T344" s="38" t="n"/>
      <c r="U344" s="38" t="n"/>
      <c r="V344" s="38" t="n"/>
      <c r="W344" s="39" t="n"/>
      <c r="X344" s="38" t="n"/>
    </row>
    <row r="345">
      <c r="A345" s="40" t="n"/>
      <c r="B345" s="40" t="n"/>
      <c r="C345" s="40" t="n"/>
      <c r="D345" s="40" t="n"/>
      <c r="E345" s="40" t="n"/>
      <c r="F345" s="41" t="n"/>
      <c r="G345" s="40" t="n"/>
      <c r="H345" s="40" t="n"/>
      <c r="I345" s="40" t="n"/>
      <c r="J345" s="40" t="n"/>
      <c r="K345" s="40" t="n"/>
      <c r="L345" s="40" t="n"/>
      <c r="M345" s="40" t="n"/>
      <c r="N345" s="24">
        <f>IF(COUNTA(A345:M345,O345:P345,R345:X345)=0,"",IF(OR(A345="",B345="",F345=""),"Event ID, AIR-ID or date missing",IF(COUNTIF($A$4:$A$553,A345)&gt;1,"Duplicate Event ID",IF(E345="","Event type missing",IF(OR(NOT(ISNUMBER(F345)),F345&gt;TODAY()),"Date is not a real date or is in the future",IF(AND(C345&lt;&gt;"",COUNTIF('Gate plan'!$A$4:$A$353,C345)=0),"Plan ID not found in Gate plan",IF(AND(C345&lt;&gt;"",COUNTIFS('Gate plan'!$A$4:$A$353,C345,'Gate plan'!$B$4:$B$353,B345)=0),"Plan AIR-ID differs from event",IF(D345="","Gate / forum missing",IF(AND(E345="Precautionary pause (containment)",G345&lt;&gt;"Paused — pending decision"),"Precautionary pause: Outcome must be Paused, pending decision",IF(AND(E345="Precautionary pause (containment)",V345=""),"Precautionary pause: AIG-OPS-03 incident ref missing",IF(AND(E345="Precautionary pause (containment)",NOT(ISNUMBER(W345))),"Precautionary pause: follow-up decision due date missing",IF(AND(G345="Paused — pending decision",E345&lt;&gt;"Precautionary pause (containment)"),"Paused, pending decision is only for a Precautionary pause event",IF(AND(E345="Decision",OR(G345="",H345="",I345="")),"Outcome / delegation / decision ref missing",IF(AND(E345="Decision",NOT(OR(G345="Progress",G345="Progress with condition",G345="Return for evidence",G345="Pause",G345="Stop",G345="Suspend",G345="Decommission",G345="Re-authorise",G345="Resume"))),"Decision event needs a decision outcome",IF(AND(E345="Priority override",OR(H345="",I345="")),"Decision-maker / AIG-DEC-03 ref missing",IF(AND(E345="Priority override",G345&lt;&gt;"",G345&lt;&gt;"No decision"),"Priority override: Outcome blank or No decision",IF(AND(E345&lt;&gt;"Decision",OR(G345="Progress",G345="Progress with condition",G345="Return for evidence",G345="Pause",G345="Stop",G345="Suspend",G345="Decommission",G345="Re-authorise",G345="Resume")),"Outcome implies decision",IF(OR(ISNUMBER(SEARCH(",",O345)),ISNUMBER(SEARCH(";",O345))),"One UC-ID per event row — split this event",IF(AND(E345="Decision",OR(Q345="UC-ID REQUIRED",Q345="Decision scope missing",Q345="REMOVE UC-ID OR CORRECT SCOPE")),"Decision scope missing",IF(AND(G345="Progress with condition",COUNTIF(Conditions!$B$4:$B$553,A345)=0),"Progress with condition needs at least one Conditions row",IF(AND(C345&lt;&gt;"",COUNTIFS('Gate plan'!$A$4:$A$353,C345,'Gate plan'!$C$4:$C$353,D345)=0),"Plan gate differs from event gate",IF(AND(C345&lt;&gt;"",O345&lt;&gt;"",COUNTIFS('Gate plan'!$A$4:$A$353,C345,'Gate plan'!$K$4:$K$353,"&lt;&gt;")&gt;0,COUNTIFS('Gate plan'!$A$4:$A$353,C345,'Gate plan'!$K$4:$K$353,O345)=0),"Plan UC-ID differs from event UC-ID",IF(AND(E345="Assurance opinion",J345=""),"Assurance opinion ref missing",IF(AND(G345="Opinion only",E345&lt;&gt;"Assurance opinion",E345&lt;&gt;"Review only"),"Opinion only is for Assurance opinion or Review only events",IF(AND(G345="No decision",E345&lt;&gt;"Review only",E345&lt;&gt;"Priority override",E345&lt;&gt;"Intake / registration"),"No decision is for Review only, Priority override or Intake / registration events",IF(OR(ISNUMBER(SEARCH(" ",TRIM(O345))),ISNUMBER(SEARCH("/",O345))),"One UC-ID per event row: split this event",IF(AND(E345="Precautionary pause (containment)",ISNUMBER(W345),ISNUMBER(F345),W345&lt;F345),"Follow-up decision due date is before the pause",IF(AND(G345="Resume",IFERROR(LOOKUP(2,1/(($B$3:B344=B345)*($O$3:O344=O345)),$G$3:G344),"")&lt;&gt;"Paused — pending decision"),"Resume is only for the event straight after a Precautionary pause on the same AIR-ID and UC-ID (in an earlier row)",IF(AND(E345="Decision",OR(G345="Progress",G345="Progress with condition",G345="Re-authorise",G345="Resume"),X345&lt;&gt;"Yes"),"Decision-maker has not confirmed the screening was considered (column X)","Check against source")))))))))))))))))))))))))))))</f>
        <v/>
      </c>
      <c r="O345" s="37" t="n"/>
      <c r="P345" s="37" t="n"/>
      <c r="Q345" s="14">
        <f>IF(A345="","",IF(E345&lt;&gt;"Decision","",IF(P345="UC-ID specific",IF(O345="","UC-ID REQUIRED","Check source decision for each UC-ID"),IF(P345="Shared system baseline",IF(O345&lt;&gt;"","REMOVE UC-ID OR CORRECT SCOPE","Baseline only — NOT UC approval"),"Decision scope missing"))))</f>
        <v/>
      </c>
      <c r="R345" s="43" t="n"/>
      <c r="S345" s="40" t="n"/>
      <c r="T345" s="40" t="n"/>
      <c r="U345" s="40" t="n"/>
      <c r="V345" s="40" t="n"/>
      <c r="W345" s="41" t="n"/>
      <c r="X345" s="38" t="n"/>
    </row>
    <row r="346">
      <c r="A346" s="38" t="n"/>
      <c r="B346" s="38" t="n"/>
      <c r="C346" s="38" t="n"/>
      <c r="D346" s="38" t="n"/>
      <c r="E346" s="38" t="n"/>
      <c r="F346" s="39" t="n"/>
      <c r="G346" s="38" t="n"/>
      <c r="H346" s="38" t="n"/>
      <c r="I346" s="38" t="n"/>
      <c r="J346" s="38" t="n"/>
      <c r="K346" s="38" t="n"/>
      <c r="L346" s="38" t="n"/>
      <c r="M346" s="38" t="n"/>
      <c r="N346" s="22">
        <f>IF(COUNTA(A346:M346,O346:P346,R346:X346)=0,"",IF(OR(A346="",B346="",F346=""),"Event ID, AIR-ID or date missing",IF(COUNTIF($A$4:$A$553,A346)&gt;1,"Duplicate Event ID",IF(E346="","Event type missing",IF(OR(NOT(ISNUMBER(F346)),F346&gt;TODAY()),"Date is not a real date or is in the future",IF(AND(C346&lt;&gt;"",COUNTIF('Gate plan'!$A$4:$A$353,C346)=0),"Plan ID not found in Gate plan",IF(AND(C346&lt;&gt;"",COUNTIFS('Gate plan'!$A$4:$A$353,C346,'Gate plan'!$B$4:$B$353,B346)=0),"Plan AIR-ID differs from event",IF(D346="","Gate / forum missing",IF(AND(E346="Precautionary pause (containment)",G346&lt;&gt;"Paused — pending decision"),"Precautionary pause: Outcome must be Paused, pending decision",IF(AND(E346="Precautionary pause (containment)",V346=""),"Precautionary pause: AIG-OPS-03 incident ref missing",IF(AND(E346="Precautionary pause (containment)",NOT(ISNUMBER(W346))),"Precautionary pause: follow-up decision due date missing",IF(AND(G346="Paused — pending decision",E346&lt;&gt;"Precautionary pause (containment)"),"Paused, pending decision is only for a Precautionary pause event",IF(AND(E346="Decision",OR(G346="",H346="",I346="")),"Outcome / delegation / decision ref missing",IF(AND(E346="Decision",NOT(OR(G346="Progress",G346="Progress with condition",G346="Return for evidence",G346="Pause",G346="Stop",G346="Suspend",G346="Decommission",G346="Re-authorise",G346="Resume"))),"Decision event needs a decision outcome",IF(AND(E346="Priority override",OR(H346="",I346="")),"Decision-maker / AIG-DEC-03 ref missing",IF(AND(E346="Priority override",G346&lt;&gt;"",G346&lt;&gt;"No decision"),"Priority override: Outcome blank or No decision",IF(AND(E346&lt;&gt;"Decision",OR(G346="Progress",G346="Progress with condition",G346="Return for evidence",G346="Pause",G346="Stop",G346="Suspend",G346="Decommission",G346="Re-authorise",G346="Resume")),"Outcome implies decision",IF(OR(ISNUMBER(SEARCH(",",O346)),ISNUMBER(SEARCH(";",O346))),"One UC-ID per event row — split this event",IF(AND(E346="Decision",OR(Q346="UC-ID REQUIRED",Q346="Decision scope missing",Q346="REMOVE UC-ID OR CORRECT SCOPE")),"Decision scope missing",IF(AND(G346="Progress with condition",COUNTIF(Conditions!$B$4:$B$553,A346)=0),"Progress with condition needs at least one Conditions row",IF(AND(C346&lt;&gt;"",COUNTIFS('Gate plan'!$A$4:$A$353,C346,'Gate plan'!$C$4:$C$353,D346)=0),"Plan gate differs from event gate",IF(AND(C346&lt;&gt;"",O346&lt;&gt;"",COUNTIFS('Gate plan'!$A$4:$A$353,C346,'Gate plan'!$K$4:$K$353,"&lt;&gt;")&gt;0,COUNTIFS('Gate plan'!$A$4:$A$353,C346,'Gate plan'!$K$4:$K$353,O346)=0),"Plan UC-ID differs from event UC-ID",IF(AND(E346="Assurance opinion",J346=""),"Assurance opinion ref missing",IF(AND(G346="Opinion only",E346&lt;&gt;"Assurance opinion",E346&lt;&gt;"Review only"),"Opinion only is for Assurance opinion or Review only events",IF(AND(G346="No decision",E346&lt;&gt;"Review only",E346&lt;&gt;"Priority override",E346&lt;&gt;"Intake / registration"),"No decision is for Review only, Priority override or Intake / registration events",IF(OR(ISNUMBER(SEARCH(" ",TRIM(O346))),ISNUMBER(SEARCH("/",O346))),"One UC-ID per event row: split this event",IF(AND(E346="Precautionary pause (containment)",ISNUMBER(W346),ISNUMBER(F346),W346&lt;F346),"Follow-up decision due date is before the pause",IF(AND(G346="Resume",IFERROR(LOOKUP(2,1/(($B$3:B345=B346)*($O$3:O345=O346)),$G$3:G345),"")&lt;&gt;"Paused — pending decision"),"Resume is only for the event straight after a Precautionary pause on the same AIR-ID and UC-ID (in an earlier row)",IF(AND(E346="Decision",OR(G346="Progress",G346="Progress with condition",G346="Re-authorise",G346="Resume"),X346&lt;&gt;"Yes"),"Decision-maker has not confirmed the screening was considered (column X)","Check against source")))))))))))))))))))))))))))))</f>
        <v/>
      </c>
      <c r="O346" s="37" t="n"/>
      <c r="P346" s="37" t="n"/>
      <c r="Q346" s="14">
        <f>IF(A346="","",IF(E346&lt;&gt;"Decision","",IF(P346="UC-ID specific",IF(O346="","UC-ID REQUIRED","Check source decision for each UC-ID"),IF(P346="Shared system baseline",IF(O346&lt;&gt;"","REMOVE UC-ID OR CORRECT SCOPE","Baseline only — NOT UC approval"),"Decision scope missing"))))</f>
        <v/>
      </c>
      <c r="R346" s="42" t="n"/>
      <c r="S346" s="38" t="n"/>
      <c r="T346" s="38" t="n"/>
      <c r="U346" s="38" t="n"/>
      <c r="V346" s="38" t="n"/>
      <c r="W346" s="39" t="n"/>
      <c r="X346" s="38" t="n"/>
    </row>
    <row r="347">
      <c r="A347" s="40" t="n"/>
      <c r="B347" s="40" t="n"/>
      <c r="C347" s="40" t="n"/>
      <c r="D347" s="40" t="n"/>
      <c r="E347" s="40" t="n"/>
      <c r="F347" s="41" t="n"/>
      <c r="G347" s="40" t="n"/>
      <c r="H347" s="40" t="n"/>
      <c r="I347" s="40" t="n"/>
      <c r="J347" s="40" t="n"/>
      <c r="K347" s="40" t="n"/>
      <c r="L347" s="40" t="n"/>
      <c r="M347" s="40" t="n"/>
      <c r="N347" s="24">
        <f>IF(COUNTA(A347:M347,O347:P347,R347:X347)=0,"",IF(OR(A347="",B347="",F347=""),"Event ID, AIR-ID or date missing",IF(COUNTIF($A$4:$A$553,A347)&gt;1,"Duplicate Event ID",IF(E347="","Event type missing",IF(OR(NOT(ISNUMBER(F347)),F347&gt;TODAY()),"Date is not a real date or is in the future",IF(AND(C347&lt;&gt;"",COUNTIF('Gate plan'!$A$4:$A$353,C347)=0),"Plan ID not found in Gate plan",IF(AND(C347&lt;&gt;"",COUNTIFS('Gate plan'!$A$4:$A$353,C347,'Gate plan'!$B$4:$B$353,B347)=0),"Plan AIR-ID differs from event",IF(D347="","Gate / forum missing",IF(AND(E347="Precautionary pause (containment)",G347&lt;&gt;"Paused — pending decision"),"Precautionary pause: Outcome must be Paused, pending decision",IF(AND(E347="Precautionary pause (containment)",V347=""),"Precautionary pause: AIG-OPS-03 incident ref missing",IF(AND(E347="Precautionary pause (containment)",NOT(ISNUMBER(W347))),"Precautionary pause: follow-up decision due date missing",IF(AND(G347="Paused — pending decision",E347&lt;&gt;"Precautionary pause (containment)"),"Paused, pending decision is only for a Precautionary pause event",IF(AND(E347="Decision",OR(G347="",H347="",I347="")),"Outcome / delegation / decision ref missing",IF(AND(E347="Decision",NOT(OR(G347="Progress",G347="Progress with condition",G347="Return for evidence",G347="Pause",G347="Stop",G347="Suspend",G347="Decommission",G347="Re-authorise",G347="Resume"))),"Decision event needs a decision outcome",IF(AND(E347="Priority override",OR(H347="",I347="")),"Decision-maker / AIG-DEC-03 ref missing",IF(AND(E347="Priority override",G347&lt;&gt;"",G347&lt;&gt;"No decision"),"Priority override: Outcome blank or No decision",IF(AND(E347&lt;&gt;"Decision",OR(G347="Progress",G347="Progress with condition",G347="Return for evidence",G347="Pause",G347="Stop",G347="Suspend",G347="Decommission",G347="Re-authorise",G347="Resume")),"Outcome implies decision",IF(OR(ISNUMBER(SEARCH(",",O347)),ISNUMBER(SEARCH(";",O347))),"One UC-ID per event row — split this event",IF(AND(E347="Decision",OR(Q347="UC-ID REQUIRED",Q347="Decision scope missing",Q347="REMOVE UC-ID OR CORRECT SCOPE")),"Decision scope missing",IF(AND(G347="Progress with condition",COUNTIF(Conditions!$B$4:$B$553,A347)=0),"Progress with condition needs at least one Conditions row",IF(AND(C347&lt;&gt;"",COUNTIFS('Gate plan'!$A$4:$A$353,C347,'Gate plan'!$C$4:$C$353,D347)=0),"Plan gate differs from event gate",IF(AND(C347&lt;&gt;"",O347&lt;&gt;"",COUNTIFS('Gate plan'!$A$4:$A$353,C347,'Gate plan'!$K$4:$K$353,"&lt;&gt;")&gt;0,COUNTIFS('Gate plan'!$A$4:$A$353,C347,'Gate plan'!$K$4:$K$353,O347)=0),"Plan UC-ID differs from event UC-ID",IF(AND(E347="Assurance opinion",J347=""),"Assurance opinion ref missing",IF(AND(G347="Opinion only",E347&lt;&gt;"Assurance opinion",E347&lt;&gt;"Review only"),"Opinion only is for Assurance opinion or Review only events",IF(AND(G347="No decision",E347&lt;&gt;"Review only",E347&lt;&gt;"Priority override",E347&lt;&gt;"Intake / registration"),"No decision is for Review only, Priority override or Intake / registration events",IF(OR(ISNUMBER(SEARCH(" ",TRIM(O347))),ISNUMBER(SEARCH("/",O347))),"One UC-ID per event row: split this event",IF(AND(E347="Precautionary pause (containment)",ISNUMBER(W347),ISNUMBER(F347),W347&lt;F347),"Follow-up decision due date is before the pause",IF(AND(G347="Resume",IFERROR(LOOKUP(2,1/(($B$3:B346=B347)*($O$3:O346=O347)),$G$3:G346),"")&lt;&gt;"Paused — pending decision"),"Resume is only for the event straight after a Precautionary pause on the same AIR-ID and UC-ID (in an earlier row)",IF(AND(E347="Decision",OR(G347="Progress",G347="Progress with condition",G347="Re-authorise",G347="Resume"),X347&lt;&gt;"Yes"),"Decision-maker has not confirmed the screening was considered (column X)","Check against source")))))))))))))))))))))))))))))</f>
        <v/>
      </c>
      <c r="O347" s="37" t="n"/>
      <c r="P347" s="37" t="n"/>
      <c r="Q347" s="14">
        <f>IF(A347="","",IF(E347&lt;&gt;"Decision","",IF(P347="UC-ID specific",IF(O347="","UC-ID REQUIRED","Check source decision for each UC-ID"),IF(P347="Shared system baseline",IF(O347&lt;&gt;"","REMOVE UC-ID OR CORRECT SCOPE","Baseline only — NOT UC approval"),"Decision scope missing"))))</f>
        <v/>
      </c>
      <c r="R347" s="43" t="n"/>
      <c r="S347" s="40" t="n"/>
      <c r="T347" s="40" t="n"/>
      <c r="U347" s="40" t="n"/>
      <c r="V347" s="40" t="n"/>
      <c r="W347" s="41" t="n"/>
      <c r="X347" s="38" t="n"/>
    </row>
    <row r="348">
      <c r="A348" s="38" t="n"/>
      <c r="B348" s="38" t="n"/>
      <c r="C348" s="38" t="n"/>
      <c r="D348" s="38" t="n"/>
      <c r="E348" s="38" t="n"/>
      <c r="F348" s="39" t="n"/>
      <c r="G348" s="38" t="n"/>
      <c r="H348" s="38" t="n"/>
      <c r="I348" s="38" t="n"/>
      <c r="J348" s="38" t="n"/>
      <c r="K348" s="38" t="n"/>
      <c r="L348" s="38" t="n"/>
      <c r="M348" s="38" t="n"/>
      <c r="N348" s="22">
        <f>IF(COUNTA(A348:M348,O348:P348,R348:X348)=0,"",IF(OR(A348="",B348="",F348=""),"Event ID, AIR-ID or date missing",IF(COUNTIF($A$4:$A$553,A348)&gt;1,"Duplicate Event ID",IF(E348="","Event type missing",IF(OR(NOT(ISNUMBER(F348)),F348&gt;TODAY()),"Date is not a real date or is in the future",IF(AND(C348&lt;&gt;"",COUNTIF('Gate plan'!$A$4:$A$353,C348)=0),"Plan ID not found in Gate plan",IF(AND(C348&lt;&gt;"",COUNTIFS('Gate plan'!$A$4:$A$353,C348,'Gate plan'!$B$4:$B$353,B348)=0),"Plan AIR-ID differs from event",IF(D348="","Gate / forum missing",IF(AND(E348="Precautionary pause (containment)",G348&lt;&gt;"Paused — pending decision"),"Precautionary pause: Outcome must be Paused, pending decision",IF(AND(E348="Precautionary pause (containment)",V348=""),"Precautionary pause: AIG-OPS-03 incident ref missing",IF(AND(E348="Precautionary pause (containment)",NOT(ISNUMBER(W348))),"Precautionary pause: follow-up decision due date missing",IF(AND(G348="Paused — pending decision",E348&lt;&gt;"Precautionary pause (containment)"),"Paused, pending decision is only for a Precautionary pause event",IF(AND(E348="Decision",OR(G348="",H348="",I348="")),"Outcome / delegation / decision ref missing",IF(AND(E348="Decision",NOT(OR(G348="Progress",G348="Progress with condition",G348="Return for evidence",G348="Pause",G348="Stop",G348="Suspend",G348="Decommission",G348="Re-authorise",G348="Resume"))),"Decision event needs a decision outcome",IF(AND(E348="Priority override",OR(H348="",I348="")),"Decision-maker / AIG-DEC-03 ref missing",IF(AND(E348="Priority override",G348&lt;&gt;"",G348&lt;&gt;"No decision"),"Priority override: Outcome blank or No decision",IF(AND(E348&lt;&gt;"Decision",OR(G348="Progress",G348="Progress with condition",G348="Return for evidence",G348="Pause",G348="Stop",G348="Suspend",G348="Decommission",G348="Re-authorise",G348="Resume")),"Outcome implies decision",IF(OR(ISNUMBER(SEARCH(",",O348)),ISNUMBER(SEARCH(";",O348))),"One UC-ID per event row — split this event",IF(AND(E348="Decision",OR(Q348="UC-ID REQUIRED",Q348="Decision scope missing",Q348="REMOVE UC-ID OR CORRECT SCOPE")),"Decision scope missing",IF(AND(G348="Progress with condition",COUNTIF(Conditions!$B$4:$B$553,A348)=0),"Progress with condition needs at least one Conditions row",IF(AND(C348&lt;&gt;"",COUNTIFS('Gate plan'!$A$4:$A$353,C348,'Gate plan'!$C$4:$C$353,D348)=0),"Plan gate differs from event gate",IF(AND(C348&lt;&gt;"",O348&lt;&gt;"",COUNTIFS('Gate plan'!$A$4:$A$353,C348,'Gate plan'!$K$4:$K$353,"&lt;&gt;")&gt;0,COUNTIFS('Gate plan'!$A$4:$A$353,C348,'Gate plan'!$K$4:$K$353,O348)=0),"Plan UC-ID differs from event UC-ID",IF(AND(E348="Assurance opinion",J348=""),"Assurance opinion ref missing",IF(AND(G348="Opinion only",E348&lt;&gt;"Assurance opinion",E348&lt;&gt;"Review only"),"Opinion only is for Assurance opinion or Review only events",IF(AND(G348="No decision",E348&lt;&gt;"Review only",E348&lt;&gt;"Priority override",E348&lt;&gt;"Intake / registration"),"No decision is for Review only, Priority override or Intake / registration events",IF(OR(ISNUMBER(SEARCH(" ",TRIM(O348))),ISNUMBER(SEARCH("/",O348))),"One UC-ID per event row: split this event",IF(AND(E348="Precautionary pause (containment)",ISNUMBER(W348),ISNUMBER(F348),W348&lt;F348),"Follow-up decision due date is before the pause",IF(AND(G348="Resume",IFERROR(LOOKUP(2,1/(($B$3:B347=B348)*($O$3:O347=O348)),$G$3:G347),"")&lt;&gt;"Paused — pending decision"),"Resume is only for the event straight after a Precautionary pause on the same AIR-ID and UC-ID (in an earlier row)",IF(AND(E348="Decision",OR(G348="Progress",G348="Progress with condition",G348="Re-authorise",G348="Resume"),X348&lt;&gt;"Yes"),"Decision-maker has not confirmed the screening was considered (column X)","Check against source")))))))))))))))))))))))))))))</f>
        <v/>
      </c>
      <c r="O348" s="37" t="n"/>
      <c r="P348" s="37" t="n"/>
      <c r="Q348" s="14">
        <f>IF(A348="","",IF(E348&lt;&gt;"Decision","",IF(P348="UC-ID specific",IF(O348="","UC-ID REQUIRED","Check source decision for each UC-ID"),IF(P348="Shared system baseline",IF(O348&lt;&gt;"","REMOVE UC-ID OR CORRECT SCOPE","Baseline only — NOT UC approval"),"Decision scope missing"))))</f>
        <v/>
      </c>
      <c r="R348" s="42" t="n"/>
      <c r="S348" s="38" t="n"/>
      <c r="T348" s="38" t="n"/>
      <c r="U348" s="38" t="n"/>
      <c r="V348" s="38" t="n"/>
      <c r="W348" s="39" t="n"/>
      <c r="X348" s="38" t="n"/>
    </row>
    <row r="349">
      <c r="A349" s="40" t="n"/>
      <c r="B349" s="40" t="n"/>
      <c r="C349" s="40" t="n"/>
      <c r="D349" s="40" t="n"/>
      <c r="E349" s="40" t="n"/>
      <c r="F349" s="41" t="n"/>
      <c r="G349" s="40" t="n"/>
      <c r="H349" s="40" t="n"/>
      <c r="I349" s="40" t="n"/>
      <c r="J349" s="40" t="n"/>
      <c r="K349" s="40" t="n"/>
      <c r="L349" s="40" t="n"/>
      <c r="M349" s="40" t="n"/>
      <c r="N349" s="24">
        <f>IF(COUNTA(A349:M349,O349:P349,R349:X349)=0,"",IF(OR(A349="",B349="",F349=""),"Event ID, AIR-ID or date missing",IF(COUNTIF($A$4:$A$553,A349)&gt;1,"Duplicate Event ID",IF(E349="","Event type missing",IF(OR(NOT(ISNUMBER(F349)),F349&gt;TODAY()),"Date is not a real date or is in the future",IF(AND(C349&lt;&gt;"",COUNTIF('Gate plan'!$A$4:$A$353,C349)=0),"Plan ID not found in Gate plan",IF(AND(C349&lt;&gt;"",COUNTIFS('Gate plan'!$A$4:$A$353,C349,'Gate plan'!$B$4:$B$353,B349)=0),"Plan AIR-ID differs from event",IF(D349="","Gate / forum missing",IF(AND(E349="Precautionary pause (containment)",G349&lt;&gt;"Paused — pending decision"),"Precautionary pause: Outcome must be Paused, pending decision",IF(AND(E349="Precautionary pause (containment)",V349=""),"Precautionary pause: AIG-OPS-03 incident ref missing",IF(AND(E349="Precautionary pause (containment)",NOT(ISNUMBER(W349))),"Precautionary pause: follow-up decision due date missing",IF(AND(G349="Paused — pending decision",E349&lt;&gt;"Precautionary pause (containment)"),"Paused, pending decision is only for a Precautionary pause event",IF(AND(E349="Decision",OR(G349="",H349="",I349="")),"Outcome / delegation / decision ref missing",IF(AND(E349="Decision",NOT(OR(G349="Progress",G349="Progress with condition",G349="Return for evidence",G349="Pause",G349="Stop",G349="Suspend",G349="Decommission",G349="Re-authorise",G349="Resume"))),"Decision event needs a decision outcome",IF(AND(E349="Priority override",OR(H349="",I349="")),"Decision-maker / AIG-DEC-03 ref missing",IF(AND(E349="Priority override",G349&lt;&gt;"",G349&lt;&gt;"No decision"),"Priority override: Outcome blank or No decision",IF(AND(E349&lt;&gt;"Decision",OR(G349="Progress",G349="Progress with condition",G349="Return for evidence",G349="Pause",G349="Stop",G349="Suspend",G349="Decommission",G349="Re-authorise",G349="Resume")),"Outcome implies decision",IF(OR(ISNUMBER(SEARCH(",",O349)),ISNUMBER(SEARCH(";",O349))),"One UC-ID per event row — split this event",IF(AND(E349="Decision",OR(Q349="UC-ID REQUIRED",Q349="Decision scope missing",Q349="REMOVE UC-ID OR CORRECT SCOPE")),"Decision scope missing",IF(AND(G349="Progress with condition",COUNTIF(Conditions!$B$4:$B$553,A349)=0),"Progress with condition needs at least one Conditions row",IF(AND(C349&lt;&gt;"",COUNTIFS('Gate plan'!$A$4:$A$353,C349,'Gate plan'!$C$4:$C$353,D349)=0),"Plan gate differs from event gate",IF(AND(C349&lt;&gt;"",O349&lt;&gt;"",COUNTIFS('Gate plan'!$A$4:$A$353,C349,'Gate plan'!$K$4:$K$353,"&lt;&gt;")&gt;0,COUNTIFS('Gate plan'!$A$4:$A$353,C349,'Gate plan'!$K$4:$K$353,O349)=0),"Plan UC-ID differs from event UC-ID",IF(AND(E349="Assurance opinion",J349=""),"Assurance opinion ref missing",IF(AND(G349="Opinion only",E349&lt;&gt;"Assurance opinion",E349&lt;&gt;"Review only"),"Opinion only is for Assurance opinion or Review only events",IF(AND(G349="No decision",E349&lt;&gt;"Review only",E349&lt;&gt;"Priority override",E349&lt;&gt;"Intake / registration"),"No decision is for Review only, Priority override or Intake / registration events",IF(OR(ISNUMBER(SEARCH(" ",TRIM(O349))),ISNUMBER(SEARCH("/",O349))),"One UC-ID per event row: split this event",IF(AND(E349="Precautionary pause (containment)",ISNUMBER(W349),ISNUMBER(F349),W349&lt;F349),"Follow-up decision due date is before the pause",IF(AND(G349="Resume",IFERROR(LOOKUP(2,1/(($B$3:B348=B349)*($O$3:O348=O349)),$G$3:G348),"")&lt;&gt;"Paused — pending decision"),"Resume is only for the event straight after a Precautionary pause on the same AIR-ID and UC-ID (in an earlier row)",IF(AND(E349="Decision",OR(G349="Progress",G349="Progress with condition",G349="Re-authorise",G349="Resume"),X349&lt;&gt;"Yes"),"Decision-maker has not confirmed the screening was considered (column X)","Check against source")))))))))))))))))))))))))))))</f>
        <v/>
      </c>
      <c r="O349" s="37" t="n"/>
      <c r="P349" s="37" t="n"/>
      <c r="Q349" s="14">
        <f>IF(A349="","",IF(E349&lt;&gt;"Decision","",IF(P349="UC-ID specific",IF(O349="","UC-ID REQUIRED","Check source decision for each UC-ID"),IF(P349="Shared system baseline",IF(O349&lt;&gt;"","REMOVE UC-ID OR CORRECT SCOPE","Baseline only — NOT UC approval"),"Decision scope missing"))))</f>
        <v/>
      </c>
      <c r="R349" s="43" t="n"/>
      <c r="S349" s="40" t="n"/>
      <c r="T349" s="40" t="n"/>
      <c r="U349" s="40" t="n"/>
      <c r="V349" s="40" t="n"/>
      <c r="W349" s="41" t="n"/>
      <c r="X349" s="38" t="n"/>
    </row>
    <row r="350">
      <c r="A350" s="38" t="n"/>
      <c r="B350" s="38" t="n"/>
      <c r="C350" s="38" t="n"/>
      <c r="D350" s="38" t="n"/>
      <c r="E350" s="38" t="n"/>
      <c r="F350" s="39" t="n"/>
      <c r="G350" s="38" t="n"/>
      <c r="H350" s="38" t="n"/>
      <c r="I350" s="38" t="n"/>
      <c r="J350" s="38" t="n"/>
      <c r="K350" s="38" t="n"/>
      <c r="L350" s="38" t="n"/>
      <c r="M350" s="38" t="n"/>
      <c r="N350" s="22">
        <f>IF(COUNTA(A350:M350,O350:P350,R350:X350)=0,"",IF(OR(A350="",B350="",F350=""),"Event ID, AIR-ID or date missing",IF(COUNTIF($A$4:$A$553,A350)&gt;1,"Duplicate Event ID",IF(E350="","Event type missing",IF(OR(NOT(ISNUMBER(F350)),F350&gt;TODAY()),"Date is not a real date or is in the future",IF(AND(C350&lt;&gt;"",COUNTIF('Gate plan'!$A$4:$A$353,C350)=0),"Plan ID not found in Gate plan",IF(AND(C350&lt;&gt;"",COUNTIFS('Gate plan'!$A$4:$A$353,C350,'Gate plan'!$B$4:$B$353,B350)=0),"Plan AIR-ID differs from event",IF(D350="","Gate / forum missing",IF(AND(E350="Precautionary pause (containment)",G350&lt;&gt;"Paused — pending decision"),"Precautionary pause: Outcome must be Paused, pending decision",IF(AND(E350="Precautionary pause (containment)",V350=""),"Precautionary pause: AIG-OPS-03 incident ref missing",IF(AND(E350="Precautionary pause (containment)",NOT(ISNUMBER(W350))),"Precautionary pause: follow-up decision due date missing",IF(AND(G350="Paused — pending decision",E350&lt;&gt;"Precautionary pause (containment)"),"Paused, pending decision is only for a Precautionary pause event",IF(AND(E350="Decision",OR(G350="",H350="",I350="")),"Outcome / delegation / decision ref missing",IF(AND(E350="Decision",NOT(OR(G350="Progress",G350="Progress with condition",G350="Return for evidence",G350="Pause",G350="Stop",G350="Suspend",G350="Decommission",G350="Re-authorise",G350="Resume"))),"Decision event needs a decision outcome",IF(AND(E350="Priority override",OR(H350="",I350="")),"Decision-maker / AIG-DEC-03 ref missing",IF(AND(E350="Priority override",G350&lt;&gt;"",G350&lt;&gt;"No decision"),"Priority override: Outcome blank or No decision",IF(AND(E350&lt;&gt;"Decision",OR(G350="Progress",G350="Progress with condition",G350="Return for evidence",G350="Pause",G350="Stop",G350="Suspend",G350="Decommission",G350="Re-authorise",G350="Resume")),"Outcome implies decision",IF(OR(ISNUMBER(SEARCH(",",O350)),ISNUMBER(SEARCH(";",O350))),"One UC-ID per event row — split this event",IF(AND(E350="Decision",OR(Q350="UC-ID REQUIRED",Q350="Decision scope missing",Q350="REMOVE UC-ID OR CORRECT SCOPE")),"Decision scope missing",IF(AND(G350="Progress with condition",COUNTIF(Conditions!$B$4:$B$553,A350)=0),"Progress with condition needs at least one Conditions row",IF(AND(C350&lt;&gt;"",COUNTIFS('Gate plan'!$A$4:$A$353,C350,'Gate plan'!$C$4:$C$353,D350)=0),"Plan gate differs from event gate",IF(AND(C350&lt;&gt;"",O350&lt;&gt;"",COUNTIFS('Gate plan'!$A$4:$A$353,C350,'Gate plan'!$K$4:$K$353,"&lt;&gt;")&gt;0,COUNTIFS('Gate plan'!$A$4:$A$353,C350,'Gate plan'!$K$4:$K$353,O350)=0),"Plan UC-ID differs from event UC-ID",IF(AND(E350="Assurance opinion",J350=""),"Assurance opinion ref missing",IF(AND(G350="Opinion only",E350&lt;&gt;"Assurance opinion",E350&lt;&gt;"Review only"),"Opinion only is for Assurance opinion or Review only events",IF(AND(G350="No decision",E350&lt;&gt;"Review only",E350&lt;&gt;"Priority override",E350&lt;&gt;"Intake / registration"),"No decision is for Review only, Priority override or Intake / registration events",IF(OR(ISNUMBER(SEARCH(" ",TRIM(O350))),ISNUMBER(SEARCH("/",O350))),"One UC-ID per event row: split this event",IF(AND(E350="Precautionary pause (containment)",ISNUMBER(W350),ISNUMBER(F350),W350&lt;F350),"Follow-up decision due date is before the pause",IF(AND(G350="Resume",IFERROR(LOOKUP(2,1/(($B$3:B349=B350)*($O$3:O349=O350)),$G$3:G349),"")&lt;&gt;"Paused — pending decision"),"Resume is only for the event straight after a Precautionary pause on the same AIR-ID and UC-ID (in an earlier row)",IF(AND(E350="Decision",OR(G350="Progress",G350="Progress with condition",G350="Re-authorise",G350="Resume"),X350&lt;&gt;"Yes"),"Decision-maker has not confirmed the screening was considered (column X)","Check against source")))))))))))))))))))))))))))))</f>
        <v/>
      </c>
      <c r="O350" s="37" t="n"/>
      <c r="P350" s="37" t="n"/>
      <c r="Q350" s="14">
        <f>IF(A350="","",IF(E350&lt;&gt;"Decision","",IF(P350="UC-ID specific",IF(O350="","UC-ID REQUIRED","Check source decision for each UC-ID"),IF(P350="Shared system baseline",IF(O350&lt;&gt;"","REMOVE UC-ID OR CORRECT SCOPE","Baseline only — NOT UC approval"),"Decision scope missing"))))</f>
        <v/>
      </c>
      <c r="R350" s="42" t="n"/>
      <c r="S350" s="38" t="n"/>
      <c r="T350" s="38" t="n"/>
      <c r="U350" s="38" t="n"/>
      <c r="V350" s="38" t="n"/>
      <c r="W350" s="39" t="n"/>
      <c r="X350" s="38" t="n"/>
    </row>
    <row r="351">
      <c r="A351" s="40" t="n"/>
      <c r="B351" s="40" t="n"/>
      <c r="C351" s="40" t="n"/>
      <c r="D351" s="40" t="n"/>
      <c r="E351" s="40" t="n"/>
      <c r="F351" s="41" t="n"/>
      <c r="G351" s="40" t="n"/>
      <c r="H351" s="40" t="n"/>
      <c r="I351" s="40" t="n"/>
      <c r="J351" s="40" t="n"/>
      <c r="K351" s="40" t="n"/>
      <c r="L351" s="40" t="n"/>
      <c r="M351" s="40" t="n"/>
      <c r="N351" s="24">
        <f>IF(COUNTA(A351:M351,O351:P351,R351:X351)=0,"",IF(OR(A351="",B351="",F351=""),"Event ID, AIR-ID or date missing",IF(COUNTIF($A$4:$A$553,A351)&gt;1,"Duplicate Event ID",IF(E351="","Event type missing",IF(OR(NOT(ISNUMBER(F351)),F351&gt;TODAY()),"Date is not a real date or is in the future",IF(AND(C351&lt;&gt;"",COUNTIF('Gate plan'!$A$4:$A$353,C351)=0),"Plan ID not found in Gate plan",IF(AND(C351&lt;&gt;"",COUNTIFS('Gate plan'!$A$4:$A$353,C351,'Gate plan'!$B$4:$B$353,B351)=0),"Plan AIR-ID differs from event",IF(D351="","Gate / forum missing",IF(AND(E351="Precautionary pause (containment)",G351&lt;&gt;"Paused — pending decision"),"Precautionary pause: Outcome must be Paused, pending decision",IF(AND(E351="Precautionary pause (containment)",V351=""),"Precautionary pause: AIG-OPS-03 incident ref missing",IF(AND(E351="Precautionary pause (containment)",NOT(ISNUMBER(W351))),"Precautionary pause: follow-up decision due date missing",IF(AND(G351="Paused — pending decision",E351&lt;&gt;"Precautionary pause (containment)"),"Paused, pending decision is only for a Precautionary pause event",IF(AND(E351="Decision",OR(G351="",H351="",I351="")),"Outcome / delegation / decision ref missing",IF(AND(E351="Decision",NOT(OR(G351="Progress",G351="Progress with condition",G351="Return for evidence",G351="Pause",G351="Stop",G351="Suspend",G351="Decommission",G351="Re-authorise",G351="Resume"))),"Decision event needs a decision outcome",IF(AND(E351="Priority override",OR(H351="",I351="")),"Decision-maker / AIG-DEC-03 ref missing",IF(AND(E351="Priority override",G351&lt;&gt;"",G351&lt;&gt;"No decision"),"Priority override: Outcome blank or No decision",IF(AND(E351&lt;&gt;"Decision",OR(G351="Progress",G351="Progress with condition",G351="Return for evidence",G351="Pause",G351="Stop",G351="Suspend",G351="Decommission",G351="Re-authorise",G351="Resume")),"Outcome implies decision",IF(OR(ISNUMBER(SEARCH(",",O351)),ISNUMBER(SEARCH(";",O351))),"One UC-ID per event row — split this event",IF(AND(E351="Decision",OR(Q351="UC-ID REQUIRED",Q351="Decision scope missing",Q351="REMOVE UC-ID OR CORRECT SCOPE")),"Decision scope missing",IF(AND(G351="Progress with condition",COUNTIF(Conditions!$B$4:$B$553,A351)=0),"Progress with condition needs at least one Conditions row",IF(AND(C351&lt;&gt;"",COUNTIFS('Gate plan'!$A$4:$A$353,C351,'Gate plan'!$C$4:$C$353,D351)=0),"Plan gate differs from event gate",IF(AND(C351&lt;&gt;"",O351&lt;&gt;"",COUNTIFS('Gate plan'!$A$4:$A$353,C351,'Gate plan'!$K$4:$K$353,"&lt;&gt;")&gt;0,COUNTIFS('Gate plan'!$A$4:$A$353,C351,'Gate plan'!$K$4:$K$353,O351)=0),"Plan UC-ID differs from event UC-ID",IF(AND(E351="Assurance opinion",J351=""),"Assurance opinion ref missing",IF(AND(G351="Opinion only",E351&lt;&gt;"Assurance opinion",E351&lt;&gt;"Review only"),"Opinion only is for Assurance opinion or Review only events",IF(AND(G351="No decision",E351&lt;&gt;"Review only",E351&lt;&gt;"Priority override",E351&lt;&gt;"Intake / registration"),"No decision is for Review only, Priority override or Intake / registration events",IF(OR(ISNUMBER(SEARCH(" ",TRIM(O351))),ISNUMBER(SEARCH("/",O351))),"One UC-ID per event row: split this event",IF(AND(E351="Precautionary pause (containment)",ISNUMBER(W351),ISNUMBER(F351),W351&lt;F351),"Follow-up decision due date is before the pause",IF(AND(G351="Resume",IFERROR(LOOKUP(2,1/(($B$3:B350=B351)*($O$3:O350=O351)),$G$3:G350),"")&lt;&gt;"Paused — pending decision"),"Resume is only for the event straight after a Precautionary pause on the same AIR-ID and UC-ID (in an earlier row)",IF(AND(E351="Decision",OR(G351="Progress",G351="Progress with condition",G351="Re-authorise",G351="Resume"),X351&lt;&gt;"Yes"),"Decision-maker has not confirmed the screening was considered (column X)","Check against source")))))))))))))))))))))))))))))</f>
        <v/>
      </c>
      <c r="O351" s="37" t="n"/>
      <c r="P351" s="37" t="n"/>
      <c r="Q351" s="14">
        <f>IF(A351="","",IF(E351&lt;&gt;"Decision","",IF(P351="UC-ID specific",IF(O351="","UC-ID REQUIRED","Check source decision for each UC-ID"),IF(P351="Shared system baseline",IF(O351&lt;&gt;"","REMOVE UC-ID OR CORRECT SCOPE","Baseline only — NOT UC approval"),"Decision scope missing"))))</f>
        <v/>
      </c>
      <c r="R351" s="43" t="n"/>
      <c r="S351" s="40" t="n"/>
      <c r="T351" s="40" t="n"/>
      <c r="U351" s="40" t="n"/>
      <c r="V351" s="40" t="n"/>
      <c r="W351" s="41" t="n"/>
      <c r="X351" s="38" t="n"/>
    </row>
    <row r="352">
      <c r="A352" s="38" t="n"/>
      <c r="B352" s="38" t="n"/>
      <c r="C352" s="38" t="n"/>
      <c r="D352" s="38" t="n"/>
      <c r="E352" s="38" t="n"/>
      <c r="F352" s="39" t="n"/>
      <c r="G352" s="38" t="n"/>
      <c r="H352" s="38" t="n"/>
      <c r="I352" s="38" t="n"/>
      <c r="J352" s="38" t="n"/>
      <c r="K352" s="38" t="n"/>
      <c r="L352" s="38" t="n"/>
      <c r="M352" s="38" t="n"/>
      <c r="N352" s="22">
        <f>IF(COUNTA(A352:M352,O352:P352,R352:X352)=0,"",IF(OR(A352="",B352="",F352=""),"Event ID, AIR-ID or date missing",IF(COUNTIF($A$4:$A$553,A352)&gt;1,"Duplicate Event ID",IF(E352="","Event type missing",IF(OR(NOT(ISNUMBER(F352)),F352&gt;TODAY()),"Date is not a real date or is in the future",IF(AND(C352&lt;&gt;"",COUNTIF('Gate plan'!$A$4:$A$353,C352)=0),"Plan ID not found in Gate plan",IF(AND(C352&lt;&gt;"",COUNTIFS('Gate plan'!$A$4:$A$353,C352,'Gate plan'!$B$4:$B$353,B352)=0),"Plan AIR-ID differs from event",IF(D352="","Gate / forum missing",IF(AND(E352="Precautionary pause (containment)",G352&lt;&gt;"Paused — pending decision"),"Precautionary pause: Outcome must be Paused, pending decision",IF(AND(E352="Precautionary pause (containment)",V352=""),"Precautionary pause: AIG-OPS-03 incident ref missing",IF(AND(E352="Precautionary pause (containment)",NOT(ISNUMBER(W352))),"Precautionary pause: follow-up decision due date missing",IF(AND(G352="Paused — pending decision",E352&lt;&gt;"Precautionary pause (containment)"),"Paused, pending decision is only for a Precautionary pause event",IF(AND(E352="Decision",OR(G352="",H352="",I352="")),"Outcome / delegation / decision ref missing",IF(AND(E352="Decision",NOT(OR(G352="Progress",G352="Progress with condition",G352="Return for evidence",G352="Pause",G352="Stop",G352="Suspend",G352="Decommission",G352="Re-authorise",G352="Resume"))),"Decision event needs a decision outcome",IF(AND(E352="Priority override",OR(H352="",I352="")),"Decision-maker / AIG-DEC-03 ref missing",IF(AND(E352="Priority override",G352&lt;&gt;"",G352&lt;&gt;"No decision"),"Priority override: Outcome blank or No decision",IF(AND(E352&lt;&gt;"Decision",OR(G352="Progress",G352="Progress with condition",G352="Return for evidence",G352="Pause",G352="Stop",G352="Suspend",G352="Decommission",G352="Re-authorise",G352="Resume")),"Outcome implies decision",IF(OR(ISNUMBER(SEARCH(",",O352)),ISNUMBER(SEARCH(";",O352))),"One UC-ID per event row — split this event",IF(AND(E352="Decision",OR(Q352="UC-ID REQUIRED",Q352="Decision scope missing",Q352="REMOVE UC-ID OR CORRECT SCOPE")),"Decision scope missing",IF(AND(G352="Progress with condition",COUNTIF(Conditions!$B$4:$B$553,A352)=0),"Progress with condition needs at least one Conditions row",IF(AND(C352&lt;&gt;"",COUNTIFS('Gate plan'!$A$4:$A$353,C352,'Gate plan'!$C$4:$C$353,D352)=0),"Plan gate differs from event gate",IF(AND(C352&lt;&gt;"",O352&lt;&gt;"",COUNTIFS('Gate plan'!$A$4:$A$353,C352,'Gate plan'!$K$4:$K$353,"&lt;&gt;")&gt;0,COUNTIFS('Gate plan'!$A$4:$A$353,C352,'Gate plan'!$K$4:$K$353,O352)=0),"Plan UC-ID differs from event UC-ID",IF(AND(E352="Assurance opinion",J352=""),"Assurance opinion ref missing",IF(AND(G352="Opinion only",E352&lt;&gt;"Assurance opinion",E352&lt;&gt;"Review only"),"Opinion only is for Assurance opinion or Review only events",IF(AND(G352="No decision",E352&lt;&gt;"Review only",E352&lt;&gt;"Priority override",E352&lt;&gt;"Intake / registration"),"No decision is for Review only, Priority override or Intake / registration events",IF(OR(ISNUMBER(SEARCH(" ",TRIM(O352))),ISNUMBER(SEARCH("/",O352))),"One UC-ID per event row: split this event",IF(AND(E352="Precautionary pause (containment)",ISNUMBER(W352),ISNUMBER(F352),W352&lt;F352),"Follow-up decision due date is before the pause",IF(AND(G352="Resume",IFERROR(LOOKUP(2,1/(($B$3:B351=B352)*($O$3:O351=O352)),$G$3:G351),"")&lt;&gt;"Paused — pending decision"),"Resume is only for the event straight after a Precautionary pause on the same AIR-ID and UC-ID (in an earlier row)",IF(AND(E352="Decision",OR(G352="Progress",G352="Progress with condition",G352="Re-authorise",G352="Resume"),X352&lt;&gt;"Yes"),"Decision-maker has not confirmed the screening was considered (column X)","Check against source")))))))))))))))))))))))))))))</f>
        <v/>
      </c>
      <c r="O352" s="37" t="n"/>
      <c r="P352" s="37" t="n"/>
      <c r="Q352" s="14">
        <f>IF(A352="","",IF(E352&lt;&gt;"Decision","",IF(P352="UC-ID specific",IF(O352="","UC-ID REQUIRED","Check source decision for each UC-ID"),IF(P352="Shared system baseline",IF(O352&lt;&gt;"","REMOVE UC-ID OR CORRECT SCOPE","Baseline only — NOT UC approval"),"Decision scope missing"))))</f>
        <v/>
      </c>
      <c r="R352" s="42" t="n"/>
      <c r="S352" s="38" t="n"/>
      <c r="T352" s="38" t="n"/>
      <c r="U352" s="38" t="n"/>
      <c r="V352" s="38" t="n"/>
      <c r="W352" s="39" t="n"/>
      <c r="X352" s="38" t="n"/>
    </row>
    <row r="353">
      <c r="A353" s="40" t="n"/>
      <c r="B353" s="40" t="n"/>
      <c r="C353" s="40" t="n"/>
      <c r="D353" s="40" t="n"/>
      <c r="E353" s="40" t="n"/>
      <c r="F353" s="41" t="n"/>
      <c r="G353" s="40" t="n"/>
      <c r="H353" s="40" t="n"/>
      <c r="I353" s="40" t="n"/>
      <c r="J353" s="40" t="n"/>
      <c r="K353" s="40" t="n"/>
      <c r="L353" s="40" t="n"/>
      <c r="M353" s="40" t="n"/>
      <c r="N353" s="24">
        <f>IF(COUNTA(A353:M353,O353:P353,R353:X353)=0,"",IF(OR(A353="",B353="",F353=""),"Event ID, AIR-ID or date missing",IF(COUNTIF($A$4:$A$553,A353)&gt;1,"Duplicate Event ID",IF(E353="","Event type missing",IF(OR(NOT(ISNUMBER(F353)),F353&gt;TODAY()),"Date is not a real date or is in the future",IF(AND(C353&lt;&gt;"",COUNTIF('Gate plan'!$A$4:$A$353,C353)=0),"Plan ID not found in Gate plan",IF(AND(C353&lt;&gt;"",COUNTIFS('Gate plan'!$A$4:$A$353,C353,'Gate plan'!$B$4:$B$353,B353)=0),"Plan AIR-ID differs from event",IF(D353="","Gate / forum missing",IF(AND(E353="Precautionary pause (containment)",G353&lt;&gt;"Paused — pending decision"),"Precautionary pause: Outcome must be Paused, pending decision",IF(AND(E353="Precautionary pause (containment)",V353=""),"Precautionary pause: AIG-OPS-03 incident ref missing",IF(AND(E353="Precautionary pause (containment)",NOT(ISNUMBER(W353))),"Precautionary pause: follow-up decision due date missing",IF(AND(G353="Paused — pending decision",E353&lt;&gt;"Precautionary pause (containment)"),"Paused, pending decision is only for a Precautionary pause event",IF(AND(E353="Decision",OR(G353="",H353="",I353="")),"Outcome / delegation / decision ref missing",IF(AND(E353="Decision",NOT(OR(G353="Progress",G353="Progress with condition",G353="Return for evidence",G353="Pause",G353="Stop",G353="Suspend",G353="Decommission",G353="Re-authorise",G353="Resume"))),"Decision event needs a decision outcome",IF(AND(E353="Priority override",OR(H353="",I353="")),"Decision-maker / AIG-DEC-03 ref missing",IF(AND(E353="Priority override",G353&lt;&gt;"",G353&lt;&gt;"No decision"),"Priority override: Outcome blank or No decision",IF(AND(E353&lt;&gt;"Decision",OR(G353="Progress",G353="Progress with condition",G353="Return for evidence",G353="Pause",G353="Stop",G353="Suspend",G353="Decommission",G353="Re-authorise",G353="Resume")),"Outcome implies decision",IF(OR(ISNUMBER(SEARCH(",",O353)),ISNUMBER(SEARCH(";",O353))),"One UC-ID per event row — split this event",IF(AND(E353="Decision",OR(Q353="UC-ID REQUIRED",Q353="Decision scope missing",Q353="REMOVE UC-ID OR CORRECT SCOPE")),"Decision scope missing",IF(AND(G353="Progress with condition",COUNTIF(Conditions!$B$4:$B$553,A353)=0),"Progress with condition needs at least one Conditions row",IF(AND(C353&lt;&gt;"",COUNTIFS('Gate plan'!$A$4:$A$353,C353,'Gate plan'!$C$4:$C$353,D353)=0),"Plan gate differs from event gate",IF(AND(C353&lt;&gt;"",O353&lt;&gt;"",COUNTIFS('Gate plan'!$A$4:$A$353,C353,'Gate plan'!$K$4:$K$353,"&lt;&gt;")&gt;0,COUNTIFS('Gate plan'!$A$4:$A$353,C353,'Gate plan'!$K$4:$K$353,O353)=0),"Plan UC-ID differs from event UC-ID",IF(AND(E353="Assurance opinion",J353=""),"Assurance opinion ref missing",IF(AND(G353="Opinion only",E353&lt;&gt;"Assurance opinion",E353&lt;&gt;"Review only"),"Opinion only is for Assurance opinion or Review only events",IF(AND(G353="No decision",E353&lt;&gt;"Review only",E353&lt;&gt;"Priority override",E353&lt;&gt;"Intake / registration"),"No decision is for Review only, Priority override or Intake / registration events",IF(OR(ISNUMBER(SEARCH(" ",TRIM(O353))),ISNUMBER(SEARCH("/",O353))),"One UC-ID per event row: split this event",IF(AND(E353="Precautionary pause (containment)",ISNUMBER(W353),ISNUMBER(F353),W353&lt;F353),"Follow-up decision due date is before the pause",IF(AND(G353="Resume",IFERROR(LOOKUP(2,1/(($B$3:B352=B353)*($O$3:O352=O353)),$G$3:G352),"")&lt;&gt;"Paused — pending decision"),"Resume is only for the event straight after a Precautionary pause on the same AIR-ID and UC-ID (in an earlier row)",IF(AND(E353="Decision",OR(G353="Progress",G353="Progress with condition",G353="Re-authorise",G353="Resume"),X353&lt;&gt;"Yes"),"Decision-maker has not confirmed the screening was considered (column X)","Check against source")))))))))))))))))))))))))))))</f>
        <v/>
      </c>
      <c r="O353" s="37" t="n"/>
      <c r="P353" s="37" t="n"/>
      <c r="Q353" s="14">
        <f>IF(A353="","",IF(E353&lt;&gt;"Decision","",IF(P353="UC-ID specific",IF(O353="","UC-ID REQUIRED","Check source decision for each UC-ID"),IF(P353="Shared system baseline",IF(O353&lt;&gt;"","REMOVE UC-ID OR CORRECT SCOPE","Baseline only — NOT UC approval"),"Decision scope missing"))))</f>
        <v/>
      </c>
      <c r="R353" s="43" t="n"/>
      <c r="S353" s="40" t="n"/>
      <c r="T353" s="40" t="n"/>
      <c r="U353" s="40" t="n"/>
      <c r="V353" s="40" t="n"/>
      <c r="W353" s="41" t="n"/>
      <c r="X353" s="38" t="n"/>
    </row>
    <row r="354">
      <c r="A354" s="38" t="n"/>
      <c r="B354" s="38" t="n"/>
      <c r="C354" s="38" t="n"/>
      <c r="D354" s="38" t="n"/>
      <c r="E354" s="38" t="n"/>
      <c r="F354" s="39" t="n"/>
      <c r="G354" s="38" t="n"/>
      <c r="H354" s="38" t="n"/>
      <c r="I354" s="38" t="n"/>
      <c r="J354" s="38" t="n"/>
      <c r="K354" s="38" t="n"/>
      <c r="L354" s="38" t="n"/>
      <c r="M354" s="38" t="n"/>
      <c r="N354" s="22">
        <f>IF(COUNTA(A354:M354,O354:P354,R354:X354)=0,"",IF(OR(A354="",B354="",F354=""),"Event ID, AIR-ID or date missing",IF(COUNTIF($A$4:$A$553,A354)&gt;1,"Duplicate Event ID",IF(E354="","Event type missing",IF(OR(NOT(ISNUMBER(F354)),F354&gt;TODAY()),"Date is not a real date or is in the future",IF(AND(C354&lt;&gt;"",COUNTIF('Gate plan'!$A$4:$A$353,C354)=0),"Plan ID not found in Gate plan",IF(AND(C354&lt;&gt;"",COUNTIFS('Gate plan'!$A$4:$A$353,C354,'Gate plan'!$B$4:$B$353,B354)=0),"Plan AIR-ID differs from event",IF(D354="","Gate / forum missing",IF(AND(E354="Precautionary pause (containment)",G354&lt;&gt;"Paused — pending decision"),"Precautionary pause: Outcome must be Paused, pending decision",IF(AND(E354="Precautionary pause (containment)",V354=""),"Precautionary pause: AIG-OPS-03 incident ref missing",IF(AND(E354="Precautionary pause (containment)",NOT(ISNUMBER(W354))),"Precautionary pause: follow-up decision due date missing",IF(AND(G354="Paused — pending decision",E354&lt;&gt;"Precautionary pause (containment)"),"Paused, pending decision is only for a Precautionary pause event",IF(AND(E354="Decision",OR(G354="",H354="",I354="")),"Outcome / delegation / decision ref missing",IF(AND(E354="Decision",NOT(OR(G354="Progress",G354="Progress with condition",G354="Return for evidence",G354="Pause",G354="Stop",G354="Suspend",G354="Decommission",G354="Re-authorise",G354="Resume"))),"Decision event needs a decision outcome",IF(AND(E354="Priority override",OR(H354="",I354="")),"Decision-maker / AIG-DEC-03 ref missing",IF(AND(E354="Priority override",G354&lt;&gt;"",G354&lt;&gt;"No decision"),"Priority override: Outcome blank or No decision",IF(AND(E354&lt;&gt;"Decision",OR(G354="Progress",G354="Progress with condition",G354="Return for evidence",G354="Pause",G354="Stop",G354="Suspend",G354="Decommission",G354="Re-authorise",G354="Resume")),"Outcome implies decision",IF(OR(ISNUMBER(SEARCH(",",O354)),ISNUMBER(SEARCH(";",O354))),"One UC-ID per event row — split this event",IF(AND(E354="Decision",OR(Q354="UC-ID REQUIRED",Q354="Decision scope missing",Q354="REMOVE UC-ID OR CORRECT SCOPE")),"Decision scope missing",IF(AND(G354="Progress with condition",COUNTIF(Conditions!$B$4:$B$553,A354)=0),"Progress with condition needs at least one Conditions row",IF(AND(C354&lt;&gt;"",COUNTIFS('Gate plan'!$A$4:$A$353,C354,'Gate plan'!$C$4:$C$353,D354)=0),"Plan gate differs from event gate",IF(AND(C354&lt;&gt;"",O354&lt;&gt;"",COUNTIFS('Gate plan'!$A$4:$A$353,C354,'Gate plan'!$K$4:$K$353,"&lt;&gt;")&gt;0,COUNTIFS('Gate plan'!$A$4:$A$353,C354,'Gate plan'!$K$4:$K$353,O354)=0),"Plan UC-ID differs from event UC-ID",IF(AND(E354="Assurance opinion",J354=""),"Assurance opinion ref missing",IF(AND(G354="Opinion only",E354&lt;&gt;"Assurance opinion",E354&lt;&gt;"Review only"),"Opinion only is for Assurance opinion or Review only events",IF(AND(G354="No decision",E354&lt;&gt;"Review only",E354&lt;&gt;"Priority override",E354&lt;&gt;"Intake / registration"),"No decision is for Review only, Priority override or Intake / registration events",IF(OR(ISNUMBER(SEARCH(" ",TRIM(O354))),ISNUMBER(SEARCH("/",O354))),"One UC-ID per event row: split this event",IF(AND(E354="Precautionary pause (containment)",ISNUMBER(W354),ISNUMBER(F354),W354&lt;F354),"Follow-up decision due date is before the pause",IF(AND(G354="Resume",IFERROR(LOOKUP(2,1/(($B$3:B353=B354)*($O$3:O353=O354)),$G$3:G353),"")&lt;&gt;"Paused — pending decision"),"Resume is only for the event straight after a Precautionary pause on the same AIR-ID and UC-ID (in an earlier row)",IF(AND(E354="Decision",OR(G354="Progress",G354="Progress with condition",G354="Re-authorise",G354="Resume"),X354&lt;&gt;"Yes"),"Decision-maker has not confirmed the screening was considered (column X)","Check against source")))))))))))))))))))))))))))))</f>
        <v/>
      </c>
      <c r="O354" s="37" t="n"/>
      <c r="P354" s="37" t="n"/>
      <c r="Q354" s="14">
        <f>IF(A354="","",IF(E354&lt;&gt;"Decision","",IF(P354="UC-ID specific",IF(O354="","UC-ID REQUIRED","Check source decision for each UC-ID"),IF(P354="Shared system baseline",IF(O354&lt;&gt;"","REMOVE UC-ID OR CORRECT SCOPE","Baseline only — NOT UC approval"),"Decision scope missing"))))</f>
        <v/>
      </c>
      <c r="R354" s="42" t="n"/>
      <c r="S354" s="38" t="n"/>
      <c r="T354" s="38" t="n"/>
      <c r="U354" s="38" t="n"/>
      <c r="V354" s="38" t="n"/>
      <c r="W354" s="39" t="n"/>
      <c r="X354" s="38" t="n"/>
    </row>
    <row r="355">
      <c r="A355" s="40" t="n"/>
      <c r="B355" s="40" t="n"/>
      <c r="C355" s="40" t="n"/>
      <c r="D355" s="40" t="n"/>
      <c r="E355" s="40" t="n"/>
      <c r="F355" s="41" t="n"/>
      <c r="G355" s="40" t="n"/>
      <c r="H355" s="40" t="n"/>
      <c r="I355" s="40" t="n"/>
      <c r="J355" s="40" t="n"/>
      <c r="K355" s="40" t="n"/>
      <c r="L355" s="40" t="n"/>
      <c r="M355" s="40" t="n"/>
      <c r="N355" s="24">
        <f>IF(COUNTA(A355:M355,O355:P355,R355:X355)=0,"",IF(OR(A355="",B355="",F355=""),"Event ID, AIR-ID or date missing",IF(COUNTIF($A$4:$A$553,A355)&gt;1,"Duplicate Event ID",IF(E355="","Event type missing",IF(OR(NOT(ISNUMBER(F355)),F355&gt;TODAY()),"Date is not a real date or is in the future",IF(AND(C355&lt;&gt;"",COUNTIF('Gate plan'!$A$4:$A$353,C355)=0),"Plan ID not found in Gate plan",IF(AND(C355&lt;&gt;"",COUNTIFS('Gate plan'!$A$4:$A$353,C355,'Gate plan'!$B$4:$B$353,B355)=0),"Plan AIR-ID differs from event",IF(D355="","Gate / forum missing",IF(AND(E355="Precautionary pause (containment)",G355&lt;&gt;"Paused — pending decision"),"Precautionary pause: Outcome must be Paused, pending decision",IF(AND(E355="Precautionary pause (containment)",V355=""),"Precautionary pause: AIG-OPS-03 incident ref missing",IF(AND(E355="Precautionary pause (containment)",NOT(ISNUMBER(W355))),"Precautionary pause: follow-up decision due date missing",IF(AND(G355="Paused — pending decision",E355&lt;&gt;"Precautionary pause (containment)"),"Paused, pending decision is only for a Precautionary pause event",IF(AND(E355="Decision",OR(G355="",H355="",I355="")),"Outcome / delegation / decision ref missing",IF(AND(E355="Decision",NOT(OR(G355="Progress",G355="Progress with condition",G355="Return for evidence",G355="Pause",G355="Stop",G355="Suspend",G355="Decommission",G355="Re-authorise",G355="Resume"))),"Decision event needs a decision outcome",IF(AND(E355="Priority override",OR(H355="",I355="")),"Decision-maker / AIG-DEC-03 ref missing",IF(AND(E355="Priority override",G355&lt;&gt;"",G355&lt;&gt;"No decision"),"Priority override: Outcome blank or No decision",IF(AND(E355&lt;&gt;"Decision",OR(G355="Progress",G355="Progress with condition",G355="Return for evidence",G355="Pause",G355="Stop",G355="Suspend",G355="Decommission",G355="Re-authorise",G355="Resume")),"Outcome implies decision",IF(OR(ISNUMBER(SEARCH(",",O355)),ISNUMBER(SEARCH(";",O355))),"One UC-ID per event row — split this event",IF(AND(E355="Decision",OR(Q355="UC-ID REQUIRED",Q355="Decision scope missing",Q355="REMOVE UC-ID OR CORRECT SCOPE")),"Decision scope missing",IF(AND(G355="Progress with condition",COUNTIF(Conditions!$B$4:$B$553,A355)=0),"Progress with condition needs at least one Conditions row",IF(AND(C355&lt;&gt;"",COUNTIFS('Gate plan'!$A$4:$A$353,C355,'Gate plan'!$C$4:$C$353,D355)=0),"Plan gate differs from event gate",IF(AND(C355&lt;&gt;"",O355&lt;&gt;"",COUNTIFS('Gate plan'!$A$4:$A$353,C355,'Gate plan'!$K$4:$K$353,"&lt;&gt;")&gt;0,COUNTIFS('Gate plan'!$A$4:$A$353,C355,'Gate plan'!$K$4:$K$353,O355)=0),"Plan UC-ID differs from event UC-ID",IF(AND(E355="Assurance opinion",J355=""),"Assurance opinion ref missing",IF(AND(G355="Opinion only",E355&lt;&gt;"Assurance opinion",E355&lt;&gt;"Review only"),"Opinion only is for Assurance opinion or Review only events",IF(AND(G355="No decision",E355&lt;&gt;"Review only",E355&lt;&gt;"Priority override",E355&lt;&gt;"Intake / registration"),"No decision is for Review only, Priority override or Intake / registration events",IF(OR(ISNUMBER(SEARCH(" ",TRIM(O355))),ISNUMBER(SEARCH("/",O355))),"One UC-ID per event row: split this event",IF(AND(E355="Precautionary pause (containment)",ISNUMBER(W355),ISNUMBER(F355),W355&lt;F355),"Follow-up decision due date is before the pause",IF(AND(G355="Resume",IFERROR(LOOKUP(2,1/(($B$3:B354=B355)*($O$3:O354=O355)),$G$3:G354),"")&lt;&gt;"Paused — pending decision"),"Resume is only for the event straight after a Precautionary pause on the same AIR-ID and UC-ID (in an earlier row)",IF(AND(E355="Decision",OR(G355="Progress",G355="Progress with condition",G355="Re-authorise",G355="Resume"),X355&lt;&gt;"Yes"),"Decision-maker has not confirmed the screening was considered (column X)","Check against source")))))))))))))))))))))))))))))</f>
        <v/>
      </c>
      <c r="O355" s="37" t="n"/>
      <c r="P355" s="37" t="n"/>
      <c r="Q355" s="14">
        <f>IF(A355="","",IF(E355&lt;&gt;"Decision","",IF(P355="UC-ID specific",IF(O355="","UC-ID REQUIRED","Check source decision for each UC-ID"),IF(P355="Shared system baseline",IF(O355&lt;&gt;"","REMOVE UC-ID OR CORRECT SCOPE","Baseline only — NOT UC approval"),"Decision scope missing"))))</f>
        <v/>
      </c>
      <c r="R355" s="43" t="n"/>
      <c r="S355" s="40" t="n"/>
      <c r="T355" s="40" t="n"/>
      <c r="U355" s="40" t="n"/>
      <c r="V355" s="40" t="n"/>
      <c r="W355" s="41" t="n"/>
      <c r="X355" s="38" t="n"/>
    </row>
    <row r="356">
      <c r="A356" s="38" t="n"/>
      <c r="B356" s="38" t="n"/>
      <c r="C356" s="38" t="n"/>
      <c r="D356" s="38" t="n"/>
      <c r="E356" s="38" t="n"/>
      <c r="F356" s="39" t="n"/>
      <c r="G356" s="38" t="n"/>
      <c r="H356" s="38" t="n"/>
      <c r="I356" s="38" t="n"/>
      <c r="J356" s="38" t="n"/>
      <c r="K356" s="38" t="n"/>
      <c r="L356" s="38" t="n"/>
      <c r="M356" s="38" t="n"/>
      <c r="N356" s="22">
        <f>IF(COUNTA(A356:M356,O356:P356,R356:X356)=0,"",IF(OR(A356="",B356="",F356=""),"Event ID, AIR-ID or date missing",IF(COUNTIF($A$4:$A$553,A356)&gt;1,"Duplicate Event ID",IF(E356="","Event type missing",IF(OR(NOT(ISNUMBER(F356)),F356&gt;TODAY()),"Date is not a real date or is in the future",IF(AND(C356&lt;&gt;"",COUNTIF('Gate plan'!$A$4:$A$353,C356)=0),"Plan ID not found in Gate plan",IF(AND(C356&lt;&gt;"",COUNTIFS('Gate plan'!$A$4:$A$353,C356,'Gate plan'!$B$4:$B$353,B356)=0),"Plan AIR-ID differs from event",IF(D356="","Gate / forum missing",IF(AND(E356="Precautionary pause (containment)",G356&lt;&gt;"Paused — pending decision"),"Precautionary pause: Outcome must be Paused, pending decision",IF(AND(E356="Precautionary pause (containment)",V356=""),"Precautionary pause: AIG-OPS-03 incident ref missing",IF(AND(E356="Precautionary pause (containment)",NOT(ISNUMBER(W356))),"Precautionary pause: follow-up decision due date missing",IF(AND(G356="Paused — pending decision",E356&lt;&gt;"Precautionary pause (containment)"),"Paused, pending decision is only for a Precautionary pause event",IF(AND(E356="Decision",OR(G356="",H356="",I356="")),"Outcome / delegation / decision ref missing",IF(AND(E356="Decision",NOT(OR(G356="Progress",G356="Progress with condition",G356="Return for evidence",G356="Pause",G356="Stop",G356="Suspend",G356="Decommission",G356="Re-authorise",G356="Resume"))),"Decision event needs a decision outcome",IF(AND(E356="Priority override",OR(H356="",I356="")),"Decision-maker / AIG-DEC-03 ref missing",IF(AND(E356="Priority override",G356&lt;&gt;"",G356&lt;&gt;"No decision"),"Priority override: Outcome blank or No decision",IF(AND(E356&lt;&gt;"Decision",OR(G356="Progress",G356="Progress with condition",G356="Return for evidence",G356="Pause",G356="Stop",G356="Suspend",G356="Decommission",G356="Re-authorise",G356="Resume")),"Outcome implies decision",IF(OR(ISNUMBER(SEARCH(",",O356)),ISNUMBER(SEARCH(";",O356))),"One UC-ID per event row — split this event",IF(AND(E356="Decision",OR(Q356="UC-ID REQUIRED",Q356="Decision scope missing",Q356="REMOVE UC-ID OR CORRECT SCOPE")),"Decision scope missing",IF(AND(G356="Progress with condition",COUNTIF(Conditions!$B$4:$B$553,A356)=0),"Progress with condition needs at least one Conditions row",IF(AND(C356&lt;&gt;"",COUNTIFS('Gate plan'!$A$4:$A$353,C356,'Gate plan'!$C$4:$C$353,D356)=0),"Plan gate differs from event gate",IF(AND(C356&lt;&gt;"",O356&lt;&gt;"",COUNTIFS('Gate plan'!$A$4:$A$353,C356,'Gate plan'!$K$4:$K$353,"&lt;&gt;")&gt;0,COUNTIFS('Gate plan'!$A$4:$A$353,C356,'Gate plan'!$K$4:$K$353,O356)=0),"Plan UC-ID differs from event UC-ID",IF(AND(E356="Assurance opinion",J356=""),"Assurance opinion ref missing",IF(AND(G356="Opinion only",E356&lt;&gt;"Assurance opinion",E356&lt;&gt;"Review only"),"Opinion only is for Assurance opinion or Review only events",IF(AND(G356="No decision",E356&lt;&gt;"Review only",E356&lt;&gt;"Priority override",E356&lt;&gt;"Intake / registration"),"No decision is for Review only, Priority override or Intake / registration events",IF(OR(ISNUMBER(SEARCH(" ",TRIM(O356))),ISNUMBER(SEARCH("/",O356))),"One UC-ID per event row: split this event",IF(AND(E356="Precautionary pause (containment)",ISNUMBER(W356),ISNUMBER(F356),W356&lt;F356),"Follow-up decision due date is before the pause",IF(AND(G356="Resume",IFERROR(LOOKUP(2,1/(($B$3:B355=B356)*($O$3:O355=O356)),$G$3:G355),"")&lt;&gt;"Paused — pending decision"),"Resume is only for the event straight after a Precautionary pause on the same AIR-ID and UC-ID (in an earlier row)",IF(AND(E356="Decision",OR(G356="Progress",G356="Progress with condition",G356="Re-authorise",G356="Resume"),X356&lt;&gt;"Yes"),"Decision-maker has not confirmed the screening was considered (column X)","Check against source")))))))))))))))))))))))))))))</f>
        <v/>
      </c>
      <c r="O356" s="37" t="n"/>
      <c r="P356" s="37" t="n"/>
      <c r="Q356" s="14">
        <f>IF(A356="","",IF(E356&lt;&gt;"Decision","",IF(P356="UC-ID specific",IF(O356="","UC-ID REQUIRED","Check source decision for each UC-ID"),IF(P356="Shared system baseline",IF(O356&lt;&gt;"","REMOVE UC-ID OR CORRECT SCOPE","Baseline only — NOT UC approval"),"Decision scope missing"))))</f>
        <v/>
      </c>
      <c r="R356" s="42" t="n"/>
      <c r="S356" s="38" t="n"/>
      <c r="T356" s="38" t="n"/>
      <c r="U356" s="38" t="n"/>
      <c r="V356" s="38" t="n"/>
      <c r="W356" s="39" t="n"/>
      <c r="X356" s="38" t="n"/>
    </row>
    <row r="357">
      <c r="A357" s="40" t="n"/>
      <c r="B357" s="40" t="n"/>
      <c r="C357" s="40" t="n"/>
      <c r="D357" s="40" t="n"/>
      <c r="E357" s="40" t="n"/>
      <c r="F357" s="41" t="n"/>
      <c r="G357" s="40" t="n"/>
      <c r="H357" s="40" t="n"/>
      <c r="I357" s="40" t="n"/>
      <c r="J357" s="40" t="n"/>
      <c r="K357" s="40" t="n"/>
      <c r="L357" s="40" t="n"/>
      <c r="M357" s="40" t="n"/>
      <c r="N357" s="24">
        <f>IF(COUNTA(A357:M357,O357:P357,R357:X357)=0,"",IF(OR(A357="",B357="",F357=""),"Event ID, AIR-ID or date missing",IF(COUNTIF($A$4:$A$553,A357)&gt;1,"Duplicate Event ID",IF(E357="","Event type missing",IF(OR(NOT(ISNUMBER(F357)),F357&gt;TODAY()),"Date is not a real date or is in the future",IF(AND(C357&lt;&gt;"",COUNTIF('Gate plan'!$A$4:$A$353,C357)=0),"Plan ID not found in Gate plan",IF(AND(C357&lt;&gt;"",COUNTIFS('Gate plan'!$A$4:$A$353,C357,'Gate plan'!$B$4:$B$353,B357)=0),"Plan AIR-ID differs from event",IF(D357="","Gate / forum missing",IF(AND(E357="Precautionary pause (containment)",G357&lt;&gt;"Paused — pending decision"),"Precautionary pause: Outcome must be Paused, pending decision",IF(AND(E357="Precautionary pause (containment)",V357=""),"Precautionary pause: AIG-OPS-03 incident ref missing",IF(AND(E357="Precautionary pause (containment)",NOT(ISNUMBER(W357))),"Precautionary pause: follow-up decision due date missing",IF(AND(G357="Paused — pending decision",E357&lt;&gt;"Precautionary pause (containment)"),"Paused, pending decision is only for a Precautionary pause event",IF(AND(E357="Decision",OR(G357="",H357="",I357="")),"Outcome / delegation / decision ref missing",IF(AND(E357="Decision",NOT(OR(G357="Progress",G357="Progress with condition",G357="Return for evidence",G357="Pause",G357="Stop",G357="Suspend",G357="Decommission",G357="Re-authorise",G357="Resume"))),"Decision event needs a decision outcome",IF(AND(E357="Priority override",OR(H357="",I357="")),"Decision-maker / AIG-DEC-03 ref missing",IF(AND(E357="Priority override",G357&lt;&gt;"",G357&lt;&gt;"No decision"),"Priority override: Outcome blank or No decision",IF(AND(E357&lt;&gt;"Decision",OR(G357="Progress",G357="Progress with condition",G357="Return for evidence",G357="Pause",G357="Stop",G357="Suspend",G357="Decommission",G357="Re-authorise",G357="Resume")),"Outcome implies decision",IF(OR(ISNUMBER(SEARCH(",",O357)),ISNUMBER(SEARCH(";",O357))),"One UC-ID per event row — split this event",IF(AND(E357="Decision",OR(Q357="UC-ID REQUIRED",Q357="Decision scope missing",Q357="REMOVE UC-ID OR CORRECT SCOPE")),"Decision scope missing",IF(AND(G357="Progress with condition",COUNTIF(Conditions!$B$4:$B$553,A357)=0),"Progress with condition needs at least one Conditions row",IF(AND(C357&lt;&gt;"",COUNTIFS('Gate plan'!$A$4:$A$353,C357,'Gate plan'!$C$4:$C$353,D357)=0),"Plan gate differs from event gate",IF(AND(C357&lt;&gt;"",O357&lt;&gt;"",COUNTIFS('Gate plan'!$A$4:$A$353,C357,'Gate plan'!$K$4:$K$353,"&lt;&gt;")&gt;0,COUNTIFS('Gate plan'!$A$4:$A$353,C357,'Gate plan'!$K$4:$K$353,O357)=0),"Plan UC-ID differs from event UC-ID",IF(AND(E357="Assurance opinion",J357=""),"Assurance opinion ref missing",IF(AND(G357="Opinion only",E357&lt;&gt;"Assurance opinion",E357&lt;&gt;"Review only"),"Opinion only is for Assurance opinion or Review only events",IF(AND(G357="No decision",E357&lt;&gt;"Review only",E357&lt;&gt;"Priority override",E357&lt;&gt;"Intake / registration"),"No decision is for Review only, Priority override or Intake / registration events",IF(OR(ISNUMBER(SEARCH(" ",TRIM(O357))),ISNUMBER(SEARCH("/",O357))),"One UC-ID per event row: split this event",IF(AND(E357="Precautionary pause (containment)",ISNUMBER(W357),ISNUMBER(F357),W357&lt;F357),"Follow-up decision due date is before the pause",IF(AND(G357="Resume",IFERROR(LOOKUP(2,1/(($B$3:B356=B357)*($O$3:O356=O357)),$G$3:G356),"")&lt;&gt;"Paused — pending decision"),"Resume is only for the event straight after a Precautionary pause on the same AIR-ID and UC-ID (in an earlier row)",IF(AND(E357="Decision",OR(G357="Progress",G357="Progress with condition",G357="Re-authorise",G357="Resume"),X357&lt;&gt;"Yes"),"Decision-maker has not confirmed the screening was considered (column X)","Check against source")))))))))))))))))))))))))))))</f>
        <v/>
      </c>
      <c r="O357" s="37" t="n"/>
      <c r="P357" s="37" t="n"/>
      <c r="Q357" s="14">
        <f>IF(A357="","",IF(E357&lt;&gt;"Decision","",IF(P357="UC-ID specific",IF(O357="","UC-ID REQUIRED","Check source decision for each UC-ID"),IF(P357="Shared system baseline",IF(O357&lt;&gt;"","REMOVE UC-ID OR CORRECT SCOPE","Baseline only — NOT UC approval"),"Decision scope missing"))))</f>
        <v/>
      </c>
      <c r="R357" s="43" t="n"/>
      <c r="S357" s="40" t="n"/>
      <c r="T357" s="40" t="n"/>
      <c r="U357" s="40" t="n"/>
      <c r="V357" s="40" t="n"/>
      <c r="W357" s="41" t="n"/>
      <c r="X357" s="38" t="n"/>
    </row>
    <row r="358">
      <c r="A358" s="38" t="n"/>
      <c r="B358" s="38" t="n"/>
      <c r="C358" s="38" t="n"/>
      <c r="D358" s="38" t="n"/>
      <c r="E358" s="38" t="n"/>
      <c r="F358" s="39" t="n"/>
      <c r="G358" s="38" t="n"/>
      <c r="H358" s="38" t="n"/>
      <c r="I358" s="38" t="n"/>
      <c r="J358" s="38" t="n"/>
      <c r="K358" s="38" t="n"/>
      <c r="L358" s="38" t="n"/>
      <c r="M358" s="38" t="n"/>
      <c r="N358" s="22">
        <f>IF(COUNTA(A358:M358,O358:P358,R358:X358)=0,"",IF(OR(A358="",B358="",F358=""),"Event ID, AIR-ID or date missing",IF(COUNTIF($A$4:$A$553,A358)&gt;1,"Duplicate Event ID",IF(E358="","Event type missing",IF(OR(NOT(ISNUMBER(F358)),F358&gt;TODAY()),"Date is not a real date or is in the future",IF(AND(C358&lt;&gt;"",COUNTIF('Gate plan'!$A$4:$A$353,C358)=0),"Plan ID not found in Gate plan",IF(AND(C358&lt;&gt;"",COUNTIFS('Gate plan'!$A$4:$A$353,C358,'Gate plan'!$B$4:$B$353,B358)=0),"Plan AIR-ID differs from event",IF(D358="","Gate / forum missing",IF(AND(E358="Precautionary pause (containment)",G358&lt;&gt;"Paused — pending decision"),"Precautionary pause: Outcome must be Paused, pending decision",IF(AND(E358="Precautionary pause (containment)",V358=""),"Precautionary pause: AIG-OPS-03 incident ref missing",IF(AND(E358="Precautionary pause (containment)",NOT(ISNUMBER(W358))),"Precautionary pause: follow-up decision due date missing",IF(AND(G358="Paused — pending decision",E358&lt;&gt;"Precautionary pause (containment)"),"Paused, pending decision is only for a Precautionary pause event",IF(AND(E358="Decision",OR(G358="",H358="",I358="")),"Outcome / delegation / decision ref missing",IF(AND(E358="Decision",NOT(OR(G358="Progress",G358="Progress with condition",G358="Return for evidence",G358="Pause",G358="Stop",G358="Suspend",G358="Decommission",G358="Re-authorise",G358="Resume"))),"Decision event needs a decision outcome",IF(AND(E358="Priority override",OR(H358="",I358="")),"Decision-maker / AIG-DEC-03 ref missing",IF(AND(E358="Priority override",G358&lt;&gt;"",G358&lt;&gt;"No decision"),"Priority override: Outcome blank or No decision",IF(AND(E358&lt;&gt;"Decision",OR(G358="Progress",G358="Progress with condition",G358="Return for evidence",G358="Pause",G358="Stop",G358="Suspend",G358="Decommission",G358="Re-authorise",G358="Resume")),"Outcome implies decision",IF(OR(ISNUMBER(SEARCH(",",O358)),ISNUMBER(SEARCH(";",O358))),"One UC-ID per event row — split this event",IF(AND(E358="Decision",OR(Q358="UC-ID REQUIRED",Q358="Decision scope missing",Q358="REMOVE UC-ID OR CORRECT SCOPE")),"Decision scope missing",IF(AND(G358="Progress with condition",COUNTIF(Conditions!$B$4:$B$553,A358)=0),"Progress with condition needs at least one Conditions row",IF(AND(C358&lt;&gt;"",COUNTIFS('Gate plan'!$A$4:$A$353,C358,'Gate plan'!$C$4:$C$353,D358)=0),"Plan gate differs from event gate",IF(AND(C358&lt;&gt;"",O358&lt;&gt;"",COUNTIFS('Gate plan'!$A$4:$A$353,C358,'Gate plan'!$K$4:$K$353,"&lt;&gt;")&gt;0,COUNTIFS('Gate plan'!$A$4:$A$353,C358,'Gate plan'!$K$4:$K$353,O358)=0),"Plan UC-ID differs from event UC-ID",IF(AND(E358="Assurance opinion",J358=""),"Assurance opinion ref missing",IF(AND(G358="Opinion only",E358&lt;&gt;"Assurance opinion",E358&lt;&gt;"Review only"),"Opinion only is for Assurance opinion or Review only events",IF(AND(G358="No decision",E358&lt;&gt;"Review only",E358&lt;&gt;"Priority override",E358&lt;&gt;"Intake / registration"),"No decision is for Review only, Priority override or Intake / registration events",IF(OR(ISNUMBER(SEARCH(" ",TRIM(O358))),ISNUMBER(SEARCH("/",O358))),"One UC-ID per event row: split this event",IF(AND(E358="Precautionary pause (containment)",ISNUMBER(W358),ISNUMBER(F358),W358&lt;F358),"Follow-up decision due date is before the pause",IF(AND(G358="Resume",IFERROR(LOOKUP(2,1/(($B$3:B357=B358)*($O$3:O357=O358)),$G$3:G357),"")&lt;&gt;"Paused — pending decision"),"Resume is only for the event straight after a Precautionary pause on the same AIR-ID and UC-ID (in an earlier row)",IF(AND(E358="Decision",OR(G358="Progress",G358="Progress with condition",G358="Re-authorise",G358="Resume"),X358&lt;&gt;"Yes"),"Decision-maker has not confirmed the screening was considered (column X)","Check against source")))))))))))))))))))))))))))))</f>
        <v/>
      </c>
      <c r="O358" s="37" t="n"/>
      <c r="P358" s="37" t="n"/>
      <c r="Q358" s="14">
        <f>IF(A358="","",IF(E358&lt;&gt;"Decision","",IF(P358="UC-ID specific",IF(O358="","UC-ID REQUIRED","Check source decision for each UC-ID"),IF(P358="Shared system baseline",IF(O358&lt;&gt;"","REMOVE UC-ID OR CORRECT SCOPE","Baseline only — NOT UC approval"),"Decision scope missing"))))</f>
        <v/>
      </c>
      <c r="R358" s="42" t="n"/>
      <c r="S358" s="38" t="n"/>
      <c r="T358" s="38" t="n"/>
      <c r="U358" s="38" t="n"/>
      <c r="V358" s="38" t="n"/>
      <c r="W358" s="39" t="n"/>
      <c r="X358" s="38" t="n"/>
    </row>
    <row r="359">
      <c r="A359" s="40" t="n"/>
      <c r="B359" s="40" t="n"/>
      <c r="C359" s="40" t="n"/>
      <c r="D359" s="40" t="n"/>
      <c r="E359" s="40" t="n"/>
      <c r="F359" s="41" t="n"/>
      <c r="G359" s="40" t="n"/>
      <c r="H359" s="40" t="n"/>
      <c r="I359" s="40" t="n"/>
      <c r="J359" s="40" t="n"/>
      <c r="K359" s="40" t="n"/>
      <c r="L359" s="40" t="n"/>
      <c r="M359" s="40" t="n"/>
      <c r="N359" s="24">
        <f>IF(COUNTA(A359:M359,O359:P359,R359:X359)=0,"",IF(OR(A359="",B359="",F359=""),"Event ID, AIR-ID or date missing",IF(COUNTIF($A$4:$A$553,A359)&gt;1,"Duplicate Event ID",IF(E359="","Event type missing",IF(OR(NOT(ISNUMBER(F359)),F359&gt;TODAY()),"Date is not a real date or is in the future",IF(AND(C359&lt;&gt;"",COUNTIF('Gate plan'!$A$4:$A$353,C359)=0),"Plan ID not found in Gate plan",IF(AND(C359&lt;&gt;"",COUNTIFS('Gate plan'!$A$4:$A$353,C359,'Gate plan'!$B$4:$B$353,B359)=0),"Plan AIR-ID differs from event",IF(D359="","Gate / forum missing",IF(AND(E359="Precautionary pause (containment)",G359&lt;&gt;"Paused — pending decision"),"Precautionary pause: Outcome must be Paused, pending decision",IF(AND(E359="Precautionary pause (containment)",V359=""),"Precautionary pause: AIG-OPS-03 incident ref missing",IF(AND(E359="Precautionary pause (containment)",NOT(ISNUMBER(W359))),"Precautionary pause: follow-up decision due date missing",IF(AND(G359="Paused — pending decision",E359&lt;&gt;"Precautionary pause (containment)"),"Paused, pending decision is only for a Precautionary pause event",IF(AND(E359="Decision",OR(G359="",H359="",I359="")),"Outcome / delegation / decision ref missing",IF(AND(E359="Decision",NOT(OR(G359="Progress",G359="Progress with condition",G359="Return for evidence",G359="Pause",G359="Stop",G359="Suspend",G359="Decommission",G359="Re-authorise",G359="Resume"))),"Decision event needs a decision outcome",IF(AND(E359="Priority override",OR(H359="",I359="")),"Decision-maker / AIG-DEC-03 ref missing",IF(AND(E359="Priority override",G359&lt;&gt;"",G359&lt;&gt;"No decision"),"Priority override: Outcome blank or No decision",IF(AND(E359&lt;&gt;"Decision",OR(G359="Progress",G359="Progress with condition",G359="Return for evidence",G359="Pause",G359="Stop",G359="Suspend",G359="Decommission",G359="Re-authorise",G359="Resume")),"Outcome implies decision",IF(OR(ISNUMBER(SEARCH(",",O359)),ISNUMBER(SEARCH(";",O359))),"One UC-ID per event row — split this event",IF(AND(E359="Decision",OR(Q359="UC-ID REQUIRED",Q359="Decision scope missing",Q359="REMOVE UC-ID OR CORRECT SCOPE")),"Decision scope missing",IF(AND(G359="Progress with condition",COUNTIF(Conditions!$B$4:$B$553,A359)=0),"Progress with condition needs at least one Conditions row",IF(AND(C359&lt;&gt;"",COUNTIFS('Gate plan'!$A$4:$A$353,C359,'Gate plan'!$C$4:$C$353,D359)=0),"Plan gate differs from event gate",IF(AND(C359&lt;&gt;"",O359&lt;&gt;"",COUNTIFS('Gate plan'!$A$4:$A$353,C359,'Gate plan'!$K$4:$K$353,"&lt;&gt;")&gt;0,COUNTIFS('Gate plan'!$A$4:$A$353,C359,'Gate plan'!$K$4:$K$353,O359)=0),"Plan UC-ID differs from event UC-ID",IF(AND(E359="Assurance opinion",J359=""),"Assurance opinion ref missing",IF(AND(G359="Opinion only",E359&lt;&gt;"Assurance opinion",E359&lt;&gt;"Review only"),"Opinion only is for Assurance opinion or Review only events",IF(AND(G359="No decision",E359&lt;&gt;"Review only",E359&lt;&gt;"Priority override",E359&lt;&gt;"Intake / registration"),"No decision is for Review only, Priority override or Intake / registration events",IF(OR(ISNUMBER(SEARCH(" ",TRIM(O359))),ISNUMBER(SEARCH("/",O359))),"One UC-ID per event row: split this event",IF(AND(E359="Precautionary pause (containment)",ISNUMBER(W359),ISNUMBER(F359),W359&lt;F359),"Follow-up decision due date is before the pause",IF(AND(G359="Resume",IFERROR(LOOKUP(2,1/(($B$3:B358=B359)*($O$3:O358=O359)),$G$3:G358),"")&lt;&gt;"Paused — pending decision"),"Resume is only for the event straight after a Precautionary pause on the same AIR-ID and UC-ID (in an earlier row)",IF(AND(E359="Decision",OR(G359="Progress",G359="Progress with condition",G359="Re-authorise",G359="Resume"),X359&lt;&gt;"Yes"),"Decision-maker has not confirmed the screening was considered (column X)","Check against source")))))))))))))))))))))))))))))</f>
        <v/>
      </c>
      <c r="O359" s="37" t="n"/>
      <c r="P359" s="37" t="n"/>
      <c r="Q359" s="14">
        <f>IF(A359="","",IF(E359&lt;&gt;"Decision","",IF(P359="UC-ID specific",IF(O359="","UC-ID REQUIRED","Check source decision for each UC-ID"),IF(P359="Shared system baseline",IF(O359&lt;&gt;"","REMOVE UC-ID OR CORRECT SCOPE","Baseline only — NOT UC approval"),"Decision scope missing"))))</f>
        <v/>
      </c>
      <c r="R359" s="43" t="n"/>
      <c r="S359" s="40" t="n"/>
      <c r="T359" s="40" t="n"/>
      <c r="U359" s="40" t="n"/>
      <c r="V359" s="40" t="n"/>
      <c r="W359" s="41" t="n"/>
      <c r="X359" s="38" t="n"/>
    </row>
    <row r="360">
      <c r="A360" s="38" t="n"/>
      <c r="B360" s="38" t="n"/>
      <c r="C360" s="38" t="n"/>
      <c r="D360" s="38" t="n"/>
      <c r="E360" s="38" t="n"/>
      <c r="F360" s="39" t="n"/>
      <c r="G360" s="38" t="n"/>
      <c r="H360" s="38" t="n"/>
      <c r="I360" s="38" t="n"/>
      <c r="J360" s="38" t="n"/>
      <c r="K360" s="38" t="n"/>
      <c r="L360" s="38" t="n"/>
      <c r="M360" s="38" t="n"/>
      <c r="N360" s="22">
        <f>IF(COUNTA(A360:M360,O360:P360,R360:X360)=0,"",IF(OR(A360="",B360="",F360=""),"Event ID, AIR-ID or date missing",IF(COUNTIF($A$4:$A$553,A360)&gt;1,"Duplicate Event ID",IF(E360="","Event type missing",IF(OR(NOT(ISNUMBER(F360)),F360&gt;TODAY()),"Date is not a real date or is in the future",IF(AND(C360&lt;&gt;"",COUNTIF('Gate plan'!$A$4:$A$353,C360)=0),"Plan ID not found in Gate plan",IF(AND(C360&lt;&gt;"",COUNTIFS('Gate plan'!$A$4:$A$353,C360,'Gate plan'!$B$4:$B$353,B360)=0),"Plan AIR-ID differs from event",IF(D360="","Gate / forum missing",IF(AND(E360="Precautionary pause (containment)",G360&lt;&gt;"Paused — pending decision"),"Precautionary pause: Outcome must be Paused, pending decision",IF(AND(E360="Precautionary pause (containment)",V360=""),"Precautionary pause: AIG-OPS-03 incident ref missing",IF(AND(E360="Precautionary pause (containment)",NOT(ISNUMBER(W360))),"Precautionary pause: follow-up decision due date missing",IF(AND(G360="Paused — pending decision",E360&lt;&gt;"Precautionary pause (containment)"),"Paused, pending decision is only for a Precautionary pause event",IF(AND(E360="Decision",OR(G360="",H360="",I360="")),"Outcome / delegation / decision ref missing",IF(AND(E360="Decision",NOT(OR(G360="Progress",G360="Progress with condition",G360="Return for evidence",G360="Pause",G360="Stop",G360="Suspend",G360="Decommission",G360="Re-authorise",G360="Resume"))),"Decision event needs a decision outcome",IF(AND(E360="Priority override",OR(H360="",I360="")),"Decision-maker / AIG-DEC-03 ref missing",IF(AND(E360="Priority override",G360&lt;&gt;"",G360&lt;&gt;"No decision"),"Priority override: Outcome blank or No decision",IF(AND(E360&lt;&gt;"Decision",OR(G360="Progress",G360="Progress with condition",G360="Return for evidence",G360="Pause",G360="Stop",G360="Suspend",G360="Decommission",G360="Re-authorise",G360="Resume")),"Outcome implies decision",IF(OR(ISNUMBER(SEARCH(",",O360)),ISNUMBER(SEARCH(";",O360))),"One UC-ID per event row — split this event",IF(AND(E360="Decision",OR(Q360="UC-ID REQUIRED",Q360="Decision scope missing",Q360="REMOVE UC-ID OR CORRECT SCOPE")),"Decision scope missing",IF(AND(G360="Progress with condition",COUNTIF(Conditions!$B$4:$B$553,A360)=0),"Progress with condition needs at least one Conditions row",IF(AND(C360&lt;&gt;"",COUNTIFS('Gate plan'!$A$4:$A$353,C360,'Gate plan'!$C$4:$C$353,D360)=0),"Plan gate differs from event gate",IF(AND(C360&lt;&gt;"",O360&lt;&gt;"",COUNTIFS('Gate plan'!$A$4:$A$353,C360,'Gate plan'!$K$4:$K$353,"&lt;&gt;")&gt;0,COUNTIFS('Gate plan'!$A$4:$A$353,C360,'Gate plan'!$K$4:$K$353,O360)=0),"Plan UC-ID differs from event UC-ID",IF(AND(E360="Assurance opinion",J360=""),"Assurance opinion ref missing",IF(AND(G360="Opinion only",E360&lt;&gt;"Assurance opinion",E360&lt;&gt;"Review only"),"Opinion only is for Assurance opinion or Review only events",IF(AND(G360="No decision",E360&lt;&gt;"Review only",E360&lt;&gt;"Priority override",E360&lt;&gt;"Intake / registration"),"No decision is for Review only, Priority override or Intake / registration events",IF(OR(ISNUMBER(SEARCH(" ",TRIM(O360))),ISNUMBER(SEARCH("/",O360))),"One UC-ID per event row: split this event",IF(AND(E360="Precautionary pause (containment)",ISNUMBER(W360),ISNUMBER(F360),W360&lt;F360),"Follow-up decision due date is before the pause",IF(AND(G360="Resume",IFERROR(LOOKUP(2,1/(($B$3:B359=B360)*($O$3:O359=O360)),$G$3:G359),"")&lt;&gt;"Paused — pending decision"),"Resume is only for the event straight after a Precautionary pause on the same AIR-ID and UC-ID (in an earlier row)",IF(AND(E360="Decision",OR(G360="Progress",G360="Progress with condition",G360="Re-authorise",G360="Resume"),X360&lt;&gt;"Yes"),"Decision-maker has not confirmed the screening was considered (column X)","Check against source")))))))))))))))))))))))))))))</f>
        <v/>
      </c>
      <c r="O360" s="37" t="n"/>
      <c r="P360" s="37" t="n"/>
      <c r="Q360" s="14">
        <f>IF(A360="","",IF(E360&lt;&gt;"Decision","",IF(P360="UC-ID specific",IF(O360="","UC-ID REQUIRED","Check source decision for each UC-ID"),IF(P360="Shared system baseline",IF(O360&lt;&gt;"","REMOVE UC-ID OR CORRECT SCOPE","Baseline only — NOT UC approval"),"Decision scope missing"))))</f>
        <v/>
      </c>
      <c r="R360" s="42" t="n"/>
      <c r="S360" s="38" t="n"/>
      <c r="T360" s="38" t="n"/>
      <c r="U360" s="38" t="n"/>
      <c r="V360" s="38" t="n"/>
      <c r="W360" s="39" t="n"/>
      <c r="X360" s="38" t="n"/>
    </row>
    <row r="361">
      <c r="A361" s="40" t="n"/>
      <c r="B361" s="40" t="n"/>
      <c r="C361" s="40" t="n"/>
      <c r="D361" s="40" t="n"/>
      <c r="E361" s="40" t="n"/>
      <c r="F361" s="41" t="n"/>
      <c r="G361" s="40" t="n"/>
      <c r="H361" s="40" t="n"/>
      <c r="I361" s="40" t="n"/>
      <c r="J361" s="40" t="n"/>
      <c r="K361" s="40" t="n"/>
      <c r="L361" s="40" t="n"/>
      <c r="M361" s="40" t="n"/>
      <c r="N361" s="24">
        <f>IF(COUNTA(A361:M361,O361:P361,R361:X361)=0,"",IF(OR(A361="",B361="",F361=""),"Event ID, AIR-ID or date missing",IF(COUNTIF($A$4:$A$553,A361)&gt;1,"Duplicate Event ID",IF(E361="","Event type missing",IF(OR(NOT(ISNUMBER(F361)),F361&gt;TODAY()),"Date is not a real date or is in the future",IF(AND(C361&lt;&gt;"",COUNTIF('Gate plan'!$A$4:$A$353,C361)=0),"Plan ID not found in Gate plan",IF(AND(C361&lt;&gt;"",COUNTIFS('Gate plan'!$A$4:$A$353,C361,'Gate plan'!$B$4:$B$353,B361)=0),"Plan AIR-ID differs from event",IF(D361="","Gate / forum missing",IF(AND(E361="Precautionary pause (containment)",G361&lt;&gt;"Paused — pending decision"),"Precautionary pause: Outcome must be Paused, pending decision",IF(AND(E361="Precautionary pause (containment)",V361=""),"Precautionary pause: AIG-OPS-03 incident ref missing",IF(AND(E361="Precautionary pause (containment)",NOT(ISNUMBER(W361))),"Precautionary pause: follow-up decision due date missing",IF(AND(G361="Paused — pending decision",E361&lt;&gt;"Precautionary pause (containment)"),"Paused, pending decision is only for a Precautionary pause event",IF(AND(E361="Decision",OR(G361="",H361="",I361="")),"Outcome / delegation / decision ref missing",IF(AND(E361="Decision",NOT(OR(G361="Progress",G361="Progress with condition",G361="Return for evidence",G361="Pause",G361="Stop",G361="Suspend",G361="Decommission",G361="Re-authorise",G361="Resume"))),"Decision event needs a decision outcome",IF(AND(E361="Priority override",OR(H361="",I361="")),"Decision-maker / AIG-DEC-03 ref missing",IF(AND(E361="Priority override",G361&lt;&gt;"",G361&lt;&gt;"No decision"),"Priority override: Outcome blank or No decision",IF(AND(E361&lt;&gt;"Decision",OR(G361="Progress",G361="Progress with condition",G361="Return for evidence",G361="Pause",G361="Stop",G361="Suspend",G361="Decommission",G361="Re-authorise",G361="Resume")),"Outcome implies decision",IF(OR(ISNUMBER(SEARCH(",",O361)),ISNUMBER(SEARCH(";",O361))),"One UC-ID per event row — split this event",IF(AND(E361="Decision",OR(Q361="UC-ID REQUIRED",Q361="Decision scope missing",Q361="REMOVE UC-ID OR CORRECT SCOPE")),"Decision scope missing",IF(AND(G361="Progress with condition",COUNTIF(Conditions!$B$4:$B$553,A361)=0),"Progress with condition needs at least one Conditions row",IF(AND(C361&lt;&gt;"",COUNTIFS('Gate plan'!$A$4:$A$353,C361,'Gate plan'!$C$4:$C$353,D361)=0),"Plan gate differs from event gate",IF(AND(C361&lt;&gt;"",O361&lt;&gt;"",COUNTIFS('Gate plan'!$A$4:$A$353,C361,'Gate plan'!$K$4:$K$353,"&lt;&gt;")&gt;0,COUNTIFS('Gate plan'!$A$4:$A$353,C361,'Gate plan'!$K$4:$K$353,O361)=0),"Plan UC-ID differs from event UC-ID",IF(AND(E361="Assurance opinion",J361=""),"Assurance opinion ref missing",IF(AND(G361="Opinion only",E361&lt;&gt;"Assurance opinion",E361&lt;&gt;"Review only"),"Opinion only is for Assurance opinion or Review only events",IF(AND(G361="No decision",E361&lt;&gt;"Review only",E361&lt;&gt;"Priority override",E361&lt;&gt;"Intake / registration"),"No decision is for Review only, Priority override or Intake / registration events",IF(OR(ISNUMBER(SEARCH(" ",TRIM(O361))),ISNUMBER(SEARCH("/",O361))),"One UC-ID per event row: split this event",IF(AND(E361="Precautionary pause (containment)",ISNUMBER(W361),ISNUMBER(F361),W361&lt;F361),"Follow-up decision due date is before the pause",IF(AND(G361="Resume",IFERROR(LOOKUP(2,1/(($B$3:B360=B361)*($O$3:O360=O361)),$G$3:G360),"")&lt;&gt;"Paused — pending decision"),"Resume is only for the event straight after a Precautionary pause on the same AIR-ID and UC-ID (in an earlier row)",IF(AND(E361="Decision",OR(G361="Progress",G361="Progress with condition",G361="Re-authorise",G361="Resume"),X361&lt;&gt;"Yes"),"Decision-maker has not confirmed the screening was considered (column X)","Check against source")))))))))))))))))))))))))))))</f>
        <v/>
      </c>
      <c r="O361" s="37" t="n"/>
      <c r="P361" s="37" t="n"/>
      <c r="Q361" s="14">
        <f>IF(A361="","",IF(E361&lt;&gt;"Decision","",IF(P361="UC-ID specific",IF(O361="","UC-ID REQUIRED","Check source decision for each UC-ID"),IF(P361="Shared system baseline",IF(O361&lt;&gt;"","REMOVE UC-ID OR CORRECT SCOPE","Baseline only — NOT UC approval"),"Decision scope missing"))))</f>
        <v/>
      </c>
      <c r="R361" s="43" t="n"/>
      <c r="S361" s="40" t="n"/>
      <c r="T361" s="40" t="n"/>
      <c r="U361" s="40" t="n"/>
      <c r="V361" s="40" t="n"/>
      <c r="W361" s="41" t="n"/>
      <c r="X361" s="38" t="n"/>
    </row>
    <row r="362">
      <c r="A362" s="38" t="n"/>
      <c r="B362" s="38" t="n"/>
      <c r="C362" s="38" t="n"/>
      <c r="D362" s="38" t="n"/>
      <c r="E362" s="38" t="n"/>
      <c r="F362" s="39" t="n"/>
      <c r="G362" s="38" t="n"/>
      <c r="H362" s="38" t="n"/>
      <c r="I362" s="38" t="n"/>
      <c r="J362" s="38" t="n"/>
      <c r="K362" s="38" t="n"/>
      <c r="L362" s="38" t="n"/>
      <c r="M362" s="38" t="n"/>
      <c r="N362" s="22">
        <f>IF(COUNTA(A362:M362,O362:P362,R362:X362)=0,"",IF(OR(A362="",B362="",F362=""),"Event ID, AIR-ID or date missing",IF(COUNTIF($A$4:$A$553,A362)&gt;1,"Duplicate Event ID",IF(E362="","Event type missing",IF(OR(NOT(ISNUMBER(F362)),F362&gt;TODAY()),"Date is not a real date or is in the future",IF(AND(C362&lt;&gt;"",COUNTIF('Gate plan'!$A$4:$A$353,C362)=0),"Plan ID not found in Gate plan",IF(AND(C362&lt;&gt;"",COUNTIFS('Gate plan'!$A$4:$A$353,C362,'Gate plan'!$B$4:$B$353,B362)=0),"Plan AIR-ID differs from event",IF(D362="","Gate / forum missing",IF(AND(E362="Precautionary pause (containment)",G362&lt;&gt;"Paused — pending decision"),"Precautionary pause: Outcome must be Paused, pending decision",IF(AND(E362="Precautionary pause (containment)",V362=""),"Precautionary pause: AIG-OPS-03 incident ref missing",IF(AND(E362="Precautionary pause (containment)",NOT(ISNUMBER(W362))),"Precautionary pause: follow-up decision due date missing",IF(AND(G362="Paused — pending decision",E362&lt;&gt;"Precautionary pause (containment)"),"Paused, pending decision is only for a Precautionary pause event",IF(AND(E362="Decision",OR(G362="",H362="",I362="")),"Outcome / delegation / decision ref missing",IF(AND(E362="Decision",NOT(OR(G362="Progress",G362="Progress with condition",G362="Return for evidence",G362="Pause",G362="Stop",G362="Suspend",G362="Decommission",G362="Re-authorise",G362="Resume"))),"Decision event needs a decision outcome",IF(AND(E362="Priority override",OR(H362="",I362="")),"Decision-maker / AIG-DEC-03 ref missing",IF(AND(E362="Priority override",G362&lt;&gt;"",G362&lt;&gt;"No decision"),"Priority override: Outcome blank or No decision",IF(AND(E362&lt;&gt;"Decision",OR(G362="Progress",G362="Progress with condition",G362="Return for evidence",G362="Pause",G362="Stop",G362="Suspend",G362="Decommission",G362="Re-authorise",G362="Resume")),"Outcome implies decision",IF(OR(ISNUMBER(SEARCH(",",O362)),ISNUMBER(SEARCH(";",O362))),"One UC-ID per event row — split this event",IF(AND(E362="Decision",OR(Q362="UC-ID REQUIRED",Q362="Decision scope missing",Q362="REMOVE UC-ID OR CORRECT SCOPE")),"Decision scope missing",IF(AND(G362="Progress with condition",COUNTIF(Conditions!$B$4:$B$553,A362)=0),"Progress with condition needs at least one Conditions row",IF(AND(C362&lt;&gt;"",COUNTIFS('Gate plan'!$A$4:$A$353,C362,'Gate plan'!$C$4:$C$353,D362)=0),"Plan gate differs from event gate",IF(AND(C362&lt;&gt;"",O362&lt;&gt;"",COUNTIFS('Gate plan'!$A$4:$A$353,C362,'Gate plan'!$K$4:$K$353,"&lt;&gt;")&gt;0,COUNTIFS('Gate plan'!$A$4:$A$353,C362,'Gate plan'!$K$4:$K$353,O362)=0),"Plan UC-ID differs from event UC-ID",IF(AND(E362="Assurance opinion",J362=""),"Assurance opinion ref missing",IF(AND(G362="Opinion only",E362&lt;&gt;"Assurance opinion",E362&lt;&gt;"Review only"),"Opinion only is for Assurance opinion or Review only events",IF(AND(G362="No decision",E362&lt;&gt;"Review only",E362&lt;&gt;"Priority override",E362&lt;&gt;"Intake / registration"),"No decision is for Review only, Priority override or Intake / registration events",IF(OR(ISNUMBER(SEARCH(" ",TRIM(O362))),ISNUMBER(SEARCH("/",O362))),"One UC-ID per event row: split this event",IF(AND(E362="Precautionary pause (containment)",ISNUMBER(W362),ISNUMBER(F362),W362&lt;F362),"Follow-up decision due date is before the pause",IF(AND(G362="Resume",IFERROR(LOOKUP(2,1/(($B$3:B361=B362)*($O$3:O361=O362)),$G$3:G361),"")&lt;&gt;"Paused — pending decision"),"Resume is only for the event straight after a Precautionary pause on the same AIR-ID and UC-ID (in an earlier row)",IF(AND(E362="Decision",OR(G362="Progress",G362="Progress with condition",G362="Re-authorise",G362="Resume"),X362&lt;&gt;"Yes"),"Decision-maker has not confirmed the screening was considered (column X)","Check against source")))))))))))))))))))))))))))))</f>
        <v/>
      </c>
      <c r="O362" s="37" t="n"/>
      <c r="P362" s="37" t="n"/>
      <c r="Q362" s="14">
        <f>IF(A362="","",IF(E362&lt;&gt;"Decision","",IF(P362="UC-ID specific",IF(O362="","UC-ID REQUIRED","Check source decision for each UC-ID"),IF(P362="Shared system baseline",IF(O362&lt;&gt;"","REMOVE UC-ID OR CORRECT SCOPE","Baseline only — NOT UC approval"),"Decision scope missing"))))</f>
        <v/>
      </c>
      <c r="R362" s="42" t="n"/>
      <c r="S362" s="38" t="n"/>
      <c r="T362" s="38" t="n"/>
      <c r="U362" s="38" t="n"/>
      <c r="V362" s="38" t="n"/>
      <c r="W362" s="39" t="n"/>
      <c r="X362" s="38" t="n"/>
    </row>
    <row r="363">
      <c r="A363" s="40" t="n"/>
      <c r="B363" s="40" t="n"/>
      <c r="C363" s="40" t="n"/>
      <c r="D363" s="40" t="n"/>
      <c r="E363" s="40" t="n"/>
      <c r="F363" s="41" t="n"/>
      <c r="G363" s="40" t="n"/>
      <c r="H363" s="40" t="n"/>
      <c r="I363" s="40" t="n"/>
      <c r="J363" s="40" t="n"/>
      <c r="K363" s="40" t="n"/>
      <c r="L363" s="40" t="n"/>
      <c r="M363" s="40" t="n"/>
      <c r="N363" s="24">
        <f>IF(COUNTA(A363:M363,O363:P363,R363:X363)=0,"",IF(OR(A363="",B363="",F363=""),"Event ID, AIR-ID or date missing",IF(COUNTIF($A$4:$A$553,A363)&gt;1,"Duplicate Event ID",IF(E363="","Event type missing",IF(OR(NOT(ISNUMBER(F363)),F363&gt;TODAY()),"Date is not a real date or is in the future",IF(AND(C363&lt;&gt;"",COUNTIF('Gate plan'!$A$4:$A$353,C363)=0),"Plan ID not found in Gate plan",IF(AND(C363&lt;&gt;"",COUNTIFS('Gate plan'!$A$4:$A$353,C363,'Gate plan'!$B$4:$B$353,B363)=0),"Plan AIR-ID differs from event",IF(D363="","Gate / forum missing",IF(AND(E363="Precautionary pause (containment)",G363&lt;&gt;"Paused — pending decision"),"Precautionary pause: Outcome must be Paused, pending decision",IF(AND(E363="Precautionary pause (containment)",V363=""),"Precautionary pause: AIG-OPS-03 incident ref missing",IF(AND(E363="Precautionary pause (containment)",NOT(ISNUMBER(W363))),"Precautionary pause: follow-up decision due date missing",IF(AND(G363="Paused — pending decision",E363&lt;&gt;"Precautionary pause (containment)"),"Paused, pending decision is only for a Precautionary pause event",IF(AND(E363="Decision",OR(G363="",H363="",I363="")),"Outcome / delegation / decision ref missing",IF(AND(E363="Decision",NOT(OR(G363="Progress",G363="Progress with condition",G363="Return for evidence",G363="Pause",G363="Stop",G363="Suspend",G363="Decommission",G363="Re-authorise",G363="Resume"))),"Decision event needs a decision outcome",IF(AND(E363="Priority override",OR(H363="",I363="")),"Decision-maker / AIG-DEC-03 ref missing",IF(AND(E363="Priority override",G363&lt;&gt;"",G363&lt;&gt;"No decision"),"Priority override: Outcome blank or No decision",IF(AND(E363&lt;&gt;"Decision",OR(G363="Progress",G363="Progress with condition",G363="Return for evidence",G363="Pause",G363="Stop",G363="Suspend",G363="Decommission",G363="Re-authorise",G363="Resume")),"Outcome implies decision",IF(OR(ISNUMBER(SEARCH(",",O363)),ISNUMBER(SEARCH(";",O363))),"One UC-ID per event row — split this event",IF(AND(E363="Decision",OR(Q363="UC-ID REQUIRED",Q363="Decision scope missing",Q363="REMOVE UC-ID OR CORRECT SCOPE")),"Decision scope missing",IF(AND(G363="Progress with condition",COUNTIF(Conditions!$B$4:$B$553,A363)=0),"Progress with condition needs at least one Conditions row",IF(AND(C363&lt;&gt;"",COUNTIFS('Gate plan'!$A$4:$A$353,C363,'Gate plan'!$C$4:$C$353,D363)=0),"Plan gate differs from event gate",IF(AND(C363&lt;&gt;"",O363&lt;&gt;"",COUNTIFS('Gate plan'!$A$4:$A$353,C363,'Gate plan'!$K$4:$K$353,"&lt;&gt;")&gt;0,COUNTIFS('Gate plan'!$A$4:$A$353,C363,'Gate plan'!$K$4:$K$353,O363)=0),"Plan UC-ID differs from event UC-ID",IF(AND(E363="Assurance opinion",J363=""),"Assurance opinion ref missing",IF(AND(G363="Opinion only",E363&lt;&gt;"Assurance opinion",E363&lt;&gt;"Review only"),"Opinion only is for Assurance opinion or Review only events",IF(AND(G363="No decision",E363&lt;&gt;"Review only",E363&lt;&gt;"Priority override",E363&lt;&gt;"Intake / registration"),"No decision is for Review only, Priority override or Intake / registration events",IF(OR(ISNUMBER(SEARCH(" ",TRIM(O363))),ISNUMBER(SEARCH("/",O363))),"One UC-ID per event row: split this event",IF(AND(E363="Precautionary pause (containment)",ISNUMBER(W363),ISNUMBER(F363),W363&lt;F363),"Follow-up decision due date is before the pause",IF(AND(G363="Resume",IFERROR(LOOKUP(2,1/(($B$3:B362=B363)*($O$3:O362=O363)),$G$3:G362),"")&lt;&gt;"Paused — pending decision"),"Resume is only for the event straight after a Precautionary pause on the same AIR-ID and UC-ID (in an earlier row)",IF(AND(E363="Decision",OR(G363="Progress",G363="Progress with condition",G363="Re-authorise",G363="Resume"),X363&lt;&gt;"Yes"),"Decision-maker has not confirmed the screening was considered (column X)","Check against source")))))))))))))))))))))))))))))</f>
        <v/>
      </c>
      <c r="O363" s="37" t="n"/>
      <c r="P363" s="37" t="n"/>
      <c r="Q363" s="14">
        <f>IF(A363="","",IF(E363&lt;&gt;"Decision","",IF(P363="UC-ID specific",IF(O363="","UC-ID REQUIRED","Check source decision for each UC-ID"),IF(P363="Shared system baseline",IF(O363&lt;&gt;"","REMOVE UC-ID OR CORRECT SCOPE","Baseline only — NOT UC approval"),"Decision scope missing"))))</f>
        <v/>
      </c>
      <c r="R363" s="43" t="n"/>
      <c r="S363" s="40" t="n"/>
      <c r="T363" s="40" t="n"/>
      <c r="U363" s="40" t="n"/>
      <c r="V363" s="40" t="n"/>
      <c r="W363" s="41" t="n"/>
      <c r="X363" s="38" t="n"/>
    </row>
    <row r="364">
      <c r="A364" s="38" t="n"/>
      <c r="B364" s="38" t="n"/>
      <c r="C364" s="38" t="n"/>
      <c r="D364" s="38" t="n"/>
      <c r="E364" s="38" t="n"/>
      <c r="F364" s="39" t="n"/>
      <c r="G364" s="38" t="n"/>
      <c r="H364" s="38" t="n"/>
      <c r="I364" s="38" t="n"/>
      <c r="J364" s="38" t="n"/>
      <c r="K364" s="38" t="n"/>
      <c r="L364" s="38" t="n"/>
      <c r="M364" s="38" t="n"/>
      <c r="N364" s="22">
        <f>IF(COUNTA(A364:M364,O364:P364,R364:X364)=0,"",IF(OR(A364="",B364="",F364=""),"Event ID, AIR-ID or date missing",IF(COUNTIF($A$4:$A$553,A364)&gt;1,"Duplicate Event ID",IF(E364="","Event type missing",IF(OR(NOT(ISNUMBER(F364)),F364&gt;TODAY()),"Date is not a real date or is in the future",IF(AND(C364&lt;&gt;"",COUNTIF('Gate plan'!$A$4:$A$353,C364)=0),"Plan ID not found in Gate plan",IF(AND(C364&lt;&gt;"",COUNTIFS('Gate plan'!$A$4:$A$353,C364,'Gate plan'!$B$4:$B$353,B364)=0),"Plan AIR-ID differs from event",IF(D364="","Gate / forum missing",IF(AND(E364="Precautionary pause (containment)",G364&lt;&gt;"Paused — pending decision"),"Precautionary pause: Outcome must be Paused, pending decision",IF(AND(E364="Precautionary pause (containment)",V364=""),"Precautionary pause: AIG-OPS-03 incident ref missing",IF(AND(E364="Precautionary pause (containment)",NOT(ISNUMBER(W364))),"Precautionary pause: follow-up decision due date missing",IF(AND(G364="Paused — pending decision",E364&lt;&gt;"Precautionary pause (containment)"),"Paused, pending decision is only for a Precautionary pause event",IF(AND(E364="Decision",OR(G364="",H364="",I364="")),"Outcome / delegation / decision ref missing",IF(AND(E364="Decision",NOT(OR(G364="Progress",G364="Progress with condition",G364="Return for evidence",G364="Pause",G364="Stop",G364="Suspend",G364="Decommission",G364="Re-authorise",G364="Resume"))),"Decision event needs a decision outcome",IF(AND(E364="Priority override",OR(H364="",I364="")),"Decision-maker / AIG-DEC-03 ref missing",IF(AND(E364="Priority override",G364&lt;&gt;"",G364&lt;&gt;"No decision"),"Priority override: Outcome blank or No decision",IF(AND(E364&lt;&gt;"Decision",OR(G364="Progress",G364="Progress with condition",G364="Return for evidence",G364="Pause",G364="Stop",G364="Suspend",G364="Decommission",G364="Re-authorise",G364="Resume")),"Outcome implies decision",IF(OR(ISNUMBER(SEARCH(",",O364)),ISNUMBER(SEARCH(";",O364))),"One UC-ID per event row — split this event",IF(AND(E364="Decision",OR(Q364="UC-ID REQUIRED",Q364="Decision scope missing",Q364="REMOVE UC-ID OR CORRECT SCOPE")),"Decision scope missing",IF(AND(G364="Progress with condition",COUNTIF(Conditions!$B$4:$B$553,A364)=0),"Progress with condition needs at least one Conditions row",IF(AND(C364&lt;&gt;"",COUNTIFS('Gate plan'!$A$4:$A$353,C364,'Gate plan'!$C$4:$C$353,D364)=0),"Plan gate differs from event gate",IF(AND(C364&lt;&gt;"",O364&lt;&gt;"",COUNTIFS('Gate plan'!$A$4:$A$353,C364,'Gate plan'!$K$4:$K$353,"&lt;&gt;")&gt;0,COUNTIFS('Gate plan'!$A$4:$A$353,C364,'Gate plan'!$K$4:$K$353,O364)=0),"Plan UC-ID differs from event UC-ID",IF(AND(E364="Assurance opinion",J364=""),"Assurance opinion ref missing",IF(AND(G364="Opinion only",E364&lt;&gt;"Assurance opinion",E364&lt;&gt;"Review only"),"Opinion only is for Assurance opinion or Review only events",IF(AND(G364="No decision",E364&lt;&gt;"Review only",E364&lt;&gt;"Priority override",E364&lt;&gt;"Intake / registration"),"No decision is for Review only, Priority override or Intake / registration events",IF(OR(ISNUMBER(SEARCH(" ",TRIM(O364))),ISNUMBER(SEARCH("/",O364))),"One UC-ID per event row: split this event",IF(AND(E364="Precautionary pause (containment)",ISNUMBER(W364),ISNUMBER(F364),W364&lt;F364),"Follow-up decision due date is before the pause",IF(AND(G364="Resume",IFERROR(LOOKUP(2,1/(($B$3:B363=B364)*($O$3:O363=O364)),$G$3:G363),"")&lt;&gt;"Paused — pending decision"),"Resume is only for the event straight after a Precautionary pause on the same AIR-ID and UC-ID (in an earlier row)",IF(AND(E364="Decision",OR(G364="Progress",G364="Progress with condition",G364="Re-authorise",G364="Resume"),X364&lt;&gt;"Yes"),"Decision-maker has not confirmed the screening was considered (column X)","Check against source")))))))))))))))))))))))))))))</f>
        <v/>
      </c>
      <c r="O364" s="37" t="n"/>
      <c r="P364" s="37" t="n"/>
      <c r="Q364" s="14">
        <f>IF(A364="","",IF(E364&lt;&gt;"Decision","",IF(P364="UC-ID specific",IF(O364="","UC-ID REQUIRED","Check source decision for each UC-ID"),IF(P364="Shared system baseline",IF(O364&lt;&gt;"","REMOVE UC-ID OR CORRECT SCOPE","Baseline only — NOT UC approval"),"Decision scope missing"))))</f>
        <v/>
      </c>
      <c r="R364" s="42" t="n"/>
      <c r="S364" s="38" t="n"/>
      <c r="T364" s="38" t="n"/>
      <c r="U364" s="38" t="n"/>
      <c r="V364" s="38" t="n"/>
      <c r="W364" s="39" t="n"/>
      <c r="X364" s="38" t="n"/>
    </row>
    <row r="365">
      <c r="A365" s="40" t="n"/>
      <c r="B365" s="40" t="n"/>
      <c r="C365" s="40" t="n"/>
      <c r="D365" s="40" t="n"/>
      <c r="E365" s="40" t="n"/>
      <c r="F365" s="41" t="n"/>
      <c r="G365" s="40" t="n"/>
      <c r="H365" s="40" t="n"/>
      <c r="I365" s="40" t="n"/>
      <c r="J365" s="40" t="n"/>
      <c r="K365" s="40" t="n"/>
      <c r="L365" s="40" t="n"/>
      <c r="M365" s="40" t="n"/>
      <c r="N365" s="24">
        <f>IF(COUNTA(A365:M365,O365:P365,R365:X365)=0,"",IF(OR(A365="",B365="",F365=""),"Event ID, AIR-ID or date missing",IF(COUNTIF($A$4:$A$553,A365)&gt;1,"Duplicate Event ID",IF(E365="","Event type missing",IF(OR(NOT(ISNUMBER(F365)),F365&gt;TODAY()),"Date is not a real date or is in the future",IF(AND(C365&lt;&gt;"",COUNTIF('Gate plan'!$A$4:$A$353,C365)=0),"Plan ID not found in Gate plan",IF(AND(C365&lt;&gt;"",COUNTIFS('Gate plan'!$A$4:$A$353,C365,'Gate plan'!$B$4:$B$353,B365)=0),"Plan AIR-ID differs from event",IF(D365="","Gate / forum missing",IF(AND(E365="Precautionary pause (containment)",G365&lt;&gt;"Paused — pending decision"),"Precautionary pause: Outcome must be Paused, pending decision",IF(AND(E365="Precautionary pause (containment)",V365=""),"Precautionary pause: AIG-OPS-03 incident ref missing",IF(AND(E365="Precautionary pause (containment)",NOT(ISNUMBER(W365))),"Precautionary pause: follow-up decision due date missing",IF(AND(G365="Paused — pending decision",E365&lt;&gt;"Precautionary pause (containment)"),"Paused, pending decision is only for a Precautionary pause event",IF(AND(E365="Decision",OR(G365="",H365="",I365="")),"Outcome / delegation / decision ref missing",IF(AND(E365="Decision",NOT(OR(G365="Progress",G365="Progress with condition",G365="Return for evidence",G365="Pause",G365="Stop",G365="Suspend",G365="Decommission",G365="Re-authorise",G365="Resume"))),"Decision event needs a decision outcome",IF(AND(E365="Priority override",OR(H365="",I365="")),"Decision-maker / AIG-DEC-03 ref missing",IF(AND(E365="Priority override",G365&lt;&gt;"",G365&lt;&gt;"No decision"),"Priority override: Outcome blank or No decision",IF(AND(E365&lt;&gt;"Decision",OR(G365="Progress",G365="Progress with condition",G365="Return for evidence",G365="Pause",G365="Stop",G365="Suspend",G365="Decommission",G365="Re-authorise",G365="Resume")),"Outcome implies decision",IF(OR(ISNUMBER(SEARCH(",",O365)),ISNUMBER(SEARCH(";",O365))),"One UC-ID per event row — split this event",IF(AND(E365="Decision",OR(Q365="UC-ID REQUIRED",Q365="Decision scope missing",Q365="REMOVE UC-ID OR CORRECT SCOPE")),"Decision scope missing",IF(AND(G365="Progress with condition",COUNTIF(Conditions!$B$4:$B$553,A365)=0),"Progress with condition needs at least one Conditions row",IF(AND(C365&lt;&gt;"",COUNTIFS('Gate plan'!$A$4:$A$353,C365,'Gate plan'!$C$4:$C$353,D365)=0),"Plan gate differs from event gate",IF(AND(C365&lt;&gt;"",O365&lt;&gt;"",COUNTIFS('Gate plan'!$A$4:$A$353,C365,'Gate plan'!$K$4:$K$353,"&lt;&gt;")&gt;0,COUNTIFS('Gate plan'!$A$4:$A$353,C365,'Gate plan'!$K$4:$K$353,O365)=0),"Plan UC-ID differs from event UC-ID",IF(AND(E365="Assurance opinion",J365=""),"Assurance opinion ref missing",IF(AND(G365="Opinion only",E365&lt;&gt;"Assurance opinion",E365&lt;&gt;"Review only"),"Opinion only is for Assurance opinion or Review only events",IF(AND(G365="No decision",E365&lt;&gt;"Review only",E365&lt;&gt;"Priority override",E365&lt;&gt;"Intake / registration"),"No decision is for Review only, Priority override or Intake / registration events",IF(OR(ISNUMBER(SEARCH(" ",TRIM(O365))),ISNUMBER(SEARCH("/",O365))),"One UC-ID per event row: split this event",IF(AND(E365="Precautionary pause (containment)",ISNUMBER(W365),ISNUMBER(F365),W365&lt;F365),"Follow-up decision due date is before the pause",IF(AND(G365="Resume",IFERROR(LOOKUP(2,1/(($B$3:B364=B365)*($O$3:O364=O365)),$G$3:G364),"")&lt;&gt;"Paused — pending decision"),"Resume is only for the event straight after a Precautionary pause on the same AIR-ID and UC-ID (in an earlier row)",IF(AND(E365="Decision",OR(G365="Progress",G365="Progress with condition",G365="Re-authorise",G365="Resume"),X365&lt;&gt;"Yes"),"Decision-maker has not confirmed the screening was considered (column X)","Check against source")))))))))))))))))))))))))))))</f>
        <v/>
      </c>
      <c r="O365" s="37" t="n"/>
      <c r="P365" s="37" t="n"/>
      <c r="Q365" s="14">
        <f>IF(A365="","",IF(E365&lt;&gt;"Decision","",IF(P365="UC-ID specific",IF(O365="","UC-ID REQUIRED","Check source decision for each UC-ID"),IF(P365="Shared system baseline",IF(O365&lt;&gt;"","REMOVE UC-ID OR CORRECT SCOPE","Baseline only — NOT UC approval"),"Decision scope missing"))))</f>
        <v/>
      </c>
      <c r="R365" s="43" t="n"/>
      <c r="S365" s="40" t="n"/>
      <c r="T365" s="40" t="n"/>
      <c r="U365" s="40" t="n"/>
      <c r="V365" s="40" t="n"/>
      <c r="W365" s="41" t="n"/>
      <c r="X365" s="38" t="n"/>
    </row>
    <row r="366">
      <c r="A366" s="38" t="n"/>
      <c r="B366" s="38" t="n"/>
      <c r="C366" s="38" t="n"/>
      <c r="D366" s="38" t="n"/>
      <c r="E366" s="38" t="n"/>
      <c r="F366" s="39" t="n"/>
      <c r="G366" s="38" t="n"/>
      <c r="H366" s="38" t="n"/>
      <c r="I366" s="38" t="n"/>
      <c r="J366" s="38" t="n"/>
      <c r="K366" s="38" t="n"/>
      <c r="L366" s="38" t="n"/>
      <c r="M366" s="38" t="n"/>
      <c r="N366" s="22">
        <f>IF(COUNTA(A366:M366,O366:P366,R366:X366)=0,"",IF(OR(A366="",B366="",F366=""),"Event ID, AIR-ID or date missing",IF(COUNTIF($A$4:$A$553,A366)&gt;1,"Duplicate Event ID",IF(E366="","Event type missing",IF(OR(NOT(ISNUMBER(F366)),F366&gt;TODAY()),"Date is not a real date or is in the future",IF(AND(C366&lt;&gt;"",COUNTIF('Gate plan'!$A$4:$A$353,C366)=0),"Plan ID not found in Gate plan",IF(AND(C366&lt;&gt;"",COUNTIFS('Gate plan'!$A$4:$A$353,C366,'Gate plan'!$B$4:$B$353,B366)=0),"Plan AIR-ID differs from event",IF(D366="","Gate / forum missing",IF(AND(E366="Precautionary pause (containment)",G366&lt;&gt;"Paused — pending decision"),"Precautionary pause: Outcome must be Paused, pending decision",IF(AND(E366="Precautionary pause (containment)",V366=""),"Precautionary pause: AIG-OPS-03 incident ref missing",IF(AND(E366="Precautionary pause (containment)",NOT(ISNUMBER(W366))),"Precautionary pause: follow-up decision due date missing",IF(AND(G366="Paused — pending decision",E366&lt;&gt;"Precautionary pause (containment)"),"Paused, pending decision is only for a Precautionary pause event",IF(AND(E366="Decision",OR(G366="",H366="",I366="")),"Outcome / delegation / decision ref missing",IF(AND(E366="Decision",NOT(OR(G366="Progress",G366="Progress with condition",G366="Return for evidence",G366="Pause",G366="Stop",G366="Suspend",G366="Decommission",G366="Re-authorise",G366="Resume"))),"Decision event needs a decision outcome",IF(AND(E366="Priority override",OR(H366="",I366="")),"Decision-maker / AIG-DEC-03 ref missing",IF(AND(E366="Priority override",G366&lt;&gt;"",G366&lt;&gt;"No decision"),"Priority override: Outcome blank or No decision",IF(AND(E366&lt;&gt;"Decision",OR(G366="Progress",G366="Progress with condition",G366="Return for evidence",G366="Pause",G366="Stop",G366="Suspend",G366="Decommission",G366="Re-authorise",G366="Resume")),"Outcome implies decision",IF(OR(ISNUMBER(SEARCH(",",O366)),ISNUMBER(SEARCH(";",O366))),"One UC-ID per event row — split this event",IF(AND(E366="Decision",OR(Q366="UC-ID REQUIRED",Q366="Decision scope missing",Q366="REMOVE UC-ID OR CORRECT SCOPE")),"Decision scope missing",IF(AND(G366="Progress with condition",COUNTIF(Conditions!$B$4:$B$553,A366)=0),"Progress with condition needs at least one Conditions row",IF(AND(C366&lt;&gt;"",COUNTIFS('Gate plan'!$A$4:$A$353,C366,'Gate plan'!$C$4:$C$353,D366)=0),"Plan gate differs from event gate",IF(AND(C366&lt;&gt;"",O366&lt;&gt;"",COUNTIFS('Gate plan'!$A$4:$A$353,C366,'Gate plan'!$K$4:$K$353,"&lt;&gt;")&gt;0,COUNTIFS('Gate plan'!$A$4:$A$353,C366,'Gate plan'!$K$4:$K$353,O366)=0),"Plan UC-ID differs from event UC-ID",IF(AND(E366="Assurance opinion",J366=""),"Assurance opinion ref missing",IF(AND(G366="Opinion only",E366&lt;&gt;"Assurance opinion",E366&lt;&gt;"Review only"),"Opinion only is for Assurance opinion or Review only events",IF(AND(G366="No decision",E366&lt;&gt;"Review only",E366&lt;&gt;"Priority override",E366&lt;&gt;"Intake / registration"),"No decision is for Review only, Priority override or Intake / registration events",IF(OR(ISNUMBER(SEARCH(" ",TRIM(O366))),ISNUMBER(SEARCH("/",O366))),"One UC-ID per event row: split this event",IF(AND(E366="Precautionary pause (containment)",ISNUMBER(W366),ISNUMBER(F366),W366&lt;F366),"Follow-up decision due date is before the pause",IF(AND(G366="Resume",IFERROR(LOOKUP(2,1/(($B$3:B365=B366)*($O$3:O365=O366)),$G$3:G365),"")&lt;&gt;"Paused — pending decision"),"Resume is only for the event straight after a Precautionary pause on the same AIR-ID and UC-ID (in an earlier row)",IF(AND(E366="Decision",OR(G366="Progress",G366="Progress with condition",G366="Re-authorise",G366="Resume"),X366&lt;&gt;"Yes"),"Decision-maker has not confirmed the screening was considered (column X)","Check against source")))))))))))))))))))))))))))))</f>
        <v/>
      </c>
      <c r="O366" s="37" t="n"/>
      <c r="P366" s="37" t="n"/>
      <c r="Q366" s="14">
        <f>IF(A366="","",IF(E366&lt;&gt;"Decision","",IF(P366="UC-ID specific",IF(O366="","UC-ID REQUIRED","Check source decision for each UC-ID"),IF(P366="Shared system baseline",IF(O366&lt;&gt;"","REMOVE UC-ID OR CORRECT SCOPE","Baseline only — NOT UC approval"),"Decision scope missing"))))</f>
        <v/>
      </c>
      <c r="R366" s="42" t="n"/>
      <c r="S366" s="38" t="n"/>
      <c r="T366" s="38" t="n"/>
      <c r="U366" s="38" t="n"/>
      <c r="V366" s="38" t="n"/>
      <c r="W366" s="39" t="n"/>
      <c r="X366" s="38" t="n"/>
    </row>
    <row r="367">
      <c r="A367" s="40" t="n"/>
      <c r="B367" s="40" t="n"/>
      <c r="C367" s="40" t="n"/>
      <c r="D367" s="40" t="n"/>
      <c r="E367" s="40" t="n"/>
      <c r="F367" s="41" t="n"/>
      <c r="G367" s="40" t="n"/>
      <c r="H367" s="40" t="n"/>
      <c r="I367" s="40" t="n"/>
      <c r="J367" s="40" t="n"/>
      <c r="K367" s="40" t="n"/>
      <c r="L367" s="40" t="n"/>
      <c r="M367" s="40" t="n"/>
      <c r="N367" s="24">
        <f>IF(COUNTA(A367:M367,O367:P367,R367:X367)=0,"",IF(OR(A367="",B367="",F367=""),"Event ID, AIR-ID or date missing",IF(COUNTIF($A$4:$A$553,A367)&gt;1,"Duplicate Event ID",IF(E367="","Event type missing",IF(OR(NOT(ISNUMBER(F367)),F367&gt;TODAY()),"Date is not a real date or is in the future",IF(AND(C367&lt;&gt;"",COUNTIF('Gate plan'!$A$4:$A$353,C367)=0),"Plan ID not found in Gate plan",IF(AND(C367&lt;&gt;"",COUNTIFS('Gate plan'!$A$4:$A$353,C367,'Gate plan'!$B$4:$B$353,B367)=0),"Plan AIR-ID differs from event",IF(D367="","Gate / forum missing",IF(AND(E367="Precautionary pause (containment)",G367&lt;&gt;"Paused — pending decision"),"Precautionary pause: Outcome must be Paused, pending decision",IF(AND(E367="Precautionary pause (containment)",V367=""),"Precautionary pause: AIG-OPS-03 incident ref missing",IF(AND(E367="Precautionary pause (containment)",NOT(ISNUMBER(W367))),"Precautionary pause: follow-up decision due date missing",IF(AND(G367="Paused — pending decision",E367&lt;&gt;"Precautionary pause (containment)"),"Paused, pending decision is only for a Precautionary pause event",IF(AND(E367="Decision",OR(G367="",H367="",I367="")),"Outcome / delegation / decision ref missing",IF(AND(E367="Decision",NOT(OR(G367="Progress",G367="Progress with condition",G367="Return for evidence",G367="Pause",G367="Stop",G367="Suspend",G367="Decommission",G367="Re-authorise",G367="Resume"))),"Decision event needs a decision outcome",IF(AND(E367="Priority override",OR(H367="",I367="")),"Decision-maker / AIG-DEC-03 ref missing",IF(AND(E367="Priority override",G367&lt;&gt;"",G367&lt;&gt;"No decision"),"Priority override: Outcome blank or No decision",IF(AND(E367&lt;&gt;"Decision",OR(G367="Progress",G367="Progress with condition",G367="Return for evidence",G367="Pause",G367="Stop",G367="Suspend",G367="Decommission",G367="Re-authorise",G367="Resume")),"Outcome implies decision",IF(OR(ISNUMBER(SEARCH(",",O367)),ISNUMBER(SEARCH(";",O367))),"One UC-ID per event row — split this event",IF(AND(E367="Decision",OR(Q367="UC-ID REQUIRED",Q367="Decision scope missing",Q367="REMOVE UC-ID OR CORRECT SCOPE")),"Decision scope missing",IF(AND(G367="Progress with condition",COUNTIF(Conditions!$B$4:$B$553,A367)=0),"Progress with condition needs at least one Conditions row",IF(AND(C367&lt;&gt;"",COUNTIFS('Gate plan'!$A$4:$A$353,C367,'Gate plan'!$C$4:$C$353,D367)=0),"Plan gate differs from event gate",IF(AND(C367&lt;&gt;"",O367&lt;&gt;"",COUNTIFS('Gate plan'!$A$4:$A$353,C367,'Gate plan'!$K$4:$K$353,"&lt;&gt;")&gt;0,COUNTIFS('Gate plan'!$A$4:$A$353,C367,'Gate plan'!$K$4:$K$353,O367)=0),"Plan UC-ID differs from event UC-ID",IF(AND(E367="Assurance opinion",J367=""),"Assurance opinion ref missing",IF(AND(G367="Opinion only",E367&lt;&gt;"Assurance opinion",E367&lt;&gt;"Review only"),"Opinion only is for Assurance opinion or Review only events",IF(AND(G367="No decision",E367&lt;&gt;"Review only",E367&lt;&gt;"Priority override",E367&lt;&gt;"Intake / registration"),"No decision is for Review only, Priority override or Intake / registration events",IF(OR(ISNUMBER(SEARCH(" ",TRIM(O367))),ISNUMBER(SEARCH("/",O367))),"One UC-ID per event row: split this event",IF(AND(E367="Precautionary pause (containment)",ISNUMBER(W367),ISNUMBER(F367),W367&lt;F367),"Follow-up decision due date is before the pause",IF(AND(G367="Resume",IFERROR(LOOKUP(2,1/(($B$3:B366=B367)*($O$3:O366=O367)),$G$3:G366),"")&lt;&gt;"Paused — pending decision"),"Resume is only for the event straight after a Precautionary pause on the same AIR-ID and UC-ID (in an earlier row)",IF(AND(E367="Decision",OR(G367="Progress",G367="Progress with condition",G367="Re-authorise",G367="Resume"),X367&lt;&gt;"Yes"),"Decision-maker has not confirmed the screening was considered (column X)","Check against source")))))))))))))))))))))))))))))</f>
        <v/>
      </c>
      <c r="O367" s="37" t="n"/>
      <c r="P367" s="37" t="n"/>
      <c r="Q367" s="14">
        <f>IF(A367="","",IF(E367&lt;&gt;"Decision","",IF(P367="UC-ID specific",IF(O367="","UC-ID REQUIRED","Check source decision for each UC-ID"),IF(P367="Shared system baseline",IF(O367&lt;&gt;"","REMOVE UC-ID OR CORRECT SCOPE","Baseline only — NOT UC approval"),"Decision scope missing"))))</f>
        <v/>
      </c>
      <c r="R367" s="43" t="n"/>
      <c r="S367" s="40" t="n"/>
      <c r="T367" s="40" t="n"/>
      <c r="U367" s="40" t="n"/>
      <c r="V367" s="40" t="n"/>
      <c r="W367" s="41" t="n"/>
      <c r="X367" s="38" t="n"/>
    </row>
    <row r="368">
      <c r="A368" s="38" t="n"/>
      <c r="B368" s="38" t="n"/>
      <c r="C368" s="38" t="n"/>
      <c r="D368" s="38" t="n"/>
      <c r="E368" s="38" t="n"/>
      <c r="F368" s="39" t="n"/>
      <c r="G368" s="38" t="n"/>
      <c r="H368" s="38" t="n"/>
      <c r="I368" s="38" t="n"/>
      <c r="J368" s="38" t="n"/>
      <c r="K368" s="38" t="n"/>
      <c r="L368" s="38" t="n"/>
      <c r="M368" s="38" t="n"/>
      <c r="N368" s="22">
        <f>IF(COUNTA(A368:M368,O368:P368,R368:X368)=0,"",IF(OR(A368="",B368="",F368=""),"Event ID, AIR-ID or date missing",IF(COUNTIF($A$4:$A$553,A368)&gt;1,"Duplicate Event ID",IF(E368="","Event type missing",IF(OR(NOT(ISNUMBER(F368)),F368&gt;TODAY()),"Date is not a real date or is in the future",IF(AND(C368&lt;&gt;"",COUNTIF('Gate plan'!$A$4:$A$353,C368)=0),"Plan ID not found in Gate plan",IF(AND(C368&lt;&gt;"",COUNTIFS('Gate plan'!$A$4:$A$353,C368,'Gate plan'!$B$4:$B$353,B368)=0),"Plan AIR-ID differs from event",IF(D368="","Gate / forum missing",IF(AND(E368="Precautionary pause (containment)",G368&lt;&gt;"Paused — pending decision"),"Precautionary pause: Outcome must be Paused, pending decision",IF(AND(E368="Precautionary pause (containment)",V368=""),"Precautionary pause: AIG-OPS-03 incident ref missing",IF(AND(E368="Precautionary pause (containment)",NOT(ISNUMBER(W368))),"Precautionary pause: follow-up decision due date missing",IF(AND(G368="Paused — pending decision",E368&lt;&gt;"Precautionary pause (containment)"),"Paused, pending decision is only for a Precautionary pause event",IF(AND(E368="Decision",OR(G368="",H368="",I368="")),"Outcome / delegation / decision ref missing",IF(AND(E368="Decision",NOT(OR(G368="Progress",G368="Progress with condition",G368="Return for evidence",G368="Pause",G368="Stop",G368="Suspend",G368="Decommission",G368="Re-authorise",G368="Resume"))),"Decision event needs a decision outcome",IF(AND(E368="Priority override",OR(H368="",I368="")),"Decision-maker / AIG-DEC-03 ref missing",IF(AND(E368="Priority override",G368&lt;&gt;"",G368&lt;&gt;"No decision"),"Priority override: Outcome blank or No decision",IF(AND(E368&lt;&gt;"Decision",OR(G368="Progress",G368="Progress with condition",G368="Return for evidence",G368="Pause",G368="Stop",G368="Suspend",G368="Decommission",G368="Re-authorise",G368="Resume")),"Outcome implies decision",IF(OR(ISNUMBER(SEARCH(",",O368)),ISNUMBER(SEARCH(";",O368))),"One UC-ID per event row — split this event",IF(AND(E368="Decision",OR(Q368="UC-ID REQUIRED",Q368="Decision scope missing",Q368="REMOVE UC-ID OR CORRECT SCOPE")),"Decision scope missing",IF(AND(G368="Progress with condition",COUNTIF(Conditions!$B$4:$B$553,A368)=0),"Progress with condition needs at least one Conditions row",IF(AND(C368&lt;&gt;"",COUNTIFS('Gate plan'!$A$4:$A$353,C368,'Gate plan'!$C$4:$C$353,D368)=0),"Plan gate differs from event gate",IF(AND(C368&lt;&gt;"",O368&lt;&gt;"",COUNTIFS('Gate plan'!$A$4:$A$353,C368,'Gate plan'!$K$4:$K$353,"&lt;&gt;")&gt;0,COUNTIFS('Gate plan'!$A$4:$A$353,C368,'Gate plan'!$K$4:$K$353,O368)=0),"Plan UC-ID differs from event UC-ID",IF(AND(E368="Assurance opinion",J368=""),"Assurance opinion ref missing",IF(AND(G368="Opinion only",E368&lt;&gt;"Assurance opinion",E368&lt;&gt;"Review only"),"Opinion only is for Assurance opinion or Review only events",IF(AND(G368="No decision",E368&lt;&gt;"Review only",E368&lt;&gt;"Priority override",E368&lt;&gt;"Intake / registration"),"No decision is for Review only, Priority override or Intake / registration events",IF(OR(ISNUMBER(SEARCH(" ",TRIM(O368))),ISNUMBER(SEARCH("/",O368))),"One UC-ID per event row: split this event",IF(AND(E368="Precautionary pause (containment)",ISNUMBER(W368),ISNUMBER(F368),W368&lt;F368),"Follow-up decision due date is before the pause",IF(AND(G368="Resume",IFERROR(LOOKUP(2,1/(($B$3:B367=B368)*($O$3:O367=O368)),$G$3:G367),"")&lt;&gt;"Paused — pending decision"),"Resume is only for the event straight after a Precautionary pause on the same AIR-ID and UC-ID (in an earlier row)",IF(AND(E368="Decision",OR(G368="Progress",G368="Progress with condition",G368="Re-authorise",G368="Resume"),X368&lt;&gt;"Yes"),"Decision-maker has not confirmed the screening was considered (column X)","Check against source")))))))))))))))))))))))))))))</f>
        <v/>
      </c>
      <c r="O368" s="37" t="n"/>
      <c r="P368" s="37" t="n"/>
      <c r="Q368" s="14">
        <f>IF(A368="","",IF(E368&lt;&gt;"Decision","",IF(P368="UC-ID specific",IF(O368="","UC-ID REQUIRED","Check source decision for each UC-ID"),IF(P368="Shared system baseline",IF(O368&lt;&gt;"","REMOVE UC-ID OR CORRECT SCOPE","Baseline only — NOT UC approval"),"Decision scope missing"))))</f>
        <v/>
      </c>
      <c r="R368" s="42" t="n"/>
      <c r="S368" s="38" t="n"/>
      <c r="T368" s="38" t="n"/>
      <c r="U368" s="38" t="n"/>
      <c r="V368" s="38" t="n"/>
      <c r="W368" s="39" t="n"/>
      <c r="X368" s="38" t="n"/>
    </row>
    <row r="369">
      <c r="A369" s="40" t="n"/>
      <c r="B369" s="40" t="n"/>
      <c r="C369" s="40" t="n"/>
      <c r="D369" s="40" t="n"/>
      <c r="E369" s="40" t="n"/>
      <c r="F369" s="41" t="n"/>
      <c r="G369" s="40" t="n"/>
      <c r="H369" s="40" t="n"/>
      <c r="I369" s="40" t="n"/>
      <c r="J369" s="40" t="n"/>
      <c r="K369" s="40" t="n"/>
      <c r="L369" s="40" t="n"/>
      <c r="M369" s="40" t="n"/>
      <c r="N369" s="24">
        <f>IF(COUNTA(A369:M369,O369:P369,R369:X369)=0,"",IF(OR(A369="",B369="",F369=""),"Event ID, AIR-ID or date missing",IF(COUNTIF($A$4:$A$553,A369)&gt;1,"Duplicate Event ID",IF(E369="","Event type missing",IF(OR(NOT(ISNUMBER(F369)),F369&gt;TODAY()),"Date is not a real date or is in the future",IF(AND(C369&lt;&gt;"",COUNTIF('Gate plan'!$A$4:$A$353,C369)=0),"Plan ID not found in Gate plan",IF(AND(C369&lt;&gt;"",COUNTIFS('Gate plan'!$A$4:$A$353,C369,'Gate plan'!$B$4:$B$353,B369)=0),"Plan AIR-ID differs from event",IF(D369="","Gate / forum missing",IF(AND(E369="Precautionary pause (containment)",G369&lt;&gt;"Paused — pending decision"),"Precautionary pause: Outcome must be Paused, pending decision",IF(AND(E369="Precautionary pause (containment)",V369=""),"Precautionary pause: AIG-OPS-03 incident ref missing",IF(AND(E369="Precautionary pause (containment)",NOT(ISNUMBER(W369))),"Precautionary pause: follow-up decision due date missing",IF(AND(G369="Paused — pending decision",E369&lt;&gt;"Precautionary pause (containment)"),"Paused, pending decision is only for a Precautionary pause event",IF(AND(E369="Decision",OR(G369="",H369="",I369="")),"Outcome / delegation / decision ref missing",IF(AND(E369="Decision",NOT(OR(G369="Progress",G369="Progress with condition",G369="Return for evidence",G369="Pause",G369="Stop",G369="Suspend",G369="Decommission",G369="Re-authorise",G369="Resume"))),"Decision event needs a decision outcome",IF(AND(E369="Priority override",OR(H369="",I369="")),"Decision-maker / AIG-DEC-03 ref missing",IF(AND(E369="Priority override",G369&lt;&gt;"",G369&lt;&gt;"No decision"),"Priority override: Outcome blank or No decision",IF(AND(E369&lt;&gt;"Decision",OR(G369="Progress",G369="Progress with condition",G369="Return for evidence",G369="Pause",G369="Stop",G369="Suspend",G369="Decommission",G369="Re-authorise",G369="Resume")),"Outcome implies decision",IF(OR(ISNUMBER(SEARCH(",",O369)),ISNUMBER(SEARCH(";",O369))),"One UC-ID per event row — split this event",IF(AND(E369="Decision",OR(Q369="UC-ID REQUIRED",Q369="Decision scope missing",Q369="REMOVE UC-ID OR CORRECT SCOPE")),"Decision scope missing",IF(AND(G369="Progress with condition",COUNTIF(Conditions!$B$4:$B$553,A369)=0),"Progress with condition needs at least one Conditions row",IF(AND(C369&lt;&gt;"",COUNTIFS('Gate plan'!$A$4:$A$353,C369,'Gate plan'!$C$4:$C$353,D369)=0),"Plan gate differs from event gate",IF(AND(C369&lt;&gt;"",O369&lt;&gt;"",COUNTIFS('Gate plan'!$A$4:$A$353,C369,'Gate plan'!$K$4:$K$353,"&lt;&gt;")&gt;0,COUNTIFS('Gate plan'!$A$4:$A$353,C369,'Gate plan'!$K$4:$K$353,O369)=0),"Plan UC-ID differs from event UC-ID",IF(AND(E369="Assurance opinion",J369=""),"Assurance opinion ref missing",IF(AND(G369="Opinion only",E369&lt;&gt;"Assurance opinion",E369&lt;&gt;"Review only"),"Opinion only is for Assurance opinion or Review only events",IF(AND(G369="No decision",E369&lt;&gt;"Review only",E369&lt;&gt;"Priority override",E369&lt;&gt;"Intake / registration"),"No decision is for Review only, Priority override or Intake / registration events",IF(OR(ISNUMBER(SEARCH(" ",TRIM(O369))),ISNUMBER(SEARCH("/",O369))),"One UC-ID per event row: split this event",IF(AND(E369="Precautionary pause (containment)",ISNUMBER(W369),ISNUMBER(F369),W369&lt;F369),"Follow-up decision due date is before the pause",IF(AND(G369="Resume",IFERROR(LOOKUP(2,1/(($B$3:B368=B369)*($O$3:O368=O369)),$G$3:G368),"")&lt;&gt;"Paused — pending decision"),"Resume is only for the event straight after a Precautionary pause on the same AIR-ID and UC-ID (in an earlier row)",IF(AND(E369="Decision",OR(G369="Progress",G369="Progress with condition",G369="Re-authorise",G369="Resume"),X369&lt;&gt;"Yes"),"Decision-maker has not confirmed the screening was considered (column X)","Check against source")))))))))))))))))))))))))))))</f>
        <v/>
      </c>
      <c r="O369" s="37" t="n"/>
      <c r="P369" s="37" t="n"/>
      <c r="Q369" s="14">
        <f>IF(A369="","",IF(E369&lt;&gt;"Decision","",IF(P369="UC-ID specific",IF(O369="","UC-ID REQUIRED","Check source decision for each UC-ID"),IF(P369="Shared system baseline",IF(O369&lt;&gt;"","REMOVE UC-ID OR CORRECT SCOPE","Baseline only — NOT UC approval"),"Decision scope missing"))))</f>
        <v/>
      </c>
      <c r="R369" s="43" t="n"/>
      <c r="S369" s="40" t="n"/>
      <c r="T369" s="40" t="n"/>
      <c r="U369" s="40" t="n"/>
      <c r="V369" s="40" t="n"/>
      <c r="W369" s="41" t="n"/>
      <c r="X369" s="38" t="n"/>
    </row>
    <row r="370">
      <c r="A370" s="38" t="n"/>
      <c r="B370" s="38" t="n"/>
      <c r="C370" s="38" t="n"/>
      <c r="D370" s="38" t="n"/>
      <c r="E370" s="38" t="n"/>
      <c r="F370" s="39" t="n"/>
      <c r="G370" s="38" t="n"/>
      <c r="H370" s="38" t="n"/>
      <c r="I370" s="38" t="n"/>
      <c r="J370" s="38" t="n"/>
      <c r="K370" s="38" t="n"/>
      <c r="L370" s="38" t="n"/>
      <c r="M370" s="38" t="n"/>
      <c r="N370" s="22">
        <f>IF(COUNTA(A370:M370,O370:P370,R370:X370)=0,"",IF(OR(A370="",B370="",F370=""),"Event ID, AIR-ID or date missing",IF(COUNTIF($A$4:$A$553,A370)&gt;1,"Duplicate Event ID",IF(E370="","Event type missing",IF(OR(NOT(ISNUMBER(F370)),F370&gt;TODAY()),"Date is not a real date or is in the future",IF(AND(C370&lt;&gt;"",COUNTIF('Gate plan'!$A$4:$A$353,C370)=0),"Plan ID not found in Gate plan",IF(AND(C370&lt;&gt;"",COUNTIFS('Gate plan'!$A$4:$A$353,C370,'Gate plan'!$B$4:$B$353,B370)=0),"Plan AIR-ID differs from event",IF(D370="","Gate / forum missing",IF(AND(E370="Precautionary pause (containment)",G370&lt;&gt;"Paused — pending decision"),"Precautionary pause: Outcome must be Paused, pending decision",IF(AND(E370="Precautionary pause (containment)",V370=""),"Precautionary pause: AIG-OPS-03 incident ref missing",IF(AND(E370="Precautionary pause (containment)",NOT(ISNUMBER(W370))),"Precautionary pause: follow-up decision due date missing",IF(AND(G370="Paused — pending decision",E370&lt;&gt;"Precautionary pause (containment)"),"Paused, pending decision is only for a Precautionary pause event",IF(AND(E370="Decision",OR(G370="",H370="",I370="")),"Outcome / delegation / decision ref missing",IF(AND(E370="Decision",NOT(OR(G370="Progress",G370="Progress with condition",G370="Return for evidence",G370="Pause",G370="Stop",G370="Suspend",G370="Decommission",G370="Re-authorise",G370="Resume"))),"Decision event needs a decision outcome",IF(AND(E370="Priority override",OR(H370="",I370="")),"Decision-maker / AIG-DEC-03 ref missing",IF(AND(E370="Priority override",G370&lt;&gt;"",G370&lt;&gt;"No decision"),"Priority override: Outcome blank or No decision",IF(AND(E370&lt;&gt;"Decision",OR(G370="Progress",G370="Progress with condition",G370="Return for evidence",G370="Pause",G370="Stop",G370="Suspend",G370="Decommission",G370="Re-authorise",G370="Resume")),"Outcome implies decision",IF(OR(ISNUMBER(SEARCH(",",O370)),ISNUMBER(SEARCH(";",O370))),"One UC-ID per event row — split this event",IF(AND(E370="Decision",OR(Q370="UC-ID REQUIRED",Q370="Decision scope missing",Q370="REMOVE UC-ID OR CORRECT SCOPE")),"Decision scope missing",IF(AND(G370="Progress with condition",COUNTIF(Conditions!$B$4:$B$553,A370)=0),"Progress with condition needs at least one Conditions row",IF(AND(C370&lt;&gt;"",COUNTIFS('Gate plan'!$A$4:$A$353,C370,'Gate plan'!$C$4:$C$353,D370)=0),"Plan gate differs from event gate",IF(AND(C370&lt;&gt;"",O370&lt;&gt;"",COUNTIFS('Gate plan'!$A$4:$A$353,C370,'Gate plan'!$K$4:$K$353,"&lt;&gt;")&gt;0,COUNTIFS('Gate plan'!$A$4:$A$353,C370,'Gate plan'!$K$4:$K$353,O370)=0),"Plan UC-ID differs from event UC-ID",IF(AND(E370="Assurance opinion",J370=""),"Assurance opinion ref missing",IF(AND(G370="Opinion only",E370&lt;&gt;"Assurance opinion",E370&lt;&gt;"Review only"),"Opinion only is for Assurance opinion or Review only events",IF(AND(G370="No decision",E370&lt;&gt;"Review only",E370&lt;&gt;"Priority override",E370&lt;&gt;"Intake / registration"),"No decision is for Review only, Priority override or Intake / registration events",IF(OR(ISNUMBER(SEARCH(" ",TRIM(O370))),ISNUMBER(SEARCH("/",O370))),"One UC-ID per event row: split this event",IF(AND(E370="Precautionary pause (containment)",ISNUMBER(W370),ISNUMBER(F370),W370&lt;F370),"Follow-up decision due date is before the pause",IF(AND(G370="Resume",IFERROR(LOOKUP(2,1/(($B$3:B369=B370)*($O$3:O369=O370)),$G$3:G369),"")&lt;&gt;"Paused — pending decision"),"Resume is only for the event straight after a Precautionary pause on the same AIR-ID and UC-ID (in an earlier row)",IF(AND(E370="Decision",OR(G370="Progress",G370="Progress with condition",G370="Re-authorise",G370="Resume"),X370&lt;&gt;"Yes"),"Decision-maker has not confirmed the screening was considered (column X)","Check against source")))))))))))))))))))))))))))))</f>
        <v/>
      </c>
      <c r="O370" s="37" t="n"/>
      <c r="P370" s="37" t="n"/>
      <c r="Q370" s="14">
        <f>IF(A370="","",IF(E370&lt;&gt;"Decision","",IF(P370="UC-ID specific",IF(O370="","UC-ID REQUIRED","Check source decision for each UC-ID"),IF(P370="Shared system baseline",IF(O370&lt;&gt;"","REMOVE UC-ID OR CORRECT SCOPE","Baseline only — NOT UC approval"),"Decision scope missing"))))</f>
        <v/>
      </c>
      <c r="R370" s="42" t="n"/>
      <c r="S370" s="38" t="n"/>
      <c r="T370" s="38" t="n"/>
      <c r="U370" s="38" t="n"/>
      <c r="V370" s="38" t="n"/>
      <c r="W370" s="39" t="n"/>
      <c r="X370" s="38" t="n"/>
    </row>
    <row r="371">
      <c r="A371" s="40" t="n"/>
      <c r="B371" s="40" t="n"/>
      <c r="C371" s="40" t="n"/>
      <c r="D371" s="40" t="n"/>
      <c r="E371" s="40" t="n"/>
      <c r="F371" s="41" t="n"/>
      <c r="G371" s="40" t="n"/>
      <c r="H371" s="40" t="n"/>
      <c r="I371" s="40" t="n"/>
      <c r="J371" s="40" t="n"/>
      <c r="K371" s="40" t="n"/>
      <c r="L371" s="40" t="n"/>
      <c r="M371" s="40" t="n"/>
      <c r="N371" s="24">
        <f>IF(COUNTA(A371:M371,O371:P371,R371:X371)=0,"",IF(OR(A371="",B371="",F371=""),"Event ID, AIR-ID or date missing",IF(COUNTIF($A$4:$A$553,A371)&gt;1,"Duplicate Event ID",IF(E371="","Event type missing",IF(OR(NOT(ISNUMBER(F371)),F371&gt;TODAY()),"Date is not a real date or is in the future",IF(AND(C371&lt;&gt;"",COUNTIF('Gate plan'!$A$4:$A$353,C371)=0),"Plan ID not found in Gate plan",IF(AND(C371&lt;&gt;"",COUNTIFS('Gate plan'!$A$4:$A$353,C371,'Gate plan'!$B$4:$B$353,B371)=0),"Plan AIR-ID differs from event",IF(D371="","Gate / forum missing",IF(AND(E371="Precautionary pause (containment)",G371&lt;&gt;"Paused — pending decision"),"Precautionary pause: Outcome must be Paused, pending decision",IF(AND(E371="Precautionary pause (containment)",V371=""),"Precautionary pause: AIG-OPS-03 incident ref missing",IF(AND(E371="Precautionary pause (containment)",NOT(ISNUMBER(W371))),"Precautionary pause: follow-up decision due date missing",IF(AND(G371="Paused — pending decision",E371&lt;&gt;"Precautionary pause (containment)"),"Paused, pending decision is only for a Precautionary pause event",IF(AND(E371="Decision",OR(G371="",H371="",I371="")),"Outcome / delegation / decision ref missing",IF(AND(E371="Decision",NOT(OR(G371="Progress",G371="Progress with condition",G371="Return for evidence",G371="Pause",G371="Stop",G371="Suspend",G371="Decommission",G371="Re-authorise",G371="Resume"))),"Decision event needs a decision outcome",IF(AND(E371="Priority override",OR(H371="",I371="")),"Decision-maker / AIG-DEC-03 ref missing",IF(AND(E371="Priority override",G371&lt;&gt;"",G371&lt;&gt;"No decision"),"Priority override: Outcome blank or No decision",IF(AND(E371&lt;&gt;"Decision",OR(G371="Progress",G371="Progress with condition",G371="Return for evidence",G371="Pause",G371="Stop",G371="Suspend",G371="Decommission",G371="Re-authorise",G371="Resume")),"Outcome implies decision",IF(OR(ISNUMBER(SEARCH(",",O371)),ISNUMBER(SEARCH(";",O371))),"One UC-ID per event row — split this event",IF(AND(E371="Decision",OR(Q371="UC-ID REQUIRED",Q371="Decision scope missing",Q371="REMOVE UC-ID OR CORRECT SCOPE")),"Decision scope missing",IF(AND(G371="Progress with condition",COUNTIF(Conditions!$B$4:$B$553,A371)=0),"Progress with condition needs at least one Conditions row",IF(AND(C371&lt;&gt;"",COUNTIFS('Gate plan'!$A$4:$A$353,C371,'Gate plan'!$C$4:$C$353,D371)=0),"Plan gate differs from event gate",IF(AND(C371&lt;&gt;"",O371&lt;&gt;"",COUNTIFS('Gate plan'!$A$4:$A$353,C371,'Gate plan'!$K$4:$K$353,"&lt;&gt;")&gt;0,COUNTIFS('Gate plan'!$A$4:$A$353,C371,'Gate plan'!$K$4:$K$353,O371)=0),"Plan UC-ID differs from event UC-ID",IF(AND(E371="Assurance opinion",J371=""),"Assurance opinion ref missing",IF(AND(G371="Opinion only",E371&lt;&gt;"Assurance opinion",E371&lt;&gt;"Review only"),"Opinion only is for Assurance opinion or Review only events",IF(AND(G371="No decision",E371&lt;&gt;"Review only",E371&lt;&gt;"Priority override",E371&lt;&gt;"Intake / registration"),"No decision is for Review only, Priority override or Intake / registration events",IF(OR(ISNUMBER(SEARCH(" ",TRIM(O371))),ISNUMBER(SEARCH("/",O371))),"One UC-ID per event row: split this event",IF(AND(E371="Precautionary pause (containment)",ISNUMBER(W371),ISNUMBER(F371),W371&lt;F371),"Follow-up decision due date is before the pause",IF(AND(G371="Resume",IFERROR(LOOKUP(2,1/(($B$3:B370=B371)*($O$3:O370=O371)),$G$3:G370),"")&lt;&gt;"Paused — pending decision"),"Resume is only for the event straight after a Precautionary pause on the same AIR-ID and UC-ID (in an earlier row)",IF(AND(E371="Decision",OR(G371="Progress",G371="Progress with condition",G371="Re-authorise",G371="Resume"),X371&lt;&gt;"Yes"),"Decision-maker has not confirmed the screening was considered (column X)","Check against source")))))))))))))))))))))))))))))</f>
        <v/>
      </c>
      <c r="O371" s="37" t="n"/>
      <c r="P371" s="37" t="n"/>
      <c r="Q371" s="14">
        <f>IF(A371="","",IF(E371&lt;&gt;"Decision","",IF(P371="UC-ID specific",IF(O371="","UC-ID REQUIRED","Check source decision for each UC-ID"),IF(P371="Shared system baseline",IF(O371&lt;&gt;"","REMOVE UC-ID OR CORRECT SCOPE","Baseline only — NOT UC approval"),"Decision scope missing"))))</f>
        <v/>
      </c>
      <c r="R371" s="43" t="n"/>
      <c r="S371" s="40" t="n"/>
      <c r="T371" s="40" t="n"/>
      <c r="U371" s="40" t="n"/>
      <c r="V371" s="40" t="n"/>
      <c r="W371" s="41" t="n"/>
      <c r="X371" s="38" t="n"/>
    </row>
    <row r="372">
      <c r="A372" s="38" t="n"/>
      <c r="B372" s="38" t="n"/>
      <c r="C372" s="38" t="n"/>
      <c r="D372" s="38" t="n"/>
      <c r="E372" s="38" t="n"/>
      <c r="F372" s="39" t="n"/>
      <c r="G372" s="38" t="n"/>
      <c r="H372" s="38" t="n"/>
      <c r="I372" s="38" t="n"/>
      <c r="J372" s="38" t="n"/>
      <c r="K372" s="38" t="n"/>
      <c r="L372" s="38" t="n"/>
      <c r="M372" s="38" t="n"/>
      <c r="N372" s="22">
        <f>IF(COUNTA(A372:M372,O372:P372,R372:X372)=0,"",IF(OR(A372="",B372="",F372=""),"Event ID, AIR-ID or date missing",IF(COUNTIF($A$4:$A$553,A372)&gt;1,"Duplicate Event ID",IF(E372="","Event type missing",IF(OR(NOT(ISNUMBER(F372)),F372&gt;TODAY()),"Date is not a real date or is in the future",IF(AND(C372&lt;&gt;"",COUNTIF('Gate plan'!$A$4:$A$353,C372)=0),"Plan ID not found in Gate plan",IF(AND(C372&lt;&gt;"",COUNTIFS('Gate plan'!$A$4:$A$353,C372,'Gate plan'!$B$4:$B$353,B372)=0),"Plan AIR-ID differs from event",IF(D372="","Gate / forum missing",IF(AND(E372="Precautionary pause (containment)",G372&lt;&gt;"Paused — pending decision"),"Precautionary pause: Outcome must be Paused, pending decision",IF(AND(E372="Precautionary pause (containment)",V372=""),"Precautionary pause: AIG-OPS-03 incident ref missing",IF(AND(E372="Precautionary pause (containment)",NOT(ISNUMBER(W372))),"Precautionary pause: follow-up decision due date missing",IF(AND(G372="Paused — pending decision",E372&lt;&gt;"Precautionary pause (containment)"),"Paused, pending decision is only for a Precautionary pause event",IF(AND(E372="Decision",OR(G372="",H372="",I372="")),"Outcome / delegation / decision ref missing",IF(AND(E372="Decision",NOT(OR(G372="Progress",G372="Progress with condition",G372="Return for evidence",G372="Pause",G372="Stop",G372="Suspend",G372="Decommission",G372="Re-authorise",G372="Resume"))),"Decision event needs a decision outcome",IF(AND(E372="Priority override",OR(H372="",I372="")),"Decision-maker / AIG-DEC-03 ref missing",IF(AND(E372="Priority override",G372&lt;&gt;"",G372&lt;&gt;"No decision"),"Priority override: Outcome blank or No decision",IF(AND(E372&lt;&gt;"Decision",OR(G372="Progress",G372="Progress with condition",G372="Return for evidence",G372="Pause",G372="Stop",G372="Suspend",G372="Decommission",G372="Re-authorise",G372="Resume")),"Outcome implies decision",IF(OR(ISNUMBER(SEARCH(",",O372)),ISNUMBER(SEARCH(";",O372))),"One UC-ID per event row — split this event",IF(AND(E372="Decision",OR(Q372="UC-ID REQUIRED",Q372="Decision scope missing",Q372="REMOVE UC-ID OR CORRECT SCOPE")),"Decision scope missing",IF(AND(G372="Progress with condition",COUNTIF(Conditions!$B$4:$B$553,A372)=0),"Progress with condition needs at least one Conditions row",IF(AND(C372&lt;&gt;"",COUNTIFS('Gate plan'!$A$4:$A$353,C372,'Gate plan'!$C$4:$C$353,D372)=0),"Plan gate differs from event gate",IF(AND(C372&lt;&gt;"",O372&lt;&gt;"",COUNTIFS('Gate plan'!$A$4:$A$353,C372,'Gate plan'!$K$4:$K$353,"&lt;&gt;")&gt;0,COUNTIFS('Gate plan'!$A$4:$A$353,C372,'Gate plan'!$K$4:$K$353,O372)=0),"Plan UC-ID differs from event UC-ID",IF(AND(E372="Assurance opinion",J372=""),"Assurance opinion ref missing",IF(AND(G372="Opinion only",E372&lt;&gt;"Assurance opinion",E372&lt;&gt;"Review only"),"Opinion only is for Assurance opinion or Review only events",IF(AND(G372="No decision",E372&lt;&gt;"Review only",E372&lt;&gt;"Priority override",E372&lt;&gt;"Intake / registration"),"No decision is for Review only, Priority override or Intake / registration events",IF(OR(ISNUMBER(SEARCH(" ",TRIM(O372))),ISNUMBER(SEARCH("/",O372))),"One UC-ID per event row: split this event",IF(AND(E372="Precautionary pause (containment)",ISNUMBER(W372),ISNUMBER(F372),W372&lt;F372),"Follow-up decision due date is before the pause",IF(AND(G372="Resume",IFERROR(LOOKUP(2,1/(($B$3:B371=B372)*($O$3:O371=O372)),$G$3:G371),"")&lt;&gt;"Paused — pending decision"),"Resume is only for the event straight after a Precautionary pause on the same AIR-ID and UC-ID (in an earlier row)",IF(AND(E372="Decision",OR(G372="Progress",G372="Progress with condition",G372="Re-authorise",G372="Resume"),X372&lt;&gt;"Yes"),"Decision-maker has not confirmed the screening was considered (column X)","Check against source")))))))))))))))))))))))))))))</f>
        <v/>
      </c>
      <c r="O372" s="37" t="n"/>
      <c r="P372" s="37" t="n"/>
      <c r="Q372" s="14">
        <f>IF(A372="","",IF(E372&lt;&gt;"Decision","",IF(P372="UC-ID specific",IF(O372="","UC-ID REQUIRED","Check source decision for each UC-ID"),IF(P372="Shared system baseline",IF(O372&lt;&gt;"","REMOVE UC-ID OR CORRECT SCOPE","Baseline only — NOT UC approval"),"Decision scope missing"))))</f>
        <v/>
      </c>
      <c r="R372" s="42" t="n"/>
      <c r="S372" s="38" t="n"/>
      <c r="T372" s="38" t="n"/>
      <c r="U372" s="38" t="n"/>
      <c r="V372" s="38" t="n"/>
      <c r="W372" s="39" t="n"/>
      <c r="X372" s="38" t="n"/>
    </row>
    <row r="373">
      <c r="A373" s="40" t="n"/>
      <c r="B373" s="40" t="n"/>
      <c r="C373" s="40" t="n"/>
      <c r="D373" s="40" t="n"/>
      <c r="E373" s="40" t="n"/>
      <c r="F373" s="41" t="n"/>
      <c r="G373" s="40" t="n"/>
      <c r="H373" s="40" t="n"/>
      <c r="I373" s="40" t="n"/>
      <c r="J373" s="40" t="n"/>
      <c r="K373" s="40" t="n"/>
      <c r="L373" s="40" t="n"/>
      <c r="M373" s="40" t="n"/>
      <c r="N373" s="24">
        <f>IF(COUNTA(A373:M373,O373:P373,R373:X373)=0,"",IF(OR(A373="",B373="",F373=""),"Event ID, AIR-ID or date missing",IF(COUNTIF($A$4:$A$553,A373)&gt;1,"Duplicate Event ID",IF(E373="","Event type missing",IF(OR(NOT(ISNUMBER(F373)),F373&gt;TODAY()),"Date is not a real date or is in the future",IF(AND(C373&lt;&gt;"",COUNTIF('Gate plan'!$A$4:$A$353,C373)=0),"Plan ID not found in Gate plan",IF(AND(C373&lt;&gt;"",COUNTIFS('Gate plan'!$A$4:$A$353,C373,'Gate plan'!$B$4:$B$353,B373)=0),"Plan AIR-ID differs from event",IF(D373="","Gate / forum missing",IF(AND(E373="Precautionary pause (containment)",G373&lt;&gt;"Paused — pending decision"),"Precautionary pause: Outcome must be Paused, pending decision",IF(AND(E373="Precautionary pause (containment)",V373=""),"Precautionary pause: AIG-OPS-03 incident ref missing",IF(AND(E373="Precautionary pause (containment)",NOT(ISNUMBER(W373))),"Precautionary pause: follow-up decision due date missing",IF(AND(G373="Paused — pending decision",E373&lt;&gt;"Precautionary pause (containment)"),"Paused, pending decision is only for a Precautionary pause event",IF(AND(E373="Decision",OR(G373="",H373="",I373="")),"Outcome / delegation / decision ref missing",IF(AND(E373="Decision",NOT(OR(G373="Progress",G373="Progress with condition",G373="Return for evidence",G373="Pause",G373="Stop",G373="Suspend",G373="Decommission",G373="Re-authorise",G373="Resume"))),"Decision event needs a decision outcome",IF(AND(E373="Priority override",OR(H373="",I373="")),"Decision-maker / AIG-DEC-03 ref missing",IF(AND(E373="Priority override",G373&lt;&gt;"",G373&lt;&gt;"No decision"),"Priority override: Outcome blank or No decision",IF(AND(E373&lt;&gt;"Decision",OR(G373="Progress",G373="Progress with condition",G373="Return for evidence",G373="Pause",G373="Stop",G373="Suspend",G373="Decommission",G373="Re-authorise",G373="Resume")),"Outcome implies decision",IF(OR(ISNUMBER(SEARCH(",",O373)),ISNUMBER(SEARCH(";",O373))),"One UC-ID per event row — split this event",IF(AND(E373="Decision",OR(Q373="UC-ID REQUIRED",Q373="Decision scope missing",Q373="REMOVE UC-ID OR CORRECT SCOPE")),"Decision scope missing",IF(AND(G373="Progress with condition",COUNTIF(Conditions!$B$4:$B$553,A373)=0),"Progress with condition needs at least one Conditions row",IF(AND(C373&lt;&gt;"",COUNTIFS('Gate plan'!$A$4:$A$353,C373,'Gate plan'!$C$4:$C$353,D373)=0),"Plan gate differs from event gate",IF(AND(C373&lt;&gt;"",O373&lt;&gt;"",COUNTIFS('Gate plan'!$A$4:$A$353,C373,'Gate plan'!$K$4:$K$353,"&lt;&gt;")&gt;0,COUNTIFS('Gate plan'!$A$4:$A$353,C373,'Gate plan'!$K$4:$K$353,O373)=0),"Plan UC-ID differs from event UC-ID",IF(AND(E373="Assurance opinion",J373=""),"Assurance opinion ref missing",IF(AND(G373="Opinion only",E373&lt;&gt;"Assurance opinion",E373&lt;&gt;"Review only"),"Opinion only is for Assurance opinion or Review only events",IF(AND(G373="No decision",E373&lt;&gt;"Review only",E373&lt;&gt;"Priority override",E373&lt;&gt;"Intake / registration"),"No decision is for Review only, Priority override or Intake / registration events",IF(OR(ISNUMBER(SEARCH(" ",TRIM(O373))),ISNUMBER(SEARCH("/",O373))),"One UC-ID per event row: split this event",IF(AND(E373="Precautionary pause (containment)",ISNUMBER(W373),ISNUMBER(F373),W373&lt;F373),"Follow-up decision due date is before the pause",IF(AND(G373="Resume",IFERROR(LOOKUP(2,1/(($B$3:B372=B373)*($O$3:O372=O373)),$G$3:G372),"")&lt;&gt;"Paused — pending decision"),"Resume is only for the event straight after a Precautionary pause on the same AIR-ID and UC-ID (in an earlier row)",IF(AND(E373="Decision",OR(G373="Progress",G373="Progress with condition",G373="Re-authorise",G373="Resume"),X373&lt;&gt;"Yes"),"Decision-maker has not confirmed the screening was considered (column X)","Check against source")))))))))))))))))))))))))))))</f>
        <v/>
      </c>
      <c r="O373" s="37" t="n"/>
      <c r="P373" s="37" t="n"/>
      <c r="Q373" s="14">
        <f>IF(A373="","",IF(E373&lt;&gt;"Decision","",IF(P373="UC-ID specific",IF(O373="","UC-ID REQUIRED","Check source decision for each UC-ID"),IF(P373="Shared system baseline",IF(O373&lt;&gt;"","REMOVE UC-ID OR CORRECT SCOPE","Baseline only — NOT UC approval"),"Decision scope missing"))))</f>
        <v/>
      </c>
      <c r="R373" s="43" t="n"/>
      <c r="S373" s="40" t="n"/>
      <c r="T373" s="40" t="n"/>
      <c r="U373" s="40" t="n"/>
      <c r="V373" s="40" t="n"/>
      <c r="W373" s="41" t="n"/>
      <c r="X373" s="38" t="n"/>
    </row>
    <row r="374">
      <c r="A374" s="38" t="n"/>
      <c r="B374" s="38" t="n"/>
      <c r="C374" s="38" t="n"/>
      <c r="D374" s="38" t="n"/>
      <c r="E374" s="38" t="n"/>
      <c r="F374" s="39" t="n"/>
      <c r="G374" s="38" t="n"/>
      <c r="H374" s="38" t="n"/>
      <c r="I374" s="38" t="n"/>
      <c r="J374" s="38" t="n"/>
      <c r="K374" s="38" t="n"/>
      <c r="L374" s="38" t="n"/>
      <c r="M374" s="38" t="n"/>
      <c r="N374" s="22">
        <f>IF(COUNTA(A374:M374,O374:P374,R374:X374)=0,"",IF(OR(A374="",B374="",F374=""),"Event ID, AIR-ID or date missing",IF(COUNTIF($A$4:$A$553,A374)&gt;1,"Duplicate Event ID",IF(E374="","Event type missing",IF(OR(NOT(ISNUMBER(F374)),F374&gt;TODAY()),"Date is not a real date or is in the future",IF(AND(C374&lt;&gt;"",COUNTIF('Gate plan'!$A$4:$A$353,C374)=0),"Plan ID not found in Gate plan",IF(AND(C374&lt;&gt;"",COUNTIFS('Gate plan'!$A$4:$A$353,C374,'Gate plan'!$B$4:$B$353,B374)=0),"Plan AIR-ID differs from event",IF(D374="","Gate / forum missing",IF(AND(E374="Precautionary pause (containment)",G374&lt;&gt;"Paused — pending decision"),"Precautionary pause: Outcome must be Paused, pending decision",IF(AND(E374="Precautionary pause (containment)",V374=""),"Precautionary pause: AIG-OPS-03 incident ref missing",IF(AND(E374="Precautionary pause (containment)",NOT(ISNUMBER(W374))),"Precautionary pause: follow-up decision due date missing",IF(AND(G374="Paused — pending decision",E374&lt;&gt;"Precautionary pause (containment)"),"Paused, pending decision is only for a Precautionary pause event",IF(AND(E374="Decision",OR(G374="",H374="",I374="")),"Outcome / delegation / decision ref missing",IF(AND(E374="Decision",NOT(OR(G374="Progress",G374="Progress with condition",G374="Return for evidence",G374="Pause",G374="Stop",G374="Suspend",G374="Decommission",G374="Re-authorise",G374="Resume"))),"Decision event needs a decision outcome",IF(AND(E374="Priority override",OR(H374="",I374="")),"Decision-maker / AIG-DEC-03 ref missing",IF(AND(E374="Priority override",G374&lt;&gt;"",G374&lt;&gt;"No decision"),"Priority override: Outcome blank or No decision",IF(AND(E374&lt;&gt;"Decision",OR(G374="Progress",G374="Progress with condition",G374="Return for evidence",G374="Pause",G374="Stop",G374="Suspend",G374="Decommission",G374="Re-authorise",G374="Resume")),"Outcome implies decision",IF(OR(ISNUMBER(SEARCH(",",O374)),ISNUMBER(SEARCH(";",O374))),"One UC-ID per event row — split this event",IF(AND(E374="Decision",OR(Q374="UC-ID REQUIRED",Q374="Decision scope missing",Q374="REMOVE UC-ID OR CORRECT SCOPE")),"Decision scope missing",IF(AND(G374="Progress with condition",COUNTIF(Conditions!$B$4:$B$553,A374)=0),"Progress with condition needs at least one Conditions row",IF(AND(C374&lt;&gt;"",COUNTIFS('Gate plan'!$A$4:$A$353,C374,'Gate plan'!$C$4:$C$353,D374)=0),"Plan gate differs from event gate",IF(AND(C374&lt;&gt;"",O374&lt;&gt;"",COUNTIFS('Gate plan'!$A$4:$A$353,C374,'Gate plan'!$K$4:$K$353,"&lt;&gt;")&gt;0,COUNTIFS('Gate plan'!$A$4:$A$353,C374,'Gate plan'!$K$4:$K$353,O374)=0),"Plan UC-ID differs from event UC-ID",IF(AND(E374="Assurance opinion",J374=""),"Assurance opinion ref missing",IF(AND(G374="Opinion only",E374&lt;&gt;"Assurance opinion",E374&lt;&gt;"Review only"),"Opinion only is for Assurance opinion or Review only events",IF(AND(G374="No decision",E374&lt;&gt;"Review only",E374&lt;&gt;"Priority override",E374&lt;&gt;"Intake / registration"),"No decision is for Review only, Priority override or Intake / registration events",IF(OR(ISNUMBER(SEARCH(" ",TRIM(O374))),ISNUMBER(SEARCH("/",O374))),"One UC-ID per event row: split this event",IF(AND(E374="Precautionary pause (containment)",ISNUMBER(W374),ISNUMBER(F374),W374&lt;F374),"Follow-up decision due date is before the pause",IF(AND(G374="Resume",IFERROR(LOOKUP(2,1/(($B$3:B373=B374)*($O$3:O373=O374)),$G$3:G373),"")&lt;&gt;"Paused — pending decision"),"Resume is only for the event straight after a Precautionary pause on the same AIR-ID and UC-ID (in an earlier row)",IF(AND(E374="Decision",OR(G374="Progress",G374="Progress with condition",G374="Re-authorise",G374="Resume"),X374&lt;&gt;"Yes"),"Decision-maker has not confirmed the screening was considered (column X)","Check against source")))))))))))))))))))))))))))))</f>
        <v/>
      </c>
      <c r="O374" s="37" t="n"/>
      <c r="P374" s="37" t="n"/>
      <c r="Q374" s="14">
        <f>IF(A374="","",IF(E374&lt;&gt;"Decision","",IF(P374="UC-ID specific",IF(O374="","UC-ID REQUIRED","Check source decision for each UC-ID"),IF(P374="Shared system baseline",IF(O374&lt;&gt;"","REMOVE UC-ID OR CORRECT SCOPE","Baseline only — NOT UC approval"),"Decision scope missing"))))</f>
        <v/>
      </c>
      <c r="R374" s="42" t="n"/>
      <c r="S374" s="38" t="n"/>
      <c r="T374" s="38" t="n"/>
      <c r="U374" s="38" t="n"/>
      <c r="V374" s="38" t="n"/>
      <c r="W374" s="39" t="n"/>
      <c r="X374" s="38" t="n"/>
    </row>
    <row r="375">
      <c r="A375" s="40" t="n"/>
      <c r="B375" s="40" t="n"/>
      <c r="C375" s="40" t="n"/>
      <c r="D375" s="40" t="n"/>
      <c r="E375" s="40" t="n"/>
      <c r="F375" s="41" t="n"/>
      <c r="G375" s="40" t="n"/>
      <c r="H375" s="40" t="n"/>
      <c r="I375" s="40" t="n"/>
      <c r="J375" s="40" t="n"/>
      <c r="K375" s="40" t="n"/>
      <c r="L375" s="40" t="n"/>
      <c r="M375" s="40" t="n"/>
      <c r="N375" s="24">
        <f>IF(COUNTA(A375:M375,O375:P375,R375:X375)=0,"",IF(OR(A375="",B375="",F375=""),"Event ID, AIR-ID or date missing",IF(COUNTIF($A$4:$A$553,A375)&gt;1,"Duplicate Event ID",IF(E375="","Event type missing",IF(OR(NOT(ISNUMBER(F375)),F375&gt;TODAY()),"Date is not a real date or is in the future",IF(AND(C375&lt;&gt;"",COUNTIF('Gate plan'!$A$4:$A$353,C375)=0),"Plan ID not found in Gate plan",IF(AND(C375&lt;&gt;"",COUNTIFS('Gate plan'!$A$4:$A$353,C375,'Gate plan'!$B$4:$B$353,B375)=0),"Plan AIR-ID differs from event",IF(D375="","Gate / forum missing",IF(AND(E375="Precautionary pause (containment)",G375&lt;&gt;"Paused — pending decision"),"Precautionary pause: Outcome must be Paused, pending decision",IF(AND(E375="Precautionary pause (containment)",V375=""),"Precautionary pause: AIG-OPS-03 incident ref missing",IF(AND(E375="Precautionary pause (containment)",NOT(ISNUMBER(W375))),"Precautionary pause: follow-up decision due date missing",IF(AND(G375="Paused — pending decision",E375&lt;&gt;"Precautionary pause (containment)"),"Paused, pending decision is only for a Precautionary pause event",IF(AND(E375="Decision",OR(G375="",H375="",I375="")),"Outcome / delegation / decision ref missing",IF(AND(E375="Decision",NOT(OR(G375="Progress",G375="Progress with condition",G375="Return for evidence",G375="Pause",G375="Stop",G375="Suspend",G375="Decommission",G375="Re-authorise",G375="Resume"))),"Decision event needs a decision outcome",IF(AND(E375="Priority override",OR(H375="",I375="")),"Decision-maker / AIG-DEC-03 ref missing",IF(AND(E375="Priority override",G375&lt;&gt;"",G375&lt;&gt;"No decision"),"Priority override: Outcome blank or No decision",IF(AND(E375&lt;&gt;"Decision",OR(G375="Progress",G375="Progress with condition",G375="Return for evidence",G375="Pause",G375="Stop",G375="Suspend",G375="Decommission",G375="Re-authorise",G375="Resume")),"Outcome implies decision",IF(OR(ISNUMBER(SEARCH(",",O375)),ISNUMBER(SEARCH(";",O375))),"One UC-ID per event row — split this event",IF(AND(E375="Decision",OR(Q375="UC-ID REQUIRED",Q375="Decision scope missing",Q375="REMOVE UC-ID OR CORRECT SCOPE")),"Decision scope missing",IF(AND(G375="Progress with condition",COUNTIF(Conditions!$B$4:$B$553,A375)=0),"Progress with condition needs at least one Conditions row",IF(AND(C375&lt;&gt;"",COUNTIFS('Gate plan'!$A$4:$A$353,C375,'Gate plan'!$C$4:$C$353,D375)=0),"Plan gate differs from event gate",IF(AND(C375&lt;&gt;"",O375&lt;&gt;"",COUNTIFS('Gate plan'!$A$4:$A$353,C375,'Gate plan'!$K$4:$K$353,"&lt;&gt;")&gt;0,COUNTIFS('Gate plan'!$A$4:$A$353,C375,'Gate plan'!$K$4:$K$353,O375)=0),"Plan UC-ID differs from event UC-ID",IF(AND(E375="Assurance opinion",J375=""),"Assurance opinion ref missing",IF(AND(G375="Opinion only",E375&lt;&gt;"Assurance opinion",E375&lt;&gt;"Review only"),"Opinion only is for Assurance opinion or Review only events",IF(AND(G375="No decision",E375&lt;&gt;"Review only",E375&lt;&gt;"Priority override",E375&lt;&gt;"Intake / registration"),"No decision is for Review only, Priority override or Intake / registration events",IF(OR(ISNUMBER(SEARCH(" ",TRIM(O375))),ISNUMBER(SEARCH("/",O375))),"One UC-ID per event row: split this event",IF(AND(E375="Precautionary pause (containment)",ISNUMBER(W375),ISNUMBER(F375),W375&lt;F375),"Follow-up decision due date is before the pause",IF(AND(G375="Resume",IFERROR(LOOKUP(2,1/(($B$3:B374=B375)*($O$3:O374=O375)),$G$3:G374),"")&lt;&gt;"Paused — pending decision"),"Resume is only for the event straight after a Precautionary pause on the same AIR-ID and UC-ID (in an earlier row)",IF(AND(E375="Decision",OR(G375="Progress",G375="Progress with condition",G375="Re-authorise",G375="Resume"),X375&lt;&gt;"Yes"),"Decision-maker has not confirmed the screening was considered (column X)","Check against source")))))))))))))))))))))))))))))</f>
        <v/>
      </c>
      <c r="O375" s="37" t="n"/>
      <c r="P375" s="37" t="n"/>
      <c r="Q375" s="14">
        <f>IF(A375="","",IF(E375&lt;&gt;"Decision","",IF(P375="UC-ID specific",IF(O375="","UC-ID REQUIRED","Check source decision for each UC-ID"),IF(P375="Shared system baseline",IF(O375&lt;&gt;"","REMOVE UC-ID OR CORRECT SCOPE","Baseline only — NOT UC approval"),"Decision scope missing"))))</f>
        <v/>
      </c>
      <c r="R375" s="43" t="n"/>
      <c r="S375" s="40" t="n"/>
      <c r="T375" s="40" t="n"/>
      <c r="U375" s="40" t="n"/>
      <c r="V375" s="40" t="n"/>
      <c r="W375" s="41" t="n"/>
      <c r="X375" s="38" t="n"/>
    </row>
    <row r="376">
      <c r="A376" s="38" t="n"/>
      <c r="B376" s="38" t="n"/>
      <c r="C376" s="38" t="n"/>
      <c r="D376" s="38" t="n"/>
      <c r="E376" s="38" t="n"/>
      <c r="F376" s="39" t="n"/>
      <c r="G376" s="38" t="n"/>
      <c r="H376" s="38" t="n"/>
      <c r="I376" s="38" t="n"/>
      <c r="J376" s="38" t="n"/>
      <c r="K376" s="38" t="n"/>
      <c r="L376" s="38" t="n"/>
      <c r="M376" s="38" t="n"/>
      <c r="N376" s="22">
        <f>IF(COUNTA(A376:M376,O376:P376,R376:X376)=0,"",IF(OR(A376="",B376="",F376=""),"Event ID, AIR-ID or date missing",IF(COUNTIF($A$4:$A$553,A376)&gt;1,"Duplicate Event ID",IF(E376="","Event type missing",IF(OR(NOT(ISNUMBER(F376)),F376&gt;TODAY()),"Date is not a real date or is in the future",IF(AND(C376&lt;&gt;"",COUNTIF('Gate plan'!$A$4:$A$353,C376)=0),"Plan ID not found in Gate plan",IF(AND(C376&lt;&gt;"",COUNTIFS('Gate plan'!$A$4:$A$353,C376,'Gate plan'!$B$4:$B$353,B376)=0),"Plan AIR-ID differs from event",IF(D376="","Gate / forum missing",IF(AND(E376="Precautionary pause (containment)",G376&lt;&gt;"Paused — pending decision"),"Precautionary pause: Outcome must be Paused, pending decision",IF(AND(E376="Precautionary pause (containment)",V376=""),"Precautionary pause: AIG-OPS-03 incident ref missing",IF(AND(E376="Precautionary pause (containment)",NOT(ISNUMBER(W376))),"Precautionary pause: follow-up decision due date missing",IF(AND(G376="Paused — pending decision",E376&lt;&gt;"Precautionary pause (containment)"),"Paused, pending decision is only for a Precautionary pause event",IF(AND(E376="Decision",OR(G376="",H376="",I376="")),"Outcome / delegation / decision ref missing",IF(AND(E376="Decision",NOT(OR(G376="Progress",G376="Progress with condition",G376="Return for evidence",G376="Pause",G376="Stop",G376="Suspend",G376="Decommission",G376="Re-authorise",G376="Resume"))),"Decision event needs a decision outcome",IF(AND(E376="Priority override",OR(H376="",I376="")),"Decision-maker / AIG-DEC-03 ref missing",IF(AND(E376="Priority override",G376&lt;&gt;"",G376&lt;&gt;"No decision"),"Priority override: Outcome blank or No decision",IF(AND(E376&lt;&gt;"Decision",OR(G376="Progress",G376="Progress with condition",G376="Return for evidence",G376="Pause",G376="Stop",G376="Suspend",G376="Decommission",G376="Re-authorise",G376="Resume")),"Outcome implies decision",IF(OR(ISNUMBER(SEARCH(",",O376)),ISNUMBER(SEARCH(";",O376))),"One UC-ID per event row — split this event",IF(AND(E376="Decision",OR(Q376="UC-ID REQUIRED",Q376="Decision scope missing",Q376="REMOVE UC-ID OR CORRECT SCOPE")),"Decision scope missing",IF(AND(G376="Progress with condition",COUNTIF(Conditions!$B$4:$B$553,A376)=0),"Progress with condition needs at least one Conditions row",IF(AND(C376&lt;&gt;"",COUNTIFS('Gate plan'!$A$4:$A$353,C376,'Gate plan'!$C$4:$C$353,D376)=0),"Plan gate differs from event gate",IF(AND(C376&lt;&gt;"",O376&lt;&gt;"",COUNTIFS('Gate plan'!$A$4:$A$353,C376,'Gate plan'!$K$4:$K$353,"&lt;&gt;")&gt;0,COUNTIFS('Gate plan'!$A$4:$A$353,C376,'Gate plan'!$K$4:$K$353,O376)=0),"Plan UC-ID differs from event UC-ID",IF(AND(E376="Assurance opinion",J376=""),"Assurance opinion ref missing",IF(AND(G376="Opinion only",E376&lt;&gt;"Assurance opinion",E376&lt;&gt;"Review only"),"Opinion only is for Assurance opinion or Review only events",IF(AND(G376="No decision",E376&lt;&gt;"Review only",E376&lt;&gt;"Priority override",E376&lt;&gt;"Intake / registration"),"No decision is for Review only, Priority override or Intake / registration events",IF(OR(ISNUMBER(SEARCH(" ",TRIM(O376))),ISNUMBER(SEARCH("/",O376))),"One UC-ID per event row: split this event",IF(AND(E376="Precautionary pause (containment)",ISNUMBER(W376),ISNUMBER(F376),W376&lt;F376),"Follow-up decision due date is before the pause",IF(AND(G376="Resume",IFERROR(LOOKUP(2,1/(($B$3:B375=B376)*($O$3:O375=O376)),$G$3:G375),"")&lt;&gt;"Paused — pending decision"),"Resume is only for the event straight after a Precautionary pause on the same AIR-ID and UC-ID (in an earlier row)",IF(AND(E376="Decision",OR(G376="Progress",G376="Progress with condition",G376="Re-authorise",G376="Resume"),X376&lt;&gt;"Yes"),"Decision-maker has not confirmed the screening was considered (column X)","Check against source")))))))))))))))))))))))))))))</f>
        <v/>
      </c>
      <c r="O376" s="37" t="n"/>
      <c r="P376" s="37" t="n"/>
      <c r="Q376" s="14">
        <f>IF(A376="","",IF(E376&lt;&gt;"Decision","",IF(P376="UC-ID specific",IF(O376="","UC-ID REQUIRED","Check source decision for each UC-ID"),IF(P376="Shared system baseline",IF(O376&lt;&gt;"","REMOVE UC-ID OR CORRECT SCOPE","Baseline only — NOT UC approval"),"Decision scope missing"))))</f>
        <v/>
      </c>
      <c r="R376" s="42" t="n"/>
      <c r="S376" s="38" t="n"/>
      <c r="T376" s="38" t="n"/>
      <c r="U376" s="38" t="n"/>
      <c r="V376" s="38" t="n"/>
      <c r="W376" s="39" t="n"/>
      <c r="X376" s="38" t="n"/>
    </row>
    <row r="377">
      <c r="A377" s="40" t="n"/>
      <c r="B377" s="40" t="n"/>
      <c r="C377" s="40" t="n"/>
      <c r="D377" s="40" t="n"/>
      <c r="E377" s="40" t="n"/>
      <c r="F377" s="41" t="n"/>
      <c r="G377" s="40" t="n"/>
      <c r="H377" s="40" t="n"/>
      <c r="I377" s="40" t="n"/>
      <c r="J377" s="40" t="n"/>
      <c r="K377" s="40" t="n"/>
      <c r="L377" s="40" t="n"/>
      <c r="M377" s="40" t="n"/>
      <c r="N377" s="24">
        <f>IF(COUNTA(A377:M377,O377:P377,R377:X377)=0,"",IF(OR(A377="",B377="",F377=""),"Event ID, AIR-ID or date missing",IF(COUNTIF($A$4:$A$553,A377)&gt;1,"Duplicate Event ID",IF(E377="","Event type missing",IF(OR(NOT(ISNUMBER(F377)),F377&gt;TODAY()),"Date is not a real date or is in the future",IF(AND(C377&lt;&gt;"",COUNTIF('Gate plan'!$A$4:$A$353,C377)=0),"Plan ID not found in Gate plan",IF(AND(C377&lt;&gt;"",COUNTIFS('Gate plan'!$A$4:$A$353,C377,'Gate plan'!$B$4:$B$353,B377)=0),"Plan AIR-ID differs from event",IF(D377="","Gate / forum missing",IF(AND(E377="Precautionary pause (containment)",G377&lt;&gt;"Paused — pending decision"),"Precautionary pause: Outcome must be Paused, pending decision",IF(AND(E377="Precautionary pause (containment)",V377=""),"Precautionary pause: AIG-OPS-03 incident ref missing",IF(AND(E377="Precautionary pause (containment)",NOT(ISNUMBER(W377))),"Precautionary pause: follow-up decision due date missing",IF(AND(G377="Paused — pending decision",E377&lt;&gt;"Precautionary pause (containment)"),"Paused, pending decision is only for a Precautionary pause event",IF(AND(E377="Decision",OR(G377="",H377="",I377="")),"Outcome / delegation / decision ref missing",IF(AND(E377="Decision",NOT(OR(G377="Progress",G377="Progress with condition",G377="Return for evidence",G377="Pause",G377="Stop",G377="Suspend",G377="Decommission",G377="Re-authorise",G377="Resume"))),"Decision event needs a decision outcome",IF(AND(E377="Priority override",OR(H377="",I377="")),"Decision-maker / AIG-DEC-03 ref missing",IF(AND(E377="Priority override",G377&lt;&gt;"",G377&lt;&gt;"No decision"),"Priority override: Outcome blank or No decision",IF(AND(E377&lt;&gt;"Decision",OR(G377="Progress",G377="Progress with condition",G377="Return for evidence",G377="Pause",G377="Stop",G377="Suspend",G377="Decommission",G377="Re-authorise",G377="Resume")),"Outcome implies decision",IF(OR(ISNUMBER(SEARCH(",",O377)),ISNUMBER(SEARCH(";",O377))),"One UC-ID per event row — split this event",IF(AND(E377="Decision",OR(Q377="UC-ID REQUIRED",Q377="Decision scope missing",Q377="REMOVE UC-ID OR CORRECT SCOPE")),"Decision scope missing",IF(AND(G377="Progress with condition",COUNTIF(Conditions!$B$4:$B$553,A377)=0),"Progress with condition needs at least one Conditions row",IF(AND(C377&lt;&gt;"",COUNTIFS('Gate plan'!$A$4:$A$353,C377,'Gate plan'!$C$4:$C$353,D377)=0),"Plan gate differs from event gate",IF(AND(C377&lt;&gt;"",O377&lt;&gt;"",COUNTIFS('Gate plan'!$A$4:$A$353,C377,'Gate plan'!$K$4:$K$353,"&lt;&gt;")&gt;0,COUNTIFS('Gate plan'!$A$4:$A$353,C377,'Gate plan'!$K$4:$K$353,O377)=0),"Plan UC-ID differs from event UC-ID",IF(AND(E377="Assurance opinion",J377=""),"Assurance opinion ref missing",IF(AND(G377="Opinion only",E377&lt;&gt;"Assurance opinion",E377&lt;&gt;"Review only"),"Opinion only is for Assurance opinion or Review only events",IF(AND(G377="No decision",E377&lt;&gt;"Review only",E377&lt;&gt;"Priority override",E377&lt;&gt;"Intake / registration"),"No decision is for Review only, Priority override or Intake / registration events",IF(OR(ISNUMBER(SEARCH(" ",TRIM(O377))),ISNUMBER(SEARCH("/",O377))),"One UC-ID per event row: split this event",IF(AND(E377="Precautionary pause (containment)",ISNUMBER(W377),ISNUMBER(F377),W377&lt;F377),"Follow-up decision due date is before the pause",IF(AND(G377="Resume",IFERROR(LOOKUP(2,1/(($B$3:B376=B377)*($O$3:O376=O377)),$G$3:G376),"")&lt;&gt;"Paused — pending decision"),"Resume is only for the event straight after a Precautionary pause on the same AIR-ID and UC-ID (in an earlier row)",IF(AND(E377="Decision",OR(G377="Progress",G377="Progress with condition",G377="Re-authorise",G377="Resume"),X377&lt;&gt;"Yes"),"Decision-maker has not confirmed the screening was considered (column X)","Check against source")))))))))))))))))))))))))))))</f>
        <v/>
      </c>
      <c r="O377" s="37" t="n"/>
      <c r="P377" s="37" t="n"/>
      <c r="Q377" s="14">
        <f>IF(A377="","",IF(E377&lt;&gt;"Decision","",IF(P377="UC-ID specific",IF(O377="","UC-ID REQUIRED","Check source decision for each UC-ID"),IF(P377="Shared system baseline",IF(O377&lt;&gt;"","REMOVE UC-ID OR CORRECT SCOPE","Baseline only — NOT UC approval"),"Decision scope missing"))))</f>
        <v/>
      </c>
      <c r="R377" s="43" t="n"/>
      <c r="S377" s="40" t="n"/>
      <c r="T377" s="40" t="n"/>
      <c r="U377" s="40" t="n"/>
      <c r="V377" s="40" t="n"/>
      <c r="W377" s="41" t="n"/>
      <c r="X377" s="38" t="n"/>
    </row>
    <row r="378">
      <c r="A378" s="38" t="n"/>
      <c r="B378" s="38" t="n"/>
      <c r="C378" s="38" t="n"/>
      <c r="D378" s="38" t="n"/>
      <c r="E378" s="38" t="n"/>
      <c r="F378" s="39" t="n"/>
      <c r="G378" s="38" t="n"/>
      <c r="H378" s="38" t="n"/>
      <c r="I378" s="38" t="n"/>
      <c r="J378" s="38" t="n"/>
      <c r="K378" s="38" t="n"/>
      <c r="L378" s="38" t="n"/>
      <c r="M378" s="38" t="n"/>
      <c r="N378" s="22">
        <f>IF(COUNTA(A378:M378,O378:P378,R378:X378)=0,"",IF(OR(A378="",B378="",F378=""),"Event ID, AIR-ID or date missing",IF(COUNTIF($A$4:$A$553,A378)&gt;1,"Duplicate Event ID",IF(E378="","Event type missing",IF(OR(NOT(ISNUMBER(F378)),F378&gt;TODAY()),"Date is not a real date or is in the future",IF(AND(C378&lt;&gt;"",COUNTIF('Gate plan'!$A$4:$A$353,C378)=0),"Plan ID not found in Gate plan",IF(AND(C378&lt;&gt;"",COUNTIFS('Gate plan'!$A$4:$A$353,C378,'Gate plan'!$B$4:$B$353,B378)=0),"Plan AIR-ID differs from event",IF(D378="","Gate / forum missing",IF(AND(E378="Precautionary pause (containment)",G378&lt;&gt;"Paused — pending decision"),"Precautionary pause: Outcome must be Paused, pending decision",IF(AND(E378="Precautionary pause (containment)",V378=""),"Precautionary pause: AIG-OPS-03 incident ref missing",IF(AND(E378="Precautionary pause (containment)",NOT(ISNUMBER(W378))),"Precautionary pause: follow-up decision due date missing",IF(AND(G378="Paused — pending decision",E378&lt;&gt;"Precautionary pause (containment)"),"Paused, pending decision is only for a Precautionary pause event",IF(AND(E378="Decision",OR(G378="",H378="",I378="")),"Outcome / delegation / decision ref missing",IF(AND(E378="Decision",NOT(OR(G378="Progress",G378="Progress with condition",G378="Return for evidence",G378="Pause",G378="Stop",G378="Suspend",G378="Decommission",G378="Re-authorise",G378="Resume"))),"Decision event needs a decision outcome",IF(AND(E378="Priority override",OR(H378="",I378="")),"Decision-maker / AIG-DEC-03 ref missing",IF(AND(E378="Priority override",G378&lt;&gt;"",G378&lt;&gt;"No decision"),"Priority override: Outcome blank or No decision",IF(AND(E378&lt;&gt;"Decision",OR(G378="Progress",G378="Progress with condition",G378="Return for evidence",G378="Pause",G378="Stop",G378="Suspend",G378="Decommission",G378="Re-authorise",G378="Resume")),"Outcome implies decision",IF(OR(ISNUMBER(SEARCH(",",O378)),ISNUMBER(SEARCH(";",O378))),"One UC-ID per event row — split this event",IF(AND(E378="Decision",OR(Q378="UC-ID REQUIRED",Q378="Decision scope missing",Q378="REMOVE UC-ID OR CORRECT SCOPE")),"Decision scope missing",IF(AND(G378="Progress with condition",COUNTIF(Conditions!$B$4:$B$553,A378)=0),"Progress with condition needs at least one Conditions row",IF(AND(C378&lt;&gt;"",COUNTIFS('Gate plan'!$A$4:$A$353,C378,'Gate plan'!$C$4:$C$353,D378)=0),"Plan gate differs from event gate",IF(AND(C378&lt;&gt;"",O378&lt;&gt;"",COUNTIFS('Gate plan'!$A$4:$A$353,C378,'Gate plan'!$K$4:$K$353,"&lt;&gt;")&gt;0,COUNTIFS('Gate plan'!$A$4:$A$353,C378,'Gate plan'!$K$4:$K$353,O378)=0),"Plan UC-ID differs from event UC-ID",IF(AND(E378="Assurance opinion",J378=""),"Assurance opinion ref missing",IF(AND(G378="Opinion only",E378&lt;&gt;"Assurance opinion",E378&lt;&gt;"Review only"),"Opinion only is for Assurance opinion or Review only events",IF(AND(G378="No decision",E378&lt;&gt;"Review only",E378&lt;&gt;"Priority override",E378&lt;&gt;"Intake / registration"),"No decision is for Review only, Priority override or Intake / registration events",IF(OR(ISNUMBER(SEARCH(" ",TRIM(O378))),ISNUMBER(SEARCH("/",O378))),"One UC-ID per event row: split this event",IF(AND(E378="Precautionary pause (containment)",ISNUMBER(W378),ISNUMBER(F378),W378&lt;F378),"Follow-up decision due date is before the pause",IF(AND(G378="Resume",IFERROR(LOOKUP(2,1/(($B$3:B377=B378)*($O$3:O377=O378)),$G$3:G377),"")&lt;&gt;"Paused — pending decision"),"Resume is only for the event straight after a Precautionary pause on the same AIR-ID and UC-ID (in an earlier row)",IF(AND(E378="Decision",OR(G378="Progress",G378="Progress with condition",G378="Re-authorise",G378="Resume"),X378&lt;&gt;"Yes"),"Decision-maker has not confirmed the screening was considered (column X)","Check against source")))))))))))))))))))))))))))))</f>
        <v/>
      </c>
      <c r="O378" s="37" t="n"/>
      <c r="P378" s="37" t="n"/>
      <c r="Q378" s="14">
        <f>IF(A378="","",IF(E378&lt;&gt;"Decision","",IF(P378="UC-ID specific",IF(O378="","UC-ID REQUIRED","Check source decision for each UC-ID"),IF(P378="Shared system baseline",IF(O378&lt;&gt;"","REMOVE UC-ID OR CORRECT SCOPE","Baseline only — NOT UC approval"),"Decision scope missing"))))</f>
        <v/>
      </c>
      <c r="R378" s="42" t="n"/>
      <c r="S378" s="38" t="n"/>
      <c r="T378" s="38" t="n"/>
      <c r="U378" s="38" t="n"/>
      <c r="V378" s="38" t="n"/>
      <c r="W378" s="39" t="n"/>
      <c r="X378" s="38" t="n"/>
    </row>
    <row r="379">
      <c r="A379" s="40" t="n"/>
      <c r="B379" s="40" t="n"/>
      <c r="C379" s="40" t="n"/>
      <c r="D379" s="40" t="n"/>
      <c r="E379" s="40" t="n"/>
      <c r="F379" s="41" t="n"/>
      <c r="G379" s="40" t="n"/>
      <c r="H379" s="40" t="n"/>
      <c r="I379" s="40" t="n"/>
      <c r="J379" s="40" t="n"/>
      <c r="K379" s="40" t="n"/>
      <c r="L379" s="40" t="n"/>
      <c r="M379" s="40" t="n"/>
      <c r="N379" s="24">
        <f>IF(COUNTA(A379:M379,O379:P379,R379:X379)=0,"",IF(OR(A379="",B379="",F379=""),"Event ID, AIR-ID or date missing",IF(COUNTIF($A$4:$A$553,A379)&gt;1,"Duplicate Event ID",IF(E379="","Event type missing",IF(OR(NOT(ISNUMBER(F379)),F379&gt;TODAY()),"Date is not a real date or is in the future",IF(AND(C379&lt;&gt;"",COUNTIF('Gate plan'!$A$4:$A$353,C379)=0),"Plan ID not found in Gate plan",IF(AND(C379&lt;&gt;"",COUNTIFS('Gate plan'!$A$4:$A$353,C379,'Gate plan'!$B$4:$B$353,B379)=0),"Plan AIR-ID differs from event",IF(D379="","Gate / forum missing",IF(AND(E379="Precautionary pause (containment)",G379&lt;&gt;"Paused — pending decision"),"Precautionary pause: Outcome must be Paused, pending decision",IF(AND(E379="Precautionary pause (containment)",V379=""),"Precautionary pause: AIG-OPS-03 incident ref missing",IF(AND(E379="Precautionary pause (containment)",NOT(ISNUMBER(W379))),"Precautionary pause: follow-up decision due date missing",IF(AND(G379="Paused — pending decision",E379&lt;&gt;"Precautionary pause (containment)"),"Paused, pending decision is only for a Precautionary pause event",IF(AND(E379="Decision",OR(G379="",H379="",I379="")),"Outcome / delegation / decision ref missing",IF(AND(E379="Decision",NOT(OR(G379="Progress",G379="Progress with condition",G379="Return for evidence",G379="Pause",G379="Stop",G379="Suspend",G379="Decommission",G379="Re-authorise",G379="Resume"))),"Decision event needs a decision outcome",IF(AND(E379="Priority override",OR(H379="",I379="")),"Decision-maker / AIG-DEC-03 ref missing",IF(AND(E379="Priority override",G379&lt;&gt;"",G379&lt;&gt;"No decision"),"Priority override: Outcome blank or No decision",IF(AND(E379&lt;&gt;"Decision",OR(G379="Progress",G379="Progress with condition",G379="Return for evidence",G379="Pause",G379="Stop",G379="Suspend",G379="Decommission",G379="Re-authorise",G379="Resume")),"Outcome implies decision",IF(OR(ISNUMBER(SEARCH(",",O379)),ISNUMBER(SEARCH(";",O379))),"One UC-ID per event row — split this event",IF(AND(E379="Decision",OR(Q379="UC-ID REQUIRED",Q379="Decision scope missing",Q379="REMOVE UC-ID OR CORRECT SCOPE")),"Decision scope missing",IF(AND(G379="Progress with condition",COUNTIF(Conditions!$B$4:$B$553,A379)=0),"Progress with condition needs at least one Conditions row",IF(AND(C379&lt;&gt;"",COUNTIFS('Gate plan'!$A$4:$A$353,C379,'Gate plan'!$C$4:$C$353,D379)=0),"Plan gate differs from event gate",IF(AND(C379&lt;&gt;"",O379&lt;&gt;"",COUNTIFS('Gate plan'!$A$4:$A$353,C379,'Gate plan'!$K$4:$K$353,"&lt;&gt;")&gt;0,COUNTIFS('Gate plan'!$A$4:$A$353,C379,'Gate plan'!$K$4:$K$353,O379)=0),"Plan UC-ID differs from event UC-ID",IF(AND(E379="Assurance opinion",J379=""),"Assurance opinion ref missing",IF(AND(G379="Opinion only",E379&lt;&gt;"Assurance opinion",E379&lt;&gt;"Review only"),"Opinion only is for Assurance opinion or Review only events",IF(AND(G379="No decision",E379&lt;&gt;"Review only",E379&lt;&gt;"Priority override",E379&lt;&gt;"Intake / registration"),"No decision is for Review only, Priority override or Intake / registration events",IF(OR(ISNUMBER(SEARCH(" ",TRIM(O379))),ISNUMBER(SEARCH("/",O379))),"One UC-ID per event row: split this event",IF(AND(E379="Precautionary pause (containment)",ISNUMBER(W379),ISNUMBER(F379),W379&lt;F379),"Follow-up decision due date is before the pause",IF(AND(G379="Resume",IFERROR(LOOKUP(2,1/(($B$3:B378=B379)*($O$3:O378=O379)),$G$3:G378),"")&lt;&gt;"Paused — pending decision"),"Resume is only for the event straight after a Precautionary pause on the same AIR-ID and UC-ID (in an earlier row)",IF(AND(E379="Decision",OR(G379="Progress",G379="Progress with condition",G379="Re-authorise",G379="Resume"),X379&lt;&gt;"Yes"),"Decision-maker has not confirmed the screening was considered (column X)","Check against source")))))))))))))))))))))))))))))</f>
        <v/>
      </c>
      <c r="O379" s="37" t="n"/>
      <c r="P379" s="37" t="n"/>
      <c r="Q379" s="14">
        <f>IF(A379="","",IF(E379&lt;&gt;"Decision","",IF(P379="UC-ID specific",IF(O379="","UC-ID REQUIRED","Check source decision for each UC-ID"),IF(P379="Shared system baseline",IF(O379&lt;&gt;"","REMOVE UC-ID OR CORRECT SCOPE","Baseline only — NOT UC approval"),"Decision scope missing"))))</f>
        <v/>
      </c>
      <c r="R379" s="43" t="n"/>
      <c r="S379" s="40" t="n"/>
      <c r="T379" s="40" t="n"/>
      <c r="U379" s="40" t="n"/>
      <c r="V379" s="40" t="n"/>
      <c r="W379" s="41" t="n"/>
      <c r="X379" s="38" t="n"/>
    </row>
    <row r="380">
      <c r="A380" s="38" t="n"/>
      <c r="B380" s="38" t="n"/>
      <c r="C380" s="38" t="n"/>
      <c r="D380" s="38" t="n"/>
      <c r="E380" s="38" t="n"/>
      <c r="F380" s="39" t="n"/>
      <c r="G380" s="38" t="n"/>
      <c r="H380" s="38" t="n"/>
      <c r="I380" s="38" t="n"/>
      <c r="J380" s="38" t="n"/>
      <c r="K380" s="38" t="n"/>
      <c r="L380" s="38" t="n"/>
      <c r="M380" s="38" t="n"/>
      <c r="N380" s="22">
        <f>IF(COUNTA(A380:M380,O380:P380,R380:X380)=0,"",IF(OR(A380="",B380="",F380=""),"Event ID, AIR-ID or date missing",IF(COUNTIF($A$4:$A$553,A380)&gt;1,"Duplicate Event ID",IF(E380="","Event type missing",IF(OR(NOT(ISNUMBER(F380)),F380&gt;TODAY()),"Date is not a real date or is in the future",IF(AND(C380&lt;&gt;"",COUNTIF('Gate plan'!$A$4:$A$353,C380)=0),"Plan ID not found in Gate plan",IF(AND(C380&lt;&gt;"",COUNTIFS('Gate plan'!$A$4:$A$353,C380,'Gate plan'!$B$4:$B$353,B380)=0),"Plan AIR-ID differs from event",IF(D380="","Gate / forum missing",IF(AND(E380="Precautionary pause (containment)",G380&lt;&gt;"Paused — pending decision"),"Precautionary pause: Outcome must be Paused, pending decision",IF(AND(E380="Precautionary pause (containment)",V380=""),"Precautionary pause: AIG-OPS-03 incident ref missing",IF(AND(E380="Precautionary pause (containment)",NOT(ISNUMBER(W380))),"Precautionary pause: follow-up decision due date missing",IF(AND(G380="Paused — pending decision",E380&lt;&gt;"Precautionary pause (containment)"),"Paused, pending decision is only for a Precautionary pause event",IF(AND(E380="Decision",OR(G380="",H380="",I380="")),"Outcome / delegation / decision ref missing",IF(AND(E380="Decision",NOT(OR(G380="Progress",G380="Progress with condition",G380="Return for evidence",G380="Pause",G380="Stop",G380="Suspend",G380="Decommission",G380="Re-authorise",G380="Resume"))),"Decision event needs a decision outcome",IF(AND(E380="Priority override",OR(H380="",I380="")),"Decision-maker / AIG-DEC-03 ref missing",IF(AND(E380="Priority override",G380&lt;&gt;"",G380&lt;&gt;"No decision"),"Priority override: Outcome blank or No decision",IF(AND(E380&lt;&gt;"Decision",OR(G380="Progress",G380="Progress with condition",G380="Return for evidence",G380="Pause",G380="Stop",G380="Suspend",G380="Decommission",G380="Re-authorise",G380="Resume")),"Outcome implies decision",IF(OR(ISNUMBER(SEARCH(",",O380)),ISNUMBER(SEARCH(";",O380))),"One UC-ID per event row — split this event",IF(AND(E380="Decision",OR(Q380="UC-ID REQUIRED",Q380="Decision scope missing",Q380="REMOVE UC-ID OR CORRECT SCOPE")),"Decision scope missing",IF(AND(G380="Progress with condition",COUNTIF(Conditions!$B$4:$B$553,A380)=0),"Progress with condition needs at least one Conditions row",IF(AND(C380&lt;&gt;"",COUNTIFS('Gate plan'!$A$4:$A$353,C380,'Gate plan'!$C$4:$C$353,D380)=0),"Plan gate differs from event gate",IF(AND(C380&lt;&gt;"",O380&lt;&gt;"",COUNTIFS('Gate plan'!$A$4:$A$353,C380,'Gate plan'!$K$4:$K$353,"&lt;&gt;")&gt;0,COUNTIFS('Gate plan'!$A$4:$A$353,C380,'Gate plan'!$K$4:$K$353,O380)=0),"Plan UC-ID differs from event UC-ID",IF(AND(E380="Assurance opinion",J380=""),"Assurance opinion ref missing",IF(AND(G380="Opinion only",E380&lt;&gt;"Assurance opinion",E380&lt;&gt;"Review only"),"Opinion only is for Assurance opinion or Review only events",IF(AND(G380="No decision",E380&lt;&gt;"Review only",E380&lt;&gt;"Priority override",E380&lt;&gt;"Intake / registration"),"No decision is for Review only, Priority override or Intake / registration events",IF(OR(ISNUMBER(SEARCH(" ",TRIM(O380))),ISNUMBER(SEARCH("/",O380))),"One UC-ID per event row: split this event",IF(AND(E380="Precautionary pause (containment)",ISNUMBER(W380),ISNUMBER(F380),W380&lt;F380),"Follow-up decision due date is before the pause",IF(AND(G380="Resume",IFERROR(LOOKUP(2,1/(($B$3:B379=B380)*($O$3:O379=O380)),$G$3:G379),"")&lt;&gt;"Paused — pending decision"),"Resume is only for the event straight after a Precautionary pause on the same AIR-ID and UC-ID (in an earlier row)",IF(AND(E380="Decision",OR(G380="Progress",G380="Progress with condition",G380="Re-authorise",G380="Resume"),X380&lt;&gt;"Yes"),"Decision-maker has not confirmed the screening was considered (column X)","Check against source")))))))))))))))))))))))))))))</f>
        <v/>
      </c>
      <c r="O380" s="37" t="n"/>
      <c r="P380" s="37" t="n"/>
      <c r="Q380" s="14">
        <f>IF(A380="","",IF(E380&lt;&gt;"Decision","",IF(P380="UC-ID specific",IF(O380="","UC-ID REQUIRED","Check source decision for each UC-ID"),IF(P380="Shared system baseline",IF(O380&lt;&gt;"","REMOVE UC-ID OR CORRECT SCOPE","Baseline only — NOT UC approval"),"Decision scope missing"))))</f>
        <v/>
      </c>
      <c r="R380" s="42" t="n"/>
      <c r="S380" s="38" t="n"/>
      <c r="T380" s="38" t="n"/>
      <c r="U380" s="38" t="n"/>
      <c r="V380" s="38" t="n"/>
      <c r="W380" s="39" t="n"/>
      <c r="X380" s="38" t="n"/>
    </row>
    <row r="381">
      <c r="A381" s="40" t="n"/>
      <c r="B381" s="40" t="n"/>
      <c r="C381" s="40" t="n"/>
      <c r="D381" s="40" t="n"/>
      <c r="E381" s="40" t="n"/>
      <c r="F381" s="41" t="n"/>
      <c r="G381" s="40" t="n"/>
      <c r="H381" s="40" t="n"/>
      <c r="I381" s="40" t="n"/>
      <c r="J381" s="40" t="n"/>
      <c r="K381" s="40" t="n"/>
      <c r="L381" s="40" t="n"/>
      <c r="M381" s="40" t="n"/>
      <c r="N381" s="24">
        <f>IF(COUNTA(A381:M381,O381:P381,R381:X381)=0,"",IF(OR(A381="",B381="",F381=""),"Event ID, AIR-ID or date missing",IF(COUNTIF($A$4:$A$553,A381)&gt;1,"Duplicate Event ID",IF(E381="","Event type missing",IF(OR(NOT(ISNUMBER(F381)),F381&gt;TODAY()),"Date is not a real date or is in the future",IF(AND(C381&lt;&gt;"",COUNTIF('Gate plan'!$A$4:$A$353,C381)=0),"Plan ID not found in Gate plan",IF(AND(C381&lt;&gt;"",COUNTIFS('Gate plan'!$A$4:$A$353,C381,'Gate plan'!$B$4:$B$353,B381)=0),"Plan AIR-ID differs from event",IF(D381="","Gate / forum missing",IF(AND(E381="Precautionary pause (containment)",G381&lt;&gt;"Paused — pending decision"),"Precautionary pause: Outcome must be Paused, pending decision",IF(AND(E381="Precautionary pause (containment)",V381=""),"Precautionary pause: AIG-OPS-03 incident ref missing",IF(AND(E381="Precautionary pause (containment)",NOT(ISNUMBER(W381))),"Precautionary pause: follow-up decision due date missing",IF(AND(G381="Paused — pending decision",E381&lt;&gt;"Precautionary pause (containment)"),"Paused, pending decision is only for a Precautionary pause event",IF(AND(E381="Decision",OR(G381="",H381="",I381="")),"Outcome / delegation / decision ref missing",IF(AND(E381="Decision",NOT(OR(G381="Progress",G381="Progress with condition",G381="Return for evidence",G381="Pause",G381="Stop",G381="Suspend",G381="Decommission",G381="Re-authorise",G381="Resume"))),"Decision event needs a decision outcome",IF(AND(E381="Priority override",OR(H381="",I381="")),"Decision-maker / AIG-DEC-03 ref missing",IF(AND(E381="Priority override",G381&lt;&gt;"",G381&lt;&gt;"No decision"),"Priority override: Outcome blank or No decision",IF(AND(E381&lt;&gt;"Decision",OR(G381="Progress",G381="Progress with condition",G381="Return for evidence",G381="Pause",G381="Stop",G381="Suspend",G381="Decommission",G381="Re-authorise",G381="Resume")),"Outcome implies decision",IF(OR(ISNUMBER(SEARCH(",",O381)),ISNUMBER(SEARCH(";",O381))),"One UC-ID per event row — split this event",IF(AND(E381="Decision",OR(Q381="UC-ID REQUIRED",Q381="Decision scope missing",Q381="REMOVE UC-ID OR CORRECT SCOPE")),"Decision scope missing",IF(AND(G381="Progress with condition",COUNTIF(Conditions!$B$4:$B$553,A381)=0),"Progress with condition needs at least one Conditions row",IF(AND(C381&lt;&gt;"",COUNTIFS('Gate plan'!$A$4:$A$353,C381,'Gate plan'!$C$4:$C$353,D381)=0),"Plan gate differs from event gate",IF(AND(C381&lt;&gt;"",O381&lt;&gt;"",COUNTIFS('Gate plan'!$A$4:$A$353,C381,'Gate plan'!$K$4:$K$353,"&lt;&gt;")&gt;0,COUNTIFS('Gate plan'!$A$4:$A$353,C381,'Gate plan'!$K$4:$K$353,O381)=0),"Plan UC-ID differs from event UC-ID",IF(AND(E381="Assurance opinion",J381=""),"Assurance opinion ref missing",IF(AND(G381="Opinion only",E381&lt;&gt;"Assurance opinion",E381&lt;&gt;"Review only"),"Opinion only is for Assurance opinion or Review only events",IF(AND(G381="No decision",E381&lt;&gt;"Review only",E381&lt;&gt;"Priority override",E381&lt;&gt;"Intake / registration"),"No decision is for Review only, Priority override or Intake / registration events",IF(OR(ISNUMBER(SEARCH(" ",TRIM(O381))),ISNUMBER(SEARCH("/",O381))),"One UC-ID per event row: split this event",IF(AND(E381="Precautionary pause (containment)",ISNUMBER(W381),ISNUMBER(F381),W381&lt;F381),"Follow-up decision due date is before the pause",IF(AND(G381="Resume",IFERROR(LOOKUP(2,1/(($B$3:B380=B381)*($O$3:O380=O381)),$G$3:G380),"")&lt;&gt;"Paused — pending decision"),"Resume is only for the event straight after a Precautionary pause on the same AIR-ID and UC-ID (in an earlier row)",IF(AND(E381="Decision",OR(G381="Progress",G381="Progress with condition",G381="Re-authorise",G381="Resume"),X381&lt;&gt;"Yes"),"Decision-maker has not confirmed the screening was considered (column X)","Check against source")))))))))))))))))))))))))))))</f>
        <v/>
      </c>
      <c r="O381" s="37" t="n"/>
      <c r="P381" s="37" t="n"/>
      <c r="Q381" s="14">
        <f>IF(A381="","",IF(E381&lt;&gt;"Decision","",IF(P381="UC-ID specific",IF(O381="","UC-ID REQUIRED","Check source decision for each UC-ID"),IF(P381="Shared system baseline",IF(O381&lt;&gt;"","REMOVE UC-ID OR CORRECT SCOPE","Baseline only — NOT UC approval"),"Decision scope missing"))))</f>
        <v/>
      </c>
      <c r="R381" s="43" t="n"/>
      <c r="S381" s="40" t="n"/>
      <c r="T381" s="40" t="n"/>
      <c r="U381" s="40" t="n"/>
      <c r="V381" s="40" t="n"/>
      <c r="W381" s="41" t="n"/>
      <c r="X381" s="38" t="n"/>
    </row>
    <row r="382">
      <c r="A382" s="38" t="n"/>
      <c r="B382" s="38" t="n"/>
      <c r="C382" s="38" t="n"/>
      <c r="D382" s="38" t="n"/>
      <c r="E382" s="38" t="n"/>
      <c r="F382" s="39" t="n"/>
      <c r="G382" s="38" t="n"/>
      <c r="H382" s="38" t="n"/>
      <c r="I382" s="38" t="n"/>
      <c r="J382" s="38" t="n"/>
      <c r="K382" s="38" t="n"/>
      <c r="L382" s="38" t="n"/>
      <c r="M382" s="38" t="n"/>
      <c r="N382" s="22">
        <f>IF(COUNTA(A382:M382,O382:P382,R382:X382)=0,"",IF(OR(A382="",B382="",F382=""),"Event ID, AIR-ID or date missing",IF(COUNTIF($A$4:$A$553,A382)&gt;1,"Duplicate Event ID",IF(E382="","Event type missing",IF(OR(NOT(ISNUMBER(F382)),F382&gt;TODAY()),"Date is not a real date or is in the future",IF(AND(C382&lt;&gt;"",COUNTIF('Gate plan'!$A$4:$A$353,C382)=0),"Plan ID not found in Gate plan",IF(AND(C382&lt;&gt;"",COUNTIFS('Gate plan'!$A$4:$A$353,C382,'Gate plan'!$B$4:$B$353,B382)=0),"Plan AIR-ID differs from event",IF(D382="","Gate / forum missing",IF(AND(E382="Precautionary pause (containment)",G382&lt;&gt;"Paused — pending decision"),"Precautionary pause: Outcome must be Paused, pending decision",IF(AND(E382="Precautionary pause (containment)",V382=""),"Precautionary pause: AIG-OPS-03 incident ref missing",IF(AND(E382="Precautionary pause (containment)",NOT(ISNUMBER(W382))),"Precautionary pause: follow-up decision due date missing",IF(AND(G382="Paused — pending decision",E382&lt;&gt;"Precautionary pause (containment)"),"Paused, pending decision is only for a Precautionary pause event",IF(AND(E382="Decision",OR(G382="",H382="",I382="")),"Outcome / delegation / decision ref missing",IF(AND(E382="Decision",NOT(OR(G382="Progress",G382="Progress with condition",G382="Return for evidence",G382="Pause",G382="Stop",G382="Suspend",G382="Decommission",G382="Re-authorise",G382="Resume"))),"Decision event needs a decision outcome",IF(AND(E382="Priority override",OR(H382="",I382="")),"Decision-maker / AIG-DEC-03 ref missing",IF(AND(E382="Priority override",G382&lt;&gt;"",G382&lt;&gt;"No decision"),"Priority override: Outcome blank or No decision",IF(AND(E382&lt;&gt;"Decision",OR(G382="Progress",G382="Progress with condition",G382="Return for evidence",G382="Pause",G382="Stop",G382="Suspend",G382="Decommission",G382="Re-authorise",G382="Resume")),"Outcome implies decision",IF(OR(ISNUMBER(SEARCH(",",O382)),ISNUMBER(SEARCH(";",O382))),"One UC-ID per event row — split this event",IF(AND(E382="Decision",OR(Q382="UC-ID REQUIRED",Q382="Decision scope missing",Q382="REMOVE UC-ID OR CORRECT SCOPE")),"Decision scope missing",IF(AND(G382="Progress with condition",COUNTIF(Conditions!$B$4:$B$553,A382)=0),"Progress with condition needs at least one Conditions row",IF(AND(C382&lt;&gt;"",COUNTIFS('Gate plan'!$A$4:$A$353,C382,'Gate plan'!$C$4:$C$353,D382)=0),"Plan gate differs from event gate",IF(AND(C382&lt;&gt;"",O382&lt;&gt;"",COUNTIFS('Gate plan'!$A$4:$A$353,C382,'Gate plan'!$K$4:$K$353,"&lt;&gt;")&gt;0,COUNTIFS('Gate plan'!$A$4:$A$353,C382,'Gate plan'!$K$4:$K$353,O382)=0),"Plan UC-ID differs from event UC-ID",IF(AND(E382="Assurance opinion",J382=""),"Assurance opinion ref missing",IF(AND(G382="Opinion only",E382&lt;&gt;"Assurance opinion",E382&lt;&gt;"Review only"),"Opinion only is for Assurance opinion or Review only events",IF(AND(G382="No decision",E382&lt;&gt;"Review only",E382&lt;&gt;"Priority override",E382&lt;&gt;"Intake / registration"),"No decision is for Review only, Priority override or Intake / registration events",IF(OR(ISNUMBER(SEARCH(" ",TRIM(O382))),ISNUMBER(SEARCH("/",O382))),"One UC-ID per event row: split this event",IF(AND(E382="Precautionary pause (containment)",ISNUMBER(W382),ISNUMBER(F382),W382&lt;F382),"Follow-up decision due date is before the pause",IF(AND(G382="Resume",IFERROR(LOOKUP(2,1/(($B$3:B381=B382)*($O$3:O381=O382)),$G$3:G381),"")&lt;&gt;"Paused — pending decision"),"Resume is only for the event straight after a Precautionary pause on the same AIR-ID and UC-ID (in an earlier row)",IF(AND(E382="Decision",OR(G382="Progress",G382="Progress with condition",G382="Re-authorise",G382="Resume"),X382&lt;&gt;"Yes"),"Decision-maker has not confirmed the screening was considered (column X)","Check against source")))))))))))))))))))))))))))))</f>
        <v/>
      </c>
      <c r="O382" s="37" t="n"/>
      <c r="P382" s="37" t="n"/>
      <c r="Q382" s="14">
        <f>IF(A382="","",IF(E382&lt;&gt;"Decision","",IF(P382="UC-ID specific",IF(O382="","UC-ID REQUIRED","Check source decision for each UC-ID"),IF(P382="Shared system baseline",IF(O382&lt;&gt;"","REMOVE UC-ID OR CORRECT SCOPE","Baseline only — NOT UC approval"),"Decision scope missing"))))</f>
        <v/>
      </c>
      <c r="R382" s="42" t="n"/>
      <c r="S382" s="38" t="n"/>
      <c r="T382" s="38" t="n"/>
      <c r="U382" s="38" t="n"/>
      <c r="V382" s="38" t="n"/>
      <c r="W382" s="39" t="n"/>
      <c r="X382" s="38" t="n"/>
    </row>
    <row r="383">
      <c r="A383" s="40" t="n"/>
      <c r="B383" s="40" t="n"/>
      <c r="C383" s="40" t="n"/>
      <c r="D383" s="40" t="n"/>
      <c r="E383" s="40" t="n"/>
      <c r="F383" s="41" t="n"/>
      <c r="G383" s="40" t="n"/>
      <c r="H383" s="40" t="n"/>
      <c r="I383" s="40" t="n"/>
      <c r="J383" s="40" t="n"/>
      <c r="K383" s="40" t="n"/>
      <c r="L383" s="40" t="n"/>
      <c r="M383" s="40" t="n"/>
      <c r="N383" s="24">
        <f>IF(COUNTA(A383:M383,O383:P383,R383:X383)=0,"",IF(OR(A383="",B383="",F383=""),"Event ID, AIR-ID or date missing",IF(COUNTIF($A$4:$A$553,A383)&gt;1,"Duplicate Event ID",IF(E383="","Event type missing",IF(OR(NOT(ISNUMBER(F383)),F383&gt;TODAY()),"Date is not a real date or is in the future",IF(AND(C383&lt;&gt;"",COUNTIF('Gate plan'!$A$4:$A$353,C383)=0),"Plan ID not found in Gate plan",IF(AND(C383&lt;&gt;"",COUNTIFS('Gate plan'!$A$4:$A$353,C383,'Gate plan'!$B$4:$B$353,B383)=0),"Plan AIR-ID differs from event",IF(D383="","Gate / forum missing",IF(AND(E383="Precautionary pause (containment)",G383&lt;&gt;"Paused — pending decision"),"Precautionary pause: Outcome must be Paused, pending decision",IF(AND(E383="Precautionary pause (containment)",V383=""),"Precautionary pause: AIG-OPS-03 incident ref missing",IF(AND(E383="Precautionary pause (containment)",NOT(ISNUMBER(W383))),"Precautionary pause: follow-up decision due date missing",IF(AND(G383="Paused — pending decision",E383&lt;&gt;"Precautionary pause (containment)"),"Paused, pending decision is only for a Precautionary pause event",IF(AND(E383="Decision",OR(G383="",H383="",I383="")),"Outcome / delegation / decision ref missing",IF(AND(E383="Decision",NOT(OR(G383="Progress",G383="Progress with condition",G383="Return for evidence",G383="Pause",G383="Stop",G383="Suspend",G383="Decommission",G383="Re-authorise",G383="Resume"))),"Decision event needs a decision outcome",IF(AND(E383="Priority override",OR(H383="",I383="")),"Decision-maker / AIG-DEC-03 ref missing",IF(AND(E383="Priority override",G383&lt;&gt;"",G383&lt;&gt;"No decision"),"Priority override: Outcome blank or No decision",IF(AND(E383&lt;&gt;"Decision",OR(G383="Progress",G383="Progress with condition",G383="Return for evidence",G383="Pause",G383="Stop",G383="Suspend",G383="Decommission",G383="Re-authorise",G383="Resume")),"Outcome implies decision",IF(OR(ISNUMBER(SEARCH(",",O383)),ISNUMBER(SEARCH(";",O383))),"One UC-ID per event row — split this event",IF(AND(E383="Decision",OR(Q383="UC-ID REQUIRED",Q383="Decision scope missing",Q383="REMOVE UC-ID OR CORRECT SCOPE")),"Decision scope missing",IF(AND(G383="Progress with condition",COUNTIF(Conditions!$B$4:$B$553,A383)=0),"Progress with condition needs at least one Conditions row",IF(AND(C383&lt;&gt;"",COUNTIFS('Gate plan'!$A$4:$A$353,C383,'Gate plan'!$C$4:$C$353,D383)=0),"Plan gate differs from event gate",IF(AND(C383&lt;&gt;"",O383&lt;&gt;"",COUNTIFS('Gate plan'!$A$4:$A$353,C383,'Gate plan'!$K$4:$K$353,"&lt;&gt;")&gt;0,COUNTIFS('Gate plan'!$A$4:$A$353,C383,'Gate plan'!$K$4:$K$353,O383)=0),"Plan UC-ID differs from event UC-ID",IF(AND(E383="Assurance opinion",J383=""),"Assurance opinion ref missing",IF(AND(G383="Opinion only",E383&lt;&gt;"Assurance opinion",E383&lt;&gt;"Review only"),"Opinion only is for Assurance opinion or Review only events",IF(AND(G383="No decision",E383&lt;&gt;"Review only",E383&lt;&gt;"Priority override",E383&lt;&gt;"Intake / registration"),"No decision is for Review only, Priority override or Intake / registration events",IF(OR(ISNUMBER(SEARCH(" ",TRIM(O383))),ISNUMBER(SEARCH("/",O383))),"One UC-ID per event row: split this event",IF(AND(E383="Precautionary pause (containment)",ISNUMBER(W383),ISNUMBER(F383),W383&lt;F383),"Follow-up decision due date is before the pause",IF(AND(G383="Resume",IFERROR(LOOKUP(2,1/(($B$3:B382=B383)*($O$3:O382=O383)),$G$3:G382),"")&lt;&gt;"Paused — pending decision"),"Resume is only for the event straight after a Precautionary pause on the same AIR-ID and UC-ID (in an earlier row)",IF(AND(E383="Decision",OR(G383="Progress",G383="Progress with condition",G383="Re-authorise",G383="Resume"),X383&lt;&gt;"Yes"),"Decision-maker has not confirmed the screening was considered (column X)","Check against source")))))))))))))))))))))))))))))</f>
        <v/>
      </c>
      <c r="O383" s="37" t="n"/>
      <c r="P383" s="37" t="n"/>
      <c r="Q383" s="14">
        <f>IF(A383="","",IF(E383&lt;&gt;"Decision","",IF(P383="UC-ID specific",IF(O383="","UC-ID REQUIRED","Check source decision for each UC-ID"),IF(P383="Shared system baseline",IF(O383&lt;&gt;"","REMOVE UC-ID OR CORRECT SCOPE","Baseline only — NOT UC approval"),"Decision scope missing"))))</f>
        <v/>
      </c>
      <c r="R383" s="43" t="n"/>
      <c r="S383" s="40" t="n"/>
      <c r="T383" s="40" t="n"/>
      <c r="U383" s="40" t="n"/>
      <c r="V383" s="40" t="n"/>
      <c r="W383" s="41" t="n"/>
      <c r="X383" s="38" t="n"/>
    </row>
    <row r="384">
      <c r="A384" s="38" t="n"/>
      <c r="B384" s="38" t="n"/>
      <c r="C384" s="38" t="n"/>
      <c r="D384" s="38" t="n"/>
      <c r="E384" s="38" t="n"/>
      <c r="F384" s="39" t="n"/>
      <c r="G384" s="38" t="n"/>
      <c r="H384" s="38" t="n"/>
      <c r="I384" s="38" t="n"/>
      <c r="J384" s="38" t="n"/>
      <c r="K384" s="38" t="n"/>
      <c r="L384" s="38" t="n"/>
      <c r="M384" s="38" t="n"/>
      <c r="N384" s="22">
        <f>IF(COUNTA(A384:M384,O384:P384,R384:X384)=0,"",IF(OR(A384="",B384="",F384=""),"Event ID, AIR-ID or date missing",IF(COUNTIF($A$4:$A$553,A384)&gt;1,"Duplicate Event ID",IF(E384="","Event type missing",IF(OR(NOT(ISNUMBER(F384)),F384&gt;TODAY()),"Date is not a real date or is in the future",IF(AND(C384&lt;&gt;"",COUNTIF('Gate plan'!$A$4:$A$353,C384)=0),"Plan ID not found in Gate plan",IF(AND(C384&lt;&gt;"",COUNTIFS('Gate plan'!$A$4:$A$353,C384,'Gate plan'!$B$4:$B$353,B384)=0),"Plan AIR-ID differs from event",IF(D384="","Gate / forum missing",IF(AND(E384="Precautionary pause (containment)",G384&lt;&gt;"Paused — pending decision"),"Precautionary pause: Outcome must be Paused, pending decision",IF(AND(E384="Precautionary pause (containment)",V384=""),"Precautionary pause: AIG-OPS-03 incident ref missing",IF(AND(E384="Precautionary pause (containment)",NOT(ISNUMBER(W384))),"Precautionary pause: follow-up decision due date missing",IF(AND(G384="Paused — pending decision",E384&lt;&gt;"Precautionary pause (containment)"),"Paused, pending decision is only for a Precautionary pause event",IF(AND(E384="Decision",OR(G384="",H384="",I384="")),"Outcome / delegation / decision ref missing",IF(AND(E384="Decision",NOT(OR(G384="Progress",G384="Progress with condition",G384="Return for evidence",G384="Pause",G384="Stop",G384="Suspend",G384="Decommission",G384="Re-authorise",G384="Resume"))),"Decision event needs a decision outcome",IF(AND(E384="Priority override",OR(H384="",I384="")),"Decision-maker / AIG-DEC-03 ref missing",IF(AND(E384="Priority override",G384&lt;&gt;"",G384&lt;&gt;"No decision"),"Priority override: Outcome blank or No decision",IF(AND(E384&lt;&gt;"Decision",OR(G384="Progress",G384="Progress with condition",G384="Return for evidence",G384="Pause",G384="Stop",G384="Suspend",G384="Decommission",G384="Re-authorise",G384="Resume")),"Outcome implies decision",IF(OR(ISNUMBER(SEARCH(",",O384)),ISNUMBER(SEARCH(";",O384))),"One UC-ID per event row — split this event",IF(AND(E384="Decision",OR(Q384="UC-ID REQUIRED",Q384="Decision scope missing",Q384="REMOVE UC-ID OR CORRECT SCOPE")),"Decision scope missing",IF(AND(G384="Progress with condition",COUNTIF(Conditions!$B$4:$B$553,A384)=0),"Progress with condition needs at least one Conditions row",IF(AND(C384&lt;&gt;"",COUNTIFS('Gate plan'!$A$4:$A$353,C384,'Gate plan'!$C$4:$C$353,D384)=0),"Plan gate differs from event gate",IF(AND(C384&lt;&gt;"",O384&lt;&gt;"",COUNTIFS('Gate plan'!$A$4:$A$353,C384,'Gate plan'!$K$4:$K$353,"&lt;&gt;")&gt;0,COUNTIFS('Gate plan'!$A$4:$A$353,C384,'Gate plan'!$K$4:$K$353,O384)=0),"Plan UC-ID differs from event UC-ID",IF(AND(E384="Assurance opinion",J384=""),"Assurance opinion ref missing",IF(AND(G384="Opinion only",E384&lt;&gt;"Assurance opinion",E384&lt;&gt;"Review only"),"Opinion only is for Assurance opinion or Review only events",IF(AND(G384="No decision",E384&lt;&gt;"Review only",E384&lt;&gt;"Priority override",E384&lt;&gt;"Intake / registration"),"No decision is for Review only, Priority override or Intake / registration events",IF(OR(ISNUMBER(SEARCH(" ",TRIM(O384))),ISNUMBER(SEARCH("/",O384))),"One UC-ID per event row: split this event",IF(AND(E384="Precautionary pause (containment)",ISNUMBER(W384),ISNUMBER(F384),W384&lt;F384),"Follow-up decision due date is before the pause",IF(AND(G384="Resume",IFERROR(LOOKUP(2,1/(($B$3:B383=B384)*($O$3:O383=O384)),$G$3:G383),"")&lt;&gt;"Paused — pending decision"),"Resume is only for the event straight after a Precautionary pause on the same AIR-ID and UC-ID (in an earlier row)",IF(AND(E384="Decision",OR(G384="Progress",G384="Progress with condition",G384="Re-authorise",G384="Resume"),X384&lt;&gt;"Yes"),"Decision-maker has not confirmed the screening was considered (column X)","Check against source")))))))))))))))))))))))))))))</f>
        <v/>
      </c>
      <c r="O384" s="37" t="n"/>
      <c r="P384" s="37" t="n"/>
      <c r="Q384" s="14">
        <f>IF(A384="","",IF(E384&lt;&gt;"Decision","",IF(P384="UC-ID specific",IF(O384="","UC-ID REQUIRED","Check source decision for each UC-ID"),IF(P384="Shared system baseline",IF(O384&lt;&gt;"","REMOVE UC-ID OR CORRECT SCOPE","Baseline only — NOT UC approval"),"Decision scope missing"))))</f>
        <v/>
      </c>
      <c r="R384" s="42" t="n"/>
      <c r="S384" s="38" t="n"/>
      <c r="T384" s="38" t="n"/>
      <c r="U384" s="38" t="n"/>
      <c r="V384" s="38" t="n"/>
      <c r="W384" s="39" t="n"/>
      <c r="X384" s="38" t="n"/>
    </row>
    <row r="385">
      <c r="A385" s="40" t="n"/>
      <c r="B385" s="40" t="n"/>
      <c r="C385" s="40" t="n"/>
      <c r="D385" s="40" t="n"/>
      <c r="E385" s="40" t="n"/>
      <c r="F385" s="41" t="n"/>
      <c r="G385" s="40" t="n"/>
      <c r="H385" s="40" t="n"/>
      <c r="I385" s="40" t="n"/>
      <c r="J385" s="40" t="n"/>
      <c r="K385" s="40" t="n"/>
      <c r="L385" s="40" t="n"/>
      <c r="M385" s="40" t="n"/>
      <c r="N385" s="24">
        <f>IF(COUNTA(A385:M385,O385:P385,R385:X385)=0,"",IF(OR(A385="",B385="",F385=""),"Event ID, AIR-ID or date missing",IF(COUNTIF($A$4:$A$553,A385)&gt;1,"Duplicate Event ID",IF(E385="","Event type missing",IF(OR(NOT(ISNUMBER(F385)),F385&gt;TODAY()),"Date is not a real date or is in the future",IF(AND(C385&lt;&gt;"",COUNTIF('Gate plan'!$A$4:$A$353,C385)=0),"Plan ID not found in Gate plan",IF(AND(C385&lt;&gt;"",COUNTIFS('Gate plan'!$A$4:$A$353,C385,'Gate plan'!$B$4:$B$353,B385)=0),"Plan AIR-ID differs from event",IF(D385="","Gate / forum missing",IF(AND(E385="Precautionary pause (containment)",G385&lt;&gt;"Paused — pending decision"),"Precautionary pause: Outcome must be Paused, pending decision",IF(AND(E385="Precautionary pause (containment)",V385=""),"Precautionary pause: AIG-OPS-03 incident ref missing",IF(AND(E385="Precautionary pause (containment)",NOT(ISNUMBER(W385))),"Precautionary pause: follow-up decision due date missing",IF(AND(G385="Paused — pending decision",E385&lt;&gt;"Precautionary pause (containment)"),"Paused, pending decision is only for a Precautionary pause event",IF(AND(E385="Decision",OR(G385="",H385="",I385="")),"Outcome / delegation / decision ref missing",IF(AND(E385="Decision",NOT(OR(G385="Progress",G385="Progress with condition",G385="Return for evidence",G385="Pause",G385="Stop",G385="Suspend",G385="Decommission",G385="Re-authorise",G385="Resume"))),"Decision event needs a decision outcome",IF(AND(E385="Priority override",OR(H385="",I385="")),"Decision-maker / AIG-DEC-03 ref missing",IF(AND(E385="Priority override",G385&lt;&gt;"",G385&lt;&gt;"No decision"),"Priority override: Outcome blank or No decision",IF(AND(E385&lt;&gt;"Decision",OR(G385="Progress",G385="Progress with condition",G385="Return for evidence",G385="Pause",G385="Stop",G385="Suspend",G385="Decommission",G385="Re-authorise",G385="Resume")),"Outcome implies decision",IF(OR(ISNUMBER(SEARCH(",",O385)),ISNUMBER(SEARCH(";",O385))),"One UC-ID per event row — split this event",IF(AND(E385="Decision",OR(Q385="UC-ID REQUIRED",Q385="Decision scope missing",Q385="REMOVE UC-ID OR CORRECT SCOPE")),"Decision scope missing",IF(AND(G385="Progress with condition",COUNTIF(Conditions!$B$4:$B$553,A385)=0),"Progress with condition needs at least one Conditions row",IF(AND(C385&lt;&gt;"",COUNTIFS('Gate plan'!$A$4:$A$353,C385,'Gate plan'!$C$4:$C$353,D385)=0),"Plan gate differs from event gate",IF(AND(C385&lt;&gt;"",O385&lt;&gt;"",COUNTIFS('Gate plan'!$A$4:$A$353,C385,'Gate plan'!$K$4:$K$353,"&lt;&gt;")&gt;0,COUNTIFS('Gate plan'!$A$4:$A$353,C385,'Gate plan'!$K$4:$K$353,O385)=0),"Plan UC-ID differs from event UC-ID",IF(AND(E385="Assurance opinion",J385=""),"Assurance opinion ref missing",IF(AND(G385="Opinion only",E385&lt;&gt;"Assurance opinion",E385&lt;&gt;"Review only"),"Opinion only is for Assurance opinion or Review only events",IF(AND(G385="No decision",E385&lt;&gt;"Review only",E385&lt;&gt;"Priority override",E385&lt;&gt;"Intake / registration"),"No decision is for Review only, Priority override or Intake / registration events",IF(OR(ISNUMBER(SEARCH(" ",TRIM(O385))),ISNUMBER(SEARCH("/",O385))),"One UC-ID per event row: split this event",IF(AND(E385="Precautionary pause (containment)",ISNUMBER(W385),ISNUMBER(F385),W385&lt;F385),"Follow-up decision due date is before the pause",IF(AND(G385="Resume",IFERROR(LOOKUP(2,1/(($B$3:B384=B385)*($O$3:O384=O385)),$G$3:G384),"")&lt;&gt;"Paused — pending decision"),"Resume is only for the event straight after a Precautionary pause on the same AIR-ID and UC-ID (in an earlier row)",IF(AND(E385="Decision",OR(G385="Progress",G385="Progress with condition",G385="Re-authorise",G385="Resume"),X385&lt;&gt;"Yes"),"Decision-maker has not confirmed the screening was considered (column X)","Check against source")))))))))))))))))))))))))))))</f>
        <v/>
      </c>
      <c r="O385" s="37" t="n"/>
      <c r="P385" s="37" t="n"/>
      <c r="Q385" s="14">
        <f>IF(A385="","",IF(E385&lt;&gt;"Decision","",IF(P385="UC-ID specific",IF(O385="","UC-ID REQUIRED","Check source decision for each UC-ID"),IF(P385="Shared system baseline",IF(O385&lt;&gt;"","REMOVE UC-ID OR CORRECT SCOPE","Baseline only — NOT UC approval"),"Decision scope missing"))))</f>
        <v/>
      </c>
      <c r="R385" s="43" t="n"/>
      <c r="S385" s="40" t="n"/>
      <c r="T385" s="40" t="n"/>
      <c r="U385" s="40" t="n"/>
      <c r="V385" s="40" t="n"/>
      <c r="W385" s="41" t="n"/>
      <c r="X385" s="38" t="n"/>
    </row>
    <row r="386">
      <c r="A386" s="38" t="n"/>
      <c r="B386" s="38" t="n"/>
      <c r="C386" s="38" t="n"/>
      <c r="D386" s="38" t="n"/>
      <c r="E386" s="38" t="n"/>
      <c r="F386" s="39" t="n"/>
      <c r="G386" s="38" t="n"/>
      <c r="H386" s="38" t="n"/>
      <c r="I386" s="38" t="n"/>
      <c r="J386" s="38" t="n"/>
      <c r="K386" s="38" t="n"/>
      <c r="L386" s="38" t="n"/>
      <c r="M386" s="38" t="n"/>
      <c r="N386" s="22">
        <f>IF(COUNTA(A386:M386,O386:P386,R386:X386)=0,"",IF(OR(A386="",B386="",F386=""),"Event ID, AIR-ID or date missing",IF(COUNTIF($A$4:$A$553,A386)&gt;1,"Duplicate Event ID",IF(E386="","Event type missing",IF(OR(NOT(ISNUMBER(F386)),F386&gt;TODAY()),"Date is not a real date or is in the future",IF(AND(C386&lt;&gt;"",COUNTIF('Gate plan'!$A$4:$A$353,C386)=0),"Plan ID not found in Gate plan",IF(AND(C386&lt;&gt;"",COUNTIFS('Gate plan'!$A$4:$A$353,C386,'Gate plan'!$B$4:$B$353,B386)=0),"Plan AIR-ID differs from event",IF(D386="","Gate / forum missing",IF(AND(E386="Precautionary pause (containment)",G386&lt;&gt;"Paused — pending decision"),"Precautionary pause: Outcome must be Paused, pending decision",IF(AND(E386="Precautionary pause (containment)",V386=""),"Precautionary pause: AIG-OPS-03 incident ref missing",IF(AND(E386="Precautionary pause (containment)",NOT(ISNUMBER(W386))),"Precautionary pause: follow-up decision due date missing",IF(AND(G386="Paused — pending decision",E386&lt;&gt;"Precautionary pause (containment)"),"Paused, pending decision is only for a Precautionary pause event",IF(AND(E386="Decision",OR(G386="",H386="",I386="")),"Outcome / delegation / decision ref missing",IF(AND(E386="Decision",NOT(OR(G386="Progress",G386="Progress with condition",G386="Return for evidence",G386="Pause",G386="Stop",G386="Suspend",G386="Decommission",G386="Re-authorise",G386="Resume"))),"Decision event needs a decision outcome",IF(AND(E386="Priority override",OR(H386="",I386="")),"Decision-maker / AIG-DEC-03 ref missing",IF(AND(E386="Priority override",G386&lt;&gt;"",G386&lt;&gt;"No decision"),"Priority override: Outcome blank or No decision",IF(AND(E386&lt;&gt;"Decision",OR(G386="Progress",G386="Progress with condition",G386="Return for evidence",G386="Pause",G386="Stop",G386="Suspend",G386="Decommission",G386="Re-authorise",G386="Resume")),"Outcome implies decision",IF(OR(ISNUMBER(SEARCH(",",O386)),ISNUMBER(SEARCH(";",O386))),"One UC-ID per event row — split this event",IF(AND(E386="Decision",OR(Q386="UC-ID REQUIRED",Q386="Decision scope missing",Q386="REMOVE UC-ID OR CORRECT SCOPE")),"Decision scope missing",IF(AND(G386="Progress with condition",COUNTIF(Conditions!$B$4:$B$553,A386)=0),"Progress with condition needs at least one Conditions row",IF(AND(C386&lt;&gt;"",COUNTIFS('Gate plan'!$A$4:$A$353,C386,'Gate plan'!$C$4:$C$353,D386)=0),"Plan gate differs from event gate",IF(AND(C386&lt;&gt;"",O386&lt;&gt;"",COUNTIFS('Gate plan'!$A$4:$A$353,C386,'Gate plan'!$K$4:$K$353,"&lt;&gt;")&gt;0,COUNTIFS('Gate plan'!$A$4:$A$353,C386,'Gate plan'!$K$4:$K$353,O386)=0),"Plan UC-ID differs from event UC-ID",IF(AND(E386="Assurance opinion",J386=""),"Assurance opinion ref missing",IF(AND(G386="Opinion only",E386&lt;&gt;"Assurance opinion",E386&lt;&gt;"Review only"),"Opinion only is for Assurance opinion or Review only events",IF(AND(G386="No decision",E386&lt;&gt;"Review only",E386&lt;&gt;"Priority override",E386&lt;&gt;"Intake / registration"),"No decision is for Review only, Priority override or Intake / registration events",IF(OR(ISNUMBER(SEARCH(" ",TRIM(O386))),ISNUMBER(SEARCH("/",O386))),"One UC-ID per event row: split this event",IF(AND(E386="Precautionary pause (containment)",ISNUMBER(W386),ISNUMBER(F386),W386&lt;F386),"Follow-up decision due date is before the pause",IF(AND(G386="Resume",IFERROR(LOOKUP(2,1/(($B$3:B385=B386)*($O$3:O385=O386)),$G$3:G385),"")&lt;&gt;"Paused — pending decision"),"Resume is only for the event straight after a Precautionary pause on the same AIR-ID and UC-ID (in an earlier row)",IF(AND(E386="Decision",OR(G386="Progress",G386="Progress with condition",G386="Re-authorise",G386="Resume"),X386&lt;&gt;"Yes"),"Decision-maker has not confirmed the screening was considered (column X)","Check against source")))))))))))))))))))))))))))))</f>
        <v/>
      </c>
      <c r="O386" s="37" t="n"/>
      <c r="P386" s="37" t="n"/>
      <c r="Q386" s="14">
        <f>IF(A386="","",IF(E386&lt;&gt;"Decision","",IF(P386="UC-ID specific",IF(O386="","UC-ID REQUIRED","Check source decision for each UC-ID"),IF(P386="Shared system baseline",IF(O386&lt;&gt;"","REMOVE UC-ID OR CORRECT SCOPE","Baseline only — NOT UC approval"),"Decision scope missing"))))</f>
        <v/>
      </c>
      <c r="R386" s="42" t="n"/>
      <c r="S386" s="38" t="n"/>
      <c r="T386" s="38" t="n"/>
      <c r="U386" s="38" t="n"/>
      <c r="V386" s="38" t="n"/>
      <c r="W386" s="39" t="n"/>
      <c r="X386" s="38" t="n"/>
    </row>
    <row r="387">
      <c r="A387" s="40" t="n"/>
      <c r="B387" s="40" t="n"/>
      <c r="C387" s="40" t="n"/>
      <c r="D387" s="40" t="n"/>
      <c r="E387" s="40" t="n"/>
      <c r="F387" s="41" t="n"/>
      <c r="G387" s="40" t="n"/>
      <c r="H387" s="40" t="n"/>
      <c r="I387" s="40" t="n"/>
      <c r="J387" s="40" t="n"/>
      <c r="K387" s="40" t="n"/>
      <c r="L387" s="40" t="n"/>
      <c r="M387" s="40" t="n"/>
      <c r="N387" s="24">
        <f>IF(COUNTA(A387:M387,O387:P387,R387:X387)=0,"",IF(OR(A387="",B387="",F387=""),"Event ID, AIR-ID or date missing",IF(COUNTIF($A$4:$A$553,A387)&gt;1,"Duplicate Event ID",IF(E387="","Event type missing",IF(OR(NOT(ISNUMBER(F387)),F387&gt;TODAY()),"Date is not a real date or is in the future",IF(AND(C387&lt;&gt;"",COUNTIF('Gate plan'!$A$4:$A$353,C387)=0),"Plan ID not found in Gate plan",IF(AND(C387&lt;&gt;"",COUNTIFS('Gate plan'!$A$4:$A$353,C387,'Gate plan'!$B$4:$B$353,B387)=0),"Plan AIR-ID differs from event",IF(D387="","Gate / forum missing",IF(AND(E387="Precautionary pause (containment)",G387&lt;&gt;"Paused — pending decision"),"Precautionary pause: Outcome must be Paused, pending decision",IF(AND(E387="Precautionary pause (containment)",V387=""),"Precautionary pause: AIG-OPS-03 incident ref missing",IF(AND(E387="Precautionary pause (containment)",NOT(ISNUMBER(W387))),"Precautionary pause: follow-up decision due date missing",IF(AND(G387="Paused — pending decision",E387&lt;&gt;"Precautionary pause (containment)"),"Paused, pending decision is only for a Precautionary pause event",IF(AND(E387="Decision",OR(G387="",H387="",I387="")),"Outcome / delegation / decision ref missing",IF(AND(E387="Decision",NOT(OR(G387="Progress",G387="Progress with condition",G387="Return for evidence",G387="Pause",G387="Stop",G387="Suspend",G387="Decommission",G387="Re-authorise",G387="Resume"))),"Decision event needs a decision outcome",IF(AND(E387="Priority override",OR(H387="",I387="")),"Decision-maker / AIG-DEC-03 ref missing",IF(AND(E387="Priority override",G387&lt;&gt;"",G387&lt;&gt;"No decision"),"Priority override: Outcome blank or No decision",IF(AND(E387&lt;&gt;"Decision",OR(G387="Progress",G387="Progress with condition",G387="Return for evidence",G387="Pause",G387="Stop",G387="Suspend",G387="Decommission",G387="Re-authorise",G387="Resume")),"Outcome implies decision",IF(OR(ISNUMBER(SEARCH(",",O387)),ISNUMBER(SEARCH(";",O387))),"One UC-ID per event row — split this event",IF(AND(E387="Decision",OR(Q387="UC-ID REQUIRED",Q387="Decision scope missing",Q387="REMOVE UC-ID OR CORRECT SCOPE")),"Decision scope missing",IF(AND(G387="Progress with condition",COUNTIF(Conditions!$B$4:$B$553,A387)=0),"Progress with condition needs at least one Conditions row",IF(AND(C387&lt;&gt;"",COUNTIFS('Gate plan'!$A$4:$A$353,C387,'Gate plan'!$C$4:$C$353,D387)=0),"Plan gate differs from event gate",IF(AND(C387&lt;&gt;"",O387&lt;&gt;"",COUNTIFS('Gate plan'!$A$4:$A$353,C387,'Gate plan'!$K$4:$K$353,"&lt;&gt;")&gt;0,COUNTIFS('Gate plan'!$A$4:$A$353,C387,'Gate plan'!$K$4:$K$353,O387)=0),"Plan UC-ID differs from event UC-ID",IF(AND(E387="Assurance opinion",J387=""),"Assurance opinion ref missing",IF(AND(G387="Opinion only",E387&lt;&gt;"Assurance opinion",E387&lt;&gt;"Review only"),"Opinion only is for Assurance opinion or Review only events",IF(AND(G387="No decision",E387&lt;&gt;"Review only",E387&lt;&gt;"Priority override",E387&lt;&gt;"Intake / registration"),"No decision is for Review only, Priority override or Intake / registration events",IF(OR(ISNUMBER(SEARCH(" ",TRIM(O387))),ISNUMBER(SEARCH("/",O387))),"One UC-ID per event row: split this event",IF(AND(E387="Precautionary pause (containment)",ISNUMBER(W387),ISNUMBER(F387),W387&lt;F387),"Follow-up decision due date is before the pause",IF(AND(G387="Resume",IFERROR(LOOKUP(2,1/(($B$3:B386=B387)*($O$3:O386=O387)),$G$3:G386),"")&lt;&gt;"Paused — pending decision"),"Resume is only for the event straight after a Precautionary pause on the same AIR-ID and UC-ID (in an earlier row)",IF(AND(E387="Decision",OR(G387="Progress",G387="Progress with condition",G387="Re-authorise",G387="Resume"),X387&lt;&gt;"Yes"),"Decision-maker has not confirmed the screening was considered (column X)","Check against source")))))))))))))))))))))))))))))</f>
        <v/>
      </c>
      <c r="O387" s="37" t="n"/>
      <c r="P387" s="37" t="n"/>
      <c r="Q387" s="14">
        <f>IF(A387="","",IF(E387&lt;&gt;"Decision","",IF(P387="UC-ID specific",IF(O387="","UC-ID REQUIRED","Check source decision for each UC-ID"),IF(P387="Shared system baseline",IF(O387&lt;&gt;"","REMOVE UC-ID OR CORRECT SCOPE","Baseline only — NOT UC approval"),"Decision scope missing"))))</f>
        <v/>
      </c>
      <c r="R387" s="43" t="n"/>
      <c r="S387" s="40" t="n"/>
      <c r="T387" s="40" t="n"/>
      <c r="U387" s="40" t="n"/>
      <c r="V387" s="40" t="n"/>
      <c r="W387" s="41" t="n"/>
      <c r="X387" s="38" t="n"/>
    </row>
    <row r="388">
      <c r="A388" s="38" t="n"/>
      <c r="B388" s="38" t="n"/>
      <c r="C388" s="38" t="n"/>
      <c r="D388" s="38" t="n"/>
      <c r="E388" s="38" t="n"/>
      <c r="F388" s="39" t="n"/>
      <c r="G388" s="38" t="n"/>
      <c r="H388" s="38" t="n"/>
      <c r="I388" s="38" t="n"/>
      <c r="J388" s="38" t="n"/>
      <c r="K388" s="38" t="n"/>
      <c r="L388" s="38" t="n"/>
      <c r="M388" s="38" t="n"/>
      <c r="N388" s="22">
        <f>IF(COUNTA(A388:M388,O388:P388,R388:X388)=0,"",IF(OR(A388="",B388="",F388=""),"Event ID, AIR-ID or date missing",IF(COUNTIF($A$4:$A$553,A388)&gt;1,"Duplicate Event ID",IF(E388="","Event type missing",IF(OR(NOT(ISNUMBER(F388)),F388&gt;TODAY()),"Date is not a real date or is in the future",IF(AND(C388&lt;&gt;"",COUNTIF('Gate plan'!$A$4:$A$353,C388)=0),"Plan ID not found in Gate plan",IF(AND(C388&lt;&gt;"",COUNTIFS('Gate plan'!$A$4:$A$353,C388,'Gate plan'!$B$4:$B$353,B388)=0),"Plan AIR-ID differs from event",IF(D388="","Gate / forum missing",IF(AND(E388="Precautionary pause (containment)",G388&lt;&gt;"Paused — pending decision"),"Precautionary pause: Outcome must be Paused, pending decision",IF(AND(E388="Precautionary pause (containment)",V388=""),"Precautionary pause: AIG-OPS-03 incident ref missing",IF(AND(E388="Precautionary pause (containment)",NOT(ISNUMBER(W388))),"Precautionary pause: follow-up decision due date missing",IF(AND(G388="Paused — pending decision",E388&lt;&gt;"Precautionary pause (containment)"),"Paused, pending decision is only for a Precautionary pause event",IF(AND(E388="Decision",OR(G388="",H388="",I388="")),"Outcome / delegation / decision ref missing",IF(AND(E388="Decision",NOT(OR(G388="Progress",G388="Progress with condition",G388="Return for evidence",G388="Pause",G388="Stop",G388="Suspend",G388="Decommission",G388="Re-authorise",G388="Resume"))),"Decision event needs a decision outcome",IF(AND(E388="Priority override",OR(H388="",I388="")),"Decision-maker / AIG-DEC-03 ref missing",IF(AND(E388="Priority override",G388&lt;&gt;"",G388&lt;&gt;"No decision"),"Priority override: Outcome blank or No decision",IF(AND(E388&lt;&gt;"Decision",OR(G388="Progress",G388="Progress with condition",G388="Return for evidence",G388="Pause",G388="Stop",G388="Suspend",G388="Decommission",G388="Re-authorise",G388="Resume")),"Outcome implies decision",IF(OR(ISNUMBER(SEARCH(",",O388)),ISNUMBER(SEARCH(";",O388))),"One UC-ID per event row — split this event",IF(AND(E388="Decision",OR(Q388="UC-ID REQUIRED",Q388="Decision scope missing",Q388="REMOVE UC-ID OR CORRECT SCOPE")),"Decision scope missing",IF(AND(G388="Progress with condition",COUNTIF(Conditions!$B$4:$B$553,A388)=0),"Progress with condition needs at least one Conditions row",IF(AND(C388&lt;&gt;"",COUNTIFS('Gate plan'!$A$4:$A$353,C388,'Gate plan'!$C$4:$C$353,D388)=0),"Plan gate differs from event gate",IF(AND(C388&lt;&gt;"",O388&lt;&gt;"",COUNTIFS('Gate plan'!$A$4:$A$353,C388,'Gate plan'!$K$4:$K$353,"&lt;&gt;")&gt;0,COUNTIFS('Gate plan'!$A$4:$A$353,C388,'Gate plan'!$K$4:$K$353,O388)=0),"Plan UC-ID differs from event UC-ID",IF(AND(E388="Assurance opinion",J388=""),"Assurance opinion ref missing",IF(AND(G388="Opinion only",E388&lt;&gt;"Assurance opinion",E388&lt;&gt;"Review only"),"Opinion only is for Assurance opinion or Review only events",IF(AND(G388="No decision",E388&lt;&gt;"Review only",E388&lt;&gt;"Priority override",E388&lt;&gt;"Intake / registration"),"No decision is for Review only, Priority override or Intake / registration events",IF(OR(ISNUMBER(SEARCH(" ",TRIM(O388))),ISNUMBER(SEARCH("/",O388))),"One UC-ID per event row: split this event",IF(AND(E388="Precautionary pause (containment)",ISNUMBER(W388),ISNUMBER(F388),W388&lt;F388),"Follow-up decision due date is before the pause",IF(AND(G388="Resume",IFERROR(LOOKUP(2,1/(($B$3:B387=B388)*($O$3:O387=O388)),$G$3:G387),"")&lt;&gt;"Paused — pending decision"),"Resume is only for the event straight after a Precautionary pause on the same AIR-ID and UC-ID (in an earlier row)",IF(AND(E388="Decision",OR(G388="Progress",G388="Progress with condition",G388="Re-authorise",G388="Resume"),X388&lt;&gt;"Yes"),"Decision-maker has not confirmed the screening was considered (column X)","Check against source")))))))))))))))))))))))))))))</f>
        <v/>
      </c>
      <c r="O388" s="37" t="n"/>
      <c r="P388" s="37" t="n"/>
      <c r="Q388" s="14">
        <f>IF(A388="","",IF(E388&lt;&gt;"Decision","",IF(P388="UC-ID specific",IF(O388="","UC-ID REQUIRED","Check source decision for each UC-ID"),IF(P388="Shared system baseline",IF(O388&lt;&gt;"","REMOVE UC-ID OR CORRECT SCOPE","Baseline only — NOT UC approval"),"Decision scope missing"))))</f>
        <v/>
      </c>
      <c r="R388" s="42" t="n"/>
      <c r="S388" s="38" t="n"/>
      <c r="T388" s="38" t="n"/>
      <c r="U388" s="38" t="n"/>
      <c r="V388" s="38" t="n"/>
      <c r="W388" s="39" t="n"/>
      <c r="X388" s="38" t="n"/>
    </row>
    <row r="389">
      <c r="A389" s="40" t="n"/>
      <c r="B389" s="40" t="n"/>
      <c r="C389" s="40" t="n"/>
      <c r="D389" s="40" t="n"/>
      <c r="E389" s="40" t="n"/>
      <c r="F389" s="41" t="n"/>
      <c r="G389" s="40" t="n"/>
      <c r="H389" s="40" t="n"/>
      <c r="I389" s="40" t="n"/>
      <c r="J389" s="40" t="n"/>
      <c r="K389" s="40" t="n"/>
      <c r="L389" s="40" t="n"/>
      <c r="M389" s="40" t="n"/>
      <c r="N389" s="24">
        <f>IF(COUNTA(A389:M389,O389:P389,R389:X389)=0,"",IF(OR(A389="",B389="",F389=""),"Event ID, AIR-ID or date missing",IF(COUNTIF($A$4:$A$553,A389)&gt;1,"Duplicate Event ID",IF(E389="","Event type missing",IF(OR(NOT(ISNUMBER(F389)),F389&gt;TODAY()),"Date is not a real date or is in the future",IF(AND(C389&lt;&gt;"",COUNTIF('Gate plan'!$A$4:$A$353,C389)=0),"Plan ID not found in Gate plan",IF(AND(C389&lt;&gt;"",COUNTIFS('Gate plan'!$A$4:$A$353,C389,'Gate plan'!$B$4:$B$353,B389)=0),"Plan AIR-ID differs from event",IF(D389="","Gate / forum missing",IF(AND(E389="Precautionary pause (containment)",G389&lt;&gt;"Paused — pending decision"),"Precautionary pause: Outcome must be Paused, pending decision",IF(AND(E389="Precautionary pause (containment)",V389=""),"Precautionary pause: AIG-OPS-03 incident ref missing",IF(AND(E389="Precautionary pause (containment)",NOT(ISNUMBER(W389))),"Precautionary pause: follow-up decision due date missing",IF(AND(G389="Paused — pending decision",E389&lt;&gt;"Precautionary pause (containment)"),"Paused, pending decision is only for a Precautionary pause event",IF(AND(E389="Decision",OR(G389="",H389="",I389="")),"Outcome / delegation / decision ref missing",IF(AND(E389="Decision",NOT(OR(G389="Progress",G389="Progress with condition",G389="Return for evidence",G389="Pause",G389="Stop",G389="Suspend",G389="Decommission",G389="Re-authorise",G389="Resume"))),"Decision event needs a decision outcome",IF(AND(E389="Priority override",OR(H389="",I389="")),"Decision-maker / AIG-DEC-03 ref missing",IF(AND(E389="Priority override",G389&lt;&gt;"",G389&lt;&gt;"No decision"),"Priority override: Outcome blank or No decision",IF(AND(E389&lt;&gt;"Decision",OR(G389="Progress",G389="Progress with condition",G389="Return for evidence",G389="Pause",G389="Stop",G389="Suspend",G389="Decommission",G389="Re-authorise",G389="Resume")),"Outcome implies decision",IF(OR(ISNUMBER(SEARCH(",",O389)),ISNUMBER(SEARCH(";",O389))),"One UC-ID per event row — split this event",IF(AND(E389="Decision",OR(Q389="UC-ID REQUIRED",Q389="Decision scope missing",Q389="REMOVE UC-ID OR CORRECT SCOPE")),"Decision scope missing",IF(AND(G389="Progress with condition",COUNTIF(Conditions!$B$4:$B$553,A389)=0),"Progress with condition needs at least one Conditions row",IF(AND(C389&lt;&gt;"",COUNTIFS('Gate plan'!$A$4:$A$353,C389,'Gate plan'!$C$4:$C$353,D389)=0),"Plan gate differs from event gate",IF(AND(C389&lt;&gt;"",O389&lt;&gt;"",COUNTIFS('Gate plan'!$A$4:$A$353,C389,'Gate plan'!$K$4:$K$353,"&lt;&gt;")&gt;0,COUNTIFS('Gate plan'!$A$4:$A$353,C389,'Gate plan'!$K$4:$K$353,O389)=0),"Plan UC-ID differs from event UC-ID",IF(AND(E389="Assurance opinion",J389=""),"Assurance opinion ref missing",IF(AND(G389="Opinion only",E389&lt;&gt;"Assurance opinion",E389&lt;&gt;"Review only"),"Opinion only is for Assurance opinion or Review only events",IF(AND(G389="No decision",E389&lt;&gt;"Review only",E389&lt;&gt;"Priority override",E389&lt;&gt;"Intake / registration"),"No decision is for Review only, Priority override or Intake / registration events",IF(OR(ISNUMBER(SEARCH(" ",TRIM(O389))),ISNUMBER(SEARCH("/",O389))),"One UC-ID per event row: split this event",IF(AND(E389="Precautionary pause (containment)",ISNUMBER(W389),ISNUMBER(F389),W389&lt;F389),"Follow-up decision due date is before the pause",IF(AND(G389="Resume",IFERROR(LOOKUP(2,1/(($B$3:B388=B389)*($O$3:O388=O389)),$G$3:G388),"")&lt;&gt;"Paused — pending decision"),"Resume is only for the event straight after a Precautionary pause on the same AIR-ID and UC-ID (in an earlier row)",IF(AND(E389="Decision",OR(G389="Progress",G389="Progress with condition",G389="Re-authorise",G389="Resume"),X389&lt;&gt;"Yes"),"Decision-maker has not confirmed the screening was considered (column X)","Check against source")))))))))))))))))))))))))))))</f>
        <v/>
      </c>
      <c r="O389" s="37" t="n"/>
      <c r="P389" s="37" t="n"/>
      <c r="Q389" s="14">
        <f>IF(A389="","",IF(E389&lt;&gt;"Decision","",IF(P389="UC-ID specific",IF(O389="","UC-ID REQUIRED","Check source decision for each UC-ID"),IF(P389="Shared system baseline",IF(O389&lt;&gt;"","REMOVE UC-ID OR CORRECT SCOPE","Baseline only — NOT UC approval"),"Decision scope missing"))))</f>
        <v/>
      </c>
      <c r="R389" s="43" t="n"/>
      <c r="S389" s="40" t="n"/>
      <c r="T389" s="40" t="n"/>
      <c r="U389" s="40" t="n"/>
      <c r="V389" s="40" t="n"/>
      <c r="W389" s="41" t="n"/>
      <c r="X389" s="38" t="n"/>
    </row>
    <row r="390">
      <c r="A390" s="38" t="n"/>
      <c r="B390" s="38" t="n"/>
      <c r="C390" s="38" t="n"/>
      <c r="D390" s="38" t="n"/>
      <c r="E390" s="38" t="n"/>
      <c r="F390" s="39" t="n"/>
      <c r="G390" s="38" t="n"/>
      <c r="H390" s="38" t="n"/>
      <c r="I390" s="38" t="n"/>
      <c r="J390" s="38" t="n"/>
      <c r="K390" s="38" t="n"/>
      <c r="L390" s="38" t="n"/>
      <c r="M390" s="38" t="n"/>
      <c r="N390" s="22">
        <f>IF(COUNTA(A390:M390,O390:P390,R390:X390)=0,"",IF(OR(A390="",B390="",F390=""),"Event ID, AIR-ID or date missing",IF(COUNTIF($A$4:$A$553,A390)&gt;1,"Duplicate Event ID",IF(E390="","Event type missing",IF(OR(NOT(ISNUMBER(F390)),F390&gt;TODAY()),"Date is not a real date or is in the future",IF(AND(C390&lt;&gt;"",COUNTIF('Gate plan'!$A$4:$A$353,C390)=0),"Plan ID not found in Gate plan",IF(AND(C390&lt;&gt;"",COUNTIFS('Gate plan'!$A$4:$A$353,C390,'Gate plan'!$B$4:$B$353,B390)=0),"Plan AIR-ID differs from event",IF(D390="","Gate / forum missing",IF(AND(E390="Precautionary pause (containment)",G390&lt;&gt;"Paused — pending decision"),"Precautionary pause: Outcome must be Paused, pending decision",IF(AND(E390="Precautionary pause (containment)",V390=""),"Precautionary pause: AIG-OPS-03 incident ref missing",IF(AND(E390="Precautionary pause (containment)",NOT(ISNUMBER(W390))),"Precautionary pause: follow-up decision due date missing",IF(AND(G390="Paused — pending decision",E390&lt;&gt;"Precautionary pause (containment)"),"Paused, pending decision is only for a Precautionary pause event",IF(AND(E390="Decision",OR(G390="",H390="",I390="")),"Outcome / delegation / decision ref missing",IF(AND(E390="Decision",NOT(OR(G390="Progress",G390="Progress with condition",G390="Return for evidence",G390="Pause",G390="Stop",G390="Suspend",G390="Decommission",G390="Re-authorise",G390="Resume"))),"Decision event needs a decision outcome",IF(AND(E390="Priority override",OR(H390="",I390="")),"Decision-maker / AIG-DEC-03 ref missing",IF(AND(E390="Priority override",G390&lt;&gt;"",G390&lt;&gt;"No decision"),"Priority override: Outcome blank or No decision",IF(AND(E390&lt;&gt;"Decision",OR(G390="Progress",G390="Progress with condition",G390="Return for evidence",G390="Pause",G390="Stop",G390="Suspend",G390="Decommission",G390="Re-authorise",G390="Resume")),"Outcome implies decision",IF(OR(ISNUMBER(SEARCH(",",O390)),ISNUMBER(SEARCH(";",O390))),"One UC-ID per event row — split this event",IF(AND(E390="Decision",OR(Q390="UC-ID REQUIRED",Q390="Decision scope missing",Q390="REMOVE UC-ID OR CORRECT SCOPE")),"Decision scope missing",IF(AND(G390="Progress with condition",COUNTIF(Conditions!$B$4:$B$553,A390)=0),"Progress with condition needs at least one Conditions row",IF(AND(C390&lt;&gt;"",COUNTIFS('Gate plan'!$A$4:$A$353,C390,'Gate plan'!$C$4:$C$353,D390)=0),"Plan gate differs from event gate",IF(AND(C390&lt;&gt;"",O390&lt;&gt;"",COUNTIFS('Gate plan'!$A$4:$A$353,C390,'Gate plan'!$K$4:$K$353,"&lt;&gt;")&gt;0,COUNTIFS('Gate plan'!$A$4:$A$353,C390,'Gate plan'!$K$4:$K$353,O390)=0),"Plan UC-ID differs from event UC-ID",IF(AND(E390="Assurance opinion",J390=""),"Assurance opinion ref missing",IF(AND(G390="Opinion only",E390&lt;&gt;"Assurance opinion",E390&lt;&gt;"Review only"),"Opinion only is for Assurance opinion or Review only events",IF(AND(G390="No decision",E390&lt;&gt;"Review only",E390&lt;&gt;"Priority override",E390&lt;&gt;"Intake / registration"),"No decision is for Review only, Priority override or Intake / registration events",IF(OR(ISNUMBER(SEARCH(" ",TRIM(O390))),ISNUMBER(SEARCH("/",O390))),"One UC-ID per event row: split this event",IF(AND(E390="Precautionary pause (containment)",ISNUMBER(W390),ISNUMBER(F390),W390&lt;F390),"Follow-up decision due date is before the pause",IF(AND(G390="Resume",IFERROR(LOOKUP(2,1/(($B$3:B389=B390)*($O$3:O389=O390)),$G$3:G389),"")&lt;&gt;"Paused — pending decision"),"Resume is only for the event straight after a Precautionary pause on the same AIR-ID and UC-ID (in an earlier row)",IF(AND(E390="Decision",OR(G390="Progress",G390="Progress with condition",G390="Re-authorise",G390="Resume"),X390&lt;&gt;"Yes"),"Decision-maker has not confirmed the screening was considered (column X)","Check against source")))))))))))))))))))))))))))))</f>
        <v/>
      </c>
      <c r="O390" s="37" t="n"/>
      <c r="P390" s="37" t="n"/>
      <c r="Q390" s="14">
        <f>IF(A390="","",IF(E390&lt;&gt;"Decision","",IF(P390="UC-ID specific",IF(O390="","UC-ID REQUIRED","Check source decision for each UC-ID"),IF(P390="Shared system baseline",IF(O390&lt;&gt;"","REMOVE UC-ID OR CORRECT SCOPE","Baseline only — NOT UC approval"),"Decision scope missing"))))</f>
        <v/>
      </c>
      <c r="R390" s="42" t="n"/>
      <c r="S390" s="38" t="n"/>
      <c r="T390" s="38" t="n"/>
      <c r="U390" s="38" t="n"/>
      <c r="V390" s="38" t="n"/>
      <c r="W390" s="39" t="n"/>
      <c r="X390" s="38" t="n"/>
    </row>
    <row r="391">
      <c r="A391" s="40" t="n"/>
      <c r="B391" s="40" t="n"/>
      <c r="C391" s="40" t="n"/>
      <c r="D391" s="40" t="n"/>
      <c r="E391" s="40" t="n"/>
      <c r="F391" s="41" t="n"/>
      <c r="G391" s="40" t="n"/>
      <c r="H391" s="40" t="n"/>
      <c r="I391" s="40" t="n"/>
      <c r="J391" s="40" t="n"/>
      <c r="K391" s="40" t="n"/>
      <c r="L391" s="40" t="n"/>
      <c r="M391" s="40" t="n"/>
      <c r="N391" s="24">
        <f>IF(COUNTA(A391:M391,O391:P391,R391:X391)=0,"",IF(OR(A391="",B391="",F391=""),"Event ID, AIR-ID or date missing",IF(COUNTIF($A$4:$A$553,A391)&gt;1,"Duplicate Event ID",IF(E391="","Event type missing",IF(OR(NOT(ISNUMBER(F391)),F391&gt;TODAY()),"Date is not a real date or is in the future",IF(AND(C391&lt;&gt;"",COUNTIF('Gate plan'!$A$4:$A$353,C391)=0),"Plan ID not found in Gate plan",IF(AND(C391&lt;&gt;"",COUNTIFS('Gate plan'!$A$4:$A$353,C391,'Gate plan'!$B$4:$B$353,B391)=0),"Plan AIR-ID differs from event",IF(D391="","Gate / forum missing",IF(AND(E391="Precautionary pause (containment)",G391&lt;&gt;"Paused — pending decision"),"Precautionary pause: Outcome must be Paused, pending decision",IF(AND(E391="Precautionary pause (containment)",V391=""),"Precautionary pause: AIG-OPS-03 incident ref missing",IF(AND(E391="Precautionary pause (containment)",NOT(ISNUMBER(W391))),"Precautionary pause: follow-up decision due date missing",IF(AND(G391="Paused — pending decision",E391&lt;&gt;"Precautionary pause (containment)"),"Paused, pending decision is only for a Precautionary pause event",IF(AND(E391="Decision",OR(G391="",H391="",I391="")),"Outcome / delegation / decision ref missing",IF(AND(E391="Decision",NOT(OR(G391="Progress",G391="Progress with condition",G391="Return for evidence",G391="Pause",G391="Stop",G391="Suspend",G391="Decommission",G391="Re-authorise",G391="Resume"))),"Decision event needs a decision outcome",IF(AND(E391="Priority override",OR(H391="",I391="")),"Decision-maker / AIG-DEC-03 ref missing",IF(AND(E391="Priority override",G391&lt;&gt;"",G391&lt;&gt;"No decision"),"Priority override: Outcome blank or No decision",IF(AND(E391&lt;&gt;"Decision",OR(G391="Progress",G391="Progress with condition",G391="Return for evidence",G391="Pause",G391="Stop",G391="Suspend",G391="Decommission",G391="Re-authorise",G391="Resume")),"Outcome implies decision",IF(OR(ISNUMBER(SEARCH(",",O391)),ISNUMBER(SEARCH(";",O391))),"One UC-ID per event row — split this event",IF(AND(E391="Decision",OR(Q391="UC-ID REQUIRED",Q391="Decision scope missing",Q391="REMOVE UC-ID OR CORRECT SCOPE")),"Decision scope missing",IF(AND(G391="Progress with condition",COUNTIF(Conditions!$B$4:$B$553,A391)=0),"Progress with condition needs at least one Conditions row",IF(AND(C391&lt;&gt;"",COUNTIFS('Gate plan'!$A$4:$A$353,C391,'Gate plan'!$C$4:$C$353,D391)=0),"Plan gate differs from event gate",IF(AND(C391&lt;&gt;"",O391&lt;&gt;"",COUNTIFS('Gate plan'!$A$4:$A$353,C391,'Gate plan'!$K$4:$K$353,"&lt;&gt;")&gt;0,COUNTIFS('Gate plan'!$A$4:$A$353,C391,'Gate plan'!$K$4:$K$353,O391)=0),"Plan UC-ID differs from event UC-ID",IF(AND(E391="Assurance opinion",J391=""),"Assurance opinion ref missing",IF(AND(G391="Opinion only",E391&lt;&gt;"Assurance opinion",E391&lt;&gt;"Review only"),"Opinion only is for Assurance opinion or Review only events",IF(AND(G391="No decision",E391&lt;&gt;"Review only",E391&lt;&gt;"Priority override",E391&lt;&gt;"Intake / registration"),"No decision is for Review only, Priority override or Intake / registration events",IF(OR(ISNUMBER(SEARCH(" ",TRIM(O391))),ISNUMBER(SEARCH("/",O391))),"One UC-ID per event row: split this event",IF(AND(E391="Precautionary pause (containment)",ISNUMBER(W391),ISNUMBER(F391),W391&lt;F391),"Follow-up decision due date is before the pause",IF(AND(G391="Resume",IFERROR(LOOKUP(2,1/(($B$3:B390=B391)*($O$3:O390=O391)),$G$3:G390),"")&lt;&gt;"Paused — pending decision"),"Resume is only for the event straight after a Precautionary pause on the same AIR-ID and UC-ID (in an earlier row)",IF(AND(E391="Decision",OR(G391="Progress",G391="Progress with condition",G391="Re-authorise",G391="Resume"),X391&lt;&gt;"Yes"),"Decision-maker has not confirmed the screening was considered (column X)","Check against source")))))))))))))))))))))))))))))</f>
        <v/>
      </c>
      <c r="O391" s="37" t="n"/>
      <c r="P391" s="37" t="n"/>
      <c r="Q391" s="14">
        <f>IF(A391="","",IF(E391&lt;&gt;"Decision","",IF(P391="UC-ID specific",IF(O391="","UC-ID REQUIRED","Check source decision for each UC-ID"),IF(P391="Shared system baseline",IF(O391&lt;&gt;"","REMOVE UC-ID OR CORRECT SCOPE","Baseline only — NOT UC approval"),"Decision scope missing"))))</f>
        <v/>
      </c>
      <c r="R391" s="43" t="n"/>
      <c r="S391" s="40" t="n"/>
      <c r="T391" s="40" t="n"/>
      <c r="U391" s="40" t="n"/>
      <c r="V391" s="40" t="n"/>
      <c r="W391" s="41" t="n"/>
      <c r="X391" s="38" t="n"/>
    </row>
    <row r="392">
      <c r="A392" s="38" t="n"/>
      <c r="B392" s="38" t="n"/>
      <c r="C392" s="38" t="n"/>
      <c r="D392" s="38" t="n"/>
      <c r="E392" s="38" t="n"/>
      <c r="F392" s="39" t="n"/>
      <c r="G392" s="38" t="n"/>
      <c r="H392" s="38" t="n"/>
      <c r="I392" s="38" t="n"/>
      <c r="J392" s="38" t="n"/>
      <c r="K392" s="38" t="n"/>
      <c r="L392" s="38" t="n"/>
      <c r="M392" s="38" t="n"/>
      <c r="N392" s="22">
        <f>IF(COUNTA(A392:M392,O392:P392,R392:X392)=0,"",IF(OR(A392="",B392="",F392=""),"Event ID, AIR-ID or date missing",IF(COUNTIF($A$4:$A$553,A392)&gt;1,"Duplicate Event ID",IF(E392="","Event type missing",IF(OR(NOT(ISNUMBER(F392)),F392&gt;TODAY()),"Date is not a real date or is in the future",IF(AND(C392&lt;&gt;"",COUNTIF('Gate plan'!$A$4:$A$353,C392)=0),"Plan ID not found in Gate plan",IF(AND(C392&lt;&gt;"",COUNTIFS('Gate plan'!$A$4:$A$353,C392,'Gate plan'!$B$4:$B$353,B392)=0),"Plan AIR-ID differs from event",IF(D392="","Gate / forum missing",IF(AND(E392="Precautionary pause (containment)",G392&lt;&gt;"Paused — pending decision"),"Precautionary pause: Outcome must be Paused, pending decision",IF(AND(E392="Precautionary pause (containment)",V392=""),"Precautionary pause: AIG-OPS-03 incident ref missing",IF(AND(E392="Precautionary pause (containment)",NOT(ISNUMBER(W392))),"Precautionary pause: follow-up decision due date missing",IF(AND(G392="Paused — pending decision",E392&lt;&gt;"Precautionary pause (containment)"),"Paused, pending decision is only for a Precautionary pause event",IF(AND(E392="Decision",OR(G392="",H392="",I392="")),"Outcome / delegation / decision ref missing",IF(AND(E392="Decision",NOT(OR(G392="Progress",G392="Progress with condition",G392="Return for evidence",G392="Pause",G392="Stop",G392="Suspend",G392="Decommission",G392="Re-authorise",G392="Resume"))),"Decision event needs a decision outcome",IF(AND(E392="Priority override",OR(H392="",I392="")),"Decision-maker / AIG-DEC-03 ref missing",IF(AND(E392="Priority override",G392&lt;&gt;"",G392&lt;&gt;"No decision"),"Priority override: Outcome blank or No decision",IF(AND(E392&lt;&gt;"Decision",OR(G392="Progress",G392="Progress with condition",G392="Return for evidence",G392="Pause",G392="Stop",G392="Suspend",G392="Decommission",G392="Re-authorise",G392="Resume")),"Outcome implies decision",IF(OR(ISNUMBER(SEARCH(",",O392)),ISNUMBER(SEARCH(";",O392))),"One UC-ID per event row — split this event",IF(AND(E392="Decision",OR(Q392="UC-ID REQUIRED",Q392="Decision scope missing",Q392="REMOVE UC-ID OR CORRECT SCOPE")),"Decision scope missing",IF(AND(G392="Progress with condition",COUNTIF(Conditions!$B$4:$B$553,A392)=0),"Progress with condition needs at least one Conditions row",IF(AND(C392&lt;&gt;"",COUNTIFS('Gate plan'!$A$4:$A$353,C392,'Gate plan'!$C$4:$C$353,D392)=0),"Plan gate differs from event gate",IF(AND(C392&lt;&gt;"",O392&lt;&gt;"",COUNTIFS('Gate plan'!$A$4:$A$353,C392,'Gate plan'!$K$4:$K$353,"&lt;&gt;")&gt;0,COUNTIFS('Gate plan'!$A$4:$A$353,C392,'Gate plan'!$K$4:$K$353,O392)=0),"Plan UC-ID differs from event UC-ID",IF(AND(E392="Assurance opinion",J392=""),"Assurance opinion ref missing",IF(AND(G392="Opinion only",E392&lt;&gt;"Assurance opinion",E392&lt;&gt;"Review only"),"Opinion only is for Assurance opinion or Review only events",IF(AND(G392="No decision",E392&lt;&gt;"Review only",E392&lt;&gt;"Priority override",E392&lt;&gt;"Intake / registration"),"No decision is for Review only, Priority override or Intake / registration events",IF(OR(ISNUMBER(SEARCH(" ",TRIM(O392))),ISNUMBER(SEARCH("/",O392))),"One UC-ID per event row: split this event",IF(AND(E392="Precautionary pause (containment)",ISNUMBER(W392),ISNUMBER(F392),W392&lt;F392),"Follow-up decision due date is before the pause",IF(AND(G392="Resume",IFERROR(LOOKUP(2,1/(($B$3:B391=B392)*($O$3:O391=O392)),$G$3:G391),"")&lt;&gt;"Paused — pending decision"),"Resume is only for the event straight after a Precautionary pause on the same AIR-ID and UC-ID (in an earlier row)",IF(AND(E392="Decision",OR(G392="Progress",G392="Progress with condition",G392="Re-authorise",G392="Resume"),X392&lt;&gt;"Yes"),"Decision-maker has not confirmed the screening was considered (column X)","Check against source")))))))))))))))))))))))))))))</f>
        <v/>
      </c>
      <c r="O392" s="37" t="n"/>
      <c r="P392" s="37" t="n"/>
      <c r="Q392" s="14">
        <f>IF(A392="","",IF(E392&lt;&gt;"Decision","",IF(P392="UC-ID specific",IF(O392="","UC-ID REQUIRED","Check source decision for each UC-ID"),IF(P392="Shared system baseline",IF(O392&lt;&gt;"","REMOVE UC-ID OR CORRECT SCOPE","Baseline only — NOT UC approval"),"Decision scope missing"))))</f>
        <v/>
      </c>
      <c r="R392" s="42" t="n"/>
      <c r="S392" s="38" t="n"/>
      <c r="T392" s="38" t="n"/>
      <c r="U392" s="38" t="n"/>
      <c r="V392" s="38" t="n"/>
      <c r="W392" s="39" t="n"/>
      <c r="X392" s="38" t="n"/>
    </row>
    <row r="393">
      <c r="A393" s="40" t="n"/>
      <c r="B393" s="40" t="n"/>
      <c r="C393" s="40" t="n"/>
      <c r="D393" s="40" t="n"/>
      <c r="E393" s="40" t="n"/>
      <c r="F393" s="41" t="n"/>
      <c r="G393" s="40" t="n"/>
      <c r="H393" s="40" t="n"/>
      <c r="I393" s="40" t="n"/>
      <c r="J393" s="40" t="n"/>
      <c r="K393" s="40" t="n"/>
      <c r="L393" s="40" t="n"/>
      <c r="M393" s="40" t="n"/>
      <c r="N393" s="24">
        <f>IF(COUNTA(A393:M393,O393:P393,R393:X393)=0,"",IF(OR(A393="",B393="",F393=""),"Event ID, AIR-ID or date missing",IF(COUNTIF($A$4:$A$553,A393)&gt;1,"Duplicate Event ID",IF(E393="","Event type missing",IF(OR(NOT(ISNUMBER(F393)),F393&gt;TODAY()),"Date is not a real date or is in the future",IF(AND(C393&lt;&gt;"",COUNTIF('Gate plan'!$A$4:$A$353,C393)=0),"Plan ID not found in Gate plan",IF(AND(C393&lt;&gt;"",COUNTIFS('Gate plan'!$A$4:$A$353,C393,'Gate plan'!$B$4:$B$353,B393)=0),"Plan AIR-ID differs from event",IF(D393="","Gate / forum missing",IF(AND(E393="Precautionary pause (containment)",G393&lt;&gt;"Paused — pending decision"),"Precautionary pause: Outcome must be Paused, pending decision",IF(AND(E393="Precautionary pause (containment)",V393=""),"Precautionary pause: AIG-OPS-03 incident ref missing",IF(AND(E393="Precautionary pause (containment)",NOT(ISNUMBER(W393))),"Precautionary pause: follow-up decision due date missing",IF(AND(G393="Paused — pending decision",E393&lt;&gt;"Precautionary pause (containment)"),"Paused, pending decision is only for a Precautionary pause event",IF(AND(E393="Decision",OR(G393="",H393="",I393="")),"Outcome / delegation / decision ref missing",IF(AND(E393="Decision",NOT(OR(G393="Progress",G393="Progress with condition",G393="Return for evidence",G393="Pause",G393="Stop",G393="Suspend",G393="Decommission",G393="Re-authorise",G393="Resume"))),"Decision event needs a decision outcome",IF(AND(E393="Priority override",OR(H393="",I393="")),"Decision-maker / AIG-DEC-03 ref missing",IF(AND(E393="Priority override",G393&lt;&gt;"",G393&lt;&gt;"No decision"),"Priority override: Outcome blank or No decision",IF(AND(E393&lt;&gt;"Decision",OR(G393="Progress",G393="Progress with condition",G393="Return for evidence",G393="Pause",G393="Stop",G393="Suspend",G393="Decommission",G393="Re-authorise",G393="Resume")),"Outcome implies decision",IF(OR(ISNUMBER(SEARCH(",",O393)),ISNUMBER(SEARCH(";",O393))),"One UC-ID per event row — split this event",IF(AND(E393="Decision",OR(Q393="UC-ID REQUIRED",Q393="Decision scope missing",Q393="REMOVE UC-ID OR CORRECT SCOPE")),"Decision scope missing",IF(AND(G393="Progress with condition",COUNTIF(Conditions!$B$4:$B$553,A393)=0),"Progress with condition needs at least one Conditions row",IF(AND(C393&lt;&gt;"",COUNTIFS('Gate plan'!$A$4:$A$353,C393,'Gate plan'!$C$4:$C$353,D393)=0),"Plan gate differs from event gate",IF(AND(C393&lt;&gt;"",O393&lt;&gt;"",COUNTIFS('Gate plan'!$A$4:$A$353,C393,'Gate plan'!$K$4:$K$353,"&lt;&gt;")&gt;0,COUNTIFS('Gate plan'!$A$4:$A$353,C393,'Gate plan'!$K$4:$K$353,O393)=0),"Plan UC-ID differs from event UC-ID",IF(AND(E393="Assurance opinion",J393=""),"Assurance opinion ref missing",IF(AND(G393="Opinion only",E393&lt;&gt;"Assurance opinion",E393&lt;&gt;"Review only"),"Opinion only is for Assurance opinion or Review only events",IF(AND(G393="No decision",E393&lt;&gt;"Review only",E393&lt;&gt;"Priority override",E393&lt;&gt;"Intake / registration"),"No decision is for Review only, Priority override or Intake / registration events",IF(OR(ISNUMBER(SEARCH(" ",TRIM(O393))),ISNUMBER(SEARCH("/",O393))),"One UC-ID per event row: split this event",IF(AND(E393="Precautionary pause (containment)",ISNUMBER(W393),ISNUMBER(F393),W393&lt;F393),"Follow-up decision due date is before the pause",IF(AND(G393="Resume",IFERROR(LOOKUP(2,1/(($B$3:B392=B393)*($O$3:O392=O393)),$G$3:G392),"")&lt;&gt;"Paused — pending decision"),"Resume is only for the event straight after a Precautionary pause on the same AIR-ID and UC-ID (in an earlier row)",IF(AND(E393="Decision",OR(G393="Progress",G393="Progress with condition",G393="Re-authorise",G393="Resume"),X393&lt;&gt;"Yes"),"Decision-maker has not confirmed the screening was considered (column X)","Check against source")))))))))))))))))))))))))))))</f>
        <v/>
      </c>
      <c r="O393" s="37" t="n"/>
      <c r="P393" s="37" t="n"/>
      <c r="Q393" s="14">
        <f>IF(A393="","",IF(E393&lt;&gt;"Decision","",IF(P393="UC-ID specific",IF(O393="","UC-ID REQUIRED","Check source decision for each UC-ID"),IF(P393="Shared system baseline",IF(O393&lt;&gt;"","REMOVE UC-ID OR CORRECT SCOPE","Baseline only — NOT UC approval"),"Decision scope missing"))))</f>
        <v/>
      </c>
      <c r="R393" s="43" t="n"/>
      <c r="S393" s="40" t="n"/>
      <c r="T393" s="40" t="n"/>
      <c r="U393" s="40" t="n"/>
      <c r="V393" s="40" t="n"/>
      <c r="W393" s="41" t="n"/>
      <c r="X393" s="38" t="n"/>
    </row>
    <row r="394">
      <c r="A394" s="38" t="n"/>
      <c r="B394" s="38" t="n"/>
      <c r="C394" s="38" t="n"/>
      <c r="D394" s="38" t="n"/>
      <c r="E394" s="38" t="n"/>
      <c r="F394" s="39" t="n"/>
      <c r="G394" s="38" t="n"/>
      <c r="H394" s="38" t="n"/>
      <c r="I394" s="38" t="n"/>
      <c r="J394" s="38" t="n"/>
      <c r="K394" s="38" t="n"/>
      <c r="L394" s="38" t="n"/>
      <c r="M394" s="38" t="n"/>
      <c r="N394" s="22">
        <f>IF(COUNTA(A394:M394,O394:P394,R394:X394)=0,"",IF(OR(A394="",B394="",F394=""),"Event ID, AIR-ID or date missing",IF(COUNTIF($A$4:$A$553,A394)&gt;1,"Duplicate Event ID",IF(E394="","Event type missing",IF(OR(NOT(ISNUMBER(F394)),F394&gt;TODAY()),"Date is not a real date or is in the future",IF(AND(C394&lt;&gt;"",COUNTIF('Gate plan'!$A$4:$A$353,C394)=0),"Plan ID not found in Gate plan",IF(AND(C394&lt;&gt;"",COUNTIFS('Gate plan'!$A$4:$A$353,C394,'Gate plan'!$B$4:$B$353,B394)=0),"Plan AIR-ID differs from event",IF(D394="","Gate / forum missing",IF(AND(E394="Precautionary pause (containment)",G394&lt;&gt;"Paused — pending decision"),"Precautionary pause: Outcome must be Paused, pending decision",IF(AND(E394="Precautionary pause (containment)",V394=""),"Precautionary pause: AIG-OPS-03 incident ref missing",IF(AND(E394="Precautionary pause (containment)",NOT(ISNUMBER(W394))),"Precautionary pause: follow-up decision due date missing",IF(AND(G394="Paused — pending decision",E394&lt;&gt;"Precautionary pause (containment)"),"Paused, pending decision is only for a Precautionary pause event",IF(AND(E394="Decision",OR(G394="",H394="",I394="")),"Outcome / delegation / decision ref missing",IF(AND(E394="Decision",NOT(OR(G394="Progress",G394="Progress with condition",G394="Return for evidence",G394="Pause",G394="Stop",G394="Suspend",G394="Decommission",G394="Re-authorise",G394="Resume"))),"Decision event needs a decision outcome",IF(AND(E394="Priority override",OR(H394="",I394="")),"Decision-maker / AIG-DEC-03 ref missing",IF(AND(E394="Priority override",G394&lt;&gt;"",G394&lt;&gt;"No decision"),"Priority override: Outcome blank or No decision",IF(AND(E394&lt;&gt;"Decision",OR(G394="Progress",G394="Progress with condition",G394="Return for evidence",G394="Pause",G394="Stop",G394="Suspend",G394="Decommission",G394="Re-authorise",G394="Resume")),"Outcome implies decision",IF(OR(ISNUMBER(SEARCH(",",O394)),ISNUMBER(SEARCH(";",O394))),"One UC-ID per event row — split this event",IF(AND(E394="Decision",OR(Q394="UC-ID REQUIRED",Q394="Decision scope missing",Q394="REMOVE UC-ID OR CORRECT SCOPE")),"Decision scope missing",IF(AND(G394="Progress with condition",COUNTIF(Conditions!$B$4:$B$553,A394)=0),"Progress with condition needs at least one Conditions row",IF(AND(C394&lt;&gt;"",COUNTIFS('Gate plan'!$A$4:$A$353,C394,'Gate plan'!$C$4:$C$353,D394)=0),"Plan gate differs from event gate",IF(AND(C394&lt;&gt;"",O394&lt;&gt;"",COUNTIFS('Gate plan'!$A$4:$A$353,C394,'Gate plan'!$K$4:$K$353,"&lt;&gt;")&gt;0,COUNTIFS('Gate plan'!$A$4:$A$353,C394,'Gate plan'!$K$4:$K$353,O394)=0),"Plan UC-ID differs from event UC-ID",IF(AND(E394="Assurance opinion",J394=""),"Assurance opinion ref missing",IF(AND(G394="Opinion only",E394&lt;&gt;"Assurance opinion",E394&lt;&gt;"Review only"),"Opinion only is for Assurance opinion or Review only events",IF(AND(G394="No decision",E394&lt;&gt;"Review only",E394&lt;&gt;"Priority override",E394&lt;&gt;"Intake / registration"),"No decision is for Review only, Priority override or Intake / registration events",IF(OR(ISNUMBER(SEARCH(" ",TRIM(O394))),ISNUMBER(SEARCH("/",O394))),"One UC-ID per event row: split this event",IF(AND(E394="Precautionary pause (containment)",ISNUMBER(W394),ISNUMBER(F394),W394&lt;F394),"Follow-up decision due date is before the pause",IF(AND(G394="Resume",IFERROR(LOOKUP(2,1/(($B$3:B393=B394)*($O$3:O393=O394)),$G$3:G393),"")&lt;&gt;"Paused — pending decision"),"Resume is only for the event straight after a Precautionary pause on the same AIR-ID and UC-ID (in an earlier row)",IF(AND(E394="Decision",OR(G394="Progress",G394="Progress with condition",G394="Re-authorise",G394="Resume"),X394&lt;&gt;"Yes"),"Decision-maker has not confirmed the screening was considered (column X)","Check against source")))))))))))))))))))))))))))))</f>
        <v/>
      </c>
      <c r="O394" s="37" t="n"/>
      <c r="P394" s="37" t="n"/>
      <c r="Q394" s="14">
        <f>IF(A394="","",IF(E394&lt;&gt;"Decision","",IF(P394="UC-ID specific",IF(O394="","UC-ID REQUIRED","Check source decision for each UC-ID"),IF(P394="Shared system baseline",IF(O394&lt;&gt;"","REMOVE UC-ID OR CORRECT SCOPE","Baseline only — NOT UC approval"),"Decision scope missing"))))</f>
        <v/>
      </c>
      <c r="R394" s="42" t="n"/>
      <c r="S394" s="38" t="n"/>
      <c r="T394" s="38" t="n"/>
      <c r="U394" s="38" t="n"/>
      <c r="V394" s="38" t="n"/>
      <c r="W394" s="39" t="n"/>
      <c r="X394" s="38" t="n"/>
    </row>
    <row r="395">
      <c r="A395" s="40" t="n"/>
      <c r="B395" s="40" t="n"/>
      <c r="C395" s="40" t="n"/>
      <c r="D395" s="40" t="n"/>
      <c r="E395" s="40" t="n"/>
      <c r="F395" s="41" t="n"/>
      <c r="G395" s="40" t="n"/>
      <c r="H395" s="40" t="n"/>
      <c r="I395" s="40" t="n"/>
      <c r="J395" s="40" t="n"/>
      <c r="K395" s="40" t="n"/>
      <c r="L395" s="40" t="n"/>
      <c r="M395" s="40" t="n"/>
      <c r="N395" s="24">
        <f>IF(COUNTA(A395:M395,O395:P395,R395:X395)=0,"",IF(OR(A395="",B395="",F395=""),"Event ID, AIR-ID or date missing",IF(COUNTIF($A$4:$A$553,A395)&gt;1,"Duplicate Event ID",IF(E395="","Event type missing",IF(OR(NOT(ISNUMBER(F395)),F395&gt;TODAY()),"Date is not a real date or is in the future",IF(AND(C395&lt;&gt;"",COUNTIF('Gate plan'!$A$4:$A$353,C395)=0),"Plan ID not found in Gate plan",IF(AND(C395&lt;&gt;"",COUNTIFS('Gate plan'!$A$4:$A$353,C395,'Gate plan'!$B$4:$B$353,B395)=0),"Plan AIR-ID differs from event",IF(D395="","Gate / forum missing",IF(AND(E395="Precautionary pause (containment)",G395&lt;&gt;"Paused — pending decision"),"Precautionary pause: Outcome must be Paused, pending decision",IF(AND(E395="Precautionary pause (containment)",V395=""),"Precautionary pause: AIG-OPS-03 incident ref missing",IF(AND(E395="Precautionary pause (containment)",NOT(ISNUMBER(W395))),"Precautionary pause: follow-up decision due date missing",IF(AND(G395="Paused — pending decision",E395&lt;&gt;"Precautionary pause (containment)"),"Paused, pending decision is only for a Precautionary pause event",IF(AND(E395="Decision",OR(G395="",H395="",I395="")),"Outcome / delegation / decision ref missing",IF(AND(E395="Decision",NOT(OR(G395="Progress",G395="Progress with condition",G395="Return for evidence",G395="Pause",G395="Stop",G395="Suspend",G395="Decommission",G395="Re-authorise",G395="Resume"))),"Decision event needs a decision outcome",IF(AND(E395="Priority override",OR(H395="",I395="")),"Decision-maker / AIG-DEC-03 ref missing",IF(AND(E395="Priority override",G395&lt;&gt;"",G395&lt;&gt;"No decision"),"Priority override: Outcome blank or No decision",IF(AND(E395&lt;&gt;"Decision",OR(G395="Progress",G395="Progress with condition",G395="Return for evidence",G395="Pause",G395="Stop",G395="Suspend",G395="Decommission",G395="Re-authorise",G395="Resume")),"Outcome implies decision",IF(OR(ISNUMBER(SEARCH(",",O395)),ISNUMBER(SEARCH(";",O395))),"One UC-ID per event row — split this event",IF(AND(E395="Decision",OR(Q395="UC-ID REQUIRED",Q395="Decision scope missing",Q395="REMOVE UC-ID OR CORRECT SCOPE")),"Decision scope missing",IF(AND(G395="Progress with condition",COUNTIF(Conditions!$B$4:$B$553,A395)=0),"Progress with condition needs at least one Conditions row",IF(AND(C395&lt;&gt;"",COUNTIFS('Gate plan'!$A$4:$A$353,C395,'Gate plan'!$C$4:$C$353,D395)=0),"Plan gate differs from event gate",IF(AND(C395&lt;&gt;"",O395&lt;&gt;"",COUNTIFS('Gate plan'!$A$4:$A$353,C395,'Gate plan'!$K$4:$K$353,"&lt;&gt;")&gt;0,COUNTIFS('Gate plan'!$A$4:$A$353,C395,'Gate plan'!$K$4:$K$353,O395)=0),"Plan UC-ID differs from event UC-ID",IF(AND(E395="Assurance opinion",J395=""),"Assurance opinion ref missing",IF(AND(G395="Opinion only",E395&lt;&gt;"Assurance opinion",E395&lt;&gt;"Review only"),"Opinion only is for Assurance opinion or Review only events",IF(AND(G395="No decision",E395&lt;&gt;"Review only",E395&lt;&gt;"Priority override",E395&lt;&gt;"Intake / registration"),"No decision is for Review only, Priority override or Intake / registration events",IF(OR(ISNUMBER(SEARCH(" ",TRIM(O395))),ISNUMBER(SEARCH("/",O395))),"One UC-ID per event row: split this event",IF(AND(E395="Precautionary pause (containment)",ISNUMBER(W395),ISNUMBER(F395),W395&lt;F395),"Follow-up decision due date is before the pause",IF(AND(G395="Resume",IFERROR(LOOKUP(2,1/(($B$3:B394=B395)*($O$3:O394=O395)),$G$3:G394),"")&lt;&gt;"Paused — pending decision"),"Resume is only for the event straight after a Precautionary pause on the same AIR-ID and UC-ID (in an earlier row)",IF(AND(E395="Decision",OR(G395="Progress",G395="Progress with condition",G395="Re-authorise",G395="Resume"),X395&lt;&gt;"Yes"),"Decision-maker has not confirmed the screening was considered (column X)","Check against source")))))))))))))))))))))))))))))</f>
        <v/>
      </c>
      <c r="O395" s="37" t="n"/>
      <c r="P395" s="37" t="n"/>
      <c r="Q395" s="14">
        <f>IF(A395="","",IF(E395&lt;&gt;"Decision","",IF(P395="UC-ID specific",IF(O395="","UC-ID REQUIRED","Check source decision for each UC-ID"),IF(P395="Shared system baseline",IF(O395&lt;&gt;"","REMOVE UC-ID OR CORRECT SCOPE","Baseline only — NOT UC approval"),"Decision scope missing"))))</f>
        <v/>
      </c>
      <c r="R395" s="43" t="n"/>
      <c r="S395" s="40" t="n"/>
      <c r="T395" s="40" t="n"/>
      <c r="U395" s="40" t="n"/>
      <c r="V395" s="40" t="n"/>
      <c r="W395" s="41" t="n"/>
      <c r="X395" s="38" t="n"/>
    </row>
    <row r="396">
      <c r="A396" s="38" t="n"/>
      <c r="B396" s="38" t="n"/>
      <c r="C396" s="38" t="n"/>
      <c r="D396" s="38" t="n"/>
      <c r="E396" s="38" t="n"/>
      <c r="F396" s="39" t="n"/>
      <c r="G396" s="38" t="n"/>
      <c r="H396" s="38" t="n"/>
      <c r="I396" s="38" t="n"/>
      <c r="J396" s="38" t="n"/>
      <c r="K396" s="38" t="n"/>
      <c r="L396" s="38" t="n"/>
      <c r="M396" s="38" t="n"/>
      <c r="N396" s="22">
        <f>IF(COUNTA(A396:M396,O396:P396,R396:X396)=0,"",IF(OR(A396="",B396="",F396=""),"Event ID, AIR-ID or date missing",IF(COUNTIF($A$4:$A$553,A396)&gt;1,"Duplicate Event ID",IF(E396="","Event type missing",IF(OR(NOT(ISNUMBER(F396)),F396&gt;TODAY()),"Date is not a real date or is in the future",IF(AND(C396&lt;&gt;"",COUNTIF('Gate plan'!$A$4:$A$353,C396)=0),"Plan ID not found in Gate plan",IF(AND(C396&lt;&gt;"",COUNTIFS('Gate plan'!$A$4:$A$353,C396,'Gate plan'!$B$4:$B$353,B396)=0),"Plan AIR-ID differs from event",IF(D396="","Gate / forum missing",IF(AND(E396="Precautionary pause (containment)",G396&lt;&gt;"Paused — pending decision"),"Precautionary pause: Outcome must be Paused, pending decision",IF(AND(E396="Precautionary pause (containment)",V396=""),"Precautionary pause: AIG-OPS-03 incident ref missing",IF(AND(E396="Precautionary pause (containment)",NOT(ISNUMBER(W396))),"Precautionary pause: follow-up decision due date missing",IF(AND(G396="Paused — pending decision",E396&lt;&gt;"Precautionary pause (containment)"),"Paused, pending decision is only for a Precautionary pause event",IF(AND(E396="Decision",OR(G396="",H396="",I396="")),"Outcome / delegation / decision ref missing",IF(AND(E396="Decision",NOT(OR(G396="Progress",G396="Progress with condition",G396="Return for evidence",G396="Pause",G396="Stop",G396="Suspend",G396="Decommission",G396="Re-authorise",G396="Resume"))),"Decision event needs a decision outcome",IF(AND(E396="Priority override",OR(H396="",I396="")),"Decision-maker / AIG-DEC-03 ref missing",IF(AND(E396="Priority override",G396&lt;&gt;"",G396&lt;&gt;"No decision"),"Priority override: Outcome blank or No decision",IF(AND(E396&lt;&gt;"Decision",OR(G396="Progress",G396="Progress with condition",G396="Return for evidence",G396="Pause",G396="Stop",G396="Suspend",G396="Decommission",G396="Re-authorise",G396="Resume")),"Outcome implies decision",IF(OR(ISNUMBER(SEARCH(",",O396)),ISNUMBER(SEARCH(";",O396))),"One UC-ID per event row — split this event",IF(AND(E396="Decision",OR(Q396="UC-ID REQUIRED",Q396="Decision scope missing",Q396="REMOVE UC-ID OR CORRECT SCOPE")),"Decision scope missing",IF(AND(G396="Progress with condition",COUNTIF(Conditions!$B$4:$B$553,A396)=0),"Progress with condition needs at least one Conditions row",IF(AND(C396&lt;&gt;"",COUNTIFS('Gate plan'!$A$4:$A$353,C396,'Gate plan'!$C$4:$C$353,D396)=0),"Plan gate differs from event gate",IF(AND(C396&lt;&gt;"",O396&lt;&gt;"",COUNTIFS('Gate plan'!$A$4:$A$353,C396,'Gate plan'!$K$4:$K$353,"&lt;&gt;")&gt;0,COUNTIFS('Gate plan'!$A$4:$A$353,C396,'Gate plan'!$K$4:$K$353,O396)=0),"Plan UC-ID differs from event UC-ID",IF(AND(E396="Assurance opinion",J396=""),"Assurance opinion ref missing",IF(AND(G396="Opinion only",E396&lt;&gt;"Assurance opinion",E396&lt;&gt;"Review only"),"Opinion only is for Assurance opinion or Review only events",IF(AND(G396="No decision",E396&lt;&gt;"Review only",E396&lt;&gt;"Priority override",E396&lt;&gt;"Intake / registration"),"No decision is for Review only, Priority override or Intake / registration events",IF(OR(ISNUMBER(SEARCH(" ",TRIM(O396))),ISNUMBER(SEARCH("/",O396))),"One UC-ID per event row: split this event",IF(AND(E396="Precautionary pause (containment)",ISNUMBER(W396),ISNUMBER(F396),W396&lt;F396),"Follow-up decision due date is before the pause",IF(AND(G396="Resume",IFERROR(LOOKUP(2,1/(($B$3:B395=B396)*($O$3:O395=O396)),$G$3:G395),"")&lt;&gt;"Paused — pending decision"),"Resume is only for the event straight after a Precautionary pause on the same AIR-ID and UC-ID (in an earlier row)",IF(AND(E396="Decision",OR(G396="Progress",G396="Progress with condition",G396="Re-authorise",G396="Resume"),X396&lt;&gt;"Yes"),"Decision-maker has not confirmed the screening was considered (column X)","Check against source")))))))))))))))))))))))))))))</f>
        <v/>
      </c>
      <c r="O396" s="37" t="n"/>
      <c r="P396" s="37" t="n"/>
      <c r="Q396" s="14">
        <f>IF(A396="","",IF(E396&lt;&gt;"Decision","",IF(P396="UC-ID specific",IF(O396="","UC-ID REQUIRED","Check source decision for each UC-ID"),IF(P396="Shared system baseline",IF(O396&lt;&gt;"","REMOVE UC-ID OR CORRECT SCOPE","Baseline only — NOT UC approval"),"Decision scope missing"))))</f>
        <v/>
      </c>
      <c r="R396" s="42" t="n"/>
      <c r="S396" s="38" t="n"/>
      <c r="T396" s="38" t="n"/>
      <c r="U396" s="38" t="n"/>
      <c r="V396" s="38" t="n"/>
      <c r="W396" s="39" t="n"/>
      <c r="X396" s="38" t="n"/>
    </row>
    <row r="397">
      <c r="A397" s="40" t="n"/>
      <c r="B397" s="40" t="n"/>
      <c r="C397" s="40" t="n"/>
      <c r="D397" s="40" t="n"/>
      <c r="E397" s="40" t="n"/>
      <c r="F397" s="41" t="n"/>
      <c r="G397" s="40" t="n"/>
      <c r="H397" s="40" t="n"/>
      <c r="I397" s="40" t="n"/>
      <c r="J397" s="40" t="n"/>
      <c r="K397" s="40" t="n"/>
      <c r="L397" s="40" t="n"/>
      <c r="M397" s="40" t="n"/>
      <c r="N397" s="24">
        <f>IF(COUNTA(A397:M397,O397:P397,R397:X397)=0,"",IF(OR(A397="",B397="",F397=""),"Event ID, AIR-ID or date missing",IF(COUNTIF($A$4:$A$553,A397)&gt;1,"Duplicate Event ID",IF(E397="","Event type missing",IF(OR(NOT(ISNUMBER(F397)),F397&gt;TODAY()),"Date is not a real date or is in the future",IF(AND(C397&lt;&gt;"",COUNTIF('Gate plan'!$A$4:$A$353,C397)=0),"Plan ID not found in Gate plan",IF(AND(C397&lt;&gt;"",COUNTIFS('Gate plan'!$A$4:$A$353,C397,'Gate plan'!$B$4:$B$353,B397)=0),"Plan AIR-ID differs from event",IF(D397="","Gate / forum missing",IF(AND(E397="Precautionary pause (containment)",G397&lt;&gt;"Paused — pending decision"),"Precautionary pause: Outcome must be Paused, pending decision",IF(AND(E397="Precautionary pause (containment)",V397=""),"Precautionary pause: AIG-OPS-03 incident ref missing",IF(AND(E397="Precautionary pause (containment)",NOT(ISNUMBER(W397))),"Precautionary pause: follow-up decision due date missing",IF(AND(G397="Paused — pending decision",E397&lt;&gt;"Precautionary pause (containment)"),"Paused, pending decision is only for a Precautionary pause event",IF(AND(E397="Decision",OR(G397="",H397="",I397="")),"Outcome / delegation / decision ref missing",IF(AND(E397="Decision",NOT(OR(G397="Progress",G397="Progress with condition",G397="Return for evidence",G397="Pause",G397="Stop",G397="Suspend",G397="Decommission",G397="Re-authorise",G397="Resume"))),"Decision event needs a decision outcome",IF(AND(E397="Priority override",OR(H397="",I397="")),"Decision-maker / AIG-DEC-03 ref missing",IF(AND(E397="Priority override",G397&lt;&gt;"",G397&lt;&gt;"No decision"),"Priority override: Outcome blank or No decision",IF(AND(E397&lt;&gt;"Decision",OR(G397="Progress",G397="Progress with condition",G397="Return for evidence",G397="Pause",G397="Stop",G397="Suspend",G397="Decommission",G397="Re-authorise",G397="Resume")),"Outcome implies decision",IF(OR(ISNUMBER(SEARCH(",",O397)),ISNUMBER(SEARCH(";",O397))),"One UC-ID per event row — split this event",IF(AND(E397="Decision",OR(Q397="UC-ID REQUIRED",Q397="Decision scope missing",Q397="REMOVE UC-ID OR CORRECT SCOPE")),"Decision scope missing",IF(AND(G397="Progress with condition",COUNTIF(Conditions!$B$4:$B$553,A397)=0),"Progress with condition needs at least one Conditions row",IF(AND(C397&lt;&gt;"",COUNTIFS('Gate plan'!$A$4:$A$353,C397,'Gate plan'!$C$4:$C$353,D397)=0),"Plan gate differs from event gate",IF(AND(C397&lt;&gt;"",O397&lt;&gt;"",COUNTIFS('Gate plan'!$A$4:$A$353,C397,'Gate plan'!$K$4:$K$353,"&lt;&gt;")&gt;0,COUNTIFS('Gate plan'!$A$4:$A$353,C397,'Gate plan'!$K$4:$K$353,O397)=0),"Plan UC-ID differs from event UC-ID",IF(AND(E397="Assurance opinion",J397=""),"Assurance opinion ref missing",IF(AND(G397="Opinion only",E397&lt;&gt;"Assurance opinion",E397&lt;&gt;"Review only"),"Opinion only is for Assurance opinion or Review only events",IF(AND(G397="No decision",E397&lt;&gt;"Review only",E397&lt;&gt;"Priority override",E397&lt;&gt;"Intake / registration"),"No decision is for Review only, Priority override or Intake / registration events",IF(OR(ISNUMBER(SEARCH(" ",TRIM(O397))),ISNUMBER(SEARCH("/",O397))),"One UC-ID per event row: split this event",IF(AND(E397="Precautionary pause (containment)",ISNUMBER(W397),ISNUMBER(F397),W397&lt;F397),"Follow-up decision due date is before the pause",IF(AND(G397="Resume",IFERROR(LOOKUP(2,1/(($B$3:B396=B397)*($O$3:O396=O397)),$G$3:G396),"")&lt;&gt;"Paused — pending decision"),"Resume is only for the event straight after a Precautionary pause on the same AIR-ID and UC-ID (in an earlier row)",IF(AND(E397="Decision",OR(G397="Progress",G397="Progress with condition",G397="Re-authorise",G397="Resume"),X397&lt;&gt;"Yes"),"Decision-maker has not confirmed the screening was considered (column X)","Check against source")))))))))))))))))))))))))))))</f>
        <v/>
      </c>
      <c r="O397" s="37" t="n"/>
      <c r="P397" s="37" t="n"/>
      <c r="Q397" s="14">
        <f>IF(A397="","",IF(E397&lt;&gt;"Decision","",IF(P397="UC-ID specific",IF(O397="","UC-ID REQUIRED","Check source decision for each UC-ID"),IF(P397="Shared system baseline",IF(O397&lt;&gt;"","REMOVE UC-ID OR CORRECT SCOPE","Baseline only — NOT UC approval"),"Decision scope missing"))))</f>
        <v/>
      </c>
      <c r="R397" s="43" t="n"/>
      <c r="S397" s="40" t="n"/>
      <c r="T397" s="40" t="n"/>
      <c r="U397" s="40" t="n"/>
      <c r="V397" s="40" t="n"/>
      <c r="W397" s="41" t="n"/>
      <c r="X397" s="38" t="n"/>
    </row>
    <row r="398">
      <c r="A398" s="38" t="n"/>
      <c r="B398" s="38" t="n"/>
      <c r="C398" s="38" t="n"/>
      <c r="D398" s="38" t="n"/>
      <c r="E398" s="38" t="n"/>
      <c r="F398" s="39" t="n"/>
      <c r="G398" s="38" t="n"/>
      <c r="H398" s="38" t="n"/>
      <c r="I398" s="38" t="n"/>
      <c r="J398" s="38" t="n"/>
      <c r="K398" s="38" t="n"/>
      <c r="L398" s="38" t="n"/>
      <c r="M398" s="38" t="n"/>
      <c r="N398" s="22">
        <f>IF(COUNTA(A398:M398,O398:P398,R398:X398)=0,"",IF(OR(A398="",B398="",F398=""),"Event ID, AIR-ID or date missing",IF(COUNTIF($A$4:$A$553,A398)&gt;1,"Duplicate Event ID",IF(E398="","Event type missing",IF(OR(NOT(ISNUMBER(F398)),F398&gt;TODAY()),"Date is not a real date or is in the future",IF(AND(C398&lt;&gt;"",COUNTIF('Gate plan'!$A$4:$A$353,C398)=0),"Plan ID not found in Gate plan",IF(AND(C398&lt;&gt;"",COUNTIFS('Gate plan'!$A$4:$A$353,C398,'Gate plan'!$B$4:$B$353,B398)=0),"Plan AIR-ID differs from event",IF(D398="","Gate / forum missing",IF(AND(E398="Precautionary pause (containment)",G398&lt;&gt;"Paused — pending decision"),"Precautionary pause: Outcome must be Paused, pending decision",IF(AND(E398="Precautionary pause (containment)",V398=""),"Precautionary pause: AIG-OPS-03 incident ref missing",IF(AND(E398="Precautionary pause (containment)",NOT(ISNUMBER(W398))),"Precautionary pause: follow-up decision due date missing",IF(AND(G398="Paused — pending decision",E398&lt;&gt;"Precautionary pause (containment)"),"Paused, pending decision is only for a Precautionary pause event",IF(AND(E398="Decision",OR(G398="",H398="",I398="")),"Outcome / delegation / decision ref missing",IF(AND(E398="Decision",NOT(OR(G398="Progress",G398="Progress with condition",G398="Return for evidence",G398="Pause",G398="Stop",G398="Suspend",G398="Decommission",G398="Re-authorise",G398="Resume"))),"Decision event needs a decision outcome",IF(AND(E398="Priority override",OR(H398="",I398="")),"Decision-maker / AIG-DEC-03 ref missing",IF(AND(E398="Priority override",G398&lt;&gt;"",G398&lt;&gt;"No decision"),"Priority override: Outcome blank or No decision",IF(AND(E398&lt;&gt;"Decision",OR(G398="Progress",G398="Progress with condition",G398="Return for evidence",G398="Pause",G398="Stop",G398="Suspend",G398="Decommission",G398="Re-authorise",G398="Resume")),"Outcome implies decision",IF(OR(ISNUMBER(SEARCH(",",O398)),ISNUMBER(SEARCH(";",O398))),"One UC-ID per event row — split this event",IF(AND(E398="Decision",OR(Q398="UC-ID REQUIRED",Q398="Decision scope missing",Q398="REMOVE UC-ID OR CORRECT SCOPE")),"Decision scope missing",IF(AND(G398="Progress with condition",COUNTIF(Conditions!$B$4:$B$553,A398)=0),"Progress with condition needs at least one Conditions row",IF(AND(C398&lt;&gt;"",COUNTIFS('Gate plan'!$A$4:$A$353,C398,'Gate plan'!$C$4:$C$353,D398)=0),"Plan gate differs from event gate",IF(AND(C398&lt;&gt;"",O398&lt;&gt;"",COUNTIFS('Gate plan'!$A$4:$A$353,C398,'Gate plan'!$K$4:$K$353,"&lt;&gt;")&gt;0,COUNTIFS('Gate plan'!$A$4:$A$353,C398,'Gate plan'!$K$4:$K$353,O398)=0),"Plan UC-ID differs from event UC-ID",IF(AND(E398="Assurance opinion",J398=""),"Assurance opinion ref missing",IF(AND(G398="Opinion only",E398&lt;&gt;"Assurance opinion",E398&lt;&gt;"Review only"),"Opinion only is for Assurance opinion or Review only events",IF(AND(G398="No decision",E398&lt;&gt;"Review only",E398&lt;&gt;"Priority override",E398&lt;&gt;"Intake / registration"),"No decision is for Review only, Priority override or Intake / registration events",IF(OR(ISNUMBER(SEARCH(" ",TRIM(O398))),ISNUMBER(SEARCH("/",O398))),"One UC-ID per event row: split this event",IF(AND(E398="Precautionary pause (containment)",ISNUMBER(W398),ISNUMBER(F398),W398&lt;F398),"Follow-up decision due date is before the pause",IF(AND(G398="Resume",IFERROR(LOOKUP(2,1/(($B$3:B397=B398)*($O$3:O397=O398)),$G$3:G397),"")&lt;&gt;"Paused — pending decision"),"Resume is only for the event straight after a Precautionary pause on the same AIR-ID and UC-ID (in an earlier row)",IF(AND(E398="Decision",OR(G398="Progress",G398="Progress with condition",G398="Re-authorise",G398="Resume"),X398&lt;&gt;"Yes"),"Decision-maker has not confirmed the screening was considered (column X)","Check against source")))))))))))))))))))))))))))))</f>
        <v/>
      </c>
      <c r="O398" s="37" t="n"/>
      <c r="P398" s="37" t="n"/>
      <c r="Q398" s="14">
        <f>IF(A398="","",IF(E398&lt;&gt;"Decision","",IF(P398="UC-ID specific",IF(O398="","UC-ID REQUIRED","Check source decision for each UC-ID"),IF(P398="Shared system baseline",IF(O398&lt;&gt;"","REMOVE UC-ID OR CORRECT SCOPE","Baseline only — NOT UC approval"),"Decision scope missing"))))</f>
        <v/>
      </c>
      <c r="R398" s="42" t="n"/>
      <c r="S398" s="38" t="n"/>
      <c r="T398" s="38" t="n"/>
      <c r="U398" s="38" t="n"/>
      <c r="V398" s="38" t="n"/>
      <c r="W398" s="39" t="n"/>
      <c r="X398" s="38" t="n"/>
    </row>
    <row r="399">
      <c r="A399" s="40" t="n"/>
      <c r="B399" s="40" t="n"/>
      <c r="C399" s="40" t="n"/>
      <c r="D399" s="40" t="n"/>
      <c r="E399" s="40" t="n"/>
      <c r="F399" s="41" t="n"/>
      <c r="G399" s="40" t="n"/>
      <c r="H399" s="40" t="n"/>
      <c r="I399" s="40" t="n"/>
      <c r="J399" s="40" t="n"/>
      <c r="K399" s="40" t="n"/>
      <c r="L399" s="40" t="n"/>
      <c r="M399" s="40" t="n"/>
      <c r="N399" s="24">
        <f>IF(COUNTA(A399:M399,O399:P399,R399:X399)=0,"",IF(OR(A399="",B399="",F399=""),"Event ID, AIR-ID or date missing",IF(COUNTIF($A$4:$A$553,A399)&gt;1,"Duplicate Event ID",IF(E399="","Event type missing",IF(OR(NOT(ISNUMBER(F399)),F399&gt;TODAY()),"Date is not a real date or is in the future",IF(AND(C399&lt;&gt;"",COUNTIF('Gate plan'!$A$4:$A$353,C399)=0),"Plan ID not found in Gate plan",IF(AND(C399&lt;&gt;"",COUNTIFS('Gate plan'!$A$4:$A$353,C399,'Gate plan'!$B$4:$B$353,B399)=0),"Plan AIR-ID differs from event",IF(D399="","Gate / forum missing",IF(AND(E399="Precautionary pause (containment)",G399&lt;&gt;"Paused — pending decision"),"Precautionary pause: Outcome must be Paused, pending decision",IF(AND(E399="Precautionary pause (containment)",V399=""),"Precautionary pause: AIG-OPS-03 incident ref missing",IF(AND(E399="Precautionary pause (containment)",NOT(ISNUMBER(W399))),"Precautionary pause: follow-up decision due date missing",IF(AND(G399="Paused — pending decision",E399&lt;&gt;"Precautionary pause (containment)"),"Paused, pending decision is only for a Precautionary pause event",IF(AND(E399="Decision",OR(G399="",H399="",I399="")),"Outcome / delegation / decision ref missing",IF(AND(E399="Decision",NOT(OR(G399="Progress",G399="Progress with condition",G399="Return for evidence",G399="Pause",G399="Stop",G399="Suspend",G399="Decommission",G399="Re-authorise",G399="Resume"))),"Decision event needs a decision outcome",IF(AND(E399="Priority override",OR(H399="",I399="")),"Decision-maker / AIG-DEC-03 ref missing",IF(AND(E399="Priority override",G399&lt;&gt;"",G399&lt;&gt;"No decision"),"Priority override: Outcome blank or No decision",IF(AND(E399&lt;&gt;"Decision",OR(G399="Progress",G399="Progress with condition",G399="Return for evidence",G399="Pause",G399="Stop",G399="Suspend",G399="Decommission",G399="Re-authorise",G399="Resume")),"Outcome implies decision",IF(OR(ISNUMBER(SEARCH(",",O399)),ISNUMBER(SEARCH(";",O399))),"One UC-ID per event row — split this event",IF(AND(E399="Decision",OR(Q399="UC-ID REQUIRED",Q399="Decision scope missing",Q399="REMOVE UC-ID OR CORRECT SCOPE")),"Decision scope missing",IF(AND(G399="Progress with condition",COUNTIF(Conditions!$B$4:$B$553,A399)=0),"Progress with condition needs at least one Conditions row",IF(AND(C399&lt;&gt;"",COUNTIFS('Gate plan'!$A$4:$A$353,C399,'Gate plan'!$C$4:$C$353,D399)=0),"Plan gate differs from event gate",IF(AND(C399&lt;&gt;"",O399&lt;&gt;"",COUNTIFS('Gate plan'!$A$4:$A$353,C399,'Gate plan'!$K$4:$K$353,"&lt;&gt;")&gt;0,COUNTIFS('Gate plan'!$A$4:$A$353,C399,'Gate plan'!$K$4:$K$353,O399)=0),"Plan UC-ID differs from event UC-ID",IF(AND(E399="Assurance opinion",J399=""),"Assurance opinion ref missing",IF(AND(G399="Opinion only",E399&lt;&gt;"Assurance opinion",E399&lt;&gt;"Review only"),"Opinion only is for Assurance opinion or Review only events",IF(AND(G399="No decision",E399&lt;&gt;"Review only",E399&lt;&gt;"Priority override",E399&lt;&gt;"Intake / registration"),"No decision is for Review only, Priority override or Intake / registration events",IF(OR(ISNUMBER(SEARCH(" ",TRIM(O399))),ISNUMBER(SEARCH("/",O399))),"One UC-ID per event row: split this event",IF(AND(E399="Precautionary pause (containment)",ISNUMBER(W399),ISNUMBER(F399),W399&lt;F399),"Follow-up decision due date is before the pause",IF(AND(G399="Resume",IFERROR(LOOKUP(2,1/(($B$3:B398=B399)*($O$3:O398=O399)),$G$3:G398),"")&lt;&gt;"Paused — pending decision"),"Resume is only for the event straight after a Precautionary pause on the same AIR-ID and UC-ID (in an earlier row)",IF(AND(E399="Decision",OR(G399="Progress",G399="Progress with condition",G399="Re-authorise",G399="Resume"),X399&lt;&gt;"Yes"),"Decision-maker has not confirmed the screening was considered (column X)","Check against source")))))))))))))))))))))))))))))</f>
        <v/>
      </c>
      <c r="O399" s="37" t="n"/>
      <c r="P399" s="37" t="n"/>
      <c r="Q399" s="14">
        <f>IF(A399="","",IF(E399&lt;&gt;"Decision","",IF(P399="UC-ID specific",IF(O399="","UC-ID REQUIRED","Check source decision for each UC-ID"),IF(P399="Shared system baseline",IF(O399&lt;&gt;"","REMOVE UC-ID OR CORRECT SCOPE","Baseline only — NOT UC approval"),"Decision scope missing"))))</f>
        <v/>
      </c>
      <c r="R399" s="43" t="n"/>
      <c r="S399" s="40" t="n"/>
      <c r="T399" s="40" t="n"/>
      <c r="U399" s="40" t="n"/>
      <c r="V399" s="40" t="n"/>
      <c r="W399" s="41" t="n"/>
      <c r="X399" s="38" t="n"/>
    </row>
    <row r="400">
      <c r="A400" s="38" t="n"/>
      <c r="B400" s="38" t="n"/>
      <c r="C400" s="38" t="n"/>
      <c r="D400" s="38" t="n"/>
      <c r="E400" s="38" t="n"/>
      <c r="F400" s="39" t="n"/>
      <c r="G400" s="38" t="n"/>
      <c r="H400" s="38" t="n"/>
      <c r="I400" s="38" t="n"/>
      <c r="J400" s="38" t="n"/>
      <c r="K400" s="38" t="n"/>
      <c r="L400" s="38" t="n"/>
      <c r="M400" s="38" t="n"/>
      <c r="N400" s="22">
        <f>IF(COUNTA(A400:M400,O400:P400,R400:X400)=0,"",IF(OR(A400="",B400="",F400=""),"Event ID, AIR-ID or date missing",IF(COUNTIF($A$4:$A$553,A400)&gt;1,"Duplicate Event ID",IF(E400="","Event type missing",IF(OR(NOT(ISNUMBER(F400)),F400&gt;TODAY()),"Date is not a real date or is in the future",IF(AND(C400&lt;&gt;"",COUNTIF('Gate plan'!$A$4:$A$353,C400)=0),"Plan ID not found in Gate plan",IF(AND(C400&lt;&gt;"",COUNTIFS('Gate plan'!$A$4:$A$353,C400,'Gate plan'!$B$4:$B$353,B400)=0),"Plan AIR-ID differs from event",IF(D400="","Gate / forum missing",IF(AND(E400="Precautionary pause (containment)",G400&lt;&gt;"Paused — pending decision"),"Precautionary pause: Outcome must be Paused, pending decision",IF(AND(E400="Precautionary pause (containment)",V400=""),"Precautionary pause: AIG-OPS-03 incident ref missing",IF(AND(E400="Precautionary pause (containment)",NOT(ISNUMBER(W400))),"Precautionary pause: follow-up decision due date missing",IF(AND(G400="Paused — pending decision",E400&lt;&gt;"Precautionary pause (containment)"),"Paused, pending decision is only for a Precautionary pause event",IF(AND(E400="Decision",OR(G400="",H400="",I400="")),"Outcome / delegation / decision ref missing",IF(AND(E400="Decision",NOT(OR(G400="Progress",G400="Progress with condition",G400="Return for evidence",G400="Pause",G400="Stop",G400="Suspend",G400="Decommission",G400="Re-authorise",G400="Resume"))),"Decision event needs a decision outcome",IF(AND(E400="Priority override",OR(H400="",I400="")),"Decision-maker / AIG-DEC-03 ref missing",IF(AND(E400="Priority override",G400&lt;&gt;"",G400&lt;&gt;"No decision"),"Priority override: Outcome blank or No decision",IF(AND(E400&lt;&gt;"Decision",OR(G400="Progress",G400="Progress with condition",G400="Return for evidence",G400="Pause",G400="Stop",G400="Suspend",G400="Decommission",G400="Re-authorise",G400="Resume")),"Outcome implies decision",IF(OR(ISNUMBER(SEARCH(",",O400)),ISNUMBER(SEARCH(";",O400))),"One UC-ID per event row — split this event",IF(AND(E400="Decision",OR(Q400="UC-ID REQUIRED",Q400="Decision scope missing",Q400="REMOVE UC-ID OR CORRECT SCOPE")),"Decision scope missing",IF(AND(G400="Progress with condition",COUNTIF(Conditions!$B$4:$B$553,A400)=0),"Progress with condition needs at least one Conditions row",IF(AND(C400&lt;&gt;"",COUNTIFS('Gate plan'!$A$4:$A$353,C400,'Gate plan'!$C$4:$C$353,D400)=0),"Plan gate differs from event gate",IF(AND(C400&lt;&gt;"",O400&lt;&gt;"",COUNTIFS('Gate plan'!$A$4:$A$353,C400,'Gate plan'!$K$4:$K$353,"&lt;&gt;")&gt;0,COUNTIFS('Gate plan'!$A$4:$A$353,C400,'Gate plan'!$K$4:$K$353,O400)=0),"Plan UC-ID differs from event UC-ID",IF(AND(E400="Assurance opinion",J400=""),"Assurance opinion ref missing",IF(AND(G400="Opinion only",E400&lt;&gt;"Assurance opinion",E400&lt;&gt;"Review only"),"Opinion only is for Assurance opinion or Review only events",IF(AND(G400="No decision",E400&lt;&gt;"Review only",E400&lt;&gt;"Priority override",E400&lt;&gt;"Intake / registration"),"No decision is for Review only, Priority override or Intake / registration events",IF(OR(ISNUMBER(SEARCH(" ",TRIM(O400))),ISNUMBER(SEARCH("/",O400))),"One UC-ID per event row: split this event",IF(AND(E400="Precautionary pause (containment)",ISNUMBER(W400),ISNUMBER(F400),W400&lt;F400),"Follow-up decision due date is before the pause",IF(AND(G400="Resume",IFERROR(LOOKUP(2,1/(($B$3:B399=B400)*($O$3:O399=O400)),$G$3:G399),"")&lt;&gt;"Paused — pending decision"),"Resume is only for the event straight after a Precautionary pause on the same AIR-ID and UC-ID (in an earlier row)",IF(AND(E400="Decision",OR(G400="Progress",G400="Progress with condition",G400="Re-authorise",G400="Resume"),X400&lt;&gt;"Yes"),"Decision-maker has not confirmed the screening was considered (column X)","Check against source")))))))))))))))))))))))))))))</f>
        <v/>
      </c>
      <c r="O400" s="37" t="n"/>
      <c r="P400" s="37" t="n"/>
      <c r="Q400" s="14">
        <f>IF(A400="","",IF(E400&lt;&gt;"Decision","",IF(P400="UC-ID specific",IF(O400="","UC-ID REQUIRED","Check source decision for each UC-ID"),IF(P400="Shared system baseline",IF(O400&lt;&gt;"","REMOVE UC-ID OR CORRECT SCOPE","Baseline only — NOT UC approval"),"Decision scope missing"))))</f>
        <v/>
      </c>
      <c r="R400" s="42" t="n"/>
      <c r="S400" s="38" t="n"/>
      <c r="T400" s="38" t="n"/>
      <c r="U400" s="38" t="n"/>
      <c r="V400" s="38" t="n"/>
      <c r="W400" s="39" t="n"/>
      <c r="X400" s="38" t="n"/>
    </row>
    <row r="401">
      <c r="A401" s="40" t="n"/>
      <c r="B401" s="40" t="n"/>
      <c r="C401" s="40" t="n"/>
      <c r="D401" s="40" t="n"/>
      <c r="E401" s="40" t="n"/>
      <c r="F401" s="41" t="n"/>
      <c r="G401" s="40" t="n"/>
      <c r="H401" s="40" t="n"/>
      <c r="I401" s="40" t="n"/>
      <c r="J401" s="40" t="n"/>
      <c r="K401" s="40" t="n"/>
      <c r="L401" s="40" t="n"/>
      <c r="M401" s="40" t="n"/>
      <c r="N401" s="24">
        <f>IF(COUNTA(A401:M401,O401:P401,R401:X401)=0,"",IF(OR(A401="",B401="",F401=""),"Event ID, AIR-ID or date missing",IF(COUNTIF($A$4:$A$553,A401)&gt;1,"Duplicate Event ID",IF(E401="","Event type missing",IF(OR(NOT(ISNUMBER(F401)),F401&gt;TODAY()),"Date is not a real date or is in the future",IF(AND(C401&lt;&gt;"",COUNTIF('Gate plan'!$A$4:$A$353,C401)=0),"Plan ID not found in Gate plan",IF(AND(C401&lt;&gt;"",COUNTIFS('Gate plan'!$A$4:$A$353,C401,'Gate plan'!$B$4:$B$353,B401)=0),"Plan AIR-ID differs from event",IF(D401="","Gate / forum missing",IF(AND(E401="Precautionary pause (containment)",G401&lt;&gt;"Paused — pending decision"),"Precautionary pause: Outcome must be Paused, pending decision",IF(AND(E401="Precautionary pause (containment)",V401=""),"Precautionary pause: AIG-OPS-03 incident ref missing",IF(AND(E401="Precautionary pause (containment)",NOT(ISNUMBER(W401))),"Precautionary pause: follow-up decision due date missing",IF(AND(G401="Paused — pending decision",E401&lt;&gt;"Precautionary pause (containment)"),"Paused, pending decision is only for a Precautionary pause event",IF(AND(E401="Decision",OR(G401="",H401="",I401="")),"Outcome / delegation / decision ref missing",IF(AND(E401="Decision",NOT(OR(G401="Progress",G401="Progress with condition",G401="Return for evidence",G401="Pause",G401="Stop",G401="Suspend",G401="Decommission",G401="Re-authorise",G401="Resume"))),"Decision event needs a decision outcome",IF(AND(E401="Priority override",OR(H401="",I401="")),"Decision-maker / AIG-DEC-03 ref missing",IF(AND(E401="Priority override",G401&lt;&gt;"",G401&lt;&gt;"No decision"),"Priority override: Outcome blank or No decision",IF(AND(E401&lt;&gt;"Decision",OR(G401="Progress",G401="Progress with condition",G401="Return for evidence",G401="Pause",G401="Stop",G401="Suspend",G401="Decommission",G401="Re-authorise",G401="Resume")),"Outcome implies decision",IF(OR(ISNUMBER(SEARCH(",",O401)),ISNUMBER(SEARCH(";",O401))),"One UC-ID per event row — split this event",IF(AND(E401="Decision",OR(Q401="UC-ID REQUIRED",Q401="Decision scope missing",Q401="REMOVE UC-ID OR CORRECT SCOPE")),"Decision scope missing",IF(AND(G401="Progress with condition",COUNTIF(Conditions!$B$4:$B$553,A401)=0),"Progress with condition needs at least one Conditions row",IF(AND(C401&lt;&gt;"",COUNTIFS('Gate plan'!$A$4:$A$353,C401,'Gate plan'!$C$4:$C$353,D401)=0),"Plan gate differs from event gate",IF(AND(C401&lt;&gt;"",O401&lt;&gt;"",COUNTIFS('Gate plan'!$A$4:$A$353,C401,'Gate plan'!$K$4:$K$353,"&lt;&gt;")&gt;0,COUNTIFS('Gate plan'!$A$4:$A$353,C401,'Gate plan'!$K$4:$K$353,O401)=0),"Plan UC-ID differs from event UC-ID",IF(AND(E401="Assurance opinion",J401=""),"Assurance opinion ref missing",IF(AND(G401="Opinion only",E401&lt;&gt;"Assurance opinion",E401&lt;&gt;"Review only"),"Opinion only is for Assurance opinion or Review only events",IF(AND(G401="No decision",E401&lt;&gt;"Review only",E401&lt;&gt;"Priority override",E401&lt;&gt;"Intake / registration"),"No decision is for Review only, Priority override or Intake / registration events",IF(OR(ISNUMBER(SEARCH(" ",TRIM(O401))),ISNUMBER(SEARCH("/",O401))),"One UC-ID per event row: split this event",IF(AND(E401="Precautionary pause (containment)",ISNUMBER(W401),ISNUMBER(F401),W401&lt;F401),"Follow-up decision due date is before the pause",IF(AND(G401="Resume",IFERROR(LOOKUP(2,1/(($B$3:B400=B401)*($O$3:O400=O401)),$G$3:G400),"")&lt;&gt;"Paused — pending decision"),"Resume is only for the event straight after a Precautionary pause on the same AIR-ID and UC-ID (in an earlier row)",IF(AND(E401="Decision",OR(G401="Progress",G401="Progress with condition",G401="Re-authorise",G401="Resume"),X401&lt;&gt;"Yes"),"Decision-maker has not confirmed the screening was considered (column X)","Check against source")))))))))))))))))))))))))))))</f>
        <v/>
      </c>
      <c r="O401" s="37" t="n"/>
      <c r="P401" s="37" t="n"/>
      <c r="Q401" s="14">
        <f>IF(A401="","",IF(E401&lt;&gt;"Decision","",IF(P401="UC-ID specific",IF(O401="","UC-ID REQUIRED","Check source decision for each UC-ID"),IF(P401="Shared system baseline",IF(O401&lt;&gt;"","REMOVE UC-ID OR CORRECT SCOPE","Baseline only — NOT UC approval"),"Decision scope missing"))))</f>
        <v/>
      </c>
      <c r="R401" s="43" t="n"/>
      <c r="S401" s="40" t="n"/>
      <c r="T401" s="40" t="n"/>
      <c r="U401" s="40" t="n"/>
      <c r="V401" s="40" t="n"/>
      <c r="W401" s="41" t="n"/>
      <c r="X401" s="38" t="n"/>
    </row>
    <row r="402">
      <c r="A402" s="38" t="n"/>
      <c r="B402" s="38" t="n"/>
      <c r="C402" s="38" t="n"/>
      <c r="D402" s="38" t="n"/>
      <c r="E402" s="38" t="n"/>
      <c r="F402" s="39" t="n"/>
      <c r="G402" s="38" t="n"/>
      <c r="H402" s="38" t="n"/>
      <c r="I402" s="38" t="n"/>
      <c r="J402" s="38" t="n"/>
      <c r="K402" s="38" t="n"/>
      <c r="L402" s="38" t="n"/>
      <c r="M402" s="38" t="n"/>
      <c r="N402" s="22">
        <f>IF(COUNTA(A402:M402,O402:P402,R402:X402)=0,"",IF(OR(A402="",B402="",F402=""),"Event ID, AIR-ID or date missing",IF(COUNTIF($A$4:$A$553,A402)&gt;1,"Duplicate Event ID",IF(E402="","Event type missing",IF(OR(NOT(ISNUMBER(F402)),F402&gt;TODAY()),"Date is not a real date or is in the future",IF(AND(C402&lt;&gt;"",COUNTIF('Gate plan'!$A$4:$A$353,C402)=0),"Plan ID not found in Gate plan",IF(AND(C402&lt;&gt;"",COUNTIFS('Gate plan'!$A$4:$A$353,C402,'Gate plan'!$B$4:$B$353,B402)=0),"Plan AIR-ID differs from event",IF(D402="","Gate / forum missing",IF(AND(E402="Precautionary pause (containment)",G402&lt;&gt;"Paused — pending decision"),"Precautionary pause: Outcome must be Paused, pending decision",IF(AND(E402="Precautionary pause (containment)",V402=""),"Precautionary pause: AIG-OPS-03 incident ref missing",IF(AND(E402="Precautionary pause (containment)",NOT(ISNUMBER(W402))),"Precautionary pause: follow-up decision due date missing",IF(AND(G402="Paused — pending decision",E402&lt;&gt;"Precautionary pause (containment)"),"Paused, pending decision is only for a Precautionary pause event",IF(AND(E402="Decision",OR(G402="",H402="",I402="")),"Outcome / delegation / decision ref missing",IF(AND(E402="Decision",NOT(OR(G402="Progress",G402="Progress with condition",G402="Return for evidence",G402="Pause",G402="Stop",G402="Suspend",G402="Decommission",G402="Re-authorise",G402="Resume"))),"Decision event needs a decision outcome",IF(AND(E402="Priority override",OR(H402="",I402="")),"Decision-maker / AIG-DEC-03 ref missing",IF(AND(E402="Priority override",G402&lt;&gt;"",G402&lt;&gt;"No decision"),"Priority override: Outcome blank or No decision",IF(AND(E402&lt;&gt;"Decision",OR(G402="Progress",G402="Progress with condition",G402="Return for evidence",G402="Pause",G402="Stop",G402="Suspend",G402="Decommission",G402="Re-authorise",G402="Resume")),"Outcome implies decision",IF(OR(ISNUMBER(SEARCH(",",O402)),ISNUMBER(SEARCH(";",O402))),"One UC-ID per event row — split this event",IF(AND(E402="Decision",OR(Q402="UC-ID REQUIRED",Q402="Decision scope missing",Q402="REMOVE UC-ID OR CORRECT SCOPE")),"Decision scope missing",IF(AND(G402="Progress with condition",COUNTIF(Conditions!$B$4:$B$553,A402)=0),"Progress with condition needs at least one Conditions row",IF(AND(C402&lt;&gt;"",COUNTIFS('Gate plan'!$A$4:$A$353,C402,'Gate plan'!$C$4:$C$353,D402)=0),"Plan gate differs from event gate",IF(AND(C402&lt;&gt;"",O402&lt;&gt;"",COUNTIFS('Gate plan'!$A$4:$A$353,C402,'Gate plan'!$K$4:$K$353,"&lt;&gt;")&gt;0,COUNTIFS('Gate plan'!$A$4:$A$353,C402,'Gate plan'!$K$4:$K$353,O402)=0),"Plan UC-ID differs from event UC-ID",IF(AND(E402="Assurance opinion",J402=""),"Assurance opinion ref missing",IF(AND(G402="Opinion only",E402&lt;&gt;"Assurance opinion",E402&lt;&gt;"Review only"),"Opinion only is for Assurance opinion or Review only events",IF(AND(G402="No decision",E402&lt;&gt;"Review only",E402&lt;&gt;"Priority override",E402&lt;&gt;"Intake / registration"),"No decision is for Review only, Priority override or Intake / registration events",IF(OR(ISNUMBER(SEARCH(" ",TRIM(O402))),ISNUMBER(SEARCH("/",O402))),"One UC-ID per event row: split this event",IF(AND(E402="Precautionary pause (containment)",ISNUMBER(W402),ISNUMBER(F402),W402&lt;F402),"Follow-up decision due date is before the pause",IF(AND(G402="Resume",IFERROR(LOOKUP(2,1/(($B$3:B401=B402)*($O$3:O401=O402)),$G$3:G401),"")&lt;&gt;"Paused — pending decision"),"Resume is only for the event straight after a Precautionary pause on the same AIR-ID and UC-ID (in an earlier row)",IF(AND(E402="Decision",OR(G402="Progress",G402="Progress with condition",G402="Re-authorise",G402="Resume"),X402&lt;&gt;"Yes"),"Decision-maker has not confirmed the screening was considered (column X)","Check against source")))))))))))))))))))))))))))))</f>
        <v/>
      </c>
      <c r="O402" s="37" t="n"/>
      <c r="P402" s="37" t="n"/>
      <c r="Q402" s="14">
        <f>IF(A402="","",IF(E402&lt;&gt;"Decision","",IF(P402="UC-ID specific",IF(O402="","UC-ID REQUIRED","Check source decision for each UC-ID"),IF(P402="Shared system baseline",IF(O402&lt;&gt;"","REMOVE UC-ID OR CORRECT SCOPE","Baseline only — NOT UC approval"),"Decision scope missing"))))</f>
        <v/>
      </c>
      <c r="R402" s="42" t="n"/>
      <c r="S402" s="38" t="n"/>
      <c r="T402" s="38" t="n"/>
      <c r="U402" s="38" t="n"/>
      <c r="V402" s="38" t="n"/>
      <c r="W402" s="39" t="n"/>
      <c r="X402" s="38" t="n"/>
    </row>
    <row r="403">
      <c r="A403" s="40" t="n"/>
      <c r="B403" s="40" t="n"/>
      <c r="C403" s="40" t="n"/>
      <c r="D403" s="40" t="n"/>
      <c r="E403" s="40" t="n"/>
      <c r="F403" s="41" t="n"/>
      <c r="G403" s="40" t="n"/>
      <c r="H403" s="40" t="n"/>
      <c r="I403" s="40" t="n"/>
      <c r="J403" s="40" t="n"/>
      <c r="K403" s="40" t="n"/>
      <c r="L403" s="40" t="n"/>
      <c r="M403" s="40" t="n"/>
      <c r="N403" s="24">
        <f>IF(COUNTA(A403:M403,O403:P403,R403:X403)=0,"",IF(OR(A403="",B403="",F403=""),"Event ID, AIR-ID or date missing",IF(COUNTIF($A$4:$A$553,A403)&gt;1,"Duplicate Event ID",IF(E403="","Event type missing",IF(OR(NOT(ISNUMBER(F403)),F403&gt;TODAY()),"Date is not a real date or is in the future",IF(AND(C403&lt;&gt;"",COUNTIF('Gate plan'!$A$4:$A$353,C403)=0),"Plan ID not found in Gate plan",IF(AND(C403&lt;&gt;"",COUNTIFS('Gate plan'!$A$4:$A$353,C403,'Gate plan'!$B$4:$B$353,B403)=0),"Plan AIR-ID differs from event",IF(D403="","Gate / forum missing",IF(AND(E403="Precautionary pause (containment)",G403&lt;&gt;"Paused — pending decision"),"Precautionary pause: Outcome must be Paused, pending decision",IF(AND(E403="Precautionary pause (containment)",V403=""),"Precautionary pause: AIG-OPS-03 incident ref missing",IF(AND(E403="Precautionary pause (containment)",NOT(ISNUMBER(W403))),"Precautionary pause: follow-up decision due date missing",IF(AND(G403="Paused — pending decision",E403&lt;&gt;"Precautionary pause (containment)"),"Paused, pending decision is only for a Precautionary pause event",IF(AND(E403="Decision",OR(G403="",H403="",I403="")),"Outcome / delegation / decision ref missing",IF(AND(E403="Decision",NOT(OR(G403="Progress",G403="Progress with condition",G403="Return for evidence",G403="Pause",G403="Stop",G403="Suspend",G403="Decommission",G403="Re-authorise",G403="Resume"))),"Decision event needs a decision outcome",IF(AND(E403="Priority override",OR(H403="",I403="")),"Decision-maker / AIG-DEC-03 ref missing",IF(AND(E403="Priority override",G403&lt;&gt;"",G403&lt;&gt;"No decision"),"Priority override: Outcome blank or No decision",IF(AND(E403&lt;&gt;"Decision",OR(G403="Progress",G403="Progress with condition",G403="Return for evidence",G403="Pause",G403="Stop",G403="Suspend",G403="Decommission",G403="Re-authorise",G403="Resume")),"Outcome implies decision",IF(OR(ISNUMBER(SEARCH(",",O403)),ISNUMBER(SEARCH(";",O403))),"One UC-ID per event row — split this event",IF(AND(E403="Decision",OR(Q403="UC-ID REQUIRED",Q403="Decision scope missing",Q403="REMOVE UC-ID OR CORRECT SCOPE")),"Decision scope missing",IF(AND(G403="Progress with condition",COUNTIF(Conditions!$B$4:$B$553,A403)=0),"Progress with condition needs at least one Conditions row",IF(AND(C403&lt;&gt;"",COUNTIFS('Gate plan'!$A$4:$A$353,C403,'Gate plan'!$C$4:$C$353,D403)=0),"Plan gate differs from event gate",IF(AND(C403&lt;&gt;"",O403&lt;&gt;"",COUNTIFS('Gate plan'!$A$4:$A$353,C403,'Gate plan'!$K$4:$K$353,"&lt;&gt;")&gt;0,COUNTIFS('Gate plan'!$A$4:$A$353,C403,'Gate plan'!$K$4:$K$353,O403)=0),"Plan UC-ID differs from event UC-ID",IF(AND(E403="Assurance opinion",J403=""),"Assurance opinion ref missing",IF(AND(G403="Opinion only",E403&lt;&gt;"Assurance opinion",E403&lt;&gt;"Review only"),"Opinion only is for Assurance opinion or Review only events",IF(AND(G403="No decision",E403&lt;&gt;"Review only",E403&lt;&gt;"Priority override",E403&lt;&gt;"Intake / registration"),"No decision is for Review only, Priority override or Intake / registration events",IF(OR(ISNUMBER(SEARCH(" ",TRIM(O403))),ISNUMBER(SEARCH("/",O403))),"One UC-ID per event row: split this event",IF(AND(E403="Precautionary pause (containment)",ISNUMBER(W403),ISNUMBER(F403),W403&lt;F403),"Follow-up decision due date is before the pause",IF(AND(G403="Resume",IFERROR(LOOKUP(2,1/(($B$3:B402=B403)*($O$3:O402=O403)),$G$3:G402),"")&lt;&gt;"Paused — pending decision"),"Resume is only for the event straight after a Precautionary pause on the same AIR-ID and UC-ID (in an earlier row)",IF(AND(E403="Decision",OR(G403="Progress",G403="Progress with condition",G403="Re-authorise",G403="Resume"),X403&lt;&gt;"Yes"),"Decision-maker has not confirmed the screening was considered (column X)","Check against source")))))))))))))))))))))))))))))</f>
        <v/>
      </c>
      <c r="O403" s="37" t="n"/>
      <c r="P403" s="37" t="n"/>
      <c r="Q403" s="14">
        <f>IF(A403="","",IF(E403&lt;&gt;"Decision","",IF(P403="UC-ID specific",IF(O403="","UC-ID REQUIRED","Check source decision for each UC-ID"),IF(P403="Shared system baseline",IF(O403&lt;&gt;"","REMOVE UC-ID OR CORRECT SCOPE","Baseline only — NOT UC approval"),"Decision scope missing"))))</f>
        <v/>
      </c>
      <c r="R403" s="43" t="n"/>
      <c r="S403" s="40" t="n"/>
      <c r="T403" s="40" t="n"/>
      <c r="U403" s="40" t="n"/>
      <c r="V403" s="40" t="n"/>
      <c r="W403" s="41" t="n"/>
      <c r="X403" s="38" t="n"/>
    </row>
    <row r="404">
      <c r="A404" s="38" t="n"/>
      <c r="B404" s="38" t="n"/>
      <c r="C404" s="38" t="n"/>
      <c r="D404" s="38" t="n"/>
      <c r="E404" s="38" t="n"/>
      <c r="F404" s="39" t="n"/>
      <c r="G404" s="38" t="n"/>
      <c r="H404" s="38" t="n"/>
      <c r="I404" s="38" t="n"/>
      <c r="J404" s="38" t="n"/>
      <c r="K404" s="38" t="n"/>
      <c r="L404" s="38" t="n"/>
      <c r="M404" s="38" t="n"/>
      <c r="N404" s="22">
        <f>IF(COUNTA(A404:M404,O404:P404,R404:X404)=0,"",IF(OR(A404="",B404="",F404=""),"Event ID, AIR-ID or date missing",IF(COUNTIF($A$4:$A$553,A404)&gt;1,"Duplicate Event ID",IF(E404="","Event type missing",IF(OR(NOT(ISNUMBER(F404)),F404&gt;TODAY()),"Date is not a real date or is in the future",IF(AND(C404&lt;&gt;"",COUNTIF('Gate plan'!$A$4:$A$353,C404)=0),"Plan ID not found in Gate plan",IF(AND(C404&lt;&gt;"",COUNTIFS('Gate plan'!$A$4:$A$353,C404,'Gate plan'!$B$4:$B$353,B404)=0),"Plan AIR-ID differs from event",IF(D404="","Gate / forum missing",IF(AND(E404="Precautionary pause (containment)",G404&lt;&gt;"Paused — pending decision"),"Precautionary pause: Outcome must be Paused, pending decision",IF(AND(E404="Precautionary pause (containment)",V404=""),"Precautionary pause: AIG-OPS-03 incident ref missing",IF(AND(E404="Precautionary pause (containment)",NOT(ISNUMBER(W404))),"Precautionary pause: follow-up decision due date missing",IF(AND(G404="Paused — pending decision",E404&lt;&gt;"Precautionary pause (containment)"),"Paused, pending decision is only for a Precautionary pause event",IF(AND(E404="Decision",OR(G404="",H404="",I404="")),"Outcome / delegation / decision ref missing",IF(AND(E404="Decision",NOT(OR(G404="Progress",G404="Progress with condition",G404="Return for evidence",G404="Pause",G404="Stop",G404="Suspend",G404="Decommission",G404="Re-authorise",G404="Resume"))),"Decision event needs a decision outcome",IF(AND(E404="Priority override",OR(H404="",I404="")),"Decision-maker / AIG-DEC-03 ref missing",IF(AND(E404="Priority override",G404&lt;&gt;"",G404&lt;&gt;"No decision"),"Priority override: Outcome blank or No decision",IF(AND(E404&lt;&gt;"Decision",OR(G404="Progress",G404="Progress with condition",G404="Return for evidence",G404="Pause",G404="Stop",G404="Suspend",G404="Decommission",G404="Re-authorise",G404="Resume")),"Outcome implies decision",IF(OR(ISNUMBER(SEARCH(",",O404)),ISNUMBER(SEARCH(";",O404))),"One UC-ID per event row — split this event",IF(AND(E404="Decision",OR(Q404="UC-ID REQUIRED",Q404="Decision scope missing",Q404="REMOVE UC-ID OR CORRECT SCOPE")),"Decision scope missing",IF(AND(G404="Progress with condition",COUNTIF(Conditions!$B$4:$B$553,A404)=0),"Progress with condition needs at least one Conditions row",IF(AND(C404&lt;&gt;"",COUNTIFS('Gate plan'!$A$4:$A$353,C404,'Gate plan'!$C$4:$C$353,D404)=0),"Plan gate differs from event gate",IF(AND(C404&lt;&gt;"",O404&lt;&gt;"",COUNTIFS('Gate plan'!$A$4:$A$353,C404,'Gate plan'!$K$4:$K$353,"&lt;&gt;")&gt;0,COUNTIFS('Gate plan'!$A$4:$A$353,C404,'Gate plan'!$K$4:$K$353,O404)=0),"Plan UC-ID differs from event UC-ID",IF(AND(E404="Assurance opinion",J404=""),"Assurance opinion ref missing",IF(AND(G404="Opinion only",E404&lt;&gt;"Assurance opinion",E404&lt;&gt;"Review only"),"Opinion only is for Assurance opinion or Review only events",IF(AND(G404="No decision",E404&lt;&gt;"Review only",E404&lt;&gt;"Priority override",E404&lt;&gt;"Intake / registration"),"No decision is for Review only, Priority override or Intake / registration events",IF(OR(ISNUMBER(SEARCH(" ",TRIM(O404))),ISNUMBER(SEARCH("/",O404))),"One UC-ID per event row: split this event",IF(AND(E404="Precautionary pause (containment)",ISNUMBER(W404),ISNUMBER(F404),W404&lt;F404),"Follow-up decision due date is before the pause",IF(AND(G404="Resume",IFERROR(LOOKUP(2,1/(($B$3:B403=B404)*($O$3:O403=O404)),$G$3:G403),"")&lt;&gt;"Paused — pending decision"),"Resume is only for the event straight after a Precautionary pause on the same AIR-ID and UC-ID (in an earlier row)",IF(AND(E404="Decision",OR(G404="Progress",G404="Progress with condition",G404="Re-authorise",G404="Resume"),X404&lt;&gt;"Yes"),"Decision-maker has not confirmed the screening was considered (column X)","Check against source")))))))))))))))))))))))))))))</f>
        <v/>
      </c>
      <c r="O404" s="37" t="n"/>
      <c r="P404" s="37" t="n"/>
      <c r="Q404" s="14">
        <f>IF(A404="","",IF(E404&lt;&gt;"Decision","",IF(P404="UC-ID specific",IF(O404="","UC-ID REQUIRED","Check source decision for each UC-ID"),IF(P404="Shared system baseline",IF(O404&lt;&gt;"","REMOVE UC-ID OR CORRECT SCOPE","Baseline only — NOT UC approval"),"Decision scope missing"))))</f>
        <v/>
      </c>
      <c r="R404" s="42" t="n"/>
      <c r="S404" s="38" t="n"/>
      <c r="T404" s="38" t="n"/>
      <c r="U404" s="38" t="n"/>
      <c r="V404" s="38" t="n"/>
      <c r="W404" s="39" t="n"/>
      <c r="X404" s="38" t="n"/>
    </row>
    <row r="405">
      <c r="A405" s="40" t="n"/>
      <c r="B405" s="40" t="n"/>
      <c r="C405" s="40" t="n"/>
      <c r="D405" s="40" t="n"/>
      <c r="E405" s="40" t="n"/>
      <c r="F405" s="41" t="n"/>
      <c r="G405" s="40" t="n"/>
      <c r="H405" s="40" t="n"/>
      <c r="I405" s="40" t="n"/>
      <c r="J405" s="40" t="n"/>
      <c r="K405" s="40" t="n"/>
      <c r="L405" s="40" t="n"/>
      <c r="M405" s="40" t="n"/>
      <c r="N405" s="24">
        <f>IF(COUNTA(A405:M405,O405:P405,R405:X405)=0,"",IF(OR(A405="",B405="",F405=""),"Event ID, AIR-ID or date missing",IF(COUNTIF($A$4:$A$553,A405)&gt;1,"Duplicate Event ID",IF(E405="","Event type missing",IF(OR(NOT(ISNUMBER(F405)),F405&gt;TODAY()),"Date is not a real date or is in the future",IF(AND(C405&lt;&gt;"",COUNTIF('Gate plan'!$A$4:$A$353,C405)=0),"Plan ID not found in Gate plan",IF(AND(C405&lt;&gt;"",COUNTIFS('Gate plan'!$A$4:$A$353,C405,'Gate plan'!$B$4:$B$353,B405)=0),"Plan AIR-ID differs from event",IF(D405="","Gate / forum missing",IF(AND(E405="Precautionary pause (containment)",G405&lt;&gt;"Paused — pending decision"),"Precautionary pause: Outcome must be Paused, pending decision",IF(AND(E405="Precautionary pause (containment)",V405=""),"Precautionary pause: AIG-OPS-03 incident ref missing",IF(AND(E405="Precautionary pause (containment)",NOT(ISNUMBER(W405))),"Precautionary pause: follow-up decision due date missing",IF(AND(G405="Paused — pending decision",E405&lt;&gt;"Precautionary pause (containment)"),"Paused, pending decision is only for a Precautionary pause event",IF(AND(E405="Decision",OR(G405="",H405="",I405="")),"Outcome / delegation / decision ref missing",IF(AND(E405="Decision",NOT(OR(G405="Progress",G405="Progress with condition",G405="Return for evidence",G405="Pause",G405="Stop",G405="Suspend",G405="Decommission",G405="Re-authorise",G405="Resume"))),"Decision event needs a decision outcome",IF(AND(E405="Priority override",OR(H405="",I405="")),"Decision-maker / AIG-DEC-03 ref missing",IF(AND(E405="Priority override",G405&lt;&gt;"",G405&lt;&gt;"No decision"),"Priority override: Outcome blank or No decision",IF(AND(E405&lt;&gt;"Decision",OR(G405="Progress",G405="Progress with condition",G405="Return for evidence",G405="Pause",G405="Stop",G405="Suspend",G405="Decommission",G405="Re-authorise",G405="Resume")),"Outcome implies decision",IF(OR(ISNUMBER(SEARCH(",",O405)),ISNUMBER(SEARCH(";",O405))),"One UC-ID per event row — split this event",IF(AND(E405="Decision",OR(Q405="UC-ID REQUIRED",Q405="Decision scope missing",Q405="REMOVE UC-ID OR CORRECT SCOPE")),"Decision scope missing",IF(AND(G405="Progress with condition",COUNTIF(Conditions!$B$4:$B$553,A405)=0),"Progress with condition needs at least one Conditions row",IF(AND(C405&lt;&gt;"",COUNTIFS('Gate plan'!$A$4:$A$353,C405,'Gate plan'!$C$4:$C$353,D405)=0),"Plan gate differs from event gate",IF(AND(C405&lt;&gt;"",O405&lt;&gt;"",COUNTIFS('Gate plan'!$A$4:$A$353,C405,'Gate plan'!$K$4:$K$353,"&lt;&gt;")&gt;0,COUNTIFS('Gate plan'!$A$4:$A$353,C405,'Gate plan'!$K$4:$K$353,O405)=0),"Plan UC-ID differs from event UC-ID",IF(AND(E405="Assurance opinion",J405=""),"Assurance opinion ref missing",IF(AND(G405="Opinion only",E405&lt;&gt;"Assurance opinion",E405&lt;&gt;"Review only"),"Opinion only is for Assurance opinion or Review only events",IF(AND(G405="No decision",E405&lt;&gt;"Review only",E405&lt;&gt;"Priority override",E405&lt;&gt;"Intake / registration"),"No decision is for Review only, Priority override or Intake / registration events",IF(OR(ISNUMBER(SEARCH(" ",TRIM(O405))),ISNUMBER(SEARCH("/",O405))),"One UC-ID per event row: split this event",IF(AND(E405="Precautionary pause (containment)",ISNUMBER(W405),ISNUMBER(F405),W405&lt;F405),"Follow-up decision due date is before the pause",IF(AND(G405="Resume",IFERROR(LOOKUP(2,1/(($B$3:B404=B405)*($O$3:O404=O405)),$G$3:G404),"")&lt;&gt;"Paused — pending decision"),"Resume is only for the event straight after a Precautionary pause on the same AIR-ID and UC-ID (in an earlier row)",IF(AND(E405="Decision",OR(G405="Progress",G405="Progress with condition",G405="Re-authorise",G405="Resume"),X405&lt;&gt;"Yes"),"Decision-maker has not confirmed the screening was considered (column X)","Check against source")))))))))))))))))))))))))))))</f>
        <v/>
      </c>
      <c r="O405" s="37" t="n"/>
      <c r="P405" s="37" t="n"/>
      <c r="Q405" s="14">
        <f>IF(A405="","",IF(E405&lt;&gt;"Decision","",IF(P405="UC-ID specific",IF(O405="","UC-ID REQUIRED","Check source decision for each UC-ID"),IF(P405="Shared system baseline",IF(O405&lt;&gt;"","REMOVE UC-ID OR CORRECT SCOPE","Baseline only — NOT UC approval"),"Decision scope missing"))))</f>
        <v/>
      </c>
      <c r="R405" s="43" t="n"/>
      <c r="S405" s="40" t="n"/>
      <c r="T405" s="40" t="n"/>
      <c r="U405" s="40" t="n"/>
      <c r="V405" s="40" t="n"/>
      <c r="W405" s="41" t="n"/>
      <c r="X405" s="38" t="n"/>
    </row>
    <row r="406">
      <c r="A406" s="38" t="n"/>
      <c r="B406" s="38" t="n"/>
      <c r="C406" s="38" t="n"/>
      <c r="D406" s="38" t="n"/>
      <c r="E406" s="38" t="n"/>
      <c r="F406" s="39" t="n"/>
      <c r="G406" s="38" t="n"/>
      <c r="H406" s="38" t="n"/>
      <c r="I406" s="38" t="n"/>
      <c r="J406" s="38" t="n"/>
      <c r="K406" s="38" t="n"/>
      <c r="L406" s="38" t="n"/>
      <c r="M406" s="38" t="n"/>
      <c r="N406" s="22">
        <f>IF(COUNTA(A406:M406,O406:P406,R406:X406)=0,"",IF(OR(A406="",B406="",F406=""),"Event ID, AIR-ID or date missing",IF(COUNTIF($A$4:$A$553,A406)&gt;1,"Duplicate Event ID",IF(E406="","Event type missing",IF(OR(NOT(ISNUMBER(F406)),F406&gt;TODAY()),"Date is not a real date or is in the future",IF(AND(C406&lt;&gt;"",COUNTIF('Gate plan'!$A$4:$A$353,C406)=0),"Plan ID not found in Gate plan",IF(AND(C406&lt;&gt;"",COUNTIFS('Gate plan'!$A$4:$A$353,C406,'Gate plan'!$B$4:$B$353,B406)=0),"Plan AIR-ID differs from event",IF(D406="","Gate / forum missing",IF(AND(E406="Precautionary pause (containment)",G406&lt;&gt;"Paused — pending decision"),"Precautionary pause: Outcome must be Paused, pending decision",IF(AND(E406="Precautionary pause (containment)",V406=""),"Precautionary pause: AIG-OPS-03 incident ref missing",IF(AND(E406="Precautionary pause (containment)",NOT(ISNUMBER(W406))),"Precautionary pause: follow-up decision due date missing",IF(AND(G406="Paused — pending decision",E406&lt;&gt;"Precautionary pause (containment)"),"Paused, pending decision is only for a Precautionary pause event",IF(AND(E406="Decision",OR(G406="",H406="",I406="")),"Outcome / delegation / decision ref missing",IF(AND(E406="Decision",NOT(OR(G406="Progress",G406="Progress with condition",G406="Return for evidence",G406="Pause",G406="Stop",G406="Suspend",G406="Decommission",G406="Re-authorise",G406="Resume"))),"Decision event needs a decision outcome",IF(AND(E406="Priority override",OR(H406="",I406="")),"Decision-maker / AIG-DEC-03 ref missing",IF(AND(E406="Priority override",G406&lt;&gt;"",G406&lt;&gt;"No decision"),"Priority override: Outcome blank or No decision",IF(AND(E406&lt;&gt;"Decision",OR(G406="Progress",G406="Progress with condition",G406="Return for evidence",G406="Pause",G406="Stop",G406="Suspend",G406="Decommission",G406="Re-authorise",G406="Resume")),"Outcome implies decision",IF(OR(ISNUMBER(SEARCH(",",O406)),ISNUMBER(SEARCH(";",O406))),"One UC-ID per event row — split this event",IF(AND(E406="Decision",OR(Q406="UC-ID REQUIRED",Q406="Decision scope missing",Q406="REMOVE UC-ID OR CORRECT SCOPE")),"Decision scope missing",IF(AND(G406="Progress with condition",COUNTIF(Conditions!$B$4:$B$553,A406)=0),"Progress with condition needs at least one Conditions row",IF(AND(C406&lt;&gt;"",COUNTIFS('Gate plan'!$A$4:$A$353,C406,'Gate plan'!$C$4:$C$353,D406)=0),"Plan gate differs from event gate",IF(AND(C406&lt;&gt;"",O406&lt;&gt;"",COUNTIFS('Gate plan'!$A$4:$A$353,C406,'Gate plan'!$K$4:$K$353,"&lt;&gt;")&gt;0,COUNTIFS('Gate plan'!$A$4:$A$353,C406,'Gate plan'!$K$4:$K$353,O406)=0),"Plan UC-ID differs from event UC-ID",IF(AND(E406="Assurance opinion",J406=""),"Assurance opinion ref missing",IF(AND(G406="Opinion only",E406&lt;&gt;"Assurance opinion",E406&lt;&gt;"Review only"),"Opinion only is for Assurance opinion or Review only events",IF(AND(G406="No decision",E406&lt;&gt;"Review only",E406&lt;&gt;"Priority override",E406&lt;&gt;"Intake / registration"),"No decision is for Review only, Priority override or Intake / registration events",IF(OR(ISNUMBER(SEARCH(" ",TRIM(O406))),ISNUMBER(SEARCH("/",O406))),"One UC-ID per event row: split this event",IF(AND(E406="Precautionary pause (containment)",ISNUMBER(W406),ISNUMBER(F406),W406&lt;F406),"Follow-up decision due date is before the pause",IF(AND(G406="Resume",IFERROR(LOOKUP(2,1/(($B$3:B405=B406)*($O$3:O405=O406)),$G$3:G405),"")&lt;&gt;"Paused — pending decision"),"Resume is only for the event straight after a Precautionary pause on the same AIR-ID and UC-ID (in an earlier row)",IF(AND(E406="Decision",OR(G406="Progress",G406="Progress with condition",G406="Re-authorise",G406="Resume"),X406&lt;&gt;"Yes"),"Decision-maker has not confirmed the screening was considered (column X)","Check against source")))))))))))))))))))))))))))))</f>
        <v/>
      </c>
      <c r="O406" s="37" t="n"/>
      <c r="P406" s="37" t="n"/>
      <c r="Q406" s="14">
        <f>IF(A406="","",IF(E406&lt;&gt;"Decision","",IF(P406="UC-ID specific",IF(O406="","UC-ID REQUIRED","Check source decision for each UC-ID"),IF(P406="Shared system baseline",IF(O406&lt;&gt;"","REMOVE UC-ID OR CORRECT SCOPE","Baseline only — NOT UC approval"),"Decision scope missing"))))</f>
        <v/>
      </c>
      <c r="R406" s="42" t="n"/>
      <c r="S406" s="38" t="n"/>
      <c r="T406" s="38" t="n"/>
      <c r="U406" s="38" t="n"/>
      <c r="V406" s="38" t="n"/>
      <c r="W406" s="39" t="n"/>
      <c r="X406" s="38" t="n"/>
    </row>
    <row r="407">
      <c r="A407" s="40" t="n"/>
      <c r="B407" s="40" t="n"/>
      <c r="C407" s="40" t="n"/>
      <c r="D407" s="40" t="n"/>
      <c r="E407" s="40" t="n"/>
      <c r="F407" s="41" t="n"/>
      <c r="G407" s="40" t="n"/>
      <c r="H407" s="40" t="n"/>
      <c r="I407" s="40" t="n"/>
      <c r="J407" s="40" t="n"/>
      <c r="K407" s="40" t="n"/>
      <c r="L407" s="40" t="n"/>
      <c r="M407" s="40" t="n"/>
      <c r="N407" s="24">
        <f>IF(COUNTA(A407:M407,O407:P407,R407:X407)=0,"",IF(OR(A407="",B407="",F407=""),"Event ID, AIR-ID or date missing",IF(COUNTIF($A$4:$A$553,A407)&gt;1,"Duplicate Event ID",IF(E407="","Event type missing",IF(OR(NOT(ISNUMBER(F407)),F407&gt;TODAY()),"Date is not a real date or is in the future",IF(AND(C407&lt;&gt;"",COUNTIF('Gate plan'!$A$4:$A$353,C407)=0),"Plan ID not found in Gate plan",IF(AND(C407&lt;&gt;"",COUNTIFS('Gate plan'!$A$4:$A$353,C407,'Gate plan'!$B$4:$B$353,B407)=0),"Plan AIR-ID differs from event",IF(D407="","Gate / forum missing",IF(AND(E407="Precautionary pause (containment)",G407&lt;&gt;"Paused — pending decision"),"Precautionary pause: Outcome must be Paused, pending decision",IF(AND(E407="Precautionary pause (containment)",V407=""),"Precautionary pause: AIG-OPS-03 incident ref missing",IF(AND(E407="Precautionary pause (containment)",NOT(ISNUMBER(W407))),"Precautionary pause: follow-up decision due date missing",IF(AND(G407="Paused — pending decision",E407&lt;&gt;"Precautionary pause (containment)"),"Paused, pending decision is only for a Precautionary pause event",IF(AND(E407="Decision",OR(G407="",H407="",I407="")),"Outcome / delegation / decision ref missing",IF(AND(E407="Decision",NOT(OR(G407="Progress",G407="Progress with condition",G407="Return for evidence",G407="Pause",G407="Stop",G407="Suspend",G407="Decommission",G407="Re-authorise",G407="Resume"))),"Decision event needs a decision outcome",IF(AND(E407="Priority override",OR(H407="",I407="")),"Decision-maker / AIG-DEC-03 ref missing",IF(AND(E407="Priority override",G407&lt;&gt;"",G407&lt;&gt;"No decision"),"Priority override: Outcome blank or No decision",IF(AND(E407&lt;&gt;"Decision",OR(G407="Progress",G407="Progress with condition",G407="Return for evidence",G407="Pause",G407="Stop",G407="Suspend",G407="Decommission",G407="Re-authorise",G407="Resume")),"Outcome implies decision",IF(OR(ISNUMBER(SEARCH(",",O407)),ISNUMBER(SEARCH(";",O407))),"One UC-ID per event row — split this event",IF(AND(E407="Decision",OR(Q407="UC-ID REQUIRED",Q407="Decision scope missing",Q407="REMOVE UC-ID OR CORRECT SCOPE")),"Decision scope missing",IF(AND(G407="Progress with condition",COUNTIF(Conditions!$B$4:$B$553,A407)=0),"Progress with condition needs at least one Conditions row",IF(AND(C407&lt;&gt;"",COUNTIFS('Gate plan'!$A$4:$A$353,C407,'Gate plan'!$C$4:$C$353,D407)=0),"Plan gate differs from event gate",IF(AND(C407&lt;&gt;"",O407&lt;&gt;"",COUNTIFS('Gate plan'!$A$4:$A$353,C407,'Gate plan'!$K$4:$K$353,"&lt;&gt;")&gt;0,COUNTIFS('Gate plan'!$A$4:$A$353,C407,'Gate plan'!$K$4:$K$353,O407)=0),"Plan UC-ID differs from event UC-ID",IF(AND(E407="Assurance opinion",J407=""),"Assurance opinion ref missing",IF(AND(G407="Opinion only",E407&lt;&gt;"Assurance opinion",E407&lt;&gt;"Review only"),"Opinion only is for Assurance opinion or Review only events",IF(AND(G407="No decision",E407&lt;&gt;"Review only",E407&lt;&gt;"Priority override",E407&lt;&gt;"Intake / registration"),"No decision is for Review only, Priority override or Intake / registration events",IF(OR(ISNUMBER(SEARCH(" ",TRIM(O407))),ISNUMBER(SEARCH("/",O407))),"One UC-ID per event row: split this event",IF(AND(E407="Precautionary pause (containment)",ISNUMBER(W407),ISNUMBER(F407),W407&lt;F407),"Follow-up decision due date is before the pause",IF(AND(G407="Resume",IFERROR(LOOKUP(2,1/(($B$3:B406=B407)*($O$3:O406=O407)),$G$3:G406),"")&lt;&gt;"Paused — pending decision"),"Resume is only for the event straight after a Precautionary pause on the same AIR-ID and UC-ID (in an earlier row)",IF(AND(E407="Decision",OR(G407="Progress",G407="Progress with condition",G407="Re-authorise",G407="Resume"),X407&lt;&gt;"Yes"),"Decision-maker has not confirmed the screening was considered (column X)","Check against source")))))))))))))))))))))))))))))</f>
        <v/>
      </c>
      <c r="O407" s="37" t="n"/>
      <c r="P407" s="37" t="n"/>
      <c r="Q407" s="14">
        <f>IF(A407="","",IF(E407&lt;&gt;"Decision","",IF(P407="UC-ID specific",IF(O407="","UC-ID REQUIRED","Check source decision for each UC-ID"),IF(P407="Shared system baseline",IF(O407&lt;&gt;"","REMOVE UC-ID OR CORRECT SCOPE","Baseline only — NOT UC approval"),"Decision scope missing"))))</f>
        <v/>
      </c>
      <c r="R407" s="43" t="n"/>
      <c r="S407" s="40" t="n"/>
      <c r="T407" s="40" t="n"/>
      <c r="U407" s="40" t="n"/>
      <c r="V407" s="40" t="n"/>
      <c r="W407" s="41" t="n"/>
      <c r="X407" s="38" t="n"/>
    </row>
    <row r="408">
      <c r="A408" s="38" t="n"/>
      <c r="B408" s="38" t="n"/>
      <c r="C408" s="38" t="n"/>
      <c r="D408" s="38" t="n"/>
      <c r="E408" s="38" t="n"/>
      <c r="F408" s="39" t="n"/>
      <c r="G408" s="38" t="n"/>
      <c r="H408" s="38" t="n"/>
      <c r="I408" s="38" t="n"/>
      <c r="J408" s="38" t="n"/>
      <c r="K408" s="38" t="n"/>
      <c r="L408" s="38" t="n"/>
      <c r="M408" s="38" t="n"/>
      <c r="N408" s="22">
        <f>IF(COUNTA(A408:M408,O408:P408,R408:X408)=0,"",IF(OR(A408="",B408="",F408=""),"Event ID, AIR-ID or date missing",IF(COUNTIF($A$4:$A$553,A408)&gt;1,"Duplicate Event ID",IF(E408="","Event type missing",IF(OR(NOT(ISNUMBER(F408)),F408&gt;TODAY()),"Date is not a real date or is in the future",IF(AND(C408&lt;&gt;"",COUNTIF('Gate plan'!$A$4:$A$353,C408)=0),"Plan ID not found in Gate plan",IF(AND(C408&lt;&gt;"",COUNTIFS('Gate plan'!$A$4:$A$353,C408,'Gate plan'!$B$4:$B$353,B408)=0),"Plan AIR-ID differs from event",IF(D408="","Gate / forum missing",IF(AND(E408="Precautionary pause (containment)",G408&lt;&gt;"Paused — pending decision"),"Precautionary pause: Outcome must be Paused, pending decision",IF(AND(E408="Precautionary pause (containment)",V408=""),"Precautionary pause: AIG-OPS-03 incident ref missing",IF(AND(E408="Precautionary pause (containment)",NOT(ISNUMBER(W408))),"Precautionary pause: follow-up decision due date missing",IF(AND(G408="Paused — pending decision",E408&lt;&gt;"Precautionary pause (containment)"),"Paused, pending decision is only for a Precautionary pause event",IF(AND(E408="Decision",OR(G408="",H408="",I408="")),"Outcome / delegation / decision ref missing",IF(AND(E408="Decision",NOT(OR(G408="Progress",G408="Progress with condition",G408="Return for evidence",G408="Pause",G408="Stop",G408="Suspend",G408="Decommission",G408="Re-authorise",G408="Resume"))),"Decision event needs a decision outcome",IF(AND(E408="Priority override",OR(H408="",I408="")),"Decision-maker / AIG-DEC-03 ref missing",IF(AND(E408="Priority override",G408&lt;&gt;"",G408&lt;&gt;"No decision"),"Priority override: Outcome blank or No decision",IF(AND(E408&lt;&gt;"Decision",OR(G408="Progress",G408="Progress with condition",G408="Return for evidence",G408="Pause",G408="Stop",G408="Suspend",G408="Decommission",G408="Re-authorise",G408="Resume")),"Outcome implies decision",IF(OR(ISNUMBER(SEARCH(",",O408)),ISNUMBER(SEARCH(";",O408))),"One UC-ID per event row — split this event",IF(AND(E408="Decision",OR(Q408="UC-ID REQUIRED",Q408="Decision scope missing",Q408="REMOVE UC-ID OR CORRECT SCOPE")),"Decision scope missing",IF(AND(G408="Progress with condition",COUNTIF(Conditions!$B$4:$B$553,A408)=0),"Progress with condition needs at least one Conditions row",IF(AND(C408&lt;&gt;"",COUNTIFS('Gate plan'!$A$4:$A$353,C408,'Gate plan'!$C$4:$C$353,D408)=0),"Plan gate differs from event gate",IF(AND(C408&lt;&gt;"",O408&lt;&gt;"",COUNTIFS('Gate plan'!$A$4:$A$353,C408,'Gate plan'!$K$4:$K$353,"&lt;&gt;")&gt;0,COUNTIFS('Gate plan'!$A$4:$A$353,C408,'Gate plan'!$K$4:$K$353,O408)=0),"Plan UC-ID differs from event UC-ID",IF(AND(E408="Assurance opinion",J408=""),"Assurance opinion ref missing",IF(AND(G408="Opinion only",E408&lt;&gt;"Assurance opinion",E408&lt;&gt;"Review only"),"Opinion only is for Assurance opinion or Review only events",IF(AND(G408="No decision",E408&lt;&gt;"Review only",E408&lt;&gt;"Priority override",E408&lt;&gt;"Intake / registration"),"No decision is for Review only, Priority override or Intake / registration events",IF(OR(ISNUMBER(SEARCH(" ",TRIM(O408))),ISNUMBER(SEARCH("/",O408))),"One UC-ID per event row: split this event",IF(AND(E408="Precautionary pause (containment)",ISNUMBER(W408),ISNUMBER(F408),W408&lt;F408),"Follow-up decision due date is before the pause",IF(AND(G408="Resume",IFERROR(LOOKUP(2,1/(($B$3:B407=B408)*($O$3:O407=O408)),$G$3:G407),"")&lt;&gt;"Paused — pending decision"),"Resume is only for the event straight after a Precautionary pause on the same AIR-ID and UC-ID (in an earlier row)",IF(AND(E408="Decision",OR(G408="Progress",G408="Progress with condition",G408="Re-authorise",G408="Resume"),X408&lt;&gt;"Yes"),"Decision-maker has not confirmed the screening was considered (column X)","Check against source")))))))))))))))))))))))))))))</f>
        <v/>
      </c>
      <c r="O408" s="37" t="n"/>
      <c r="P408" s="37" t="n"/>
      <c r="Q408" s="14">
        <f>IF(A408="","",IF(E408&lt;&gt;"Decision","",IF(P408="UC-ID specific",IF(O408="","UC-ID REQUIRED","Check source decision for each UC-ID"),IF(P408="Shared system baseline",IF(O408&lt;&gt;"","REMOVE UC-ID OR CORRECT SCOPE","Baseline only — NOT UC approval"),"Decision scope missing"))))</f>
        <v/>
      </c>
      <c r="R408" s="42" t="n"/>
      <c r="S408" s="38" t="n"/>
      <c r="T408" s="38" t="n"/>
      <c r="U408" s="38" t="n"/>
      <c r="V408" s="38" t="n"/>
      <c r="W408" s="39" t="n"/>
      <c r="X408" s="38" t="n"/>
    </row>
    <row r="409">
      <c r="A409" s="40" t="n"/>
      <c r="B409" s="40" t="n"/>
      <c r="C409" s="40" t="n"/>
      <c r="D409" s="40" t="n"/>
      <c r="E409" s="40" t="n"/>
      <c r="F409" s="41" t="n"/>
      <c r="G409" s="40" t="n"/>
      <c r="H409" s="40" t="n"/>
      <c r="I409" s="40" t="n"/>
      <c r="J409" s="40" t="n"/>
      <c r="K409" s="40" t="n"/>
      <c r="L409" s="40" t="n"/>
      <c r="M409" s="40" t="n"/>
      <c r="N409" s="24">
        <f>IF(COUNTA(A409:M409,O409:P409,R409:X409)=0,"",IF(OR(A409="",B409="",F409=""),"Event ID, AIR-ID or date missing",IF(COUNTIF($A$4:$A$553,A409)&gt;1,"Duplicate Event ID",IF(E409="","Event type missing",IF(OR(NOT(ISNUMBER(F409)),F409&gt;TODAY()),"Date is not a real date or is in the future",IF(AND(C409&lt;&gt;"",COUNTIF('Gate plan'!$A$4:$A$353,C409)=0),"Plan ID not found in Gate plan",IF(AND(C409&lt;&gt;"",COUNTIFS('Gate plan'!$A$4:$A$353,C409,'Gate plan'!$B$4:$B$353,B409)=0),"Plan AIR-ID differs from event",IF(D409="","Gate / forum missing",IF(AND(E409="Precautionary pause (containment)",G409&lt;&gt;"Paused — pending decision"),"Precautionary pause: Outcome must be Paused, pending decision",IF(AND(E409="Precautionary pause (containment)",V409=""),"Precautionary pause: AIG-OPS-03 incident ref missing",IF(AND(E409="Precautionary pause (containment)",NOT(ISNUMBER(W409))),"Precautionary pause: follow-up decision due date missing",IF(AND(G409="Paused — pending decision",E409&lt;&gt;"Precautionary pause (containment)"),"Paused, pending decision is only for a Precautionary pause event",IF(AND(E409="Decision",OR(G409="",H409="",I409="")),"Outcome / delegation / decision ref missing",IF(AND(E409="Decision",NOT(OR(G409="Progress",G409="Progress with condition",G409="Return for evidence",G409="Pause",G409="Stop",G409="Suspend",G409="Decommission",G409="Re-authorise",G409="Resume"))),"Decision event needs a decision outcome",IF(AND(E409="Priority override",OR(H409="",I409="")),"Decision-maker / AIG-DEC-03 ref missing",IF(AND(E409="Priority override",G409&lt;&gt;"",G409&lt;&gt;"No decision"),"Priority override: Outcome blank or No decision",IF(AND(E409&lt;&gt;"Decision",OR(G409="Progress",G409="Progress with condition",G409="Return for evidence",G409="Pause",G409="Stop",G409="Suspend",G409="Decommission",G409="Re-authorise",G409="Resume")),"Outcome implies decision",IF(OR(ISNUMBER(SEARCH(",",O409)),ISNUMBER(SEARCH(";",O409))),"One UC-ID per event row — split this event",IF(AND(E409="Decision",OR(Q409="UC-ID REQUIRED",Q409="Decision scope missing",Q409="REMOVE UC-ID OR CORRECT SCOPE")),"Decision scope missing",IF(AND(G409="Progress with condition",COUNTIF(Conditions!$B$4:$B$553,A409)=0),"Progress with condition needs at least one Conditions row",IF(AND(C409&lt;&gt;"",COUNTIFS('Gate plan'!$A$4:$A$353,C409,'Gate plan'!$C$4:$C$353,D409)=0),"Plan gate differs from event gate",IF(AND(C409&lt;&gt;"",O409&lt;&gt;"",COUNTIFS('Gate plan'!$A$4:$A$353,C409,'Gate plan'!$K$4:$K$353,"&lt;&gt;")&gt;0,COUNTIFS('Gate plan'!$A$4:$A$353,C409,'Gate plan'!$K$4:$K$353,O409)=0),"Plan UC-ID differs from event UC-ID",IF(AND(E409="Assurance opinion",J409=""),"Assurance opinion ref missing",IF(AND(G409="Opinion only",E409&lt;&gt;"Assurance opinion",E409&lt;&gt;"Review only"),"Opinion only is for Assurance opinion or Review only events",IF(AND(G409="No decision",E409&lt;&gt;"Review only",E409&lt;&gt;"Priority override",E409&lt;&gt;"Intake / registration"),"No decision is for Review only, Priority override or Intake / registration events",IF(OR(ISNUMBER(SEARCH(" ",TRIM(O409))),ISNUMBER(SEARCH("/",O409))),"One UC-ID per event row: split this event",IF(AND(E409="Precautionary pause (containment)",ISNUMBER(W409),ISNUMBER(F409),W409&lt;F409),"Follow-up decision due date is before the pause",IF(AND(G409="Resume",IFERROR(LOOKUP(2,1/(($B$3:B408=B409)*($O$3:O408=O409)),$G$3:G408),"")&lt;&gt;"Paused — pending decision"),"Resume is only for the event straight after a Precautionary pause on the same AIR-ID and UC-ID (in an earlier row)",IF(AND(E409="Decision",OR(G409="Progress",G409="Progress with condition",G409="Re-authorise",G409="Resume"),X409&lt;&gt;"Yes"),"Decision-maker has not confirmed the screening was considered (column X)","Check against source")))))))))))))))))))))))))))))</f>
        <v/>
      </c>
      <c r="O409" s="37" t="n"/>
      <c r="P409" s="37" t="n"/>
      <c r="Q409" s="14">
        <f>IF(A409="","",IF(E409&lt;&gt;"Decision","",IF(P409="UC-ID specific",IF(O409="","UC-ID REQUIRED","Check source decision for each UC-ID"),IF(P409="Shared system baseline",IF(O409&lt;&gt;"","REMOVE UC-ID OR CORRECT SCOPE","Baseline only — NOT UC approval"),"Decision scope missing"))))</f>
        <v/>
      </c>
      <c r="R409" s="43" t="n"/>
      <c r="S409" s="40" t="n"/>
      <c r="T409" s="40" t="n"/>
      <c r="U409" s="40" t="n"/>
      <c r="V409" s="40" t="n"/>
      <c r="W409" s="41" t="n"/>
      <c r="X409" s="38" t="n"/>
    </row>
    <row r="410">
      <c r="A410" s="38" t="n"/>
      <c r="B410" s="38" t="n"/>
      <c r="C410" s="38" t="n"/>
      <c r="D410" s="38" t="n"/>
      <c r="E410" s="38" t="n"/>
      <c r="F410" s="39" t="n"/>
      <c r="G410" s="38" t="n"/>
      <c r="H410" s="38" t="n"/>
      <c r="I410" s="38" t="n"/>
      <c r="J410" s="38" t="n"/>
      <c r="K410" s="38" t="n"/>
      <c r="L410" s="38" t="n"/>
      <c r="M410" s="38" t="n"/>
      <c r="N410" s="22">
        <f>IF(COUNTA(A410:M410,O410:P410,R410:X410)=0,"",IF(OR(A410="",B410="",F410=""),"Event ID, AIR-ID or date missing",IF(COUNTIF($A$4:$A$553,A410)&gt;1,"Duplicate Event ID",IF(E410="","Event type missing",IF(OR(NOT(ISNUMBER(F410)),F410&gt;TODAY()),"Date is not a real date or is in the future",IF(AND(C410&lt;&gt;"",COUNTIF('Gate plan'!$A$4:$A$353,C410)=0),"Plan ID not found in Gate plan",IF(AND(C410&lt;&gt;"",COUNTIFS('Gate plan'!$A$4:$A$353,C410,'Gate plan'!$B$4:$B$353,B410)=0),"Plan AIR-ID differs from event",IF(D410="","Gate / forum missing",IF(AND(E410="Precautionary pause (containment)",G410&lt;&gt;"Paused — pending decision"),"Precautionary pause: Outcome must be Paused, pending decision",IF(AND(E410="Precautionary pause (containment)",V410=""),"Precautionary pause: AIG-OPS-03 incident ref missing",IF(AND(E410="Precautionary pause (containment)",NOT(ISNUMBER(W410))),"Precautionary pause: follow-up decision due date missing",IF(AND(G410="Paused — pending decision",E410&lt;&gt;"Precautionary pause (containment)"),"Paused, pending decision is only for a Precautionary pause event",IF(AND(E410="Decision",OR(G410="",H410="",I410="")),"Outcome / delegation / decision ref missing",IF(AND(E410="Decision",NOT(OR(G410="Progress",G410="Progress with condition",G410="Return for evidence",G410="Pause",G410="Stop",G410="Suspend",G410="Decommission",G410="Re-authorise",G410="Resume"))),"Decision event needs a decision outcome",IF(AND(E410="Priority override",OR(H410="",I410="")),"Decision-maker / AIG-DEC-03 ref missing",IF(AND(E410="Priority override",G410&lt;&gt;"",G410&lt;&gt;"No decision"),"Priority override: Outcome blank or No decision",IF(AND(E410&lt;&gt;"Decision",OR(G410="Progress",G410="Progress with condition",G410="Return for evidence",G410="Pause",G410="Stop",G410="Suspend",G410="Decommission",G410="Re-authorise",G410="Resume")),"Outcome implies decision",IF(OR(ISNUMBER(SEARCH(",",O410)),ISNUMBER(SEARCH(";",O410))),"One UC-ID per event row — split this event",IF(AND(E410="Decision",OR(Q410="UC-ID REQUIRED",Q410="Decision scope missing",Q410="REMOVE UC-ID OR CORRECT SCOPE")),"Decision scope missing",IF(AND(G410="Progress with condition",COUNTIF(Conditions!$B$4:$B$553,A410)=0),"Progress with condition needs at least one Conditions row",IF(AND(C410&lt;&gt;"",COUNTIFS('Gate plan'!$A$4:$A$353,C410,'Gate plan'!$C$4:$C$353,D410)=0),"Plan gate differs from event gate",IF(AND(C410&lt;&gt;"",O410&lt;&gt;"",COUNTIFS('Gate plan'!$A$4:$A$353,C410,'Gate plan'!$K$4:$K$353,"&lt;&gt;")&gt;0,COUNTIFS('Gate plan'!$A$4:$A$353,C410,'Gate plan'!$K$4:$K$353,O410)=0),"Plan UC-ID differs from event UC-ID",IF(AND(E410="Assurance opinion",J410=""),"Assurance opinion ref missing",IF(AND(G410="Opinion only",E410&lt;&gt;"Assurance opinion",E410&lt;&gt;"Review only"),"Opinion only is for Assurance opinion or Review only events",IF(AND(G410="No decision",E410&lt;&gt;"Review only",E410&lt;&gt;"Priority override",E410&lt;&gt;"Intake / registration"),"No decision is for Review only, Priority override or Intake / registration events",IF(OR(ISNUMBER(SEARCH(" ",TRIM(O410))),ISNUMBER(SEARCH("/",O410))),"One UC-ID per event row: split this event",IF(AND(E410="Precautionary pause (containment)",ISNUMBER(W410),ISNUMBER(F410),W410&lt;F410),"Follow-up decision due date is before the pause",IF(AND(G410="Resume",IFERROR(LOOKUP(2,1/(($B$3:B409=B410)*($O$3:O409=O410)),$G$3:G409),"")&lt;&gt;"Paused — pending decision"),"Resume is only for the event straight after a Precautionary pause on the same AIR-ID and UC-ID (in an earlier row)",IF(AND(E410="Decision",OR(G410="Progress",G410="Progress with condition",G410="Re-authorise",G410="Resume"),X410&lt;&gt;"Yes"),"Decision-maker has not confirmed the screening was considered (column X)","Check against source")))))))))))))))))))))))))))))</f>
        <v/>
      </c>
      <c r="O410" s="37" t="n"/>
      <c r="P410" s="37" t="n"/>
      <c r="Q410" s="14">
        <f>IF(A410="","",IF(E410&lt;&gt;"Decision","",IF(P410="UC-ID specific",IF(O410="","UC-ID REQUIRED","Check source decision for each UC-ID"),IF(P410="Shared system baseline",IF(O410&lt;&gt;"","REMOVE UC-ID OR CORRECT SCOPE","Baseline only — NOT UC approval"),"Decision scope missing"))))</f>
        <v/>
      </c>
      <c r="R410" s="42" t="n"/>
      <c r="S410" s="38" t="n"/>
      <c r="T410" s="38" t="n"/>
      <c r="U410" s="38" t="n"/>
      <c r="V410" s="38" t="n"/>
      <c r="W410" s="39" t="n"/>
      <c r="X410" s="38" t="n"/>
    </row>
    <row r="411">
      <c r="A411" s="40" t="n"/>
      <c r="B411" s="40" t="n"/>
      <c r="C411" s="40" t="n"/>
      <c r="D411" s="40" t="n"/>
      <c r="E411" s="40" t="n"/>
      <c r="F411" s="41" t="n"/>
      <c r="G411" s="40" t="n"/>
      <c r="H411" s="40" t="n"/>
      <c r="I411" s="40" t="n"/>
      <c r="J411" s="40" t="n"/>
      <c r="K411" s="40" t="n"/>
      <c r="L411" s="40" t="n"/>
      <c r="M411" s="40" t="n"/>
      <c r="N411" s="24">
        <f>IF(COUNTA(A411:M411,O411:P411,R411:X411)=0,"",IF(OR(A411="",B411="",F411=""),"Event ID, AIR-ID or date missing",IF(COUNTIF($A$4:$A$553,A411)&gt;1,"Duplicate Event ID",IF(E411="","Event type missing",IF(OR(NOT(ISNUMBER(F411)),F411&gt;TODAY()),"Date is not a real date or is in the future",IF(AND(C411&lt;&gt;"",COUNTIF('Gate plan'!$A$4:$A$353,C411)=0),"Plan ID not found in Gate plan",IF(AND(C411&lt;&gt;"",COUNTIFS('Gate plan'!$A$4:$A$353,C411,'Gate plan'!$B$4:$B$353,B411)=0),"Plan AIR-ID differs from event",IF(D411="","Gate / forum missing",IF(AND(E411="Precautionary pause (containment)",G411&lt;&gt;"Paused — pending decision"),"Precautionary pause: Outcome must be Paused, pending decision",IF(AND(E411="Precautionary pause (containment)",V411=""),"Precautionary pause: AIG-OPS-03 incident ref missing",IF(AND(E411="Precautionary pause (containment)",NOT(ISNUMBER(W411))),"Precautionary pause: follow-up decision due date missing",IF(AND(G411="Paused — pending decision",E411&lt;&gt;"Precautionary pause (containment)"),"Paused, pending decision is only for a Precautionary pause event",IF(AND(E411="Decision",OR(G411="",H411="",I411="")),"Outcome / delegation / decision ref missing",IF(AND(E411="Decision",NOT(OR(G411="Progress",G411="Progress with condition",G411="Return for evidence",G411="Pause",G411="Stop",G411="Suspend",G411="Decommission",G411="Re-authorise",G411="Resume"))),"Decision event needs a decision outcome",IF(AND(E411="Priority override",OR(H411="",I411="")),"Decision-maker / AIG-DEC-03 ref missing",IF(AND(E411="Priority override",G411&lt;&gt;"",G411&lt;&gt;"No decision"),"Priority override: Outcome blank or No decision",IF(AND(E411&lt;&gt;"Decision",OR(G411="Progress",G411="Progress with condition",G411="Return for evidence",G411="Pause",G411="Stop",G411="Suspend",G411="Decommission",G411="Re-authorise",G411="Resume")),"Outcome implies decision",IF(OR(ISNUMBER(SEARCH(",",O411)),ISNUMBER(SEARCH(";",O411))),"One UC-ID per event row — split this event",IF(AND(E411="Decision",OR(Q411="UC-ID REQUIRED",Q411="Decision scope missing",Q411="REMOVE UC-ID OR CORRECT SCOPE")),"Decision scope missing",IF(AND(G411="Progress with condition",COUNTIF(Conditions!$B$4:$B$553,A411)=0),"Progress with condition needs at least one Conditions row",IF(AND(C411&lt;&gt;"",COUNTIFS('Gate plan'!$A$4:$A$353,C411,'Gate plan'!$C$4:$C$353,D411)=0),"Plan gate differs from event gate",IF(AND(C411&lt;&gt;"",O411&lt;&gt;"",COUNTIFS('Gate plan'!$A$4:$A$353,C411,'Gate plan'!$K$4:$K$353,"&lt;&gt;")&gt;0,COUNTIFS('Gate plan'!$A$4:$A$353,C411,'Gate plan'!$K$4:$K$353,O411)=0),"Plan UC-ID differs from event UC-ID",IF(AND(E411="Assurance opinion",J411=""),"Assurance opinion ref missing",IF(AND(G411="Opinion only",E411&lt;&gt;"Assurance opinion",E411&lt;&gt;"Review only"),"Opinion only is for Assurance opinion or Review only events",IF(AND(G411="No decision",E411&lt;&gt;"Review only",E411&lt;&gt;"Priority override",E411&lt;&gt;"Intake / registration"),"No decision is for Review only, Priority override or Intake / registration events",IF(OR(ISNUMBER(SEARCH(" ",TRIM(O411))),ISNUMBER(SEARCH("/",O411))),"One UC-ID per event row: split this event",IF(AND(E411="Precautionary pause (containment)",ISNUMBER(W411),ISNUMBER(F411),W411&lt;F411),"Follow-up decision due date is before the pause",IF(AND(G411="Resume",IFERROR(LOOKUP(2,1/(($B$3:B410=B411)*($O$3:O410=O411)),$G$3:G410),"")&lt;&gt;"Paused — pending decision"),"Resume is only for the event straight after a Precautionary pause on the same AIR-ID and UC-ID (in an earlier row)",IF(AND(E411="Decision",OR(G411="Progress",G411="Progress with condition",G411="Re-authorise",G411="Resume"),X411&lt;&gt;"Yes"),"Decision-maker has not confirmed the screening was considered (column X)","Check against source")))))))))))))))))))))))))))))</f>
        <v/>
      </c>
      <c r="O411" s="37" t="n"/>
      <c r="P411" s="37" t="n"/>
      <c r="Q411" s="14">
        <f>IF(A411="","",IF(E411&lt;&gt;"Decision","",IF(P411="UC-ID specific",IF(O411="","UC-ID REQUIRED","Check source decision for each UC-ID"),IF(P411="Shared system baseline",IF(O411&lt;&gt;"","REMOVE UC-ID OR CORRECT SCOPE","Baseline only — NOT UC approval"),"Decision scope missing"))))</f>
        <v/>
      </c>
      <c r="R411" s="43" t="n"/>
      <c r="S411" s="40" t="n"/>
      <c r="T411" s="40" t="n"/>
      <c r="U411" s="40" t="n"/>
      <c r="V411" s="40" t="n"/>
      <c r="W411" s="41" t="n"/>
      <c r="X411" s="38" t="n"/>
    </row>
    <row r="412">
      <c r="A412" s="38" t="n"/>
      <c r="B412" s="38" t="n"/>
      <c r="C412" s="38" t="n"/>
      <c r="D412" s="38" t="n"/>
      <c r="E412" s="38" t="n"/>
      <c r="F412" s="39" t="n"/>
      <c r="G412" s="38" t="n"/>
      <c r="H412" s="38" t="n"/>
      <c r="I412" s="38" t="n"/>
      <c r="J412" s="38" t="n"/>
      <c r="K412" s="38" t="n"/>
      <c r="L412" s="38" t="n"/>
      <c r="M412" s="38" t="n"/>
      <c r="N412" s="22">
        <f>IF(COUNTA(A412:M412,O412:P412,R412:X412)=0,"",IF(OR(A412="",B412="",F412=""),"Event ID, AIR-ID or date missing",IF(COUNTIF($A$4:$A$553,A412)&gt;1,"Duplicate Event ID",IF(E412="","Event type missing",IF(OR(NOT(ISNUMBER(F412)),F412&gt;TODAY()),"Date is not a real date or is in the future",IF(AND(C412&lt;&gt;"",COUNTIF('Gate plan'!$A$4:$A$353,C412)=0),"Plan ID not found in Gate plan",IF(AND(C412&lt;&gt;"",COUNTIFS('Gate plan'!$A$4:$A$353,C412,'Gate plan'!$B$4:$B$353,B412)=0),"Plan AIR-ID differs from event",IF(D412="","Gate / forum missing",IF(AND(E412="Precautionary pause (containment)",G412&lt;&gt;"Paused — pending decision"),"Precautionary pause: Outcome must be Paused, pending decision",IF(AND(E412="Precautionary pause (containment)",V412=""),"Precautionary pause: AIG-OPS-03 incident ref missing",IF(AND(E412="Precautionary pause (containment)",NOT(ISNUMBER(W412))),"Precautionary pause: follow-up decision due date missing",IF(AND(G412="Paused — pending decision",E412&lt;&gt;"Precautionary pause (containment)"),"Paused, pending decision is only for a Precautionary pause event",IF(AND(E412="Decision",OR(G412="",H412="",I412="")),"Outcome / delegation / decision ref missing",IF(AND(E412="Decision",NOT(OR(G412="Progress",G412="Progress with condition",G412="Return for evidence",G412="Pause",G412="Stop",G412="Suspend",G412="Decommission",G412="Re-authorise",G412="Resume"))),"Decision event needs a decision outcome",IF(AND(E412="Priority override",OR(H412="",I412="")),"Decision-maker / AIG-DEC-03 ref missing",IF(AND(E412="Priority override",G412&lt;&gt;"",G412&lt;&gt;"No decision"),"Priority override: Outcome blank or No decision",IF(AND(E412&lt;&gt;"Decision",OR(G412="Progress",G412="Progress with condition",G412="Return for evidence",G412="Pause",G412="Stop",G412="Suspend",G412="Decommission",G412="Re-authorise",G412="Resume")),"Outcome implies decision",IF(OR(ISNUMBER(SEARCH(",",O412)),ISNUMBER(SEARCH(";",O412))),"One UC-ID per event row — split this event",IF(AND(E412="Decision",OR(Q412="UC-ID REQUIRED",Q412="Decision scope missing",Q412="REMOVE UC-ID OR CORRECT SCOPE")),"Decision scope missing",IF(AND(G412="Progress with condition",COUNTIF(Conditions!$B$4:$B$553,A412)=0),"Progress with condition needs at least one Conditions row",IF(AND(C412&lt;&gt;"",COUNTIFS('Gate plan'!$A$4:$A$353,C412,'Gate plan'!$C$4:$C$353,D412)=0),"Plan gate differs from event gate",IF(AND(C412&lt;&gt;"",O412&lt;&gt;"",COUNTIFS('Gate plan'!$A$4:$A$353,C412,'Gate plan'!$K$4:$K$353,"&lt;&gt;")&gt;0,COUNTIFS('Gate plan'!$A$4:$A$353,C412,'Gate plan'!$K$4:$K$353,O412)=0),"Plan UC-ID differs from event UC-ID",IF(AND(E412="Assurance opinion",J412=""),"Assurance opinion ref missing",IF(AND(G412="Opinion only",E412&lt;&gt;"Assurance opinion",E412&lt;&gt;"Review only"),"Opinion only is for Assurance opinion or Review only events",IF(AND(G412="No decision",E412&lt;&gt;"Review only",E412&lt;&gt;"Priority override",E412&lt;&gt;"Intake / registration"),"No decision is for Review only, Priority override or Intake / registration events",IF(OR(ISNUMBER(SEARCH(" ",TRIM(O412))),ISNUMBER(SEARCH("/",O412))),"One UC-ID per event row: split this event",IF(AND(E412="Precautionary pause (containment)",ISNUMBER(W412),ISNUMBER(F412),W412&lt;F412),"Follow-up decision due date is before the pause",IF(AND(G412="Resume",IFERROR(LOOKUP(2,1/(($B$3:B411=B412)*($O$3:O411=O412)),$G$3:G411),"")&lt;&gt;"Paused — pending decision"),"Resume is only for the event straight after a Precautionary pause on the same AIR-ID and UC-ID (in an earlier row)",IF(AND(E412="Decision",OR(G412="Progress",G412="Progress with condition",G412="Re-authorise",G412="Resume"),X412&lt;&gt;"Yes"),"Decision-maker has not confirmed the screening was considered (column X)","Check against source")))))))))))))))))))))))))))))</f>
        <v/>
      </c>
      <c r="O412" s="37" t="n"/>
      <c r="P412" s="37" t="n"/>
      <c r="Q412" s="14">
        <f>IF(A412="","",IF(E412&lt;&gt;"Decision","",IF(P412="UC-ID specific",IF(O412="","UC-ID REQUIRED","Check source decision for each UC-ID"),IF(P412="Shared system baseline",IF(O412&lt;&gt;"","REMOVE UC-ID OR CORRECT SCOPE","Baseline only — NOT UC approval"),"Decision scope missing"))))</f>
        <v/>
      </c>
      <c r="R412" s="42" t="n"/>
      <c r="S412" s="38" t="n"/>
      <c r="T412" s="38" t="n"/>
      <c r="U412" s="38" t="n"/>
      <c r="V412" s="38" t="n"/>
      <c r="W412" s="39" t="n"/>
      <c r="X412" s="38" t="n"/>
    </row>
    <row r="413">
      <c r="A413" s="40" t="n"/>
      <c r="B413" s="40" t="n"/>
      <c r="C413" s="40" t="n"/>
      <c r="D413" s="40" t="n"/>
      <c r="E413" s="40" t="n"/>
      <c r="F413" s="41" t="n"/>
      <c r="G413" s="40" t="n"/>
      <c r="H413" s="40" t="n"/>
      <c r="I413" s="40" t="n"/>
      <c r="J413" s="40" t="n"/>
      <c r="K413" s="40" t="n"/>
      <c r="L413" s="40" t="n"/>
      <c r="M413" s="40" t="n"/>
      <c r="N413" s="24">
        <f>IF(COUNTA(A413:M413,O413:P413,R413:X413)=0,"",IF(OR(A413="",B413="",F413=""),"Event ID, AIR-ID or date missing",IF(COUNTIF($A$4:$A$553,A413)&gt;1,"Duplicate Event ID",IF(E413="","Event type missing",IF(OR(NOT(ISNUMBER(F413)),F413&gt;TODAY()),"Date is not a real date or is in the future",IF(AND(C413&lt;&gt;"",COUNTIF('Gate plan'!$A$4:$A$353,C413)=0),"Plan ID not found in Gate plan",IF(AND(C413&lt;&gt;"",COUNTIFS('Gate plan'!$A$4:$A$353,C413,'Gate plan'!$B$4:$B$353,B413)=0),"Plan AIR-ID differs from event",IF(D413="","Gate / forum missing",IF(AND(E413="Precautionary pause (containment)",G413&lt;&gt;"Paused — pending decision"),"Precautionary pause: Outcome must be Paused, pending decision",IF(AND(E413="Precautionary pause (containment)",V413=""),"Precautionary pause: AIG-OPS-03 incident ref missing",IF(AND(E413="Precautionary pause (containment)",NOT(ISNUMBER(W413))),"Precautionary pause: follow-up decision due date missing",IF(AND(G413="Paused — pending decision",E413&lt;&gt;"Precautionary pause (containment)"),"Paused, pending decision is only for a Precautionary pause event",IF(AND(E413="Decision",OR(G413="",H413="",I413="")),"Outcome / delegation / decision ref missing",IF(AND(E413="Decision",NOT(OR(G413="Progress",G413="Progress with condition",G413="Return for evidence",G413="Pause",G413="Stop",G413="Suspend",G413="Decommission",G413="Re-authorise",G413="Resume"))),"Decision event needs a decision outcome",IF(AND(E413="Priority override",OR(H413="",I413="")),"Decision-maker / AIG-DEC-03 ref missing",IF(AND(E413="Priority override",G413&lt;&gt;"",G413&lt;&gt;"No decision"),"Priority override: Outcome blank or No decision",IF(AND(E413&lt;&gt;"Decision",OR(G413="Progress",G413="Progress with condition",G413="Return for evidence",G413="Pause",G413="Stop",G413="Suspend",G413="Decommission",G413="Re-authorise",G413="Resume")),"Outcome implies decision",IF(OR(ISNUMBER(SEARCH(",",O413)),ISNUMBER(SEARCH(";",O413))),"One UC-ID per event row — split this event",IF(AND(E413="Decision",OR(Q413="UC-ID REQUIRED",Q413="Decision scope missing",Q413="REMOVE UC-ID OR CORRECT SCOPE")),"Decision scope missing",IF(AND(G413="Progress with condition",COUNTIF(Conditions!$B$4:$B$553,A413)=0),"Progress with condition needs at least one Conditions row",IF(AND(C413&lt;&gt;"",COUNTIFS('Gate plan'!$A$4:$A$353,C413,'Gate plan'!$C$4:$C$353,D413)=0),"Plan gate differs from event gate",IF(AND(C413&lt;&gt;"",O413&lt;&gt;"",COUNTIFS('Gate plan'!$A$4:$A$353,C413,'Gate plan'!$K$4:$K$353,"&lt;&gt;")&gt;0,COUNTIFS('Gate plan'!$A$4:$A$353,C413,'Gate plan'!$K$4:$K$353,O413)=0),"Plan UC-ID differs from event UC-ID",IF(AND(E413="Assurance opinion",J413=""),"Assurance opinion ref missing",IF(AND(G413="Opinion only",E413&lt;&gt;"Assurance opinion",E413&lt;&gt;"Review only"),"Opinion only is for Assurance opinion or Review only events",IF(AND(G413="No decision",E413&lt;&gt;"Review only",E413&lt;&gt;"Priority override",E413&lt;&gt;"Intake / registration"),"No decision is for Review only, Priority override or Intake / registration events",IF(OR(ISNUMBER(SEARCH(" ",TRIM(O413))),ISNUMBER(SEARCH("/",O413))),"One UC-ID per event row: split this event",IF(AND(E413="Precautionary pause (containment)",ISNUMBER(W413),ISNUMBER(F413),W413&lt;F413),"Follow-up decision due date is before the pause",IF(AND(G413="Resume",IFERROR(LOOKUP(2,1/(($B$3:B412=B413)*($O$3:O412=O413)),$G$3:G412),"")&lt;&gt;"Paused — pending decision"),"Resume is only for the event straight after a Precautionary pause on the same AIR-ID and UC-ID (in an earlier row)",IF(AND(E413="Decision",OR(G413="Progress",G413="Progress with condition",G413="Re-authorise",G413="Resume"),X413&lt;&gt;"Yes"),"Decision-maker has not confirmed the screening was considered (column X)","Check against source")))))))))))))))))))))))))))))</f>
        <v/>
      </c>
      <c r="O413" s="37" t="n"/>
      <c r="P413" s="37" t="n"/>
      <c r="Q413" s="14">
        <f>IF(A413="","",IF(E413&lt;&gt;"Decision","",IF(P413="UC-ID specific",IF(O413="","UC-ID REQUIRED","Check source decision for each UC-ID"),IF(P413="Shared system baseline",IF(O413&lt;&gt;"","REMOVE UC-ID OR CORRECT SCOPE","Baseline only — NOT UC approval"),"Decision scope missing"))))</f>
        <v/>
      </c>
      <c r="R413" s="43" t="n"/>
      <c r="S413" s="40" t="n"/>
      <c r="T413" s="40" t="n"/>
      <c r="U413" s="40" t="n"/>
      <c r="V413" s="40" t="n"/>
      <c r="W413" s="41" t="n"/>
      <c r="X413" s="38" t="n"/>
    </row>
    <row r="414">
      <c r="A414" s="38" t="n"/>
      <c r="B414" s="38" t="n"/>
      <c r="C414" s="38" t="n"/>
      <c r="D414" s="38" t="n"/>
      <c r="E414" s="38" t="n"/>
      <c r="F414" s="39" t="n"/>
      <c r="G414" s="38" t="n"/>
      <c r="H414" s="38" t="n"/>
      <c r="I414" s="38" t="n"/>
      <c r="J414" s="38" t="n"/>
      <c r="K414" s="38" t="n"/>
      <c r="L414" s="38" t="n"/>
      <c r="M414" s="38" t="n"/>
      <c r="N414" s="22">
        <f>IF(COUNTA(A414:M414,O414:P414,R414:X414)=0,"",IF(OR(A414="",B414="",F414=""),"Event ID, AIR-ID or date missing",IF(COUNTIF($A$4:$A$553,A414)&gt;1,"Duplicate Event ID",IF(E414="","Event type missing",IF(OR(NOT(ISNUMBER(F414)),F414&gt;TODAY()),"Date is not a real date or is in the future",IF(AND(C414&lt;&gt;"",COUNTIF('Gate plan'!$A$4:$A$353,C414)=0),"Plan ID not found in Gate plan",IF(AND(C414&lt;&gt;"",COUNTIFS('Gate plan'!$A$4:$A$353,C414,'Gate plan'!$B$4:$B$353,B414)=0),"Plan AIR-ID differs from event",IF(D414="","Gate / forum missing",IF(AND(E414="Precautionary pause (containment)",G414&lt;&gt;"Paused — pending decision"),"Precautionary pause: Outcome must be Paused, pending decision",IF(AND(E414="Precautionary pause (containment)",V414=""),"Precautionary pause: AIG-OPS-03 incident ref missing",IF(AND(E414="Precautionary pause (containment)",NOT(ISNUMBER(W414))),"Precautionary pause: follow-up decision due date missing",IF(AND(G414="Paused — pending decision",E414&lt;&gt;"Precautionary pause (containment)"),"Paused, pending decision is only for a Precautionary pause event",IF(AND(E414="Decision",OR(G414="",H414="",I414="")),"Outcome / delegation / decision ref missing",IF(AND(E414="Decision",NOT(OR(G414="Progress",G414="Progress with condition",G414="Return for evidence",G414="Pause",G414="Stop",G414="Suspend",G414="Decommission",G414="Re-authorise",G414="Resume"))),"Decision event needs a decision outcome",IF(AND(E414="Priority override",OR(H414="",I414="")),"Decision-maker / AIG-DEC-03 ref missing",IF(AND(E414="Priority override",G414&lt;&gt;"",G414&lt;&gt;"No decision"),"Priority override: Outcome blank or No decision",IF(AND(E414&lt;&gt;"Decision",OR(G414="Progress",G414="Progress with condition",G414="Return for evidence",G414="Pause",G414="Stop",G414="Suspend",G414="Decommission",G414="Re-authorise",G414="Resume")),"Outcome implies decision",IF(OR(ISNUMBER(SEARCH(",",O414)),ISNUMBER(SEARCH(";",O414))),"One UC-ID per event row — split this event",IF(AND(E414="Decision",OR(Q414="UC-ID REQUIRED",Q414="Decision scope missing",Q414="REMOVE UC-ID OR CORRECT SCOPE")),"Decision scope missing",IF(AND(G414="Progress with condition",COUNTIF(Conditions!$B$4:$B$553,A414)=0),"Progress with condition needs at least one Conditions row",IF(AND(C414&lt;&gt;"",COUNTIFS('Gate plan'!$A$4:$A$353,C414,'Gate plan'!$C$4:$C$353,D414)=0),"Plan gate differs from event gate",IF(AND(C414&lt;&gt;"",O414&lt;&gt;"",COUNTIFS('Gate plan'!$A$4:$A$353,C414,'Gate plan'!$K$4:$K$353,"&lt;&gt;")&gt;0,COUNTIFS('Gate plan'!$A$4:$A$353,C414,'Gate plan'!$K$4:$K$353,O414)=0),"Plan UC-ID differs from event UC-ID",IF(AND(E414="Assurance opinion",J414=""),"Assurance opinion ref missing",IF(AND(G414="Opinion only",E414&lt;&gt;"Assurance opinion",E414&lt;&gt;"Review only"),"Opinion only is for Assurance opinion or Review only events",IF(AND(G414="No decision",E414&lt;&gt;"Review only",E414&lt;&gt;"Priority override",E414&lt;&gt;"Intake / registration"),"No decision is for Review only, Priority override or Intake / registration events",IF(OR(ISNUMBER(SEARCH(" ",TRIM(O414))),ISNUMBER(SEARCH("/",O414))),"One UC-ID per event row: split this event",IF(AND(E414="Precautionary pause (containment)",ISNUMBER(W414),ISNUMBER(F414),W414&lt;F414),"Follow-up decision due date is before the pause",IF(AND(G414="Resume",IFERROR(LOOKUP(2,1/(($B$3:B413=B414)*($O$3:O413=O414)),$G$3:G413),"")&lt;&gt;"Paused — pending decision"),"Resume is only for the event straight after a Precautionary pause on the same AIR-ID and UC-ID (in an earlier row)",IF(AND(E414="Decision",OR(G414="Progress",G414="Progress with condition",G414="Re-authorise",G414="Resume"),X414&lt;&gt;"Yes"),"Decision-maker has not confirmed the screening was considered (column X)","Check against source")))))))))))))))))))))))))))))</f>
        <v/>
      </c>
      <c r="O414" s="37" t="n"/>
      <c r="P414" s="37" t="n"/>
      <c r="Q414" s="14">
        <f>IF(A414="","",IF(E414&lt;&gt;"Decision","",IF(P414="UC-ID specific",IF(O414="","UC-ID REQUIRED","Check source decision for each UC-ID"),IF(P414="Shared system baseline",IF(O414&lt;&gt;"","REMOVE UC-ID OR CORRECT SCOPE","Baseline only — NOT UC approval"),"Decision scope missing"))))</f>
        <v/>
      </c>
      <c r="R414" s="42" t="n"/>
      <c r="S414" s="38" t="n"/>
      <c r="T414" s="38" t="n"/>
      <c r="U414" s="38" t="n"/>
      <c r="V414" s="38" t="n"/>
      <c r="W414" s="39" t="n"/>
      <c r="X414" s="38" t="n"/>
    </row>
    <row r="415">
      <c r="A415" s="40" t="n"/>
      <c r="B415" s="40" t="n"/>
      <c r="C415" s="40" t="n"/>
      <c r="D415" s="40" t="n"/>
      <c r="E415" s="40" t="n"/>
      <c r="F415" s="41" t="n"/>
      <c r="G415" s="40" t="n"/>
      <c r="H415" s="40" t="n"/>
      <c r="I415" s="40" t="n"/>
      <c r="J415" s="40" t="n"/>
      <c r="K415" s="40" t="n"/>
      <c r="L415" s="40" t="n"/>
      <c r="M415" s="40" t="n"/>
      <c r="N415" s="24">
        <f>IF(COUNTA(A415:M415,O415:P415,R415:X415)=0,"",IF(OR(A415="",B415="",F415=""),"Event ID, AIR-ID or date missing",IF(COUNTIF($A$4:$A$553,A415)&gt;1,"Duplicate Event ID",IF(E415="","Event type missing",IF(OR(NOT(ISNUMBER(F415)),F415&gt;TODAY()),"Date is not a real date or is in the future",IF(AND(C415&lt;&gt;"",COUNTIF('Gate plan'!$A$4:$A$353,C415)=0),"Plan ID not found in Gate plan",IF(AND(C415&lt;&gt;"",COUNTIFS('Gate plan'!$A$4:$A$353,C415,'Gate plan'!$B$4:$B$353,B415)=0),"Plan AIR-ID differs from event",IF(D415="","Gate / forum missing",IF(AND(E415="Precautionary pause (containment)",G415&lt;&gt;"Paused — pending decision"),"Precautionary pause: Outcome must be Paused, pending decision",IF(AND(E415="Precautionary pause (containment)",V415=""),"Precautionary pause: AIG-OPS-03 incident ref missing",IF(AND(E415="Precautionary pause (containment)",NOT(ISNUMBER(W415))),"Precautionary pause: follow-up decision due date missing",IF(AND(G415="Paused — pending decision",E415&lt;&gt;"Precautionary pause (containment)"),"Paused, pending decision is only for a Precautionary pause event",IF(AND(E415="Decision",OR(G415="",H415="",I415="")),"Outcome / delegation / decision ref missing",IF(AND(E415="Decision",NOT(OR(G415="Progress",G415="Progress with condition",G415="Return for evidence",G415="Pause",G415="Stop",G415="Suspend",G415="Decommission",G415="Re-authorise",G415="Resume"))),"Decision event needs a decision outcome",IF(AND(E415="Priority override",OR(H415="",I415="")),"Decision-maker / AIG-DEC-03 ref missing",IF(AND(E415="Priority override",G415&lt;&gt;"",G415&lt;&gt;"No decision"),"Priority override: Outcome blank or No decision",IF(AND(E415&lt;&gt;"Decision",OR(G415="Progress",G415="Progress with condition",G415="Return for evidence",G415="Pause",G415="Stop",G415="Suspend",G415="Decommission",G415="Re-authorise",G415="Resume")),"Outcome implies decision",IF(OR(ISNUMBER(SEARCH(",",O415)),ISNUMBER(SEARCH(";",O415))),"One UC-ID per event row — split this event",IF(AND(E415="Decision",OR(Q415="UC-ID REQUIRED",Q415="Decision scope missing",Q415="REMOVE UC-ID OR CORRECT SCOPE")),"Decision scope missing",IF(AND(G415="Progress with condition",COUNTIF(Conditions!$B$4:$B$553,A415)=0),"Progress with condition needs at least one Conditions row",IF(AND(C415&lt;&gt;"",COUNTIFS('Gate plan'!$A$4:$A$353,C415,'Gate plan'!$C$4:$C$353,D415)=0),"Plan gate differs from event gate",IF(AND(C415&lt;&gt;"",O415&lt;&gt;"",COUNTIFS('Gate plan'!$A$4:$A$353,C415,'Gate plan'!$K$4:$K$353,"&lt;&gt;")&gt;0,COUNTIFS('Gate plan'!$A$4:$A$353,C415,'Gate plan'!$K$4:$K$353,O415)=0),"Plan UC-ID differs from event UC-ID",IF(AND(E415="Assurance opinion",J415=""),"Assurance opinion ref missing",IF(AND(G415="Opinion only",E415&lt;&gt;"Assurance opinion",E415&lt;&gt;"Review only"),"Opinion only is for Assurance opinion or Review only events",IF(AND(G415="No decision",E415&lt;&gt;"Review only",E415&lt;&gt;"Priority override",E415&lt;&gt;"Intake / registration"),"No decision is for Review only, Priority override or Intake / registration events",IF(OR(ISNUMBER(SEARCH(" ",TRIM(O415))),ISNUMBER(SEARCH("/",O415))),"One UC-ID per event row: split this event",IF(AND(E415="Precautionary pause (containment)",ISNUMBER(W415),ISNUMBER(F415),W415&lt;F415),"Follow-up decision due date is before the pause",IF(AND(G415="Resume",IFERROR(LOOKUP(2,1/(($B$3:B414=B415)*($O$3:O414=O415)),$G$3:G414),"")&lt;&gt;"Paused — pending decision"),"Resume is only for the event straight after a Precautionary pause on the same AIR-ID and UC-ID (in an earlier row)",IF(AND(E415="Decision",OR(G415="Progress",G415="Progress with condition",G415="Re-authorise",G415="Resume"),X415&lt;&gt;"Yes"),"Decision-maker has not confirmed the screening was considered (column X)","Check against source")))))))))))))))))))))))))))))</f>
        <v/>
      </c>
      <c r="O415" s="37" t="n"/>
      <c r="P415" s="37" t="n"/>
      <c r="Q415" s="14">
        <f>IF(A415="","",IF(E415&lt;&gt;"Decision","",IF(P415="UC-ID specific",IF(O415="","UC-ID REQUIRED","Check source decision for each UC-ID"),IF(P415="Shared system baseline",IF(O415&lt;&gt;"","REMOVE UC-ID OR CORRECT SCOPE","Baseline only — NOT UC approval"),"Decision scope missing"))))</f>
        <v/>
      </c>
      <c r="R415" s="43" t="n"/>
      <c r="S415" s="40" t="n"/>
      <c r="T415" s="40" t="n"/>
      <c r="U415" s="40" t="n"/>
      <c r="V415" s="40" t="n"/>
      <c r="W415" s="41" t="n"/>
      <c r="X415" s="38" t="n"/>
    </row>
    <row r="416">
      <c r="A416" s="38" t="n"/>
      <c r="B416" s="38" t="n"/>
      <c r="C416" s="38" t="n"/>
      <c r="D416" s="38" t="n"/>
      <c r="E416" s="38" t="n"/>
      <c r="F416" s="39" t="n"/>
      <c r="G416" s="38" t="n"/>
      <c r="H416" s="38" t="n"/>
      <c r="I416" s="38" t="n"/>
      <c r="J416" s="38" t="n"/>
      <c r="K416" s="38" t="n"/>
      <c r="L416" s="38" t="n"/>
      <c r="M416" s="38" t="n"/>
      <c r="N416" s="22">
        <f>IF(COUNTA(A416:M416,O416:P416,R416:X416)=0,"",IF(OR(A416="",B416="",F416=""),"Event ID, AIR-ID or date missing",IF(COUNTIF($A$4:$A$553,A416)&gt;1,"Duplicate Event ID",IF(E416="","Event type missing",IF(OR(NOT(ISNUMBER(F416)),F416&gt;TODAY()),"Date is not a real date or is in the future",IF(AND(C416&lt;&gt;"",COUNTIF('Gate plan'!$A$4:$A$353,C416)=0),"Plan ID not found in Gate plan",IF(AND(C416&lt;&gt;"",COUNTIFS('Gate plan'!$A$4:$A$353,C416,'Gate plan'!$B$4:$B$353,B416)=0),"Plan AIR-ID differs from event",IF(D416="","Gate / forum missing",IF(AND(E416="Precautionary pause (containment)",G416&lt;&gt;"Paused — pending decision"),"Precautionary pause: Outcome must be Paused, pending decision",IF(AND(E416="Precautionary pause (containment)",V416=""),"Precautionary pause: AIG-OPS-03 incident ref missing",IF(AND(E416="Precautionary pause (containment)",NOT(ISNUMBER(W416))),"Precautionary pause: follow-up decision due date missing",IF(AND(G416="Paused — pending decision",E416&lt;&gt;"Precautionary pause (containment)"),"Paused, pending decision is only for a Precautionary pause event",IF(AND(E416="Decision",OR(G416="",H416="",I416="")),"Outcome / delegation / decision ref missing",IF(AND(E416="Decision",NOT(OR(G416="Progress",G416="Progress with condition",G416="Return for evidence",G416="Pause",G416="Stop",G416="Suspend",G416="Decommission",G416="Re-authorise",G416="Resume"))),"Decision event needs a decision outcome",IF(AND(E416="Priority override",OR(H416="",I416="")),"Decision-maker / AIG-DEC-03 ref missing",IF(AND(E416="Priority override",G416&lt;&gt;"",G416&lt;&gt;"No decision"),"Priority override: Outcome blank or No decision",IF(AND(E416&lt;&gt;"Decision",OR(G416="Progress",G416="Progress with condition",G416="Return for evidence",G416="Pause",G416="Stop",G416="Suspend",G416="Decommission",G416="Re-authorise",G416="Resume")),"Outcome implies decision",IF(OR(ISNUMBER(SEARCH(",",O416)),ISNUMBER(SEARCH(";",O416))),"One UC-ID per event row — split this event",IF(AND(E416="Decision",OR(Q416="UC-ID REQUIRED",Q416="Decision scope missing",Q416="REMOVE UC-ID OR CORRECT SCOPE")),"Decision scope missing",IF(AND(G416="Progress with condition",COUNTIF(Conditions!$B$4:$B$553,A416)=0),"Progress with condition needs at least one Conditions row",IF(AND(C416&lt;&gt;"",COUNTIFS('Gate plan'!$A$4:$A$353,C416,'Gate plan'!$C$4:$C$353,D416)=0),"Plan gate differs from event gate",IF(AND(C416&lt;&gt;"",O416&lt;&gt;"",COUNTIFS('Gate plan'!$A$4:$A$353,C416,'Gate plan'!$K$4:$K$353,"&lt;&gt;")&gt;0,COUNTIFS('Gate plan'!$A$4:$A$353,C416,'Gate plan'!$K$4:$K$353,O416)=0),"Plan UC-ID differs from event UC-ID",IF(AND(E416="Assurance opinion",J416=""),"Assurance opinion ref missing",IF(AND(G416="Opinion only",E416&lt;&gt;"Assurance opinion",E416&lt;&gt;"Review only"),"Opinion only is for Assurance opinion or Review only events",IF(AND(G416="No decision",E416&lt;&gt;"Review only",E416&lt;&gt;"Priority override",E416&lt;&gt;"Intake / registration"),"No decision is for Review only, Priority override or Intake / registration events",IF(OR(ISNUMBER(SEARCH(" ",TRIM(O416))),ISNUMBER(SEARCH("/",O416))),"One UC-ID per event row: split this event",IF(AND(E416="Precautionary pause (containment)",ISNUMBER(W416),ISNUMBER(F416),W416&lt;F416),"Follow-up decision due date is before the pause",IF(AND(G416="Resume",IFERROR(LOOKUP(2,1/(($B$3:B415=B416)*($O$3:O415=O416)),$G$3:G415),"")&lt;&gt;"Paused — pending decision"),"Resume is only for the event straight after a Precautionary pause on the same AIR-ID and UC-ID (in an earlier row)",IF(AND(E416="Decision",OR(G416="Progress",G416="Progress with condition",G416="Re-authorise",G416="Resume"),X416&lt;&gt;"Yes"),"Decision-maker has not confirmed the screening was considered (column X)","Check against source")))))))))))))))))))))))))))))</f>
        <v/>
      </c>
      <c r="O416" s="37" t="n"/>
      <c r="P416" s="37" t="n"/>
      <c r="Q416" s="14">
        <f>IF(A416="","",IF(E416&lt;&gt;"Decision","",IF(P416="UC-ID specific",IF(O416="","UC-ID REQUIRED","Check source decision for each UC-ID"),IF(P416="Shared system baseline",IF(O416&lt;&gt;"","REMOVE UC-ID OR CORRECT SCOPE","Baseline only — NOT UC approval"),"Decision scope missing"))))</f>
        <v/>
      </c>
      <c r="R416" s="42" t="n"/>
      <c r="S416" s="38" t="n"/>
      <c r="T416" s="38" t="n"/>
      <c r="U416" s="38" t="n"/>
      <c r="V416" s="38" t="n"/>
      <c r="W416" s="39" t="n"/>
      <c r="X416" s="38" t="n"/>
    </row>
    <row r="417">
      <c r="A417" s="40" t="n"/>
      <c r="B417" s="40" t="n"/>
      <c r="C417" s="40" t="n"/>
      <c r="D417" s="40" t="n"/>
      <c r="E417" s="40" t="n"/>
      <c r="F417" s="41" t="n"/>
      <c r="G417" s="40" t="n"/>
      <c r="H417" s="40" t="n"/>
      <c r="I417" s="40" t="n"/>
      <c r="J417" s="40" t="n"/>
      <c r="K417" s="40" t="n"/>
      <c r="L417" s="40" t="n"/>
      <c r="M417" s="40" t="n"/>
      <c r="N417" s="24">
        <f>IF(COUNTA(A417:M417,O417:P417,R417:X417)=0,"",IF(OR(A417="",B417="",F417=""),"Event ID, AIR-ID or date missing",IF(COUNTIF($A$4:$A$553,A417)&gt;1,"Duplicate Event ID",IF(E417="","Event type missing",IF(OR(NOT(ISNUMBER(F417)),F417&gt;TODAY()),"Date is not a real date or is in the future",IF(AND(C417&lt;&gt;"",COUNTIF('Gate plan'!$A$4:$A$353,C417)=0),"Plan ID not found in Gate plan",IF(AND(C417&lt;&gt;"",COUNTIFS('Gate plan'!$A$4:$A$353,C417,'Gate plan'!$B$4:$B$353,B417)=0),"Plan AIR-ID differs from event",IF(D417="","Gate / forum missing",IF(AND(E417="Precautionary pause (containment)",G417&lt;&gt;"Paused — pending decision"),"Precautionary pause: Outcome must be Paused, pending decision",IF(AND(E417="Precautionary pause (containment)",V417=""),"Precautionary pause: AIG-OPS-03 incident ref missing",IF(AND(E417="Precautionary pause (containment)",NOT(ISNUMBER(W417))),"Precautionary pause: follow-up decision due date missing",IF(AND(G417="Paused — pending decision",E417&lt;&gt;"Precautionary pause (containment)"),"Paused, pending decision is only for a Precautionary pause event",IF(AND(E417="Decision",OR(G417="",H417="",I417="")),"Outcome / delegation / decision ref missing",IF(AND(E417="Decision",NOT(OR(G417="Progress",G417="Progress with condition",G417="Return for evidence",G417="Pause",G417="Stop",G417="Suspend",G417="Decommission",G417="Re-authorise",G417="Resume"))),"Decision event needs a decision outcome",IF(AND(E417="Priority override",OR(H417="",I417="")),"Decision-maker / AIG-DEC-03 ref missing",IF(AND(E417="Priority override",G417&lt;&gt;"",G417&lt;&gt;"No decision"),"Priority override: Outcome blank or No decision",IF(AND(E417&lt;&gt;"Decision",OR(G417="Progress",G417="Progress with condition",G417="Return for evidence",G417="Pause",G417="Stop",G417="Suspend",G417="Decommission",G417="Re-authorise",G417="Resume")),"Outcome implies decision",IF(OR(ISNUMBER(SEARCH(",",O417)),ISNUMBER(SEARCH(";",O417))),"One UC-ID per event row — split this event",IF(AND(E417="Decision",OR(Q417="UC-ID REQUIRED",Q417="Decision scope missing",Q417="REMOVE UC-ID OR CORRECT SCOPE")),"Decision scope missing",IF(AND(G417="Progress with condition",COUNTIF(Conditions!$B$4:$B$553,A417)=0),"Progress with condition needs at least one Conditions row",IF(AND(C417&lt;&gt;"",COUNTIFS('Gate plan'!$A$4:$A$353,C417,'Gate plan'!$C$4:$C$353,D417)=0),"Plan gate differs from event gate",IF(AND(C417&lt;&gt;"",O417&lt;&gt;"",COUNTIFS('Gate plan'!$A$4:$A$353,C417,'Gate plan'!$K$4:$K$353,"&lt;&gt;")&gt;0,COUNTIFS('Gate plan'!$A$4:$A$353,C417,'Gate plan'!$K$4:$K$353,O417)=0),"Plan UC-ID differs from event UC-ID",IF(AND(E417="Assurance opinion",J417=""),"Assurance opinion ref missing",IF(AND(G417="Opinion only",E417&lt;&gt;"Assurance opinion",E417&lt;&gt;"Review only"),"Opinion only is for Assurance opinion or Review only events",IF(AND(G417="No decision",E417&lt;&gt;"Review only",E417&lt;&gt;"Priority override",E417&lt;&gt;"Intake / registration"),"No decision is for Review only, Priority override or Intake / registration events",IF(OR(ISNUMBER(SEARCH(" ",TRIM(O417))),ISNUMBER(SEARCH("/",O417))),"One UC-ID per event row: split this event",IF(AND(E417="Precautionary pause (containment)",ISNUMBER(W417),ISNUMBER(F417),W417&lt;F417),"Follow-up decision due date is before the pause",IF(AND(G417="Resume",IFERROR(LOOKUP(2,1/(($B$3:B416=B417)*($O$3:O416=O417)),$G$3:G416),"")&lt;&gt;"Paused — pending decision"),"Resume is only for the event straight after a Precautionary pause on the same AIR-ID and UC-ID (in an earlier row)",IF(AND(E417="Decision",OR(G417="Progress",G417="Progress with condition",G417="Re-authorise",G417="Resume"),X417&lt;&gt;"Yes"),"Decision-maker has not confirmed the screening was considered (column X)","Check against source")))))))))))))))))))))))))))))</f>
        <v/>
      </c>
      <c r="O417" s="37" t="n"/>
      <c r="P417" s="37" t="n"/>
      <c r="Q417" s="14">
        <f>IF(A417="","",IF(E417&lt;&gt;"Decision","",IF(P417="UC-ID specific",IF(O417="","UC-ID REQUIRED","Check source decision for each UC-ID"),IF(P417="Shared system baseline",IF(O417&lt;&gt;"","REMOVE UC-ID OR CORRECT SCOPE","Baseline only — NOT UC approval"),"Decision scope missing"))))</f>
        <v/>
      </c>
      <c r="R417" s="43" t="n"/>
      <c r="S417" s="40" t="n"/>
      <c r="T417" s="40" t="n"/>
      <c r="U417" s="40" t="n"/>
      <c r="V417" s="40" t="n"/>
      <c r="W417" s="41" t="n"/>
      <c r="X417" s="38" t="n"/>
    </row>
    <row r="418">
      <c r="A418" s="38" t="n"/>
      <c r="B418" s="38" t="n"/>
      <c r="C418" s="38" t="n"/>
      <c r="D418" s="38" t="n"/>
      <c r="E418" s="38" t="n"/>
      <c r="F418" s="39" t="n"/>
      <c r="G418" s="38" t="n"/>
      <c r="H418" s="38" t="n"/>
      <c r="I418" s="38" t="n"/>
      <c r="J418" s="38" t="n"/>
      <c r="K418" s="38" t="n"/>
      <c r="L418" s="38" t="n"/>
      <c r="M418" s="38" t="n"/>
      <c r="N418" s="22">
        <f>IF(COUNTA(A418:M418,O418:P418,R418:X418)=0,"",IF(OR(A418="",B418="",F418=""),"Event ID, AIR-ID or date missing",IF(COUNTIF($A$4:$A$553,A418)&gt;1,"Duplicate Event ID",IF(E418="","Event type missing",IF(OR(NOT(ISNUMBER(F418)),F418&gt;TODAY()),"Date is not a real date or is in the future",IF(AND(C418&lt;&gt;"",COUNTIF('Gate plan'!$A$4:$A$353,C418)=0),"Plan ID not found in Gate plan",IF(AND(C418&lt;&gt;"",COUNTIFS('Gate plan'!$A$4:$A$353,C418,'Gate plan'!$B$4:$B$353,B418)=0),"Plan AIR-ID differs from event",IF(D418="","Gate / forum missing",IF(AND(E418="Precautionary pause (containment)",G418&lt;&gt;"Paused — pending decision"),"Precautionary pause: Outcome must be Paused, pending decision",IF(AND(E418="Precautionary pause (containment)",V418=""),"Precautionary pause: AIG-OPS-03 incident ref missing",IF(AND(E418="Precautionary pause (containment)",NOT(ISNUMBER(W418))),"Precautionary pause: follow-up decision due date missing",IF(AND(G418="Paused — pending decision",E418&lt;&gt;"Precautionary pause (containment)"),"Paused, pending decision is only for a Precautionary pause event",IF(AND(E418="Decision",OR(G418="",H418="",I418="")),"Outcome / delegation / decision ref missing",IF(AND(E418="Decision",NOT(OR(G418="Progress",G418="Progress with condition",G418="Return for evidence",G418="Pause",G418="Stop",G418="Suspend",G418="Decommission",G418="Re-authorise",G418="Resume"))),"Decision event needs a decision outcome",IF(AND(E418="Priority override",OR(H418="",I418="")),"Decision-maker / AIG-DEC-03 ref missing",IF(AND(E418="Priority override",G418&lt;&gt;"",G418&lt;&gt;"No decision"),"Priority override: Outcome blank or No decision",IF(AND(E418&lt;&gt;"Decision",OR(G418="Progress",G418="Progress with condition",G418="Return for evidence",G418="Pause",G418="Stop",G418="Suspend",G418="Decommission",G418="Re-authorise",G418="Resume")),"Outcome implies decision",IF(OR(ISNUMBER(SEARCH(",",O418)),ISNUMBER(SEARCH(";",O418))),"One UC-ID per event row — split this event",IF(AND(E418="Decision",OR(Q418="UC-ID REQUIRED",Q418="Decision scope missing",Q418="REMOVE UC-ID OR CORRECT SCOPE")),"Decision scope missing",IF(AND(G418="Progress with condition",COUNTIF(Conditions!$B$4:$B$553,A418)=0),"Progress with condition needs at least one Conditions row",IF(AND(C418&lt;&gt;"",COUNTIFS('Gate plan'!$A$4:$A$353,C418,'Gate plan'!$C$4:$C$353,D418)=0),"Plan gate differs from event gate",IF(AND(C418&lt;&gt;"",O418&lt;&gt;"",COUNTIFS('Gate plan'!$A$4:$A$353,C418,'Gate plan'!$K$4:$K$353,"&lt;&gt;")&gt;0,COUNTIFS('Gate plan'!$A$4:$A$353,C418,'Gate plan'!$K$4:$K$353,O418)=0),"Plan UC-ID differs from event UC-ID",IF(AND(E418="Assurance opinion",J418=""),"Assurance opinion ref missing",IF(AND(G418="Opinion only",E418&lt;&gt;"Assurance opinion",E418&lt;&gt;"Review only"),"Opinion only is for Assurance opinion or Review only events",IF(AND(G418="No decision",E418&lt;&gt;"Review only",E418&lt;&gt;"Priority override",E418&lt;&gt;"Intake / registration"),"No decision is for Review only, Priority override or Intake / registration events",IF(OR(ISNUMBER(SEARCH(" ",TRIM(O418))),ISNUMBER(SEARCH("/",O418))),"One UC-ID per event row: split this event",IF(AND(E418="Precautionary pause (containment)",ISNUMBER(W418),ISNUMBER(F418),W418&lt;F418),"Follow-up decision due date is before the pause",IF(AND(G418="Resume",IFERROR(LOOKUP(2,1/(($B$3:B417=B418)*($O$3:O417=O418)),$G$3:G417),"")&lt;&gt;"Paused — pending decision"),"Resume is only for the event straight after a Precautionary pause on the same AIR-ID and UC-ID (in an earlier row)",IF(AND(E418="Decision",OR(G418="Progress",G418="Progress with condition",G418="Re-authorise",G418="Resume"),X418&lt;&gt;"Yes"),"Decision-maker has not confirmed the screening was considered (column X)","Check against source")))))))))))))))))))))))))))))</f>
        <v/>
      </c>
      <c r="O418" s="37" t="n"/>
      <c r="P418" s="37" t="n"/>
      <c r="Q418" s="14">
        <f>IF(A418="","",IF(E418&lt;&gt;"Decision","",IF(P418="UC-ID specific",IF(O418="","UC-ID REQUIRED","Check source decision for each UC-ID"),IF(P418="Shared system baseline",IF(O418&lt;&gt;"","REMOVE UC-ID OR CORRECT SCOPE","Baseline only — NOT UC approval"),"Decision scope missing"))))</f>
        <v/>
      </c>
      <c r="R418" s="42" t="n"/>
      <c r="S418" s="38" t="n"/>
      <c r="T418" s="38" t="n"/>
      <c r="U418" s="38" t="n"/>
      <c r="V418" s="38" t="n"/>
      <c r="W418" s="39" t="n"/>
      <c r="X418" s="38" t="n"/>
    </row>
    <row r="419">
      <c r="A419" s="40" t="n"/>
      <c r="B419" s="40" t="n"/>
      <c r="C419" s="40" t="n"/>
      <c r="D419" s="40" t="n"/>
      <c r="E419" s="40" t="n"/>
      <c r="F419" s="41" t="n"/>
      <c r="G419" s="40" t="n"/>
      <c r="H419" s="40" t="n"/>
      <c r="I419" s="40" t="n"/>
      <c r="J419" s="40" t="n"/>
      <c r="K419" s="40" t="n"/>
      <c r="L419" s="40" t="n"/>
      <c r="M419" s="40" t="n"/>
      <c r="N419" s="24">
        <f>IF(COUNTA(A419:M419,O419:P419,R419:X419)=0,"",IF(OR(A419="",B419="",F419=""),"Event ID, AIR-ID or date missing",IF(COUNTIF($A$4:$A$553,A419)&gt;1,"Duplicate Event ID",IF(E419="","Event type missing",IF(OR(NOT(ISNUMBER(F419)),F419&gt;TODAY()),"Date is not a real date or is in the future",IF(AND(C419&lt;&gt;"",COUNTIF('Gate plan'!$A$4:$A$353,C419)=0),"Plan ID not found in Gate plan",IF(AND(C419&lt;&gt;"",COUNTIFS('Gate plan'!$A$4:$A$353,C419,'Gate plan'!$B$4:$B$353,B419)=0),"Plan AIR-ID differs from event",IF(D419="","Gate / forum missing",IF(AND(E419="Precautionary pause (containment)",G419&lt;&gt;"Paused — pending decision"),"Precautionary pause: Outcome must be Paused, pending decision",IF(AND(E419="Precautionary pause (containment)",V419=""),"Precautionary pause: AIG-OPS-03 incident ref missing",IF(AND(E419="Precautionary pause (containment)",NOT(ISNUMBER(W419))),"Precautionary pause: follow-up decision due date missing",IF(AND(G419="Paused — pending decision",E419&lt;&gt;"Precautionary pause (containment)"),"Paused, pending decision is only for a Precautionary pause event",IF(AND(E419="Decision",OR(G419="",H419="",I419="")),"Outcome / delegation / decision ref missing",IF(AND(E419="Decision",NOT(OR(G419="Progress",G419="Progress with condition",G419="Return for evidence",G419="Pause",G419="Stop",G419="Suspend",G419="Decommission",G419="Re-authorise",G419="Resume"))),"Decision event needs a decision outcome",IF(AND(E419="Priority override",OR(H419="",I419="")),"Decision-maker / AIG-DEC-03 ref missing",IF(AND(E419="Priority override",G419&lt;&gt;"",G419&lt;&gt;"No decision"),"Priority override: Outcome blank or No decision",IF(AND(E419&lt;&gt;"Decision",OR(G419="Progress",G419="Progress with condition",G419="Return for evidence",G419="Pause",G419="Stop",G419="Suspend",G419="Decommission",G419="Re-authorise",G419="Resume")),"Outcome implies decision",IF(OR(ISNUMBER(SEARCH(",",O419)),ISNUMBER(SEARCH(";",O419))),"One UC-ID per event row — split this event",IF(AND(E419="Decision",OR(Q419="UC-ID REQUIRED",Q419="Decision scope missing",Q419="REMOVE UC-ID OR CORRECT SCOPE")),"Decision scope missing",IF(AND(G419="Progress with condition",COUNTIF(Conditions!$B$4:$B$553,A419)=0),"Progress with condition needs at least one Conditions row",IF(AND(C419&lt;&gt;"",COUNTIFS('Gate plan'!$A$4:$A$353,C419,'Gate plan'!$C$4:$C$353,D419)=0),"Plan gate differs from event gate",IF(AND(C419&lt;&gt;"",O419&lt;&gt;"",COUNTIFS('Gate plan'!$A$4:$A$353,C419,'Gate plan'!$K$4:$K$353,"&lt;&gt;")&gt;0,COUNTIFS('Gate plan'!$A$4:$A$353,C419,'Gate plan'!$K$4:$K$353,O419)=0),"Plan UC-ID differs from event UC-ID",IF(AND(E419="Assurance opinion",J419=""),"Assurance opinion ref missing",IF(AND(G419="Opinion only",E419&lt;&gt;"Assurance opinion",E419&lt;&gt;"Review only"),"Opinion only is for Assurance opinion or Review only events",IF(AND(G419="No decision",E419&lt;&gt;"Review only",E419&lt;&gt;"Priority override",E419&lt;&gt;"Intake / registration"),"No decision is for Review only, Priority override or Intake / registration events",IF(OR(ISNUMBER(SEARCH(" ",TRIM(O419))),ISNUMBER(SEARCH("/",O419))),"One UC-ID per event row: split this event",IF(AND(E419="Precautionary pause (containment)",ISNUMBER(W419),ISNUMBER(F419),W419&lt;F419),"Follow-up decision due date is before the pause",IF(AND(G419="Resume",IFERROR(LOOKUP(2,1/(($B$3:B418=B419)*($O$3:O418=O419)),$G$3:G418),"")&lt;&gt;"Paused — pending decision"),"Resume is only for the event straight after a Precautionary pause on the same AIR-ID and UC-ID (in an earlier row)",IF(AND(E419="Decision",OR(G419="Progress",G419="Progress with condition",G419="Re-authorise",G419="Resume"),X419&lt;&gt;"Yes"),"Decision-maker has not confirmed the screening was considered (column X)","Check against source")))))))))))))))))))))))))))))</f>
        <v/>
      </c>
      <c r="O419" s="37" t="n"/>
      <c r="P419" s="37" t="n"/>
      <c r="Q419" s="14">
        <f>IF(A419="","",IF(E419&lt;&gt;"Decision","",IF(P419="UC-ID specific",IF(O419="","UC-ID REQUIRED","Check source decision for each UC-ID"),IF(P419="Shared system baseline",IF(O419&lt;&gt;"","REMOVE UC-ID OR CORRECT SCOPE","Baseline only — NOT UC approval"),"Decision scope missing"))))</f>
        <v/>
      </c>
      <c r="R419" s="43" t="n"/>
      <c r="S419" s="40" t="n"/>
      <c r="T419" s="40" t="n"/>
      <c r="U419" s="40" t="n"/>
      <c r="V419" s="40" t="n"/>
      <c r="W419" s="41" t="n"/>
      <c r="X419" s="38" t="n"/>
    </row>
    <row r="420">
      <c r="A420" s="38" t="n"/>
      <c r="B420" s="38" t="n"/>
      <c r="C420" s="38" t="n"/>
      <c r="D420" s="38" t="n"/>
      <c r="E420" s="38" t="n"/>
      <c r="F420" s="39" t="n"/>
      <c r="G420" s="38" t="n"/>
      <c r="H420" s="38" t="n"/>
      <c r="I420" s="38" t="n"/>
      <c r="J420" s="38" t="n"/>
      <c r="K420" s="38" t="n"/>
      <c r="L420" s="38" t="n"/>
      <c r="M420" s="38" t="n"/>
      <c r="N420" s="22">
        <f>IF(COUNTA(A420:M420,O420:P420,R420:X420)=0,"",IF(OR(A420="",B420="",F420=""),"Event ID, AIR-ID or date missing",IF(COUNTIF($A$4:$A$553,A420)&gt;1,"Duplicate Event ID",IF(E420="","Event type missing",IF(OR(NOT(ISNUMBER(F420)),F420&gt;TODAY()),"Date is not a real date or is in the future",IF(AND(C420&lt;&gt;"",COUNTIF('Gate plan'!$A$4:$A$353,C420)=0),"Plan ID not found in Gate plan",IF(AND(C420&lt;&gt;"",COUNTIFS('Gate plan'!$A$4:$A$353,C420,'Gate plan'!$B$4:$B$353,B420)=0),"Plan AIR-ID differs from event",IF(D420="","Gate / forum missing",IF(AND(E420="Precautionary pause (containment)",G420&lt;&gt;"Paused — pending decision"),"Precautionary pause: Outcome must be Paused, pending decision",IF(AND(E420="Precautionary pause (containment)",V420=""),"Precautionary pause: AIG-OPS-03 incident ref missing",IF(AND(E420="Precautionary pause (containment)",NOT(ISNUMBER(W420))),"Precautionary pause: follow-up decision due date missing",IF(AND(G420="Paused — pending decision",E420&lt;&gt;"Precautionary pause (containment)"),"Paused, pending decision is only for a Precautionary pause event",IF(AND(E420="Decision",OR(G420="",H420="",I420="")),"Outcome / delegation / decision ref missing",IF(AND(E420="Decision",NOT(OR(G420="Progress",G420="Progress with condition",G420="Return for evidence",G420="Pause",G420="Stop",G420="Suspend",G420="Decommission",G420="Re-authorise",G420="Resume"))),"Decision event needs a decision outcome",IF(AND(E420="Priority override",OR(H420="",I420="")),"Decision-maker / AIG-DEC-03 ref missing",IF(AND(E420="Priority override",G420&lt;&gt;"",G420&lt;&gt;"No decision"),"Priority override: Outcome blank or No decision",IF(AND(E420&lt;&gt;"Decision",OR(G420="Progress",G420="Progress with condition",G420="Return for evidence",G420="Pause",G420="Stop",G420="Suspend",G420="Decommission",G420="Re-authorise",G420="Resume")),"Outcome implies decision",IF(OR(ISNUMBER(SEARCH(",",O420)),ISNUMBER(SEARCH(";",O420))),"One UC-ID per event row — split this event",IF(AND(E420="Decision",OR(Q420="UC-ID REQUIRED",Q420="Decision scope missing",Q420="REMOVE UC-ID OR CORRECT SCOPE")),"Decision scope missing",IF(AND(G420="Progress with condition",COUNTIF(Conditions!$B$4:$B$553,A420)=0),"Progress with condition needs at least one Conditions row",IF(AND(C420&lt;&gt;"",COUNTIFS('Gate plan'!$A$4:$A$353,C420,'Gate plan'!$C$4:$C$353,D420)=0),"Plan gate differs from event gate",IF(AND(C420&lt;&gt;"",O420&lt;&gt;"",COUNTIFS('Gate plan'!$A$4:$A$353,C420,'Gate plan'!$K$4:$K$353,"&lt;&gt;")&gt;0,COUNTIFS('Gate plan'!$A$4:$A$353,C420,'Gate plan'!$K$4:$K$353,O420)=0),"Plan UC-ID differs from event UC-ID",IF(AND(E420="Assurance opinion",J420=""),"Assurance opinion ref missing",IF(AND(G420="Opinion only",E420&lt;&gt;"Assurance opinion",E420&lt;&gt;"Review only"),"Opinion only is for Assurance opinion or Review only events",IF(AND(G420="No decision",E420&lt;&gt;"Review only",E420&lt;&gt;"Priority override",E420&lt;&gt;"Intake / registration"),"No decision is for Review only, Priority override or Intake / registration events",IF(OR(ISNUMBER(SEARCH(" ",TRIM(O420))),ISNUMBER(SEARCH("/",O420))),"One UC-ID per event row: split this event",IF(AND(E420="Precautionary pause (containment)",ISNUMBER(W420),ISNUMBER(F420),W420&lt;F420),"Follow-up decision due date is before the pause",IF(AND(G420="Resume",IFERROR(LOOKUP(2,1/(($B$3:B419=B420)*($O$3:O419=O420)),$G$3:G419),"")&lt;&gt;"Paused — pending decision"),"Resume is only for the event straight after a Precautionary pause on the same AIR-ID and UC-ID (in an earlier row)",IF(AND(E420="Decision",OR(G420="Progress",G420="Progress with condition",G420="Re-authorise",G420="Resume"),X420&lt;&gt;"Yes"),"Decision-maker has not confirmed the screening was considered (column X)","Check against source")))))))))))))))))))))))))))))</f>
        <v/>
      </c>
      <c r="O420" s="37" t="n"/>
      <c r="P420" s="37" t="n"/>
      <c r="Q420" s="14">
        <f>IF(A420="","",IF(E420&lt;&gt;"Decision","",IF(P420="UC-ID specific",IF(O420="","UC-ID REQUIRED","Check source decision for each UC-ID"),IF(P420="Shared system baseline",IF(O420&lt;&gt;"","REMOVE UC-ID OR CORRECT SCOPE","Baseline only — NOT UC approval"),"Decision scope missing"))))</f>
        <v/>
      </c>
      <c r="R420" s="42" t="n"/>
      <c r="S420" s="38" t="n"/>
      <c r="T420" s="38" t="n"/>
      <c r="U420" s="38" t="n"/>
      <c r="V420" s="38" t="n"/>
      <c r="W420" s="39" t="n"/>
      <c r="X420" s="38" t="n"/>
    </row>
    <row r="421">
      <c r="A421" s="40" t="n"/>
      <c r="B421" s="40" t="n"/>
      <c r="C421" s="40" t="n"/>
      <c r="D421" s="40" t="n"/>
      <c r="E421" s="40" t="n"/>
      <c r="F421" s="41" t="n"/>
      <c r="G421" s="40" t="n"/>
      <c r="H421" s="40" t="n"/>
      <c r="I421" s="40" t="n"/>
      <c r="J421" s="40" t="n"/>
      <c r="K421" s="40" t="n"/>
      <c r="L421" s="40" t="n"/>
      <c r="M421" s="40" t="n"/>
      <c r="N421" s="24">
        <f>IF(COUNTA(A421:M421,O421:P421,R421:X421)=0,"",IF(OR(A421="",B421="",F421=""),"Event ID, AIR-ID or date missing",IF(COUNTIF($A$4:$A$553,A421)&gt;1,"Duplicate Event ID",IF(E421="","Event type missing",IF(OR(NOT(ISNUMBER(F421)),F421&gt;TODAY()),"Date is not a real date or is in the future",IF(AND(C421&lt;&gt;"",COUNTIF('Gate plan'!$A$4:$A$353,C421)=0),"Plan ID not found in Gate plan",IF(AND(C421&lt;&gt;"",COUNTIFS('Gate plan'!$A$4:$A$353,C421,'Gate plan'!$B$4:$B$353,B421)=0),"Plan AIR-ID differs from event",IF(D421="","Gate / forum missing",IF(AND(E421="Precautionary pause (containment)",G421&lt;&gt;"Paused — pending decision"),"Precautionary pause: Outcome must be Paused, pending decision",IF(AND(E421="Precautionary pause (containment)",V421=""),"Precautionary pause: AIG-OPS-03 incident ref missing",IF(AND(E421="Precautionary pause (containment)",NOT(ISNUMBER(W421))),"Precautionary pause: follow-up decision due date missing",IF(AND(G421="Paused — pending decision",E421&lt;&gt;"Precautionary pause (containment)"),"Paused, pending decision is only for a Precautionary pause event",IF(AND(E421="Decision",OR(G421="",H421="",I421="")),"Outcome / delegation / decision ref missing",IF(AND(E421="Decision",NOT(OR(G421="Progress",G421="Progress with condition",G421="Return for evidence",G421="Pause",G421="Stop",G421="Suspend",G421="Decommission",G421="Re-authorise",G421="Resume"))),"Decision event needs a decision outcome",IF(AND(E421="Priority override",OR(H421="",I421="")),"Decision-maker / AIG-DEC-03 ref missing",IF(AND(E421="Priority override",G421&lt;&gt;"",G421&lt;&gt;"No decision"),"Priority override: Outcome blank or No decision",IF(AND(E421&lt;&gt;"Decision",OR(G421="Progress",G421="Progress with condition",G421="Return for evidence",G421="Pause",G421="Stop",G421="Suspend",G421="Decommission",G421="Re-authorise",G421="Resume")),"Outcome implies decision",IF(OR(ISNUMBER(SEARCH(",",O421)),ISNUMBER(SEARCH(";",O421))),"One UC-ID per event row — split this event",IF(AND(E421="Decision",OR(Q421="UC-ID REQUIRED",Q421="Decision scope missing",Q421="REMOVE UC-ID OR CORRECT SCOPE")),"Decision scope missing",IF(AND(G421="Progress with condition",COUNTIF(Conditions!$B$4:$B$553,A421)=0),"Progress with condition needs at least one Conditions row",IF(AND(C421&lt;&gt;"",COUNTIFS('Gate plan'!$A$4:$A$353,C421,'Gate plan'!$C$4:$C$353,D421)=0),"Plan gate differs from event gate",IF(AND(C421&lt;&gt;"",O421&lt;&gt;"",COUNTIFS('Gate plan'!$A$4:$A$353,C421,'Gate plan'!$K$4:$K$353,"&lt;&gt;")&gt;0,COUNTIFS('Gate plan'!$A$4:$A$353,C421,'Gate plan'!$K$4:$K$353,O421)=0),"Plan UC-ID differs from event UC-ID",IF(AND(E421="Assurance opinion",J421=""),"Assurance opinion ref missing",IF(AND(G421="Opinion only",E421&lt;&gt;"Assurance opinion",E421&lt;&gt;"Review only"),"Opinion only is for Assurance opinion or Review only events",IF(AND(G421="No decision",E421&lt;&gt;"Review only",E421&lt;&gt;"Priority override",E421&lt;&gt;"Intake / registration"),"No decision is for Review only, Priority override or Intake / registration events",IF(OR(ISNUMBER(SEARCH(" ",TRIM(O421))),ISNUMBER(SEARCH("/",O421))),"One UC-ID per event row: split this event",IF(AND(E421="Precautionary pause (containment)",ISNUMBER(W421),ISNUMBER(F421),W421&lt;F421),"Follow-up decision due date is before the pause",IF(AND(G421="Resume",IFERROR(LOOKUP(2,1/(($B$3:B420=B421)*($O$3:O420=O421)),$G$3:G420),"")&lt;&gt;"Paused — pending decision"),"Resume is only for the event straight after a Precautionary pause on the same AIR-ID and UC-ID (in an earlier row)",IF(AND(E421="Decision",OR(G421="Progress",G421="Progress with condition",G421="Re-authorise",G421="Resume"),X421&lt;&gt;"Yes"),"Decision-maker has not confirmed the screening was considered (column X)","Check against source")))))))))))))))))))))))))))))</f>
        <v/>
      </c>
      <c r="O421" s="37" t="n"/>
      <c r="P421" s="37" t="n"/>
      <c r="Q421" s="14">
        <f>IF(A421="","",IF(E421&lt;&gt;"Decision","",IF(P421="UC-ID specific",IF(O421="","UC-ID REQUIRED","Check source decision for each UC-ID"),IF(P421="Shared system baseline",IF(O421&lt;&gt;"","REMOVE UC-ID OR CORRECT SCOPE","Baseline only — NOT UC approval"),"Decision scope missing"))))</f>
        <v/>
      </c>
      <c r="R421" s="43" t="n"/>
      <c r="S421" s="40" t="n"/>
      <c r="T421" s="40" t="n"/>
      <c r="U421" s="40" t="n"/>
      <c r="V421" s="40" t="n"/>
      <c r="W421" s="41" t="n"/>
      <c r="X421" s="38" t="n"/>
    </row>
    <row r="422">
      <c r="A422" s="38" t="n"/>
      <c r="B422" s="38" t="n"/>
      <c r="C422" s="38" t="n"/>
      <c r="D422" s="38" t="n"/>
      <c r="E422" s="38" t="n"/>
      <c r="F422" s="39" t="n"/>
      <c r="G422" s="38" t="n"/>
      <c r="H422" s="38" t="n"/>
      <c r="I422" s="38" t="n"/>
      <c r="J422" s="38" t="n"/>
      <c r="K422" s="38" t="n"/>
      <c r="L422" s="38" t="n"/>
      <c r="M422" s="38" t="n"/>
      <c r="N422" s="22">
        <f>IF(COUNTA(A422:M422,O422:P422,R422:X422)=0,"",IF(OR(A422="",B422="",F422=""),"Event ID, AIR-ID or date missing",IF(COUNTIF($A$4:$A$553,A422)&gt;1,"Duplicate Event ID",IF(E422="","Event type missing",IF(OR(NOT(ISNUMBER(F422)),F422&gt;TODAY()),"Date is not a real date or is in the future",IF(AND(C422&lt;&gt;"",COUNTIF('Gate plan'!$A$4:$A$353,C422)=0),"Plan ID not found in Gate plan",IF(AND(C422&lt;&gt;"",COUNTIFS('Gate plan'!$A$4:$A$353,C422,'Gate plan'!$B$4:$B$353,B422)=0),"Plan AIR-ID differs from event",IF(D422="","Gate / forum missing",IF(AND(E422="Precautionary pause (containment)",G422&lt;&gt;"Paused — pending decision"),"Precautionary pause: Outcome must be Paused, pending decision",IF(AND(E422="Precautionary pause (containment)",V422=""),"Precautionary pause: AIG-OPS-03 incident ref missing",IF(AND(E422="Precautionary pause (containment)",NOT(ISNUMBER(W422))),"Precautionary pause: follow-up decision due date missing",IF(AND(G422="Paused — pending decision",E422&lt;&gt;"Precautionary pause (containment)"),"Paused, pending decision is only for a Precautionary pause event",IF(AND(E422="Decision",OR(G422="",H422="",I422="")),"Outcome / delegation / decision ref missing",IF(AND(E422="Decision",NOT(OR(G422="Progress",G422="Progress with condition",G422="Return for evidence",G422="Pause",G422="Stop",G422="Suspend",G422="Decommission",G422="Re-authorise",G422="Resume"))),"Decision event needs a decision outcome",IF(AND(E422="Priority override",OR(H422="",I422="")),"Decision-maker / AIG-DEC-03 ref missing",IF(AND(E422="Priority override",G422&lt;&gt;"",G422&lt;&gt;"No decision"),"Priority override: Outcome blank or No decision",IF(AND(E422&lt;&gt;"Decision",OR(G422="Progress",G422="Progress with condition",G422="Return for evidence",G422="Pause",G422="Stop",G422="Suspend",G422="Decommission",G422="Re-authorise",G422="Resume")),"Outcome implies decision",IF(OR(ISNUMBER(SEARCH(",",O422)),ISNUMBER(SEARCH(";",O422))),"One UC-ID per event row — split this event",IF(AND(E422="Decision",OR(Q422="UC-ID REQUIRED",Q422="Decision scope missing",Q422="REMOVE UC-ID OR CORRECT SCOPE")),"Decision scope missing",IF(AND(G422="Progress with condition",COUNTIF(Conditions!$B$4:$B$553,A422)=0),"Progress with condition needs at least one Conditions row",IF(AND(C422&lt;&gt;"",COUNTIFS('Gate plan'!$A$4:$A$353,C422,'Gate plan'!$C$4:$C$353,D422)=0),"Plan gate differs from event gate",IF(AND(C422&lt;&gt;"",O422&lt;&gt;"",COUNTIFS('Gate plan'!$A$4:$A$353,C422,'Gate plan'!$K$4:$K$353,"&lt;&gt;")&gt;0,COUNTIFS('Gate plan'!$A$4:$A$353,C422,'Gate plan'!$K$4:$K$353,O422)=0),"Plan UC-ID differs from event UC-ID",IF(AND(E422="Assurance opinion",J422=""),"Assurance opinion ref missing",IF(AND(G422="Opinion only",E422&lt;&gt;"Assurance opinion",E422&lt;&gt;"Review only"),"Opinion only is for Assurance opinion or Review only events",IF(AND(G422="No decision",E422&lt;&gt;"Review only",E422&lt;&gt;"Priority override",E422&lt;&gt;"Intake / registration"),"No decision is for Review only, Priority override or Intake / registration events",IF(OR(ISNUMBER(SEARCH(" ",TRIM(O422))),ISNUMBER(SEARCH("/",O422))),"One UC-ID per event row: split this event",IF(AND(E422="Precautionary pause (containment)",ISNUMBER(W422),ISNUMBER(F422),W422&lt;F422),"Follow-up decision due date is before the pause",IF(AND(G422="Resume",IFERROR(LOOKUP(2,1/(($B$3:B421=B422)*($O$3:O421=O422)),$G$3:G421),"")&lt;&gt;"Paused — pending decision"),"Resume is only for the event straight after a Precautionary pause on the same AIR-ID and UC-ID (in an earlier row)",IF(AND(E422="Decision",OR(G422="Progress",G422="Progress with condition",G422="Re-authorise",G422="Resume"),X422&lt;&gt;"Yes"),"Decision-maker has not confirmed the screening was considered (column X)","Check against source")))))))))))))))))))))))))))))</f>
        <v/>
      </c>
      <c r="O422" s="37" t="n"/>
      <c r="P422" s="37" t="n"/>
      <c r="Q422" s="14">
        <f>IF(A422="","",IF(E422&lt;&gt;"Decision","",IF(P422="UC-ID specific",IF(O422="","UC-ID REQUIRED","Check source decision for each UC-ID"),IF(P422="Shared system baseline",IF(O422&lt;&gt;"","REMOVE UC-ID OR CORRECT SCOPE","Baseline only — NOT UC approval"),"Decision scope missing"))))</f>
        <v/>
      </c>
      <c r="R422" s="42" t="n"/>
      <c r="S422" s="38" t="n"/>
      <c r="T422" s="38" t="n"/>
      <c r="U422" s="38" t="n"/>
      <c r="V422" s="38" t="n"/>
      <c r="W422" s="39" t="n"/>
      <c r="X422" s="38" t="n"/>
    </row>
    <row r="423">
      <c r="A423" s="40" t="n"/>
      <c r="B423" s="40" t="n"/>
      <c r="C423" s="40" t="n"/>
      <c r="D423" s="40" t="n"/>
      <c r="E423" s="40" t="n"/>
      <c r="F423" s="41" t="n"/>
      <c r="G423" s="40" t="n"/>
      <c r="H423" s="40" t="n"/>
      <c r="I423" s="40" t="n"/>
      <c r="J423" s="40" t="n"/>
      <c r="K423" s="40" t="n"/>
      <c r="L423" s="40" t="n"/>
      <c r="M423" s="40" t="n"/>
      <c r="N423" s="24">
        <f>IF(COUNTA(A423:M423,O423:P423,R423:X423)=0,"",IF(OR(A423="",B423="",F423=""),"Event ID, AIR-ID or date missing",IF(COUNTIF($A$4:$A$553,A423)&gt;1,"Duplicate Event ID",IF(E423="","Event type missing",IF(OR(NOT(ISNUMBER(F423)),F423&gt;TODAY()),"Date is not a real date or is in the future",IF(AND(C423&lt;&gt;"",COUNTIF('Gate plan'!$A$4:$A$353,C423)=0),"Plan ID not found in Gate plan",IF(AND(C423&lt;&gt;"",COUNTIFS('Gate plan'!$A$4:$A$353,C423,'Gate plan'!$B$4:$B$353,B423)=0),"Plan AIR-ID differs from event",IF(D423="","Gate / forum missing",IF(AND(E423="Precautionary pause (containment)",G423&lt;&gt;"Paused — pending decision"),"Precautionary pause: Outcome must be Paused, pending decision",IF(AND(E423="Precautionary pause (containment)",V423=""),"Precautionary pause: AIG-OPS-03 incident ref missing",IF(AND(E423="Precautionary pause (containment)",NOT(ISNUMBER(W423))),"Precautionary pause: follow-up decision due date missing",IF(AND(G423="Paused — pending decision",E423&lt;&gt;"Precautionary pause (containment)"),"Paused, pending decision is only for a Precautionary pause event",IF(AND(E423="Decision",OR(G423="",H423="",I423="")),"Outcome / delegation / decision ref missing",IF(AND(E423="Decision",NOT(OR(G423="Progress",G423="Progress with condition",G423="Return for evidence",G423="Pause",G423="Stop",G423="Suspend",G423="Decommission",G423="Re-authorise",G423="Resume"))),"Decision event needs a decision outcome",IF(AND(E423="Priority override",OR(H423="",I423="")),"Decision-maker / AIG-DEC-03 ref missing",IF(AND(E423="Priority override",G423&lt;&gt;"",G423&lt;&gt;"No decision"),"Priority override: Outcome blank or No decision",IF(AND(E423&lt;&gt;"Decision",OR(G423="Progress",G423="Progress with condition",G423="Return for evidence",G423="Pause",G423="Stop",G423="Suspend",G423="Decommission",G423="Re-authorise",G423="Resume")),"Outcome implies decision",IF(OR(ISNUMBER(SEARCH(",",O423)),ISNUMBER(SEARCH(";",O423))),"One UC-ID per event row — split this event",IF(AND(E423="Decision",OR(Q423="UC-ID REQUIRED",Q423="Decision scope missing",Q423="REMOVE UC-ID OR CORRECT SCOPE")),"Decision scope missing",IF(AND(G423="Progress with condition",COUNTIF(Conditions!$B$4:$B$553,A423)=0),"Progress with condition needs at least one Conditions row",IF(AND(C423&lt;&gt;"",COUNTIFS('Gate plan'!$A$4:$A$353,C423,'Gate plan'!$C$4:$C$353,D423)=0),"Plan gate differs from event gate",IF(AND(C423&lt;&gt;"",O423&lt;&gt;"",COUNTIFS('Gate plan'!$A$4:$A$353,C423,'Gate plan'!$K$4:$K$353,"&lt;&gt;")&gt;0,COUNTIFS('Gate plan'!$A$4:$A$353,C423,'Gate plan'!$K$4:$K$353,O423)=0),"Plan UC-ID differs from event UC-ID",IF(AND(E423="Assurance opinion",J423=""),"Assurance opinion ref missing",IF(AND(G423="Opinion only",E423&lt;&gt;"Assurance opinion",E423&lt;&gt;"Review only"),"Opinion only is for Assurance opinion or Review only events",IF(AND(G423="No decision",E423&lt;&gt;"Review only",E423&lt;&gt;"Priority override",E423&lt;&gt;"Intake / registration"),"No decision is for Review only, Priority override or Intake / registration events",IF(OR(ISNUMBER(SEARCH(" ",TRIM(O423))),ISNUMBER(SEARCH("/",O423))),"One UC-ID per event row: split this event",IF(AND(E423="Precautionary pause (containment)",ISNUMBER(W423),ISNUMBER(F423),W423&lt;F423),"Follow-up decision due date is before the pause",IF(AND(G423="Resume",IFERROR(LOOKUP(2,1/(($B$3:B422=B423)*($O$3:O422=O423)),$G$3:G422),"")&lt;&gt;"Paused — pending decision"),"Resume is only for the event straight after a Precautionary pause on the same AIR-ID and UC-ID (in an earlier row)",IF(AND(E423="Decision",OR(G423="Progress",G423="Progress with condition",G423="Re-authorise",G423="Resume"),X423&lt;&gt;"Yes"),"Decision-maker has not confirmed the screening was considered (column X)","Check against source")))))))))))))))))))))))))))))</f>
        <v/>
      </c>
      <c r="O423" s="37" t="n"/>
      <c r="P423" s="37" t="n"/>
      <c r="Q423" s="14">
        <f>IF(A423="","",IF(E423&lt;&gt;"Decision","",IF(P423="UC-ID specific",IF(O423="","UC-ID REQUIRED","Check source decision for each UC-ID"),IF(P423="Shared system baseline",IF(O423&lt;&gt;"","REMOVE UC-ID OR CORRECT SCOPE","Baseline only — NOT UC approval"),"Decision scope missing"))))</f>
        <v/>
      </c>
      <c r="R423" s="43" t="n"/>
      <c r="S423" s="40" t="n"/>
      <c r="T423" s="40" t="n"/>
      <c r="U423" s="40" t="n"/>
      <c r="V423" s="40" t="n"/>
      <c r="W423" s="41" t="n"/>
      <c r="X423" s="38" t="n"/>
    </row>
    <row r="424">
      <c r="A424" s="38" t="n"/>
      <c r="B424" s="38" t="n"/>
      <c r="C424" s="38" t="n"/>
      <c r="D424" s="38" t="n"/>
      <c r="E424" s="38" t="n"/>
      <c r="F424" s="39" t="n"/>
      <c r="G424" s="38" t="n"/>
      <c r="H424" s="38" t="n"/>
      <c r="I424" s="38" t="n"/>
      <c r="J424" s="38" t="n"/>
      <c r="K424" s="38" t="n"/>
      <c r="L424" s="38" t="n"/>
      <c r="M424" s="38" t="n"/>
      <c r="N424" s="22">
        <f>IF(COUNTA(A424:M424,O424:P424,R424:X424)=0,"",IF(OR(A424="",B424="",F424=""),"Event ID, AIR-ID or date missing",IF(COUNTIF($A$4:$A$553,A424)&gt;1,"Duplicate Event ID",IF(E424="","Event type missing",IF(OR(NOT(ISNUMBER(F424)),F424&gt;TODAY()),"Date is not a real date or is in the future",IF(AND(C424&lt;&gt;"",COUNTIF('Gate plan'!$A$4:$A$353,C424)=0),"Plan ID not found in Gate plan",IF(AND(C424&lt;&gt;"",COUNTIFS('Gate plan'!$A$4:$A$353,C424,'Gate plan'!$B$4:$B$353,B424)=0),"Plan AIR-ID differs from event",IF(D424="","Gate / forum missing",IF(AND(E424="Precautionary pause (containment)",G424&lt;&gt;"Paused — pending decision"),"Precautionary pause: Outcome must be Paused, pending decision",IF(AND(E424="Precautionary pause (containment)",V424=""),"Precautionary pause: AIG-OPS-03 incident ref missing",IF(AND(E424="Precautionary pause (containment)",NOT(ISNUMBER(W424))),"Precautionary pause: follow-up decision due date missing",IF(AND(G424="Paused — pending decision",E424&lt;&gt;"Precautionary pause (containment)"),"Paused, pending decision is only for a Precautionary pause event",IF(AND(E424="Decision",OR(G424="",H424="",I424="")),"Outcome / delegation / decision ref missing",IF(AND(E424="Decision",NOT(OR(G424="Progress",G424="Progress with condition",G424="Return for evidence",G424="Pause",G424="Stop",G424="Suspend",G424="Decommission",G424="Re-authorise",G424="Resume"))),"Decision event needs a decision outcome",IF(AND(E424="Priority override",OR(H424="",I424="")),"Decision-maker / AIG-DEC-03 ref missing",IF(AND(E424="Priority override",G424&lt;&gt;"",G424&lt;&gt;"No decision"),"Priority override: Outcome blank or No decision",IF(AND(E424&lt;&gt;"Decision",OR(G424="Progress",G424="Progress with condition",G424="Return for evidence",G424="Pause",G424="Stop",G424="Suspend",G424="Decommission",G424="Re-authorise",G424="Resume")),"Outcome implies decision",IF(OR(ISNUMBER(SEARCH(",",O424)),ISNUMBER(SEARCH(";",O424))),"One UC-ID per event row — split this event",IF(AND(E424="Decision",OR(Q424="UC-ID REQUIRED",Q424="Decision scope missing",Q424="REMOVE UC-ID OR CORRECT SCOPE")),"Decision scope missing",IF(AND(G424="Progress with condition",COUNTIF(Conditions!$B$4:$B$553,A424)=0),"Progress with condition needs at least one Conditions row",IF(AND(C424&lt;&gt;"",COUNTIFS('Gate plan'!$A$4:$A$353,C424,'Gate plan'!$C$4:$C$353,D424)=0),"Plan gate differs from event gate",IF(AND(C424&lt;&gt;"",O424&lt;&gt;"",COUNTIFS('Gate plan'!$A$4:$A$353,C424,'Gate plan'!$K$4:$K$353,"&lt;&gt;")&gt;0,COUNTIFS('Gate plan'!$A$4:$A$353,C424,'Gate plan'!$K$4:$K$353,O424)=0),"Plan UC-ID differs from event UC-ID",IF(AND(E424="Assurance opinion",J424=""),"Assurance opinion ref missing",IF(AND(G424="Opinion only",E424&lt;&gt;"Assurance opinion",E424&lt;&gt;"Review only"),"Opinion only is for Assurance opinion or Review only events",IF(AND(G424="No decision",E424&lt;&gt;"Review only",E424&lt;&gt;"Priority override",E424&lt;&gt;"Intake / registration"),"No decision is for Review only, Priority override or Intake / registration events",IF(OR(ISNUMBER(SEARCH(" ",TRIM(O424))),ISNUMBER(SEARCH("/",O424))),"One UC-ID per event row: split this event",IF(AND(E424="Precautionary pause (containment)",ISNUMBER(W424),ISNUMBER(F424),W424&lt;F424),"Follow-up decision due date is before the pause",IF(AND(G424="Resume",IFERROR(LOOKUP(2,1/(($B$3:B423=B424)*($O$3:O423=O424)),$G$3:G423),"")&lt;&gt;"Paused — pending decision"),"Resume is only for the event straight after a Precautionary pause on the same AIR-ID and UC-ID (in an earlier row)",IF(AND(E424="Decision",OR(G424="Progress",G424="Progress with condition",G424="Re-authorise",G424="Resume"),X424&lt;&gt;"Yes"),"Decision-maker has not confirmed the screening was considered (column X)","Check against source")))))))))))))))))))))))))))))</f>
        <v/>
      </c>
      <c r="O424" s="37" t="n"/>
      <c r="P424" s="37" t="n"/>
      <c r="Q424" s="14">
        <f>IF(A424="","",IF(E424&lt;&gt;"Decision","",IF(P424="UC-ID specific",IF(O424="","UC-ID REQUIRED","Check source decision for each UC-ID"),IF(P424="Shared system baseline",IF(O424&lt;&gt;"","REMOVE UC-ID OR CORRECT SCOPE","Baseline only — NOT UC approval"),"Decision scope missing"))))</f>
        <v/>
      </c>
      <c r="R424" s="42" t="n"/>
      <c r="S424" s="38" t="n"/>
      <c r="T424" s="38" t="n"/>
      <c r="U424" s="38" t="n"/>
      <c r="V424" s="38" t="n"/>
      <c r="W424" s="39" t="n"/>
      <c r="X424" s="38" t="n"/>
    </row>
    <row r="425">
      <c r="A425" s="40" t="n"/>
      <c r="B425" s="40" t="n"/>
      <c r="C425" s="40" t="n"/>
      <c r="D425" s="40" t="n"/>
      <c r="E425" s="40" t="n"/>
      <c r="F425" s="41" t="n"/>
      <c r="G425" s="40" t="n"/>
      <c r="H425" s="40" t="n"/>
      <c r="I425" s="40" t="n"/>
      <c r="J425" s="40" t="n"/>
      <c r="K425" s="40" t="n"/>
      <c r="L425" s="40" t="n"/>
      <c r="M425" s="40" t="n"/>
      <c r="N425" s="24">
        <f>IF(COUNTA(A425:M425,O425:P425,R425:X425)=0,"",IF(OR(A425="",B425="",F425=""),"Event ID, AIR-ID or date missing",IF(COUNTIF($A$4:$A$553,A425)&gt;1,"Duplicate Event ID",IF(E425="","Event type missing",IF(OR(NOT(ISNUMBER(F425)),F425&gt;TODAY()),"Date is not a real date or is in the future",IF(AND(C425&lt;&gt;"",COUNTIF('Gate plan'!$A$4:$A$353,C425)=0),"Plan ID not found in Gate plan",IF(AND(C425&lt;&gt;"",COUNTIFS('Gate plan'!$A$4:$A$353,C425,'Gate plan'!$B$4:$B$353,B425)=0),"Plan AIR-ID differs from event",IF(D425="","Gate / forum missing",IF(AND(E425="Precautionary pause (containment)",G425&lt;&gt;"Paused — pending decision"),"Precautionary pause: Outcome must be Paused, pending decision",IF(AND(E425="Precautionary pause (containment)",V425=""),"Precautionary pause: AIG-OPS-03 incident ref missing",IF(AND(E425="Precautionary pause (containment)",NOT(ISNUMBER(W425))),"Precautionary pause: follow-up decision due date missing",IF(AND(G425="Paused — pending decision",E425&lt;&gt;"Precautionary pause (containment)"),"Paused, pending decision is only for a Precautionary pause event",IF(AND(E425="Decision",OR(G425="",H425="",I425="")),"Outcome / delegation / decision ref missing",IF(AND(E425="Decision",NOT(OR(G425="Progress",G425="Progress with condition",G425="Return for evidence",G425="Pause",G425="Stop",G425="Suspend",G425="Decommission",G425="Re-authorise",G425="Resume"))),"Decision event needs a decision outcome",IF(AND(E425="Priority override",OR(H425="",I425="")),"Decision-maker / AIG-DEC-03 ref missing",IF(AND(E425="Priority override",G425&lt;&gt;"",G425&lt;&gt;"No decision"),"Priority override: Outcome blank or No decision",IF(AND(E425&lt;&gt;"Decision",OR(G425="Progress",G425="Progress with condition",G425="Return for evidence",G425="Pause",G425="Stop",G425="Suspend",G425="Decommission",G425="Re-authorise",G425="Resume")),"Outcome implies decision",IF(OR(ISNUMBER(SEARCH(",",O425)),ISNUMBER(SEARCH(";",O425))),"One UC-ID per event row — split this event",IF(AND(E425="Decision",OR(Q425="UC-ID REQUIRED",Q425="Decision scope missing",Q425="REMOVE UC-ID OR CORRECT SCOPE")),"Decision scope missing",IF(AND(G425="Progress with condition",COUNTIF(Conditions!$B$4:$B$553,A425)=0),"Progress with condition needs at least one Conditions row",IF(AND(C425&lt;&gt;"",COUNTIFS('Gate plan'!$A$4:$A$353,C425,'Gate plan'!$C$4:$C$353,D425)=0),"Plan gate differs from event gate",IF(AND(C425&lt;&gt;"",O425&lt;&gt;"",COUNTIFS('Gate plan'!$A$4:$A$353,C425,'Gate plan'!$K$4:$K$353,"&lt;&gt;")&gt;0,COUNTIFS('Gate plan'!$A$4:$A$353,C425,'Gate plan'!$K$4:$K$353,O425)=0),"Plan UC-ID differs from event UC-ID",IF(AND(E425="Assurance opinion",J425=""),"Assurance opinion ref missing",IF(AND(G425="Opinion only",E425&lt;&gt;"Assurance opinion",E425&lt;&gt;"Review only"),"Opinion only is for Assurance opinion or Review only events",IF(AND(G425="No decision",E425&lt;&gt;"Review only",E425&lt;&gt;"Priority override",E425&lt;&gt;"Intake / registration"),"No decision is for Review only, Priority override or Intake / registration events",IF(OR(ISNUMBER(SEARCH(" ",TRIM(O425))),ISNUMBER(SEARCH("/",O425))),"One UC-ID per event row: split this event",IF(AND(E425="Precautionary pause (containment)",ISNUMBER(W425),ISNUMBER(F425),W425&lt;F425),"Follow-up decision due date is before the pause",IF(AND(G425="Resume",IFERROR(LOOKUP(2,1/(($B$3:B424=B425)*($O$3:O424=O425)),$G$3:G424),"")&lt;&gt;"Paused — pending decision"),"Resume is only for the event straight after a Precautionary pause on the same AIR-ID and UC-ID (in an earlier row)",IF(AND(E425="Decision",OR(G425="Progress",G425="Progress with condition",G425="Re-authorise",G425="Resume"),X425&lt;&gt;"Yes"),"Decision-maker has not confirmed the screening was considered (column X)","Check against source")))))))))))))))))))))))))))))</f>
        <v/>
      </c>
      <c r="O425" s="37" t="n"/>
      <c r="P425" s="37" t="n"/>
      <c r="Q425" s="14">
        <f>IF(A425="","",IF(E425&lt;&gt;"Decision","",IF(P425="UC-ID specific",IF(O425="","UC-ID REQUIRED","Check source decision for each UC-ID"),IF(P425="Shared system baseline",IF(O425&lt;&gt;"","REMOVE UC-ID OR CORRECT SCOPE","Baseline only — NOT UC approval"),"Decision scope missing"))))</f>
        <v/>
      </c>
      <c r="R425" s="43" t="n"/>
      <c r="S425" s="40" t="n"/>
      <c r="T425" s="40" t="n"/>
      <c r="U425" s="40" t="n"/>
      <c r="V425" s="40" t="n"/>
      <c r="W425" s="41" t="n"/>
      <c r="X425" s="38" t="n"/>
    </row>
    <row r="426">
      <c r="A426" s="38" t="n"/>
      <c r="B426" s="38" t="n"/>
      <c r="C426" s="38" t="n"/>
      <c r="D426" s="38" t="n"/>
      <c r="E426" s="38" t="n"/>
      <c r="F426" s="39" t="n"/>
      <c r="G426" s="38" t="n"/>
      <c r="H426" s="38" t="n"/>
      <c r="I426" s="38" t="n"/>
      <c r="J426" s="38" t="n"/>
      <c r="K426" s="38" t="n"/>
      <c r="L426" s="38" t="n"/>
      <c r="M426" s="38" t="n"/>
      <c r="N426" s="22">
        <f>IF(COUNTA(A426:M426,O426:P426,R426:X426)=0,"",IF(OR(A426="",B426="",F426=""),"Event ID, AIR-ID or date missing",IF(COUNTIF($A$4:$A$553,A426)&gt;1,"Duplicate Event ID",IF(E426="","Event type missing",IF(OR(NOT(ISNUMBER(F426)),F426&gt;TODAY()),"Date is not a real date or is in the future",IF(AND(C426&lt;&gt;"",COUNTIF('Gate plan'!$A$4:$A$353,C426)=0),"Plan ID not found in Gate plan",IF(AND(C426&lt;&gt;"",COUNTIFS('Gate plan'!$A$4:$A$353,C426,'Gate plan'!$B$4:$B$353,B426)=0),"Plan AIR-ID differs from event",IF(D426="","Gate / forum missing",IF(AND(E426="Precautionary pause (containment)",G426&lt;&gt;"Paused — pending decision"),"Precautionary pause: Outcome must be Paused, pending decision",IF(AND(E426="Precautionary pause (containment)",V426=""),"Precautionary pause: AIG-OPS-03 incident ref missing",IF(AND(E426="Precautionary pause (containment)",NOT(ISNUMBER(W426))),"Precautionary pause: follow-up decision due date missing",IF(AND(G426="Paused — pending decision",E426&lt;&gt;"Precautionary pause (containment)"),"Paused, pending decision is only for a Precautionary pause event",IF(AND(E426="Decision",OR(G426="",H426="",I426="")),"Outcome / delegation / decision ref missing",IF(AND(E426="Decision",NOT(OR(G426="Progress",G426="Progress with condition",G426="Return for evidence",G426="Pause",G426="Stop",G426="Suspend",G426="Decommission",G426="Re-authorise",G426="Resume"))),"Decision event needs a decision outcome",IF(AND(E426="Priority override",OR(H426="",I426="")),"Decision-maker / AIG-DEC-03 ref missing",IF(AND(E426="Priority override",G426&lt;&gt;"",G426&lt;&gt;"No decision"),"Priority override: Outcome blank or No decision",IF(AND(E426&lt;&gt;"Decision",OR(G426="Progress",G426="Progress with condition",G426="Return for evidence",G426="Pause",G426="Stop",G426="Suspend",G426="Decommission",G426="Re-authorise",G426="Resume")),"Outcome implies decision",IF(OR(ISNUMBER(SEARCH(",",O426)),ISNUMBER(SEARCH(";",O426))),"One UC-ID per event row — split this event",IF(AND(E426="Decision",OR(Q426="UC-ID REQUIRED",Q426="Decision scope missing",Q426="REMOVE UC-ID OR CORRECT SCOPE")),"Decision scope missing",IF(AND(G426="Progress with condition",COUNTIF(Conditions!$B$4:$B$553,A426)=0),"Progress with condition needs at least one Conditions row",IF(AND(C426&lt;&gt;"",COUNTIFS('Gate plan'!$A$4:$A$353,C426,'Gate plan'!$C$4:$C$353,D426)=0),"Plan gate differs from event gate",IF(AND(C426&lt;&gt;"",O426&lt;&gt;"",COUNTIFS('Gate plan'!$A$4:$A$353,C426,'Gate plan'!$K$4:$K$353,"&lt;&gt;")&gt;0,COUNTIFS('Gate plan'!$A$4:$A$353,C426,'Gate plan'!$K$4:$K$353,O426)=0),"Plan UC-ID differs from event UC-ID",IF(AND(E426="Assurance opinion",J426=""),"Assurance opinion ref missing",IF(AND(G426="Opinion only",E426&lt;&gt;"Assurance opinion",E426&lt;&gt;"Review only"),"Opinion only is for Assurance opinion or Review only events",IF(AND(G426="No decision",E426&lt;&gt;"Review only",E426&lt;&gt;"Priority override",E426&lt;&gt;"Intake / registration"),"No decision is for Review only, Priority override or Intake / registration events",IF(OR(ISNUMBER(SEARCH(" ",TRIM(O426))),ISNUMBER(SEARCH("/",O426))),"One UC-ID per event row: split this event",IF(AND(E426="Precautionary pause (containment)",ISNUMBER(W426),ISNUMBER(F426),W426&lt;F426),"Follow-up decision due date is before the pause",IF(AND(G426="Resume",IFERROR(LOOKUP(2,1/(($B$3:B425=B426)*($O$3:O425=O426)),$G$3:G425),"")&lt;&gt;"Paused — pending decision"),"Resume is only for the event straight after a Precautionary pause on the same AIR-ID and UC-ID (in an earlier row)",IF(AND(E426="Decision",OR(G426="Progress",G426="Progress with condition",G426="Re-authorise",G426="Resume"),X426&lt;&gt;"Yes"),"Decision-maker has not confirmed the screening was considered (column X)","Check against source")))))))))))))))))))))))))))))</f>
        <v/>
      </c>
      <c r="O426" s="37" t="n"/>
      <c r="P426" s="37" t="n"/>
      <c r="Q426" s="14">
        <f>IF(A426="","",IF(E426&lt;&gt;"Decision","",IF(P426="UC-ID specific",IF(O426="","UC-ID REQUIRED","Check source decision for each UC-ID"),IF(P426="Shared system baseline",IF(O426&lt;&gt;"","REMOVE UC-ID OR CORRECT SCOPE","Baseline only — NOT UC approval"),"Decision scope missing"))))</f>
        <v/>
      </c>
      <c r="R426" s="42" t="n"/>
      <c r="S426" s="38" t="n"/>
      <c r="T426" s="38" t="n"/>
      <c r="U426" s="38" t="n"/>
      <c r="V426" s="38" t="n"/>
      <c r="W426" s="39" t="n"/>
      <c r="X426" s="38" t="n"/>
    </row>
    <row r="427">
      <c r="A427" s="40" t="n"/>
      <c r="B427" s="40" t="n"/>
      <c r="C427" s="40" t="n"/>
      <c r="D427" s="40" t="n"/>
      <c r="E427" s="40" t="n"/>
      <c r="F427" s="41" t="n"/>
      <c r="G427" s="40" t="n"/>
      <c r="H427" s="40" t="n"/>
      <c r="I427" s="40" t="n"/>
      <c r="J427" s="40" t="n"/>
      <c r="K427" s="40" t="n"/>
      <c r="L427" s="40" t="n"/>
      <c r="M427" s="40" t="n"/>
      <c r="N427" s="24">
        <f>IF(COUNTA(A427:M427,O427:P427,R427:X427)=0,"",IF(OR(A427="",B427="",F427=""),"Event ID, AIR-ID or date missing",IF(COUNTIF($A$4:$A$553,A427)&gt;1,"Duplicate Event ID",IF(E427="","Event type missing",IF(OR(NOT(ISNUMBER(F427)),F427&gt;TODAY()),"Date is not a real date or is in the future",IF(AND(C427&lt;&gt;"",COUNTIF('Gate plan'!$A$4:$A$353,C427)=0),"Plan ID not found in Gate plan",IF(AND(C427&lt;&gt;"",COUNTIFS('Gate plan'!$A$4:$A$353,C427,'Gate plan'!$B$4:$B$353,B427)=0),"Plan AIR-ID differs from event",IF(D427="","Gate / forum missing",IF(AND(E427="Precautionary pause (containment)",G427&lt;&gt;"Paused — pending decision"),"Precautionary pause: Outcome must be Paused, pending decision",IF(AND(E427="Precautionary pause (containment)",V427=""),"Precautionary pause: AIG-OPS-03 incident ref missing",IF(AND(E427="Precautionary pause (containment)",NOT(ISNUMBER(W427))),"Precautionary pause: follow-up decision due date missing",IF(AND(G427="Paused — pending decision",E427&lt;&gt;"Precautionary pause (containment)"),"Paused, pending decision is only for a Precautionary pause event",IF(AND(E427="Decision",OR(G427="",H427="",I427="")),"Outcome / delegation / decision ref missing",IF(AND(E427="Decision",NOT(OR(G427="Progress",G427="Progress with condition",G427="Return for evidence",G427="Pause",G427="Stop",G427="Suspend",G427="Decommission",G427="Re-authorise",G427="Resume"))),"Decision event needs a decision outcome",IF(AND(E427="Priority override",OR(H427="",I427="")),"Decision-maker / AIG-DEC-03 ref missing",IF(AND(E427="Priority override",G427&lt;&gt;"",G427&lt;&gt;"No decision"),"Priority override: Outcome blank or No decision",IF(AND(E427&lt;&gt;"Decision",OR(G427="Progress",G427="Progress with condition",G427="Return for evidence",G427="Pause",G427="Stop",G427="Suspend",G427="Decommission",G427="Re-authorise",G427="Resume")),"Outcome implies decision",IF(OR(ISNUMBER(SEARCH(",",O427)),ISNUMBER(SEARCH(";",O427))),"One UC-ID per event row — split this event",IF(AND(E427="Decision",OR(Q427="UC-ID REQUIRED",Q427="Decision scope missing",Q427="REMOVE UC-ID OR CORRECT SCOPE")),"Decision scope missing",IF(AND(G427="Progress with condition",COUNTIF(Conditions!$B$4:$B$553,A427)=0),"Progress with condition needs at least one Conditions row",IF(AND(C427&lt;&gt;"",COUNTIFS('Gate plan'!$A$4:$A$353,C427,'Gate plan'!$C$4:$C$353,D427)=0),"Plan gate differs from event gate",IF(AND(C427&lt;&gt;"",O427&lt;&gt;"",COUNTIFS('Gate plan'!$A$4:$A$353,C427,'Gate plan'!$K$4:$K$353,"&lt;&gt;")&gt;0,COUNTIFS('Gate plan'!$A$4:$A$353,C427,'Gate plan'!$K$4:$K$353,O427)=0),"Plan UC-ID differs from event UC-ID",IF(AND(E427="Assurance opinion",J427=""),"Assurance opinion ref missing",IF(AND(G427="Opinion only",E427&lt;&gt;"Assurance opinion",E427&lt;&gt;"Review only"),"Opinion only is for Assurance opinion or Review only events",IF(AND(G427="No decision",E427&lt;&gt;"Review only",E427&lt;&gt;"Priority override",E427&lt;&gt;"Intake / registration"),"No decision is for Review only, Priority override or Intake / registration events",IF(OR(ISNUMBER(SEARCH(" ",TRIM(O427))),ISNUMBER(SEARCH("/",O427))),"One UC-ID per event row: split this event",IF(AND(E427="Precautionary pause (containment)",ISNUMBER(W427),ISNUMBER(F427),W427&lt;F427),"Follow-up decision due date is before the pause",IF(AND(G427="Resume",IFERROR(LOOKUP(2,1/(($B$3:B426=B427)*($O$3:O426=O427)),$G$3:G426),"")&lt;&gt;"Paused — pending decision"),"Resume is only for the event straight after a Precautionary pause on the same AIR-ID and UC-ID (in an earlier row)",IF(AND(E427="Decision",OR(G427="Progress",G427="Progress with condition",G427="Re-authorise",G427="Resume"),X427&lt;&gt;"Yes"),"Decision-maker has not confirmed the screening was considered (column X)","Check against source")))))))))))))))))))))))))))))</f>
        <v/>
      </c>
      <c r="O427" s="37" t="n"/>
      <c r="P427" s="37" t="n"/>
      <c r="Q427" s="14">
        <f>IF(A427="","",IF(E427&lt;&gt;"Decision","",IF(P427="UC-ID specific",IF(O427="","UC-ID REQUIRED","Check source decision for each UC-ID"),IF(P427="Shared system baseline",IF(O427&lt;&gt;"","REMOVE UC-ID OR CORRECT SCOPE","Baseline only — NOT UC approval"),"Decision scope missing"))))</f>
        <v/>
      </c>
      <c r="R427" s="43" t="n"/>
      <c r="S427" s="40" t="n"/>
      <c r="T427" s="40" t="n"/>
      <c r="U427" s="40" t="n"/>
      <c r="V427" s="40" t="n"/>
      <c r="W427" s="41" t="n"/>
      <c r="X427" s="38" t="n"/>
    </row>
    <row r="428">
      <c r="A428" s="38" t="n"/>
      <c r="B428" s="38" t="n"/>
      <c r="C428" s="38" t="n"/>
      <c r="D428" s="38" t="n"/>
      <c r="E428" s="38" t="n"/>
      <c r="F428" s="39" t="n"/>
      <c r="G428" s="38" t="n"/>
      <c r="H428" s="38" t="n"/>
      <c r="I428" s="38" t="n"/>
      <c r="J428" s="38" t="n"/>
      <c r="K428" s="38" t="n"/>
      <c r="L428" s="38" t="n"/>
      <c r="M428" s="38" t="n"/>
      <c r="N428" s="22">
        <f>IF(COUNTA(A428:M428,O428:P428,R428:X428)=0,"",IF(OR(A428="",B428="",F428=""),"Event ID, AIR-ID or date missing",IF(COUNTIF($A$4:$A$553,A428)&gt;1,"Duplicate Event ID",IF(E428="","Event type missing",IF(OR(NOT(ISNUMBER(F428)),F428&gt;TODAY()),"Date is not a real date or is in the future",IF(AND(C428&lt;&gt;"",COUNTIF('Gate plan'!$A$4:$A$353,C428)=0),"Plan ID not found in Gate plan",IF(AND(C428&lt;&gt;"",COUNTIFS('Gate plan'!$A$4:$A$353,C428,'Gate plan'!$B$4:$B$353,B428)=0),"Plan AIR-ID differs from event",IF(D428="","Gate / forum missing",IF(AND(E428="Precautionary pause (containment)",G428&lt;&gt;"Paused — pending decision"),"Precautionary pause: Outcome must be Paused, pending decision",IF(AND(E428="Precautionary pause (containment)",V428=""),"Precautionary pause: AIG-OPS-03 incident ref missing",IF(AND(E428="Precautionary pause (containment)",NOT(ISNUMBER(W428))),"Precautionary pause: follow-up decision due date missing",IF(AND(G428="Paused — pending decision",E428&lt;&gt;"Precautionary pause (containment)"),"Paused, pending decision is only for a Precautionary pause event",IF(AND(E428="Decision",OR(G428="",H428="",I428="")),"Outcome / delegation / decision ref missing",IF(AND(E428="Decision",NOT(OR(G428="Progress",G428="Progress with condition",G428="Return for evidence",G428="Pause",G428="Stop",G428="Suspend",G428="Decommission",G428="Re-authorise",G428="Resume"))),"Decision event needs a decision outcome",IF(AND(E428="Priority override",OR(H428="",I428="")),"Decision-maker / AIG-DEC-03 ref missing",IF(AND(E428="Priority override",G428&lt;&gt;"",G428&lt;&gt;"No decision"),"Priority override: Outcome blank or No decision",IF(AND(E428&lt;&gt;"Decision",OR(G428="Progress",G428="Progress with condition",G428="Return for evidence",G428="Pause",G428="Stop",G428="Suspend",G428="Decommission",G428="Re-authorise",G428="Resume")),"Outcome implies decision",IF(OR(ISNUMBER(SEARCH(",",O428)),ISNUMBER(SEARCH(";",O428))),"One UC-ID per event row — split this event",IF(AND(E428="Decision",OR(Q428="UC-ID REQUIRED",Q428="Decision scope missing",Q428="REMOVE UC-ID OR CORRECT SCOPE")),"Decision scope missing",IF(AND(G428="Progress with condition",COUNTIF(Conditions!$B$4:$B$553,A428)=0),"Progress with condition needs at least one Conditions row",IF(AND(C428&lt;&gt;"",COUNTIFS('Gate plan'!$A$4:$A$353,C428,'Gate plan'!$C$4:$C$353,D428)=0),"Plan gate differs from event gate",IF(AND(C428&lt;&gt;"",O428&lt;&gt;"",COUNTIFS('Gate plan'!$A$4:$A$353,C428,'Gate plan'!$K$4:$K$353,"&lt;&gt;")&gt;0,COUNTIFS('Gate plan'!$A$4:$A$353,C428,'Gate plan'!$K$4:$K$353,O428)=0),"Plan UC-ID differs from event UC-ID",IF(AND(E428="Assurance opinion",J428=""),"Assurance opinion ref missing",IF(AND(G428="Opinion only",E428&lt;&gt;"Assurance opinion",E428&lt;&gt;"Review only"),"Opinion only is for Assurance opinion or Review only events",IF(AND(G428="No decision",E428&lt;&gt;"Review only",E428&lt;&gt;"Priority override",E428&lt;&gt;"Intake / registration"),"No decision is for Review only, Priority override or Intake / registration events",IF(OR(ISNUMBER(SEARCH(" ",TRIM(O428))),ISNUMBER(SEARCH("/",O428))),"One UC-ID per event row: split this event",IF(AND(E428="Precautionary pause (containment)",ISNUMBER(W428),ISNUMBER(F428),W428&lt;F428),"Follow-up decision due date is before the pause",IF(AND(G428="Resume",IFERROR(LOOKUP(2,1/(($B$3:B427=B428)*($O$3:O427=O428)),$G$3:G427),"")&lt;&gt;"Paused — pending decision"),"Resume is only for the event straight after a Precautionary pause on the same AIR-ID and UC-ID (in an earlier row)",IF(AND(E428="Decision",OR(G428="Progress",G428="Progress with condition",G428="Re-authorise",G428="Resume"),X428&lt;&gt;"Yes"),"Decision-maker has not confirmed the screening was considered (column X)","Check against source")))))))))))))))))))))))))))))</f>
        <v/>
      </c>
      <c r="O428" s="37" t="n"/>
      <c r="P428" s="37" t="n"/>
      <c r="Q428" s="14">
        <f>IF(A428="","",IF(E428&lt;&gt;"Decision","",IF(P428="UC-ID specific",IF(O428="","UC-ID REQUIRED","Check source decision for each UC-ID"),IF(P428="Shared system baseline",IF(O428&lt;&gt;"","REMOVE UC-ID OR CORRECT SCOPE","Baseline only — NOT UC approval"),"Decision scope missing"))))</f>
        <v/>
      </c>
      <c r="R428" s="42" t="n"/>
      <c r="S428" s="38" t="n"/>
      <c r="T428" s="38" t="n"/>
      <c r="U428" s="38" t="n"/>
      <c r="V428" s="38" t="n"/>
      <c r="W428" s="39" t="n"/>
      <c r="X428" s="38" t="n"/>
    </row>
    <row r="429">
      <c r="A429" s="40" t="n"/>
      <c r="B429" s="40" t="n"/>
      <c r="C429" s="40" t="n"/>
      <c r="D429" s="40" t="n"/>
      <c r="E429" s="40" t="n"/>
      <c r="F429" s="41" t="n"/>
      <c r="G429" s="40" t="n"/>
      <c r="H429" s="40" t="n"/>
      <c r="I429" s="40" t="n"/>
      <c r="J429" s="40" t="n"/>
      <c r="K429" s="40" t="n"/>
      <c r="L429" s="40" t="n"/>
      <c r="M429" s="40" t="n"/>
      <c r="N429" s="24">
        <f>IF(COUNTA(A429:M429,O429:P429,R429:X429)=0,"",IF(OR(A429="",B429="",F429=""),"Event ID, AIR-ID or date missing",IF(COUNTIF($A$4:$A$553,A429)&gt;1,"Duplicate Event ID",IF(E429="","Event type missing",IF(OR(NOT(ISNUMBER(F429)),F429&gt;TODAY()),"Date is not a real date or is in the future",IF(AND(C429&lt;&gt;"",COUNTIF('Gate plan'!$A$4:$A$353,C429)=0),"Plan ID not found in Gate plan",IF(AND(C429&lt;&gt;"",COUNTIFS('Gate plan'!$A$4:$A$353,C429,'Gate plan'!$B$4:$B$353,B429)=0),"Plan AIR-ID differs from event",IF(D429="","Gate / forum missing",IF(AND(E429="Precautionary pause (containment)",G429&lt;&gt;"Paused — pending decision"),"Precautionary pause: Outcome must be Paused, pending decision",IF(AND(E429="Precautionary pause (containment)",V429=""),"Precautionary pause: AIG-OPS-03 incident ref missing",IF(AND(E429="Precautionary pause (containment)",NOT(ISNUMBER(W429))),"Precautionary pause: follow-up decision due date missing",IF(AND(G429="Paused — pending decision",E429&lt;&gt;"Precautionary pause (containment)"),"Paused, pending decision is only for a Precautionary pause event",IF(AND(E429="Decision",OR(G429="",H429="",I429="")),"Outcome / delegation / decision ref missing",IF(AND(E429="Decision",NOT(OR(G429="Progress",G429="Progress with condition",G429="Return for evidence",G429="Pause",G429="Stop",G429="Suspend",G429="Decommission",G429="Re-authorise",G429="Resume"))),"Decision event needs a decision outcome",IF(AND(E429="Priority override",OR(H429="",I429="")),"Decision-maker / AIG-DEC-03 ref missing",IF(AND(E429="Priority override",G429&lt;&gt;"",G429&lt;&gt;"No decision"),"Priority override: Outcome blank or No decision",IF(AND(E429&lt;&gt;"Decision",OR(G429="Progress",G429="Progress with condition",G429="Return for evidence",G429="Pause",G429="Stop",G429="Suspend",G429="Decommission",G429="Re-authorise",G429="Resume")),"Outcome implies decision",IF(OR(ISNUMBER(SEARCH(",",O429)),ISNUMBER(SEARCH(";",O429))),"One UC-ID per event row — split this event",IF(AND(E429="Decision",OR(Q429="UC-ID REQUIRED",Q429="Decision scope missing",Q429="REMOVE UC-ID OR CORRECT SCOPE")),"Decision scope missing",IF(AND(G429="Progress with condition",COUNTIF(Conditions!$B$4:$B$553,A429)=0),"Progress with condition needs at least one Conditions row",IF(AND(C429&lt;&gt;"",COUNTIFS('Gate plan'!$A$4:$A$353,C429,'Gate plan'!$C$4:$C$353,D429)=0),"Plan gate differs from event gate",IF(AND(C429&lt;&gt;"",O429&lt;&gt;"",COUNTIFS('Gate plan'!$A$4:$A$353,C429,'Gate plan'!$K$4:$K$353,"&lt;&gt;")&gt;0,COUNTIFS('Gate plan'!$A$4:$A$353,C429,'Gate plan'!$K$4:$K$353,O429)=0),"Plan UC-ID differs from event UC-ID",IF(AND(E429="Assurance opinion",J429=""),"Assurance opinion ref missing",IF(AND(G429="Opinion only",E429&lt;&gt;"Assurance opinion",E429&lt;&gt;"Review only"),"Opinion only is for Assurance opinion or Review only events",IF(AND(G429="No decision",E429&lt;&gt;"Review only",E429&lt;&gt;"Priority override",E429&lt;&gt;"Intake / registration"),"No decision is for Review only, Priority override or Intake / registration events",IF(OR(ISNUMBER(SEARCH(" ",TRIM(O429))),ISNUMBER(SEARCH("/",O429))),"One UC-ID per event row: split this event",IF(AND(E429="Precautionary pause (containment)",ISNUMBER(W429),ISNUMBER(F429),W429&lt;F429),"Follow-up decision due date is before the pause",IF(AND(G429="Resume",IFERROR(LOOKUP(2,1/(($B$3:B428=B429)*($O$3:O428=O429)),$G$3:G428),"")&lt;&gt;"Paused — pending decision"),"Resume is only for the event straight after a Precautionary pause on the same AIR-ID and UC-ID (in an earlier row)",IF(AND(E429="Decision",OR(G429="Progress",G429="Progress with condition",G429="Re-authorise",G429="Resume"),X429&lt;&gt;"Yes"),"Decision-maker has not confirmed the screening was considered (column X)","Check against source")))))))))))))))))))))))))))))</f>
        <v/>
      </c>
      <c r="O429" s="37" t="n"/>
      <c r="P429" s="37" t="n"/>
      <c r="Q429" s="14">
        <f>IF(A429="","",IF(E429&lt;&gt;"Decision","",IF(P429="UC-ID specific",IF(O429="","UC-ID REQUIRED","Check source decision for each UC-ID"),IF(P429="Shared system baseline",IF(O429&lt;&gt;"","REMOVE UC-ID OR CORRECT SCOPE","Baseline only — NOT UC approval"),"Decision scope missing"))))</f>
        <v/>
      </c>
      <c r="R429" s="43" t="n"/>
      <c r="S429" s="40" t="n"/>
      <c r="T429" s="40" t="n"/>
      <c r="U429" s="40" t="n"/>
      <c r="V429" s="40" t="n"/>
      <c r="W429" s="41" t="n"/>
      <c r="X429" s="38" t="n"/>
    </row>
    <row r="430">
      <c r="A430" s="38" t="n"/>
      <c r="B430" s="38" t="n"/>
      <c r="C430" s="38" t="n"/>
      <c r="D430" s="38" t="n"/>
      <c r="E430" s="38" t="n"/>
      <c r="F430" s="39" t="n"/>
      <c r="G430" s="38" t="n"/>
      <c r="H430" s="38" t="n"/>
      <c r="I430" s="38" t="n"/>
      <c r="J430" s="38" t="n"/>
      <c r="K430" s="38" t="n"/>
      <c r="L430" s="38" t="n"/>
      <c r="M430" s="38" t="n"/>
      <c r="N430" s="22">
        <f>IF(COUNTA(A430:M430,O430:P430,R430:X430)=0,"",IF(OR(A430="",B430="",F430=""),"Event ID, AIR-ID or date missing",IF(COUNTIF($A$4:$A$553,A430)&gt;1,"Duplicate Event ID",IF(E430="","Event type missing",IF(OR(NOT(ISNUMBER(F430)),F430&gt;TODAY()),"Date is not a real date or is in the future",IF(AND(C430&lt;&gt;"",COUNTIF('Gate plan'!$A$4:$A$353,C430)=0),"Plan ID not found in Gate plan",IF(AND(C430&lt;&gt;"",COUNTIFS('Gate plan'!$A$4:$A$353,C430,'Gate plan'!$B$4:$B$353,B430)=0),"Plan AIR-ID differs from event",IF(D430="","Gate / forum missing",IF(AND(E430="Precautionary pause (containment)",G430&lt;&gt;"Paused — pending decision"),"Precautionary pause: Outcome must be Paused, pending decision",IF(AND(E430="Precautionary pause (containment)",V430=""),"Precautionary pause: AIG-OPS-03 incident ref missing",IF(AND(E430="Precautionary pause (containment)",NOT(ISNUMBER(W430))),"Precautionary pause: follow-up decision due date missing",IF(AND(G430="Paused — pending decision",E430&lt;&gt;"Precautionary pause (containment)"),"Paused, pending decision is only for a Precautionary pause event",IF(AND(E430="Decision",OR(G430="",H430="",I430="")),"Outcome / delegation / decision ref missing",IF(AND(E430="Decision",NOT(OR(G430="Progress",G430="Progress with condition",G430="Return for evidence",G430="Pause",G430="Stop",G430="Suspend",G430="Decommission",G430="Re-authorise",G430="Resume"))),"Decision event needs a decision outcome",IF(AND(E430="Priority override",OR(H430="",I430="")),"Decision-maker / AIG-DEC-03 ref missing",IF(AND(E430="Priority override",G430&lt;&gt;"",G430&lt;&gt;"No decision"),"Priority override: Outcome blank or No decision",IF(AND(E430&lt;&gt;"Decision",OR(G430="Progress",G430="Progress with condition",G430="Return for evidence",G430="Pause",G430="Stop",G430="Suspend",G430="Decommission",G430="Re-authorise",G430="Resume")),"Outcome implies decision",IF(OR(ISNUMBER(SEARCH(",",O430)),ISNUMBER(SEARCH(";",O430))),"One UC-ID per event row — split this event",IF(AND(E430="Decision",OR(Q430="UC-ID REQUIRED",Q430="Decision scope missing",Q430="REMOVE UC-ID OR CORRECT SCOPE")),"Decision scope missing",IF(AND(G430="Progress with condition",COUNTIF(Conditions!$B$4:$B$553,A430)=0),"Progress with condition needs at least one Conditions row",IF(AND(C430&lt;&gt;"",COUNTIFS('Gate plan'!$A$4:$A$353,C430,'Gate plan'!$C$4:$C$353,D430)=0),"Plan gate differs from event gate",IF(AND(C430&lt;&gt;"",O430&lt;&gt;"",COUNTIFS('Gate plan'!$A$4:$A$353,C430,'Gate plan'!$K$4:$K$353,"&lt;&gt;")&gt;0,COUNTIFS('Gate plan'!$A$4:$A$353,C430,'Gate plan'!$K$4:$K$353,O430)=0),"Plan UC-ID differs from event UC-ID",IF(AND(E430="Assurance opinion",J430=""),"Assurance opinion ref missing",IF(AND(G430="Opinion only",E430&lt;&gt;"Assurance opinion",E430&lt;&gt;"Review only"),"Opinion only is for Assurance opinion or Review only events",IF(AND(G430="No decision",E430&lt;&gt;"Review only",E430&lt;&gt;"Priority override",E430&lt;&gt;"Intake / registration"),"No decision is for Review only, Priority override or Intake / registration events",IF(OR(ISNUMBER(SEARCH(" ",TRIM(O430))),ISNUMBER(SEARCH("/",O430))),"One UC-ID per event row: split this event",IF(AND(E430="Precautionary pause (containment)",ISNUMBER(W430),ISNUMBER(F430),W430&lt;F430),"Follow-up decision due date is before the pause",IF(AND(G430="Resume",IFERROR(LOOKUP(2,1/(($B$3:B429=B430)*($O$3:O429=O430)),$G$3:G429),"")&lt;&gt;"Paused — pending decision"),"Resume is only for the event straight after a Precautionary pause on the same AIR-ID and UC-ID (in an earlier row)",IF(AND(E430="Decision",OR(G430="Progress",G430="Progress with condition",G430="Re-authorise",G430="Resume"),X430&lt;&gt;"Yes"),"Decision-maker has not confirmed the screening was considered (column X)","Check against source")))))))))))))))))))))))))))))</f>
        <v/>
      </c>
      <c r="O430" s="37" t="n"/>
      <c r="P430" s="37" t="n"/>
      <c r="Q430" s="14">
        <f>IF(A430="","",IF(E430&lt;&gt;"Decision","",IF(P430="UC-ID specific",IF(O430="","UC-ID REQUIRED","Check source decision for each UC-ID"),IF(P430="Shared system baseline",IF(O430&lt;&gt;"","REMOVE UC-ID OR CORRECT SCOPE","Baseline only — NOT UC approval"),"Decision scope missing"))))</f>
        <v/>
      </c>
      <c r="R430" s="42" t="n"/>
      <c r="S430" s="38" t="n"/>
      <c r="T430" s="38" t="n"/>
      <c r="U430" s="38" t="n"/>
      <c r="V430" s="38" t="n"/>
      <c r="W430" s="39" t="n"/>
      <c r="X430" s="38" t="n"/>
    </row>
    <row r="431">
      <c r="A431" s="40" t="n"/>
      <c r="B431" s="40" t="n"/>
      <c r="C431" s="40" t="n"/>
      <c r="D431" s="40" t="n"/>
      <c r="E431" s="40" t="n"/>
      <c r="F431" s="41" t="n"/>
      <c r="G431" s="40" t="n"/>
      <c r="H431" s="40" t="n"/>
      <c r="I431" s="40" t="n"/>
      <c r="J431" s="40" t="n"/>
      <c r="K431" s="40" t="n"/>
      <c r="L431" s="40" t="n"/>
      <c r="M431" s="40" t="n"/>
      <c r="N431" s="24">
        <f>IF(COUNTA(A431:M431,O431:P431,R431:X431)=0,"",IF(OR(A431="",B431="",F431=""),"Event ID, AIR-ID or date missing",IF(COUNTIF($A$4:$A$553,A431)&gt;1,"Duplicate Event ID",IF(E431="","Event type missing",IF(OR(NOT(ISNUMBER(F431)),F431&gt;TODAY()),"Date is not a real date or is in the future",IF(AND(C431&lt;&gt;"",COUNTIF('Gate plan'!$A$4:$A$353,C431)=0),"Plan ID not found in Gate plan",IF(AND(C431&lt;&gt;"",COUNTIFS('Gate plan'!$A$4:$A$353,C431,'Gate plan'!$B$4:$B$353,B431)=0),"Plan AIR-ID differs from event",IF(D431="","Gate / forum missing",IF(AND(E431="Precautionary pause (containment)",G431&lt;&gt;"Paused — pending decision"),"Precautionary pause: Outcome must be Paused, pending decision",IF(AND(E431="Precautionary pause (containment)",V431=""),"Precautionary pause: AIG-OPS-03 incident ref missing",IF(AND(E431="Precautionary pause (containment)",NOT(ISNUMBER(W431))),"Precautionary pause: follow-up decision due date missing",IF(AND(G431="Paused — pending decision",E431&lt;&gt;"Precautionary pause (containment)"),"Paused, pending decision is only for a Precautionary pause event",IF(AND(E431="Decision",OR(G431="",H431="",I431="")),"Outcome / delegation / decision ref missing",IF(AND(E431="Decision",NOT(OR(G431="Progress",G431="Progress with condition",G431="Return for evidence",G431="Pause",G431="Stop",G431="Suspend",G431="Decommission",G431="Re-authorise",G431="Resume"))),"Decision event needs a decision outcome",IF(AND(E431="Priority override",OR(H431="",I431="")),"Decision-maker / AIG-DEC-03 ref missing",IF(AND(E431="Priority override",G431&lt;&gt;"",G431&lt;&gt;"No decision"),"Priority override: Outcome blank or No decision",IF(AND(E431&lt;&gt;"Decision",OR(G431="Progress",G431="Progress with condition",G431="Return for evidence",G431="Pause",G431="Stop",G431="Suspend",G431="Decommission",G431="Re-authorise",G431="Resume")),"Outcome implies decision",IF(OR(ISNUMBER(SEARCH(",",O431)),ISNUMBER(SEARCH(";",O431))),"One UC-ID per event row — split this event",IF(AND(E431="Decision",OR(Q431="UC-ID REQUIRED",Q431="Decision scope missing",Q431="REMOVE UC-ID OR CORRECT SCOPE")),"Decision scope missing",IF(AND(G431="Progress with condition",COUNTIF(Conditions!$B$4:$B$553,A431)=0),"Progress with condition needs at least one Conditions row",IF(AND(C431&lt;&gt;"",COUNTIFS('Gate plan'!$A$4:$A$353,C431,'Gate plan'!$C$4:$C$353,D431)=0),"Plan gate differs from event gate",IF(AND(C431&lt;&gt;"",O431&lt;&gt;"",COUNTIFS('Gate plan'!$A$4:$A$353,C431,'Gate plan'!$K$4:$K$353,"&lt;&gt;")&gt;0,COUNTIFS('Gate plan'!$A$4:$A$353,C431,'Gate plan'!$K$4:$K$353,O431)=0),"Plan UC-ID differs from event UC-ID",IF(AND(E431="Assurance opinion",J431=""),"Assurance opinion ref missing",IF(AND(G431="Opinion only",E431&lt;&gt;"Assurance opinion",E431&lt;&gt;"Review only"),"Opinion only is for Assurance opinion or Review only events",IF(AND(G431="No decision",E431&lt;&gt;"Review only",E431&lt;&gt;"Priority override",E431&lt;&gt;"Intake / registration"),"No decision is for Review only, Priority override or Intake / registration events",IF(OR(ISNUMBER(SEARCH(" ",TRIM(O431))),ISNUMBER(SEARCH("/",O431))),"One UC-ID per event row: split this event",IF(AND(E431="Precautionary pause (containment)",ISNUMBER(W431),ISNUMBER(F431),W431&lt;F431),"Follow-up decision due date is before the pause",IF(AND(G431="Resume",IFERROR(LOOKUP(2,1/(($B$3:B430=B431)*($O$3:O430=O431)),$G$3:G430),"")&lt;&gt;"Paused — pending decision"),"Resume is only for the event straight after a Precautionary pause on the same AIR-ID and UC-ID (in an earlier row)",IF(AND(E431="Decision",OR(G431="Progress",G431="Progress with condition",G431="Re-authorise",G431="Resume"),X431&lt;&gt;"Yes"),"Decision-maker has not confirmed the screening was considered (column X)","Check against source")))))))))))))))))))))))))))))</f>
        <v/>
      </c>
      <c r="O431" s="37" t="n"/>
      <c r="P431" s="37" t="n"/>
      <c r="Q431" s="14">
        <f>IF(A431="","",IF(E431&lt;&gt;"Decision","",IF(P431="UC-ID specific",IF(O431="","UC-ID REQUIRED","Check source decision for each UC-ID"),IF(P431="Shared system baseline",IF(O431&lt;&gt;"","REMOVE UC-ID OR CORRECT SCOPE","Baseline only — NOT UC approval"),"Decision scope missing"))))</f>
        <v/>
      </c>
      <c r="R431" s="43" t="n"/>
      <c r="S431" s="40" t="n"/>
      <c r="T431" s="40" t="n"/>
      <c r="U431" s="40" t="n"/>
      <c r="V431" s="40" t="n"/>
      <c r="W431" s="41" t="n"/>
      <c r="X431" s="38" t="n"/>
    </row>
    <row r="432">
      <c r="A432" s="38" t="n"/>
      <c r="B432" s="38" t="n"/>
      <c r="C432" s="38" t="n"/>
      <c r="D432" s="38" t="n"/>
      <c r="E432" s="38" t="n"/>
      <c r="F432" s="39" t="n"/>
      <c r="G432" s="38" t="n"/>
      <c r="H432" s="38" t="n"/>
      <c r="I432" s="38" t="n"/>
      <c r="J432" s="38" t="n"/>
      <c r="K432" s="38" t="n"/>
      <c r="L432" s="38" t="n"/>
      <c r="M432" s="38" t="n"/>
      <c r="N432" s="22">
        <f>IF(COUNTA(A432:M432,O432:P432,R432:X432)=0,"",IF(OR(A432="",B432="",F432=""),"Event ID, AIR-ID or date missing",IF(COUNTIF($A$4:$A$553,A432)&gt;1,"Duplicate Event ID",IF(E432="","Event type missing",IF(OR(NOT(ISNUMBER(F432)),F432&gt;TODAY()),"Date is not a real date or is in the future",IF(AND(C432&lt;&gt;"",COUNTIF('Gate plan'!$A$4:$A$353,C432)=0),"Plan ID not found in Gate plan",IF(AND(C432&lt;&gt;"",COUNTIFS('Gate plan'!$A$4:$A$353,C432,'Gate plan'!$B$4:$B$353,B432)=0),"Plan AIR-ID differs from event",IF(D432="","Gate / forum missing",IF(AND(E432="Precautionary pause (containment)",G432&lt;&gt;"Paused — pending decision"),"Precautionary pause: Outcome must be Paused, pending decision",IF(AND(E432="Precautionary pause (containment)",V432=""),"Precautionary pause: AIG-OPS-03 incident ref missing",IF(AND(E432="Precautionary pause (containment)",NOT(ISNUMBER(W432))),"Precautionary pause: follow-up decision due date missing",IF(AND(G432="Paused — pending decision",E432&lt;&gt;"Precautionary pause (containment)"),"Paused, pending decision is only for a Precautionary pause event",IF(AND(E432="Decision",OR(G432="",H432="",I432="")),"Outcome / delegation / decision ref missing",IF(AND(E432="Decision",NOT(OR(G432="Progress",G432="Progress with condition",G432="Return for evidence",G432="Pause",G432="Stop",G432="Suspend",G432="Decommission",G432="Re-authorise",G432="Resume"))),"Decision event needs a decision outcome",IF(AND(E432="Priority override",OR(H432="",I432="")),"Decision-maker / AIG-DEC-03 ref missing",IF(AND(E432="Priority override",G432&lt;&gt;"",G432&lt;&gt;"No decision"),"Priority override: Outcome blank or No decision",IF(AND(E432&lt;&gt;"Decision",OR(G432="Progress",G432="Progress with condition",G432="Return for evidence",G432="Pause",G432="Stop",G432="Suspend",G432="Decommission",G432="Re-authorise",G432="Resume")),"Outcome implies decision",IF(OR(ISNUMBER(SEARCH(",",O432)),ISNUMBER(SEARCH(";",O432))),"One UC-ID per event row — split this event",IF(AND(E432="Decision",OR(Q432="UC-ID REQUIRED",Q432="Decision scope missing",Q432="REMOVE UC-ID OR CORRECT SCOPE")),"Decision scope missing",IF(AND(G432="Progress with condition",COUNTIF(Conditions!$B$4:$B$553,A432)=0),"Progress with condition needs at least one Conditions row",IF(AND(C432&lt;&gt;"",COUNTIFS('Gate plan'!$A$4:$A$353,C432,'Gate plan'!$C$4:$C$353,D432)=0),"Plan gate differs from event gate",IF(AND(C432&lt;&gt;"",O432&lt;&gt;"",COUNTIFS('Gate plan'!$A$4:$A$353,C432,'Gate plan'!$K$4:$K$353,"&lt;&gt;")&gt;0,COUNTIFS('Gate plan'!$A$4:$A$353,C432,'Gate plan'!$K$4:$K$353,O432)=0),"Plan UC-ID differs from event UC-ID",IF(AND(E432="Assurance opinion",J432=""),"Assurance opinion ref missing",IF(AND(G432="Opinion only",E432&lt;&gt;"Assurance opinion",E432&lt;&gt;"Review only"),"Opinion only is for Assurance opinion or Review only events",IF(AND(G432="No decision",E432&lt;&gt;"Review only",E432&lt;&gt;"Priority override",E432&lt;&gt;"Intake / registration"),"No decision is for Review only, Priority override or Intake / registration events",IF(OR(ISNUMBER(SEARCH(" ",TRIM(O432))),ISNUMBER(SEARCH("/",O432))),"One UC-ID per event row: split this event",IF(AND(E432="Precautionary pause (containment)",ISNUMBER(W432),ISNUMBER(F432),W432&lt;F432),"Follow-up decision due date is before the pause",IF(AND(G432="Resume",IFERROR(LOOKUP(2,1/(($B$3:B431=B432)*($O$3:O431=O432)),$G$3:G431),"")&lt;&gt;"Paused — pending decision"),"Resume is only for the event straight after a Precautionary pause on the same AIR-ID and UC-ID (in an earlier row)",IF(AND(E432="Decision",OR(G432="Progress",G432="Progress with condition",G432="Re-authorise",G432="Resume"),X432&lt;&gt;"Yes"),"Decision-maker has not confirmed the screening was considered (column X)","Check against source")))))))))))))))))))))))))))))</f>
        <v/>
      </c>
      <c r="O432" s="37" t="n"/>
      <c r="P432" s="37" t="n"/>
      <c r="Q432" s="14">
        <f>IF(A432="","",IF(E432&lt;&gt;"Decision","",IF(P432="UC-ID specific",IF(O432="","UC-ID REQUIRED","Check source decision for each UC-ID"),IF(P432="Shared system baseline",IF(O432&lt;&gt;"","REMOVE UC-ID OR CORRECT SCOPE","Baseline only — NOT UC approval"),"Decision scope missing"))))</f>
        <v/>
      </c>
      <c r="R432" s="42" t="n"/>
      <c r="S432" s="38" t="n"/>
      <c r="T432" s="38" t="n"/>
      <c r="U432" s="38" t="n"/>
      <c r="V432" s="38" t="n"/>
      <c r="W432" s="39" t="n"/>
      <c r="X432" s="38" t="n"/>
    </row>
    <row r="433">
      <c r="A433" s="40" t="n"/>
      <c r="B433" s="40" t="n"/>
      <c r="C433" s="40" t="n"/>
      <c r="D433" s="40" t="n"/>
      <c r="E433" s="40" t="n"/>
      <c r="F433" s="41" t="n"/>
      <c r="G433" s="40" t="n"/>
      <c r="H433" s="40" t="n"/>
      <c r="I433" s="40" t="n"/>
      <c r="J433" s="40" t="n"/>
      <c r="K433" s="40" t="n"/>
      <c r="L433" s="40" t="n"/>
      <c r="M433" s="40" t="n"/>
      <c r="N433" s="24">
        <f>IF(COUNTA(A433:M433,O433:P433,R433:X433)=0,"",IF(OR(A433="",B433="",F433=""),"Event ID, AIR-ID or date missing",IF(COUNTIF($A$4:$A$553,A433)&gt;1,"Duplicate Event ID",IF(E433="","Event type missing",IF(OR(NOT(ISNUMBER(F433)),F433&gt;TODAY()),"Date is not a real date or is in the future",IF(AND(C433&lt;&gt;"",COUNTIF('Gate plan'!$A$4:$A$353,C433)=0),"Plan ID not found in Gate plan",IF(AND(C433&lt;&gt;"",COUNTIFS('Gate plan'!$A$4:$A$353,C433,'Gate plan'!$B$4:$B$353,B433)=0),"Plan AIR-ID differs from event",IF(D433="","Gate / forum missing",IF(AND(E433="Precautionary pause (containment)",G433&lt;&gt;"Paused — pending decision"),"Precautionary pause: Outcome must be Paused, pending decision",IF(AND(E433="Precautionary pause (containment)",V433=""),"Precautionary pause: AIG-OPS-03 incident ref missing",IF(AND(E433="Precautionary pause (containment)",NOT(ISNUMBER(W433))),"Precautionary pause: follow-up decision due date missing",IF(AND(G433="Paused — pending decision",E433&lt;&gt;"Precautionary pause (containment)"),"Paused, pending decision is only for a Precautionary pause event",IF(AND(E433="Decision",OR(G433="",H433="",I433="")),"Outcome / delegation / decision ref missing",IF(AND(E433="Decision",NOT(OR(G433="Progress",G433="Progress with condition",G433="Return for evidence",G433="Pause",G433="Stop",G433="Suspend",G433="Decommission",G433="Re-authorise",G433="Resume"))),"Decision event needs a decision outcome",IF(AND(E433="Priority override",OR(H433="",I433="")),"Decision-maker / AIG-DEC-03 ref missing",IF(AND(E433="Priority override",G433&lt;&gt;"",G433&lt;&gt;"No decision"),"Priority override: Outcome blank or No decision",IF(AND(E433&lt;&gt;"Decision",OR(G433="Progress",G433="Progress with condition",G433="Return for evidence",G433="Pause",G433="Stop",G433="Suspend",G433="Decommission",G433="Re-authorise",G433="Resume")),"Outcome implies decision",IF(OR(ISNUMBER(SEARCH(",",O433)),ISNUMBER(SEARCH(";",O433))),"One UC-ID per event row — split this event",IF(AND(E433="Decision",OR(Q433="UC-ID REQUIRED",Q433="Decision scope missing",Q433="REMOVE UC-ID OR CORRECT SCOPE")),"Decision scope missing",IF(AND(G433="Progress with condition",COUNTIF(Conditions!$B$4:$B$553,A433)=0),"Progress with condition needs at least one Conditions row",IF(AND(C433&lt;&gt;"",COUNTIFS('Gate plan'!$A$4:$A$353,C433,'Gate plan'!$C$4:$C$353,D433)=0),"Plan gate differs from event gate",IF(AND(C433&lt;&gt;"",O433&lt;&gt;"",COUNTIFS('Gate plan'!$A$4:$A$353,C433,'Gate plan'!$K$4:$K$353,"&lt;&gt;")&gt;0,COUNTIFS('Gate plan'!$A$4:$A$353,C433,'Gate plan'!$K$4:$K$353,O433)=0),"Plan UC-ID differs from event UC-ID",IF(AND(E433="Assurance opinion",J433=""),"Assurance opinion ref missing",IF(AND(G433="Opinion only",E433&lt;&gt;"Assurance opinion",E433&lt;&gt;"Review only"),"Opinion only is for Assurance opinion or Review only events",IF(AND(G433="No decision",E433&lt;&gt;"Review only",E433&lt;&gt;"Priority override",E433&lt;&gt;"Intake / registration"),"No decision is for Review only, Priority override or Intake / registration events",IF(OR(ISNUMBER(SEARCH(" ",TRIM(O433))),ISNUMBER(SEARCH("/",O433))),"One UC-ID per event row: split this event",IF(AND(E433="Precautionary pause (containment)",ISNUMBER(W433),ISNUMBER(F433),W433&lt;F433),"Follow-up decision due date is before the pause",IF(AND(G433="Resume",IFERROR(LOOKUP(2,1/(($B$3:B432=B433)*($O$3:O432=O433)),$G$3:G432),"")&lt;&gt;"Paused — pending decision"),"Resume is only for the event straight after a Precautionary pause on the same AIR-ID and UC-ID (in an earlier row)",IF(AND(E433="Decision",OR(G433="Progress",G433="Progress with condition",G433="Re-authorise",G433="Resume"),X433&lt;&gt;"Yes"),"Decision-maker has not confirmed the screening was considered (column X)","Check against source")))))))))))))))))))))))))))))</f>
        <v/>
      </c>
      <c r="O433" s="37" t="n"/>
      <c r="P433" s="37" t="n"/>
      <c r="Q433" s="14">
        <f>IF(A433="","",IF(E433&lt;&gt;"Decision","",IF(P433="UC-ID specific",IF(O433="","UC-ID REQUIRED","Check source decision for each UC-ID"),IF(P433="Shared system baseline",IF(O433&lt;&gt;"","REMOVE UC-ID OR CORRECT SCOPE","Baseline only — NOT UC approval"),"Decision scope missing"))))</f>
        <v/>
      </c>
      <c r="R433" s="43" t="n"/>
      <c r="S433" s="40" t="n"/>
      <c r="T433" s="40" t="n"/>
      <c r="U433" s="40" t="n"/>
      <c r="V433" s="40" t="n"/>
      <c r="W433" s="41" t="n"/>
      <c r="X433" s="38" t="n"/>
    </row>
    <row r="434">
      <c r="A434" s="38" t="n"/>
      <c r="B434" s="38" t="n"/>
      <c r="C434" s="38" t="n"/>
      <c r="D434" s="38" t="n"/>
      <c r="E434" s="38" t="n"/>
      <c r="F434" s="39" t="n"/>
      <c r="G434" s="38" t="n"/>
      <c r="H434" s="38" t="n"/>
      <c r="I434" s="38" t="n"/>
      <c r="J434" s="38" t="n"/>
      <c r="K434" s="38" t="n"/>
      <c r="L434" s="38" t="n"/>
      <c r="M434" s="38" t="n"/>
      <c r="N434" s="22">
        <f>IF(COUNTA(A434:M434,O434:P434,R434:X434)=0,"",IF(OR(A434="",B434="",F434=""),"Event ID, AIR-ID or date missing",IF(COUNTIF($A$4:$A$553,A434)&gt;1,"Duplicate Event ID",IF(E434="","Event type missing",IF(OR(NOT(ISNUMBER(F434)),F434&gt;TODAY()),"Date is not a real date or is in the future",IF(AND(C434&lt;&gt;"",COUNTIF('Gate plan'!$A$4:$A$353,C434)=0),"Plan ID not found in Gate plan",IF(AND(C434&lt;&gt;"",COUNTIFS('Gate plan'!$A$4:$A$353,C434,'Gate plan'!$B$4:$B$353,B434)=0),"Plan AIR-ID differs from event",IF(D434="","Gate / forum missing",IF(AND(E434="Precautionary pause (containment)",G434&lt;&gt;"Paused — pending decision"),"Precautionary pause: Outcome must be Paused, pending decision",IF(AND(E434="Precautionary pause (containment)",V434=""),"Precautionary pause: AIG-OPS-03 incident ref missing",IF(AND(E434="Precautionary pause (containment)",NOT(ISNUMBER(W434))),"Precautionary pause: follow-up decision due date missing",IF(AND(G434="Paused — pending decision",E434&lt;&gt;"Precautionary pause (containment)"),"Paused, pending decision is only for a Precautionary pause event",IF(AND(E434="Decision",OR(G434="",H434="",I434="")),"Outcome / delegation / decision ref missing",IF(AND(E434="Decision",NOT(OR(G434="Progress",G434="Progress with condition",G434="Return for evidence",G434="Pause",G434="Stop",G434="Suspend",G434="Decommission",G434="Re-authorise",G434="Resume"))),"Decision event needs a decision outcome",IF(AND(E434="Priority override",OR(H434="",I434="")),"Decision-maker / AIG-DEC-03 ref missing",IF(AND(E434="Priority override",G434&lt;&gt;"",G434&lt;&gt;"No decision"),"Priority override: Outcome blank or No decision",IF(AND(E434&lt;&gt;"Decision",OR(G434="Progress",G434="Progress with condition",G434="Return for evidence",G434="Pause",G434="Stop",G434="Suspend",G434="Decommission",G434="Re-authorise",G434="Resume")),"Outcome implies decision",IF(OR(ISNUMBER(SEARCH(",",O434)),ISNUMBER(SEARCH(";",O434))),"One UC-ID per event row — split this event",IF(AND(E434="Decision",OR(Q434="UC-ID REQUIRED",Q434="Decision scope missing",Q434="REMOVE UC-ID OR CORRECT SCOPE")),"Decision scope missing",IF(AND(G434="Progress with condition",COUNTIF(Conditions!$B$4:$B$553,A434)=0),"Progress with condition needs at least one Conditions row",IF(AND(C434&lt;&gt;"",COUNTIFS('Gate plan'!$A$4:$A$353,C434,'Gate plan'!$C$4:$C$353,D434)=0),"Plan gate differs from event gate",IF(AND(C434&lt;&gt;"",O434&lt;&gt;"",COUNTIFS('Gate plan'!$A$4:$A$353,C434,'Gate plan'!$K$4:$K$353,"&lt;&gt;")&gt;0,COUNTIFS('Gate plan'!$A$4:$A$353,C434,'Gate plan'!$K$4:$K$353,O434)=0),"Plan UC-ID differs from event UC-ID",IF(AND(E434="Assurance opinion",J434=""),"Assurance opinion ref missing",IF(AND(G434="Opinion only",E434&lt;&gt;"Assurance opinion",E434&lt;&gt;"Review only"),"Opinion only is for Assurance opinion or Review only events",IF(AND(G434="No decision",E434&lt;&gt;"Review only",E434&lt;&gt;"Priority override",E434&lt;&gt;"Intake / registration"),"No decision is for Review only, Priority override or Intake / registration events",IF(OR(ISNUMBER(SEARCH(" ",TRIM(O434))),ISNUMBER(SEARCH("/",O434))),"One UC-ID per event row: split this event",IF(AND(E434="Precautionary pause (containment)",ISNUMBER(W434),ISNUMBER(F434),W434&lt;F434),"Follow-up decision due date is before the pause",IF(AND(G434="Resume",IFERROR(LOOKUP(2,1/(($B$3:B433=B434)*($O$3:O433=O434)),$G$3:G433),"")&lt;&gt;"Paused — pending decision"),"Resume is only for the event straight after a Precautionary pause on the same AIR-ID and UC-ID (in an earlier row)",IF(AND(E434="Decision",OR(G434="Progress",G434="Progress with condition",G434="Re-authorise",G434="Resume"),X434&lt;&gt;"Yes"),"Decision-maker has not confirmed the screening was considered (column X)","Check against source")))))))))))))))))))))))))))))</f>
        <v/>
      </c>
      <c r="O434" s="37" t="n"/>
      <c r="P434" s="37" t="n"/>
      <c r="Q434" s="14">
        <f>IF(A434="","",IF(E434&lt;&gt;"Decision","",IF(P434="UC-ID specific",IF(O434="","UC-ID REQUIRED","Check source decision for each UC-ID"),IF(P434="Shared system baseline",IF(O434&lt;&gt;"","REMOVE UC-ID OR CORRECT SCOPE","Baseline only — NOT UC approval"),"Decision scope missing"))))</f>
        <v/>
      </c>
      <c r="R434" s="42" t="n"/>
      <c r="S434" s="38" t="n"/>
      <c r="T434" s="38" t="n"/>
      <c r="U434" s="38" t="n"/>
      <c r="V434" s="38" t="n"/>
      <c r="W434" s="39" t="n"/>
      <c r="X434" s="38" t="n"/>
    </row>
    <row r="435">
      <c r="A435" s="40" t="n"/>
      <c r="B435" s="40" t="n"/>
      <c r="C435" s="40" t="n"/>
      <c r="D435" s="40" t="n"/>
      <c r="E435" s="40" t="n"/>
      <c r="F435" s="41" t="n"/>
      <c r="G435" s="40" t="n"/>
      <c r="H435" s="40" t="n"/>
      <c r="I435" s="40" t="n"/>
      <c r="J435" s="40" t="n"/>
      <c r="K435" s="40" t="n"/>
      <c r="L435" s="40" t="n"/>
      <c r="M435" s="40" t="n"/>
      <c r="N435" s="24">
        <f>IF(COUNTA(A435:M435,O435:P435,R435:X435)=0,"",IF(OR(A435="",B435="",F435=""),"Event ID, AIR-ID or date missing",IF(COUNTIF($A$4:$A$553,A435)&gt;1,"Duplicate Event ID",IF(E435="","Event type missing",IF(OR(NOT(ISNUMBER(F435)),F435&gt;TODAY()),"Date is not a real date or is in the future",IF(AND(C435&lt;&gt;"",COUNTIF('Gate plan'!$A$4:$A$353,C435)=0),"Plan ID not found in Gate plan",IF(AND(C435&lt;&gt;"",COUNTIFS('Gate plan'!$A$4:$A$353,C435,'Gate plan'!$B$4:$B$353,B435)=0),"Plan AIR-ID differs from event",IF(D435="","Gate / forum missing",IF(AND(E435="Precautionary pause (containment)",G435&lt;&gt;"Paused — pending decision"),"Precautionary pause: Outcome must be Paused, pending decision",IF(AND(E435="Precautionary pause (containment)",V435=""),"Precautionary pause: AIG-OPS-03 incident ref missing",IF(AND(E435="Precautionary pause (containment)",NOT(ISNUMBER(W435))),"Precautionary pause: follow-up decision due date missing",IF(AND(G435="Paused — pending decision",E435&lt;&gt;"Precautionary pause (containment)"),"Paused, pending decision is only for a Precautionary pause event",IF(AND(E435="Decision",OR(G435="",H435="",I435="")),"Outcome / delegation / decision ref missing",IF(AND(E435="Decision",NOT(OR(G435="Progress",G435="Progress with condition",G435="Return for evidence",G435="Pause",G435="Stop",G435="Suspend",G435="Decommission",G435="Re-authorise",G435="Resume"))),"Decision event needs a decision outcome",IF(AND(E435="Priority override",OR(H435="",I435="")),"Decision-maker / AIG-DEC-03 ref missing",IF(AND(E435="Priority override",G435&lt;&gt;"",G435&lt;&gt;"No decision"),"Priority override: Outcome blank or No decision",IF(AND(E435&lt;&gt;"Decision",OR(G435="Progress",G435="Progress with condition",G435="Return for evidence",G435="Pause",G435="Stop",G435="Suspend",G435="Decommission",G435="Re-authorise",G435="Resume")),"Outcome implies decision",IF(OR(ISNUMBER(SEARCH(",",O435)),ISNUMBER(SEARCH(";",O435))),"One UC-ID per event row — split this event",IF(AND(E435="Decision",OR(Q435="UC-ID REQUIRED",Q435="Decision scope missing",Q435="REMOVE UC-ID OR CORRECT SCOPE")),"Decision scope missing",IF(AND(G435="Progress with condition",COUNTIF(Conditions!$B$4:$B$553,A435)=0),"Progress with condition needs at least one Conditions row",IF(AND(C435&lt;&gt;"",COUNTIFS('Gate plan'!$A$4:$A$353,C435,'Gate plan'!$C$4:$C$353,D435)=0),"Plan gate differs from event gate",IF(AND(C435&lt;&gt;"",O435&lt;&gt;"",COUNTIFS('Gate plan'!$A$4:$A$353,C435,'Gate plan'!$K$4:$K$353,"&lt;&gt;")&gt;0,COUNTIFS('Gate plan'!$A$4:$A$353,C435,'Gate plan'!$K$4:$K$353,O435)=0),"Plan UC-ID differs from event UC-ID",IF(AND(E435="Assurance opinion",J435=""),"Assurance opinion ref missing",IF(AND(G435="Opinion only",E435&lt;&gt;"Assurance opinion",E435&lt;&gt;"Review only"),"Opinion only is for Assurance opinion or Review only events",IF(AND(G435="No decision",E435&lt;&gt;"Review only",E435&lt;&gt;"Priority override",E435&lt;&gt;"Intake / registration"),"No decision is for Review only, Priority override or Intake / registration events",IF(OR(ISNUMBER(SEARCH(" ",TRIM(O435))),ISNUMBER(SEARCH("/",O435))),"One UC-ID per event row: split this event",IF(AND(E435="Precautionary pause (containment)",ISNUMBER(W435),ISNUMBER(F435),W435&lt;F435),"Follow-up decision due date is before the pause",IF(AND(G435="Resume",IFERROR(LOOKUP(2,1/(($B$3:B434=B435)*($O$3:O434=O435)),$G$3:G434),"")&lt;&gt;"Paused — pending decision"),"Resume is only for the event straight after a Precautionary pause on the same AIR-ID and UC-ID (in an earlier row)",IF(AND(E435="Decision",OR(G435="Progress",G435="Progress with condition",G435="Re-authorise",G435="Resume"),X435&lt;&gt;"Yes"),"Decision-maker has not confirmed the screening was considered (column X)","Check against source")))))))))))))))))))))))))))))</f>
        <v/>
      </c>
      <c r="O435" s="37" t="n"/>
      <c r="P435" s="37" t="n"/>
      <c r="Q435" s="14">
        <f>IF(A435="","",IF(E435&lt;&gt;"Decision","",IF(P435="UC-ID specific",IF(O435="","UC-ID REQUIRED","Check source decision for each UC-ID"),IF(P435="Shared system baseline",IF(O435&lt;&gt;"","REMOVE UC-ID OR CORRECT SCOPE","Baseline only — NOT UC approval"),"Decision scope missing"))))</f>
        <v/>
      </c>
      <c r="R435" s="43" t="n"/>
      <c r="S435" s="40" t="n"/>
      <c r="T435" s="40" t="n"/>
      <c r="U435" s="40" t="n"/>
      <c r="V435" s="40" t="n"/>
      <c r="W435" s="41" t="n"/>
      <c r="X435" s="38" t="n"/>
    </row>
    <row r="436">
      <c r="A436" s="38" t="n"/>
      <c r="B436" s="38" t="n"/>
      <c r="C436" s="38" t="n"/>
      <c r="D436" s="38" t="n"/>
      <c r="E436" s="38" t="n"/>
      <c r="F436" s="39" t="n"/>
      <c r="G436" s="38" t="n"/>
      <c r="H436" s="38" t="n"/>
      <c r="I436" s="38" t="n"/>
      <c r="J436" s="38" t="n"/>
      <c r="K436" s="38" t="n"/>
      <c r="L436" s="38" t="n"/>
      <c r="M436" s="38" t="n"/>
      <c r="N436" s="22">
        <f>IF(COUNTA(A436:M436,O436:P436,R436:X436)=0,"",IF(OR(A436="",B436="",F436=""),"Event ID, AIR-ID or date missing",IF(COUNTIF($A$4:$A$553,A436)&gt;1,"Duplicate Event ID",IF(E436="","Event type missing",IF(OR(NOT(ISNUMBER(F436)),F436&gt;TODAY()),"Date is not a real date or is in the future",IF(AND(C436&lt;&gt;"",COUNTIF('Gate plan'!$A$4:$A$353,C436)=0),"Plan ID not found in Gate plan",IF(AND(C436&lt;&gt;"",COUNTIFS('Gate plan'!$A$4:$A$353,C436,'Gate plan'!$B$4:$B$353,B436)=0),"Plan AIR-ID differs from event",IF(D436="","Gate / forum missing",IF(AND(E436="Precautionary pause (containment)",G436&lt;&gt;"Paused — pending decision"),"Precautionary pause: Outcome must be Paused, pending decision",IF(AND(E436="Precautionary pause (containment)",V436=""),"Precautionary pause: AIG-OPS-03 incident ref missing",IF(AND(E436="Precautionary pause (containment)",NOT(ISNUMBER(W436))),"Precautionary pause: follow-up decision due date missing",IF(AND(G436="Paused — pending decision",E436&lt;&gt;"Precautionary pause (containment)"),"Paused, pending decision is only for a Precautionary pause event",IF(AND(E436="Decision",OR(G436="",H436="",I436="")),"Outcome / delegation / decision ref missing",IF(AND(E436="Decision",NOT(OR(G436="Progress",G436="Progress with condition",G436="Return for evidence",G436="Pause",G436="Stop",G436="Suspend",G436="Decommission",G436="Re-authorise",G436="Resume"))),"Decision event needs a decision outcome",IF(AND(E436="Priority override",OR(H436="",I436="")),"Decision-maker / AIG-DEC-03 ref missing",IF(AND(E436="Priority override",G436&lt;&gt;"",G436&lt;&gt;"No decision"),"Priority override: Outcome blank or No decision",IF(AND(E436&lt;&gt;"Decision",OR(G436="Progress",G436="Progress with condition",G436="Return for evidence",G436="Pause",G436="Stop",G436="Suspend",G436="Decommission",G436="Re-authorise",G436="Resume")),"Outcome implies decision",IF(OR(ISNUMBER(SEARCH(",",O436)),ISNUMBER(SEARCH(";",O436))),"One UC-ID per event row — split this event",IF(AND(E436="Decision",OR(Q436="UC-ID REQUIRED",Q436="Decision scope missing",Q436="REMOVE UC-ID OR CORRECT SCOPE")),"Decision scope missing",IF(AND(G436="Progress with condition",COUNTIF(Conditions!$B$4:$B$553,A436)=0),"Progress with condition needs at least one Conditions row",IF(AND(C436&lt;&gt;"",COUNTIFS('Gate plan'!$A$4:$A$353,C436,'Gate plan'!$C$4:$C$353,D436)=0),"Plan gate differs from event gate",IF(AND(C436&lt;&gt;"",O436&lt;&gt;"",COUNTIFS('Gate plan'!$A$4:$A$353,C436,'Gate plan'!$K$4:$K$353,"&lt;&gt;")&gt;0,COUNTIFS('Gate plan'!$A$4:$A$353,C436,'Gate plan'!$K$4:$K$353,O436)=0),"Plan UC-ID differs from event UC-ID",IF(AND(E436="Assurance opinion",J436=""),"Assurance opinion ref missing",IF(AND(G436="Opinion only",E436&lt;&gt;"Assurance opinion",E436&lt;&gt;"Review only"),"Opinion only is for Assurance opinion or Review only events",IF(AND(G436="No decision",E436&lt;&gt;"Review only",E436&lt;&gt;"Priority override",E436&lt;&gt;"Intake / registration"),"No decision is for Review only, Priority override or Intake / registration events",IF(OR(ISNUMBER(SEARCH(" ",TRIM(O436))),ISNUMBER(SEARCH("/",O436))),"One UC-ID per event row: split this event",IF(AND(E436="Precautionary pause (containment)",ISNUMBER(W436),ISNUMBER(F436),W436&lt;F436),"Follow-up decision due date is before the pause",IF(AND(G436="Resume",IFERROR(LOOKUP(2,1/(($B$3:B435=B436)*($O$3:O435=O436)),$G$3:G435),"")&lt;&gt;"Paused — pending decision"),"Resume is only for the event straight after a Precautionary pause on the same AIR-ID and UC-ID (in an earlier row)",IF(AND(E436="Decision",OR(G436="Progress",G436="Progress with condition",G436="Re-authorise",G436="Resume"),X436&lt;&gt;"Yes"),"Decision-maker has not confirmed the screening was considered (column X)","Check against source")))))))))))))))))))))))))))))</f>
        <v/>
      </c>
      <c r="O436" s="37" t="n"/>
      <c r="P436" s="37" t="n"/>
      <c r="Q436" s="14">
        <f>IF(A436="","",IF(E436&lt;&gt;"Decision","",IF(P436="UC-ID specific",IF(O436="","UC-ID REQUIRED","Check source decision for each UC-ID"),IF(P436="Shared system baseline",IF(O436&lt;&gt;"","REMOVE UC-ID OR CORRECT SCOPE","Baseline only — NOT UC approval"),"Decision scope missing"))))</f>
        <v/>
      </c>
      <c r="R436" s="42" t="n"/>
      <c r="S436" s="38" t="n"/>
      <c r="T436" s="38" t="n"/>
      <c r="U436" s="38" t="n"/>
      <c r="V436" s="38" t="n"/>
      <c r="W436" s="39" t="n"/>
      <c r="X436" s="38" t="n"/>
    </row>
    <row r="437">
      <c r="A437" s="40" t="n"/>
      <c r="B437" s="40" t="n"/>
      <c r="C437" s="40" t="n"/>
      <c r="D437" s="40" t="n"/>
      <c r="E437" s="40" t="n"/>
      <c r="F437" s="41" t="n"/>
      <c r="G437" s="40" t="n"/>
      <c r="H437" s="40" t="n"/>
      <c r="I437" s="40" t="n"/>
      <c r="J437" s="40" t="n"/>
      <c r="K437" s="40" t="n"/>
      <c r="L437" s="40" t="n"/>
      <c r="M437" s="40" t="n"/>
      <c r="N437" s="24">
        <f>IF(COUNTA(A437:M437,O437:P437,R437:X437)=0,"",IF(OR(A437="",B437="",F437=""),"Event ID, AIR-ID or date missing",IF(COUNTIF($A$4:$A$553,A437)&gt;1,"Duplicate Event ID",IF(E437="","Event type missing",IF(OR(NOT(ISNUMBER(F437)),F437&gt;TODAY()),"Date is not a real date or is in the future",IF(AND(C437&lt;&gt;"",COUNTIF('Gate plan'!$A$4:$A$353,C437)=0),"Plan ID not found in Gate plan",IF(AND(C437&lt;&gt;"",COUNTIFS('Gate plan'!$A$4:$A$353,C437,'Gate plan'!$B$4:$B$353,B437)=0),"Plan AIR-ID differs from event",IF(D437="","Gate / forum missing",IF(AND(E437="Precautionary pause (containment)",G437&lt;&gt;"Paused — pending decision"),"Precautionary pause: Outcome must be Paused, pending decision",IF(AND(E437="Precautionary pause (containment)",V437=""),"Precautionary pause: AIG-OPS-03 incident ref missing",IF(AND(E437="Precautionary pause (containment)",NOT(ISNUMBER(W437))),"Precautionary pause: follow-up decision due date missing",IF(AND(G437="Paused — pending decision",E437&lt;&gt;"Precautionary pause (containment)"),"Paused, pending decision is only for a Precautionary pause event",IF(AND(E437="Decision",OR(G437="",H437="",I437="")),"Outcome / delegation / decision ref missing",IF(AND(E437="Decision",NOT(OR(G437="Progress",G437="Progress with condition",G437="Return for evidence",G437="Pause",G437="Stop",G437="Suspend",G437="Decommission",G437="Re-authorise",G437="Resume"))),"Decision event needs a decision outcome",IF(AND(E437="Priority override",OR(H437="",I437="")),"Decision-maker / AIG-DEC-03 ref missing",IF(AND(E437="Priority override",G437&lt;&gt;"",G437&lt;&gt;"No decision"),"Priority override: Outcome blank or No decision",IF(AND(E437&lt;&gt;"Decision",OR(G437="Progress",G437="Progress with condition",G437="Return for evidence",G437="Pause",G437="Stop",G437="Suspend",G437="Decommission",G437="Re-authorise",G437="Resume")),"Outcome implies decision",IF(OR(ISNUMBER(SEARCH(",",O437)),ISNUMBER(SEARCH(";",O437))),"One UC-ID per event row — split this event",IF(AND(E437="Decision",OR(Q437="UC-ID REQUIRED",Q437="Decision scope missing",Q437="REMOVE UC-ID OR CORRECT SCOPE")),"Decision scope missing",IF(AND(G437="Progress with condition",COUNTIF(Conditions!$B$4:$B$553,A437)=0),"Progress with condition needs at least one Conditions row",IF(AND(C437&lt;&gt;"",COUNTIFS('Gate plan'!$A$4:$A$353,C437,'Gate plan'!$C$4:$C$353,D437)=0),"Plan gate differs from event gate",IF(AND(C437&lt;&gt;"",O437&lt;&gt;"",COUNTIFS('Gate plan'!$A$4:$A$353,C437,'Gate plan'!$K$4:$K$353,"&lt;&gt;")&gt;0,COUNTIFS('Gate plan'!$A$4:$A$353,C437,'Gate plan'!$K$4:$K$353,O437)=0),"Plan UC-ID differs from event UC-ID",IF(AND(E437="Assurance opinion",J437=""),"Assurance opinion ref missing",IF(AND(G437="Opinion only",E437&lt;&gt;"Assurance opinion",E437&lt;&gt;"Review only"),"Opinion only is for Assurance opinion or Review only events",IF(AND(G437="No decision",E437&lt;&gt;"Review only",E437&lt;&gt;"Priority override",E437&lt;&gt;"Intake / registration"),"No decision is for Review only, Priority override or Intake / registration events",IF(OR(ISNUMBER(SEARCH(" ",TRIM(O437))),ISNUMBER(SEARCH("/",O437))),"One UC-ID per event row: split this event",IF(AND(E437="Precautionary pause (containment)",ISNUMBER(W437),ISNUMBER(F437),W437&lt;F437),"Follow-up decision due date is before the pause",IF(AND(G437="Resume",IFERROR(LOOKUP(2,1/(($B$3:B436=B437)*($O$3:O436=O437)),$G$3:G436),"")&lt;&gt;"Paused — pending decision"),"Resume is only for the event straight after a Precautionary pause on the same AIR-ID and UC-ID (in an earlier row)",IF(AND(E437="Decision",OR(G437="Progress",G437="Progress with condition",G437="Re-authorise",G437="Resume"),X437&lt;&gt;"Yes"),"Decision-maker has not confirmed the screening was considered (column X)","Check against source")))))))))))))))))))))))))))))</f>
        <v/>
      </c>
      <c r="O437" s="37" t="n"/>
      <c r="P437" s="37" t="n"/>
      <c r="Q437" s="14">
        <f>IF(A437="","",IF(E437&lt;&gt;"Decision","",IF(P437="UC-ID specific",IF(O437="","UC-ID REQUIRED","Check source decision for each UC-ID"),IF(P437="Shared system baseline",IF(O437&lt;&gt;"","REMOVE UC-ID OR CORRECT SCOPE","Baseline only — NOT UC approval"),"Decision scope missing"))))</f>
        <v/>
      </c>
      <c r="R437" s="43" t="n"/>
      <c r="S437" s="40" t="n"/>
      <c r="T437" s="40" t="n"/>
      <c r="U437" s="40" t="n"/>
      <c r="V437" s="40" t="n"/>
      <c r="W437" s="41" t="n"/>
      <c r="X437" s="38" t="n"/>
    </row>
    <row r="438">
      <c r="A438" s="38" t="n"/>
      <c r="B438" s="38" t="n"/>
      <c r="C438" s="38" t="n"/>
      <c r="D438" s="38" t="n"/>
      <c r="E438" s="38" t="n"/>
      <c r="F438" s="39" t="n"/>
      <c r="G438" s="38" t="n"/>
      <c r="H438" s="38" t="n"/>
      <c r="I438" s="38" t="n"/>
      <c r="J438" s="38" t="n"/>
      <c r="K438" s="38" t="n"/>
      <c r="L438" s="38" t="n"/>
      <c r="M438" s="38" t="n"/>
      <c r="N438" s="22">
        <f>IF(COUNTA(A438:M438,O438:P438,R438:X438)=0,"",IF(OR(A438="",B438="",F438=""),"Event ID, AIR-ID or date missing",IF(COUNTIF($A$4:$A$553,A438)&gt;1,"Duplicate Event ID",IF(E438="","Event type missing",IF(OR(NOT(ISNUMBER(F438)),F438&gt;TODAY()),"Date is not a real date or is in the future",IF(AND(C438&lt;&gt;"",COUNTIF('Gate plan'!$A$4:$A$353,C438)=0),"Plan ID not found in Gate plan",IF(AND(C438&lt;&gt;"",COUNTIFS('Gate plan'!$A$4:$A$353,C438,'Gate plan'!$B$4:$B$353,B438)=0),"Plan AIR-ID differs from event",IF(D438="","Gate / forum missing",IF(AND(E438="Precautionary pause (containment)",G438&lt;&gt;"Paused — pending decision"),"Precautionary pause: Outcome must be Paused, pending decision",IF(AND(E438="Precautionary pause (containment)",V438=""),"Precautionary pause: AIG-OPS-03 incident ref missing",IF(AND(E438="Precautionary pause (containment)",NOT(ISNUMBER(W438))),"Precautionary pause: follow-up decision due date missing",IF(AND(G438="Paused — pending decision",E438&lt;&gt;"Precautionary pause (containment)"),"Paused, pending decision is only for a Precautionary pause event",IF(AND(E438="Decision",OR(G438="",H438="",I438="")),"Outcome / delegation / decision ref missing",IF(AND(E438="Decision",NOT(OR(G438="Progress",G438="Progress with condition",G438="Return for evidence",G438="Pause",G438="Stop",G438="Suspend",G438="Decommission",G438="Re-authorise",G438="Resume"))),"Decision event needs a decision outcome",IF(AND(E438="Priority override",OR(H438="",I438="")),"Decision-maker / AIG-DEC-03 ref missing",IF(AND(E438="Priority override",G438&lt;&gt;"",G438&lt;&gt;"No decision"),"Priority override: Outcome blank or No decision",IF(AND(E438&lt;&gt;"Decision",OR(G438="Progress",G438="Progress with condition",G438="Return for evidence",G438="Pause",G438="Stop",G438="Suspend",G438="Decommission",G438="Re-authorise",G438="Resume")),"Outcome implies decision",IF(OR(ISNUMBER(SEARCH(",",O438)),ISNUMBER(SEARCH(";",O438))),"One UC-ID per event row — split this event",IF(AND(E438="Decision",OR(Q438="UC-ID REQUIRED",Q438="Decision scope missing",Q438="REMOVE UC-ID OR CORRECT SCOPE")),"Decision scope missing",IF(AND(G438="Progress with condition",COUNTIF(Conditions!$B$4:$B$553,A438)=0),"Progress with condition needs at least one Conditions row",IF(AND(C438&lt;&gt;"",COUNTIFS('Gate plan'!$A$4:$A$353,C438,'Gate plan'!$C$4:$C$353,D438)=0),"Plan gate differs from event gate",IF(AND(C438&lt;&gt;"",O438&lt;&gt;"",COUNTIFS('Gate plan'!$A$4:$A$353,C438,'Gate plan'!$K$4:$K$353,"&lt;&gt;")&gt;0,COUNTIFS('Gate plan'!$A$4:$A$353,C438,'Gate plan'!$K$4:$K$353,O438)=0),"Plan UC-ID differs from event UC-ID",IF(AND(E438="Assurance opinion",J438=""),"Assurance opinion ref missing",IF(AND(G438="Opinion only",E438&lt;&gt;"Assurance opinion",E438&lt;&gt;"Review only"),"Opinion only is for Assurance opinion or Review only events",IF(AND(G438="No decision",E438&lt;&gt;"Review only",E438&lt;&gt;"Priority override",E438&lt;&gt;"Intake / registration"),"No decision is for Review only, Priority override or Intake / registration events",IF(OR(ISNUMBER(SEARCH(" ",TRIM(O438))),ISNUMBER(SEARCH("/",O438))),"One UC-ID per event row: split this event",IF(AND(E438="Precautionary pause (containment)",ISNUMBER(W438),ISNUMBER(F438),W438&lt;F438),"Follow-up decision due date is before the pause",IF(AND(G438="Resume",IFERROR(LOOKUP(2,1/(($B$3:B437=B438)*($O$3:O437=O438)),$G$3:G437),"")&lt;&gt;"Paused — pending decision"),"Resume is only for the event straight after a Precautionary pause on the same AIR-ID and UC-ID (in an earlier row)",IF(AND(E438="Decision",OR(G438="Progress",G438="Progress with condition",G438="Re-authorise",G438="Resume"),X438&lt;&gt;"Yes"),"Decision-maker has not confirmed the screening was considered (column X)","Check against source")))))))))))))))))))))))))))))</f>
        <v/>
      </c>
      <c r="O438" s="37" t="n"/>
      <c r="P438" s="37" t="n"/>
      <c r="Q438" s="14">
        <f>IF(A438="","",IF(E438&lt;&gt;"Decision","",IF(P438="UC-ID specific",IF(O438="","UC-ID REQUIRED","Check source decision for each UC-ID"),IF(P438="Shared system baseline",IF(O438&lt;&gt;"","REMOVE UC-ID OR CORRECT SCOPE","Baseline only — NOT UC approval"),"Decision scope missing"))))</f>
        <v/>
      </c>
      <c r="R438" s="42" t="n"/>
      <c r="S438" s="38" t="n"/>
      <c r="T438" s="38" t="n"/>
      <c r="U438" s="38" t="n"/>
      <c r="V438" s="38" t="n"/>
      <c r="W438" s="39" t="n"/>
      <c r="X438" s="38" t="n"/>
    </row>
    <row r="439">
      <c r="A439" s="40" t="n"/>
      <c r="B439" s="40" t="n"/>
      <c r="C439" s="40" t="n"/>
      <c r="D439" s="40" t="n"/>
      <c r="E439" s="40" t="n"/>
      <c r="F439" s="41" t="n"/>
      <c r="G439" s="40" t="n"/>
      <c r="H439" s="40" t="n"/>
      <c r="I439" s="40" t="n"/>
      <c r="J439" s="40" t="n"/>
      <c r="K439" s="40" t="n"/>
      <c r="L439" s="40" t="n"/>
      <c r="M439" s="40" t="n"/>
      <c r="N439" s="24">
        <f>IF(COUNTA(A439:M439,O439:P439,R439:X439)=0,"",IF(OR(A439="",B439="",F439=""),"Event ID, AIR-ID or date missing",IF(COUNTIF($A$4:$A$553,A439)&gt;1,"Duplicate Event ID",IF(E439="","Event type missing",IF(OR(NOT(ISNUMBER(F439)),F439&gt;TODAY()),"Date is not a real date or is in the future",IF(AND(C439&lt;&gt;"",COUNTIF('Gate plan'!$A$4:$A$353,C439)=0),"Plan ID not found in Gate plan",IF(AND(C439&lt;&gt;"",COUNTIFS('Gate plan'!$A$4:$A$353,C439,'Gate plan'!$B$4:$B$353,B439)=0),"Plan AIR-ID differs from event",IF(D439="","Gate / forum missing",IF(AND(E439="Precautionary pause (containment)",G439&lt;&gt;"Paused — pending decision"),"Precautionary pause: Outcome must be Paused, pending decision",IF(AND(E439="Precautionary pause (containment)",V439=""),"Precautionary pause: AIG-OPS-03 incident ref missing",IF(AND(E439="Precautionary pause (containment)",NOT(ISNUMBER(W439))),"Precautionary pause: follow-up decision due date missing",IF(AND(G439="Paused — pending decision",E439&lt;&gt;"Precautionary pause (containment)"),"Paused, pending decision is only for a Precautionary pause event",IF(AND(E439="Decision",OR(G439="",H439="",I439="")),"Outcome / delegation / decision ref missing",IF(AND(E439="Decision",NOT(OR(G439="Progress",G439="Progress with condition",G439="Return for evidence",G439="Pause",G439="Stop",G439="Suspend",G439="Decommission",G439="Re-authorise",G439="Resume"))),"Decision event needs a decision outcome",IF(AND(E439="Priority override",OR(H439="",I439="")),"Decision-maker / AIG-DEC-03 ref missing",IF(AND(E439="Priority override",G439&lt;&gt;"",G439&lt;&gt;"No decision"),"Priority override: Outcome blank or No decision",IF(AND(E439&lt;&gt;"Decision",OR(G439="Progress",G439="Progress with condition",G439="Return for evidence",G439="Pause",G439="Stop",G439="Suspend",G439="Decommission",G439="Re-authorise",G439="Resume")),"Outcome implies decision",IF(OR(ISNUMBER(SEARCH(",",O439)),ISNUMBER(SEARCH(";",O439))),"One UC-ID per event row — split this event",IF(AND(E439="Decision",OR(Q439="UC-ID REQUIRED",Q439="Decision scope missing",Q439="REMOVE UC-ID OR CORRECT SCOPE")),"Decision scope missing",IF(AND(G439="Progress with condition",COUNTIF(Conditions!$B$4:$B$553,A439)=0),"Progress with condition needs at least one Conditions row",IF(AND(C439&lt;&gt;"",COUNTIFS('Gate plan'!$A$4:$A$353,C439,'Gate plan'!$C$4:$C$353,D439)=0),"Plan gate differs from event gate",IF(AND(C439&lt;&gt;"",O439&lt;&gt;"",COUNTIFS('Gate plan'!$A$4:$A$353,C439,'Gate plan'!$K$4:$K$353,"&lt;&gt;")&gt;0,COUNTIFS('Gate plan'!$A$4:$A$353,C439,'Gate plan'!$K$4:$K$353,O439)=0),"Plan UC-ID differs from event UC-ID",IF(AND(E439="Assurance opinion",J439=""),"Assurance opinion ref missing",IF(AND(G439="Opinion only",E439&lt;&gt;"Assurance opinion",E439&lt;&gt;"Review only"),"Opinion only is for Assurance opinion or Review only events",IF(AND(G439="No decision",E439&lt;&gt;"Review only",E439&lt;&gt;"Priority override",E439&lt;&gt;"Intake / registration"),"No decision is for Review only, Priority override or Intake / registration events",IF(OR(ISNUMBER(SEARCH(" ",TRIM(O439))),ISNUMBER(SEARCH("/",O439))),"One UC-ID per event row: split this event",IF(AND(E439="Precautionary pause (containment)",ISNUMBER(W439),ISNUMBER(F439),W439&lt;F439),"Follow-up decision due date is before the pause",IF(AND(G439="Resume",IFERROR(LOOKUP(2,1/(($B$3:B438=B439)*($O$3:O438=O439)),$G$3:G438),"")&lt;&gt;"Paused — pending decision"),"Resume is only for the event straight after a Precautionary pause on the same AIR-ID and UC-ID (in an earlier row)",IF(AND(E439="Decision",OR(G439="Progress",G439="Progress with condition",G439="Re-authorise",G439="Resume"),X439&lt;&gt;"Yes"),"Decision-maker has not confirmed the screening was considered (column X)","Check against source")))))))))))))))))))))))))))))</f>
        <v/>
      </c>
      <c r="O439" s="37" t="n"/>
      <c r="P439" s="37" t="n"/>
      <c r="Q439" s="14">
        <f>IF(A439="","",IF(E439&lt;&gt;"Decision","",IF(P439="UC-ID specific",IF(O439="","UC-ID REQUIRED","Check source decision for each UC-ID"),IF(P439="Shared system baseline",IF(O439&lt;&gt;"","REMOVE UC-ID OR CORRECT SCOPE","Baseline only — NOT UC approval"),"Decision scope missing"))))</f>
        <v/>
      </c>
      <c r="R439" s="43" t="n"/>
      <c r="S439" s="40" t="n"/>
      <c r="T439" s="40" t="n"/>
      <c r="U439" s="40" t="n"/>
      <c r="V439" s="40" t="n"/>
      <c r="W439" s="41" t="n"/>
      <c r="X439" s="38" t="n"/>
    </row>
    <row r="440">
      <c r="A440" s="38" t="n"/>
      <c r="B440" s="38" t="n"/>
      <c r="C440" s="38" t="n"/>
      <c r="D440" s="38" t="n"/>
      <c r="E440" s="38" t="n"/>
      <c r="F440" s="39" t="n"/>
      <c r="G440" s="38" t="n"/>
      <c r="H440" s="38" t="n"/>
      <c r="I440" s="38" t="n"/>
      <c r="J440" s="38" t="n"/>
      <c r="K440" s="38" t="n"/>
      <c r="L440" s="38" t="n"/>
      <c r="M440" s="38" t="n"/>
      <c r="N440" s="22">
        <f>IF(COUNTA(A440:M440,O440:P440,R440:X440)=0,"",IF(OR(A440="",B440="",F440=""),"Event ID, AIR-ID or date missing",IF(COUNTIF($A$4:$A$553,A440)&gt;1,"Duplicate Event ID",IF(E440="","Event type missing",IF(OR(NOT(ISNUMBER(F440)),F440&gt;TODAY()),"Date is not a real date or is in the future",IF(AND(C440&lt;&gt;"",COUNTIF('Gate plan'!$A$4:$A$353,C440)=0),"Plan ID not found in Gate plan",IF(AND(C440&lt;&gt;"",COUNTIFS('Gate plan'!$A$4:$A$353,C440,'Gate plan'!$B$4:$B$353,B440)=0),"Plan AIR-ID differs from event",IF(D440="","Gate / forum missing",IF(AND(E440="Precautionary pause (containment)",G440&lt;&gt;"Paused — pending decision"),"Precautionary pause: Outcome must be Paused, pending decision",IF(AND(E440="Precautionary pause (containment)",V440=""),"Precautionary pause: AIG-OPS-03 incident ref missing",IF(AND(E440="Precautionary pause (containment)",NOT(ISNUMBER(W440))),"Precautionary pause: follow-up decision due date missing",IF(AND(G440="Paused — pending decision",E440&lt;&gt;"Precautionary pause (containment)"),"Paused, pending decision is only for a Precautionary pause event",IF(AND(E440="Decision",OR(G440="",H440="",I440="")),"Outcome / delegation / decision ref missing",IF(AND(E440="Decision",NOT(OR(G440="Progress",G440="Progress with condition",G440="Return for evidence",G440="Pause",G440="Stop",G440="Suspend",G440="Decommission",G440="Re-authorise",G440="Resume"))),"Decision event needs a decision outcome",IF(AND(E440="Priority override",OR(H440="",I440="")),"Decision-maker / AIG-DEC-03 ref missing",IF(AND(E440="Priority override",G440&lt;&gt;"",G440&lt;&gt;"No decision"),"Priority override: Outcome blank or No decision",IF(AND(E440&lt;&gt;"Decision",OR(G440="Progress",G440="Progress with condition",G440="Return for evidence",G440="Pause",G440="Stop",G440="Suspend",G440="Decommission",G440="Re-authorise",G440="Resume")),"Outcome implies decision",IF(OR(ISNUMBER(SEARCH(",",O440)),ISNUMBER(SEARCH(";",O440))),"One UC-ID per event row — split this event",IF(AND(E440="Decision",OR(Q440="UC-ID REQUIRED",Q440="Decision scope missing",Q440="REMOVE UC-ID OR CORRECT SCOPE")),"Decision scope missing",IF(AND(G440="Progress with condition",COUNTIF(Conditions!$B$4:$B$553,A440)=0),"Progress with condition needs at least one Conditions row",IF(AND(C440&lt;&gt;"",COUNTIFS('Gate plan'!$A$4:$A$353,C440,'Gate plan'!$C$4:$C$353,D440)=0),"Plan gate differs from event gate",IF(AND(C440&lt;&gt;"",O440&lt;&gt;"",COUNTIFS('Gate plan'!$A$4:$A$353,C440,'Gate plan'!$K$4:$K$353,"&lt;&gt;")&gt;0,COUNTIFS('Gate plan'!$A$4:$A$353,C440,'Gate plan'!$K$4:$K$353,O440)=0),"Plan UC-ID differs from event UC-ID",IF(AND(E440="Assurance opinion",J440=""),"Assurance opinion ref missing",IF(AND(G440="Opinion only",E440&lt;&gt;"Assurance opinion",E440&lt;&gt;"Review only"),"Opinion only is for Assurance opinion or Review only events",IF(AND(G440="No decision",E440&lt;&gt;"Review only",E440&lt;&gt;"Priority override",E440&lt;&gt;"Intake / registration"),"No decision is for Review only, Priority override or Intake / registration events",IF(OR(ISNUMBER(SEARCH(" ",TRIM(O440))),ISNUMBER(SEARCH("/",O440))),"One UC-ID per event row: split this event",IF(AND(E440="Precautionary pause (containment)",ISNUMBER(W440),ISNUMBER(F440),W440&lt;F440),"Follow-up decision due date is before the pause",IF(AND(G440="Resume",IFERROR(LOOKUP(2,1/(($B$3:B439=B440)*($O$3:O439=O440)),$G$3:G439),"")&lt;&gt;"Paused — pending decision"),"Resume is only for the event straight after a Precautionary pause on the same AIR-ID and UC-ID (in an earlier row)",IF(AND(E440="Decision",OR(G440="Progress",G440="Progress with condition",G440="Re-authorise",G440="Resume"),X440&lt;&gt;"Yes"),"Decision-maker has not confirmed the screening was considered (column X)","Check against source")))))))))))))))))))))))))))))</f>
        <v/>
      </c>
      <c r="O440" s="37" t="n"/>
      <c r="P440" s="37" t="n"/>
      <c r="Q440" s="14">
        <f>IF(A440="","",IF(E440&lt;&gt;"Decision","",IF(P440="UC-ID specific",IF(O440="","UC-ID REQUIRED","Check source decision for each UC-ID"),IF(P440="Shared system baseline",IF(O440&lt;&gt;"","REMOVE UC-ID OR CORRECT SCOPE","Baseline only — NOT UC approval"),"Decision scope missing"))))</f>
        <v/>
      </c>
      <c r="R440" s="42" t="n"/>
      <c r="S440" s="38" t="n"/>
      <c r="T440" s="38" t="n"/>
      <c r="U440" s="38" t="n"/>
      <c r="V440" s="38" t="n"/>
      <c r="W440" s="39" t="n"/>
      <c r="X440" s="38" t="n"/>
    </row>
    <row r="441">
      <c r="A441" s="40" t="n"/>
      <c r="B441" s="40" t="n"/>
      <c r="C441" s="40" t="n"/>
      <c r="D441" s="40" t="n"/>
      <c r="E441" s="40" t="n"/>
      <c r="F441" s="41" t="n"/>
      <c r="G441" s="40" t="n"/>
      <c r="H441" s="40" t="n"/>
      <c r="I441" s="40" t="n"/>
      <c r="J441" s="40" t="n"/>
      <c r="K441" s="40" t="n"/>
      <c r="L441" s="40" t="n"/>
      <c r="M441" s="40" t="n"/>
      <c r="N441" s="24">
        <f>IF(COUNTA(A441:M441,O441:P441,R441:X441)=0,"",IF(OR(A441="",B441="",F441=""),"Event ID, AIR-ID or date missing",IF(COUNTIF($A$4:$A$553,A441)&gt;1,"Duplicate Event ID",IF(E441="","Event type missing",IF(OR(NOT(ISNUMBER(F441)),F441&gt;TODAY()),"Date is not a real date or is in the future",IF(AND(C441&lt;&gt;"",COUNTIF('Gate plan'!$A$4:$A$353,C441)=0),"Plan ID not found in Gate plan",IF(AND(C441&lt;&gt;"",COUNTIFS('Gate plan'!$A$4:$A$353,C441,'Gate plan'!$B$4:$B$353,B441)=0),"Plan AIR-ID differs from event",IF(D441="","Gate / forum missing",IF(AND(E441="Precautionary pause (containment)",G441&lt;&gt;"Paused — pending decision"),"Precautionary pause: Outcome must be Paused, pending decision",IF(AND(E441="Precautionary pause (containment)",V441=""),"Precautionary pause: AIG-OPS-03 incident ref missing",IF(AND(E441="Precautionary pause (containment)",NOT(ISNUMBER(W441))),"Precautionary pause: follow-up decision due date missing",IF(AND(G441="Paused — pending decision",E441&lt;&gt;"Precautionary pause (containment)"),"Paused, pending decision is only for a Precautionary pause event",IF(AND(E441="Decision",OR(G441="",H441="",I441="")),"Outcome / delegation / decision ref missing",IF(AND(E441="Decision",NOT(OR(G441="Progress",G441="Progress with condition",G441="Return for evidence",G441="Pause",G441="Stop",G441="Suspend",G441="Decommission",G441="Re-authorise",G441="Resume"))),"Decision event needs a decision outcome",IF(AND(E441="Priority override",OR(H441="",I441="")),"Decision-maker / AIG-DEC-03 ref missing",IF(AND(E441="Priority override",G441&lt;&gt;"",G441&lt;&gt;"No decision"),"Priority override: Outcome blank or No decision",IF(AND(E441&lt;&gt;"Decision",OR(G441="Progress",G441="Progress with condition",G441="Return for evidence",G441="Pause",G441="Stop",G441="Suspend",G441="Decommission",G441="Re-authorise",G441="Resume")),"Outcome implies decision",IF(OR(ISNUMBER(SEARCH(",",O441)),ISNUMBER(SEARCH(";",O441))),"One UC-ID per event row — split this event",IF(AND(E441="Decision",OR(Q441="UC-ID REQUIRED",Q441="Decision scope missing",Q441="REMOVE UC-ID OR CORRECT SCOPE")),"Decision scope missing",IF(AND(G441="Progress with condition",COUNTIF(Conditions!$B$4:$B$553,A441)=0),"Progress with condition needs at least one Conditions row",IF(AND(C441&lt;&gt;"",COUNTIFS('Gate plan'!$A$4:$A$353,C441,'Gate plan'!$C$4:$C$353,D441)=0),"Plan gate differs from event gate",IF(AND(C441&lt;&gt;"",O441&lt;&gt;"",COUNTIFS('Gate plan'!$A$4:$A$353,C441,'Gate plan'!$K$4:$K$353,"&lt;&gt;")&gt;0,COUNTIFS('Gate plan'!$A$4:$A$353,C441,'Gate plan'!$K$4:$K$353,O441)=0),"Plan UC-ID differs from event UC-ID",IF(AND(E441="Assurance opinion",J441=""),"Assurance opinion ref missing",IF(AND(G441="Opinion only",E441&lt;&gt;"Assurance opinion",E441&lt;&gt;"Review only"),"Opinion only is for Assurance opinion or Review only events",IF(AND(G441="No decision",E441&lt;&gt;"Review only",E441&lt;&gt;"Priority override",E441&lt;&gt;"Intake / registration"),"No decision is for Review only, Priority override or Intake / registration events",IF(OR(ISNUMBER(SEARCH(" ",TRIM(O441))),ISNUMBER(SEARCH("/",O441))),"One UC-ID per event row: split this event",IF(AND(E441="Precautionary pause (containment)",ISNUMBER(W441),ISNUMBER(F441),W441&lt;F441),"Follow-up decision due date is before the pause",IF(AND(G441="Resume",IFERROR(LOOKUP(2,1/(($B$3:B440=B441)*($O$3:O440=O441)),$G$3:G440),"")&lt;&gt;"Paused — pending decision"),"Resume is only for the event straight after a Precautionary pause on the same AIR-ID and UC-ID (in an earlier row)",IF(AND(E441="Decision",OR(G441="Progress",G441="Progress with condition",G441="Re-authorise",G441="Resume"),X441&lt;&gt;"Yes"),"Decision-maker has not confirmed the screening was considered (column X)","Check against source")))))))))))))))))))))))))))))</f>
        <v/>
      </c>
      <c r="O441" s="37" t="n"/>
      <c r="P441" s="37" t="n"/>
      <c r="Q441" s="14">
        <f>IF(A441="","",IF(E441&lt;&gt;"Decision","",IF(P441="UC-ID specific",IF(O441="","UC-ID REQUIRED","Check source decision for each UC-ID"),IF(P441="Shared system baseline",IF(O441&lt;&gt;"","REMOVE UC-ID OR CORRECT SCOPE","Baseline only — NOT UC approval"),"Decision scope missing"))))</f>
        <v/>
      </c>
      <c r="R441" s="43" t="n"/>
      <c r="S441" s="40" t="n"/>
      <c r="T441" s="40" t="n"/>
      <c r="U441" s="40" t="n"/>
      <c r="V441" s="40" t="n"/>
      <c r="W441" s="41" t="n"/>
      <c r="X441" s="38" t="n"/>
    </row>
    <row r="442">
      <c r="A442" s="38" t="n"/>
      <c r="B442" s="38" t="n"/>
      <c r="C442" s="38" t="n"/>
      <c r="D442" s="38" t="n"/>
      <c r="E442" s="38" t="n"/>
      <c r="F442" s="39" t="n"/>
      <c r="G442" s="38" t="n"/>
      <c r="H442" s="38" t="n"/>
      <c r="I442" s="38" t="n"/>
      <c r="J442" s="38" t="n"/>
      <c r="K442" s="38" t="n"/>
      <c r="L442" s="38" t="n"/>
      <c r="M442" s="38" t="n"/>
      <c r="N442" s="22">
        <f>IF(COUNTA(A442:M442,O442:P442,R442:X442)=0,"",IF(OR(A442="",B442="",F442=""),"Event ID, AIR-ID or date missing",IF(COUNTIF($A$4:$A$553,A442)&gt;1,"Duplicate Event ID",IF(E442="","Event type missing",IF(OR(NOT(ISNUMBER(F442)),F442&gt;TODAY()),"Date is not a real date or is in the future",IF(AND(C442&lt;&gt;"",COUNTIF('Gate plan'!$A$4:$A$353,C442)=0),"Plan ID not found in Gate plan",IF(AND(C442&lt;&gt;"",COUNTIFS('Gate plan'!$A$4:$A$353,C442,'Gate plan'!$B$4:$B$353,B442)=0),"Plan AIR-ID differs from event",IF(D442="","Gate / forum missing",IF(AND(E442="Precautionary pause (containment)",G442&lt;&gt;"Paused — pending decision"),"Precautionary pause: Outcome must be Paused, pending decision",IF(AND(E442="Precautionary pause (containment)",V442=""),"Precautionary pause: AIG-OPS-03 incident ref missing",IF(AND(E442="Precautionary pause (containment)",NOT(ISNUMBER(W442))),"Precautionary pause: follow-up decision due date missing",IF(AND(G442="Paused — pending decision",E442&lt;&gt;"Precautionary pause (containment)"),"Paused, pending decision is only for a Precautionary pause event",IF(AND(E442="Decision",OR(G442="",H442="",I442="")),"Outcome / delegation / decision ref missing",IF(AND(E442="Decision",NOT(OR(G442="Progress",G442="Progress with condition",G442="Return for evidence",G442="Pause",G442="Stop",G442="Suspend",G442="Decommission",G442="Re-authorise",G442="Resume"))),"Decision event needs a decision outcome",IF(AND(E442="Priority override",OR(H442="",I442="")),"Decision-maker / AIG-DEC-03 ref missing",IF(AND(E442="Priority override",G442&lt;&gt;"",G442&lt;&gt;"No decision"),"Priority override: Outcome blank or No decision",IF(AND(E442&lt;&gt;"Decision",OR(G442="Progress",G442="Progress with condition",G442="Return for evidence",G442="Pause",G442="Stop",G442="Suspend",G442="Decommission",G442="Re-authorise",G442="Resume")),"Outcome implies decision",IF(OR(ISNUMBER(SEARCH(",",O442)),ISNUMBER(SEARCH(";",O442))),"One UC-ID per event row — split this event",IF(AND(E442="Decision",OR(Q442="UC-ID REQUIRED",Q442="Decision scope missing",Q442="REMOVE UC-ID OR CORRECT SCOPE")),"Decision scope missing",IF(AND(G442="Progress with condition",COUNTIF(Conditions!$B$4:$B$553,A442)=0),"Progress with condition needs at least one Conditions row",IF(AND(C442&lt;&gt;"",COUNTIFS('Gate plan'!$A$4:$A$353,C442,'Gate plan'!$C$4:$C$353,D442)=0),"Plan gate differs from event gate",IF(AND(C442&lt;&gt;"",O442&lt;&gt;"",COUNTIFS('Gate plan'!$A$4:$A$353,C442,'Gate plan'!$K$4:$K$353,"&lt;&gt;")&gt;0,COUNTIFS('Gate plan'!$A$4:$A$353,C442,'Gate plan'!$K$4:$K$353,O442)=0),"Plan UC-ID differs from event UC-ID",IF(AND(E442="Assurance opinion",J442=""),"Assurance opinion ref missing",IF(AND(G442="Opinion only",E442&lt;&gt;"Assurance opinion",E442&lt;&gt;"Review only"),"Opinion only is for Assurance opinion or Review only events",IF(AND(G442="No decision",E442&lt;&gt;"Review only",E442&lt;&gt;"Priority override",E442&lt;&gt;"Intake / registration"),"No decision is for Review only, Priority override or Intake / registration events",IF(OR(ISNUMBER(SEARCH(" ",TRIM(O442))),ISNUMBER(SEARCH("/",O442))),"One UC-ID per event row: split this event",IF(AND(E442="Precautionary pause (containment)",ISNUMBER(W442),ISNUMBER(F442),W442&lt;F442),"Follow-up decision due date is before the pause",IF(AND(G442="Resume",IFERROR(LOOKUP(2,1/(($B$3:B441=B442)*($O$3:O441=O442)),$G$3:G441),"")&lt;&gt;"Paused — pending decision"),"Resume is only for the event straight after a Precautionary pause on the same AIR-ID and UC-ID (in an earlier row)",IF(AND(E442="Decision",OR(G442="Progress",G442="Progress with condition",G442="Re-authorise",G442="Resume"),X442&lt;&gt;"Yes"),"Decision-maker has not confirmed the screening was considered (column X)","Check against source")))))))))))))))))))))))))))))</f>
        <v/>
      </c>
      <c r="O442" s="37" t="n"/>
      <c r="P442" s="37" t="n"/>
      <c r="Q442" s="14">
        <f>IF(A442="","",IF(E442&lt;&gt;"Decision","",IF(P442="UC-ID specific",IF(O442="","UC-ID REQUIRED","Check source decision for each UC-ID"),IF(P442="Shared system baseline",IF(O442&lt;&gt;"","REMOVE UC-ID OR CORRECT SCOPE","Baseline only — NOT UC approval"),"Decision scope missing"))))</f>
        <v/>
      </c>
      <c r="R442" s="42" t="n"/>
      <c r="S442" s="38" t="n"/>
      <c r="T442" s="38" t="n"/>
      <c r="U442" s="38" t="n"/>
      <c r="V442" s="38" t="n"/>
      <c r="W442" s="39" t="n"/>
      <c r="X442" s="38" t="n"/>
    </row>
    <row r="443">
      <c r="A443" s="40" t="n"/>
      <c r="B443" s="40" t="n"/>
      <c r="C443" s="40" t="n"/>
      <c r="D443" s="40" t="n"/>
      <c r="E443" s="40" t="n"/>
      <c r="F443" s="41" t="n"/>
      <c r="G443" s="40" t="n"/>
      <c r="H443" s="40" t="n"/>
      <c r="I443" s="40" t="n"/>
      <c r="J443" s="40" t="n"/>
      <c r="K443" s="40" t="n"/>
      <c r="L443" s="40" t="n"/>
      <c r="M443" s="40" t="n"/>
      <c r="N443" s="24">
        <f>IF(COUNTA(A443:M443,O443:P443,R443:X443)=0,"",IF(OR(A443="",B443="",F443=""),"Event ID, AIR-ID or date missing",IF(COUNTIF($A$4:$A$553,A443)&gt;1,"Duplicate Event ID",IF(E443="","Event type missing",IF(OR(NOT(ISNUMBER(F443)),F443&gt;TODAY()),"Date is not a real date or is in the future",IF(AND(C443&lt;&gt;"",COUNTIF('Gate plan'!$A$4:$A$353,C443)=0),"Plan ID not found in Gate plan",IF(AND(C443&lt;&gt;"",COUNTIFS('Gate plan'!$A$4:$A$353,C443,'Gate plan'!$B$4:$B$353,B443)=0),"Plan AIR-ID differs from event",IF(D443="","Gate / forum missing",IF(AND(E443="Precautionary pause (containment)",G443&lt;&gt;"Paused — pending decision"),"Precautionary pause: Outcome must be Paused, pending decision",IF(AND(E443="Precautionary pause (containment)",V443=""),"Precautionary pause: AIG-OPS-03 incident ref missing",IF(AND(E443="Precautionary pause (containment)",NOT(ISNUMBER(W443))),"Precautionary pause: follow-up decision due date missing",IF(AND(G443="Paused — pending decision",E443&lt;&gt;"Precautionary pause (containment)"),"Paused, pending decision is only for a Precautionary pause event",IF(AND(E443="Decision",OR(G443="",H443="",I443="")),"Outcome / delegation / decision ref missing",IF(AND(E443="Decision",NOT(OR(G443="Progress",G443="Progress with condition",G443="Return for evidence",G443="Pause",G443="Stop",G443="Suspend",G443="Decommission",G443="Re-authorise",G443="Resume"))),"Decision event needs a decision outcome",IF(AND(E443="Priority override",OR(H443="",I443="")),"Decision-maker / AIG-DEC-03 ref missing",IF(AND(E443="Priority override",G443&lt;&gt;"",G443&lt;&gt;"No decision"),"Priority override: Outcome blank or No decision",IF(AND(E443&lt;&gt;"Decision",OR(G443="Progress",G443="Progress with condition",G443="Return for evidence",G443="Pause",G443="Stop",G443="Suspend",G443="Decommission",G443="Re-authorise",G443="Resume")),"Outcome implies decision",IF(OR(ISNUMBER(SEARCH(",",O443)),ISNUMBER(SEARCH(";",O443))),"One UC-ID per event row — split this event",IF(AND(E443="Decision",OR(Q443="UC-ID REQUIRED",Q443="Decision scope missing",Q443="REMOVE UC-ID OR CORRECT SCOPE")),"Decision scope missing",IF(AND(G443="Progress with condition",COUNTIF(Conditions!$B$4:$B$553,A443)=0),"Progress with condition needs at least one Conditions row",IF(AND(C443&lt;&gt;"",COUNTIFS('Gate plan'!$A$4:$A$353,C443,'Gate plan'!$C$4:$C$353,D443)=0),"Plan gate differs from event gate",IF(AND(C443&lt;&gt;"",O443&lt;&gt;"",COUNTIFS('Gate plan'!$A$4:$A$353,C443,'Gate plan'!$K$4:$K$353,"&lt;&gt;")&gt;0,COUNTIFS('Gate plan'!$A$4:$A$353,C443,'Gate plan'!$K$4:$K$353,O443)=0),"Plan UC-ID differs from event UC-ID",IF(AND(E443="Assurance opinion",J443=""),"Assurance opinion ref missing",IF(AND(G443="Opinion only",E443&lt;&gt;"Assurance opinion",E443&lt;&gt;"Review only"),"Opinion only is for Assurance opinion or Review only events",IF(AND(G443="No decision",E443&lt;&gt;"Review only",E443&lt;&gt;"Priority override",E443&lt;&gt;"Intake / registration"),"No decision is for Review only, Priority override or Intake / registration events",IF(OR(ISNUMBER(SEARCH(" ",TRIM(O443))),ISNUMBER(SEARCH("/",O443))),"One UC-ID per event row: split this event",IF(AND(E443="Precautionary pause (containment)",ISNUMBER(W443),ISNUMBER(F443),W443&lt;F443),"Follow-up decision due date is before the pause",IF(AND(G443="Resume",IFERROR(LOOKUP(2,1/(($B$3:B442=B443)*($O$3:O442=O443)),$G$3:G442),"")&lt;&gt;"Paused — pending decision"),"Resume is only for the event straight after a Precautionary pause on the same AIR-ID and UC-ID (in an earlier row)",IF(AND(E443="Decision",OR(G443="Progress",G443="Progress with condition",G443="Re-authorise",G443="Resume"),X443&lt;&gt;"Yes"),"Decision-maker has not confirmed the screening was considered (column X)","Check against source")))))))))))))))))))))))))))))</f>
        <v/>
      </c>
      <c r="O443" s="37" t="n"/>
      <c r="P443" s="37" t="n"/>
      <c r="Q443" s="14">
        <f>IF(A443="","",IF(E443&lt;&gt;"Decision","",IF(P443="UC-ID specific",IF(O443="","UC-ID REQUIRED","Check source decision for each UC-ID"),IF(P443="Shared system baseline",IF(O443&lt;&gt;"","REMOVE UC-ID OR CORRECT SCOPE","Baseline only — NOT UC approval"),"Decision scope missing"))))</f>
        <v/>
      </c>
      <c r="R443" s="43" t="n"/>
      <c r="S443" s="40" t="n"/>
      <c r="T443" s="40" t="n"/>
      <c r="U443" s="40" t="n"/>
      <c r="V443" s="40" t="n"/>
      <c r="W443" s="41" t="n"/>
      <c r="X443" s="38" t="n"/>
    </row>
    <row r="444">
      <c r="A444" s="38" t="n"/>
      <c r="B444" s="38" t="n"/>
      <c r="C444" s="38" t="n"/>
      <c r="D444" s="38" t="n"/>
      <c r="E444" s="38" t="n"/>
      <c r="F444" s="39" t="n"/>
      <c r="G444" s="38" t="n"/>
      <c r="H444" s="38" t="n"/>
      <c r="I444" s="38" t="n"/>
      <c r="J444" s="38" t="n"/>
      <c r="K444" s="38" t="n"/>
      <c r="L444" s="38" t="n"/>
      <c r="M444" s="38" t="n"/>
      <c r="N444" s="22">
        <f>IF(COUNTA(A444:M444,O444:P444,R444:X444)=0,"",IF(OR(A444="",B444="",F444=""),"Event ID, AIR-ID or date missing",IF(COUNTIF($A$4:$A$553,A444)&gt;1,"Duplicate Event ID",IF(E444="","Event type missing",IF(OR(NOT(ISNUMBER(F444)),F444&gt;TODAY()),"Date is not a real date or is in the future",IF(AND(C444&lt;&gt;"",COUNTIF('Gate plan'!$A$4:$A$353,C444)=0),"Plan ID not found in Gate plan",IF(AND(C444&lt;&gt;"",COUNTIFS('Gate plan'!$A$4:$A$353,C444,'Gate plan'!$B$4:$B$353,B444)=0),"Plan AIR-ID differs from event",IF(D444="","Gate / forum missing",IF(AND(E444="Precautionary pause (containment)",G444&lt;&gt;"Paused — pending decision"),"Precautionary pause: Outcome must be Paused, pending decision",IF(AND(E444="Precautionary pause (containment)",V444=""),"Precautionary pause: AIG-OPS-03 incident ref missing",IF(AND(E444="Precautionary pause (containment)",NOT(ISNUMBER(W444))),"Precautionary pause: follow-up decision due date missing",IF(AND(G444="Paused — pending decision",E444&lt;&gt;"Precautionary pause (containment)"),"Paused, pending decision is only for a Precautionary pause event",IF(AND(E444="Decision",OR(G444="",H444="",I444="")),"Outcome / delegation / decision ref missing",IF(AND(E444="Decision",NOT(OR(G444="Progress",G444="Progress with condition",G444="Return for evidence",G444="Pause",G444="Stop",G444="Suspend",G444="Decommission",G444="Re-authorise",G444="Resume"))),"Decision event needs a decision outcome",IF(AND(E444="Priority override",OR(H444="",I444="")),"Decision-maker / AIG-DEC-03 ref missing",IF(AND(E444="Priority override",G444&lt;&gt;"",G444&lt;&gt;"No decision"),"Priority override: Outcome blank or No decision",IF(AND(E444&lt;&gt;"Decision",OR(G444="Progress",G444="Progress with condition",G444="Return for evidence",G444="Pause",G444="Stop",G444="Suspend",G444="Decommission",G444="Re-authorise",G444="Resume")),"Outcome implies decision",IF(OR(ISNUMBER(SEARCH(",",O444)),ISNUMBER(SEARCH(";",O444))),"One UC-ID per event row — split this event",IF(AND(E444="Decision",OR(Q444="UC-ID REQUIRED",Q444="Decision scope missing",Q444="REMOVE UC-ID OR CORRECT SCOPE")),"Decision scope missing",IF(AND(G444="Progress with condition",COUNTIF(Conditions!$B$4:$B$553,A444)=0),"Progress with condition needs at least one Conditions row",IF(AND(C444&lt;&gt;"",COUNTIFS('Gate plan'!$A$4:$A$353,C444,'Gate plan'!$C$4:$C$353,D444)=0),"Plan gate differs from event gate",IF(AND(C444&lt;&gt;"",O444&lt;&gt;"",COUNTIFS('Gate plan'!$A$4:$A$353,C444,'Gate plan'!$K$4:$K$353,"&lt;&gt;")&gt;0,COUNTIFS('Gate plan'!$A$4:$A$353,C444,'Gate plan'!$K$4:$K$353,O444)=0),"Plan UC-ID differs from event UC-ID",IF(AND(E444="Assurance opinion",J444=""),"Assurance opinion ref missing",IF(AND(G444="Opinion only",E444&lt;&gt;"Assurance opinion",E444&lt;&gt;"Review only"),"Opinion only is for Assurance opinion or Review only events",IF(AND(G444="No decision",E444&lt;&gt;"Review only",E444&lt;&gt;"Priority override",E444&lt;&gt;"Intake / registration"),"No decision is for Review only, Priority override or Intake / registration events",IF(OR(ISNUMBER(SEARCH(" ",TRIM(O444))),ISNUMBER(SEARCH("/",O444))),"One UC-ID per event row: split this event",IF(AND(E444="Precautionary pause (containment)",ISNUMBER(W444),ISNUMBER(F444),W444&lt;F444),"Follow-up decision due date is before the pause",IF(AND(G444="Resume",IFERROR(LOOKUP(2,1/(($B$3:B443=B444)*($O$3:O443=O444)),$G$3:G443),"")&lt;&gt;"Paused — pending decision"),"Resume is only for the event straight after a Precautionary pause on the same AIR-ID and UC-ID (in an earlier row)",IF(AND(E444="Decision",OR(G444="Progress",G444="Progress with condition",G444="Re-authorise",G444="Resume"),X444&lt;&gt;"Yes"),"Decision-maker has not confirmed the screening was considered (column X)","Check against source")))))))))))))))))))))))))))))</f>
        <v/>
      </c>
      <c r="O444" s="37" t="n"/>
      <c r="P444" s="37" t="n"/>
      <c r="Q444" s="14">
        <f>IF(A444="","",IF(E444&lt;&gt;"Decision","",IF(P444="UC-ID specific",IF(O444="","UC-ID REQUIRED","Check source decision for each UC-ID"),IF(P444="Shared system baseline",IF(O444&lt;&gt;"","REMOVE UC-ID OR CORRECT SCOPE","Baseline only — NOT UC approval"),"Decision scope missing"))))</f>
        <v/>
      </c>
      <c r="R444" s="42" t="n"/>
      <c r="S444" s="38" t="n"/>
      <c r="T444" s="38" t="n"/>
      <c r="U444" s="38" t="n"/>
      <c r="V444" s="38" t="n"/>
      <c r="W444" s="39" t="n"/>
      <c r="X444" s="38" t="n"/>
    </row>
    <row r="445">
      <c r="A445" s="40" t="n"/>
      <c r="B445" s="40" t="n"/>
      <c r="C445" s="40" t="n"/>
      <c r="D445" s="40" t="n"/>
      <c r="E445" s="40" t="n"/>
      <c r="F445" s="41" t="n"/>
      <c r="G445" s="40" t="n"/>
      <c r="H445" s="40" t="n"/>
      <c r="I445" s="40" t="n"/>
      <c r="J445" s="40" t="n"/>
      <c r="K445" s="40" t="n"/>
      <c r="L445" s="40" t="n"/>
      <c r="M445" s="40" t="n"/>
      <c r="N445" s="24">
        <f>IF(COUNTA(A445:M445,O445:P445,R445:X445)=0,"",IF(OR(A445="",B445="",F445=""),"Event ID, AIR-ID or date missing",IF(COUNTIF($A$4:$A$553,A445)&gt;1,"Duplicate Event ID",IF(E445="","Event type missing",IF(OR(NOT(ISNUMBER(F445)),F445&gt;TODAY()),"Date is not a real date or is in the future",IF(AND(C445&lt;&gt;"",COUNTIF('Gate plan'!$A$4:$A$353,C445)=0),"Plan ID not found in Gate plan",IF(AND(C445&lt;&gt;"",COUNTIFS('Gate plan'!$A$4:$A$353,C445,'Gate plan'!$B$4:$B$353,B445)=0),"Plan AIR-ID differs from event",IF(D445="","Gate / forum missing",IF(AND(E445="Precautionary pause (containment)",G445&lt;&gt;"Paused — pending decision"),"Precautionary pause: Outcome must be Paused, pending decision",IF(AND(E445="Precautionary pause (containment)",V445=""),"Precautionary pause: AIG-OPS-03 incident ref missing",IF(AND(E445="Precautionary pause (containment)",NOT(ISNUMBER(W445))),"Precautionary pause: follow-up decision due date missing",IF(AND(G445="Paused — pending decision",E445&lt;&gt;"Precautionary pause (containment)"),"Paused, pending decision is only for a Precautionary pause event",IF(AND(E445="Decision",OR(G445="",H445="",I445="")),"Outcome / delegation / decision ref missing",IF(AND(E445="Decision",NOT(OR(G445="Progress",G445="Progress with condition",G445="Return for evidence",G445="Pause",G445="Stop",G445="Suspend",G445="Decommission",G445="Re-authorise",G445="Resume"))),"Decision event needs a decision outcome",IF(AND(E445="Priority override",OR(H445="",I445="")),"Decision-maker / AIG-DEC-03 ref missing",IF(AND(E445="Priority override",G445&lt;&gt;"",G445&lt;&gt;"No decision"),"Priority override: Outcome blank or No decision",IF(AND(E445&lt;&gt;"Decision",OR(G445="Progress",G445="Progress with condition",G445="Return for evidence",G445="Pause",G445="Stop",G445="Suspend",G445="Decommission",G445="Re-authorise",G445="Resume")),"Outcome implies decision",IF(OR(ISNUMBER(SEARCH(",",O445)),ISNUMBER(SEARCH(";",O445))),"One UC-ID per event row — split this event",IF(AND(E445="Decision",OR(Q445="UC-ID REQUIRED",Q445="Decision scope missing",Q445="REMOVE UC-ID OR CORRECT SCOPE")),"Decision scope missing",IF(AND(G445="Progress with condition",COUNTIF(Conditions!$B$4:$B$553,A445)=0),"Progress with condition needs at least one Conditions row",IF(AND(C445&lt;&gt;"",COUNTIFS('Gate plan'!$A$4:$A$353,C445,'Gate plan'!$C$4:$C$353,D445)=0),"Plan gate differs from event gate",IF(AND(C445&lt;&gt;"",O445&lt;&gt;"",COUNTIFS('Gate plan'!$A$4:$A$353,C445,'Gate plan'!$K$4:$K$353,"&lt;&gt;")&gt;0,COUNTIFS('Gate plan'!$A$4:$A$353,C445,'Gate plan'!$K$4:$K$353,O445)=0),"Plan UC-ID differs from event UC-ID",IF(AND(E445="Assurance opinion",J445=""),"Assurance opinion ref missing",IF(AND(G445="Opinion only",E445&lt;&gt;"Assurance opinion",E445&lt;&gt;"Review only"),"Opinion only is for Assurance opinion or Review only events",IF(AND(G445="No decision",E445&lt;&gt;"Review only",E445&lt;&gt;"Priority override",E445&lt;&gt;"Intake / registration"),"No decision is for Review only, Priority override or Intake / registration events",IF(OR(ISNUMBER(SEARCH(" ",TRIM(O445))),ISNUMBER(SEARCH("/",O445))),"One UC-ID per event row: split this event",IF(AND(E445="Precautionary pause (containment)",ISNUMBER(W445),ISNUMBER(F445),W445&lt;F445),"Follow-up decision due date is before the pause",IF(AND(G445="Resume",IFERROR(LOOKUP(2,1/(($B$3:B444=B445)*($O$3:O444=O445)),$G$3:G444),"")&lt;&gt;"Paused — pending decision"),"Resume is only for the event straight after a Precautionary pause on the same AIR-ID and UC-ID (in an earlier row)",IF(AND(E445="Decision",OR(G445="Progress",G445="Progress with condition",G445="Re-authorise",G445="Resume"),X445&lt;&gt;"Yes"),"Decision-maker has not confirmed the screening was considered (column X)","Check against source")))))))))))))))))))))))))))))</f>
        <v/>
      </c>
      <c r="O445" s="37" t="n"/>
      <c r="P445" s="37" t="n"/>
      <c r="Q445" s="14">
        <f>IF(A445="","",IF(E445&lt;&gt;"Decision","",IF(P445="UC-ID specific",IF(O445="","UC-ID REQUIRED","Check source decision for each UC-ID"),IF(P445="Shared system baseline",IF(O445&lt;&gt;"","REMOVE UC-ID OR CORRECT SCOPE","Baseline only — NOT UC approval"),"Decision scope missing"))))</f>
        <v/>
      </c>
      <c r="R445" s="43" t="n"/>
      <c r="S445" s="40" t="n"/>
      <c r="T445" s="40" t="n"/>
      <c r="U445" s="40" t="n"/>
      <c r="V445" s="40" t="n"/>
      <c r="W445" s="41" t="n"/>
      <c r="X445" s="38" t="n"/>
    </row>
    <row r="446">
      <c r="A446" s="38" t="n"/>
      <c r="B446" s="38" t="n"/>
      <c r="C446" s="38" t="n"/>
      <c r="D446" s="38" t="n"/>
      <c r="E446" s="38" t="n"/>
      <c r="F446" s="39" t="n"/>
      <c r="G446" s="38" t="n"/>
      <c r="H446" s="38" t="n"/>
      <c r="I446" s="38" t="n"/>
      <c r="J446" s="38" t="n"/>
      <c r="K446" s="38" t="n"/>
      <c r="L446" s="38" t="n"/>
      <c r="M446" s="38" t="n"/>
      <c r="N446" s="22">
        <f>IF(COUNTA(A446:M446,O446:P446,R446:X446)=0,"",IF(OR(A446="",B446="",F446=""),"Event ID, AIR-ID or date missing",IF(COUNTIF($A$4:$A$553,A446)&gt;1,"Duplicate Event ID",IF(E446="","Event type missing",IF(OR(NOT(ISNUMBER(F446)),F446&gt;TODAY()),"Date is not a real date or is in the future",IF(AND(C446&lt;&gt;"",COUNTIF('Gate plan'!$A$4:$A$353,C446)=0),"Plan ID not found in Gate plan",IF(AND(C446&lt;&gt;"",COUNTIFS('Gate plan'!$A$4:$A$353,C446,'Gate plan'!$B$4:$B$353,B446)=0),"Plan AIR-ID differs from event",IF(D446="","Gate / forum missing",IF(AND(E446="Precautionary pause (containment)",G446&lt;&gt;"Paused — pending decision"),"Precautionary pause: Outcome must be Paused, pending decision",IF(AND(E446="Precautionary pause (containment)",V446=""),"Precautionary pause: AIG-OPS-03 incident ref missing",IF(AND(E446="Precautionary pause (containment)",NOT(ISNUMBER(W446))),"Precautionary pause: follow-up decision due date missing",IF(AND(G446="Paused — pending decision",E446&lt;&gt;"Precautionary pause (containment)"),"Paused, pending decision is only for a Precautionary pause event",IF(AND(E446="Decision",OR(G446="",H446="",I446="")),"Outcome / delegation / decision ref missing",IF(AND(E446="Decision",NOT(OR(G446="Progress",G446="Progress with condition",G446="Return for evidence",G446="Pause",G446="Stop",G446="Suspend",G446="Decommission",G446="Re-authorise",G446="Resume"))),"Decision event needs a decision outcome",IF(AND(E446="Priority override",OR(H446="",I446="")),"Decision-maker / AIG-DEC-03 ref missing",IF(AND(E446="Priority override",G446&lt;&gt;"",G446&lt;&gt;"No decision"),"Priority override: Outcome blank or No decision",IF(AND(E446&lt;&gt;"Decision",OR(G446="Progress",G446="Progress with condition",G446="Return for evidence",G446="Pause",G446="Stop",G446="Suspend",G446="Decommission",G446="Re-authorise",G446="Resume")),"Outcome implies decision",IF(OR(ISNUMBER(SEARCH(",",O446)),ISNUMBER(SEARCH(";",O446))),"One UC-ID per event row — split this event",IF(AND(E446="Decision",OR(Q446="UC-ID REQUIRED",Q446="Decision scope missing",Q446="REMOVE UC-ID OR CORRECT SCOPE")),"Decision scope missing",IF(AND(G446="Progress with condition",COUNTIF(Conditions!$B$4:$B$553,A446)=0),"Progress with condition needs at least one Conditions row",IF(AND(C446&lt;&gt;"",COUNTIFS('Gate plan'!$A$4:$A$353,C446,'Gate plan'!$C$4:$C$353,D446)=0),"Plan gate differs from event gate",IF(AND(C446&lt;&gt;"",O446&lt;&gt;"",COUNTIFS('Gate plan'!$A$4:$A$353,C446,'Gate plan'!$K$4:$K$353,"&lt;&gt;")&gt;0,COUNTIFS('Gate plan'!$A$4:$A$353,C446,'Gate plan'!$K$4:$K$353,O446)=0),"Plan UC-ID differs from event UC-ID",IF(AND(E446="Assurance opinion",J446=""),"Assurance opinion ref missing",IF(AND(G446="Opinion only",E446&lt;&gt;"Assurance opinion",E446&lt;&gt;"Review only"),"Opinion only is for Assurance opinion or Review only events",IF(AND(G446="No decision",E446&lt;&gt;"Review only",E446&lt;&gt;"Priority override",E446&lt;&gt;"Intake / registration"),"No decision is for Review only, Priority override or Intake / registration events",IF(OR(ISNUMBER(SEARCH(" ",TRIM(O446))),ISNUMBER(SEARCH("/",O446))),"One UC-ID per event row: split this event",IF(AND(E446="Precautionary pause (containment)",ISNUMBER(W446),ISNUMBER(F446),W446&lt;F446),"Follow-up decision due date is before the pause",IF(AND(G446="Resume",IFERROR(LOOKUP(2,1/(($B$3:B445=B446)*($O$3:O445=O446)),$G$3:G445),"")&lt;&gt;"Paused — pending decision"),"Resume is only for the event straight after a Precautionary pause on the same AIR-ID and UC-ID (in an earlier row)",IF(AND(E446="Decision",OR(G446="Progress",G446="Progress with condition",G446="Re-authorise",G446="Resume"),X446&lt;&gt;"Yes"),"Decision-maker has not confirmed the screening was considered (column X)","Check against source")))))))))))))))))))))))))))))</f>
        <v/>
      </c>
      <c r="O446" s="37" t="n"/>
      <c r="P446" s="37" t="n"/>
      <c r="Q446" s="14">
        <f>IF(A446="","",IF(E446&lt;&gt;"Decision","",IF(P446="UC-ID specific",IF(O446="","UC-ID REQUIRED","Check source decision for each UC-ID"),IF(P446="Shared system baseline",IF(O446&lt;&gt;"","REMOVE UC-ID OR CORRECT SCOPE","Baseline only — NOT UC approval"),"Decision scope missing"))))</f>
        <v/>
      </c>
      <c r="R446" s="42" t="n"/>
      <c r="S446" s="38" t="n"/>
      <c r="T446" s="38" t="n"/>
      <c r="U446" s="38" t="n"/>
      <c r="V446" s="38" t="n"/>
      <c r="W446" s="39" t="n"/>
      <c r="X446" s="38" t="n"/>
    </row>
    <row r="447">
      <c r="A447" s="40" t="n"/>
      <c r="B447" s="40" t="n"/>
      <c r="C447" s="40" t="n"/>
      <c r="D447" s="40" t="n"/>
      <c r="E447" s="40" t="n"/>
      <c r="F447" s="41" t="n"/>
      <c r="G447" s="40" t="n"/>
      <c r="H447" s="40" t="n"/>
      <c r="I447" s="40" t="n"/>
      <c r="J447" s="40" t="n"/>
      <c r="K447" s="40" t="n"/>
      <c r="L447" s="40" t="n"/>
      <c r="M447" s="40" t="n"/>
      <c r="N447" s="24">
        <f>IF(COUNTA(A447:M447,O447:P447,R447:X447)=0,"",IF(OR(A447="",B447="",F447=""),"Event ID, AIR-ID or date missing",IF(COUNTIF($A$4:$A$553,A447)&gt;1,"Duplicate Event ID",IF(E447="","Event type missing",IF(OR(NOT(ISNUMBER(F447)),F447&gt;TODAY()),"Date is not a real date or is in the future",IF(AND(C447&lt;&gt;"",COUNTIF('Gate plan'!$A$4:$A$353,C447)=0),"Plan ID not found in Gate plan",IF(AND(C447&lt;&gt;"",COUNTIFS('Gate plan'!$A$4:$A$353,C447,'Gate plan'!$B$4:$B$353,B447)=0),"Plan AIR-ID differs from event",IF(D447="","Gate / forum missing",IF(AND(E447="Precautionary pause (containment)",G447&lt;&gt;"Paused — pending decision"),"Precautionary pause: Outcome must be Paused, pending decision",IF(AND(E447="Precautionary pause (containment)",V447=""),"Precautionary pause: AIG-OPS-03 incident ref missing",IF(AND(E447="Precautionary pause (containment)",NOT(ISNUMBER(W447))),"Precautionary pause: follow-up decision due date missing",IF(AND(G447="Paused — pending decision",E447&lt;&gt;"Precautionary pause (containment)"),"Paused, pending decision is only for a Precautionary pause event",IF(AND(E447="Decision",OR(G447="",H447="",I447="")),"Outcome / delegation / decision ref missing",IF(AND(E447="Decision",NOT(OR(G447="Progress",G447="Progress with condition",G447="Return for evidence",G447="Pause",G447="Stop",G447="Suspend",G447="Decommission",G447="Re-authorise",G447="Resume"))),"Decision event needs a decision outcome",IF(AND(E447="Priority override",OR(H447="",I447="")),"Decision-maker / AIG-DEC-03 ref missing",IF(AND(E447="Priority override",G447&lt;&gt;"",G447&lt;&gt;"No decision"),"Priority override: Outcome blank or No decision",IF(AND(E447&lt;&gt;"Decision",OR(G447="Progress",G447="Progress with condition",G447="Return for evidence",G447="Pause",G447="Stop",G447="Suspend",G447="Decommission",G447="Re-authorise",G447="Resume")),"Outcome implies decision",IF(OR(ISNUMBER(SEARCH(",",O447)),ISNUMBER(SEARCH(";",O447))),"One UC-ID per event row — split this event",IF(AND(E447="Decision",OR(Q447="UC-ID REQUIRED",Q447="Decision scope missing",Q447="REMOVE UC-ID OR CORRECT SCOPE")),"Decision scope missing",IF(AND(G447="Progress with condition",COUNTIF(Conditions!$B$4:$B$553,A447)=0),"Progress with condition needs at least one Conditions row",IF(AND(C447&lt;&gt;"",COUNTIFS('Gate plan'!$A$4:$A$353,C447,'Gate plan'!$C$4:$C$353,D447)=0),"Plan gate differs from event gate",IF(AND(C447&lt;&gt;"",O447&lt;&gt;"",COUNTIFS('Gate plan'!$A$4:$A$353,C447,'Gate plan'!$K$4:$K$353,"&lt;&gt;")&gt;0,COUNTIFS('Gate plan'!$A$4:$A$353,C447,'Gate plan'!$K$4:$K$353,O447)=0),"Plan UC-ID differs from event UC-ID",IF(AND(E447="Assurance opinion",J447=""),"Assurance opinion ref missing",IF(AND(G447="Opinion only",E447&lt;&gt;"Assurance opinion",E447&lt;&gt;"Review only"),"Opinion only is for Assurance opinion or Review only events",IF(AND(G447="No decision",E447&lt;&gt;"Review only",E447&lt;&gt;"Priority override",E447&lt;&gt;"Intake / registration"),"No decision is for Review only, Priority override or Intake / registration events",IF(OR(ISNUMBER(SEARCH(" ",TRIM(O447))),ISNUMBER(SEARCH("/",O447))),"One UC-ID per event row: split this event",IF(AND(E447="Precautionary pause (containment)",ISNUMBER(W447),ISNUMBER(F447),W447&lt;F447),"Follow-up decision due date is before the pause",IF(AND(G447="Resume",IFERROR(LOOKUP(2,1/(($B$3:B446=B447)*($O$3:O446=O447)),$G$3:G446),"")&lt;&gt;"Paused — pending decision"),"Resume is only for the event straight after a Precautionary pause on the same AIR-ID and UC-ID (in an earlier row)",IF(AND(E447="Decision",OR(G447="Progress",G447="Progress with condition",G447="Re-authorise",G447="Resume"),X447&lt;&gt;"Yes"),"Decision-maker has not confirmed the screening was considered (column X)","Check against source")))))))))))))))))))))))))))))</f>
        <v/>
      </c>
      <c r="O447" s="37" t="n"/>
      <c r="P447" s="37" t="n"/>
      <c r="Q447" s="14">
        <f>IF(A447="","",IF(E447&lt;&gt;"Decision","",IF(P447="UC-ID specific",IF(O447="","UC-ID REQUIRED","Check source decision for each UC-ID"),IF(P447="Shared system baseline",IF(O447&lt;&gt;"","REMOVE UC-ID OR CORRECT SCOPE","Baseline only — NOT UC approval"),"Decision scope missing"))))</f>
        <v/>
      </c>
      <c r="R447" s="43" t="n"/>
      <c r="S447" s="40" t="n"/>
      <c r="T447" s="40" t="n"/>
      <c r="U447" s="40" t="n"/>
      <c r="V447" s="40" t="n"/>
      <c r="W447" s="41" t="n"/>
      <c r="X447" s="38" t="n"/>
    </row>
    <row r="448">
      <c r="A448" s="38" t="n"/>
      <c r="B448" s="38" t="n"/>
      <c r="C448" s="38" t="n"/>
      <c r="D448" s="38" t="n"/>
      <c r="E448" s="38" t="n"/>
      <c r="F448" s="39" t="n"/>
      <c r="G448" s="38" t="n"/>
      <c r="H448" s="38" t="n"/>
      <c r="I448" s="38" t="n"/>
      <c r="J448" s="38" t="n"/>
      <c r="K448" s="38" t="n"/>
      <c r="L448" s="38" t="n"/>
      <c r="M448" s="38" t="n"/>
      <c r="N448" s="22">
        <f>IF(COUNTA(A448:M448,O448:P448,R448:X448)=0,"",IF(OR(A448="",B448="",F448=""),"Event ID, AIR-ID or date missing",IF(COUNTIF($A$4:$A$553,A448)&gt;1,"Duplicate Event ID",IF(E448="","Event type missing",IF(OR(NOT(ISNUMBER(F448)),F448&gt;TODAY()),"Date is not a real date or is in the future",IF(AND(C448&lt;&gt;"",COUNTIF('Gate plan'!$A$4:$A$353,C448)=0),"Plan ID not found in Gate plan",IF(AND(C448&lt;&gt;"",COUNTIFS('Gate plan'!$A$4:$A$353,C448,'Gate plan'!$B$4:$B$353,B448)=0),"Plan AIR-ID differs from event",IF(D448="","Gate / forum missing",IF(AND(E448="Precautionary pause (containment)",G448&lt;&gt;"Paused — pending decision"),"Precautionary pause: Outcome must be Paused, pending decision",IF(AND(E448="Precautionary pause (containment)",V448=""),"Precautionary pause: AIG-OPS-03 incident ref missing",IF(AND(E448="Precautionary pause (containment)",NOT(ISNUMBER(W448))),"Precautionary pause: follow-up decision due date missing",IF(AND(G448="Paused — pending decision",E448&lt;&gt;"Precautionary pause (containment)"),"Paused, pending decision is only for a Precautionary pause event",IF(AND(E448="Decision",OR(G448="",H448="",I448="")),"Outcome / delegation / decision ref missing",IF(AND(E448="Decision",NOT(OR(G448="Progress",G448="Progress with condition",G448="Return for evidence",G448="Pause",G448="Stop",G448="Suspend",G448="Decommission",G448="Re-authorise",G448="Resume"))),"Decision event needs a decision outcome",IF(AND(E448="Priority override",OR(H448="",I448="")),"Decision-maker / AIG-DEC-03 ref missing",IF(AND(E448="Priority override",G448&lt;&gt;"",G448&lt;&gt;"No decision"),"Priority override: Outcome blank or No decision",IF(AND(E448&lt;&gt;"Decision",OR(G448="Progress",G448="Progress with condition",G448="Return for evidence",G448="Pause",G448="Stop",G448="Suspend",G448="Decommission",G448="Re-authorise",G448="Resume")),"Outcome implies decision",IF(OR(ISNUMBER(SEARCH(",",O448)),ISNUMBER(SEARCH(";",O448))),"One UC-ID per event row — split this event",IF(AND(E448="Decision",OR(Q448="UC-ID REQUIRED",Q448="Decision scope missing",Q448="REMOVE UC-ID OR CORRECT SCOPE")),"Decision scope missing",IF(AND(G448="Progress with condition",COUNTIF(Conditions!$B$4:$B$553,A448)=0),"Progress with condition needs at least one Conditions row",IF(AND(C448&lt;&gt;"",COUNTIFS('Gate plan'!$A$4:$A$353,C448,'Gate plan'!$C$4:$C$353,D448)=0),"Plan gate differs from event gate",IF(AND(C448&lt;&gt;"",O448&lt;&gt;"",COUNTIFS('Gate plan'!$A$4:$A$353,C448,'Gate plan'!$K$4:$K$353,"&lt;&gt;")&gt;0,COUNTIFS('Gate plan'!$A$4:$A$353,C448,'Gate plan'!$K$4:$K$353,O448)=0),"Plan UC-ID differs from event UC-ID",IF(AND(E448="Assurance opinion",J448=""),"Assurance opinion ref missing",IF(AND(G448="Opinion only",E448&lt;&gt;"Assurance opinion",E448&lt;&gt;"Review only"),"Opinion only is for Assurance opinion or Review only events",IF(AND(G448="No decision",E448&lt;&gt;"Review only",E448&lt;&gt;"Priority override",E448&lt;&gt;"Intake / registration"),"No decision is for Review only, Priority override or Intake / registration events",IF(OR(ISNUMBER(SEARCH(" ",TRIM(O448))),ISNUMBER(SEARCH("/",O448))),"One UC-ID per event row: split this event",IF(AND(E448="Precautionary pause (containment)",ISNUMBER(W448),ISNUMBER(F448),W448&lt;F448),"Follow-up decision due date is before the pause",IF(AND(G448="Resume",IFERROR(LOOKUP(2,1/(($B$3:B447=B448)*($O$3:O447=O448)),$G$3:G447),"")&lt;&gt;"Paused — pending decision"),"Resume is only for the event straight after a Precautionary pause on the same AIR-ID and UC-ID (in an earlier row)",IF(AND(E448="Decision",OR(G448="Progress",G448="Progress with condition",G448="Re-authorise",G448="Resume"),X448&lt;&gt;"Yes"),"Decision-maker has not confirmed the screening was considered (column X)","Check against source")))))))))))))))))))))))))))))</f>
        <v/>
      </c>
      <c r="O448" s="37" t="n"/>
      <c r="P448" s="37" t="n"/>
      <c r="Q448" s="14">
        <f>IF(A448="","",IF(E448&lt;&gt;"Decision","",IF(P448="UC-ID specific",IF(O448="","UC-ID REQUIRED","Check source decision for each UC-ID"),IF(P448="Shared system baseline",IF(O448&lt;&gt;"","REMOVE UC-ID OR CORRECT SCOPE","Baseline only — NOT UC approval"),"Decision scope missing"))))</f>
        <v/>
      </c>
      <c r="R448" s="42" t="n"/>
      <c r="S448" s="38" t="n"/>
      <c r="T448" s="38" t="n"/>
      <c r="U448" s="38" t="n"/>
      <c r="V448" s="38" t="n"/>
      <c r="W448" s="39" t="n"/>
      <c r="X448" s="38" t="n"/>
    </row>
    <row r="449">
      <c r="A449" s="40" t="n"/>
      <c r="B449" s="40" t="n"/>
      <c r="C449" s="40" t="n"/>
      <c r="D449" s="40" t="n"/>
      <c r="E449" s="40" t="n"/>
      <c r="F449" s="41" t="n"/>
      <c r="G449" s="40" t="n"/>
      <c r="H449" s="40" t="n"/>
      <c r="I449" s="40" t="n"/>
      <c r="J449" s="40" t="n"/>
      <c r="K449" s="40" t="n"/>
      <c r="L449" s="40" t="n"/>
      <c r="M449" s="40" t="n"/>
      <c r="N449" s="24">
        <f>IF(COUNTA(A449:M449,O449:P449,R449:X449)=0,"",IF(OR(A449="",B449="",F449=""),"Event ID, AIR-ID or date missing",IF(COUNTIF($A$4:$A$553,A449)&gt;1,"Duplicate Event ID",IF(E449="","Event type missing",IF(OR(NOT(ISNUMBER(F449)),F449&gt;TODAY()),"Date is not a real date or is in the future",IF(AND(C449&lt;&gt;"",COUNTIF('Gate plan'!$A$4:$A$353,C449)=0),"Plan ID not found in Gate plan",IF(AND(C449&lt;&gt;"",COUNTIFS('Gate plan'!$A$4:$A$353,C449,'Gate plan'!$B$4:$B$353,B449)=0),"Plan AIR-ID differs from event",IF(D449="","Gate / forum missing",IF(AND(E449="Precautionary pause (containment)",G449&lt;&gt;"Paused — pending decision"),"Precautionary pause: Outcome must be Paused, pending decision",IF(AND(E449="Precautionary pause (containment)",V449=""),"Precautionary pause: AIG-OPS-03 incident ref missing",IF(AND(E449="Precautionary pause (containment)",NOT(ISNUMBER(W449))),"Precautionary pause: follow-up decision due date missing",IF(AND(G449="Paused — pending decision",E449&lt;&gt;"Precautionary pause (containment)"),"Paused, pending decision is only for a Precautionary pause event",IF(AND(E449="Decision",OR(G449="",H449="",I449="")),"Outcome / delegation / decision ref missing",IF(AND(E449="Decision",NOT(OR(G449="Progress",G449="Progress with condition",G449="Return for evidence",G449="Pause",G449="Stop",G449="Suspend",G449="Decommission",G449="Re-authorise",G449="Resume"))),"Decision event needs a decision outcome",IF(AND(E449="Priority override",OR(H449="",I449="")),"Decision-maker / AIG-DEC-03 ref missing",IF(AND(E449="Priority override",G449&lt;&gt;"",G449&lt;&gt;"No decision"),"Priority override: Outcome blank or No decision",IF(AND(E449&lt;&gt;"Decision",OR(G449="Progress",G449="Progress with condition",G449="Return for evidence",G449="Pause",G449="Stop",G449="Suspend",G449="Decommission",G449="Re-authorise",G449="Resume")),"Outcome implies decision",IF(OR(ISNUMBER(SEARCH(",",O449)),ISNUMBER(SEARCH(";",O449))),"One UC-ID per event row — split this event",IF(AND(E449="Decision",OR(Q449="UC-ID REQUIRED",Q449="Decision scope missing",Q449="REMOVE UC-ID OR CORRECT SCOPE")),"Decision scope missing",IF(AND(G449="Progress with condition",COUNTIF(Conditions!$B$4:$B$553,A449)=0),"Progress with condition needs at least one Conditions row",IF(AND(C449&lt;&gt;"",COUNTIFS('Gate plan'!$A$4:$A$353,C449,'Gate plan'!$C$4:$C$353,D449)=0),"Plan gate differs from event gate",IF(AND(C449&lt;&gt;"",O449&lt;&gt;"",COUNTIFS('Gate plan'!$A$4:$A$353,C449,'Gate plan'!$K$4:$K$353,"&lt;&gt;")&gt;0,COUNTIFS('Gate plan'!$A$4:$A$353,C449,'Gate plan'!$K$4:$K$353,O449)=0),"Plan UC-ID differs from event UC-ID",IF(AND(E449="Assurance opinion",J449=""),"Assurance opinion ref missing",IF(AND(G449="Opinion only",E449&lt;&gt;"Assurance opinion",E449&lt;&gt;"Review only"),"Opinion only is for Assurance opinion or Review only events",IF(AND(G449="No decision",E449&lt;&gt;"Review only",E449&lt;&gt;"Priority override",E449&lt;&gt;"Intake / registration"),"No decision is for Review only, Priority override or Intake / registration events",IF(OR(ISNUMBER(SEARCH(" ",TRIM(O449))),ISNUMBER(SEARCH("/",O449))),"One UC-ID per event row: split this event",IF(AND(E449="Precautionary pause (containment)",ISNUMBER(W449),ISNUMBER(F449),W449&lt;F449),"Follow-up decision due date is before the pause",IF(AND(G449="Resume",IFERROR(LOOKUP(2,1/(($B$3:B448=B449)*($O$3:O448=O449)),$G$3:G448),"")&lt;&gt;"Paused — pending decision"),"Resume is only for the event straight after a Precautionary pause on the same AIR-ID and UC-ID (in an earlier row)",IF(AND(E449="Decision",OR(G449="Progress",G449="Progress with condition",G449="Re-authorise",G449="Resume"),X449&lt;&gt;"Yes"),"Decision-maker has not confirmed the screening was considered (column X)","Check against source")))))))))))))))))))))))))))))</f>
        <v/>
      </c>
      <c r="O449" s="37" t="n"/>
      <c r="P449" s="37" t="n"/>
      <c r="Q449" s="14">
        <f>IF(A449="","",IF(E449&lt;&gt;"Decision","",IF(P449="UC-ID specific",IF(O449="","UC-ID REQUIRED","Check source decision for each UC-ID"),IF(P449="Shared system baseline",IF(O449&lt;&gt;"","REMOVE UC-ID OR CORRECT SCOPE","Baseline only — NOT UC approval"),"Decision scope missing"))))</f>
        <v/>
      </c>
      <c r="R449" s="43" t="n"/>
      <c r="S449" s="40" t="n"/>
      <c r="T449" s="40" t="n"/>
      <c r="U449" s="40" t="n"/>
      <c r="V449" s="40" t="n"/>
      <c r="W449" s="41" t="n"/>
      <c r="X449" s="38" t="n"/>
    </row>
    <row r="450">
      <c r="A450" s="38" t="n"/>
      <c r="B450" s="38" t="n"/>
      <c r="C450" s="38" t="n"/>
      <c r="D450" s="38" t="n"/>
      <c r="E450" s="38" t="n"/>
      <c r="F450" s="39" t="n"/>
      <c r="G450" s="38" t="n"/>
      <c r="H450" s="38" t="n"/>
      <c r="I450" s="38" t="n"/>
      <c r="J450" s="38" t="n"/>
      <c r="K450" s="38" t="n"/>
      <c r="L450" s="38" t="n"/>
      <c r="M450" s="38" t="n"/>
      <c r="N450" s="22">
        <f>IF(COUNTA(A450:M450,O450:P450,R450:X450)=0,"",IF(OR(A450="",B450="",F450=""),"Event ID, AIR-ID or date missing",IF(COUNTIF($A$4:$A$553,A450)&gt;1,"Duplicate Event ID",IF(E450="","Event type missing",IF(OR(NOT(ISNUMBER(F450)),F450&gt;TODAY()),"Date is not a real date or is in the future",IF(AND(C450&lt;&gt;"",COUNTIF('Gate plan'!$A$4:$A$353,C450)=0),"Plan ID not found in Gate plan",IF(AND(C450&lt;&gt;"",COUNTIFS('Gate plan'!$A$4:$A$353,C450,'Gate plan'!$B$4:$B$353,B450)=0),"Plan AIR-ID differs from event",IF(D450="","Gate / forum missing",IF(AND(E450="Precautionary pause (containment)",G450&lt;&gt;"Paused — pending decision"),"Precautionary pause: Outcome must be Paused, pending decision",IF(AND(E450="Precautionary pause (containment)",V450=""),"Precautionary pause: AIG-OPS-03 incident ref missing",IF(AND(E450="Precautionary pause (containment)",NOT(ISNUMBER(W450))),"Precautionary pause: follow-up decision due date missing",IF(AND(G450="Paused — pending decision",E450&lt;&gt;"Precautionary pause (containment)"),"Paused, pending decision is only for a Precautionary pause event",IF(AND(E450="Decision",OR(G450="",H450="",I450="")),"Outcome / delegation / decision ref missing",IF(AND(E450="Decision",NOT(OR(G450="Progress",G450="Progress with condition",G450="Return for evidence",G450="Pause",G450="Stop",G450="Suspend",G450="Decommission",G450="Re-authorise",G450="Resume"))),"Decision event needs a decision outcome",IF(AND(E450="Priority override",OR(H450="",I450="")),"Decision-maker / AIG-DEC-03 ref missing",IF(AND(E450="Priority override",G450&lt;&gt;"",G450&lt;&gt;"No decision"),"Priority override: Outcome blank or No decision",IF(AND(E450&lt;&gt;"Decision",OR(G450="Progress",G450="Progress with condition",G450="Return for evidence",G450="Pause",G450="Stop",G450="Suspend",G450="Decommission",G450="Re-authorise",G450="Resume")),"Outcome implies decision",IF(OR(ISNUMBER(SEARCH(",",O450)),ISNUMBER(SEARCH(";",O450))),"One UC-ID per event row — split this event",IF(AND(E450="Decision",OR(Q450="UC-ID REQUIRED",Q450="Decision scope missing",Q450="REMOVE UC-ID OR CORRECT SCOPE")),"Decision scope missing",IF(AND(G450="Progress with condition",COUNTIF(Conditions!$B$4:$B$553,A450)=0),"Progress with condition needs at least one Conditions row",IF(AND(C450&lt;&gt;"",COUNTIFS('Gate plan'!$A$4:$A$353,C450,'Gate plan'!$C$4:$C$353,D450)=0),"Plan gate differs from event gate",IF(AND(C450&lt;&gt;"",O450&lt;&gt;"",COUNTIFS('Gate plan'!$A$4:$A$353,C450,'Gate plan'!$K$4:$K$353,"&lt;&gt;")&gt;0,COUNTIFS('Gate plan'!$A$4:$A$353,C450,'Gate plan'!$K$4:$K$353,O450)=0),"Plan UC-ID differs from event UC-ID",IF(AND(E450="Assurance opinion",J450=""),"Assurance opinion ref missing",IF(AND(G450="Opinion only",E450&lt;&gt;"Assurance opinion",E450&lt;&gt;"Review only"),"Opinion only is for Assurance opinion or Review only events",IF(AND(G450="No decision",E450&lt;&gt;"Review only",E450&lt;&gt;"Priority override",E450&lt;&gt;"Intake / registration"),"No decision is for Review only, Priority override or Intake / registration events",IF(OR(ISNUMBER(SEARCH(" ",TRIM(O450))),ISNUMBER(SEARCH("/",O450))),"One UC-ID per event row: split this event",IF(AND(E450="Precautionary pause (containment)",ISNUMBER(W450),ISNUMBER(F450),W450&lt;F450),"Follow-up decision due date is before the pause",IF(AND(G450="Resume",IFERROR(LOOKUP(2,1/(($B$3:B449=B450)*($O$3:O449=O450)),$G$3:G449),"")&lt;&gt;"Paused — pending decision"),"Resume is only for the event straight after a Precautionary pause on the same AIR-ID and UC-ID (in an earlier row)",IF(AND(E450="Decision",OR(G450="Progress",G450="Progress with condition",G450="Re-authorise",G450="Resume"),X450&lt;&gt;"Yes"),"Decision-maker has not confirmed the screening was considered (column X)","Check against source")))))))))))))))))))))))))))))</f>
        <v/>
      </c>
      <c r="O450" s="37" t="n"/>
      <c r="P450" s="37" t="n"/>
      <c r="Q450" s="14">
        <f>IF(A450="","",IF(E450&lt;&gt;"Decision","",IF(P450="UC-ID specific",IF(O450="","UC-ID REQUIRED","Check source decision for each UC-ID"),IF(P450="Shared system baseline",IF(O450&lt;&gt;"","REMOVE UC-ID OR CORRECT SCOPE","Baseline only — NOT UC approval"),"Decision scope missing"))))</f>
        <v/>
      </c>
      <c r="R450" s="42" t="n"/>
      <c r="S450" s="38" t="n"/>
      <c r="T450" s="38" t="n"/>
      <c r="U450" s="38" t="n"/>
      <c r="V450" s="38" t="n"/>
      <c r="W450" s="39" t="n"/>
      <c r="X450" s="38" t="n"/>
    </row>
    <row r="451">
      <c r="A451" s="40" t="n"/>
      <c r="B451" s="40" t="n"/>
      <c r="C451" s="40" t="n"/>
      <c r="D451" s="40" t="n"/>
      <c r="E451" s="40" t="n"/>
      <c r="F451" s="41" t="n"/>
      <c r="G451" s="40" t="n"/>
      <c r="H451" s="40" t="n"/>
      <c r="I451" s="40" t="n"/>
      <c r="J451" s="40" t="n"/>
      <c r="K451" s="40" t="n"/>
      <c r="L451" s="40" t="n"/>
      <c r="M451" s="40" t="n"/>
      <c r="N451" s="24">
        <f>IF(COUNTA(A451:M451,O451:P451,R451:X451)=0,"",IF(OR(A451="",B451="",F451=""),"Event ID, AIR-ID or date missing",IF(COUNTIF($A$4:$A$553,A451)&gt;1,"Duplicate Event ID",IF(E451="","Event type missing",IF(OR(NOT(ISNUMBER(F451)),F451&gt;TODAY()),"Date is not a real date or is in the future",IF(AND(C451&lt;&gt;"",COUNTIF('Gate plan'!$A$4:$A$353,C451)=0),"Plan ID not found in Gate plan",IF(AND(C451&lt;&gt;"",COUNTIFS('Gate plan'!$A$4:$A$353,C451,'Gate plan'!$B$4:$B$353,B451)=0),"Plan AIR-ID differs from event",IF(D451="","Gate / forum missing",IF(AND(E451="Precautionary pause (containment)",G451&lt;&gt;"Paused — pending decision"),"Precautionary pause: Outcome must be Paused, pending decision",IF(AND(E451="Precautionary pause (containment)",V451=""),"Precautionary pause: AIG-OPS-03 incident ref missing",IF(AND(E451="Precautionary pause (containment)",NOT(ISNUMBER(W451))),"Precautionary pause: follow-up decision due date missing",IF(AND(G451="Paused — pending decision",E451&lt;&gt;"Precautionary pause (containment)"),"Paused, pending decision is only for a Precautionary pause event",IF(AND(E451="Decision",OR(G451="",H451="",I451="")),"Outcome / delegation / decision ref missing",IF(AND(E451="Decision",NOT(OR(G451="Progress",G451="Progress with condition",G451="Return for evidence",G451="Pause",G451="Stop",G451="Suspend",G451="Decommission",G451="Re-authorise",G451="Resume"))),"Decision event needs a decision outcome",IF(AND(E451="Priority override",OR(H451="",I451="")),"Decision-maker / AIG-DEC-03 ref missing",IF(AND(E451="Priority override",G451&lt;&gt;"",G451&lt;&gt;"No decision"),"Priority override: Outcome blank or No decision",IF(AND(E451&lt;&gt;"Decision",OR(G451="Progress",G451="Progress with condition",G451="Return for evidence",G451="Pause",G451="Stop",G451="Suspend",G451="Decommission",G451="Re-authorise",G451="Resume")),"Outcome implies decision",IF(OR(ISNUMBER(SEARCH(",",O451)),ISNUMBER(SEARCH(";",O451))),"One UC-ID per event row — split this event",IF(AND(E451="Decision",OR(Q451="UC-ID REQUIRED",Q451="Decision scope missing",Q451="REMOVE UC-ID OR CORRECT SCOPE")),"Decision scope missing",IF(AND(G451="Progress with condition",COUNTIF(Conditions!$B$4:$B$553,A451)=0),"Progress with condition needs at least one Conditions row",IF(AND(C451&lt;&gt;"",COUNTIFS('Gate plan'!$A$4:$A$353,C451,'Gate plan'!$C$4:$C$353,D451)=0),"Plan gate differs from event gate",IF(AND(C451&lt;&gt;"",O451&lt;&gt;"",COUNTIFS('Gate plan'!$A$4:$A$353,C451,'Gate plan'!$K$4:$K$353,"&lt;&gt;")&gt;0,COUNTIFS('Gate plan'!$A$4:$A$353,C451,'Gate plan'!$K$4:$K$353,O451)=0),"Plan UC-ID differs from event UC-ID",IF(AND(E451="Assurance opinion",J451=""),"Assurance opinion ref missing",IF(AND(G451="Opinion only",E451&lt;&gt;"Assurance opinion",E451&lt;&gt;"Review only"),"Opinion only is for Assurance opinion or Review only events",IF(AND(G451="No decision",E451&lt;&gt;"Review only",E451&lt;&gt;"Priority override",E451&lt;&gt;"Intake / registration"),"No decision is for Review only, Priority override or Intake / registration events",IF(OR(ISNUMBER(SEARCH(" ",TRIM(O451))),ISNUMBER(SEARCH("/",O451))),"One UC-ID per event row: split this event",IF(AND(E451="Precautionary pause (containment)",ISNUMBER(W451),ISNUMBER(F451),W451&lt;F451),"Follow-up decision due date is before the pause",IF(AND(G451="Resume",IFERROR(LOOKUP(2,1/(($B$3:B450=B451)*($O$3:O450=O451)),$G$3:G450),"")&lt;&gt;"Paused — pending decision"),"Resume is only for the event straight after a Precautionary pause on the same AIR-ID and UC-ID (in an earlier row)",IF(AND(E451="Decision",OR(G451="Progress",G451="Progress with condition",G451="Re-authorise",G451="Resume"),X451&lt;&gt;"Yes"),"Decision-maker has not confirmed the screening was considered (column X)","Check against source")))))))))))))))))))))))))))))</f>
        <v/>
      </c>
      <c r="O451" s="37" t="n"/>
      <c r="P451" s="37" t="n"/>
      <c r="Q451" s="14">
        <f>IF(A451="","",IF(E451&lt;&gt;"Decision","",IF(P451="UC-ID specific",IF(O451="","UC-ID REQUIRED","Check source decision for each UC-ID"),IF(P451="Shared system baseline",IF(O451&lt;&gt;"","REMOVE UC-ID OR CORRECT SCOPE","Baseline only — NOT UC approval"),"Decision scope missing"))))</f>
        <v/>
      </c>
      <c r="R451" s="43" t="n"/>
      <c r="S451" s="40" t="n"/>
      <c r="T451" s="40" t="n"/>
      <c r="U451" s="40" t="n"/>
      <c r="V451" s="40" t="n"/>
      <c r="W451" s="41" t="n"/>
      <c r="X451" s="38" t="n"/>
    </row>
    <row r="452">
      <c r="A452" s="38" t="n"/>
      <c r="B452" s="38" t="n"/>
      <c r="C452" s="38" t="n"/>
      <c r="D452" s="38" t="n"/>
      <c r="E452" s="38" t="n"/>
      <c r="F452" s="39" t="n"/>
      <c r="G452" s="38" t="n"/>
      <c r="H452" s="38" t="n"/>
      <c r="I452" s="38" t="n"/>
      <c r="J452" s="38" t="n"/>
      <c r="K452" s="38" t="n"/>
      <c r="L452" s="38" t="n"/>
      <c r="M452" s="38" t="n"/>
      <c r="N452" s="22">
        <f>IF(COUNTA(A452:M452,O452:P452,R452:X452)=0,"",IF(OR(A452="",B452="",F452=""),"Event ID, AIR-ID or date missing",IF(COUNTIF($A$4:$A$553,A452)&gt;1,"Duplicate Event ID",IF(E452="","Event type missing",IF(OR(NOT(ISNUMBER(F452)),F452&gt;TODAY()),"Date is not a real date or is in the future",IF(AND(C452&lt;&gt;"",COUNTIF('Gate plan'!$A$4:$A$353,C452)=0),"Plan ID not found in Gate plan",IF(AND(C452&lt;&gt;"",COUNTIFS('Gate plan'!$A$4:$A$353,C452,'Gate plan'!$B$4:$B$353,B452)=0),"Plan AIR-ID differs from event",IF(D452="","Gate / forum missing",IF(AND(E452="Precautionary pause (containment)",G452&lt;&gt;"Paused — pending decision"),"Precautionary pause: Outcome must be Paused, pending decision",IF(AND(E452="Precautionary pause (containment)",V452=""),"Precautionary pause: AIG-OPS-03 incident ref missing",IF(AND(E452="Precautionary pause (containment)",NOT(ISNUMBER(W452))),"Precautionary pause: follow-up decision due date missing",IF(AND(G452="Paused — pending decision",E452&lt;&gt;"Precautionary pause (containment)"),"Paused, pending decision is only for a Precautionary pause event",IF(AND(E452="Decision",OR(G452="",H452="",I452="")),"Outcome / delegation / decision ref missing",IF(AND(E452="Decision",NOT(OR(G452="Progress",G452="Progress with condition",G452="Return for evidence",G452="Pause",G452="Stop",G452="Suspend",G452="Decommission",G452="Re-authorise",G452="Resume"))),"Decision event needs a decision outcome",IF(AND(E452="Priority override",OR(H452="",I452="")),"Decision-maker / AIG-DEC-03 ref missing",IF(AND(E452="Priority override",G452&lt;&gt;"",G452&lt;&gt;"No decision"),"Priority override: Outcome blank or No decision",IF(AND(E452&lt;&gt;"Decision",OR(G452="Progress",G452="Progress with condition",G452="Return for evidence",G452="Pause",G452="Stop",G452="Suspend",G452="Decommission",G452="Re-authorise",G452="Resume")),"Outcome implies decision",IF(OR(ISNUMBER(SEARCH(",",O452)),ISNUMBER(SEARCH(";",O452))),"One UC-ID per event row — split this event",IF(AND(E452="Decision",OR(Q452="UC-ID REQUIRED",Q452="Decision scope missing",Q452="REMOVE UC-ID OR CORRECT SCOPE")),"Decision scope missing",IF(AND(G452="Progress with condition",COUNTIF(Conditions!$B$4:$B$553,A452)=0),"Progress with condition needs at least one Conditions row",IF(AND(C452&lt;&gt;"",COUNTIFS('Gate plan'!$A$4:$A$353,C452,'Gate plan'!$C$4:$C$353,D452)=0),"Plan gate differs from event gate",IF(AND(C452&lt;&gt;"",O452&lt;&gt;"",COUNTIFS('Gate plan'!$A$4:$A$353,C452,'Gate plan'!$K$4:$K$353,"&lt;&gt;")&gt;0,COUNTIFS('Gate plan'!$A$4:$A$353,C452,'Gate plan'!$K$4:$K$353,O452)=0),"Plan UC-ID differs from event UC-ID",IF(AND(E452="Assurance opinion",J452=""),"Assurance opinion ref missing",IF(AND(G452="Opinion only",E452&lt;&gt;"Assurance opinion",E452&lt;&gt;"Review only"),"Opinion only is for Assurance opinion or Review only events",IF(AND(G452="No decision",E452&lt;&gt;"Review only",E452&lt;&gt;"Priority override",E452&lt;&gt;"Intake / registration"),"No decision is for Review only, Priority override or Intake / registration events",IF(OR(ISNUMBER(SEARCH(" ",TRIM(O452))),ISNUMBER(SEARCH("/",O452))),"One UC-ID per event row: split this event",IF(AND(E452="Precautionary pause (containment)",ISNUMBER(W452),ISNUMBER(F452),W452&lt;F452),"Follow-up decision due date is before the pause",IF(AND(G452="Resume",IFERROR(LOOKUP(2,1/(($B$3:B451=B452)*($O$3:O451=O452)),$G$3:G451),"")&lt;&gt;"Paused — pending decision"),"Resume is only for the event straight after a Precautionary pause on the same AIR-ID and UC-ID (in an earlier row)",IF(AND(E452="Decision",OR(G452="Progress",G452="Progress with condition",G452="Re-authorise",G452="Resume"),X452&lt;&gt;"Yes"),"Decision-maker has not confirmed the screening was considered (column X)","Check against source")))))))))))))))))))))))))))))</f>
        <v/>
      </c>
      <c r="O452" s="37" t="n"/>
      <c r="P452" s="37" t="n"/>
      <c r="Q452" s="14">
        <f>IF(A452="","",IF(E452&lt;&gt;"Decision","",IF(P452="UC-ID specific",IF(O452="","UC-ID REQUIRED","Check source decision for each UC-ID"),IF(P452="Shared system baseline",IF(O452&lt;&gt;"","REMOVE UC-ID OR CORRECT SCOPE","Baseline only — NOT UC approval"),"Decision scope missing"))))</f>
        <v/>
      </c>
      <c r="R452" s="42" t="n"/>
      <c r="S452" s="38" t="n"/>
      <c r="T452" s="38" t="n"/>
      <c r="U452" s="38" t="n"/>
      <c r="V452" s="38" t="n"/>
      <c r="W452" s="39" t="n"/>
      <c r="X452" s="38" t="n"/>
    </row>
    <row r="453">
      <c r="A453" s="40" t="n"/>
      <c r="B453" s="40" t="n"/>
      <c r="C453" s="40" t="n"/>
      <c r="D453" s="40" t="n"/>
      <c r="E453" s="40" t="n"/>
      <c r="F453" s="41" t="n"/>
      <c r="G453" s="40" t="n"/>
      <c r="H453" s="40" t="n"/>
      <c r="I453" s="40" t="n"/>
      <c r="J453" s="40" t="n"/>
      <c r="K453" s="40" t="n"/>
      <c r="L453" s="40" t="n"/>
      <c r="M453" s="40" t="n"/>
      <c r="N453" s="24">
        <f>IF(COUNTA(A453:M453,O453:P453,R453:X453)=0,"",IF(OR(A453="",B453="",F453=""),"Event ID, AIR-ID or date missing",IF(COUNTIF($A$4:$A$553,A453)&gt;1,"Duplicate Event ID",IF(E453="","Event type missing",IF(OR(NOT(ISNUMBER(F453)),F453&gt;TODAY()),"Date is not a real date or is in the future",IF(AND(C453&lt;&gt;"",COUNTIF('Gate plan'!$A$4:$A$353,C453)=0),"Plan ID not found in Gate plan",IF(AND(C453&lt;&gt;"",COUNTIFS('Gate plan'!$A$4:$A$353,C453,'Gate plan'!$B$4:$B$353,B453)=0),"Plan AIR-ID differs from event",IF(D453="","Gate / forum missing",IF(AND(E453="Precautionary pause (containment)",G453&lt;&gt;"Paused — pending decision"),"Precautionary pause: Outcome must be Paused, pending decision",IF(AND(E453="Precautionary pause (containment)",V453=""),"Precautionary pause: AIG-OPS-03 incident ref missing",IF(AND(E453="Precautionary pause (containment)",NOT(ISNUMBER(W453))),"Precautionary pause: follow-up decision due date missing",IF(AND(G453="Paused — pending decision",E453&lt;&gt;"Precautionary pause (containment)"),"Paused, pending decision is only for a Precautionary pause event",IF(AND(E453="Decision",OR(G453="",H453="",I453="")),"Outcome / delegation / decision ref missing",IF(AND(E453="Decision",NOT(OR(G453="Progress",G453="Progress with condition",G453="Return for evidence",G453="Pause",G453="Stop",G453="Suspend",G453="Decommission",G453="Re-authorise",G453="Resume"))),"Decision event needs a decision outcome",IF(AND(E453="Priority override",OR(H453="",I453="")),"Decision-maker / AIG-DEC-03 ref missing",IF(AND(E453="Priority override",G453&lt;&gt;"",G453&lt;&gt;"No decision"),"Priority override: Outcome blank or No decision",IF(AND(E453&lt;&gt;"Decision",OR(G453="Progress",G453="Progress with condition",G453="Return for evidence",G453="Pause",G453="Stop",G453="Suspend",G453="Decommission",G453="Re-authorise",G453="Resume")),"Outcome implies decision",IF(OR(ISNUMBER(SEARCH(",",O453)),ISNUMBER(SEARCH(";",O453))),"One UC-ID per event row — split this event",IF(AND(E453="Decision",OR(Q453="UC-ID REQUIRED",Q453="Decision scope missing",Q453="REMOVE UC-ID OR CORRECT SCOPE")),"Decision scope missing",IF(AND(G453="Progress with condition",COUNTIF(Conditions!$B$4:$B$553,A453)=0),"Progress with condition needs at least one Conditions row",IF(AND(C453&lt;&gt;"",COUNTIFS('Gate plan'!$A$4:$A$353,C453,'Gate plan'!$C$4:$C$353,D453)=0),"Plan gate differs from event gate",IF(AND(C453&lt;&gt;"",O453&lt;&gt;"",COUNTIFS('Gate plan'!$A$4:$A$353,C453,'Gate plan'!$K$4:$K$353,"&lt;&gt;")&gt;0,COUNTIFS('Gate plan'!$A$4:$A$353,C453,'Gate plan'!$K$4:$K$353,O453)=0),"Plan UC-ID differs from event UC-ID",IF(AND(E453="Assurance opinion",J453=""),"Assurance opinion ref missing",IF(AND(G453="Opinion only",E453&lt;&gt;"Assurance opinion",E453&lt;&gt;"Review only"),"Opinion only is for Assurance opinion or Review only events",IF(AND(G453="No decision",E453&lt;&gt;"Review only",E453&lt;&gt;"Priority override",E453&lt;&gt;"Intake / registration"),"No decision is for Review only, Priority override or Intake / registration events",IF(OR(ISNUMBER(SEARCH(" ",TRIM(O453))),ISNUMBER(SEARCH("/",O453))),"One UC-ID per event row: split this event",IF(AND(E453="Precautionary pause (containment)",ISNUMBER(W453),ISNUMBER(F453),W453&lt;F453),"Follow-up decision due date is before the pause",IF(AND(G453="Resume",IFERROR(LOOKUP(2,1/(($B$3:B452=B453)*($O$3:O452=O453)),$G$3:G452),"")&lt;&gt;"Paused — pending decision"),"Resume is only for the event straight after a Precautionary pause on the same AIR-ID and UC-ID (in an earlier row)",IF(AND(E453="Decision",OR(G453="Progress",G453="Progress with condition",G453="Re-authorise",G453="Resume"),X453&lt;&gt;"Yes"),"Decision-maker has not confirmed the screening was considered (column X)","Check against source")))))))))))))))))))))))))))))</f>
        <v/>
      </c>
      <c r="O453" s="37" t="n"/>
      <c r="P453" s="37" t="n"/>
      <c r="Q453" s="14">
        <f>IF(A453="","",IF(E453&lt;&gt;"Decision","",IF(P453="UC-ID specific",IF(O453="","UC-ID REQUIRED","Check source decision for each UC-ID"),IF(P453="Shared system baseline",IF(O453&lt;&gt;"","REMOVE UC-ID OR CORRECT SCOPE","Baseline only — NOT UC approval"),"Decision scope missing"))))</f>
        <v/>
      </c>
      <c r="R453" s="43" t="n"/>
      <c r="S453" s="40" t="n"/>
      <c r="T453" s="40" t="n"/>
      <c r="U453" s="40" t="n"/>
      <c r="V453" s="40" t="n"/>
      <c r="W453" s="41" t="n"/>
      <c r="X453" s="38" t="n"/>
    </row>
    <row r="454">
      <c r="A454" s="38" t="n"/>
      <c r="B454" s="38" t="n"/>
      <c r="C454" s="38" t="n"/>
      <c r="D454" s="38" t="n"/>
      <c r="E454" s="38" t="n"/>
      <c r="F454" s="39" t="n"/>
      <c r="G454" s="38" t="n"/>
      <c r="H454" s="38" t="n"/>
      <c r="I454" s="38" t="n"/>
      <c r="J454" s="38" t="n"/>
      <c r="K454" s="38" t="n"/>
      <c r="L454" s="38" t="n"/>
      <c r="M454" s="38" t="n"/>
      <c r="N454" s="22">
        <f>IF(COUNTA(A454:M454,O454:P454,R454:X454)=0,"",IF(OR(A454="",B454="",F454=""),"Event ID, AIR-ID or date missing",IF(COUNTIF($A$4:$A$553,A454)&gt;1,"Duplicate Event ID",IF(E454="","Event type missing",IF(OR(NOT(ISNUMBER(F454)),F454&gt;TODAY()),"Date is not a real date or is in the future",IF(AND(C454&lt;&gt;"",COUNTIF('Gate plan'!$A$4:$A$353,C454)=0),"Plan ID not found in Gate plan",IF(AND(C454&lt;&gt;"",COUNTIFS('Gate plan'!$A$4:$A$353,C454,'Gate plan'!$B$4:$B$353,B454)=0),"Plan AIR-ID differs from event",IF(D454="","Gate / forum missing",IF(AND(E454="Precautionary pause (containment)",G454&lt;&gt;"Paused — pending decision"),"Precautionary pause: Outcome must be Paused, pending decision",IF(AND(E454="Precautionary pause (containment)",V454=""),"Precautionary pause: AIG-OPS-03 incident ref missing",IF(AND(E454="Precautionary pause (containment)",NOT(ISNUMBER(W454))),"Precautionary pause: follow-up decision due date missing",IF(AND(G454="Paused — pending decision",E454&lt;&gt;"Precautionary pause (containment)"),"Paused, pending decision is only for a Precautionary pause event",IF(AND(E454="Decision",OR(G454="",H454="",I454="")),"Outcome / delegation / decision ref missing",IF(AND(E454="Decision",NOT(OR(G454="Progress",G454="Progress with condition",G454="Return for evidence",G454="Pause",G454="Stop",G454="Suspend",G454="Decommission",G454="Re-authorise",G454="Resume"))),"Decision event needs a decision outcome",IF(AND(E454="Priority override",OR(H454="",I454="")),"Decision-maker / AIG-DEC-03 ref missing",IF(AND(E454="Priority override",G454&lt;&gt;"",G454&lt;&gt;"No decision"),"Priority override: Outcome blank or No decision",IF(AND(E454&lt;&gt;"Decision",OR(G454="Progress",G454="Progress with condition",G454="Return for evidence",G454="Pause",G454="Stop",G454="Suspend",G454="Decommission",G454="Re-authorise",G454="Resume")),"Outcome implies decision",IF(OR(ISNUMBER(SEARCH(",",O454)),ISNUMBER(SEARCH(";",O454))),"One UC-ID per event row — split this event",IF(AND(E454="Decision",OR(Q454="UC-ID REQUIRED",Q454="Decision scope missing",Q454="REMOVE UC-ID OR CORRECT SCOPE")),"Decision scope missing",IF(AND(G454="Progress with condition",COUNTIF(Conditions!$B$4:$B$553,A454)=0),"Progress with condition needs at least one Conditions row",IF(AND(C454&lt;&gt;"",COUNTIFS('Gate plan'!$A$4:$A$353,C454,'Gate plan'!$C$4:$C$353,D454)=0),"Plan gate differs from event gate",IF(AND(C454&lt;&gt;"",O454&lt;&gt;"",COUNTIFS('Gate plan'!$A$4:$A$353,C454,'Gate plan'!$K$4:$K$353,"&lt;&gt;")&gt;0,COUNTIFS('Gate plan'!$A$4:$A$353,C454,'Gate plan'!$K$4:$K$353,O454)=0),"Plan UC-ID differs from event UC-ID",IF(AND(E454="Assurance opinion",J454=""),"Assurance opinion ref missing",IF(AND(G454="Opinion only",E454&lt;&gt;"Assurance opinion",E454&lt;&gt;"Review only"),"Opinion only is for Assurance opinion or Review only events",IF(AND(G454="No decision",E454&lt;&gt;"Review only",E454&lt;&gt;"Priority override",E454&lt;&gt;"Intake / registration"),"No decision is for Review only, Priority override or Intake / registration events",IF(OR(ISNUMBER(SEARCH(" ",TRIM(O454))),ISNUMBER(SEARCH("/",O454))),"One UC-ID per event row: split this event",IF(AND(E454="Precautionary pause (containment)",ISNUMBER(W454),ISNUMBER(F454),W454&lt;F454),"Follow-up decision due date is before the pause",IF(AND(G454="Resume",IFERROR(LOOKUP(2,1/(($B$3:B453=B454)*($O$3:O453=O454)),$G$3:G453),"")&lt;&gt;"Paused — pending decision"),"Resume is only for the event straight after a Precautionary pause on the same AIR-ID and UC-ID (in an earlier row)",IF(AND(E454="Decision",OR(G454="Progress",G454="Progress with condition",G454="Re-authorise",G454="Resume"),X454&lt;&gt;"Yes"),"Decision-maker has not confirmed the screening was considered (column X)","Check against source")))))))))))))))))))))))))))))</f>
        <v/>
      </c>
      <c r="O454" s="37" t="n"/>
      <c r="P454" s="37" t="n"/>
      <c r="Q454" s="14">
        <f>IF(A454="","",IF(E454&lt;&gt;"Decision","",IF(P454="UC-ID specific",IF(O454="","UC-ID REQUIRED","Check source decision for each UC-ID"),IF(P454="Shared system baseline",IF(O454&lt;&gt;"","REMOVE UC-ID OR CORRECT SCOPE","Baseline only — NOT UC approval"),"Decision scope missing"))))</f>
        <v/>
      </c>
      <c r="R454" s="42" t="n"/>
      <c r="S454" s="38" t="n"/>
      <c r="T454" s="38" t="n"/>
      <c r="U454" s="38" t="n"/>
      <c r="V454" s="38" t="n"/>
      <c r="W454" s="39" t="n"/>
      <c r="X454" s="38" t="n"/>
    </row>
    <row r="455">
      <c r="A455" s="40" t="n"/>
      <c r="B455" s="40" t="n"/>
      <c r="C455" s="40" t="n"/>
      <c r="D455" s="40" t="n"/>
      <c r="E455" s="40" t="n"/>
      <c r="F455" s="41" t="n"/>
      <c r="G455" s="40" t="n"/>
      <c r="H455" s="40" t="n"/>
      <c r="I455" s="40" t="n"/>
      <c r="J455" s="40" t="n"/>
      <c r="K455" s="40" t="n"/>
      <c r="L455" s="40" t="n"/>
      <c r="M455" s="40" t="n"/>
      <c r="N455" s="24">
        <f>IF(COUNTA(A455:M455,O455:P455,R455:X455)=0,"",IF(OR(A455="",B455="",F455=""),"Event ID, AIR-ID or date missing",IF(COUNTIF($A$4:$A$553,A455)&gt;1,"Duplicate Event ID",IF(E455="","Event type missing",IF(OR(NOT(ISNUMBER(F455)),F455&gt;TODAY()),"Date is not a real date or is in the future",IF(AND(C455&lt;&gt;"",COUNTIF('Gate plan'!$A$4:$A$353,C455)=0),"Plan ID not found in Gate plan",IF(AND(C455&lt;&gt;"",COUNTIFS('Gate plan'!$A$4:$A$353,C455,'Gate plan'!$B$4:$B$353,B455)=0),"Plan AIR-ID differs from event",IF(D455="","Gate / forum missing",IF(AND(E455="Precautionary pause (containment)",G455&lt;&gt;"Paused — pending decision"),"Precautionary pause: Outcome must be Paused, pending decision",IF(AND(E455="Precautionary pause (containment)",V455=""),"Precautionary pause: AIG-OPS-03 incident ref missing",IF(AND(E455="Precautionary pause (containment)",NOT(ISNUMBER(W455))),"Precautionary pause: follow-up decision due date missing",IF(AND(G455="Paused — pending decision",E455&lt;&gt;"Precautionary pause (containment)"),"Paused, pending decision is only for a Precautionary pause event",IF(AND(E455="Decision",OR(G455="",H455="",I455="")),"Outcome / delegation / decision ref missing",IF(AND(E455="Decision",NOT(OR(G455="Progress",G455="Progress with condition",G455="Return for evidence",G455="Pause",G455="Stop",G455="Suspend",G455="Decommission",G455="Re-authorise",G455="Resume"))),"Decision event needs a decision outcome",IF(AND(E455="Priority override",OR(H455="",I455="")),"Decision-maker / AIG-DEC-03 ref missing",IF(AND(E455="Priority override",G455&lt;&gt;"",G455&lt;&gt;"No decision"),"Priority override: Outcome blank or No decision",IF(AND(E455&lt;&gt;"Decision",OR(G455="Progress",G455="Progress with condition",G455="Return for evidence",G455="Pause",G455="Stop",G455="Suspend",G455="Decommission",G455="Re-authorise",G455="Resume")),"Outcome implies decision",IF(OR(ISNUMBER(SEARCH(",",O455)),ISNUMBER(SEARCH(";",O455))),"One UC-ID per event row — split this event",IF(AND(E455="Decision",OR(Q455="UC-ID REQUIRED",Q455="Decision scope missing",Q455="REMOVE UC-ID OR CORRECT SCOPE")),"Decision scope missing",IF(AND(G455="Progress with condition",COUNTIF(Conditions!$B$4:$B$553,A455)=0),"Progress with condition needs at least one Conditions row",IF(AND(C455&lt;&gt;"",COUNTIFS('Gate plan'!$A$4:$A$353,C455,'Gate plan'!$C$4:$C$353,D455)=0),"Plan gate differs from event gate",IF(AND(C455&lt;&gt;"",O455&lt;&gt;"",COUNTIFS('Gate plan'!$A$4:$A$353,C455,'Gate plan'!$K$4:$K$353,"&lt;&gt;")&gt;0,COUNTIFS('Gate plan'!$A$4:$A$353,C455,'Gate plan'!$K$4:$K$353,O455)=0),"Plan UC-ID differs from event UC-ID",IF(AND(E455="Assurance opinion",J455=""),"Assurance opinion ref missing",IF(AND(G455="Opinion only",E455&lt;&gt;"Assurance opinion",E455&lt;&gt;"Review only"),"Opinion only is for Assurance opinion or Review only events",IF(AND(G455="No decision",E455&lt;&gt;"Review only",E455&lt;&gt;"Priority override",E455&lt;&gt;"Intake / registration"),"No decision is for Review only, Priority override or Intake / registration events",IF(OR(ISNUMBER(SEARCH(" ",TRIM(O455))),ISNUMBER(SEARCH("/",O455))),"One UC-ID per event row: split this event",IF(AND(E455="Precautionary pause (containment)",ISNUMBER(W455),ISNUMBER(F455),W455&lt;F455),"Follow-up decision due date is before the pause",IF(AND(G455="Resume",IFERROR(LOOKUP(2,1/(($B$3:B454=B455)*($O$3:O454=O455)),$G$3:G454),"")&lt;&gt;"Paused — pending decision"),"Resume is only for the event straight after a Precautionary pause on the same AIR-ID and UC-ID (in an earlier row)",IF(AND(E455="Decision",OR(G455="Progress",G455="Progress with condition",G455="Re-authorise",G455="Resume"),X455&lt;&gt;"Yes"),"Decision-maker has not confirmed the screening was considered (column X)","Check against source")))))))))))))))))))))))))))))</f>
        <v/>
      </c>
      <c r="O455" s="37" t="n"/>
      <c r="P455" s="37" t="n"/>
      <c r="Q455" s="14">
        <f>IF(A455="","",IF(E455&lt;&gt;"Decision","",IF(P455="UC-ID specific",IF(O455="","UC-ID REQUIRED","Check source decision for each UC-ID"),IF(P455="Shared system baseline",IF(O455&lt;&gt;"","REMOVE UC-ID OR CORRECT SCOPE","Baseline only — NOT UC approval"),"Decision scope missing"))))</f>
        <v/>
      </c>
      <c r="R455" s="43" t="n"/>
      <c r="S455" s="40" t="n"/>
      <c r="T455" s="40" t="n"/>
      <c r="U455" s="40" t="n"/>
      <c r="V455" s="40" t="n"/>
      <c r="W455" s="41" t="n"/>
      <c r="X455" s="38" t="n"/>
    </row>
    <row r="456">
      <c r="A456" s="38" t="n"/>
      <c r="B456" s="38" t="n"/>
      <c r="C456" s="38" t="n"/>
      <c r="D456" s="38" t="n"/>
      <c r="E456" s="38" t="n"/>
      <c r="F456" s="39" t="n"/>
      <c r="G456" s="38" t="n"/>
      <c r="H456" s="38" t="n"/>
      <c r="I456" s="38" t="n"/>
      <c r="J456" s="38" t="n"/>
      <c r="K456" s="38" t="n"/>
      <c r="L456" s="38" t="n"/>
      <c r="M456" s="38" t="n"/>
      <c r="N456" s="22">
        <f>IF(COUNTA(A456:M456,O456:P456,R456:X456)=0,"",IF(OR(A456="",B456="",F456=""),"Event ID, AIR-ID or date missing",IF(COUNTIF($A$4:$A$553,A456)&gt;1,"Duplicate Event ID",IF(E456="","Event type missing",IF(OR(NOT(ISNUMBER(F456)),F456&gt;TODAY()),"Date is not a real date or is in the future",IF(AND(C456&lt;&gt;"",COUNTIF('Gate plan'!$A$4:$A$353,C456)=0),"Plan ID not found in Gate plan",IF(AND(C456&lt;&gt;"",COUNTIFS('Gate plan'!$A$4:$A$353,C456,'Gate plan'!$B$4:$B$353,B456)=0),"Plan AIR-ID differs from event",IF(D456="","Gate / forum missing",IF(AND(E456="Precautionary pause (containment)",G456&lt;&gt;"Paused — pending decision"),"Precautionary pause: Outcome must be Paused, pending decision",IF(AND(E456="Precautionary pause (containment)",V456=""),"Precautionary pause: AIG-OPS-03 incident ref missing",IF(AND(E456="Precautionary pause (containment)",NOT(ISNUMBER(W456))),"Precautionary pause: follow-up decision due date missing",IF(AND(G456="Paused — pending decision",E456&lt;&gt;"Precautionary pause (containment)"),"Paused, pending decision is only for a Precautionary pause event",IF(AND(E456="Decision",OR(G456="",H456="",I456="")),"Outcome / delegation / decision ref missing",IF(AND(E456="Decision",NOT(OR(G456="Progress",G456="Progress with condition",G456="Return for evidence",G456="Pause",G456="Stop",G456="Suspend",G456="Decommission",G456="Re-authorise",G456="Resume"))),"Decision event needs a decision outcome",IF(AND(E456="Priority override",OR(H456="",I456="")),"Decision-maker / AIG-DEC-03 ref missing",IF(AND(E456="Priority override",G456&lt;&gt;"",G456&lt;&gt;"No decision"),"Priority override: Outcome blank or No decision",IF(AND(E456&lt;&gt;"Decision",OR(G456="Progress",G456="Progress with condition",G456="Return for evidence",G456="Pause",G456="Stop",G456="Suspend",G456="Decommission",G456="Re-authorise",G456="Resume")),"Outcome implies decision",IF(OR(ISNUMBER(SEARCH(",",O456)),ISNUMBER(SEARCH(";",O456))),"One UC-ID per event row — split this event",IF(AND(E456="Decision",OR(Q456="UC-ID REQUIRED",Q456="Decision scope missing",Q456="REMOVE UC-ID OR CORRECT SCOPE")),"Decision scope missing",IF(AND(G456="Progress with condition",COUNTIF(Conditions!$B$4:$B$553,A456)=0),"Progress with condition needs at least one Conditions row",IF(AND(C456&lt;&gt;"",COUNTIFS('Gate plan'!$A$4:$A$353,C456,'Gate plan'!$C$4:$C$353,D456)=0),"Plan gate differs from event gate",IF(AND(C456&lt;&gt;"",O456&lt;&gt;"",COUNTIFS('Gate plan'!$A$4:$A$353,C456,'Gate plan'!$K$4:$K$353,"&lt;&gt;")&gt;0,COUNTIFS('Gate plan'!$A$4:$A$353,C456,'Gate plan'!$K$4:$K$353,O456)=0),"Plan UC-ID differs from event UC-ID",IF(AND(E456="Assurance opinion",J456=""),"Assurance opinion ref missing",IF(AND(G456="Opinion only",E456&lt;&gt;"Assurance opinion",E456&lt;&gt;"Review only"),"Opinion only is for Assurance opinion or Review only events",IF(AND(G456="No decision",E456&lt;&gt;"Review only",E456&lt;&gt;"Priority override",E456&lt;&gt;"Intake / registration"),"No decision is for Review only, Priority override or Intake / registration events",IF(OR(ISNUMBER(SEARCH(" ",TRIM(O456))),ISNUMBER(SEARCH("/",O456))),"One UC-ID per event row: split this event",IF(AND(E456="Precautionary pause (containment)",ISNUMBER(W456),ISNUMBER(F456),W456&lt;F456),"Follow-up decision due date is before the pause",IF(AND(G456="Resume",IFERROR(LOOKUP(2,1/(($B$3:B455=B456)*($O$3:O455=O456)),$G$3:G455),"")&lt;&gt;"Paused — pending decision"),"Resume is only for the event straight after a Precautionary pause on the same AIR-ID and UC-ID (in an earlier row)",IF(AND(E456="Decision",OR(G456="Progress",G456="Progress with condition",G456="Re-authorise",G456="Resume"),X456&lt;&gt;"Yes"),"Decision-maker has not confirmed the screening was considered (column X)","Check against source")))))))))))))))))))))))))))))</f>
        <v/>
      </c>
      <c r="O456" s="37" t="n"/>
      <c r="P456" s="37" t="n"/>
      <c r="Q456" s="14">
        <f>IF(A456="","",IF(E456&lt;&gt;"Decision","",IF(P456="UC-ID specific",IF(O456="","UC-ID REQUIRED","Check source decision for each UC-ID"),IF(P456="Shared system baseline",IF(O456&lt;&gt;"","REMOVE UC-ID OR CORRECT SCOPE","Baseline only — NOT UC approval"),"Decision scope missing"))))</f>
        <v/>
      </c>
      <c r="R456" s="42" t="n"/>
      <c r="S456" s="38" t="n"/>
      <c r="T456" s="38" t="n"/>
      <c r="U456" s="38" t="n"/>
      <c r="V456" s="38" t="n"/>
      <c r="W456" s="39" t="n"/>
      <c r="X456" s="38" t="n"/>
    </row>
    <row r="457">
      <c r="A457" s="40" t="n"/>
      <c r="B457" s="40" t="n"/>
      <c r="C457" s="40" t="n"/>
      <c r="D457" s="40" t="n"/>
      <c r="E457" s="40" t="n"/>
      <c r="F457" s="41" t="n"/>
      <c r="G457" s="40" t="n"/>
      <c r="H457" s="40" t="n"/>
      <c r="I457" s="40" t="n"/>
      <c r="J457" s="40" t="n"/>
      <c r="K457" s="40" t="n"/>
      <c r="L457" s="40" t="n"/>
      <c r="M457" s="40" t="n"/>
      <c r="N457" s="24">
        <f>IF(COUNTA(A457:M457,O457:P457,R457:X457)=0,"",IF(OR(A457="",B457="",F457=""),"Event ID, AIR-ID or date missing",IF(COUNTIF($A$4:$A$553,A457)&gt;1,"Duplicate Event ID",IF(E457="","Event type missing",IF(OR(NOT(ISNUMBER(F457)),F457&gt;TODAY()),"Date is not a real date or is in the future",IF(AND(C457&lt;&gt;"",COUNTIF('Gate plan'!$A$4:$A$353,C457)=0),"Plan ID not found in Gate plan",IF(AND(C457&lt;&gt;"",COUNTIFS('Gate plan'!$A$4:$A$353,C457,'Gate plan'!$B$4:$B$353,B457)=0),"Plan AIR-ID differs from event",IF(D457="","Gate / forum missing",IF(AND(E457="Precautionary pause (containment)",G457&lt;&gt;"Paused — pending decision"),"Precautionary pause: Outcome must be Paused, pending decision",IF(AND(E457="Precautionary pause (containment)",V457=""),"Precautionary pause: AIG-OPS-03 incident ref missing",IF(AND(E457="Precautionary pause (containment)",NOT(ISNUMBER(W457))),"Precautionary pause: follow-up decision due date missing",IF(AND(G457="Paused — pending decision",E457&lt;&gt;"Precautionary pause (containment)"),"Paused, pending decision is only for a Precautionary pause event",IF(AND(E457="Decision",OR(G457="",H457="",I457="")),"Outcome / delegation / decision ref missing",IF(AND(E457="Decision",NOT(OR(G457="Progress",G457="Progress with condition",G457="Return for evidence",G457="Pause",G457="Stop",G457="Suspend",G457="Decommission",G457="Re-authorise",G457="Resume"))),"Decision event needs a decision outcome",IF(AND(E457="Priority override",OR(H457="",I457="")),"Decision-maker / AIG-DEC-03 ref missing",IF(AND(E457="Priority override",G457&lt;&gt;"",G457&lt;&gt;"No decision"),"Priority override: Outcome blank or No decision",IF(AND(E457&lt;&gt;"Decision",OR(G457="Progress",G457="Progress with condition",G457="Return for evidence",G457="Pause",G457="Stop",G457="Suspend",G457="Decommission",G457="Re-authorise",G457="Resume")),"Outcome implies decision",IF(OR(ISNUMBER(SEARCH(",",O457)),ISNUMBER(SEARCH(";",O457))),"One UC-ID per event row — split this event",IF(AND(E457="Decision",OR(Q457="UC-ID REQUIRED",Q457="Decision scope missing",Q457="REMOVE UC-ID OR CORRECT SCOPE")),"Decision scope missing",IF(AND(G457="Progress with condition",COUNTIF(Conditions!$B$4:$B$553,A457)=0),"Progress with condition needs at least one Conditions row",IF(AND(C457&lt;&gt;"",COUNTIFS('Gate plan'!$A$4:$A$353,C457,'Gate plan'!$C$4:$C$353,D457)=0),"Plan gate differs from event gate",IF(AND(C457&lt;&gt;"",O457&lt;&gt;"",COUNTIFS('Gate plan'!$A$4:$A$353,C457,'Gate plan'!$K$4:$K$353,"&lt;&gt;")&gt;0,COUNTIFS('Gate plan'!$A$4:$A$353,C457,'Gate plan'!$K$4:$K$353,O457)=0),"Plan UC-ID differs from event UC-ID",IF(AND(E457="Assurance opinion",J457=""),"Assurance opinion ref missing",IF(AND(G457="Opinion only",E457&lt;&gt;"Assurance opinion",E457&lt;&gt;"Review only"),"Opinion only is for Assurance opinion or Review only events",IF(AND(G457="No decision",E457&lt;&gt;"Review only",E457&lt;&gt;"Priority override",E457&lt;&gt;"Intake / registration"),"No decision is for Review only, Priority override or Intake / registration events",IF(OR(ISNUMBER(SEARCH(" ",TRIM(O457))),ISNUMBER(SEARCH("/",O457))),"One UC-ID per event row: split this event",IF(AND(E457="Precautionary pause (containment)",ISNUMBER(W457),ISNUMBER(F457),W457&lt;F457),"Follow-up decision due date is before the pause",IF(AND(G457="Resume",IFERROR(LOOKUP(2,1/(($B$3:B456=B457)*($O$3:O456=O457)),$G$3:G456),"")&lt;&gt;"Paused — pending decision"),"Resume is only for the event straight after a Precautionary pause on the same AIR-ID and UC-ID (in an earlier row)",IF(AND(E457="Decision",OR(G457="Progress",G457="Progress with condition",G457="Re-authorise",G457="Resume"),X457&lt;&gt;"Yes"),"Decision-maker has not confirmed the screening was considered (column X)","Check against source")))))))))))))))))))))))))))))</f>
        <v/>
      </c>
      <c r="O457" s="37" t="n"/>
      <c r="P457" s="37" t="n"/>
      <c r="Q457" s="14">
        <f>IF(A457="","",IF(E457&lt;&gt;"Decision","",IF(P457="UC-ID specific",IF(O457="","UC-ID REQUIRED","Check source decision for each UC-ID"),IF(P457="Shared system baseline",IF(O457&lt;&gt;"","REMOVE UC-ID OR CORRECT SCOPE","Baseline only — NOT UC approval"),"Decision scope missing"))))</f>
        <v/>
      </c>
      <c r="R457" s="43" t="n"/>
      <c r="S457" s="40" t="n"/>
      <c r="T457" s="40" t="n"/>
      <c r="U457" s="40" t="n"/>
      <c r="V457" s="40" t="n"/>
      <c r="W457" s="41" t="n"/>
      <c r="X457" s="38" t="n"/>
    </row>
    <row r="458">
      <c r="A458" s="38" t="n"/>
      <c r="B458" s="38" t="n"/>
      <c r="C458" s="38" t="n"/>
      <c r="D458" s="38" t="n"/>
      <c r="E458" s="38" t="n"/>
      <c r="F458" s="39" t="n"/>
      <c r="G458" s="38" t="n"/>
      <c r="H458" s="38" t="n"/>
      <c r="I458" s="38" t="n"/>
      <c r="J458" s="38" t="n"/>
      <c r="K458" s="38" t="n"/>
      <c r="L458" s="38" t="n"/>
      <c r="M458" s="38" t="n"/>
      <c r="N458" s="22">
        <f>IF(COUNTA(A458:M458,O458:P458,R458:X458)=0,"",IF(OR(A458="",B458="",F458=""),"Event ID, AIR-ID or date missing",IF(COUNTIF($A$4:$A$553,A458)&gt;1,"Duplicate Event ID",IF(E458="","Event type missing",IF(OR(NOT(ISNUMBER(F458)),F458&gt;TODAY()),"Date is not a real date or is in the future",IF(AND(C458&lt;&gt;"",COUNTIF('Gate plan'!$A$4:$A$353,C458)=0),"Plan ID not found in Gate plan",IF(AND(C458&lt;&gt;"",COUNTIFS('Gate plan'!$A$4:$A$353,C458,'Gate plan'!$B$4:$B$353,B458)=0),"Plan AIR-ID differs from event",IF(D458="","Gate / forum missing",IF(AND(E458="Precautionary pause (containment)",G458&lt;&gt;"Paused — pending decision"),"Precautionary pause: Outcome must be Paused, pending decision",IF(AND(E458="Precautionary pause (containment)",V458=""),"Precautionary pause: AIG-OPS-03 incident ref missing",IF(AND(E458="Precautionary pause (containment)",NOT(ISNUMBER(W458))),"Precautionary pause: follow-up decision due date missing",IF(AND(G458="Paused — pending decision",E458&lt;&gt;"Precautionary pause (containment)"),"Paused, pending decision is only for a Precautionary pause event",IF(AND(E458="Decision",OR(G458="",H458="",I458="")),"Outcome / delegation / decision ref missing",IF(AND(E458="Decision",NOT(OR(G458="Progress",G458="Progress with condition",G458="Return for evidence",G458="Pause",G458="Stop",G458="Suspend",G458="Decommission",G458="Re-authorise",G458="Resume"))),"Decision event needs a decision outcome",IF(AND(E458="Priority override",OR(H458="",I458="")),"Decision-maker / AIG-DEC-03 ref missing",IF(AND(E458="Priority override",G458&lt;&gt;"",G458&lt;&gt;"No decision"),"Priority override: Outcome blank or No decision",IF(AND(E458&lt;&gt;"Decision",OR(G458="Progress",G458="Progress with condition",G458="Return for evidence",G458="Pause",G458="Stop",G458="Suspend",G458="Decommission",G458="Re-authorise",G458="Resume")),"Outcome implies decision",IF(OR(ISNUMBER(SEARCH(",",O458)),ISNUMBER(SEARCH(";",O458))),"One UC-ID per event row — split this event",IF(AND(E458="Decision",OR(Q458="UC-ID REQUIRED",Q458="Decision scope missing",Q458="REMOVE UC-ID OR CORRECT SCOPE")),"Decision scope missing",IF(AND(G458="Progress with condition",COUNTIF(Conditions!$B$4:$B$553,A458)=0),"Progress with condition needs at least one Conditions row",IF(AND(C458&lt;&gt;"",COUNTIFS('Gate plan'!$A$4:$A$353,C458,'Gate plan'!$C$4:$C$353,D458)=0),"Plan gate differs from event gate",IF(AND(C458&lt;&gt;"",O458&lt;&gt;"",COUNTIFS('Gate plan'!$A$4:$A$353,C458,'Gate plan'!$K$4:$K$353,"&lt;&gt;")&gt;0,COUNTIFS('Gate plan'!$A$4:$A$353,C458,'Gate plan'!$K$4:$K$353,O458)=0),"Plan UC-ID differs from event UC-ID",IF(AND(E458="Assurance opinion",J458=""),"Assurance opinion ref missing",IF(AND(G458="Opinion only",E458&lt;&gt;"Assurance opinion",E458&lt;&gt;"Review only"),"Opinion only is for Assurance opinion or Review only events",IF(AND(G458="No decision",E458&lt;&gt;"Review only",E458&lt;&gt;"Priority override",E458&lt;&gt;"Intake / registration"),"No decision is for Review only, Priority override or Intake / registration events",IF(OR(ISNUMBER(SEARCH(" ",TRIM(O458))),ISNUMBER(SEARCH("/",O458))),"One UC-ID per event row: split this event",IF(AND(E458="Precautionary pause (containment)",ISNUMBER(W458),ISNUMBER(F458),W458&lt;F458),"Follow-up decision due date is before the pause",IF(AND(G458="Resume",IFERROR(LOOKUP(2,1/(($B$3:B457=B458)*($O$3:O457=O458)),$G$3:G457),"")&lt;&gt;"Paused — pending decision"),"Resume is only for the event straight after a Precautionary pause on the same AIR-ID and UC-ID (in an earlier row)",IF(AND(E458="Decision",OR(G458="Progress",G458="Progress with condition",G458="Re-authorise",G458="Resume"),X458&lt;&gt;"Yes"),"Decision-maker has not confirmed the screening was considered (column X)","Check against source")))))))))))))))))))))))))))))</f>
        <v/>
      </c>
      <c r="O458" s="37" t="n"/>
      <c r="P458" s="37" t="n"/>
      <c r="Q458" s="14">
        <f>IF(A458="","",IF(E458&lt;&gt;"Decision","",IF(P458="UC-ID specific",IF(O458="","UC-ID REQUIRED","Check source decision for each UC-ID"),IF(P458="Shared system baseline",IF(O458&lt;&gt;"","REMOVE UC-ID OR CORRECT SCOPE","Baseline only — NOT UC approval"),"Decision scope missing"))))</f>
        <v/>
      </c>
      <c r="R458" s="42" t="n"/>
      <c r="S458" s="38" t="n"/>
      <c r="T458" s="38" t="n"/>
      <c r="U458" s="38" t="n"/>
      <c r="V458" s="38" t="n"/>
      <c r="W458" s="39" t="n"/>
      <c r="X458" s="38" t="n"/>
    </row>
    <row r="459">
      <c r="A459" s="40" t="n"/>
      <c r="B459" s="40" t="n"/>
      <c r="C459" s="40" t="n"/>
      <c r="D459" s="40" t="n"/>
      <c r="E459" s="40" t="n"/>
      <c r="F459" s="41" t="n"/>
      <c r="G459" s="40" t="n"/>
      <c r="H459" s="40" t="n"/>
      <c r="I459" s="40" t="n"/>
      <c r="J459" s="40" t="n"/>
      <c r="K459" s="40" t="n"/>
      <c r="L459" s="40" t="n"/>
      <c r="M459" s="40" t="n"/>
      <c r="N459" s="24">
        <f>IF(COUNTA(A459:M459,O459:P459,R459:X459)=0,"",IF(OR(A459="",B459="",F459=""),"Event ID, AIR-ID or date missing",IF(COUNTIF($A$4:$A$553,A459)&gt;1,"Duplicate Event ID",IF(E459="","Event type missing",IF(OR(NOT(ISNUMBER(F459)),F459&gt;TODAY()),"Date is not a real date or is in the future",IF(AND(C459&lt;&gt;"",COUNTIF('Gate plan'!$A$4:$A$353,C459)=0),"Plan ID not found in Gate plan",IF(AND(C459&lt;&gt;"",COUNTIFS('Gate plan'!$A$4:$A$353,C459,'Gate plan'!$B$4:$B$353,B459)=0),"Plan AIR-ID differs from event",IF(D459="","Gate / forum missing",IF(AND(E459="Precautionary pause (containment)",G459&lt;&gt;"Paused — pending decision"),"Precautionary pause: Outcome must be Paused, pending decision",IF(AND(E459="Precautionary pause (containment)",V459=""),"Precautionary pause: AIG-OPS-03 incident ref missing",IF(AND(E459="Precautionary pause (containment)",NOT(ISNUMBER(W459))),"Precautionary pause: follow-up decision due date missing",IF(AND(G459="Paused — pending decision",E459&lt;&gt;"Precautionary pause (containment)"),"Paused, pending decision is only for a Precautionary pause event",IF(AND(E459="Decision",OR(G459="",H459="",I459="")),"Outcome / delegation / decision ref missing",IF(AND(E459="Decision",NOT(OR(G459="Progress",G459="Progress with condition",G459="Return for evidence",G459="Pause",G459="Stop",G459="Suspend",G459="Decommission",G459="Re-authorise",G459="Resume"))),"Decision event needs a decision outcome",IF(AND(E459="Priority override",OR(H459="",I459="")),"Decision-maker / AIG-DEC-03 ref missing",IF(AND(E459="Priority override",G459&lt;&gt;"",G459&lt;&gt;"No decision"),"Priority override: Outcome blank or No decision",IF(AND(E459&lt;&gt;"Decision",OR(G459="Progress",G459="Progress with condition",G459="Return for evidence",G459="Pause",G459="Stop",G459="Suspend",G459="Decommission",G459="Re-authorise",G459="Resume")),"Outcome implies decision",IF(OR(ISNUMBER(SEARCH(",",O459)),ISNUMBER(SEARCH(";",O459))),"One UC-ID per event row — split this event",IF(AND(E459="Decision",OR(Q459="UC-ID REQUIRED",Q459="Decision scope missing",Q459="REMOVE UC-ID OR CORRECT SCOPE")),"Decision scope missing",IF(AND(G459="Progress with condition",COUNTIF(Conditions!$B$4:$B$553,A459)=0),"Progress with condition needs at least one Conditions row",IF(AND(C459&lt;&gt;"",COUNTIFS('Gate plan'!$A$4:$A$353,C459,'Gate plan'!$C$4:$C$353,D459)=0),"Plan gate differs from event gate",IF(AND(C459&lt;&gt;"",O459&lt;&gt;"",COUNTIFS('Gate plan'!$A$4:$A$353,C459,'Gate plan'!$K$4:$K$353,"&lt;&gt;")&gt;0,COUNTIFS('Gate plan'!$A$4:$A$353,C459,'Gate plan'!$K$4:$K$353,O459)=0),"Plan UC-ID differs from event UC-ID",IF(AND(E459="Assurance opinion",J459=""),"Assurance opinion ref missing",IF(AND(G459="Opinion only",E459&lt;&gt;"Assurance opinion",E459&lt;&gt;"Review only"),"Opinion only is for Assurance opinion or Review only events",IF(AND(G459="No decision",E459&lt;&gt;"Review only",E459&lt;&gt;"Priority override",E459&lt;&gt;"Intake / registration"),"No decision is for Review only, Priority override or Intake / registration events",IF(OR(ISNUMBER(SEARCH(" ",TRIM(O459))),ISNUMBER(SEARCH("/",O459))),"One UC-ID per event row: split this event",IF(AND(E459="Precautionary pause (containment)",ISNUMBER(W459),ISNUMBER(F459),W459&lt;F459),"Follow-up decision due date is before the pause",IF(AND(G459="Resume",IFERROR(LOOKUP(2,1/(($B$3:B458=B459)*($O$3:O458=O459)),$G$3:G458),"")&lt;&gt;"Paused — pending decision"),"Resume is only for the event straight after a Precautionary pause on the same AIR-ID and UC-ID (in an earlier row)",IF(AND(E459="Decision",OR(G459="Progress",G459="Progress with condition",G459="Re-authorise",G459="Resume"),X459&lt;&gt;"Yes"),"Decision-maker has not confirmed the screening was considered (column X)","Check against source")))))))))))))))))))))))))))))</f>
        <v/>
      </c>
      <c r="O459" s="37" t="n"/>
      <c r="P459" s="37" t="n"/>
      <c r="Q459" s="14">
        <f>IF(A459="","",IF(E459&lt;&gt;"Decision","",IF(P459="UC-ID specific",IF(O459="","UC-ID REQUIRED","Check source decision for each UC-ID"),IF(P459="Shared system baseline",IF(O459&lt;&gt;"","REMOVE UC-ID OR CORRECT SCOPE","Baseline only — NOT UC approval"),"Decision scope missing"))))</f>
        <v/>
      </c>
      <c r="R459" s="43" t="n"/>
      <c r="S459" s="40" t="n"/>
      <c r="T459" s="40" t="n"/>
      <c r="U459" s="40" t="n"/>
      <c r="V459" s="40" t="n"/>
      <c r="W459" s="41" t="n"/>
      <c r="X459" s="38" t="n"/>
    </row>
    <row r="460">
      <c r="A460" s="38" t="n"/>
      <c r="B460" s="38" t="n"/>
      <c r="C460" s="38" t="n"/>
      <c r="D460" s="38" t="n"/>
      <c r="E460" s="38" t="n"/>
      <c r="F460" s="39" t="n"/>
      <c r="G460" s="38" t="n"/>
      <c r="H460" s="38" t="n"/>
      <c r="I460" s="38" t="n"/>
      <c r="J460" s="38" t="n"/>
      <c r="K460" s="38" t="n"/>
      <c r="L460" s="38" t="n"/>
      <c r="M460" s="38" t="n"/>
      <c r="N460" s="22">
        <f>IF(COUNTA(A460:M460,O460:P460,R460:X460)=0,"",IF(OR(A460="",B460="",F460=""),"Event ID, AIR-ID or date missing",IF(COUNTIF($A$4:$A$553,A460)&gt;1,"Duplicate Event ID",IF(E460="","Event type missing",IF(OR(NOT(ISNUMBER(F460)),F460&gt;TODAY()),"Date is not a real date or is in the future",IF(AND(C460&lt;&gt;"",COUNTIF('Gate plan'!$A$4:$A$353,C460)=0),"Plan ID not found in Gate plan",IF(AND(C460&lt;&gt;"",COUNTIFS('Gate plan'!$A$4:$A$353,C460,'Gate plan'!$B$4:$B$353,B460)=0),"Plan AIR-ID differs from event",IF(D460="","Gate / forum missing",IF(AND(E460="Precautionary pause (containment)",G460&lt;&gt;"Paused — pending decision"),"Precautionary pause: Outcome must be Paused, pending decision",IF(AND(E460="Precautionary pause (containment)",V460=""),"Precautionary pause: AIG-OPS-03 incident ref missing",IF(AND(E460="Precautionary pause (containment)",NOT(ISNUMBER(W460))),"Precautionary pause: follow-up decision due date missing",IF(AND(G460="Paused — pending decision",E460&lt;&gt;"Precautionary pause (containment)"),"Paused, pending decision is only for a Precautionary pause event",IF(AND(E460="Decision",OR(G460="",H460="",I460="")),"Outcome / delegation / decision ref missing",IF(AND(E460="Decision",NOT(OR(G460="Progress",G460="Progress with condition",G460="Return for evidence",G460="Pause",G460="Stop",G460="Suspend",G460="Decommission",G460="Re-authorise",G460="Resume"))),"Decision event needs a decision outcome",IF(AND(E460="Priority override",OR(H460="",I460="")),"Decision-maker / AIG-DEC-03 ref missing",IF(AND(E460="Priority override",G460&lt;&gt;"",G460&lt;&gt;"No decision"),"Priority override: Outcome blank or No decision",IF(AND(E460&lt;&gt;"Decision",OR(G460="Progress",G460="Progress with condition",G460="Return for evidence",G460="Pause",G460="Stop",G460="Suspend",G460="Decommission",G460="Re-authorise",G460="Resume")),"Outcome implies decision",IF(OR(ISNUMBER(SEARCH(",",O460)),ISNUMBER(SEARCH(";",O460))),"One UC-ID per event row — split this event",IF(AND(E460="Decision",OR(Q460="UC-ID REQUIRED",Q460="Decision scope missing",Q460="REMOVE UC-ID OR CORRECT SCOPE")),"Decision scope missing",IF(AND(G460="Progress with condition",COUNTIF(Conditions!$B$4:$B$553,A460)=0),"Progress with condition needs at least one Conditions row",IF(AND(C460&lt;&gt;"",COUNTIFS('Gate plan'!$A$4:$A$353,C460,'Gate plan'!$C$4:$C$353,D460)=0),"Plan gate differs from event gate",IF(AND(C460&lt;&gt;"",O460&lt;&gt;"",COUNTIFS('Gate plan'!$A$4:$A$353,C460,'Gate plan'!$K$4:$K$353,"&lt;&gt;")&gt;0,COUNTIFS('Gate plan'!$A$4:$A$353,C460,'Gate plan'!$K$4:$K$353,O460)=0),"Plan UC-ID differs from event UC-ID",IF(AND(E460="Assurance opinion",J460=""),"Assurance opinion ref missing",IF(AND(G460="Opinion only",E460&lt;&gt;"Assurance opinion",E460&lt;&gt;"Review only"),"Opinion only is for Assurance opinion or Review only events",IF(AND(G460="No decision",E460&lt;&gt;"Review only",E460&lt;&gt;"Priority override",E460&lt;&gt;"Intake / registration"),"No decision is for Review only, Priority override or Intake / registration events",IF(OR(ISNUMBER(SEARCH(" ",TRIM(O460))),ISNUMBER(SEARCH("/",O460))),"One UC-ID per event row: split this event",IF(AND(E460="Precautionary pause (containment)",ISNUMBER(W460),ISNUMBER(F460),W460&lt;F460),"Follow-up decision due date is before the pause",IF(AND(G460="Resume",IFERROR(LOOKUP(2,1/(($B$3:B459=B460)*($O$3:O459=O460)),$G$3:G459),"")&lt;&gt;"Paused — pending decision"),"Resume is only for the event straight after a Precautionary pause on the same AIR-ID and UC-ID (in an earlier row)",IF(AND(E460="Decision",OR(G460="Progress",G460="Progress with condition",G460="Re-authorise",G460="Resume"),X460&lt;&gt;"Yes"),"Decision-maker has not confirmed the screening was considered (column X)","Check against source")))))))))))))))))))))))))))))</f>
        <v/>
      </c>
      <c r="O460" s="37" t="n"/>
      <c r="P460" s="37" t="n"/>
      <c r="Q460" s="14">
        <f>IF(A460="","",IF(E460&lt;&gt;"Decision","",IF(P460="UC-ID specific",IF(O460="","UC-ID REQUIRED","Check source decision for each UC-ID"),IF(P460="Shared system baseline",IF(O460&lt;&gt;"","REMOVE UC-ID OR CORRECT SCOPE","Baseline only — NOT UC approval"),"Decision scope missing"))))</f>
        <v/>
      </c>
      <c r="R460" s="42" t="n"/>
      <c r="S460" s="38" t="n"/>
      <c r="T460" s="38" t="n"/>
      <c r="U460" s="38" t="n"/>
      <c r="V460" s="38" t="n"/>
      <c r="W460" s="39" t="n"/>
      <c r="X460" s="38" t="n"/>
    </row>
    <row r="461">
      <c r="A461" s="40" t="n"/>
      <c r="B461" s="40" t="n"/>
      <c r="C461" s="40" t="n"/>
      <c r="D461" s="40" t="n"/>
      <c r="E461" s="40" t="n"/>
      <c r="F461" s="41" t="n"/>
      <c r="G461" s="40" t="n"/>
      <c r="H461" s="40" t="n"/>
      <c r="I461" s="40" t="n"/>
      <c r="J461" s="40" t="n"/>
      <c r="K461" s="40" t="n"/>
      <c r="L461" s="40" t="n"/>
      <c r="M461" s="40" t="n"/>
      <c r="N461" s="24">
        <f>IF(COUNTA(A461:M461,O461:P461,R461:X461)=0,"",IF(OR(A461="",B461="",F461=""),"Event ID, AIR-ID or date missing",IF(COUNTIF($A$4:$A$553,A461)&gt;1,"Duplicate Event ID",IF(E461="","Event type missing",IF(OR(NOT(ISNUMBER(F461)),F461&gt;TODAY()),"Date is not a real date or is in the future",IF(AND(C461&lt;&gt;"",COUNTIF('Gate plan'!$A$4:$A$353,C461)=0),"Plan ID not found in Gate plan",IF(AND(C461&lt;&gt;"",COUNTIFS('Gate plan'!$A$4:$A$353,C461,'Gate plan'!$B$4:$B$353,B461)=0),"Plan AIR-ID differs from event",IF(D461="","Gate / forum missing",IF(AND(E461="Precautionary pause (containment)",G461&lt;&gt;"Paused — pending decision"),"Precautionary pause: Outcome must be Paused, pending decision",IF(AND(E461="Precautionary pause (containment)",V461=""),"Precautionary pause: AIG-OPS-03 incident ref missing",IF(AND(E461="Precautionary pause (containment)",NOT(ISNUMBER(W461))),"Precautionary pause: follow-up decision due date missing",IF(AND(G461="Paused — pending decision",E461&lt;&gt;"Precautionary pause (containment)"),"Paused, pending decision is only for a Precautionary pause event",IF(AND(E461="Decision",OR(G461="",H461="",I461="")),"Outcome / delegation / decision ref missing",IF(AND(E461="Decision",NOT(OR(G461="Progress",G461="Progress with condition",G461="Return for evidence",G461="Pause",G461="Stop",G461="Suspend",G461="Decommission",G461="Re-authorise",G461="Resume"))),"Decision event needs a decision outcome",IF(AND(E461="Priority override",OR(H461="",I461="")),"Decision-maker / AIG-DEC-03 ref missing",IF(AND(E461="Priority override",G461&lt;&gt;"",G461&lt;&gt;"No decision"),"Priority override: Outcome blank or No decision",IF(AND(E461&lt;&gt;"Decision",OR(G461="Progress",G461="Progress with condition",G461="Return for evidence",G461="Pause",G461="Stop",G461="Suspend",G461="Decommission",G461="Re-authorise",G461="Resume")),"Outcome implies decision",IF(OR(ISNUMBER(SEARCH(",",O461)),ISNUMBER(SEARCH(";",O461))),"One UC-ID per event row — split this event",IF(AND(E461="Decision",OR(Q461="UC-ID REQUIRED",Q461="Decision scope missing",Q461="REMOVE UC-ID OR CORRECT SCOPE")),"Decision scope missing",IF(AND(G461="Progress with condition",COUNTIF(Conditions!$B$4:$B$553,A461)=0),"Progress with condition needs at least one Conditions row",IF(AND(C461&lt;&gt;"",COUNTIFS('Gate plan'!$A$4:$A$353,C461,'Gate plan'!$C$4:$C$353,D461)=0),"Plan gate differs from event gate",IF(AND(C461&lt;&gt;"",O461&lt;&gt;"",COUNTIFS('Gate plan'!$A$4:$A$353,C461,'Gate plan'!$K$4:$K$353,"&lt;&gt;")&gt;0,COUNTIFS('Gate plan'!$A$4:$A$353,C461,'Gate plan'!$K$4:$K$353,O461)=0),"Plan UC-ID differs from event UC-ID",IF(AND(E461="Assurance opinion",J461=""),"Assurance opinion ref missing",IF(AND(G461="Opinion only",E461&lt;&gt;"Assurance opinion",E461&lt;&gt;"Review only"),"Opinion only is for Assurance opinion or Review only events",IF(AND(G461="No decision",E461&lt;&gt;"Review only",E461&lt;&gt;"Priority override",E461&lt;&gt;"Intake / registration"),"No decision is for Review only, Priority override or Intake / registration events",IF(OR(ISNUMBER(SEARCH(" ",TRIM(O461))),ISNUMBER(SEARCH("/",O461))),"One UC-ID per event row: split this event",IF(AND(E461="Precautionary pause (containment)",ISNUMBER(W461),ISNUMBER(F461),W461&lt;F461),"Follow-up decision due date is before the pause",IF(AND(G461="Resume",IFERROR(LOOKUP(2,1/(($B$3:B460=B461)*($O$3:O460=O461)),$G$3:G460),"")&lt;&gt;"Paused — pending decision"),"Resume is only for the event straight after a Precautionary pause on the same AIR-ID and UC-ID (in an earlier row)",IF(AND(E461="Decision",OR(G461="Progress",G461="Progress with condition",G461="Re-authorise",G461="Resume"),X461&lt;&gt;"Yes"),"Decision-maker has not confirmed the screening was considered (column X)","Check against source")))))))))))))))))))))))))))))</f>
        <v/>
      </c>
      <c r="O461" s="37" t="n"/>
      <c r="P461" s="37" t="n"/>
      <c r="Q461" s="14">
        <f>IF(A461="","",IF(E461&lt;&gt;"Decision","",IF(P461="UC-ID specific",IF(O461="","UC-ID REQUIRED","Check source decision for each UC-ID"),IF(P461="Shared system baseline",IF(O461&lt;&gt;"","REMOVE UC-ID OR CORRECT SCOPE","Baseline only — NOT UC approval"),"Decision scope missing"))))</f>
        <v/>
      </c>
      <c r="R461" s="43" t="n"/>
      <c r="S461" s="40" t="n"/>
      <c r="T461" s="40" t="n"/>
      <c r="U461" s="40" t="n"/>
      <c r="V461" s="40" t="n"/>
      <c r="W461" s="41" t="n"/>
      <c r="X461" s="38" t="n"/>
    </row>
    <row r="462">
      <c r="A462" s="38" t="n"/>
      <c r="B462" s="38" t="n"/>
      <c r="C462" s="38" t="n"/>
      <c r="D462" s="38" t="n"/>
      <c r="E462" s="38" t="n"/>
      <c r="F462" s="39" t="n"/>
      <c r="G462" s="38" t="n"/>
      <c r="H462" s="38" t="n"/>
      <c r="I462" s="38" t="n"/>
      <c r="J462" s="38" t="n"/>
      <c r="K462" s="38" t="n"/>
      <c r="L462" s="38" t="n"/>
      <c r="M462" s="38" t="n"/>
      <c r="N462" s="22">
        <f>IF(COUNTA(A462:M462,O462:P462,R462:X462)=0,"",IF(OR(A462="",B462="",F462=""),"Event ID, AIR-ID or date missing",IF(COUNTIF($A$4:$A$553,A462)&gt;1,"Duplicate Event ID",IF(E462="","Event type missing",IF(OR(NOT(ISNUMBER(F462)),F462&gt;TODAY()),"Date is not a real date or is in the future",IF(AND(C462&lt;&gt;"",COUNTIF('Gate plan'!$A$4:$A$353,C462)=0),"Plan ID not found in Gate plan",IF(AND(C462&lt;&gt;"",COUNTIFS('Gate plan'!$A$4:$A$353,C462,'Gate plan'!$B$4:$B$353,B462)=0),"Plan AIR-ID differs from event",IF(D462="","Gate / forum missing",IF(AND(E462="Precautionary pause (containment)",G462&lt;&gt;"Paused — pending decision"),"Precautionary pause: Outcome must be Paused, pending decision",IF(AND(E462="Precautionary pause (containment)",V462=""),"Precautionary pause: AIG-OPS-03 incident ref missing",IF(AND(E462="Precautionary pause (containment)",NOT(ISNUMBER(W462))),"Precautionary pause: follow-up decision due date missing",IF(AND(G462="Paused — pending decision",E462&lt;&gt;"Precautionary pause (containment)"),"Paused, pending decision is only for a Precautionary pause event",IF(AND(E462="Decision",OR(G462="",H462="",I462="")),"Outcome / delegation / decision ref missing",IF(AND(E462="Decision",NOT(OR(G462="Progress",G462="Progress with condition",G462="Return for evidence",G462="Pause",G462="Stop",G462="Suspend",G462="Decommission",G462="Re-authorise",G462="Resume"))),"Decision event needs a decision outcome",IF(AND(E462="Priority override",OR(H462="",I462="")),"Decision-maker / AIG-DEC-03 ref missing",IF(AND(E462="Priority override",G462&lt;&gt;"",G462&lt;&gt;"No decision"),"Priority override: Outcome blank or No decision",IF(AND(E462&lt;&gt;"Decision",OR(G462="Progress",G462="Progress with condition",G462="Return for evidence",G462="Pause",G462="Stop",G462="Suspend",G462="Decommission",G462="Re-authorise",G462="Resume")),"Outcome implies decision",IF(OR(ISNUMBER(SEARCH(",",O462)),ISNUMBER(SEARCH(";",O462))),"One UC-ID per event row — split this event",IF(AND(E462="Decision",OR(Q462="UC-ID REQUIRED",Q462="Decision scope missing",Q462="REMOVE UC-ID OR CORRECT SCOPE")),"Decision scope missing",IF(AND(G462="Progress with condition",COUNTIF(Conditions!$B$4:$B$553,A462)=0),"Progress with condition needs at least one Conditions row",IF(AND(C462&lt;&gt;"",COUNTIFS('Gate plan'!$A$4:$A$353,C462,'Gate plan'!$C$4:$C$353,D462)=0),"Plan gate differs from event gate",IF(AND(C462&lt;&gt;"",O462&lt;&gt;"",COUNTIFS('Gate plan'!$A$4:$A$353,C462,'Gate plan'!$K$4:$K$353,"&lt;&gt;")&gt;0,COUNTIFS('Gate plan'!$A$4:$A$353,C462,'Gate plan'!$K$4:$K$353,O462)=0),"Plan UC-ID differs from event UC-ID",IF(AND(E462="Assurance opinion",J462=""),"Assurance opinion ref missing",IF(AND(G462="Opinion only",E462&lt;&gt;"Assurance opinion",E462&lt;&gt;"Review only"),"Opinion only is for Assurance opinion or Review only events",IF(AND(G462="No decision",E462&lt;&gt;"Review only",E462&lt;&gt;"Priority override",E462&lt;&gt;"Intake / registration"),"No decision is for Review only, Priority override or Intake / registration events",IF(OR(ISNUMBER(SEARCH(" ",TRIM(O462))),ISNUMBER(SEARCH("/",O462))),"One UC-ID per event row: split this event",IF(AND(E462="Precautionary pause (containment)",ISNUMBER(W462),ISNUMBER(F462),W462&lt;F462),"Follow-up decision due date is before the pause",IF(AND(G462="Resume",IFERROR(LOOKUP(2,1/(($B$3:B461=B462)*($O$3:O461=O462)),$G$3:G461),"")&lt;&gt;"Paused — pending decision"),"Resume is only for the event straight after a Precautionary pause on the same AIR-ID and UC-ID (in an earlier row)",IF(AND(E462="Decision",OR(G462="Progress",G462="Progress with condition",G462="Re-authorise",G462="Resume"),X462&lt;&gt;"Yes"),"Decision-maker has not confirmed the screening was considered (column X)","Check against source")))))))))))))))))))))))))))))</f>
        <v/>
      </c>
      <c r="O462" s="37" t="n"/>
      <c r="P462" s="37" t="n"/>
      <c r="Q462" s="14">
        <f>IF(A462="","",IF(E462&lt;&gt;"Decision","",IF(P462="UC-ID specific",IF(O462="","UC-ID REQUIRED","Check source decision for each UC-ID"),IF(P462="Shared system baseline",IF(O462&lt;&gt;"","REMOVE UC-ID OR CORRECT SCOPE","Baseline only — NOT UC approval"),"Decision scope missing"))))</f>
        <v/>
      </c>
      <c r="R462" s="42" t="n"/>
      <c r="S462" s="38" t="n"/>
      <c r="T462" s="38" t="n"/>
      <c r="U462" s="38" t="n"/>
      <c r="V462" s="38" t="n"/>
      <c r="W462" s="39" t="n"/>
      <c r="X462" s="38" t="n"/>
    </row>
    <row r="463">
      <c r="A463" s="40" t="n"/>
      <c r="B463" s="40" t="n"/>
      <c r="C463" s="40" t="n"/>
      <c r="D463" s="40" t="n"/>
      <c r="E463" s="40" t="n"/>
      <c r="F463" s="41" t="n"/>
      <c r="G463" s="40" t="n"/>
      <c r="H463" s="40" t="n"/>
      <c r="I463" s="40" t="n"/>
      <c r="J463" s="40" t="n"/>
      <c r="K463" s="40" t="n"/>
      <c r="L463" s="40" t="n"/>
      <c r="M463" s="40" t="n"/>
      <c r="N463" s="24">
        <f>IF(COUNTA(A463:M463,O463:P463,R463:X463)=0,"",IF(OR(A463="",B463="",F463=""),"Event ID, AIR-ID or date missing",IF(COUNTIF($A$4:$A$553,A463)&gt;1,"Duplicate Event ID",IF(E463="","Event type missing",IF(OR(NOT(ISNUMBER(F463)),F463&gt;TODAY()),"Date is not a real date or is in the future",IF(AND(C463&lt;&gt;"",COUNTIF('Gate plan'!$A$4:$A$353,C463)=0),"Plan ID not found in Gate plan",IF(AND(C463&lt;&gt;"",COUNTIFS('Gate plan'!$A$4:$A$353,C463,'Gate plan'!$B$4:$B$353,B463)=0),"Plan AIR-ID differs from event",IF(D463="","Gate / forum missing",IF(AND(E463="Precautionary pause (containment)",G463&lt;&gt;"Paused — pending decision"),"Precautionary pause: Outcome must be Paused, pending decision",IF(AND(E463="Precautionary pause (containment)",V463=""),"Precautionary pause: AIG-OPS-03 incident ref missing",IF(AND(E463="Precautionary pause (containment)",NOT(ISNUMBER(W463))),"Precautionary pause: follow-up decision due date missing",IF(AND(G463="Paused — pending decision",E463&lt;&gt;"Precautionary pause (containment)"),"Paused, pending decision is only for a Precautionary pause event",IF(AND(E463="Decision",OR(G463="",H463="",I463="")),"Outcome / delegation / decision ref missing",IF(AND(E463="Decision",NOT(OR(G463="Progress",G463="Progress with condition",G463="Return for evidence",G463="Pause",G463="Stop",G463="Suspend",G463="Decommission",G463="Re-authorise",G463="Resume"))),"Decision event needs a decision outcome",IF(AND(E463="Priority override",OR(H463="",I463="")),"Decision-maker / AIG-DEC-03 ref missing",IF(AND(E463="Priority override",G463&lt;&gt;"",G463&lt;&gt;"No decision"),"Priority override: Outcome blank or No decision",IF(AND(E463&lt;&gt;"Decision",OR(G463="Progress",G463="Progress with condition",G463="Return for evidence",G463="Pause",G463="Stop",G463="Suspend",G463="Decommission",G463="Re-authorise",G463="Resume")),"Outcome implies decision",IF(OR(ISNUMBER(SEARCH(",",O463)),ISNUMBER(SEARCH(";",O463))),"One UC-ID per event row — split this event",IF(AND(E463="Decision",OR(Q463="UC-ID REQUIRED",Q463="Decision scope missing",Q463="REMOVE UC-ID OR CORRECT SCOPE")),"Decision scope missing",IF(AND(G463="Progress with condition",COUNTIF(Conditions!$B$4:$B$553,A463)=0),"Progress with condition needs at least one Conditions row",IF(AND(C463&lt;&gt;"",COUNTIFS('Gate plan'!$A$4:$A$353,C463,'Gate plan'!$C$4:$C$353,D463)=0),"Plan gate differs from event gate",IF(AND(C463&lt;&gt;"",O463&lt;&gt;"",COUNTIFS('Gate plan'!$A$4:$A$353,C463,'Gate plan'!$K$4:$K$353,"&lt;&gt;")&gt;0,COUNTIFS('Gate plan'!$A$4:$A$353,C463,'Gate plan'!$K$4:$K$353,O463)=0),"Plan UC-ID differs from event UC-ID",IF(AND(E463="Assurance opinion",J463=""),"Assurance opinion ref missing",IF(AND(G463="Opinion only",E463&lt;&gt;"Assurance opinion",E463&lt;&gt;"Review only"),"Opinion only is for Assurance opinion or Review only events",IF(AND(G463="No decision",E463&lt;&gt;"Review only",E463&lt;&gt;"Priority override",E463&lt;&gt;"Intake / registration"),"No decision is for Review only, Priority override or Intake / registration events",IF(OR(ISNUMBER(SEARCH(" ",TRIM(O463))),ISNUMBER(SEARCH("/",O463))),"One UC-ID per event row: split this event",IF(AND(E463="Precautionary pause (containment)",ISNUMBER(W463),ISNUMBER(F463),W463&lt;F463),"Follow-up decision due date is before the pause",IF(AND(G463="Resume",IFERROR(LOOKUP(2,1/(($B$3:B462=B463)*($O$3:O462=O463)),$G$3:G462),"")&lt;&gt;"Paused — pending decision"),"Resume is only for the event straight after a Precautionary pause on the same AIR-ID and UC-ID (in an earlier row)",IF(AND(E463="Decision",OR(G463="Progress",G463="Progress with condition",G463="Re-authorise",G463="Resume"),X463&lt;&gt;"Yes"),"Decision-maker has not confirmed the screening was considered (column X)","Check against source")))))))))))))))))))))))))))))</f>
        <v/>
      </c>
      <c r="O463" s="37" t="n"/>
      <c r="P463" s="37" t="n"/>
      <c r="Q463" s="14">
        <f>IF(A463="","",IF(E463&lt;&gt;"Decision","",IF(P463="UC-ID specific",IF(O463="","UC-ID REQUIRED","Check source decision for each UC-ID"),IF(P463="Shared system baseline",IF(O463&lt;&gt;"","REMOVE UC-ID OR CORRECT SCOPE","Baseline only — NOT UC approval"),"Decision scope missing"))))</f>
        <v/>
      </c>
      <c r="R463" s="43" t="n"/>
      <c r="S463" s="40" t="n"/>
      <c r="T463" s="40" t="n"/>
      <c r="U463" s="40" t="n"/>
      <c r="V463" s="40" t="n"/>
      <c r="W463" s="41" t="n"/>
      <c r="X463" s="38" t="n"/>
    </row>
    <row r="464">
      <c r="A464" s="38" t="n"/>
      <c r="B464" s="38" t="n"/>
      <c r="C464" s="38" t="n"/>
      <c r="D464" s="38" t="n"/>
      <c r="E464" s="38" t="n"/>
      <c r="F464" s="39" t="n"/>
      <c r="G464" s="38" t="n"/>
      <c r="H464" s="38" t="n"/>
      <c r="I464" s="38" t="n"/>
      <c r="J464" s="38" t="n"/>
      <c r="K464" s="38" t="n"/>
      <c r="L464" s="38" t="n"/>
      <c r="M464" s="38" t="n"/>
      <c r="N464" s="22">
        <f>IF(COUNTA(A464:M464,O464:P464,R464:X464)=0,"",IF(OR(A464="",B464="",F464=""),"Event ID, AIR-ID or date missing",IF(COUNTIF($A$4:$A$553,A464)&gt;1,"Duplicate Event ID",IF(E464="","Event type missing",IF(OR(NOT(ISNUMBER(F464)),F464&gt;TODAY()),"Date is not a real date or is in the future",IF(AND(C464&lt;&gt;"",COUNTIF('Gate plan'!$A$4:$A$353,C464)=0),"Plan ID not found in Gate plan",IF(AND(C464&lt;&gt;"",COUNTIFS('Gate plan'!$A$4:$A$353,C464,'Gate plan'!$B$4:$B$353,B464)=0),"Plan AIR-ID differs from event",IF(D464="","Gate / forum missing",IF(AND(E464="Precautionary pause (containment)",G464&lt;&gt;"Paused — pending decision"),"Precautionary pause: Outcome must be Paused, pending decision",IF(AND(E464="Precautionary pause (containment)",V464=""),"Precautionary pause: AIG-OPS-03 incident ref missing",IF(AND(E464="Precautionary pause (containment)",NOT(ISNUMBER(W464))),"Precautionary pause: follow-up decision due date missing",IF(AND(G464="Paused — pending decision",E464&lt;&gt;"Precautionary pause (containment)"),"Paused, pending decision is only for a Precautionary pause event",IF(AND(E464="Decision",OR(G464="",H464="",I464="")),"Outcome / delegation / decision ref missing",IF(AND(E464="Decision",NOT(OR(G464="Progress",G464="Progress with condition",G464="Return for evidence",G464="Pause",G464="Stop",G464="Suspend",G464="Decommission",G464="Re-authorise",G464="Resume"))),"Decision event needs a decision outcome",IF(AND(E464="Priority override",OR(H464="",I464="")),"Decision-maker / AIG-DEC-03 ref missing",IF(AND(E464="Priority override",G464&lt;&gt;"",G464&lt;&gt;"No decision"),"Priority override: Outcome blank or No decision",IF(AND(E464&lt;&gt;"Decision",OR(G464="Progress",G464="Progress with condition",G464="Return for evidence",G464="Pause",G464="Stop",G464="Suspend",G464="Decommission",G464="Re-authorise",G464="Resume")),"Outcome implies decision",IF(OR(ISNUMBER(SEARCH(",",O464)),ISNUMBER(SEARCH(";",O464))),"One UC-ID per event row — split this event",IF(AND(E464="Decision",OR(Q464="UC-ID REQUIRED",Q464="Decision scope missing",Q464="REMOVE UC-ID OR CORRECT SCOPE")),"Decision scope missing",IF(AND(G464="Progress with condition",COUNTIF(Conditions!$B$4:$B$553,A464)=0),"Progress with condition needs at least one Conditions row",IF(AND(C464&lt;&gt;"",COUNTIFS('Gate plan'!$A$4:$A$353,C464,'Gate plan'!$C$4:$C$353,D464)=0),"Plan gate differs from event gate",IF(AND(C464&lt;&gt;"",O464&lt;&gt;"",COUNTIFS('Gate plan'!$A$4:$A$353,C464,'Gate plan'!$K$4:$K$353,"&lt;&gt;")&gt;0,COUNTIFS('Gate plan'!$A$4:$A$353,C464,'Gate plan'!$K$4:$K$353,O464)=0),"Plan UC-ID differs from event UC-ID",IF(AND(E464="Assurance opinion",J464=""),"Assurance opinion ref missing",IF(AND(G464="Opinion only",E464&lt;&gt;"Assurance opinion",E464&lt;&gt;"Review only"),"Opinion only is for Assurance opinion or Review only events",IF(AND(G464="No decision",E464&lt;&gt;"Review only",E464&lt;&gt;"Priority override",E464&lt;&gt;"Intake / registration"),"No decision is for Review only, Priority override or Intake / registration events",IF(OR(ISNUMBER(SEARCH(" ",TRIM(O464))),ISNUMBER(SEARCH("/",O464))),"One UC-ID per event row: split this event",IF(AND(E464="Precautionary pause (containment)",ISNUMBER(W464),ISNUMBER(F464),W464&lt;F464),"Follow-up decision due date is before the pause",IF(AND(G464="Resume",IFERROR(LOOKUP(2,1/(($B$3:B463=B464)*($O$3:O463=O464)),$G$3:G463),"")&lt;&gt;"Paused — pending decision"),"Resume is only for the event straight after a Precautionary pause on the same AIR-ID and UC-ID (in an earlier row)",IF(AND(E464="Decision",OR(G464="Progress",G464="Progress with condition",G464="Re-authorise",G464="Resume"),X464&lt;&gt;"Yes"),"Decision-maker has not confirmed the screening was considered (column X)","Check against source")))))))))))))))))))))))))))))</f>
        <v/>
      </c>
      <c r="O464" s="37" t="n"/>
      <c r="P464" s="37" t="n"/>
      <c r="Q464" s="14">
        <f>IF(A464="","",IF(E464&lt;&gt;"Decision","",IF(P464="UC-ID specific",IF(O464="","UC-ID REQUIRED","Check source decision for each UC-ID"),IF(P464="Shared system baseline",IF(O464&lt;&gt;"","REMOVE UC-ID OR CORRECT SCOPE","Baseline only — NOT UC approval"),"Decision scope missing"))))</f>
        <v/>
      </c>
      <c r="R464" s="42" t="n"/>
      <c r="S464" s="38" t="n"/>
      <c r="T464" s="38" t="n"/>
      <c r="U464" s="38" t="n"/>
      <c r="V464" s="38" t="n"/>
      <c r="W464" s="39" t="n"/>
      <c r="X464" s="38" t="n"/>
    </row>
    <row r="465">
      <c r="A465" s="40" t="n"/>
      <c r="B465" s="40" t="n"/>
      <c r="C465" s="40" t="n"/>
      <c r="D465" s="40" t="n"/>
      <c r="E465" s="40" t="n"/>
      <c r="F465" s="41" t="n"/>
      <c r="G465" s="40" t="n"/>
      <c r="H465" s="40" t="n"/>
      <c r="I465" s="40" t="n"/>
      <c r="J465" s="40" t="n"/>
      <c r="K465" s="40" t="n"/>
      <c r="L465" s="40" t="n"/>
      <c r="M465" s="40" t="n"/>
      <c r="N465" s="24">
        <f>IF(COUNTA(A465:M465,O465:P465,R465:X465)=0,"",IF(OR(A465="",B465="",F465=""),"Event ID, AIR-ID or date missing",IF(COUNTIF($A$4:$A$553,A465)&gt;1,"Duplicate Event ID",IF(E465="","Event type missing",IF(OR(NOT(ISNUMBER(F465)),F465&gt;TODAY()),"Date is not a real date or is in the future",IF(AND(C465&lt;&gt;"",COUNTIF('Gate plan'!$A$4:$A$353,C465)=0),"Plan ID not found in Gate plan",IF(AND(C465&lt;&gt;"",COUNTIFS('Gate plan'!$A$4:$A$353,C465,'Gate plan'!$B$4:$B$353,B465)=0),"Plan AIR-ID differs from event",IF(D465="","Gate / forum missing",IF(AND(E465="Precautionary pause (containment)",G465&lt;&gt;"Paused — pending decision"),"Precautionary pause: Outcome must be Paused, pending decision",IF(AND(E465="Precautionary pause (containment)",V465=""),"Precautionary pause: AIG-OPS-03 incident ref missing",IF(AND(E465="Precautionary pause (containment)",NOT(ISNUMBER(W465))),"Precautionary pause: follow-up decision due date missing",IF(AND(G465="Paused — pending decision",E465&lt;&gt;"Precautionary pause (containment)"),"Paused, pending decision is only for a Precautionary pause event",IF(AND(E465="Decision",OR(G465="",H465="",I465="")),"Outcome / delegation / decision ref missing",IF(AND(E465="Decision",NOT(OR(G465="Progress",G465="Progress with condition",G465="Return for evidence",G465="Pause",G465="Stop",G465="Suspend",G465="Decommission",G465="Re-authorise",G465="Resume"))),"Decision event needs a decision outcome",IF(AND(E465="Priority override",OR(H465="",I465="")),"Decision-maker / AIG-DEC-03 ref missing",IF(AND(E465="Priority override",G465&lt;&gt;"",G465&lt;&gt;"No decision"),"Priority override: Outcome blank or No decision",IF(AND(E465&lt;&gt;"Decision",OR(G465="Progress",G465="Progress with condition",G465="Return for evidence",G465="Pause",G465="Stop",G465="Suspend",G465="Decommission",G465="Re-authorise",G465="Resume")),"Outcome implies decision",IF(OR(ISNUMBER(SEARCH(",",O465)),ISNUMBER(SEARCH(";",O465))),"One UC-ID per event row — split this event",IF(AND(E465="Decision",OR(Q465="UC-ID REQUIRED",Q465="Decision scope missing",Q465="REMOVE UC-ID OR CORRECT SCOPE")),"Decision scope missing",IF(AND(G465="Progress with condition",COUNTIF(Conditions!$B$4:$B$553,A465)=0),"Progress with condition needs at least one Conditions row",IF(AND(C465&lt;&gt;"",COUNTIFS('Gate plan'!$A$4:$A$353,C465,'Gate plan'!$C$4:$C$353,D465)=0),"Plan gate differs from event gate",IF(AND(C465&lt;&gt;"",O465&lt;&gt;"",COUNTIFS('Gate plan'!$A$4:$A$353,C465,'Gate plan'!$K$4:$K$353,"&lt;&gt;")&gt;0,COUNTIFS('Gate plan'!$A$4:$A$353,C465,'Gate plan'!$K$4:$K$353,O465)=0),"Plan UC-ID differs from event UC-ID",IF(AND(E465="Assurance opinion",J465=""),"Assurance opinion ref missing",IF(AND(G465="Opinion only",E465&lt;&gt;"Assurance opinion",E465&lt;&gt;"Review only"),"Opinion only is for Assurance opinion or Review only events",IF(AND(G465="No decision",E465&lt;&gt;"Review only",E465&lt;&gt;"Priority override",E465&lt;&gt;"Intake / registration"),"No decision is for Review only, Priority override or Intake / registration events",IF(OR(ISNUMBER(SEARCH(" ",TRIM(O465))),ISNUMBER(SEARCH("/",O465))),"One UC-ID per event row: split this event",IF(AND(E465="Precautionary pause (containment)",ISNUMBER(W465),ISNUMBER(F465),W465&lt;F465),"Follow-up decision due date is before the pause",IF(AND(G465="Resume",IFERROR(LOOKUP(2,1/(($B$3:B464=B465)*($O$3:O464=O465)),$G$3:G464),"")&lt;&gt;"Paused — pending decision"),"Resume is only for the event straight after a Precautionary pause on the same AIR-ID and UC-ID (in an earlier row)",IF(AND(E465="Decision",OR(G465="Progress",G465="Progress with condition",G465="Re-authorise",G465="Resume"),X465&lt;&gt;"Yes"),"Decision-maker has not confirmed the screening was considered (column X)","Check against source")))))))))))))))))))))))))))))</f>
        <v/>
      </c>
      <c r="O465" s="37" t="n"/>
      <c r="P465" s="37" t="n"/>
      <c r="Q465" s="14">
        <f>IF(A465="","",IF(E465&lt;&gt;"Decision","",IF(P465="UC-ID specific",IF(O465="","UC-ID REQUIRED","Check source decision for each UC-ID"),IF(P465="Shared system baseline",IF(O465&lt;&gt;"","REMOVE UC-ID OR CORRECT SCOPE","Baseline only — NOT UC approval"),"Decision scope missing"))))</f>
        <v/>
      </c>
      <c r="R465" s="43" t="n"/>
      <c r="S465" s="40" t="n"/>
      <c r="T465" s="40" t="n"/>
      <c r="U465" s="40" t="n"/>
      <c r="V465" s="40" t="n"/>
      <c r="W465" s="41" t="n"/>
      <c r="X465" s="38" t="n"/>
    </row>
    <row r="466">
      <c r="A466" s="38" t="n"/>
      <c r="B466" s="38" t="n"/>
      <c r="C466" s="38" t="n"/>
      <c r="D466" s="38" t="n"/>
      <c r="E466" s="38" t="n"/>
      <c r="F466" s="39" t="n"/>
      <c r="G466" s="38" t="n"/>
      <c r="H466" s="38" t="n"/>
      <c r="I466" s="38" t="n"/>
      <c r="J466" s="38" t="n"/>
      <c r="K466" s="38" t="n"/>
      <c r="L466" s="38" t="n"/>
      <c r="M466" s="38" t="n"/>
      <c r="N466" s="22">
        <f>IF(COUNTA(A466:M466,O466:P466,R466:X466)=0,"",IF(OR(A466="",B466="",F466=""),"Event ID, AIR-ID or date missing",IF(COUNTIF($A$4:$A$553,A466)&gt;1,"Duplicate Event ID",IF(E466="","Event type missing",IF(OR(NOT(ISNUMBER(F466)),F466&gt;TODAY()),"Date is not a real date or is in the future",IF(AND(C466&lt;&gt;"",COUNTIF('Gate plan'!$A$4:$A$353,C466)=0),"Plan ID not found in Gate plan",IF(AND(C466&lt;&gt;"",COUNTIFS('Gate plan'!$A$4:$A$353,C466,'Gate plan'!$B$4:$B$353,B466)=0),"Plan AIR-ID differs from event",IF(D466="","Gate / forum missing",IF(AND(E466="Precautionary pause (containment)",G466&lt;&gt;"Paused — pending decision"),"Precautionary pause: Outcome must be Paused, pending decision",IF(AND(E466="Precautionary pause (containment)",V466=""),"Precautionary pause: AIG-OPS-03 incident ref missing",IF(AND(E466="Precautionary pause (containment)",NOT(ISNUMBER(W466))),"Precautionary pause: follow-up decision due date missing",IF(AND(G466="Paused — pending decision",E466&lt;&gt;"Precautionary pause (containment)"),"Paused, pending decision is only for a Precautionary pause event",IF(AND(E466="Decision",OR(G466="",H466="",I466="")),"Outcome / delegation / decision ref missing",IF(AND(E466="Decision",NOT(OR(G466="Progress",G466="Progress with condition",G466="Return for evidence",G466="Pause",G466="Stop",G466="Suspend",G466="Decommission",G466="Re-authorise",G466="Resume"))),"Decision event needs a decision outcome",IF(AND(E466="Priority override",OR(H466="",I466="")),"Decision-maker / AIG-DEC-03 ref missing",IF(AND(E466="Priority override",G466&lt;&gt;"",G466&lt;&gt;"No decision"),"Priority override: Outcome blank or No decision",IF(AND(E466&lt;&gt;"Decision",OR(G466="Progress",G466="Progress with condition",G466="Return for evidence",G466="Pause",G466="Stop",G466="Suspend",G466="Decommission",G466="Re-authorise",G466="Resume")),"Outcome implies decision",IF(OR(ISNUMBER(SEARCH(",",O466)),ISNUMBER(SEARCH(";",O466))),"One UC-ID per event row — split this event",IF(AND(E466="Decision",OR(Q466="UC-ID REQUIRED",Q466="Decision scope missing",Q466="REMOVE UC-ID OR CORRECT SCOPE")),"Decision scope missing",IF(AND(G466="Progress with condition",COUNTIF(Conditions!$B$4:$B$553,A466)=0),"Progress with condition needs at least one Conditions row",IF(AND(C466&lt;&gt;"",COUNTIFS('Gate plan'!$A$4:$A$353,C466,'Gate plan'!$C$4:$C$353,D466)=0),"Plan gate differs from event gate",IF(AND(C466&lt;&gt;"",O466&lt;&gt;"",COUNTIFS('Gate plan'!$A$4:$A$353,C466,'Gate plan'!$K$4:$K$353,"&lt;&gt;")&gt;0,COUNTIFS('Gate plan'!$A$4:$A$353,C466,'Gate plan'!$K$4:$K$353,O466)=0),"Plan UC-ID differs from event UC-ID",IF(AND(E466="Assurance opinion",J466=""),"Assurance opinion ref missing",IF(AND(G466="Opinion only",E466&lt;&gt;"Assurance opinion",E466&lt;&gt;"Review only"),"Opinion only is for Assurance opinion or Review only events",IF(AND(G466="No decision",E466&lt;&gt;"Review only",E466&lt;&gt;"Priority override",E466&lt;&gt;"Intake / registration"),"No decision is for Review only, Priority override or Intake / registration events",IF(OR(ISNUMBER(SEARCH(" ",TRIM(O466))),ISNUMBER(SEARCH("/",O466))),"One UC-ID per event row: split this event",IF(AND(E466="Precautionary pause (containment)",ISNUMBER(W466),ISNUMBER(F466),W466&lt;F466),"Follow-up decision due date is before the pause",IF(AND(G466="Resume",IFERROR(LOOKUP(2,1/(($B$3:B465=B466)*($O$3:O465=O466)),$G$3:G465),"")&lt;&gt;"Paused — pending decision"),"Resume is only for the event straight after a Precautionary pause on the same AIR-ID and UC-ID (in an earlier row)",IF(AND(E466="Decision",OR(G466="Progress",G466="Progress with condition",G466="Re-authorise",G466="Resume"),X466&lt;&gt;"Yes"),"Decision-maker has not confirmed the screening was considered (column X)","Check against source")))))))))))))))))))))))))))))</f>
        <v/>
      </c>
      <c r="O466" s="37" t="n"/>
      <c r="P466" s="37" t="n"/>
      <c r="Q466" s="14">
        <f>IF(A466="","",IF(E466&lt;&gt;"Decision","",IF(P466="UC-ID specific",IF(O466="","UC-ID REQUIRED","Check source decision for each UC-ID"),IF(P466="Shared system baseline",IF(O466&lt;&gt;"","REMOVE UC-ID OR CORRECT SCOPE","Baseline only — NOT UC approval"),"Decision scope missing"))))</f>
        <v/>
      </c>
      <c r="R466" s="42" t="n"/>
      <c r="S466" s="38" t="n"/>
      <c r="T466" s="38" t="n"/>
      <c r="U466" s="38" t="n"/>
      <c r="V466" s="38" t="n"/>
      <c r="W466" s="39" t="n"/>
      <c r="X466" s="38" t="n"/>
    </row>
    <row r="467">
      <c r="A467" s="40" t="n"/>
      <c r="B467" s="40" t="n"/>
      <c r="C467" s="40" t="n"/>
      <c r="D467" s="40" t="n"/>
      <c r="E467" s="40" t="n"/>
      <c r="F467" s="41" t="n"/>
      <c r="G467" s="40" t="n"/>
      <c r="H467" s="40" t="n"/>
      <c r="I467" s="40" t="n"/>
      <c r="J467" s="40" t="n"/>
      <c r="K467" s="40" t="n"/>
      <c r="L467" s="40" t="n"/>
      <c r="M467" s="40" t="n"/>
      <c r="N467" s="24">
        <f>IF(COUNTA(A467:M467,O467:P467,R467:X467)=0,"",IF(OR(A467="",B467="",F467=""),"Event ID, AIR-ID or date missing",IF(COUNTIF($A$4:$A$553,A467)&gt;1,"Duplicate Event ID",IF(E467="","Event type missing",IF(OR(NOT(ISNUMBER(F467)),F467&gt;TODAY()),"Date is not a real date or is in the future",IF(AND(C467&lt;&gt;"",COUNTIF('Gate plan'!$A$4:$A$353,C467)=0),"Plan ID not found in Gate plan",IF(AND(C467&lt;&gt;"",COUNTIFS('Gate plan'!$A$4:$A$353,C467,'Gate plan'!$B$4:$B$353,B467)=0),"Plan AIR-ID differs from event",IF(D467="","Gate / forum missing",IF(AND(E467="Precautionary pause (containment)",G467&lt;&gt;"Paused — pending decision"),"Precautionary pause: Outcome must be Paused, pending decision",IF(AND(E467="Precautionary pause (containment)",V467=""),"Precautionary pause: AIG-OPS-03 incident ref missing",IF(AND(E467="Precautionary pause (containment)",NOT(ISNUMBER(W467))),"Precautionary pause: follow-up decision due date missing",IF(AND(G467="Paused — pending decision",E467&lt;&gt;"Precautionary pause (containment)"),"Paused, pending decision is only for a Precautionary pause event",IF(AND(E467="Decision",OR(G467="",H467="",I467="")),"Outcome / delegation / decision ref missing",IF(AND(E467="Decision",NOT(OR(G467="Progress",G467="Progress with condition",G467="Return for evidence",G467="Pause",G467="Stop",G467="Suspend",G467="Decommission",G467="Re-authorise",G467="Resume"))),"Decision event needs a decision outcome",IF(AND(E467="Priority override",OR(H467="",I467="")),"Decision-maker / AIG-DEC-03 ref missing",IF(AND(E467="Priority override",G467&lt;&gt;"",G467&lt;&gt;"No decision"),"Priority override: Outcome blank or No decision",IF(AND(E467&lt;&gt;"Decision",OR(G467="Progress",G467="Progress with condition",G467="Return for evidence",G467="Pause",G467="Stop",G467="Suspend",G467="Decommission",G467="Re-authorise",G467="Resume")),"Outcome implies decision",IF(OR(ISNUMBER(SEARCH(",",O467)),ISNUMBER(SEARCH(";",O467))),"One UC-ID per event row — split this event",IF(AND(E467="Decision",OR(Q467="UC-ID REQUIRED",Q467="Decision scope missing",Q467="REMOVE UC-ID OR CORRECT SCOPE")),"Decision scope missing",IF(AND(G467="Progress with condition",COUNTIF(Conditions!$B$4:$B$553,A467)=0),"Progress with condition needs at least one Conditions row",IF(AND(C467&lt;&gt;"",COUNTIFS('Gate plan'!$A$4:$A$353,C467,'Gate plan'!$C$4:$C$353,D467)=0),"Plan gate differs from event gate",IF(AND(C467&lt;&gt;"",O467&lt;&gt;"",COUNTIFS('Gate plan'!$A$4:$A$353,C467,'Gate plan'!$K$4:$K$353,"&lt;&gt;")&gt;0,COUNTIFS('Gate plan'!$A$4:$A$353,C467,'Gate plan'!$K$4:$K$353,O467)=0),"Plan UC-ID differs from event UC-ID",IF(AND(E467="Assurance opinion",J467=""),"Assurance opinion ref missing",IF(AND(G467="Opinion only",E467&lt;&gt;"Assurance opinion",E467&lt;&gt;"Review only"),"Opinion only is for Assurance opinion or Review only events",IF(AND(G467="No decision",E467&lt;&gt;"Review only",E467&lt;&gt;"Priority override",E467&lt;&gt;"Intake / registration"),"No decision is for Review only, Priority override or Intake / registration events",IF(OR(ISNUMBER(SEARCH(" ",TRIM(O467))),ISNUMBER(SEARCH("/",O467))),"One UC-ID per event row: split this event",IF(AND(E467="Precautionary pause (containment)",ISNUMBER(W467),ISNUMBER(F467),W467&lt;F467),"Follow-up decision due date is before the pause",IF(AND(G467="Resume",IFERROR(LOOKUP(2,1/(($B$3:B466=B467)*($O$3:O466=O467)),$G$3:G466),"")&lt;&gt;"Paused — pending decision"),"Resume is only for the event straight after a Precautionary pause on the same AIR-ID and UC-ID (in an earlier row)",IF(AND(E467="Decision",OR(G467="Progress",G467="Progress with condition",G467="Re-authorise",G467="Resume"),X467&lt;&gt;"Yes"),"Decision-maker has not confirmed the screening was considered (column X)","Check against source")))))))))))))))))))))))))))))</f>
        <v/>
      </c>
      <c r="O467" s="37" t="n"/>
      <c r="P467" s="37" t="n"/>
      <c r="Q467" s="14">
        <f>IF(A467="","",IF(E467&lt;&gt;"Decision","",IF(P467="UC-ID specific",IF(O467="","UC-ID REQUIRED","Check source decision for each UC-ID"),IF(P467="Shared system baseline",IF(O467&lt;&gt;"","REMOVE UC-ID OR CORRECT SCOPE","Baseline only — NOT UC approval"),"Decision scope missing"))))</f>
        <v/>
      </c>
      <c r="R467" s="43" t="n"/>
      <c r="S467" s="40" t="n"/>
      <c r="T467" s="40" t="n"/>
      <c r="U467" s="40" t="n"/>
      <c r="V467" s="40" t="n"/>
      <c r="W467" s="41" t="n"/>
      <c r="X467" s="38" t="n"/>
    </row>
    <row r="468">
      <c r="A468" s="38" t="n"/>
      <c r="B468" s="38" t="n"/>
      <c r="C468" s="38" t="n"/>
      <c r="D468" s="38" t="n"/>
      <c r="E468" s="38" t="n"/>
      <c r="F468" s="39" t="n"/>
      <c r="G468" s="38" t="n"/>
      <c r="H468" s="38" t="n"/>
      <c r="I468" s="38" t="n"/>
      <c r="J468" s="38" t="n"/>
      <c r="K468" s="38" t="n"/>
      <c r="L468" s="38" t="n"/>
      <c r="M468" s="38" t="n"/>
      <c r="N468" s="22">
        <f>IF(COUNTA(A468:M468,O468:P468,R468:X468)=0,"",IF(OR(A468="",B468="",F468=""),"Event ID, AIR-ID or date missing",IF(COUNTIF($A$4:$A$553,A468)&gt;1,"Duplicate Event ID",IF(E468="","Event type missing",IF(OR(NOT(ISNUMBER(F468)),F468&gt;TODAY()),"Date is not a real date or is in the future",IF(AND(C468&lt;&gt;"",COUNTIF('Gate plan'!$A$4:$A$353,C468)=0),"Plan ID not found in Gate plan",IF(AND(C468&lt;&gt;"",COUNTIFS('Gate plan'!$A$4:$A$353,C468,'Gate plan'!$B$4:$B$353,B468)=0),"Plan AIR-ID differs from event",IF(D468="","Gate / forum missing",IF(AND(E468="Precautionary pause (containment)",G468&lt;&gt;"Paused — pending decision"),"Precautionary pause: Outcome must be Paused, pending decision",IF(AND(E468="Precautionary pause (containment)",V468=""),"Precautionary pause: AIG-OPS-03 incident ref missing",IF(AND(E468="Precautionary pause (containment)",NOT(ISNUMBER(W468))),"Precautionary pause: follow-up decision due date missing",IF(AND(G468="Paused — pending decision",E468&lt;&gt;"Precautionary pause (containment)"),"Paused, pending decision is only for a Precautionary pause event",IF(AND(E468="Decision",OR(G468="",H468="",I468="")),"Outcome / delegation / decision ref missing",IF(AND(E468="Decision",NOT(OR(G468="Progress",G468="Progress with condition",G468="Return for evidence",G468="Pause",G468="Stop",G468="Suspend",G468="Decommission",G468="Re-authorise",G468="Resume"))),"Decision event needs a decision outcome",IF(AND(E468="Priority override",OR(H468="",I468="")),"Decision-maker / AIG-DEC-03 ref missing",IF(AND(E468="Priority override",G468&lt;&gt;"",G468&lt;&gt;"No decision"),"Priority override: Outcome blank or No decision",IF(AND(E468&lt;&gt;"Decision",OR(G468="Progress",G468="Progress with condition",G468="Return for evidence",G468="Pause",G468="Stop",G468="Suspend",G468="Decommission",G468="Re-authorise",G468="Resume")),"Outcome implies decision",IF(OR(ISNUMBER(SEARCH(",",O468)),ISNUMBER(SEARCH(";",O468))),"One UC-ID per event row — split this event",IF(AND(E468="Decision",OR(Q468="UC-ID REQUIRED",Q468="Decision scope missing",Q468="REMOVE UC-ID OR CORRECT SCOPE")),"Decision scope missing",IF(AND(G468="Progress with condition",COUNTIF(Conditions!$B$4:$B$553,A468)=0),"Progress with condition needs at least one Conditions row",IF(AND(C468&lt;&gt;"",COUNTIFS('Gate plan'!$A$4:$A$353,C468,'Gate plan'!$C$4:$C$353,D468)=0),"Plan gate differs from event gate",IF(AND(C468&lt;&gt;"",O468&lt;&gt;"",COUNTIFS('Gate plan'!$A$4:$A$353,C468,'Gate plan'!$K$4:$K$353,"&lt;&gt;")&gt;0,COUNTIFS('Gate plan'!$A$4:$A$353,C468,'Gate plan'!$K$4:$K$353,O468)=0),"Plan UC-ID differs from event UC-ID",IF(AND(E468="Assurance opinion",J468=""),"Assurance opinion ref missing",IF(AND(G468="Opinion only",E468&lt;&gt;"Assurance opinion",E468&lt;&gt;"Review only"),"Opinion only is for Assurance opinion or Review only events",IF(AND(G468="No decision",E468&lt;&gt;"Review only",E468&lt;&gt;"Priority override",E468&lt;&gt;"Intake / registration"),"No decision is for Review only, Priority override or Intake / registration events",IF(OR(ISNUMBER(SEARCH(" ",TRIM(O468))),ISNUMBER(SEARCH("/",O468))),"One UC-ID per event row: split this event",IF(AND(E468="Precautionary pause (containment)",ISNUMBER(W468),ISNUMBER(F468),W468&lt;F468),"Follow-up decision due date is before the pause",IF(AND(G468="Resume",IFERROR(LOOKUP(2,1/(($B$3:B467=B468)*($O$3:O467=O468)),$G$3:G467),"")&lt;&gt;"Paused — pending decision"),"Resume is only for the event straight after a Precautionary pause on the same AIR-ID and UC-ID (in an earlier row)",IF(AND(E468="Decision",OR(G468="Progress",G468="Progress with condition",G468="Re-authorise",G468="Resume"),X468&lt;&gt;"Yes"),"Decision-maker has not confirmed the screening was considered (column X)","Check against source")))))))))))))))))))))))))))))</f>
        <v/>
      </c>
      <c r="O468" s="37" t="n"/>
      <c r="P468" s="37" t="n"/>
      <c r="Q468" s="14">
        <f>IF(A468="","",IF(E468&lt;&gt;"Decision","",IF(P468="UC-ID specific",IF(O468="","UC-ID REQUIRED","Check source decision for each UC-ID"),IF(P468="Shared system baseline",IF(O468&lt;&gt;"","REMOVE UC-ID OR CORRECT SCOPE","Baseline only — NOT UC approval"),"Decision scope missing"))))</f>
        <v/>
      </c>
      <c r="R468" s="42" t="n"/>
      <c r="S468" s="38" t="n"/>
      <c r="T468" s="38" t="n"/>
      <c r="U468" s="38" t="n"/>
      <c r="V468" s="38" t="n"/>
      <c r="W468" s="39" t="n"/>
      <c r="X468" s="38" t="n"/>
    </row>
    <row r="469">
      <c r="A469" s="40" t="n"/>
      <c r="B469" s="40" t="n"/>
      <c r="C469" s="40" t="n"/>
      <c r="D469" s="40" t="n"/>
      <c r="E469" s="40" t="n"/>
      <c r="F469" s="41" t="n"/>
      <c r="G469" s="40" t="n"/>
      <c r="H469" s="40" t="n"/>
      <c r="I469" s="40" t="n"/>
      <c r="J469" s="40" t="n"/>
      <c r="K469" s="40" t="n"/>
      <c r="L469" s="40" t="n"/>
      <c r="M469" s="40" t="n"/>
      <c r="N469" s="24">
        <f>IF(COUNTA(A469:M469,O469:P469,R469:X469)=0,"",IF(OR(A469="",B469="",F469=""),"Event ID, AIR-ID or date missing",IF(COUNTIF($A$4:$A$553,A469)&gt;1,"Duplicate Event ID",IF(E469="","Event type missing",IF(OR(NOT(ISNUMBER(F469)),F469&gt;TODAY()),"Date is not a real date or is in the future",IF(AND(C469&lt;&gt;"",COUNTIF('Gate plan'!$A$4:$A$353,C469)=0),"Plan ID not found in Gate plan",IF(AND(C469&lt;&gt;"",COUNTIFS('Gate plan'!$A$4:$A$353,C469,'Gate plan'!$B$4:$B$353,B469)=0),"Plan AIR-ID differs from event",IF(D469="","Gate / forum missing",IF(AND(E469="Precautionary pause (containment)",G469&lt;&gt;"Paused — pending decision"),"Precautionary pause: Outcome must be Paused, pending decision",IF(AND(E469="Precautionary pause (containment)",V469=""),"Precautionary pause: AIG-OPS-03 incident ref missing",IF(AND(E469="Precautionary pause (containment)",NOT(ISNUMBER(W469))),"Precautionary pause: follow-up decision due date missing",IF(AND(G469="Paused — pending decision",E469&lt;&gt;"Precautionary pause (containment)"),"Paused, pending decision is only for a Precautionary pause event",IF(AND(E469="Decision",OR(G469="",H469="",I469="")),"Outcome / delegation / decision ref missing",IF(AND(E469="Decision",NOT(OR(G469="Progress",G469="Progress with condition",G469="Return for evidence",G469="Pause",G469="Stop",G469="Suspend",G469="Decommission",G469="Re-authorise",G469="Resume"))),"Decision event needs a decision outcome",IF(AND(E469="Priority override",OR(H469="",I469="")),"Decision-maker / AIG-DEC-03 ref missing",IF(AND(E469="Priority override",G469&lt;&gt;"",G469&lt;&gt;"No decision"),"Priority override: Outcome blank or No decision",IF(AND(E469&lt;&gt;"Decision",OR(G469="Progress",G469="Progress with condition",G469="Return for evidence",G469="Pause",G469="Stop",G469="Suspend",G469="Decommission",G469="Re-authorise",G469="Resume")),"Outcome implies decision",IF(OR(ISNUMBER(SEARCH(",",O469)),ISNUMBER(SEARCH(";",O469))),"One UC-ID per event row — split this event",IF(AND(E469="Decision",OR(Q469="UC-ID REQUIRED",Q469="Decision scope missing",Q469="REMOVE UC-ID OR CORRECT SCOPE")),"Decision scope missing",IF(AND(G469="Progress with condition",COUNTIF(Conditions!$B$4:$B$553,A469)=0),"Progress with condition needs at least one Conditions row",IF(AND(C469&lt;&gt;"",COUNTIFS('Gate plan'!$A$4:$A$353,C469,'Gate plan'!$C$4:$C$353,D469)=0),"Plan gate differs from event gate",IF(AND(C469&lt;&gt;"",O469&lt;&gt;"",COUNTIFS('Gate plan'!$A$4:$A$353,C469,'Gate plan'!$K$4:$K$353,"&lt;&gt;")&gt;0,COUNTIFS('Gate plan'!$A$4:$A$353,C469,'Gate plan'!$K$4:$K$353,O469)=0),"Plan UC-ID differs from event UC-ID",IF(AND(E469="Assurance opinion",J469=""),"Assurance opinion ref missing",IF(AND(G469="Opinion only",E469&lt;&gt;"Assurance opinion",E469&lt;&gt;"Review only"),"Opinion only is for Assurance opinion or Review only events",IF(AND(G469="No decision",E469&lt;&gt;"Review only",E469&lt;&gt;"Priority override",E469&lt;&gt;"Intake / registration"),"No decision is for Review only, Priority override or Intake / registration events",IF(OR(ISNUMBER(SEARCH(" ",TRIM(O469))),ISNUMBER(SEARCH("/",O469))),"One UC-ID per event row: split this event",IF(AND(E469="Precautionary pause (containment)",ISNUMBER(W469),ISNUMBER(F469),W469&lt;F469),"Follow-up decision due date is before the pause",IF(AND(G469="Resume",IFERROR(LOOKUP(2,1/(($B$3:B468=B469)*($O$3:O468=O469)),$G$3:G468),"")&lt;&gt;"Paused — pending decision"),"Resume is only for the event straight after a Precautionary pause on the same AIR-ID and UC-ID (in an earlier row)",IF(AND(E469="Decision",OR(G469="Progress",G469="Progress with condition",G469="Re-authorise",G469="Resume"),X469&lt;&gt;"Yes"),"Decision-maker has not confirmed the screening was considered (column X)","Check against source")))))))))))))))))))))))))))))</f>
        <v/>
      </c>
      <c r="O469" s="37" t="n"/>
      <c r="P469" s="37" t="n"/>
      <c r="Q469" s="14">
        <f>IF(A469="","",IF(E469&lt;&gt;"Decision","",IF(P469="UC-ID specific",IF(O469="","UC-ID REQUIRED","Check source decision for each UC-ID"),IF(P469="Shared system baseline",IF(O469&lt;&gt;"","REMOVE UC-ID OR CORRECT SCOPE","Baseline only — NOT UC approval"),"Decision scope missing"))))</f>
        <v/>
      </c>
      <c r="R469" s="43" t="n"/>
      <c r="S469" s="40" t="n"/>
      <c r="T469" s="40" t="n"/>
      <c r="U469" s="40" t="n"/>
      <c r="V469" s="40" t="n"/>
      <c r="W469" s="41" t="n"/>
      <c r="X469" s="38" t="n"/>
    </row>
    <row r="470">
      <c r="A470" s="38" t="n"/>
      <c r="B470" s="38" t="n"/>
      <c r="C470" s="38" t="n"/>
      <c r="D470" s="38" t="n"/>
      <c r="E470" s="38" t="n"/>
      <c r="F470" s="39" t="n"/>
      <c r="G470" s="38" t="n"/>
      <c r="H470" s="38" t="n"/>
      <c r="I470" s="38" t="n"/>
      <c r="J470" s="38" t="n"/>
      <c r="K470" s="38" t="n"/>
      <c r="L470" s="38" t="n"/>
      <c r="M470" s="38" t="n"/>
      <c r="N470" s="22">
        <f>IF(COUNTA(A470:M470,O470:P470,R470:X470)=0,"",IF(OR(A470="",B470="",F470=""),"Event ID, AIR-ID or date missing",IF(COUNTIF($A$4:$A$553,A470)&gt;1,"Duplicate Event ID",IF(E470="","Event type missing",IF(OR(NOT(ISNUMBER(F470)),F470&gt;TODAY()),"Date is not a real date or is in the future",IF(AND(C470&lt;&gt;"",COUNTIF('Gate plan'!$A$4:$A$353,C470)=0),"Plan ID not found in Gate plan",IF(AND(C470&lt;&gt;"",COUNTIFS('Gate plan'!$A$4:$A$353,C470,'Gate plan'!$B$4:$B$353,B470)=0),"Plan AIR-ID differs from event",IF(D470="","Gate / forum missing",IF(AND(E470="Precautionary pause (containment)",G470&lt;&gt;"Paused — pending decision"),"Precautionary pause: Outcome must be Paused, pending decision",IF(AND(E470="Precautionary pause (containment)",V470=""),"Precautionary pause: AIG-OPS-03 incident ref missing",IF(AND(E470="Precautionary pause (containment)",NOT(ISNUMBER(W470))),"Precautionary pause: follow-up decision due date missing",IF(AND(G470="Paused — pending decision",E470&lt;&gt;"Precautionary pause (containment)"),"Paused, pending decision is only for a Precautionary pause event",IF(AND(E470="Decision",OR(G470="",H470="",I470="")),"Outcome / delegation / decision ref missing",IF(AND(E470="Decision",NOT(OR(G470="Progress",G470="Progress with condition",G470="Return for evidence",G470="Pause",G470="Stop",G470="Suspend",G470="Decommission",G470="Re-authorise",G470="Resume"))),"Decision event needs a decision outcome",IF(AND(E470="Priority override",OR(H470="",I470="")),"Decision-maker / AIG-DEC-03 ref missing",IF(AND(E470="Priority override",G470&lt;&gt;"",G470&lt;&gt;"No decision"),"Priority override: Outcome blank or No decision",IF(AND(E470&lt;&gt;"Decision",OR(G470="Progress",G470="Progress with condition",G470="Return for evidence",G470="Pause",G470="Stop",G470="Suspend",G470="Decommission",G470="Re-authorise",G470="Resume")),"Outcome implies decision",IF(OR(ISNUMBER(SEARCH(",",O470)),ISNUMBER(SEARCH(";",O470))),"One UC-ID per event row — split this event",IF(AND(E470="Decision",OR(Q470="UC-ID REQUIRED",Q470="Decision scope missing",Q470="REMOVE UC-ID OR CORRECT SCOPE")),"Decision scope missing",IF(AND(G470="Progress with condition",COUNTIF(Conditions!$B$4:$B$553,A470)=0),"Progress with condition needs at least one Conditions row",IF(AND(C470&lt;&gt;"",COUNTIFS('Gate plan'!$A$4:$A$353,C470,'Gate plan'!$C$4:$C$353,D470)=0),"Plan gate differs from event gate",IF(AND(C470&lt;&gt;"",O470&lt;&gt;"",COUNTIFS('Gate plan'!$A$4:$A$353,C470,'Gate plan'!$K$4:$K$353,"&lt;&gt;")&gt;0,COUNTIFS('Gate plan'!$A$4:$A$353,C470,'Gate plan'!$K$4:$K$353,O470)=0),"Plan UC-ID differs from event UC-ID",IF(AND(E470="Assurance opinion",J470=""),"Assurance opinion ref missing",IF(AND(G470="Opinion only",E470&lt;&gt;"Assurance opinion",E470&lt;&gt;"Review only"),"Opinion only is for Assurance opinion or Review only events",IF(AND(G470="No decision",E470&lt;&gt;"Review only",E470&lt;&gt;"Priority override",E470&lt;&gt;"Intake / registration"),"No decision is for Review only, Priority override or Intake / registration events",IF(OR(ISNUMBER(SEARCH(" ",TRIM(O470))),ISNUMBER(SEARCH("/",O470))),"One UC-ID per event row: split this event",IF(AND(E470="Precautionary pause (containment)",ISNUMBER(W470),ISNUMBER(F470),W470&lt;F470),"Follow-up decision due date is before the pause",IF(AND(G470="Resume",IFERROR(LOOKUP(2,1/(($B$3:B469=B470)*($O$3:O469=O470)),$G$3:G469),"")&lt;&gt;"Paused — pending decision"),"Resume is only for the event straight after a Precautionary pause on the same AIR-ID and UC-ID (in an earlier row)",IF(AND(E470="Decision",OR(G470="Progress",G470="Progress with condition",G470="Re-authorise",G470="Resume"),X470&lt;&gt;"Yes"),"Decision-maker has not confirmed the screening was considered (column X)","Check against source")))))))))))))))))))))))))))))</f>
        <v/>
      </c>
      <c r="O470" s="37" t="n"/>
      <c r="P470" s="37" t="n"/>
      <c r="Q470" s="14">
        <f>IF(A470="","",IF(E470&lt;&gt;"Decision","",IF(P470="UC-ID specific",IF(O470="","UC-ID REQUIRED","Check source decision for each UC-ID"),IF(P470="Shared system baseline",IF(O470&lt;&gt;"","REMOVE UC-ID OR CORRECT SCOPE","Baseline only — NOT UC approval"),"Decision scope missing"))))</f>
        <v/>
      </c>
      <c r="R470" s="42" t="n"/>
      <c r="S470" s="38" t="n"/>
      <c r="T470" s="38" t="n"/>
      <c r="U470" s="38" t="n"/>
      <c r="V470" s="38" t="n"/>
      <c r="W470" s="39" t="n"/>
      <c r="X470" s="38" t="n"/>
    </row>
    <row r="471">
      <c r="A471" s="40" t="n"/>
      <c r="B471" s="40" t="n"/>
      <c r="C471" s="40" t="n"/>
      <c r="D471" s="40" t="n"/>
      <c r="E471" s="40" t="n"/>
      <c r="F471" s="41" t="n"/>
      <c r="G471" s="40" t="n"/>
      <c r="H471" s="40" t="n"/>
      <c r="I471" s="40" t="n"/>
      <c r="J471" s="40" t="n"/>
      <c r="K471" s="40" t="n"/>
      <c r="L471" s="40" t="n"/>
      <c r="M471" s="40" t="n"/>
      <c r="N471" s="24">
        <f>IF(COUNTA(A471:M471,O471:P471,R471:X471)=0,"",IF(OR(A471="",B471="",F471=""),"Event ID, AIR-ID or date missing",IF(COUNTIF($A$4:$A$553,A471)&gt;1,"Duplicate Event ID",IF(E471="","Event type missing",IF(OR(NOT(ISNUMBER(F471)),F471&gt;TODAY()),"Date is not a real date or is in the future",IF(AND(C471&lt;&gt;"",COUNTIF('Gate plan'!$A$4:$A$353,C471)=0),"Plan ID not found in Gate plan",IF(AND(C471&lt;&gt;"",COUNTIFS('Gate plan'!$A$4:$A$353,C471,'Gate plan'!$B$4:$B$353,B471)=0),"Plan AIR-ID differs from event",IF(D471="","Gate / forum missing",IF(AND(E471="Precautionary pause (containment)",G471&lt;&gt;"Paused — pending decision"),"Precautionary pause: Outcome must be Paused, pending decision",IF(AND(E471="Precautionary pause (containment)",V471=""),"Precautionary pause: AIG-OPS-03 incident ref missing",IF(AND(E471="Precautionary pause (containment)",NOT(ISNUMBER(W471))),"Precautionary pause: follow-up decision due date missing",IF(AND(G471="Paused — pending decision",E471&lt;&gt;"Precautionary pause (containment)"),"Paused, pending decision is only for a Precautionary pause event",IF(AND(E471="Decision",OR(G471="",H471="",I471="")),"Outcome / delegation / decision ref missing",IF(AND(E471="Decision",NOT(OR(G471="Progress",G471="Progress with condition",G471="Return for evidence",G471="Pause",G471="Stop",G471="Suspend",G471="Decommission",G471="Re-authorise",G471="Resume"))),"Decision event needs a decision outcome",IF(AND(E471="Priority override",OR(H471="",I471="")),"Decision-maker / AIG-DEC-03 ref missing",IF(AND(E471="Priority override",G471&lt;&gt;"",G471&lt;&gt;"No decision"),"Priority override: Outcome blank or No decision",IF(AND(E471&lt;&gt;"Decision",OR(G471="Progress",G471="Progress with condition",G471="Return for evidence",G471="Pause",G471="Stop",G471="Suspend",G471="Decommission",G471="Re-authorise",G471="Resume")),"Outcome implies decision",IF(OR(ISNUMBER(SEARCH(",",O471)),ISNUMBER(SEARCH(";",O471))),"One UC-ID per event row — split this event",IF(AND(E471="Decision",OR(Q471="UC-ID REQUIRED",Q471="Decision scope missing",Q471="REMOVE UC-ID OR CORRECT SCOPE")),"Decision scope missing",IF(AND(G471="Progress with condition",COUNTIF(Conditions!$B$4:$B$553,A471)=0),"Progress with condition needs at least one Conditions row",IF(AND(C471&lt;&gt;"",COUNTIFS('Gate plan'!$A$4:$A$353,C471,'Gate plan'!$C$4:$C$353,D471)=0),"Plan gate differs from event gate",IF(AND(C471&lt;&gt;"",O471&lt;&gt;"",COUNTIFS('Gate plan'!$A$4:$A$353,C471,'Gate plan'!$K$4:$K$353,"&lt;&gt;")&gt;0,COUNTIFS('Gate plan'!$A$4:$A$353,C471,'Gate plan'!$K$4:$K$353,O471)=0),"Plan UC-ID differs from event UC-ID",IF(AND(E471="Assurance opinion",J471=""),"Assurance opinion ref missing",IF(AND(G471="Opinion only",E471&lt;&gt;"Assurance opinion",E471&lt;&gt;"Review only"),"Opinion only is for Assurance opinion or Review only events",IF(AND(G471="No decision",E471&lt;&gt;"Review only",E471&lt;&gt;"Priority override",E471&lt;&gt;"Intake / registration"),"No decision is for Review only, Priority override or Intake / registration events",IF(OR(ISNUMBER(SEARCH(" ",TRIM(O471))),ISNUMBER(SEARCH("/",O471))),"One UC-ID per event row: split this event",IF(AND(E471="Precautionary pause (containment)",ISNUMBER(W471),ISNUMBER(F471),W471&lt;F471),"Follow-up decision due date is before the pause",IF(AND(G471="Resume",IFERROR(LOOKUP(2,1/(($B$3:B470=B471)*($O$3:O470=O471)),$G$3:G470),"")&lt;&gt;"Paused — pending decision"),"Resume is only for the event straight after a Precautionary pause on the same AIR-ID and UC-ID (in an earlier row)",IF(AND(E471="Decision",OR(G471="Progress",G471="Progress with condition",G471="Re-authorise",G471="Resume"),X471&lt;&gt;"Yes"),"Decision-maker has not confirmed the screening was considered (column X)","Check against source")))))))))))))))))))))))))))))</f>
        <v/>
      </c>
      <c r="O471" s="37" t="n"/>
      <c r="P471" s="37" t="n"/>
      <c r="Q471" s="14">
        <f>IF(A471="","",IF(E471&lt;&gt;"Decision","",IF(P471="UC-ID specific",IF(O471="","UC-ID REQUIRED","Check source decision for each UC-ID"),IF(P471="Shared system baseline",IF(O471&lt;&gt;"","REMOVE UC-ID OR CORRECT SCOPE","Baseline only — NOT UC approval"),"Decision scope missing"))))</f>
        <v/>
      </c>
      <c r="R471" s="43" t="n"/>
      <c r="S471" s="40" t="n"/>
      <c r="T471" s="40" t="n"/>
      <c r="U471" s="40" t="n"/>
      <c r="V471" s="40" t="n"/>
      <c r="W471" s="41" t="n"/>
      <c r="X471" s="38" t="n"/>
    </row>
    <row r="472">
      <c r="A472" s="38" t="n"/>
      <c r="B472" s="38" t="n"/>
      <c r="C472" s="38" t="n"/>
      <c r="D472" s="38" t="n"/>
      <c r="E472" s="38" t="n"/>
      <c r="F472" s="39" t="n"/>
      <c r="G472" s="38" t="n"/>
      <c r="H472" s="38" t="n"/>
      <c r="I472" s="38" t="n"/>
      <c r="J472" s="38" t="n"/>
      <c r="K472" s="38" t="n"/>
      <c r="L472" s="38" t="n"/>
      <c r="M472" s="38" t="n"/>
      <c r="N472" s="22">
        <f>IF(COUNTA(A472:M472,O472:P472,R472:X472)=0,"",IF(OR(A472="",B472="",F472=""),"Event ID, AIR-ID or date missing",IF(COUNTIF($A$4:$A$553,A472)&gt;1,"Duplicate Event ID",IF(E472="","Event type missing",IF(OR(NOT(ISNUMBER(F472)),F472&gt;TODAY()),"Date is not a real date or is in the future",IF(AND(C472&lt;&gt;"",COUNTIF('Gate plan'!$A$4:$A$353,C472)=0),"Plan ID not found in Gate plan",IF(AND(C472&lt;&gt;"",COUNTIFS('Gate plan'!$A$4:$A$353,C472,'Gate plan'!$B$4:$B$353,B472)=0),"Plan AIR-ID differs from event",IF(D472="","Gate / forum missing",IF(AND(E472="Precautionary pause (containment)",G472&lt;&gt;"Paused — pending decision"),"Precautionary pause: Outcome must be Paused, pending decision",IF(AND(E472="Precautionary pause (containment)",V472=""),"Precautionary pause: AIG-OPS-03 incident ref missing",IF(AND(E472="Precautionary pause (containment)",NOT(ISNUMBER(W472))),"Precautionary pause: follow-up decision due date missing",IF(AND(G472="Paused — pending decision",E472&lt;&gt;"Precautionary pause (containment)"),"Paused, pending decision is only for a Precautionary pause event",IF(AND(E472="Decision",OR(G472="",H472="",I472="")),"Outcome / delegation / decision ref missing",IF(AND(E472="Decision",NOT(OR(G472="Progress",G472="Progress with condition",G472="Return for evidence",G472="Pause",G472="Stop",G472="Suspend",G472="Decommission",G472="Re-authorise",G472="Resume"))),"Decision event needs a decision outcome",IF(AND(E472="Priority override",OR(H472="",I472="")),"Decision-maker / AIG-DEC-03 ref missing",IF(AND(E472="Priority override",G472&lt;&gt;"",G472&lt;&gt;"No decision"),"Priority override: Outcome blank or No decision",IF(AND(E472&lt;&gt;"Decision",OR(G472="Progress",G472="Progress with condition",G472="Return for evidence",G472="Pause",G472="Stop",G472="Suspend",G472="Decommission",G472="Re-authorise",G472="Resume")),"Outcome implies decision",IF(OR(ISNUMBER(SEARCH(",",O472)),ISNUMBER(SEARCH(";",O472))),"One UC-ID per event row — split this event",IF(AND(E472="Decision",OR(Q472="UC-ID REQUIRED",Q472="Decision scope missing",Q472="REMOVE UC-ID OR CORRECT SCOPE")),"Decision scope missing",IF(AND(G472="Progress with condition",COUNTIF(Conditions!$B$4:$B$553,A472)=0),"Progress with condition needs at least one Conditions row",IF(AND(C472&lt;&gt;"",COUNTIFS('Gate plan'!$A$4:$A$353,C472,'Gate plan'!$C$4:$C$353,D472)=0),"Plan gate differs from event gate",IF(AND(C472&lt;&gt;"",O472&lt;&gt;"",COUNTIFS('Gate plan'!$A$4:$A$353,C472,'Gate plan'!$K$4:$K$353,"&lt;&gt;")&gt;0,COUNTIFS('Gate plan'!$A$4:$A$353,C472,'Gate plan'!$K$4:$K$353,O472)=0),"Plan UC-ID differs from event UC-ID",IF(AND(E472="Assurance opinion",J472=""),"Assurance opinion ref missing",IF(AND(G472="Opinion only",E472&lt;&gt;"Assurance opinion",E472&lt;&gt;"Review only"),"Opinion only is for Assurance opinion or Review only events",IF(AND(G472="No decision",E472&lt;&gt;"Review only",E472&lt;&gt;"Priority override",E472&lt;&gt;"Intake / registration"),"No decision is for Review only, Priority override or Intake / registration events",IF(OR(ISNUMBER(SEARCH(" ",TRIM(O472))),ISNUMBER(SEARCH("/",O472))),"One UC-ID per event row: split this event",IF(AND(E472="Precautionary pause (containment)",ISNUMBER(W472),ISNUMBER(F472),W472&lt;F472),"Follow-up decision due date is before the pause",IF(AND(G472="Resume",IFERROR(LOOKUP(2,1/(($B$3:B471=B472)*($O$3:O471=O472)),$G$3:G471),"")&lt;&gt;"Paused — pending decision"),"Resume is only for the event straight after a Precautionary pause on the same AIR-ID and UC-ID (in an earlier row)",IF(AND(E472="Decision",OR(G472="Progress",G472="Progress with condition",G472="Re-authorise",G472="Resume"),X472&lt;&gt;"Yes"),"Decision-maker has not confirmed the screening was considered (column X)","Check against source")))))))))))))))))))))))))))))</f>
        <v/>
      </c>
      <c r="O472" s="37" t="n"/>
      <c r="P472" s="37" t="n"/>
      <c r="Q472" s="14">
        <f>IF(A472="","",IF(E472&lt;&gt;"Decision","",IF(P472="UC-ID specific",IF(O472="","UC-ID REQUIRED","Check source decision for each UC-ID"),IF(P472="Shared system baseline",IF(O472&lt;&gt;"","REMOVE UC-ID OR CORRECT SCOPE","Baseline only — NOT UC approval"),"Decision scope missing"))))</f>
        <v/>
      </c>
      <c r="R472" s="42" t="n"/>
      <c r="S472" s="38" t="n"/>
      <c r="T472" s="38" t="n"/>
      <c r="U472" s="38" t="n"/>
      <c r="V472" s="38" t="n"/>
      <c r="W472" s="39" t="n"/>
      <c r="X472" s="38" t="n"/>
    </row>
    <row r="473">
      <c r="A473" s="40" t="n"/>
      <c r="B473" s="40" t="n"/>
      <c r="C473" s="40" t="n"/>
      <c r="D473" s="40" t="n"/>
      <c r="E473" s="40" t="n"/>
      <c r="F473" s="41" t="n"/>
      <c r="G473" s="40" t="n"/>
      <c r="H473" s="40" t="n"/>
      <c r="I473" s="40" t="n"/>
      <c r="J473" s="40" t="n"/>
      <c r="K473" s="40" t="n"/>
      <c r="L473" s="40" t="n"/>
      <c r="M473" s="40" t="n"/>
      <c r="N473" s="24">
        <f>IF(COUNTA(A473:M473,O473:P473,R473:X473)=0,"",IF(OR(A473="",B473="",F473=""),"Event ID, AIR-ID or date missing",IF(COUNTIF($A$4:$A$553,A473)&gt;1,"Duplicate Event ID",IF(E473="","Event type missing",IF(OR(NOT(ISNUMBER(F473)),F473&gt;TODAY()),"Date is not a real date or is in the future",IF(AND(C473&lt;&gt;"",COUNTIF('Gate plan'!$A$4:$A$353,C473)=0),"Plan ID not found in Gate plan",IF(AND(C473&lt;&gt;"",COUNTIFS('Gate plan'!$A$4:$A$353,C473,'Gate plan'!$B$4:$B$353,B473)=0),"Plan AIR-ID differs from event",IF(D473="","Gate / forum missing",IF(AND(E473="Precautionary pause (containment)",G473&lt;&gt;"Paused — pending decision"),"Precautionary pause: Outcome must be Paused, pending decision",IF(AND(E473="Precautionary pause (containment)",V473=""),"Precautionary pause: AIG-OPS-03 incident ref missing",IF(AND(E473="Precautionary pause (containment)",NOT(ISNUMBER(W473))),"Precautionary pause: follow-up decision due date missing",IF(AND(G473="Paused — pending decision",E473&lt;&gt;"Precautionary pause (containment)"),"Paused, pending decision is only for a Precautionary pause event",IF(AND(E473="Decision",OR(G473="",H473="",I473="")),"Outcome / delegation / decision ref missing",IF(AND(E473="Decision",NOT(OR(G473="Progress",G473="Progress with condition",G473="Return for evidence",G473="Pause",G473="Stop",G473="Suspend",G473="Decommission",G473="Re-authorise",G473="Resume"))),"Decision event needs a decision outcome",IF(AND(E473="Priority override",OR(H473="",I473="")),"Decision-maker / AIG-DEC-03 ref missing",IF(AND(E473="Priority override",G473&lt;&gt;"",G473&lt;&gt;"No decision"),"Priority override: Outcome blank or No decision",IF(AND(E473&lt;&gt;"Decision",OR(G473="Progress",G473="Progress with condition",G473="Return for evidence",G473="Pause",G473="Stop",G473="Suspend",G473="Decommission",G473="Re-authorise",G473="Resume")),"Outcome implies decision",IF(OR(ISNUMBER(SEARCH(",",O473)),ISNUMBER(SEARCH(";",O473))),"One UC-ID per event row — split this event",IF(AND(E473="Decision",OR(Q473="UC-ID REQUIRED",Q473="Decision scope missing",Q473="REMOVE UC-ID OR CORRECT SCOPE")),"Decision scope missing",IF(AND(G473="Progress with condition",COUNTIF(Conditions!$B$4:$B$553,A473)=0),"Progress with condition needs at least one Conditions row",IF(AND(C473&lt;&gt;"",COUNTIFS('Gate plan'!$A$4:$A$353,C473,'Gate plan'!$C$4:$C$353,D473)=0),"Plan gate differs from event gate",IF(AND(C473&lt;&gt;"",O473&lt;&gt;"",COUNTIFS('Gate plan'!$A$4:$A$353,C473,'Gate plan'!$K$4:$K$353,"&lt;&gt;")&gt;0,COUNTIFS('Gate plan'!$A$4:$A$353,C473,'Gate plan'!$K$4:$K$353,O473)=0),"Plan UC-ID differs from event UC-ID",IF(AND(E473="Assurance opinion",J473=""),"Assurance opinion ref missing",IF(AND(G473="Opinion only",E473&lt;&gt;"Assurance opinion",E473&lt;&gt;"Review only"),"Opinion only is for Assurance opinion or Review only events",IF(AND(G473="No decision",E473&lt;&gt;"Review only",E473&lt;&gt;"Priority override",E473&lt;&gt;"Intake / registration"),"No decision is for Review only, Priority override or Intake / registration events",IF(OR(ISNUMBER(SEARCH(" ",TRIM(O473))),ISNUMBER(SEARCH("/",O473))),"One UC-ID per event row: split this event",IF(AND(E473="Precautionary pause (containment)",ISNUMBER(W473),ISNUMBER(F473),W473&lt;F473),"Follow-up decision due date is before the pause",IF(AND(G473="Resume",IFERROR(LOOKUP(2,1/(($B$3:B472=B473)*($O$3:O472=O473)),$G$3:G472),"")&lt;&gt;"Paused — pending decision"),"Resume is only for the event straight after a Precautionary pause on the same AIR-ID and UC-ID (in an earlier row)",IF(AND(E473="Decision",OR(G473="Progress",G473="Progress with condition",G473="Re-authorise",G473="Resume"),X473&lt;&gt;"Yes"),"Decision-maker has not confirmed the screening was considered (column X)","Check against source")))))))))))))))))))))))))))))</f>
        <v/>
      </c>
      <c r="O473" s="37" t="n"/>
      <c r="P473" s="37" t="n"/>
      <c r="Q473" s="14">
        <f>IF(A473="","",IF(E473&lt;&gt;"Decision","",IF(P473="UC-ID specific",IF(O473="","UC-ID REQUIRED","Check source decision for each UC-ID"),IF(P473="Shared system baseline",IF(O473&lt;&gt;"","REMOVE UC-ID OR CORRECT SCOPE","Baseline only — NOT UC approval"),"Decision scope missing"))))</f>
        <v/>
      </c>
      <c r="R473" s="43" t="n"/>
      <c r="S473" s="40" t="n"/>
      <c r="T473" s="40" t="n"/>
      <c r="U473" s="40" t="n"/>
      <c r="V473" s="40" t="n"/>
      <c r="W473" s="41" t="n"/>
      <c r="X473" s="38" t="n"/>
    </row>
    <row r="474">
      <c r="A474" s="38" t="n"/>
      <c r="B474" s="38" t="n"/>
      <c r="C474" s="38" t="n"/>
      <c r="D474" s="38" t="n"/>
      <c r="E474" s="38" t="n"/>
      <c r="F474" s="39" t="n"/>
      <c r="G474" s="38" t="n"/>
      <c r="H474" s="38" t="n"/>
      <c r="I474" s="38" t="n"/>
      <c r="J474" s="38" t="n"/>
      <c r="K474" s="38" t="n"/>
      <c r="L474" s="38" t="n"/>
      <c r="M474" s="38" t="n"/>
      <c r="N474" s="22">
        <f>IF(COUNTA(A474:M474,O474:P474,R474:X474)=0,"",IF(OR(A474="",B474="",F474=""),"Event ID, AIR-ID or date missing",IF(COUNTIF($A$4:$A$553,A474)&gt;1,"Duplicate Event ID",IF(E474="","Event type missing",IF(OR(NOT(ISNUMBER(F474)),F474&gt;TODAY()),"Date is not a real date or is in the future",IF(AND(C474&lt;&gt;"",COUNTIF('Gate plan'!$A$4:$A$353,C474)=0),"Plan ID not found in Gate plan",IF(AND(C474&lt;&gt;"",COUNTIFS('Gate plan'!$A$4:$A$353,C474,'Gate plan'!$B$4:$B$353,B474)=0),"Plan AIR-ID differs from event",IF(D474="","Gate / forum missing",IF(AND(E474="Precautionary pause (containment)",G474&lt;&gt;"Paused — pending decision"),"Precautionary pause: Outcome must be Paused, pending decision",IF(AND(E474="Precautionary pause (containment)",V474=""),"Precautionary pause: AIG-OPS-03 incident ref missing",IF(AND(E474="Precautionary pause (containment)",NOT(ISNUMBER(W474))),"Precautionary pause: follow-up decision due date missing",IF(AND(G474="Paused — pending decision",E474&lt;&gt;"Precautionary pause (containment)"),"Paused, pending decision is only for a Precautionary pause event",IF(AND(E474="Decision",OR(G474="",H474="",I474="")),"Outcome / delegation / decision ref missing",IF(AND(E474="Decision",NOT(OR(G474="Progress",G474="Progress with condition",G474="Return for evidence",G474="Pause",G474="Stop",G474="Suspend",G474="Decommission",G474="Re-authorise",G474="Resume"))),"Decision event needs a decision outcome",IF(AND(E474="Priority override",OR(H474="",I474="")),"Decision-maker / AIG-DEC-03 ref missing",IF(AND(E474="Priority override",G474&lt;&gt;"",G474&lt;&gt;"No decision"),"Priority override: Outcome blank or No decision",IF(AND(E474&lt;&gt;"Decision",OR(G474="Progress",G474="Progress with condition",G474="Return for evidence",G474="Pause",G474="Stop",G474="Suspend",G474="Decommission",G474="Re-authorise",G474="Resume")),"Outcome implies decision",IF(OR(ISNUMBER(SEARCH(",",O474)),ISNUMBER(SEARCH(";",O474))),"One UC-ID per event row — split this event",IF(AND(E474="Decision",OR(Q474="UC-ID REQUIRED",Q474="Decision scope missing",Q474="REMOVE UC-ID OR CORRECT SCOPE")),"Decision scope missing",IF(AND(G474="Progress with condition",COUNTIF(Conditions!$B$4:$B$553,A474)=0),"Progress with condition needs at least one Conditions row",IF(AND(C474&lt;&gt;"",COUNTIFS('Gate plan'!$A$4:$A$353,C474,'Gate plan'!$C$4:$C$353,D474)=0),"Plan gate differs from event gate",IF(AND(C474&lt;&gt;"",O474&lt;&gt;"",COUNTIFS('Gate plan'!$A$4:$A$353,C474,'Gate plan'!$K$4:$K$353,"&lt;&gt;")&gt;0,COUNTIFS('Gate plan'!$A$4:$A$353,C474,'Gate plan'!$K$4:$K$353,O474)=0),"Plan UC-ID differs from event UC-ID",IF(AND(E474="Assurance opinion",J474=""),"Assurance opinion ref missing",IF(AND(G474="Opinion only",E474&lt;&gt;"Assurance opinion",E474&lt;&gt;"Review only"),"Opinion only is for Assurance opinion or Review only events",IF(AND(G474="No decision",E474&lt;&gt;"Review only",E474&lt;&gt;"Priority override",E474&lt;&gt;"Intake / registration"),"No decision is for Review only, Priority override or Intake / registration events",IF(OR(ISNUMBER(SEARCH(" ",TRIM(O474))),ISNUMBER(SEARCH("/",O474))),"One UC-ID per event row: split this event",IF(AND(E474="Precautionary pause (containment)",ISNUMBER(W474),ISNUMBER(F474),W474&lt;F474),"Follow-up decision due date is before the pause",IF(AND(G474="Resume",IFERROR(LOOKUP(2,1/(($B$3:B473=B474)*($O$3:O473=O474)),$G$3:G473),"")&lt;&gt;"Paused — pending decision"),"Resume is only for the event straight after a Precautionary pause on the same AIR-ID and UC-ID (in an earlier row)",IF(AND(E474="Decision",OR(G474="Progress",G474="Progress with condition",G474="Re-authorise",G474="Resume"),X474&lt;&gt;"Yes"),"Decision-maker has not confirmed the screening was considered (column X)","Check against source")))))))))))))))))))))))))))))</f>
        <v/>
      </c>
      <c r="O474" s="37" t="n"/>
      <c r="P474" s="37" t="n"/>
      <c r="Q474" s="14">
        <f>IF(A474="","",IF(E474&lt;&gt;"Decision","",IF(P474="UC-ID specific",IF(O474="","UC-ID REQUIRED","Check source decision for each UC-ID"),IF(P474="Shared system baseline",IF(O474&lt;&gt;"","REMOVE UC-ID OR CORRECT SCOPE","Baseline only — NOT UC approval"),"Decision scope missing"))))</f>
        <v/>
      </c>
      <c r="R474" s="42" t="n"/>
      <c r="S474" s="38" t="n"/>
      <c r="T474" s="38" t="n"/>
      <c r="U474" s="38" t="n"/>
      <c r="V474" s="38" t="n"/>
      <c r="W474" s="39" t="n"/>
      <c r="X474" s="38" t="n"/>
    </row>
    <row r="475">
      <c r="A475" s="40" t="n"/>
      <c r="B475" s="40" t="n"/>
      <c r="C475" s="40" t="n"/>
      <c r="D475" s="40" t="n"/>
      <c r="E475" s="40" t="n"/>
      <c r="F475" s="41" t="n"/>
      <c r="G475" s="40" t="n"/>
      <c r="H475" s="40" t="n"/>
      <c r="I475" s="40" t="n"/>
      <c r="J475" s="40" t="n"/>
      <c r="K475" s="40" t="n"/>
      <c r="L475" s="40" t="n"/>
      <c r="M475" s="40" t="n"/>
      <c r="N475" s="24">
        <f>IF(COUNTA(A475:M475,O475:P475,R475:X475)=0,"",IF(OR(A475="",B475="",F475=""),"Event ID, AIR-ID or date missing",IF(COUNTIF($A$4:$A$553,A475)&gt;1,"Duplicate Event ID",IF(E475="","Event type missing",IF(OR(NOT(ISNUMBER(F475)),F475&gt;TODAY()),"Date is not a real date or is in the future",IF(AND(C475&lt;&gt;"",COUNTIF('Gate plan'!$A$4:$A$353,C475)=0),"Plan ID not found in Gate plan",IF(AND(C475&lt;&gt;"",COUNTIFS('Gate plan'!$A$4:$A$353,C475,'Gate plan'!$B$4:$B$353,B475)=0),"Plan AIR-ID differs from event",IF(D475="","Gate / forum missing",IF(AND(E475="Precautionary pause (containment)",G475&lt;&gt;"Paused — pending decision"),"Precautionary pause: Outcome must be Paused, pending decision",IF(AND(E475="Precautionary pause (containment)",V475=""),"Precautionary pause: AIG-OPS-03 incident ref missing",IF(AND(E475="Precautionary pause (containment)",NOT(ISNUMBER(W475))),"Precautionary pause: follow-up decision due date missing",IF(AND(G475="Paused — pending decision",E475&lt;&gt;"Precautionary pause (containment)"),"Paused, pending decision is only for a Precautionary pause event",IF(AND(E475="Decision",OR(G475="",H475="",I475="")),"Outcome / delegation / decision ref missing",IF(AND(E475="Decision",NOT(OR(G475="Progress",G475="Progress with condition",G475="Return for evidence",G475="Pause",G475="Stop",G475="Suspend",G475="Decommission",G475="Re-authorise",G475="Resume"))),"Decision event needs a decision outcome",IF(AND(E475="Priority override",OR(H475="",I475="")),"Decision-maker / AIG-DEC-03 ref missing",IF(AND(E475="Priority override",G475&lt;&gt;"",G475&lt;&gt;"No decision"),"Priority override: Outcome blank or No decision",IF(AND(E475&lt;&gt;"Decision",OR(G475="Progress",G475="Progress with condition",G475="Return for evidence",G475="Pause",G475="Stop",G475="Suspend",G475="Decommission",G475="Re-authorise",G475="Resume")),"Outcome implies decision",IF(OR(ISNUMBER(SEARCH(",",O475)),ISNUMBER(SEARCH(";",O475))),"One UC-ID per event row — split this event",IF(AND(E475="Decision",OR(Q475="UC-ID REQUIRED",Q475="Decision scope missing",Q475="REMOVE UC-ID OR CORRECT SCOPE")),"Decision scope missing",IF(AND(G475="Progress with condition",COUNTIF(Conditions!$B$4:$B$553,A475)=0),"Progress with condition needs at least one Conditions row",IF(AND(C475&lt;&gt;"",COUNTIFS('Gate plan'!$A$4:$A$353,C475,'Gate plan'!$C$4:$C$353,D475)=0),"Plan gate differs from event gate",IF(AND(C475&lt;&gt;"",O475&lt;&gt;"",COUNTIFS('Gate plan'!$A$4:$A$353,C475,'Gate plan'!$K$4:$K$353,"&lt;&gt;")&gt;0,COUNTIFS('Gate plan'!$A$4:$A$353,C475,'Gate plan'!$K$4:$K$353,O475)=0),"Plan UC-ID differs from event UC-ID",IF(AND(E475="Assurance opinion",J475=""),"Assurance opinion ref missing",IF(AND(G475="Opinion only",E475&lt;&gt;"Assurance opinion",E475&lt;&gt;"Review only"),"Opinion only is for Assurance opinion or Review only events",IF(AND(G475="No decision",E475&lt;&gt;"Review only",E475&lt;&gt;"Priority override",E475&lt;&gt;"Intake / registration"),"No decision is for Review only, Priority override or Intake / registration events",IF(OR(ISNUMBER(SEARCH(" ",TRIM(O475))),ISNUMBER(SEARCH("/",O475))),"One UC-ID per event row: split this event",IF(AND(E475="Precautionary pause (containment)",ISNUMBER(W475),ISNUMBER(F475),W475&lt;F475),"Follow-up decision due date is before the pause",IF(AND(G475="Resume",IFERROR(LOOKUP(2,1/(($B$3:B474=B475)*($O$3:O474=O475)),$G$3:G474),"")&lt;&gt;"Paused — pending decision"),"Resume is only for the event straight after a Precautionary pause on the same AIR-ID and UC-ID (in an earlier row)",IF(AND(E475="Decision",OR(G475="Progress",G475="Progress with condition",G475="Re-authorise",G475="Resume"),X475&lt;&gt;"Yes"),"Decision-maker has not confirmed the screening was considered (column X)","Check against source")))))))))))))))))))))))))))))</f>
        <v/>
      </c>
      <c r="O475" s="37" t="n"/>
      <c r="P475" s="37" t="n"/>
      <c r="Q475" s="14">
        <f>IF(A475="","",IF(E475&lt;&gt;"Decision","",IF(P475="UC-ID specific",IF(O475="","UC-ID REQUIRED","Check source decision for each UC-ID"),IF(P475="Shared system baseline",IF(O475&lt;&gt;"","REMOVE UC-ID OR CORRECT SCOPE","Baseline only — NOT UC approval"),"Decision scope missing"))))</f>
        <v/>
      </c>
      <c r="R475" s="43" t="n"/>
      <c r="S475" s="40" t="n"/>
      <c r="T475" s="40" t="n"/>
      <c r="U475" s="40" t="n"/>
      <c r="V475" s="40" t="n"/>
      <c r="W475" s="41" t="n"/>
      <c r="X475" s="38" t="n"/>
    </row>
    <row r="476">
      <c r="A476" s="38" t="n"/>
      <c r="B476" s="38" t="n"/>
      <c r="C476" s="38" t="n"/>
      <c r="D476" s="38" t="n"/>
      <c r="E476" s="38" t="n"/>
      <c r="F476" s="39" t="n"/>
      <c r="G476" s="38" t="n"/>
      <c r="H476" s="38" t="n"/>
      <c r="I476" s="38" t="n"/>
      <c r="J476" s="38" t="n"/>
      <c r="K476" s="38" t="n"/>
      <c r="L476" s="38" t="n"/>
      <c r="M476" s="38" t="n"/>
      <c r="N476" s="22">
        <f>IF(COUNTA(A476:M476,O476:P476,R476:X476)=0,"",IF(OR(A476="",B476="",F476=""),"Event ID, AIR-ID or date missing",IF(COUNTIF($A$4:$A$553,A476)&gt;1,"Duplicate Event ID",IF(E476="","Event type missing",IF(OR(NOT(ISNUMBER(F476)),F476&gt;TODAY()),"Date is not a real date or is in the future",IF(AND(C476&lt;&gt;"",COUNTIF('Gate plan'!$A$4:$A$353,C476)=0),"Plan ID not found in Gate plan",IF(AND(C476&lt;&gt;"",COUNTIFS('Gate plan'!$A$4:$A$353,C476,'Gate plan'!$B$4:$B$353,B476)=0),"Plan AIR-ID differs from event",IF(D476="","Gate / forum missing",IF(AND(E476="Precautionary pause (containment)",G476&lt;&gt;"Paused — pending decision"),"Precautionary pause: Outcome must be Paused, pending decision",IF(AND(E476="Precautionary pause (containment)",V476=""),"Precautionary pause: AIG-OPS-03 incident ref missing",IF(AND(E476="Precautionary pause (containment)",NOT(ISNUMBER(W476))),"Precautionary pause: follow-up decision due date missing",IF(AND(G476="Paused — pending decision",E476&lt;&gt;"Precautionary pause (containment)"),"Paused, pending decision is only for a Precautionary pause event",IF(AND(E476="Decision",OR(G476="",H476="",I476="")),"Outcome / delegation / decision ref missing",IF(AND(E476="Decision",NOT(OR(G476="Progress",G476="Progress with condition",G476="Return for evidence",G476="Pause",G476="Stop",G476="Suspend",G476="Decommission",G476="Re-authorise",G476="Resume"))),"Decision event needs a decision outcome",IF(AND(E476="Priority override",OR(H476="",I476="")),"Decision-maker / AIG-DEC-03 ref missing",IF(AND(E476="Priority override",G476&lt;&gt;"",G476&lt;&gt;"No decision"),"Priority override: Outcome blank or No decision",IF(AND(E476&lt;&gt;"Decision",OR(G476="Progress",G476="Progress with condition",G476="Return for evidence",G476="Pause",G476="Stop",G476="Suspend",G476="Decommission",G476="Re-authorise",G476="Resume")),"Outcome implies decision",IF(OR(ISNUMBER(SEARCH(",",O476)),ISNUMBER(SEARCH(";",O476))),"One UC-ID per event row — split this event",IF(AND(E476="Decision",OR(Q476="UC-ID REQUIRED",Q476="Decision scope missing",Q476="REMOVE UC-ID OR CORRECT SCOPE")),"Decision scope missing",IF(AND(G476="Progress with condition",COUNTIF(Conditions!$B$4:$B$553,A476)=0),"Progress with condition needs at least one Conditions row",IF(AND(C476&lt;&gt;"",COUNTIFS('Gate plan'!$A$4:$A$353,C476,'Gate plan'!$C$4:$C$353,D476)=0),"Plan gate differs from event gate",IF(AND(C476&lt;&gt;"",O476&lt;&gt;"",COUNTIFS('Gate plan'!$A$4:$A$353,C476,'Gate plan'!$K$4:$K$353,"&lt;&gt;")&gt;0,COUNTIFS('Gate plan'!$A$4:$A$353,C476,'Gate plan'!$K$4:$K$353,O476)=0),"Plan UC-ID differs from event UC-ID",IF(AND(E476="Assurance opinion",J476=""),"Assurance opinion ref missing",IF(AND(G476="Opinion only",E476&lt;&gt;"Assurance opinion",E476&lt;&gt;"Review only"),"Opinion only is for Assurance opinion or Review only events",IF(AND(G476="No decision",E476&lt;&gt;"Review only",E476&lt;&gt;"Priority override",E476&lt;&gt;"Intake / registration"),"No decision is for Review only, Priority override or Intake / registration events",IF(OR(ISNUMBER(SEARCH(" ",TRIM(O476))),ISNUMBER(SEARCH("/",O476))),"One UC-ID per event row: split this event",IF(AND(E476="Precautionary pause (containment)",ISNUMBER(W476),ISNUMBER(F476),W476&lt;F476),"Follow-up decision due date is before the pause",IF(AND(G476="Resume",IFERROR(LOOKUP(2,1/(($B$3:B475=B476)*($O$3:O475=O476)),$G$3:G475),"")&lt;&gt;"Paused — pending decision"),"Resume is only for the event straight after a Precautionary pause on the same AIR-ID and UC-ID (in an earlier row)",IF(AND(E476="Decision",OR(G476="Progress",G476="Progress with condition",G476="Re-authorise",G476="Resume"),X476&lt;&gt;"Yes"),"Decision-maker has not confirmed the screening was considered (column X)","Check against source")))))))))))))))))))))))))))))</f>
        <v/>
      </c>
      <c r="O476" s="37" t="n"/>
      <c r="P476" s="37" t="n"/>
      <c r="Q476" s="14">
        <f>IF(A476="","",IF(E476&lt;&gt;"Decision","",IF(P476="UC-ID specific",IF(O476="","UC-ID REQUIRED","Check source decision for each UC-ID"),IF(P476="Shared system baseline",IF(O476&lt;&gt;"","REMOVE UC-ID OR CORRECT SCOPE","Baseline only — NOT UC approval"),"Decision scope missing"))))</f>
        <v/>
      </c>
      <c r="R476" s="42" t="n"/>
      <c r="S476" s="38" t="n"/>
      <c r="T476" s="38" t="n"/>
      <c r="U476" s="38" t="n"/>
      <c r="V476" s="38" t="n"/>
      <c r="W476" s="39" t="n"/>
      <c r="X476" s="38" t="n"/>
    </row>
    <row r="477">
      <c r="A477" s="40" t="n"/>
      <c r="B477" s="40" t="n"/>
      <c r="C477" s="40" t="n"/>
      <c r="D477" s="40" t="n"/>
      <c r="E477" s="40" t="n"/>
      <c r="F477" s="41" t="n"/>
      <c r="G477" s="40" t="n"/>
      <c r="H477" s="40" t="n"/>
      <c r="I477" s="40" t="n"/>
      <c r="J477" s="40" t="n"/>
      <c r="K477" s="40" t="n"/>
      <c r="L477" s="40" t="n"/>
      <c r="M477" s="40" t="n"/>
      <c r="N477" s="24">
        <f>IF(COUNTA(A477:M477,O477:P477,R477:X477)=0,"",IF(OR(A477="",B477="",F477=""),"Event ID, AIR-ID or date missing",IF(COUNTIF($A$4:$A$553,A477)&gt;1,"Duplicate Event ID",IF(E477="","Event type missing",IF(OR(NOT(ISNUMBER(F477)),F477&gt;TODAY()),"Date is not a real date or is in the future",IF(AND(C477&lt;&gt;"",COUNTIF('Gate plan'!$A$4:$A$353,C477)=0),"Plan ID not found in Gate plan",IF(AND(C477&lt;&gt;"",COUNTIFS('Gate plan'!$A$4:$A$353,C477,'Gate plan'!$B$4:$B$353,B477)=0),"Plan AIR-ID differs from event",IF(D477="","Gate / forum missing",IF(AND(E477="Precautionary pause (containment)",G477&lt;&gt;"Paused — pending decision"),"Precautionary pause: Outcome must be Paused, pending decision",IF(AND(E477="Precautionary pause (containment)",V477=""),"Precautionary pause: AIG-OPS-03 incident ref missing",IF(AND(E477="Precautionary pause (containment)",NOT(ISNUMBER(W477))),"Precautionary pause: follow-up decision due date missing",IF(AND(G477="Paused — pending decision",E477&lt;&gt;"Precautionary pause (containment)"),"Paused, pending decision is only for a Precautionary pause event",IF(AND(E477="Decision",OR(G477="",H477="",I477="")),"Outcome / delegation / decision ref missing",IF(AND(E477="Decision",NOT(OR(G477="Progress",G477="Progress with condition",G477="Return for evidence",G477="Pause",G477="Stop",G477="Suspend",G477="Decommission",G477="Re-authorise",G477="Resume"))),"Decision event needs a decision outcome",IF(AND(E477="Priority override",OR(H477="",I477="")),"Decision-maker / AIG-DEC-03 ref missing",IF(AND(E477="Priority override",G477&lt;&gt;"",G477&lt;&gt;"No decision"),"Priority override: Outcome blank or No decision",IF(AND(E477&lt;&gt;"Decision",OR(G477="Progress",G477="Progress with condition",G477="Return for evidence",G477="Pause",G477="Stop",G477="Suspend",G477="Decommission",G477="Re-authorise",G477="Resume")),"Outcome implies decision",IF(OR(ISNUMBER(SEARCH(",",O477)),ISNUMBER(SEARCH(";",O477))),"One UC-ID per event row — split this event",IF(AND(E477="Decision",OR(Q477="UC-ID REQUIRED",Q477="Decision scope missing",Q477="REMOVE UC-ID OR CORRECT SCOPE")),"Decision scope missing",IF(AND(G477="Progress with condition",COUNTIF(Conditions!$B$4:$B$553,A477)=0),"Progress with condition needs at least one Conditions row",IF(AND(C477&lt;&gt;"",COUNTIFS('Gate plan'!$A$4:$A$353,C477,'Gate plan'!$C$4:$C$353,D477)=0),"Plan gate differs from event gate",IF(AND(C477&lt;&gt;"",O477&lt;&gt;"",COUNTIFS('Gate plan'!$A$4:$A$353,C477,'Gate plan'!$K$4:$K$353,"&lt;&gt;")&gt;0,COUNTIFS('Gate plan'!$A$4:$A$353,C477,'Gate plan'!$K$4:$K$353,O477)=0),"Plan UC-ID differs from event UC-ID",IF(AND(E477="Assurance opinion",J477=""),"Assurance opinion ref missing",IF(AND(G477="Opinion only",E477&lt;&gt;"Assurance opinion",E477&lt;&gt;"Review only"),"Opinion only is for Assurance opinion or Review only events",IF(AND(G477="No decision",E477&lt;&gt;"Review only",E477&lt;&gt;"Priority override",E477&lt;&gt;"Intake / registration"),"No decision is for Review only, Priority override or Intake / registration events",IF(OR(ISNUMBER(SEARCH(" ",TRIM(O477))),ISNUMBER(SEARCH("/",O477))),"One UC-ID per event row: split this event",IF(AND(E477="Precautionary pause (containment)",ISNUMBER(W477),ISNUMBER(F477),W477&lt;F477),"Follow-up decision due date is before the pause",IF(AND(G477="Resume",IFERROR(LOOKUP(2,1/(($B$3:B476=B477)*($O$3:O476=O477)),$G$3:G476),"")&lt;&gt;"Paused — pending decision"),"Resume is only for the event straight after a Precautionary pause on the same AIR-ID and UC-ID (in an earlier row)",IF(AND(E477="Decision",OR(G477="Progress",G477="Progress with condition",G477="Re-authorise",G477="Resume"),X477&lt;&gt;"Yes"),"Decision-maker has not confirmed the screening was considered (column X)","Check against source")))))))))))))))))))))))))))))</f>
        <v/>
      </c>
      <c r="O477" s="37" t="n"/>
      <c r="P477" s="37" t="n"/>
      <c r="Q477" s="14">
        <f>IF(A477="","",IF(E477&lt;&gt;"Decision","",IF(P477="UC-ID specific",IF(O477="","UC-ID REQUIRED","Check source decision for each UC-ID"),IF(P477="Shared system baseline",IF(O477&lt;&gt;"","REMOVE UC-ID OR CORRECT SCOPE","Baseline only — NOT UC approval"),"Decision scope missing"))))</f>
        <v/>
      </c>
      <c r="R477" s="43" t="n"/>
      <c r="S477" s="40" t="n"/>
      <c r="T477" s="40" t="n"/>
      <c r="U477" s="40" t="n"/>
      <c r="V477" s="40" t="n"/>
      <c r="W477" s="41" t="n"/>
      <c r="X477" s="38" t="n"/>
    </row>
    <row r="478">
      <c r="A478" s="38" t="n"/>
      <c r="B478" s="38" t="n"/>
      <c r="C478" s="38" t="n"/>
      <c r="D478" s="38" t="n"/>
      <c r="E478" s="38" t="n"/>
      <c r="F478" s="39" t="n"/>
      <c r="G478" s="38" t="n"/>
      <c r="H478" s="38" t="n"/>
      <c r="I478" s="38" t="n"/>
      <c r="J478" s="38" t="n"/>
      <c r="K478" s="38" t="n"/>
      <c r="L478" s="38" t="n"/>
      <c r="M478" s="38" t="n"/>
      <c r="N478" s="22">
        <f>IF(COUNTA(A478:M478,O478:P478,R478:X478)=0,"",IF(OR(A478="",B478="",F478=""),"Event ID, AIR-ID or date missing",IF(COUNTIF($A$4:$A$553,A478)&gt;1,"Duplicate Event ID",IF(E478="","Event type missing",IF(OR(NOT(ISNUMBER(F478)),F478&gt;TODAY()),"Date is not a real date or is in the future",IF(AND(C478&lt;&gt;"",COUNTIF('Gate plan'!$A$4:$A$353,C478)=0),"Plan ID not found in Gate plan",IF(AND(C478&lt;&gt;"",COUNTIFS('Gate plan'!$A$4:$A$353,C478,'Gate plan'!$B$4:$B$353,B478)=0),"Plan AIR-ID differs from event",IF(D478="","Gate / forum missing",IF(AND(E478="Precautionary pause (containment)",G478&lt;&gt;"Paused — pending decision"),"Precautionary pause: Outcome must be Paused, pending decision",IF(AND(E478="Precautionary pause (containment)",V478=""),"Precautionary pause: AIG-OPS-03 incident ref missing",IF(AND(E478="Precautionary pause (containment)",NOT(ISNUMBER(W478))),"Precautionary pause: follow-up decision due date missing",IF(AND(G478="Paused — pending decision",E478&lt;&gt;"Precautionary pause (containment)"),"Paused, pending decision is only for a Precautionary pause event",IF(AND(E478="Decision",OR(G478="",H478="",I478="")),"Outcome / delegation / decision ref missing",IF(AND(E478="Decision",NOT(OR(G478="Progress",G478="Progress with condition",G478="Return for evidence",G478="Pause",G478="Stop",G478="Suspend",G478="Decommission",G478="Re-authorise",G478="Resume"))),"Decision event needs a decision outcome",IF(AND(E478="Priority override",OR(H478="",I478="")),"Decision-maker / AIG-DEC-03 ref missing",IF(AND(E478="Priority override",G478&lt;&gt;"",G478&lt;&gt;"No decision"),"Priority override: Outcome blank or No decision",IF(AND(E478&lt;&gt;"Decision",OR(G478="Progress",G478="Progress with condition",G478="Return for evidence",G478="Pause",G478="Stop",G478="Suspend",G478="Decommission",G478="Re-authorise",G478="Resume")),"Outcome implies decision",IF(OR(ISNUMBER(SEARCH(",",O478)),ISNUMBER(SEARCH(";",O478))),"One UC-ID per event row — split this event",IF(AND(E478="Decision",OR(Q478="UC-ID REQUIRED",Q478="Decision scope missing",Q478="REMOVE UC-ID OR CORRECT SCOPE")),"Decision scope missing",IF(AND(G478="Progress with condition",COUNTIF(Conditions!$B$4:$B$553,A478)=0),"Progress with condition needs at least one Conditions row",IF(AND(C478&lt;&gt;"",COUNTIFS('Gate plan'!$A$4:$A$353,C478,'Gate plan'!$C$4:$C$353,D478)=0),"Plan gate differs from event gate",IF(AND(C478&lt;&gt;"",O478&lt;&gt;"",COUNTIFS('Gate plan'!$A$4:$A$353,C478,'Gate plan'!$K$4:$K$353,"&lt;&gt;")&gt;0,COUNTIFS('Gate plan'!$A$4:$A$353,C478,'Gate plan'!$K$4:$K$353,O478)=0),"Plan UC-ID differs from event UC-ID",IF(AND(E478="Assurance opinion",J478=""),"Assurance opinion ref missing",IF(AND(G478="Opinion only",E478&lt;&gt;"Assurance opinion",E478&lt;&gt;"Review only"),"Opinion only is for Assurance opinion or Review only events",IF(AND(G478="No decision",E478&lt;&gt;"Review only",E478&lt;&gt;"Priority override",E478&lt;&gt;"Intake / registration"),"No decision is for Review only, Priority override or Intake / registration events",IF(OR(ISNUMBER(SEARCH(" ",TRIM(O478))),ISNUMBER(SEARCH("/",O478))),"One UC-ID per event row: split this event",IF(AND(E478="Precautionary pause (containment)",ISNUMBER(W478),ISNUMBER(F478),W478&lt;F478),"Follow-up decision due date is before the pause",IF(AND(G478="Resume",IFERROR(LOOKUP(2,1/(($B$3:B477=B478)*($O$3:O477=O478)),$G$3:G477),"")&lt;&gt;"Paused — pending decision"),"Resume is only for the event straight after a Precautionary pause on the same AIR-ID and UC-ID (in an earlier row)",IF(AND(E478="Decision",OR(G478="Progress",G478="Progress with condition",G478="Re-authorise",G478="Resume"),X478&lt;&gt;"Yes"),"Decision-maker has not confirmed the screening was considered (column X)","Check against source")))))))))))))))))))))))))))))</f>
        <v/>
      </c>
      <c r="O478" s="37" t="n"/>
      <c r="P478" s="37" t="n"/>
      <c r="Q478" s="14">
        <f>IF(A478="","",IF(E478&lt;&gt;"Decision","",IF(P478="UC-ID specific",IF(O478="","UC-ID REQUIRED","Check source decision for each UC-ID"),IF(P478="Shared system baseline",IF(O478&lt;&gt;"","REMOVE UC-ID OR CORRECT SCOPE","Baseline only — NOT UC approval"),"Decision scope missing"))))</f>
        <v/>
      </c>
      <c r="R478" s="42" t="n"/>
      <c r="S478" s="38" t="n"/>
      <c r="T478" s="38" t="n"/>
      <c r="U478" s="38" t="n"/>
      <c r="V478" s="38" t="n"/>
      <c r="W478" s="39" t="n"/>
      <c r="X478" s="38" t="n"/>
    </row>
    <row r="479">
      <c r="A479" s="40" t="n"/>
      <c r="B479" s="40" t="n"/>
      <c r="C479" s="40" t="n"/>
      <c r="D479" s="40" t="n"/>
      <c r="E479" s="40" t="n"/>
      <c r="F479" s="41" t="n"/>
      <c r="G479" s="40" t="n"/>
      <c r="H479" s="40" t="n"/>
      <c r="I479" s="40" t="n"/>
      <c r="J479" s="40" t="n"/>
      <c r="K479" s="40" t="n"/>
      <c r="L479" s="40" t="n"/>
      <c r="M479" s="40" t="n"/>
      <c r="N479" s="24">
        <f>IF(COUNTA(A479:M479,O479:P479,R479:X479)=0,"",IF(OR(A479="",B479="",F479=""),"Event ID, AIR-ID or date missing",IF(COUNTIF($A$4:$A$553,A479)&gt;1,"Duplicate Event ID",IF(E479="","Event type missing",IF(OR(NOT(ISNUMBER(F479)),F479&gt;TODAY()),"Date is not a real date or is in the future",IF(AND(C479&lt;&gt;"",COUNTIF('Gate plan'!$A$4:$A$353,C479)=0),"Plan ID not found in Gate plan",IF(AND(C479&lt;&gt;"",COUNTIFS('Gate plan'!$A$4:$A$353,C479,'Gate plan'!$B$4:$B$353,B479)=0),"Plan AIR-ID differs from event",IF(D479="","Gate / forum missing",IF(AND(E479="Precautionary pause (containment)",G479&lt;&gt;"Paused — pending decision"),"Precautionary pause: Outcome must be Paused, pending decision",IF(AND(E479="Precautionary pause (containment)",V479=""),"Precautionary pause: AIG-OPS-03 incident ref missing",IF(AND(E479="Precautionary pause (containment)",NOT(ISNUMBER(W479))),"Precautionary pause: follow-up decision due date missing",IF(AND(G479="Paused — pending decision",E479&lt;&gt;"Precautionary pause (containment)"),"Paused, pending decision is only for a Precautionary pause event",IF(AND(E479="Decision",OR(G479="",H479="",I479="")),"Outcome / delegation / decision ref missing",IF(AND(E479="Decision",NOT(OR(G479="Progress",G479="Progress with condition",G479="Return for evidence",G479="Pause",G479="Stop",G479="Suspend",G479="Decommission",G479="Re-authorise",G479="Resume"))),"Decision event needs a decision outcome",IF(AND(E479="Priority override",OR(H479="",I479="")),"Decision-maker / AIG-DEC-03 ref missing",IF(AND(E479="Priority override",G479&lt;&gt;"",G479&lt;&gt;"No decision"),"Priority override: Outcome blank or No decision",IF(AND(E479&lt;&gt;"Decision",OR(G479="Progress",G479="Progress with condition",G479="Return for evidence",G479="Pause",G479="Stop",G479="Suspend",G479="Decommission",G479="Re-authorise",G479="Resume")),"Outcome implies decision",IF(OR(ISNUMBER(SEARCH(",",O479)),ISNUMBER(SEARCH(";",O479))),"One UC-ID per event row — split this event",IF(AND(E479="Decision",OR(Q479="UC-ID REQUIRED",Q479="Decision scope missing",Q479="REMOVE UC-ID OR CORRECT SCOPE")),"Decision scope missing",IF(AND(G479="Progress with condition",COUNTIF(Conditions!$B$4:$B$553,A479)=0),"Progress with condition needs at least one Conditions row",IF(AND(C479&lt;&gt;"",COUNTIFS('Gate plan'!$A$4:$A$353,C479,'Gate plan'!$C$4:$C$353,D479)=0),"Plan gate differs from event gate",IF(AND(C479&lt;&gt;"",O479&lt;&gt;"",COUNTIFS('Gate plan'!$A$4:$A$353,C479,'Gate plan'!$K$4:$K$353,"&lt;&gt;")&gt;0,COUNTIFS('Gate plan'!$A$4:$A$353,C479,'Gate plan'!$K$4:$K$353,O479)=0),"Plan UC-ID differs from event UC-ID",IF(AND(E479="Assurance opinion",J479=""),"Assurance opinion ref missing",IF(AND(G479="Opinion only",E479&lt;&gt;"Assurance opinion",E479&lt;&gt;"Review only"),"Opinion only is for Assurance opinion or Review only events",IF(AND(G479="No decision",E479&lt;&gt;"Review only",E479&lt;&gt;"Priority override",E479&lt;&gt;"Intake / registration"),"No decision is for Review only, Priority override or Intake / registration events",IF(OR(ISNUMBER(SEARCH(" ",TRIM(O479))),ISNUMBER(SEARCH("/",O479))),"One UC-ID per event row: split this event",IF(AND(E479="Precautionary pause (containment)",ISNUMBER(W479),ISNUMBER(F479),W479&lt;F479),"Follow-up decision due date is before the pause",IF(AND(G479="Resume",IFERROR(LOOKUP(2,1/(($B$3:B478=B479)*($O$3:O478=O479)),$G$3:G478),"")&lt;&gt;"Paused — pending decision"),"Resume is only for the event straight after a Precautionary pause on the same AIR-ID and UC-ID (in an earlier row)",IF(AND(E479="Decision",OR(G479="Progress",G479="Progress with condition",G479="Re-authorise",G479="Resume"),X479&lt;&gt;"Yes"),"Decision-maker has not confirmed the screening was considered (column X)","Check against source")))))))))))))))))))))))))))))</f>
        <v/>
      </c>
      <c r="O479" s="37" t="n"/>
      <c r="P479" s="37" t="n"/>
      <c r="Q479" s="14">
        <f>IF(A479="","",IF(E479&lt;&gt;"Decision","",IF(P479="UC-ID specific",IF(O479="","UC-ID REQUIRED","Check source decision for each UC-ID"),IF(P479="Shared system baseline",IF(O479&lt;&gt;"","REMOVE UC-ID OR CORRECT SCOPE","Baseline only — NOT UC approval"),"Decision scope missing"))))</f>
        <v/>
      </c>
      <c r="R479" s="43" t="n"/>
      <c r="S479" s="40" t="n"/>
      <c r="T479" s="40" t="n"/>
      <c r="U479" s="40" t="n"/>
      <c r="V479" s="40" t="n"/>
      <c r="W479" s="41" t="n"/>
      <c r="X479" s="38" t="n"/>
    </row>
    <row r="480">
      <c r="A480" s="38" t="n"/>
      <c r="B480" s="38" t="n"/>
      <c r="C480" s="38" t="n"/>
      <c r="D480" s="38" t="n"/>
      <c r="E480" s="38" t="n"/>
      <c r="F480" s="39" t="n"/>
      <c r="G480" s="38" t="n"/>
      <c r="H480" s="38" t="n"/>
      <c r="I480" s="38" t="n"/>
      <c r="J480" s="38" t="n"/>
      <c r="K480" s="38" t="n"/>
      <c r="L480" s="38" t="n"/>
      <c r="M480" s="38" t="n"/>
      <c r="N480" s="22">
        <f>IF(COUNTA(A480:M480,O480:P480,R480:X480)=0,"",IF(OR(A480="",B480="",F480=""),"Event ID, AIR-ID or date missing",IF(COUNTIF($A$4:$A$553,A480)&gt;1,"Duplicate Event ID",IF(E480="","Event type missing",IF(OR(NOT(ISNUMBER(F480)),F480&gt;TODAY()),"Date is not a real date or is in the future",IF(AND(C480&lt;&gt;"",COUNTIF('Gate plan'!$A$4:$A$353,C480)=0),"Plan ID not found in Gate plan",IF(AND(C480&lt;&gt;"",COUNTIFS('Gate plan'!$A$4:$A$353,C480,'Gate plan'!$B$4:$B$353,B480)=0),"Plan AIR-ID differs from event",IF(D480="","Gate / forum missing",IF(AND(E480="Precautionary pause (containment)",G480&lt;&gt;"Paused — pending decision"),"Precautionary pause: Outcome must be Paused, pending decision",IF(AND(E480="Precautionary pause (containment)",V480=""),"Precautionary pause: AIG-OPS-03 incident ref missing",IF(AND(E480="Precautionary pause (containment)",NOT(ISNUMBER(W480))),"Precautionary pause: follow-up decision due date missing",IF(AND(G480="Paused — pending decision",E480&lt;&gt;"Precautionary pause (containment)"),"Paused, pending decision is only for a Precautionary pause event",IF(AND(E480="Decision",OR(G480="",H480="",I480="")),"Outcome / delegation / decision ref missing",IF(AND(E480="Decision",NOT(OR(G480="Progress",G480="Progress with condition",G480="Return for evidence",G480="Pause",G480="Stop",G480="Suspend",G480="Decommission",G480="Re-authorise",G480="Resume"))),"Decision event needs a decision outcome",IF(AND(E480="Priority override",OR(H480="",I480="")),"Decision-maker / AIG-DEC-03 ref missing",IF(AND(E480="Priority override",G480&lt;&gt;"",G480&lt;&gt;"No decision"),"Priority override: Outcome blank or No decision",IF(AND(E480&lt;&gt;"Decision",OR(G480="Progress",G480="Progress with condition",G480="Return for evidence",G480="Pause",G480="Stop",G480="Suspend",G480="Decommission",G480="Re-authorise",G480="Resume")),"Outcome implies decision",IF(OR(ISNUMBER(SEARCH(",",O480)),ISNUMBER(SEARCH(";",O480))),"One UC-ID per event row — split this event",IF(AND(E480="Decision",OR(Q480="UC-ID REQUIRED",Q480="Decision scope missing",Q480="REMOVE UC-ID OR CORRECT SCOPE")),"Decision scope missing",IF(AND(G480="Progress with condition",COUNTIF(Conditions!$B$4:$B$553,A480)=0),"Progress with condition needs at least one Conditions row",IF(AND(C480&lt;&gt;"",COUNTIFS('Gate plan'!$A$4:$A$353,C480,'Gate plan'!$C$4:$C$353,D480)=0),"Plan gate differs from event gate",IF(AND(C480&lt;&gt;"",O480&lt;&gt;"",COUNTIFS('Gate plan'!$A$4:$A$353,C480,'Gate plan'!$K$4:$K$353,"&lt;&gt;")&gt;0,COUNTIFS('Gate plan'!$A$4:$A$353,C480,'Gate plan'!$K$4:$K$353,O480)=0),"Plan UC-ID differs from event UC-ID",IF(AND(E480="Assurance opinion",J480=""),"Assurance opinion ref missing",IF(AND(G480="Opinion only",E480&lt;&gt;"Assurance opinion",E480&lt;&gt;"Review only"),"Opinion only is for Assurance opinion or Review only events",IF(AND(G480="No decision",E480&lt;&gt;"Review only",E480&lt;&gt;"Priority override",E480&lt;&gt;"Intake / registration"),"No decision is for Review only, Priority override or Intake / registration events",IF(OR(ISNUMBER(SEARCH(" ",TRIM(O480))),ISNUMBER(SEARCH("/",O480))),"One UC-ID per event row: split this event",IF(AND(E480="Precautionary pause (containment)",ISNUMBER(W480),ISNUMBER(F480),W480&lt;F480),"Follow-up decision due date is before the pause",IF(AND(G480="Resume",IFERROR(LOOKUP(2,1/(($B$3:B479=B480)*($O$3:O479=O480)),$G$3:G479),"")&lt;&gt;"Paused — pending decision"),"Resume is only for the event straight after a Precautionary pause on the same AIR-ID and UC-ID (in an earlier row)",IF(AND(E480="Decision",OR(G480="Progress",G480="Progress with condition",G480="Re-authorise",G480="Resume"),X480&lt;&gt;"Yes"),"Decision-maker has not confirmed the screening was considered (column X)","Check against source")))))))))))))))))))))))))))))</f>
        <v/>
      </c>
      <c r="O480" s="37" t="n"/>
      <c r="P480" s="37" t="n"/>
      <c r="Q480" s="14">
        <f>IF(A480="","",IF(E480&lt;&gt;"Decision","",IF(P480="UC-ID specific",IF(O480="","UC-ID REQUIRED","Check source decision for each UC-ID"),IF(P480="Shared system baseline",IF(O480&lt;&gt;"","REMOVE UC-ID OR CORRECT SCOPE","Baseline only — NOT UC approval"),"Decision scope missing"))))</f>
        <v/>
      </c>
      <c r="R480" s="42" t="n"/>
      <c r="S480" s="38" t="n"/>
      <c r="T480" s="38" t="n"/>
      <c r="U480" s="38" t="n"/>
      <c r="V480" s="38" t="n"/>
      <c r="W480" s="39" t="n"/>
      <c r="X480" s="38" t="n"/>
    </row>
    <row r="481">
      <c r="A481" s="40" t="n"/>
      <c r="B481" s="40" t="n"/>
      <c r="C481" s="40" t="n"/>
      <c r="D481" s="40" t="n"/>
      <c r="E481" s="40" t="n"/>
      <c r="F481" s="41" t="n"/>
      <c r="G481" s="40" t="n"/>
      <c r="H481" s="40" t="n"/>
      <c r="I481" s="40" t="n"/>
      <c r="J481" s="40" t="n"/>
      <c r="K481" s="40" t="n"/>
      <c r="L481" s="40" t="n"/>
      <c r="M481" s="40" t="n"/>
      <c r="N481" s="24">
        <f>IF(COUNTA(A481:M481,O481:P481,R481:X481)=0,"",IF(OR(A481="",B481="",F481=""),"Event ID, AIR-ID or date missing",IF(COUNTIF($A$4:$A$553,A481)&gt;1,"Duplicate Event ID",IF(E481="","Event type missing",IF(OR(NOT(ISNUMBER(F481)),F481&gt;TODAY()),"Date is not a real date or is in the future",IF(AND(C481&lt;&gt;"",COUNTIF('Gate plan'!$A$4:$A$353,C481)=0),"Plan ID not found in Gate plan",IF(AND(C481&lt;&gt;"",COUNTIFS('Gate plan'!$A$4:$A$353,C481,'Gate plan'!$B$4:$B$353,B481)=0),"Plan AIR-ID differs from event",IF(D481="","Gate / forum missing",IF(AND(E481="Precautionary pause (containment)",G481&lt;&gt;"Paused — pending decision"),"Precautionary pause: Outcome must be Paused, pending decision",IF(AND(E481="Precautionary pause (containment)",V481=""),"Precautionary pause: AIG-OPS-03 incident ref missing",IF(AND(E481="Precautionary pause (containment)",NOT(ISNUMBER(W481))),"Precautionary pause: follow-up decision due date missing",IF(AND(G481="Paused — pending decision",E481&lt;&gt;"Precautionary pause (containment)"),"Paused, pending decision is only for a Precautionary pause event",IF(AND(E481="Decision",OR(G481="",H481="",I481="")),"Outcome / delegation / decision ref missing",IF(AND(E481="Decision",NOT(OR(G481="Progress",G481="Progress with condition",G481="Return for evidence",G481="Pause",G481="Stop",G481="Suspend",G481="Decommission",G481="Re-authorise",G481="Resume"))),"Decision event needs a decision outcome",IF(AND(E481="Priority override",OR(H481="",I481="")),"Decision-maker / AIG-DEC-03 ref missing",IF(AND(E481="Priority override",G481&lt;&gt;"",G481&lt;&gt;"No decision"),"Priority override: Outcome blank or No decision",IF(AND(E481&lt;&gt;"Decision",OR(G481="Progress",G481="Progress with condition",G481="Return for evidence",G481="Pause",G481="Stop",G481="Suspend",G481="Decommission",G481="Re-authorise",G481="Resume")),"Outcome implies decision",IF(OR(ISNUMBER(SEARCH(",",O481)),ISNUMBER(SEARCH(";",O481))),"One UC-ID per event row — split this event",IF(AND(E481="Decision",OR(Q481="UC-ID REQUIRED",Q481="Decision scope missing",Q481="REMOVE UC-ID OR CORRECT SCOPE")),"Decision scope missing",IF(AND(G481="Progress with condition",COUNTIF(Conditions!$B$4:$B$553,A481)=0),"Progress with condition needs at least one Conditions row",IF(AND(C481&lt;&gt;"",COUNTIFS('Gate plan'!$A$4:$A$353,C481,'Gate plan'!$C$4:$C$353,D481)=0),"Plan gate differs from event gate",IF(AND(C481&lt;&gt;"",O481&lt;&gt;"",COUNTIFS('Gate plan'!$A$4:$A$353,C481,'Gate plan'!$K$4:$K$353,"&lt;&gt;")&gt;0,COUNTIFS('Gate plan'!$A$4:$A$353,C481,'Gate plan'!$K$4:$K$353,O481)=0),"Plan UC-ID differs from event UC-ID",IF(AND(E481="Assurance opinion",J481=""),"Assurance opinion ref missing",IF(AND(G481="Opinion only",E481&lt;&gt;"Assurance opinion",E481&lt;&gt;"Review only"),"Opinion only is for Assurance opinion or Review only events",IF(AND(G481="No decision",E481&lt;&gt;"Review only",E481&lt;&gt;"Priority override",E481&lt;&gt;"Intake / registration"),"No decision is for Review only, Priority override or Intake / registration events",IF(OR(ISNUMBER(SEARCH(" ",TRIM(O481))),ISNUMBER(SEARCH("/",O481))),"One UC-ID per event row: split this event",IF(AND(E481="Precautionary pause (containment)",ISNUMBER(W481),ISNUMBER(F481),W481&lt;F481),"Follow-up decision due date is before the pause",IF(AND(G481="Resume",IFERROR(LOOKUP(2,1/(($B$3:B480=B481)*($O$3:O480=O481)),$G$3:G480),"")&lt;&gt;"Paused — pending decision"),"Resume is only for the event straight after a Precautionary pause on the same AIR-ID and UC-ID (in an earlier row)",IF(AND(E481="Decision",OR(G481="Progress",G481="Progress with condition",G481="Re-authorise",G481="Resume"),X481&lt;&gt;"Yes"),"Decision-maker has not confirmed the screening was considered (column X)","Check against source")))))))))))))))))))))))))))))</f>
        <v/>
      </c>
      <c r="O481" s="37" t="n"/>
      <c r="P481" s="37" t="n"/>
      <c r="Q481" s="14">
        <f>IF(A481="","",IF(E481&lt;&gt;"Decision","",IF(P481="UC-ID specific",IF(O481="","UC-ID REQUIRED","Check source decision for each UC-ID"),IF(P481="Shared system baseline",IF(O481&lt;&gt;"","REMOVE UC-ID OR CORRECT SCOPE","Baseline only — NOT UC approval"),"Decision scope missing"))))</f>
        <v/>
      </c>
      <c r="R481" s="43" t="n"/>
      <c r="S481" s="40" t="n"/>
      <c r="T481" s="40" t="n"/>
      <c r="U481" s="40" t="n"/>
      <c r="V481" s="40" t="n"/>
      <c r="W481" s="41" t="n"/>
      <c r="X481" s="38" t="n"/>
    </row>
    <row r="482">
      <c r="A482" s="38" t="n"/>
      <c r="B482" s="38" t="n"/>
      <c r="C482" s="38" t="n"/>
      <c r="D482" s="38" t="n"/>
      <c r="E482" s="38" t="n"/>
      <c r="F482" s="39" t="n"/>
      <c r="G482" s="38" t="n"/>
      <c r="H482" s="38" t="n"/>
      <c r="I482" s="38" t="n"/>
      <c r="J482" s="38" t="n"/>
      <c r="K482" s="38" t="n"/>
      <c r="L482" s="38" t="n"/>
      <c r="M482" s="38" t="n"/>
      <c r="N482" s="22">
        <f>IF(COUNTA(A482:M482,O482:P482,R482:X482)=0,"",IF(OR(A482="",B482="",F482=""),"Event ID, AIR-ID or date missing",IF(COUNTIF($A$4:$A$553,A482)&gt;1,"Duplicate Event ID",IF(E482="","Event type missing",IF(OR(NOT(ISNUMBER(F482)),F482&gt;TODAY()),"Date is not a real date or is in the future",IF(AND(C482&lt;&gt;"",COUNTIF('Gate plan'!$A$4:$A$353,C482)=0),"Plan ID not found in Gate plan",IF(AND(C482&lt;&gt;"",COUNTIFS('Gate plan'!$A$4:$A$353,C482,'Gate plan'!$B$4:$B$353,B482)=0),"Plan AIR-ID differs from event",IF(D482="","Gate / forum missing",IF(AND(E482="Precautionary pause (containment)",G482&lt;&gt;"Paused — pending decision"),"Precautionary pause: Outcome must be Paused, pending decision",IF(AND(E482="Precautionary pause (containment)",V482=""),"Precautionary pause: AIG-OPS-03 incident ref missing",IF(AND(E482="Precautionary pause (containment)",NOT(ISNUMBER(W482))),"Precautionary pause: follow-up decision due date missing",IF(AND(G482="Paused — pending decision",E482&lt;&gt;"Precautionary pause (containment)"),"Paused, pending decision is only for a Precautionary pause event",IF(AND(E482="Decision",OR(G482="",H482="",I482="")),"Outcome / delegation / decision ref missing",IF(AND(E482="Decision",NOT(OR(G482="Progress",G482="Progress with condition",G482="Return for evidence",G482="Pause",G482="Stop",G482="Suspend",G482="Decommission",G482="Re-authorise",G482="Resume"))),"Decision event needs a decision outcome",IF(AND(E482="Priority override",OR(H482="",I482="")),"Decision-maker / AIG-DEC-03 ref missing",IF(AND(E482="Priority override",G482&lt;&gt;"",G482&lt;&gt;"No decision"),"Priority override: Outcome blank or No decision",IF(AND(E482&lt;&gt;"Decision",OR(G482="Progress",G482="Progress with condition",G482="Return for evidence",G482="Pause",G482="Stop",G482="Suspend",G482="Decommission",G482="Re-authorise",G482="Resume")),"Outcome implies decision",IF(OR(ISNUMBER(SEARCH(",",O482)),ISNUMBER(SEARCH(";",O482))),"One UC-ID per event row — split this event",IF(AND(E482="Decision",OR(Q482="UC-ID REQUIRED",Q482="Decision scope missing",Q482="REMOVE UC-ID OR CORRECT SCOPE")),"Decision scope missing",IF(AND(G482="Progress with condition",COUNTIF(Conditions!$B$4:$B$553,A482)=0),"Progress with condition needs at least one Conditions row",IF(AND(C482&lt;&gt;"",COUNTIFS('Gate plan'!$A$4:$A$353,C482,'Gate plan'!$C$4:$C$353,D482)=0),"Plan gate differs from event gate",IF(AND(C482&lt;&gt;"",O482&lt;&gt;"",COUNTIFS('Gate plan'!$A$4:$A$353,C482,'Gate plan'!$K$4:$K$353,"&lt;&gt;")&gt;0,COUNTIFS('Gate plan'!$A$4:$A$353,C482,'Gate plan'!$K$4:$K$353,O482)=0),"Plan UC-ID differs from event UC-ID",IF(AND(E482="Assurance opinion",J482=""),"Assurance opinion ref missing",IF(AND(G482="Opinion only",E482&lt;&gt;"Assurance opinion",E482&lt;&gt;"Review only"),"Opinion only is for Assurance opinion or Review only events",IF(AND(G482="No decision",E482&lt;&gt;"Review only",E482&lt;&gt;"Priority override",E482&lt;&gt;"Intake / registration"),"No decision is for Review only, Priority override or Intake / registration events",IF(OR(ISNUMBER(SEARCH(" ",TRIM(O482))),ISNUMBER(SEARCH("/",O482))),"One UC-ID per event row: split this event",IF(AND(E482="Precautionary pause (containment)",ISNUMBER(W482),ISNUMBER(F482),W482&lt;F482),"Follow-up decision due date is before the pause",IF(AND(G482="Resume",IFERROR(LOOKUP(2,1/(($B$3:B481=B482)*($O$3:O481=O482)),$G$3:G481),"")&lt;&gt;"Paused — pending decision"),"Resume is only for the event straight after a Precautionary pause on the same AIR-ID and UC-ID (in an earlier row)",IF(AND(E482="Decision",OR(G482="Progress",G482="Progress with condition",G482="Re-authorise",G482="Resume"),X482&lt;&gt;"Yes"),"Decision-maker has not confirmed the screening was considered (column X)","Check against source")))))))))))))))))))))))))))))</f>
        <v/>
      </c>
      <c r="O482" s="37" t="n"/>
      <c r="P482" s="37" t="n"/>
      <c r="Q482" s="14">
        <f>IF(A482="","",IF(E482&lt;&gt;"Decision","",IF(P482="UC-ID specific",IF(O482="","UC-ID REQUIRED","Check source decision for each UC-ID"),IF(P482="Shared system baseline",IF(O482&lt;&gt;"","REMOVE UC-ID OR CORRECT SCOPE","Baseline only — NOT UC approval"),"Decision scope missing"))))</f>
        <v/>
      </c>
      <c r="R482" s="42" t="n"/>
      <c r="S482" s="38" t="n"/>
      <c r="T482" s="38" t="n"/>
      <c r="U482" s="38" t="n"/>
      <c r="V482" s="38" t="n"/>
      <c r="W482" s="39" t="n"/>
      <c r="X482" s="38" t="n"/>
    </row>
    <row r="483">
      <c r="A483" s="40" t="n"/>
      <c r="B483" s="40" t="n"/>
      <c r="C483" s="40" t="n"/>
      <c r="D483" s="40" t="n"/>
      <c r="E483" s="40" t="n"/>
      <c r="F483" s="41" t="n"/>
      <c r="G483" s="40" t="n"/>
      <c r="H483" s="40" t="n"/>
      <c r="I483" s="40" t="n"/>
      <c r="J483" s="40" t="n"/>
      <c r="K483" s="40" t="n"/>
      <c r="L483" s="40" t="n"/>
      <c r="M483" s="40" t="n"/>
      <c r="N483" s="24">
        <f>IF(COUNTA(A483:M483,O483:P483,R483:X483)=0,"",IF(OR(A483="",B483="",F483=""),"Event ID, AIR-ID or date missing",IF(COUNTIF($A$4:$A$553,A483)&gt;1,"Duplicate Event ID",IF(E483="","Event type missing",IF(OR(NOT(ISNUMBER(F483)),F483&gt;TODAY()),"Date is not a real date or is in the future",IF(AND(C483&lt;&gt;"",COUNTIF('Gate plan'!$A$4:$A$353,C483)=0),"Plan ID not found in Gate plan",IF(AND(C483&lt;&gt;"",COUNTIFS('Gate plan'!$A$4:$A$353,C483,'Gate plan'!$B$4:$B$353,B483)=0),"Plan AIR-ID differs from event",IF(D483="","Gate / forum missing",IF(AND(E483="Precautionary pause (containment)",G483&lt;&gt;"Paused — pending decision"),"Precautionary pause: Outcome must be Paused, pending decision",IF(AND(E483="Precautionary pause (containment)",V483=""),"Precautionary pause: AIG-OPS-03 incident ref missing",IF(AND(E483="Precautionary pause (containment)",NOT(ISNUMBER(W483))),"Precautionary pause: follow-up decision due date missing",IF(AND(G483="Paused — pending decision",E483&lt;&gt;"Precautionary pause (containment)"),"Paused, pending decision is only for a Precautionary pause event",IF(AND(E483="Decision",OR(G483="",H483="",I483="")),"Outcome / delegation / decision ref missing",IF(AND(E483="Decision",NOT(OR(G483="Progress",G483="Progress with condition",G483="Return for evidence",G483="Pause",G483="Stop",G483="Suspend",G483="Decommission",G483="Re-authorise",G483="Resume"))),"Decision event needs a decision outcome",IF(AND(E483="Priority override",OR(H483="",I483="")),"Decision-maker / AIG-DEC-03 ref missing",IF(AND(E483="Priority override",G483&lt;&gt;"",G483&lt;&gt;"No decision"),"Priority override: Outcome blank or No decision",IF(AND(E483&lt;&gt;"Decision",OR(G483="Progress",G483="Progress with condition",G483="Return for evidence",G483="Pause",G483="Stop",G483="Suspend",G483="Decommission",G483="Re-authorise",G483="Resume")),"Outcome implies decision",IF(OR(ISNUMBER(SEARCH(",",O483)),ISNUMBER(SEARCH(";",O483))),"One UC-ID per event row — split this event",IF(AND(E483="Decision",OR(Q483="UC-ID REQUIRED",Q483="Decision scope missing",Q483="REMOVE UC-ID OR CORRECT SCOPE")),"Decision scope missing",IF(AND(G483="Progress with condition",COUNTIF(Conditions!$B$4:$B$553,A483)=0),"Progress with condition needs at least one Conditions row",IF(AND(C483&lt;&gt;"",COUNTIFS('Gate plan'!$A$4:$A$353,C483,'Gate plan'!$C$4:$C$353,D483)=0),"Plan gate differs from event gate",IF(AND(C483&lt;&gt;"",O483&lt;&gt;"",COUNTIFS('Gate plan'!$A$4:$A$353,C483,'Gate plan'!$K$4:$K$353,"&lt;&gt;")&gt;0,COUNTIFS('Gate plan'!$A$4:$A$353,C483,'Gate plan'!$K$4:$K$353,O483)=0),"Plan UC-ID differs from event UC-ID",IF(AND(E483="Assurance opinion",J483=""),"Assurance opinion ref missing",IF(AND(G483="Opinion only",E483&lt;&gt;"Assurance opinion",E483&lt;&gt;"Review only"),"Opinion only is for Assurance opinion or Review only events",IF(AND(G483="No decision",E483&lt;&gt;"Review only",E483&lt;&gt;"Priority override",E483&lt;&gt;"Intake / registration"),"No decision is for Review only, Priority override or Intake / registration events",IF(OR(ISNUMBER(SEARCH(" ",TRIM(O483))),ISNUMBER(SEARCH("/",O483))),"One UC-ID per event row: split this event",IF(AND(E483="Precautionary pause (containment)",ISNUMBER(W483),ISNUMBER(F483),W483&lt;F483),"Follow-up decision due date is before the pause",IF(AND(G483="Resume",IFERROR(LOOKUP(2,1/(($B$3:B482=B483)*($O$3:O482=O483)),$G$3:G482),"")&lt;&gt;"Paused — pending decision"),"Resume is only for the event straight after a Precautionary pause on the same AIR-ID and UC-ID (in an earlier row)",IF(AND(E483="Decision",OR(G483="Progress",G483="Progress with condition",G483="Re-authorise",G483="Resume"),X483&lt;&gt;"Yes"),"Decision-maker has not confirmed the screening was considered (column X)","Check against source")))))))))))))))))))))))))))))</f>
        <v/>
      </c>
      <c r="O483" s="37" t="n"/>
      <c r="P483" s="37" t="n"/>
      <c r="Q483" s="14">
        <f>IF(A483="","",IF(E483&lt;&gt;"Decision","",IF(P483="UC-ID specific",IF(O483="","UC-ID REQUIRED","Check source decision for each UC-ID"),IF(P483="Shared system baseline",IF(O483&lt;&gt;"","REMOVE UC-ID OR CORRECT SCOPE","Baseline only — NOT UC approval"),"Decision scope missing"))))</f>
        <v/>
      </c>
      <c r="R483" s="43" t="n"/>
      <c r="S483" s="40" t="n"/>
      <c r="T483" s="40" t="n"/>
      <c r="U483" s="40" t="n"/>
      <c r="V483" s="40" t="n"/>
      <c r="W483" s="41" t="n"/>
      <c r="X483" s="38" t="n"/>
    </row>
    <row r="484">
      <c r="A484" s="38" t="n"/>
      <c r="B484" s="38" t="n"/>
      <c r="C484" s="38" t="n"/>
      <c r="D484" s="38" t="n"/>
      <c r="E484" s="38" t="n"/>
      <c r="F484" s="39" t="n"/>
      <c r="G484" s="38" t="n"/>
      <c r="H484" s="38" t="n"/>
      <c r="I484" s="38" t="n"/>
      <c r="J484" s="38" t="n"/>
      <c r="K484" s="38" t="n"/>
      <c r="L484" s="38" t="n"/>
      <c r="M484" s="38" t="n"/>
      <c r="N484" s="22">
        <f>IF(COUNTA(A484:M484,O484:P484,R484:X484)=0,"",IF(OR(A484="",B484="",F484=""),"Event ID, AIR-ID or date missing",IF(COUNTIF($A$4:$A$553,A484)&gt;1,"Duplicate Event ID",IF(E484="","Event type missing",IF(OR(NOT(ISNUMBER(F484)),F484&gt;TODAY()),"Date is not a real date or is in the future",IF(AND(C484&lt;&gt;"",COUNTIF('Gate plan'!$A$4:$A$353,C484)=0),"Plan ID not found in Gate plan",IF(AND(C484&lt;&gt;"",COUNTIFS('Gate plan'!$A$4:$A$353,C484,'Gate plan'!$B$4:$B$353,B484)=0),"Plan AIR-ID differs from event",IF(D484="","Gate / forum missing",IF(AND(E484="Precautionary pause (containment)",G484&lt;&gt;"Paused — pending decision"),"Precautionary pause: Outcome must be Paused, pending decision",IF(AND(E484="Precautionary pause (containment)",V484=""),"Precautionary pause: AIG-OPS-03 incident ref missing",IF(AND(E484="Precautionary pause (containment)",NOT(ISNUMBER(W484))),"Precautionary pause: follow-up decision due date missing",IF(AND(G484="Paused — pending decision",E484&lt;&gt;"Precautionary pause (containment)"),"Paused, pending decision is only for a Precautionary pause event",IF(AND(E484="Decision",OR(G484="",H484="",I484="")),"Outcome / delegation / decision ref missing",IF(AND(E484="Decision",NOT(OR(G484="Progress",G484="Progress with condition",G484="Return for evidence",G484="Pause",G484="Stop",G484="Suspend",G484="Decommission",G484="Re-authorise",G484="Resume"))),"Decision event needs a decision outcome",IF(AND(E484="Priority override",OR(H484="",I484="")),"Decision-maker / AIG-DEC-03 ref missing",IF(AND(E484="Priority override",G484&lt;&gt;"",G484&lt;&gt;"No decision"),"Priority override: Outcome blank or No decision",IF(AND(E484&lt;&gt;"Decision",OR(G484="Progress",G484="Progress with condition",G484="Return for evidence",G484="Pause",G484="Stop",G484="Suspend",G484="Decommission",G484="Re-authorise",G484="Resume")),"Outcome implies decision",IF(OR(ISNUMBER(SEARCH(",",O484)),ISNUMBER(SEARCH(";",O484))),"One UC-ID per event row — split this event",IF(AND(E484="Decision",OR(Q484="UC-ID REQUIRED",Q484="Decision scope missing",Q484="REMOVE UC-ID OR CORRECT SCOPE")),"Decision scope missing",IF(AND(G484="Progress with condition",COUNTIF(Conditions!$B$4:$B$553,A484)=0),"Progress with condition needs at least one Conditions row",IF(AND(C484&lt;&gt;"",COUNTIFS('Gate plan'!$A$4:$A$353,C484,'Gate plan'!$C$4:$C$353,D484)=0),"Plan gate differs from event gate",IF(AND(C484&lt;&gt;"",O484&lt;&gt;"",COUNTIFS('Gate plan'!$A$4:$A$353,C484,'Gate plan'!$K$4:$K$353,"&lt;&gt;")&gt;0,COUNTIFS('Gate plan'!$A$4:$A$353,C484,'Gate plan'!$K$4:$K$353,O484)=0),"Plan UC-ID differs from event UC-ID",IF(AND(E484="Assurance opinion",J484=""),"Assurance opinion ref missing",IF(AND(G484="Opinion only",E484&lt;&gt;"Assurance opinion",E484&lt;&gt;"Review only"),"Opinion only is for Assurance opinion or Review only events",IF(AND(G484="No decision",E484&lt;&gt;"Review only",E484&lt;&gt;"Priority override",E484&lt;&gt;"Intake / registration"),"No decision is for Review only, Priority override or Intake / registration events",IF(OR(ISNUMBER(SEARCH(" ",TRIM(O484))),ISNUMBER(SEARCH("/",O484))),"One UC-ID per event row: split this event",IF(AND(E484="Precautionary pause (containment)",ISNUMBER(W484),ISNUMBER(F484),W484&lt;F484),"Follow-up decision due date is before the pause",IF(AND(G484="Resume",IFERROR(LOOKUP(2,1/(($B$3:B483=B484)*($O$3:O483=O484)),$G$3:G483),"")&lt;&gt;"Paused — pending decision"),"Resume is only for the event straight after a Precautionary pause on the same AIR-ID and UC-ID (in an earlier row)",IF(AND(E484="Decision",OR(G484="Progress",G484="Progress with condition",G484="Re-authorise",G484="Resume"),X484&lt;&gt;"Yes"),"Decision-maker has not confirmed the screening was considered (column X)","Check against source")))))))))))))))))))))))))))))</f>
        <v/>
      </c>
      <c r="O484" s="37" t="n"/>
      <c r="P484" s="37" t="n"/>
      <c r="Q484" s="14">
        <f>IF(A484="","",IF(E484&lt;&gt;"Decision","",IF(P484="UC-ID specific",IF(O484="","UC-ID REQUIRED","Check source decision for each UC-ID"),IF(P484="Shared system baseline",IF(O484&lt;&gt;"","REMOVE UC-ID OR CORRECT SCOPE","Baseline only — NOT UC approval"),"Decision scope missing"))))</f>
        <v/>
      </c>
      <c r="R484" s="42" t="n"/>
      <c r="S484" s="38" t="n"/>
      <c r="T484" s="38" t="n"/>
      <c r="U484" s="38" t="n"/>
      <c r="V484" s="38" t="n"/>
      <c r="W484" s="39" t="n"/>
      <c r="X484" s="38" t="n"/>
    </row>
    <row r="485">
      <c r="A485" s="40" t="n"/>
      <c r="B485" s="40" t="n"/>
      <c r="C485" s="40" t="n"/>
      <c r="D485" s="40" t="n"/>
      <c r="E485" s="40" t="n"/>
      <c r="F485" s="41" t="n"/>
      <c r="G485" s="40" t="n"/>
      <c r="H485" s="40" t="n"/>
      <c r="I485" s="40" t="n"/>
      <c r="J485" s="40" t="n"/>
      <c r="K485" s="40" t="n"/>
      <c r="L485" s="40" t="n"/>
      <c r="M485" s="40" t="n"/>
      <c r="N485" s="24">
        <f>IF(COUNTA(A485:M485,O485:P485,R485:X485)=0,"",IF(OR(A485="",B485="",F485=""),"Event ID, AIR-ID or date missing",IF(COUNTIF($A$4:$A$553,A485)&gt;1,"Duplicate Event ID",IF(E485="","Event type missing",IF(OR(NOT(ISNUMBER(F485)),F485&gt;TODAY()),"Date is not a real date or is in the future",IF(AND(C485&lt;&gt;"",COUNTIF('Gate plan'!$A$4:$A$353,C485)=0),"Plan ID not found in Gate plan",IF(AND(C485&lt;&gt;"",COUNTIFS('Gate plan'!$A$4:$A$353,C485,'Gate plan'!$B$4:$B$353,B485)=0),"Plan AIR-ID differs from event",IF(D485="","Gate / forum missing",IF(AND(E485="Precautionary pause (containment)",G485&lt;&gt;"Paused — pending decision"),"Precautionary pause: Outcome must be Paused, pending decision",IF(AND(E485="Precautionary pause (containment)",V485=""),"Precautionary pause: AIG-OPS-03 incident ref missing",IF(AND(E485="Precautionary pause (containment)",NOT(ISNUMBER(W485))),"Precautionary pause: follow-up decision due date missing",IF(AND(G485="Paused — pending decision",E485&lt;&gt;"Precautionary pause (containment)"),"Paused, pending decision is only for a Precautionary pause event",IF(AND(E485="Decision",OR(G485="",H485="",I485="")),"Outcome / delegation / decision ref missing",IF(AND(E485="Decision",NOT(OR(G485="Progress",G485="Progress with condition",G485="Return for evidence",G485="Pause",G485="Stop",G485="Suspend",G485="Decommission",G485="Re-authorise",G485="Resume"))),"Decision event needs a decision outcome",IF(AND(E485="Priority override",OR(H485="",I485="")),"Decision-maker / AIG-DEC-03 ref missing",IF(AND(E485="Priority override",G485&lt;&gt;"",G485&lt;&gt;"No decision"),"Priority override: Outcome blank or No decision",IF(AND(E485&lt;&gt;"Decision",OR(G485="Progress",G485="Progress with condition",G485="Return for evidence",G485="Pause",G485="Stop",G485="Suspend",G485="Decommission",G485="Re-authorise",G485="Resume")),"Outcome implies decision",IF(OR(ISNUMBER(SEARCH(",",O485)),ISNUMBER(SEARCH(";",O485))),"One UC-ID per event row — split this event",IF(AND(E485="Decision",OR(Q485="UC-ID REQUIRED",Q485="Decision scope missing",Q485="REMOVE UC-ID OR CORRECT SCOPE")),"Decision scope missing",IF(AND(G485="Progress with condition",COUNTIF(Conditions!$B$4:$B$553,A485)=0),"Progress with condition needs at least one Conditions row",IF(AND(C485&lt;&gt;"",COUNTIFS('Gate plan'!$A$4:$A$353,C485,'Gate plan'!$C$4:$C$353,D485)=0),"Plan gate differs from event gate",IF(AND(C485&lt;&gt;"",O485&lt;&gt;"",COUNTIFS('Gate plan'!$A$4:$A$353,C485,'Gate plan'!$K$4:$K$353,"&lt;&gt;")&gt;0,COUNTIFS('Gate plan'!$A$4:$A$353,C485,'Gate plan'!$K$4:$K$353,O485)=0),"Plan UC-ID differs from event UC-ID",IF(AND(E485="Assurance opinion",J485=""),"Assurance opinion ref missing",IF(AND(G485="Opinion only",E485&lt;&gt;"Assurance opinion",E485&lt;&gt;"Review only"),"Opinion only is for Assurance opinion or Review only events",IF(AND(G485="No decision",E485&lt;&gt;"Review only",E485&lt;&gt;"Priority override",E485&lt;&gt;"Intake / registration"),"No decision is for Review only, Priority override or Intake / registration events",IF(OR(ISNUMBER(SEARCH(" ",TRIM(O485))),ISNUMBER(SEARCH("/",O485))),"One UC-ID per event row: split this event",IF(AND(E485="Precautionary pause (containment)",ISNUMBER(W485),ISNUMBER(F485),W485&lt;F485),"Follow-up decision due date is before the pause",IF(AND(G485="Resume",IFERROR(LOOKUP(2,1/(($B$3:B484=B485)*($O$3:O484=O485)),$G$3:G484),"")&lt;&gt;"Paused — pending decision"),"Resume is only for the event straight after a Precautionary pause on the same AIR-ID and UC-ID (in an earlier row)",IF(AND(E485="Decision",OR(G485="Progress",G485="Progress with condition",G485="Re-authorise",G485="Resume"),X485&lt;&gt;"Yes"),"Decision-maker has not confirmed the screening was considered (column X)","Check against source")))))))))))))))))))))))))))))</f>
        <v/>
      </c>
      <c r="O485" s="37" t="n"/>
      <c r="P485" s="37" t="n"/>
      <c r="Q485" s="14">
        <f>IF(A485="","",IF(E485&lt;&gt;"Decision","",IF(P485="UC-ID specific",IF(O485="","UC-ID REQUIRED","Check source decision for each UC-ID"),IF(P485="Shared system baseline",IF(O485&lt;&gt;"","REMOVE UC-ID OR CORRECT SCOPE","Baseline only — NOT UC approval"),"Decision scope missing"))))</f>
        <v/>
      </c>
      <c r="R485" s="43" t="n"/>
      <c r="S485" s="40" t="n"/>
      <c r="T485" s="40" t="n"/>
      <c r="U485" s="40" t="n"/>
      <c r="V485" s="40" t="n"/>
      <c r="W485" s="41" t="n"/>
      <c r="X485" s="38" t="n"/>
    </row>
    <row r="486">
      <c r="A486" s="38" t="n"/>
      <c r="B486" s="38" t="n"/>
      <c r="C486" s="38" t="n"/>
      <c r="D486" s="38" t="n"/>
      <c r="E486" s="38" t="n"/>
      <c r="F486" s="39" t="n"/>
      <c r="G486" s="38" t="n"/>
      <c r="H486" s="38" t="n"/>
      <c r="I486" s="38" t="n"/>
      <c r="J486" s="38" t="n"/>
      <c r="K486" s="38" t="n"/>
      <c r="L486" s="38" t="n"/>
      <c r="M486" s="38" t="n"/>
      <c r="N486" s="22">
        <f>IF(COUNTA(A486:M486,O486:P486,R486:X486)=0,"",IF(OR(A486="",B486="",F486=""),"Event ID, AIR-ID or date missing",IF(COUNTIF($A$4:$A$553,A486)&gt;1,"Duplicate Event ID",IF(E486="","Event type missing",IF(OR(NOT(ISNUMBER(F486)),F486&gt;TODAY()),"Date is not a real date or is in the future",IF(AND(C486&lt;&gt;"",COUNTIF('Gate plan'!$A$4:$A$353,C486)=0),"Plan ID not found in Gate plan",IF(AND(C486&lt;&gt;"",COUNTIFS('Gate plan'!$A$4:$A$353,C486,'Gate plan'!$B$4:$B$353,B486)=0),"Plan AIR-ID differs from event",IF(D486="","Gate / forum missing",IF(AND(E486="Precautionary pause (containment)",G486&lt;&gt;"Paused — pending decision"),"Precautionary pause: Outcome must be Paused, pending decision",IF(AND(E486="Precautionary pause (containment)",V486=""),"Precautionary pause: AIG-OPS-03 incident ref missing",IF(AND(E486="Precautionary pause (containment)",NOT(ISNUMBER(W486))),"Precautionary pause: follow-up decision due date missing",IF(AND(G486="Paused — pending decision",E486&lt;&gt;"Precautionary pause (containment)"),"Paused, pending decision is only for a Precautionary pause event",IF(AND(E486="Decision",OR(G486="",H486="",I486="")),"Outcome / delegation / decision ref missing",IF(AND(E486="Decision",NOT(OR(G486="Progress",G486="Progress with condition",G486="Return for evidence",G486="Pause",G486="Stop",G486="Suspend",G486="Decommission",G486="Re-authorise",G486="Resume"))),"Decision event needs a decision outcome",IF(AND(E486="Priority override",OR(H486="",I486="")),"Decision-maker / AIG-DEC-03 ref missing",IF(AND(E486="Priority override",G486&lt;&gt;"",G486&lt;&gt;"No decision"),"Priority override: Outcome blank or No decision",IF(AND(E486&lt;&gt;"Decision",OR(G486="Progress",G486="Progress with condition",G486="Return for evidence",G486="Pause",G486="Stop",G486="Suspend",G486="Decommission",G486="Re-authorise",G486="Resume")),"Outcome implies decision",IF(OR(ISNUMBER(SEARCH(",",O486)),ISNUMBER(SEARCH(";",O486))),"One UC-ID per event row — split this event",IF(AND(E486="Decision",OR(Q486="UC-ID REQUIRED",Q486="Decision scope missing",Q486="REMOVE UC-ID OR CORRECT SCOPE")),"Decision scope missing",IF(AND(G486="Progress with condition",COUNTIF(Conditions!$B$4:$B$553,A486)=0),"Progress with condition needs at least one Conditions row",IF(AND(C486&lt;&gt;"",COUNTIFS('Gate plan'!$A$4:$A$353,C486,'Gate plan'!$C$4:$C$353,D486)=0),"Plan gate differs from event gate",IF(AND(C486&lt;&gt;"",O486&lt;&gt;"",COUNTIFS('Gate plan'!$A$4:$A$353,C486,'Gate plan'!$K$4:$K$353,"&lt;&gt;")&gt;0,COUNTIFS('Gate plan'!$A$4:$A$353,C486,'Gate plan'!$K$4:$K$353,O486)=0),"Plan UC-ID differs from event UC-ID",IF(AND(E486="Assurance opinion",J486=""),"Assurance opinion ref missing",IF(AND(G486="Opinion only",E486&lt;&gt;"Assurance opinion",E486&lt;&gt;"Review only"),"Opinion only is for Assurance opinion or Review only events",IF(AND(G486="No decision",E486&lt;&gt;"Review only",E486&lt;&gt;"Priority override",E486&lt;&gt;"Intake / registration"),"No decision is for Review only, Priority override or Intake / registration events",IF(OR(ISNUMBER(SEARCH(" ",TRIM(O486))),ISNUMBER(SEARCH("/",O486))),"One UC-ID per event row: split this event",IF(AND(E486="Precautionary pause (containment)",ISNUMBER(W486),ISNUMBER(F486),W486&lt;F486),"Follow-up decision due date is before the pause",IF(AND(G486="Resume",IFERROR(LOOKUP(2,1/(($B$3:B485=B486)*($O$3:O485=O486)),$G$3:G485),"")&lt;&gt;"Paused — pending decision"),"Resume is only for the event straight after a Precautionary pause on the same AIR-ID and UC-ID (in an earlier row)",IF(AND(E486="Decision",OR(G486="Progress",G486="Progress with condition",G486="Re-authorise",G486="Resume"),X486&lt;&gt;"Yes"),"Decision-maker has not confirmed the screening was considered (column X)","Check against source")))))))))))))))))))))))))))))</f>
        <v/>
      </c>
      <c r="O486" s="37" t="n"/>
      <c r="P486" s="37" t="n"/>
      <c r="Q486" s="14">
        <f>IF(A486="","",IF(E486&lt;&gt;"Decision","",IF(P486="UC-ID specific",IF(O486="","UC-ID REQUIRED","Check source decision for each UC-ID"),IF(P486="Shared system baseline",IF(O486&lt;&gt;"","REMOVE UC-ID OR CORRECT SCOPE","Baseline only — NOT UC approval"),"Decision scope missing"))))</f>
        <v/>
      </c>
      <c r="R486" s="42" t="n"/>
      <c r="S486" s="38" t="n"/>
      <c r="T486" s="38" t="n"/>
      <c r="U486" s="38" t="n"/>
      <c r="V486" s="38" t="n"/>
      <c r="W486" s="39" t="n"/>
      <c r="X486" s="38" t="n"/>
    </row>
    <row r="487">
      <c r="A487" s="40" t="n"/>
      <c r="B487" s="40" t="n"/>
      <c r="C487" s="40" t="n"/>
      <c r="D487" s="40" t="n"/>
      <c r="E487" s="40" t="n"/>
      <c r="F487" s="41" t="n"/>
      <c r="G487" s="40" t="n"/>
      <c r="H487" s="40" t="n"/>
      <c r="I487" s="40" t="n"/>
      <c r="J487" s="40" t="n"/>
      <c r="K487" s="40" t="n"/>
      <c r="L487" s="40" t="n"/>
      <c r="M487" s="40" t="n"/>
      <c r="N487" s="24">
        <f>IF(COUNTA(A487:M487,O487:P487,R487:X487)=0,"",IF(OR(A487="",B487="",F487=""),"Event ID, AIR-ID or date missing",IF(COUNTIF($A$4:$A$553,A487)&gt;1,"Duplicate Event ID",IF(E487="","Event type missing",IF(OR(NOT(ISNUMBER(F487)),F487&gt;TODAY()),"Date is not a real date or is in the future",IF(AND(C487&lt;&gt;"",COUNTIF('Gate plan'!$A$4:$A$353,C487)=0),"Plan ID not found in Gate plan",IF(AND(C487&lt;&gt;"",COUNTIFS('Gate plan'!$A$4:$A$353,C487,'Gate plan'!$B$4:$B$353,B487)=0),"Plan AIR-ID differs from event",IF(D487="","Gate / forum missing",IF(AND(E487="Precautionary pause (containment)",G487&lt;&gt;"Paused — pending decision"),"Precautionary pause: Outcome must be Paused, pending decision",IF(AND(E487="Precautionary pause (containment)",V487=""),"Precautionary pause: AIG-OPS-03 incident ref missing",IF(AND(E487="Precautionary pause (containment)",NOT(ISNUMBER(W487))),"Precautionary pause: follow-up decision due date missing",IF(AND(G487="Paused — pending decision",E487&lt;&gt;"Precautionary pause (containment)"),"Paused, pending decision is only for a Precautionary pause event",IF(AND(E487="Decision",OR(G487="",H487="",I487="")),"Outcome / delegation / decision ref missing",IF(AND(E487="Decision",NOT(OR(G487="Progress",G487="Progress with condition",G487="Return for evidence",G487="Pause",G487="Stop",G487="Suspend",G487="Decommission",G487="Re-authorise",G487="Resume"))),"Decision event needs a decision outcome",IF(AND(E487="Priority override",OR(H487="",I487="")),"Decision-maker / AIG-DEC-03 ref missing",IF(AND(E487="Priority override",G487&lt;&gt;"",G487&lt;&gt;"No decision"),"Priority override: Outcome blank or No decision",IF(AND(E487&lt;&gt;"Decision",OR(G487="Progress",G487="Progress with condition",G487="Return for evidence",G487="Pause",G487="Stop",G487="Suspend",G487="Decommission",G487="Re-authorise",G487="Resume")),"Outcome implies decision",IF(OR(ISNUMBER(SEARCH(",",O487)),ISNUMBER(SEARCH(";",O487))),"One UC-ID per event row — split this event",IF(AND(E487="Decision",OR(Q487="UC-ID REQUIRED",Q487="Decision scope missing",Q487="REMOVE UC-ID OR CORRECT SCOPE")),"Decision scope missing",IF(AND(G487="Progress with condition",COUNTIF(Conditions!$B$4:$B$553,A487)=0),"Progress with condition needs at least one Conditions row",IF(AND(C487&lt;&gt;"",COUNTIFS('Gate plan'!$A$4:$A$353,C487,'Gate plan'!$C$4:$C$353,D487)=0),"Plan gate differs from event gate",IF(AND(C487&lt;&gt;"",O487&lt;&gt;"",COUNTIFS('Gate plan'!$A$4:$A$353,C487,'Gate plan'!$K$4:$K$353,"&lt;&gt;")&gt;0,COUNTIFS('Gate plan'!$A$4:$A$353,C487,'Gate plan'!$K$4:$K$353,O487)=0),"Plan UC-ID differs from event UC-ID",IF(AND(E487="Assurance opinion",J487=""),"Assurance opinion ref missing",IF(AND(G487="Opinion only",E487&lt;&gt;"Assurance opinion",E487&lt;&gt;"Review only"),"Opinion only is for Assurance opinion or Review only events",IF(AND(G487="No decision",E487&lt;&gt;"Review only",E487&lt;&gt;"Priority override",E487&lt;&gt;"Intake / registration"),"No decision is for Review only, Priority override or Intake / registration events",IF(OR(ISNUMBER(SEARCH(" ",TRIM(O487))),ISNUMBER(SEARCH("/",O487))),"One UC-ID per event row: split this event",IF(AND(E487="Precautionary pause (containment)",ISNUMBER(W487),ISNUMBER(F487),W487&lt;F487),"Follow-up decision due date is before the pause",IF(AND(G487="Resume",IFERROR(LOOKUP(2,1/(($B$3:B486=B487)*($O$3:O486=O487)),$G$3:G486),"")&lt;&gt;"Paused — pending decision"),"Resume is only for the event straight after a Precautionary pause on the same AIR-ID and UC-ID (in an earlier row)",IF(AND(E487="Decision",OR(G487="Progress",G487="Progress with condition",G487="Re-authorise",G487="Resume"),X487&lt;&gt;"Yes"),"Decision-maker has not confirmed the screening was considered (column X)","Check against source")))))))))))))))))))))))))))))</f>
        <v/>
      </c>
      <c r="O487" s="37" t="n"/>
      <c r="P487" s="37" t="n"/>
      <c r="Q487" s="14">
        <f>IF(A487="","",IF(E487&lt;&gt;"Decision","",IF(P487="UC-ID specific",IF(O487="","UC-ID REQUIRED","Check source decision for each UC-ID"),IF(P487="Shared system baseline",IF(O487&lt;&gt;"","REMOVE UC-ID OR CORRECT SCOPE","Baseline only — NOT UC approval"),"Decision scope missing"))))</f>
        <v/>
      </c>
      <c r="R487" s="43" t="n"/>
      <c r="S487" s="40" t="n"/>
      <c r="T487" s="40" t="n"/>
      <c r="U487" s="40" t="n"/>
      <c r="V487" s="40" t="n"/>
      <c r="W487" s="41" t="n"/>
      <c r="X487" s="38" t="n"/>
    </row>
    <row r="488">
      <c r="A488" s="38" t="n"/>
      <c r="B488" s="38" t="n"/>
      <c r="C488" s="38" t="n"/>
      <c r="D488" s="38" t="n"/>
      <c r="E488" s="38" t="n"/>
      <c r="F488" s="39" t="n"/>
      <c r="G488" s="38" t="n"/>
      <c r="H488" s="38" t="n"/>
      <c r="I488" s="38" t="n"/>
      <c r="J488" s="38" t="n"/>
      <c r="K488" s="38" t="n"/>
      <c r="L488" s="38" t="n"/>
      <c r="M488" s="38" t="n"/>
      <c r="N488" s="22">
        <f>IF(COUNTA(A488:M488,O488:P488,R488:X488)=0,"",IF(OR(A488="",B488="",F488=""),"Event ID, AIR-ID or date missing",IF(COUNTIF($A$4:$A$553,A488)&gt;1,"Duplicate Event ID",IF(E488="","Event type missing",IF(OR(NOT(ISNUMBER(F488)),F488&gt;TODAY()),"Date is not a real date or is in the future",IF(AND(C488&lt;&gt;"",COUNTIF('Gate plan'!$A$4:$A$353,C488)=0),"Plan ID not found in Gate plan",IF(AND(C488&lt;&gt;"",COUNTIFS('Gate plan'!$A$4:$A$353,C488,'Gate plan'!$B$4:$B$353,B488)=0),"Plan AIR-ID differs from event",IF(D488="","Gate / forum missing",IF(AND(E488="Precautionary pause (containment)",G488&lt;&gt;"Paused — pending decision"),"Precautionary pause: Outcome must be Paused, pending decision",IF(AND(E488="Precautionary pause (containment)",V488=""),"Precautionary pause: AIG-OPS-03 incident ref missing",IF(AND(E488="Precautionary pause (containment)",NOT(ISNUMBER(W488))),"Precautionary pause: follow-up decision due date missing",IF(AND(G488="Paused — pending decision",E488&lt;&gt;"Precautionary pause (containment)"),"Paused, pending decision is only for a Precautionary pause event",IF(AND(E488="Decision",OR(G488="",H488="",I488="")),"Outcome / delegation / decision ref missing",IF(AND(E488="Decision",NOT(OR(G488="Progress",G488="Progress with condition",G488="Return for evidence",G488="Pause",G488="Stop",G488="Suspend",G488="Decommission",G488="Re-authorise",G488="Resume"))),"Decision event needs a decision outcome",IF(AND(E488="Priority override",OR(H488="",I488="")),"Decision-maker / AIG-DEC-03 ref missing",IF(AND(E488="Priority override",G488&lt;&gt;"",G488&lt;&gt;"No decision"),"Priority override: Outcome blank or No decision",IF(AND(E488&lt;&gt;"Decision",OR(G488="Progress",G488="Progress with condition",G488="Return for evidence",G488="Pause",G488="Stop",G488="Suspend",G488="Decommission",G488="Re-authorise",G488="Resume")),"Outcome implies decision",IF(OR(ISNUMBER(SEARCH(",",O488)),ISNUMBER(SEARCH(";",O488))),"One UC-ID per event row — split this event",IF(AND(E488="Decision",OR(Q488="UC-ID REQUIRED",Q488="Decision scope missing",Q488="REMOVE UC-ID OR CORRECT SCOPE")),"Decision scope missing",IF(AND(G488="Progress with condition",COUNTIF(Conditions!$B$4:$B$553,A488)=0),"Progress with condition needs at least one Conditions row",IF(AND(C488&lt;&gt;"",COUNTIFS('Gate plan'!$A$4:$A$353,C488,'Gate plan'!$C$4:$C$353,D488)=0),"Plan gate differs from event gate",IF(AND(C488&lt;&gt;"",O488&lt;&gt;"",COUNTIFS('Gate plan'!$A$4:$A$353,C488,'Gate plan'!$K$4:$K$353,"&lt;&gt;")&gt;0,COUNTIFS('Gate plan'!$A$4:$A$353,C488,'Gate plan'!$K$4:$K$353,O488)=0),"Plan UC-ID differs from event UC-ID",IF(AND(E488="Assurance opinion",J488=""),"Assurance opinion ref missing",IF(AND(G488="Opinion only",E488&lt;&gt;"Assurance opinion",E488&lt;&gt;"Review only"),"Opinion only is for Assurance opinion or Review only events",IF(AND(G488="No decision",E488&lt;&gt;"Review only",E488&lt;&gt;"Priority override",E488&lt;&gt;"Intake / registration"),"No decision is for Review only, Priority override or Intake / registration events",IF(OR(ISNUMBER(SEARCH(" ",TRIM(O488))),ISNUMBER(SEARCH("/",O488))),"One UC-ID per event row: split this event",IF(AND(E488="Precautionary pause (containment)",ISNUMBER(W488),ISNUMBER(F488),W488&lt;F488),"Follow-up decision due date is before the pause",IF(AND(G488="Resume",IFERROR(LOOKUP(2,1/(($B$3:B487=B488)*($O$3:O487=O488)),$G$3:G487),"")&lt;&gt;"Paused — pending decision"),"Resume is only for the event straight after a Precautionary pause on the same AIR-ID and UC-ID (in an earlier row)",IF(AND(E488="Decision",OR(G488="Progress",G488="Progress with condition",G488="Re-authorise",G488="Resume"),X488&lt;&gt;"Yes"),"Decision-maker has not confirmed the screening was considered (column X)","Check against source")))))))))))))))))))))))))))))</f>
        <v/>
      </c>
      <c r="O488" s="37" t="n"/>
      <c r="P488" s="37" t="n"/>
      <c r="Q488" s="14">
        <f>IF(A488="","",IF(E488&lt;&gt;"Decision","",IF(P488="UC-ID specific",IF(O488="","UC-ID REQUIRED","Check source decision for each UC-ID"),IF(P488="Shared system baseline",IF(O488&lt;&gt;"","REMOVE UC-ID OR CORRECT SCOPE","Baseline only — NOT UC approval"),"Decision scope missing"))))</f>
        <v/>
      </c>
      <c r="R488" s="42" t="n"/>
      <c r="S488" s="38" t="n"/>
      <c r="T488" s="38" t="n"/>
      <c r="U488" s="38" t="n"/>
      <c r="V488" s="38" t="n"/>
      <c r="W488" s="39" t="n"/>
      <c r="X488" s="38" t="n"/>
    </row>
    <row r="489">
      <c r="A489" s="40" t="n"/>
      <c r="B489" s="40" t="n"/>
      <c r="C489" s="40" t="n"/>
      <c r="D489" s="40" t="n"/>
      <c r="E489" s="40" t="n"/>
      <c r="F489" s="41" t="n"/>
      <c r="G489" s="40" t="n"/>
      <c r="H489" s="40" t="n"/>
      <c r="I489" s="40" t="n"/>
      <c r="J489" s="40" t="n"/>
      <c r="K489" s="40" t="n"/>
      <c r="L489" s="40" t="n"/>
      <c r="M489" s="40" t="n"/>
      <c r="N489" s="24">
        <f>IF(COUNTA(A489:M489,O489:P489,R489:X489)=0,"",IF(OR(A489="",B489="",F489=""),"Event ID, AIR-ID or date missing",IF(COUNTIF($A$4:$A$553,A489)&gt;1,"Duplicate Event ID",IF(E489="","Event type missing",IF(OR(NOT(ISNUMBER(F489)),F489&gt;TODAY()),"Date is not a real date or is in the future",IF(AND(C489&lt;&gt;"",COUNTIF('Gate plan'!$A$4:$A$353,C489)=0),"Plan ID not found in Gate plan",IF(AND(C489&lt;&gt;"",COUNTIFS('Gate plan'!$A$4:$A$353,C489,'Gate plan'!$B$4:$B$353,B489)=0),"Plan AIR-ID differs from event",IF(D489="","Gate / forum missing",IF(AND(E489="Precautionary pause (containment)",G489&lt;&gt;"Paused — pending decision"),"Precautionary pause: Outcome must be Paused, pending decision",IF(AND(E489="Precautionary pause (containment)",V489=""),"Precautionary pause: AIG-OPS-03 incident ref missing",IF(AND(E489="Precautionary pause (containment)",NOT(ISNUMBER(W489))),"Precautionary pause: follow-up decision due date missing",IF(AND(G489="Paused — pending decision",E489&lt;&gt;"Precautionary pause (containment)"),"Paused, pending decision is only for a Precautionary pause event",IF(AND(E489="Decision",OR(G489="",H489="",I489="")),"Outcome / delegation / decision ref missing",IF(AND(E489="Decision",NOT(OR(G489="Progress",G489="Progress with condition",G489="Return for evidence",G489="Pause",G489="Stop",G489="Suspend",G489="Decommission",G489="Re-authorise",G489="Resume"))),"Decision event needs a decision outcome",IF(AND(E489="Priority override",OR(H489="",I489="")),"Decision-maker / AIG-DEC-03 ref missing",IF(AND(E489="Priority override",G489&lt;&gt;"",G489&lt;&gt;"No decision"),"Priority override: Outcome blank or No decision",IF(AND(E489&lt;&gt;"Decision",OR(G489="Progress",G489="Progress with condition",G489="Return for evidence",G489="Pause",G489="Stop",G489="Suspend",G489="Decommission",G489="Re-authorise",G489="Resume")),"Outcome implies decision",IF(OR(ISNUMBER(SEARCH(",",O489)),ISNUMBER(SEARCH(";",O489))),"One UC-ID per event row — split this event",IF(AND(E489="Decision",OR(Q489="UC-ID REQUIRED",Q489="Decision scope missing",Q489="REMOVE UC-ID OR CORRECT SCOPE")),"Decision scope missing",IF(AND(G489="Progress with condition",COUNTIF(Conditions!$B$4:$B$553,A489)=0),"Progress with condition needs at least one Conditions row",IF(AND(C489&lt;&gt;"",COUNTIFS('Gate plan'!$A$4:$A$353,C489,'Gate plan'!$C$4:$C$353,D489)=0),"Plan gate differs from event gate",IF(AND(C489&lt;&gt;"",O489&lt;&gt;"",COUNTIFS('Gate plan'!$A$4:$A$353,C489,'Gate plan'!$K$4:$K$353,"&lt;&gt;")&gt;0,COUNTIFS('Gate plan'!$A$4:$A$353,C489,'Gate plan'!$K$4:$K$353,O489)=0),"Plan UC-ID differs from event UC-ID",IF(AND(E489="Assurance opinion",J489=""),"Assurance opinion ref missing",IF(AND(G489="Opinion only",E489&lt;&gt;"Assurance opinion",E489&lt;&gt;"Review only"),"Opinion only is for Assurance opinion or Review only events",IF(AND(G489="No decision",E489&lt;&gt;"Review only",E489&lt;&gt;"Priority override",E489&lt;&gt;"Intake / registration"),"No decision is for Review only, Priority override or Intake / registration events",IF(OR(ISNUMBER(SEARCH(" ",TRIM(O489))),ISNUMBER(SEARCH("/",O489))),"One UC-ID per event row: split this event",IF(AND(E489="Precautionary pause (containment)",ISNUMBER(W489),ISNUMBER(F489),W489&lt;F489),"Follow-up decision due date is before the pause",IF(AND(G489="Resume",IFERROR(LOOKUP(2,1/(($B$3:B488=B489)*($O$3:O488=O489)),$G$3:G488),"")&lt;&gt;"Paused — pending decision"),"Resume is only for the event straight after a Precautionary pause on the same AIR-ID and UC-ID (in an earlier row)",IF(AND(E489="Decision",OR(G489="Progress",G489="Progress with condition",G489="Re-authorise",G489="Resume"),X489&lt;&gt;"Yes"),"Decision-maker has not confirmed the screening was considered (column X)","Check against source")))))))))))))))))))))))))))))</f>
        <v/>
      </c>
      <c r="O489" s="37" t="n"/>
      <c r="P489" s="37" t="n"/>
      <c r="Q489" s="14">
        <f>IF(A489="","",IF(E489&lt;&gt;"Decision","",IF(P489="UC-ID specific",IF(O489="","UC-ID REQUIRED","Check source decision for each UC-ID"),IF(P489="Shared system baseline",IF(O489&lt;&gt;"","REMOVE UC-ID OR CORRECT SCOPE","Baseline only — NOT UC approval"),"Decision scope missing"))))</f>
        <v/>
      </c>
      <c r="R489" s="43" t="n"/>
      <c r="S489" s="40" t="n"/>
      <c r="T489" s="40" t="n"/>
      <c r="U489" s="40" t="n"/>
      <c r="V489" s="40" t="n"/>
      <c r="W489" s="41" t="n"/>
      <c r="X489" s="38" t="n"/>
    </row>
    <row r="490">
      <c r="A490" s="38" t="n"/>
      <c r="B490" s="38" t="n"/>
      <c r="C490" s="38" t="n"/>
      <c r="D490" s="38" t="n"/>
      <c r="E490" s="38" t="n"/>
      <c r="F490" s="39" t="n"/>
      <c r="G490" s="38" t="n"/>
      <c r="H490" s="38" t="n"/>
      <c r="I490" s="38" t="n"/>
      <c r="J490" s="38" t="n"/>
      <c r="K490" s="38" t="n"/>
      <c r="L490" s="38" t="n"/>
      <c r="M490" s="38" t="n"/>
      <c r="N490" s="22">
        <f>IF(COUNTA(A490:M490,O490:P490,R490:X490)=0,"",IF(OR(A490="",B490="",F490=""),"Event ID, AIR-ID or date missing",IF(COUNTIF($A$4:$A$553,A490)&gt;1,"Duplicate Event ID",IF(E490="","Event type missing",IF(OR(NOT(ISNUMBER(F490)),F490&gt;TODAY()),"Date is not a real date or is in the future",IF(AND(C490&lt;&gt;"",COUNTIF('Gate plan'!$A$4:$A$353,C490)=0),"Plan ID not found in Gate plan",IF(AND(C490&lt;&gt;"",COUNTIFS('Gate plan'!$A$4:$A$353,C490,'Gate plan'!$B$4:$B$353,B490)=0),"Plan AIR-ID differs from event",IF(D490="","Gate / forum missing",IF(AND(E490="Precautionary pause (containment)",G490&lt;&gt;"Paused — pending decision"),"Precautionary pause: Outcome must be Paused, pending decision",IF(AND(E490="Precautionary pause (containment)",V490=""),"Precautionary pause: AIG-OPS-03 incident ref missing",IF(AND(E490="Precautionary pause (containment)",NOT(ISNUMBER(W490))),"Precautionary pause: follow-up decision due date missing",IF(AND(G490="Paused — pending decision",E490&lt;&gt;"Precautionary pause (containment)"),"Paused, pending decision is only for a Precautionary pause event",IF(AND(E490="Decision",OR(G490="",H490="",I490="")),"Outcome / delegation / decision ref missing",IF(AND(E490="Decision",NOT(OR(G490="Progress",G490="Progress with condition",G490="Return for evidence",G490="Pause",G490="Stop",G490="Suspend",G490="Decommission",G490="Re-authorise",G490="Resume"))),"Decision event needs a decision outcome",IF(AND(E490="Priority override",OR(H490="",I490="")),"Decision-maker / AIG-DEC-03 ref missing",IF(AND(E490="Priority override",G490&lt;&gt;"",G490&lt;&gt;"No decision"),"Priority override: Outcome blank or No decision",IF(AND(E490&lt;&gt;"Decision",OR(G490="Progress",G490="Progress with condition",G490="Return for evidence",G490="Pause",G490="Stop",G490="Suspend",G490="Decommission",G490="Re-authorise",G490="Resume")),"Outcome implies decision",IF(OR(ISNUMBER(SEARCH(",",O490)),ISNUMBER(SEARCH(";",O490))),"One UC-ID per event row — split this event",IF(AND(E490="Decision",OR(Q490="UC-ID REQUIRED",Q490="Decision scope missing",Q490="REMOVE UC-ID OR CORRECT SCOPE")),"Decision scope missing",IF(AND(G490="Progress with condition",COUNTIF(Conditions!$B$4:$B$553,A490)=0),"Progress with condition needs at least one Conditions row",IF(AND(C490&lt;&gt;"",COUNTIFS('Gate plan'!$A$4:$A$353,C490,'Gate plan'!$C$4:$C$353,D490)=0),"Plan gate differs from event gate",IF(AND(C490&lt;&gt;"",O490&lt;&gt;"",COUNTIFS('Gate plan'!$A$4:$A$353,C490,'Gate plan'!$K$4:$K$353,"&lt;&gt;")&gt;0,COUNTIFS('Gate plan'!$A$4:$A$353,C490,'Gate plan'!$K$4:$K$353,O490)=0),"Plan UC-ID differs from event UC-ID",IF(AND(E490="Assurance opinion",J490=""),"Assurance opinion ref missing",IF(AND(G490="Opinion only",E490&lt;&gt;"Assurance opinion",E490&lt;&gt;"Review only"),"Opinion only is for Assurance opinion or Review only events",IF(AND(G490="No decision",E490&lt;&gt;"Review only",E490&lt;&gt;"Priority override",E490&lt;&gt;"Intake / registration"),"No decision is for Review only, Priority override or Intake / registration events",IF(OR(ISNUMBER(SEARCH(" ",TRIM(O490))),ISNUMBER(SEARCH("/",O490))),"One UC-ID per event row: split this event",IF(AND(E490="Precautionary pause (containment)",ISNUMBER(W490),ISNUMBER(F490),W490&lt;F490),"Follow-up decision due date is before the pause",IF(AND(G490="Resume",IFERROR(LOOKUP(2,1/(($B$3:B489=B490)*($O$3:O489=O490)),$G$3:G489),"")&lt;&gt;"Paused — pending decision"),"Resume is only for the event straight after a Precautionary pause on the same AIR-ID and UC-ID (in an earlier row)",IF(AND(E490="Decision",OR(G490="Progress",G490="Progress with condition",G490="Re-authorise",G490="Resume"),X490&lt;&gt;"Yes"),"Decision-maker has not confirmed the screening was considered (column X)","Check against source")))))))))))))))))))))))))))))</f>
        <v/>
      </c>
      <c r="O490" s="37" t="n"/>
      <c r="P490" s="37" t="n"/>
      <c r="Q490" s="14">
        <f>IF(A490="","",IF(E490&lt;&gt;"Decision","",IF(P490="UC-ID specific",IF(O490="","UC-ID REQUIRED","Check source decision for each UC-ID"),IF(P490="Shared system baseline",IF(O490&lt;&gt;"","REMOVE UC-ID OR CORRECT SCOPE","Baseline only — NOT UC approval"),"Decision scope missing"))))</f>
        <v/>
      </c>
      <c r="R490" s="42" t="n"/>
      <c r="S490" s="38" t="n"/>
      <c r="T490" s="38" t="n"/>
      <c r="U490" s="38" t="n"/>
      <c r="V490" s="38" t="n"/>
      <c r="W490" s="39" t="n"/>
      <c r="X490" s="38" t="n"/>
    </row>
    <row r="491">
      <c r="A491" s="40" t="n"/>
      <c r="B491" s="40" t="n"/>
      <c r="C491" s="40" t="n"/>
      <c r="D491" s="40" t="n"/>
      <c r="E491" s="40" t="n"/>
      <c r="F491" s="41" t="n"/>
      <c r="G491" s="40" t="n"/>
      <c r="H491" s="40" t="n"/>
      <c r="I491" s="40" t="n"/>
      <c r="J491" s="40" t="n"/>
      <c r="K491" s="40" t="n"/>
      <c r="L491" s="40" t="n"/>
      <c r="M491" s="40" t="n"/>
      <c r="N491" s="24">
        <f>IF(COUNTA(A491:M491,O491:P491,R491:X491)=0,"",IF(OR(A491="",B491="",F491=""),"Event ID, AIR-ID or date missing",IF(COUNTIF($A$4:$A$553,A491)&gt;1,"Duplicate Event ID",IF(E491="","Event type missing",IF(OR(NOT(ISNUMBER(F491)),F491&gt;TODAY()),"Date is not a real date or is in the future",IF(AND(C491&lt;&gt;"",COUNTIF('Gate plan'!$A$4:$A$353,C491)=0),"Plan ID not found in Gate plan",IF(AND(C491&lt;&gt;"",COUNTIFS('Gate plan'!$A$4:$A$353,C491,'Gate plan'!$B$4:$B$353,B491)=0),"Plan AIR-ID differs from event",IF(D491="","Gate / forum missing",IF(AND(E491="Precautionary pause (containment)",G491&lt;&gt;"Paused — pending decision"),"Precautionary pause: Outcome must be Paused, pending decision",IF(AND(E491="Precautionary pause (containment)",V491=""),"Precautionary pause: AIG-OPS-03 incident ref missing",IF(AND(E491="Precautionary pause (containment)",NOT(ISNUMBER(W491))),"Precautionary pause: follow-up decision due date missing",IF(AND(G491="Paused — pending decision",E491&lt;&gt;"Precautionary pause (containment)"),"Paused, pending decision is only for a Precautionary pause event",IF(AND(E491="Decision",OR(G491="",H491="",I491="")),"Outcome / delegation / decision ref missing",IF(AND(E491="Decision",NOT(OR(G491="Progress",G491="Progress with condition",G491="Return for evidence",G491="Pause",G491="Stop",G491="Suspend",G491="Decommission",G491="Re-authorise",G491="Resume"))),"Decision event needs a decision outcome",IF(AND(E491="Priority override",OR(H491="",I491="")),"Decision-maker / AIG-DEC-03 ref missing",IF(AND(E491="Priority override",G491&lt;&gt;"",G491&lt;&gt;"No decision"),"Priority override: Outcome blank or No decision",IF(AND(E491&lt;&gt;"Decision",OR(G491="Progress",G491="Progress with condition",G491="Return for evidence",G491="Pause",G491="Stop",G491="Suspend",G491="Decommission",G491="Re-authorise",G491="Resume")),"Outcome implies decision",IF(OR(ISNUMBER(SEARCH(",",O491)),ISNUMBER(SEARCH(";",O491))),"One UC-ID per event row — split this event",IF(AND(E491="Decision",OR(Q491="UC-ID REQUIRED",Q491="Decision scope missing",Q491="REMOVE UC-ID OR CORRECT SCOPE")),"Decision scope missing",IF(AND(G491="Progress with condition",COUNTIF(Conditions!$B$4:$B$553,A491)=0),"Progress with condition needs at least one Conditions row",IF(AND(C491&lt;&gt;"",COUNTIFS('Gate plan'!$A$4:$A$353,C491,'Gate plan'!$C$4:$C$353,D491)=0),"Plan gate differs from event gate",IF(AND(C491&lt;&gt;"",O491&lt;&gt;"",COUNTIFS('Gate plan'!$A$4:$A$353,C491,'Gate plan'!$K$4:$K$353,"&lt;&gt;")&gt;0,COUNTIFS('Gate plan'!$A$4:$A$353,C491,'Gate plan'!$K$4:$K$353,O491)=0),"Plan UC-ID differs from event UC-ID",IF(AND(E491="Assurance opinion",J491=""),"Assurance opinion ref missing",IF(AND(G491="Opinion only",E491&lt;&gt;"Assurance opinion",E491&lt;&gt;"Review only"),"Opinion only is for Assurance opinion or Review only events",IF(AND(G491="No decision",E491&lt;&gt;"Review only",E491&lt;&gt;"Priority override",E491&lt;&gt;"Intake / registration"),"No decision is for Review only, Priority override or Intake / registration events",IF(OR(ISNUMBER(SEARCH(" ",TRIM(O491))),ISNUMBER(SEARCH("/",O491))),"One UC-ID per event row: split this event",IF(AND(E491="Precautionary pause (containment)",ISNUMBER(W491),ISNUMBER(F491),W491&lt;F491),"Follow-up decision due date is before the pause",IF(AND(G491="Resume",IFERROR(LOOKUP(2,1/(($B$3:B490=B491)*($O$3:O490=O491)),$G$3:G490),"")&lt;&gt;"Paused — pending decision"),"Resume is only for the event straight after a Precautionary pause on the same AIR-ID and UC-ID (in an earlier row)",IF(AND(E491="Decision",OR(G491="Progress",G491="Progress with condition",G491="Re-authorise",G491="Resume"),X491&lt;&gt;"Yes"),"Decision-maker has not confirmed the screening was considered (column X)","Check against source")))))))))))))))))))))))))))))</f>
        <v/>
      </c>
      <c r="O491" s="37" t="n"/>
      <c r="P491" s="37" t="n"/>
      <c r="Q491" s="14">
        <f>IF(A491="","",IF(E491&lt;&gt;"Decision","",IF(P491="UC-ID specific",IF(O491="","UC-ID REQUIRED","Check source decision for each UC-ID"),IF(P491="Shared system baseline",IF(O491&lt;&gt;"","REMOVE UC-ID OR CORRECT SCOPE","Baseline only — NOT UC approval"),"Decision scope missing"))))</f>
        <v/>
      </c>
      <c r="R491" s="43" t="n"/>
      <c r="S491" s="40" t="n"/>
      <c r="T491" s="40" t="n"/>
      <c r="U491" s="40" t="n"/>
      <c r="V491" s="40" t="n"/>
      <c r="W491" s="41" t="n"/>
      <c r="X491" s="38" t="n"/>
    </row>
    <row r="492">
      <c r="A492" s="38" t="n"/>
      <c r="B492" s="38" t="n"/>
      <c r="C492" s="38" t="n"/>
      <c r="D492" s="38" t="n"/>
      <c r="E492" s="38" t="n"/>
      <c r="F492" s="39" t="n"/>
      <c r="G492" s="38" t="n"/>
      <c r="H492" s="38" t="n"/>
      <c r="I492" s="38" t="n"/>
      <c r="J492" s="38" t="n"/>
      <c r="K492" s="38" t="n"/>
      <c r="L492" s="38" t="n"/>
      <c r="M492" s="38" t="n"/>
      <c r="N492" s="22">
        <f>IF(COUNTA(A492:M492,O492:P492,R492:X492)=0,"",IF(OR(A492="",B492="",F492=""),"Event ID, AIR-ID or date missing",IF(COUNTIF($A$4:$A$553,A492)&gt;1,"Duplicate Event ID",IF(E492="","Event type missing",IF(OR(NOT(ISNUMBER(F492)),F492&gt;TODAY()),"Date is not a real date or is in the future",IF(AND(C492&lt;&gt;"",COUNTIF('Gate plan'!$A$4:$A$353,C492)=0),"Plan ID not found in Gate plan",IF(AND(C492&lt;&gt;"",COUNTIFS('Gate plan'!$A$4:$A$353,C492,'Gate plan'!$B$4:$B$353,B492)=0),"Plan AIR-ID differs from event",IF(D492="","Gate / forum missing",IF(AND(E492="Precautionary pause (containment)",G492&lt;&gt;"Paused — pending decision"),"Precautionary pause: Outcome must be Paused, pending decision",IF(AND(E492="Precautionary pause (containment)",V492=""),"Precautionary pause: AIG-OPS-03 incident ref missing",IF(AND(E492="Precautionary pause (containment)",NOT(ISNUMBER(W492))),"Precautionary pause: follow-up decision due date missing",IF(AND(G492="Paused — pending decision",E492&lt;&gt;"Precautionary pause (containment)"),"Paused, pending decision is only for a Precautionary pause event",IF(AND(E492="Decision",OR(G492="",H492="",I492="")),"Outcome / delegation / decision ref missing",IF(AND(E492="Decision",NOT(OR(G492="Progress",G492="Progress with condition",G492="Return for evidence",G492="Pause",G492="Stop",G492="Suspend",G492="Decommission",G492="Re-authorise",G492="Resume"))),"Decision event needs a decision outcome",IF(AND(E492="Priority override",OR(H492="",I492="")),"Decision-maker / AIG-DEC-03 ref missing",IF(AND(E492="Priority override",G492&lt;&gt;"",G492&lt;&gt;"No decision"),"Priority override: Outcome blank or No decision",IF(AND(E492&lt;&gt;"Decision",OR(G492="Progress",G492="Progress with condition",G492="Return for evidence",G492="Pause",G492="Stop",G492="Suspend",G492="Decommission",G492="Re-authorise",G492="Resume")),"Outcome implies decision",IF(OR(ISNUMBER(SEARCH(",",O492)),ISNUMBER(SEARCH(";",O492))),"One UC-ID per event row — split this event",IF(AND(E492="Decision",OR(Q492="UC-ID REQUIRED",Q492="Decision scope missing",Q492="REMOVE UC-ID OR CORRECT SCOPE")),"Decision scope missing",IF(AND(G492="Progress with condition",COUNTIF(Conditions!$B$4:$B$553,A492)=0),"Progress with condition needs at least one Conditions row",IF(AND(C492&lt;&gt;"",COUNTIFS('Gate plan'!$A$4:$A$353,C492,'Gate plan'!$C$4:$C$353,D492)=0),"Plan gate differs from event gate",IF(AND(C492&lt;&gt;"",O492&lt;&gt;"",COUNTIFS('Gate plan'!$A$4:$A$353,C492,'Gate plan'!$K$4:$K$353,"&lt;&gt;")&gt;0,COUNTIFS('Gate plan'!$A$4:$A$353,C492,'Gate plan'!$K$4:$K$353,O492)=0),"Plan UC-ID differs from event UC-ID",IF(AND(E492="Assurance opinion",J492=""),"Assurance opinion ref missing",IF(AND(G492="Opinion only",E492&lt;&gt;"Assurance opinion",E492&lt;&gt;"Review only"),"Opinion only is for Assurance opinion or Review only events",IF(AND(G492="No decision",E492&lt;&gt;"Review only",E492&lt;&gt;"Priority override",E492&lt;&gt;"Intake / registration"),"No decision is for Review only, Priority override or Intake / registration events",IF(OR(ISNUMBER(SEARCH(" ",TRIM(O492))),ISNUMBER(SEARCH("/",O492))),"One UC-ID per event row: split this event",IF(AND(E492="Precautionary pause (containment)",ISNUMBER(W492),ISNUMBER(F492),W492&lt;F492),"Follow-up decision due date is before the pause",IF(AND(G492="Resume",IFERROR(LOOKUP(2,1/(($B$3:B491=B492)*($O$3:O491=O492)),$G$3:G491),"")&lt;&gt;"Paused — pending decision"),"Resume is only for the event straight after a Precautionary pause on the same AIR-ID and UC-ID (in an earlier row)",IF(AND(E492="Decision",OR(G492="Progress",G492="Progress with condition",G492="Re-authorise",G492="Resume"),X492&lt;&gt;"Yes"),"Decision-maker has not confirmed the screening was considered (column X)","Check against source")))))))))))))))))))))))))))))</f>
        <v/>
      </c>
      <c r="O492" s="37" t="n"/>
      <c r="P492" s="37" t="n"/>
      <c r="Q492" s="14">
        <f>IF(A492="","",IF(E492&lt;&gt;"Decision","",IF(P492="UC-ID specific",IF(O492="","UC-ID REQUIRED","Check source decision for each UC-ID"),IF(P492="Shared system baseline",IF(O492&lt;&gt;"","REMOVE UC-ID OR CORRECT SCOPE","Baseline only — NOT UC approval"),"Decision scope missing"))))</f>
        <v/>
      </c>
      <c r="R492" s="42" t="n"/>
      <c r="S492" s="38" t="n"/>
      <c r="T492" s="38" t="n"/>
      <c r="U492" s="38" t="n"/>
      <c r="V492" s="38" t="n"/>
      <c r="W492" s="39" t="n"/>
      <c r="X492" s="38" t="n"/>
    </row>
    <row r="493">
      <c r="A493" s="40" t="n"/>
      <c r="B493" s="40" t="n"/>
      <c r="C493" s="40" t="n"/>
      <c r="D493" s="40" t="n"/>
      <c r="E493" s="40" t="n"/>
      <c r="F493" s="41" t="n"/>
      <c r="G493" s="40" t="n"/>
      <c r="H493" s="40" t="n"/>
      <c r="I493" s="40" t="n"/>
      <c r="J493" s="40" t="n"/>
      <c r="K493" s="40" t="n"/>
      <c r="L493" s="40" t="n"/>
      <c r="M493" s="40" t="n"/>
      <c r="N493" s="24">
        <f>IF(COUNTA(A493:M493,O493:P493,R493:X493)=0,"",IF(OR(A493="",B493="",F493=""),"Event ID, AIR-ID or date missing",IF(COUNTIF($A$4:$A$553,A493)&gt;1,"Duplicate Event ID",IF(E493="","Event type missing",IF(OR(NOT(ISNUMBER(F493)),F493&gt;TODAY()),"Date is not a real date or is in the future",IF(AND(C493&lt;&gt;"",COUNTIF('Gate plan'!$A$4:$A$353,C493)=0),"Plan ID not found in Gate plan",IF(AND(C493&lt;&gt;"",COUNTIFS('Gate plan'!$A$4:$A$353,C493,'Gate plan'!$B$4:$B$353,B493)=0),"Plan AIR-ID differs from event",IF(D493="","Gate / forum missing",IF(AND(E493="Precautionary pause (containment)",G493&lt;&gt;"Paused — pending decision"),"Precautionary pause: Outcome must be Paused, pending decision",IF(AND(E493="Precautionary pause (containment)",V493=""),"Precautionary pause: AIG-OPS-03 incident ref missing",IF(AND(E493="Precautionary pause (containment)",NOT(ISNUMBER(W493))),"Precautionary pause: follow-up decision due date missing",IF(AND(G493="Paused — pending decision",E493&lt;&gt;"Precautionary pause (containment)"),"Paused, pending decision is only for a Precautionary pause event",IF(AND(E493="Decision",OR(G493="",H493="",I493="")),"Outcome / delegation / decision ref missing",IF(AND(E493="Decision",NOT(OR(G493="Progress",G493="Progress with condition",G493="Return for evidence",G493="Pause",G493="Stop",G493="Suspend",G493="Decommission",G493="Re-authorise",G493="Resume"))),"Decision event needs a decision outcome",IF(AND(E493="Priority override",OR(H493="",I493="")),"Decision-maker / AIG-DEC-03 ref missing",IF(AND(E493="Priority override",G493&lt;&gt;"",G493&lt;&gt;"No decision"),"Priority override: Outcome blank or No decision",IF(AND(E493&lt;&gt;"Decision",OR(G493="Progress",G493="Progress with condition",G493="Return for evidence",G493="Pause",G493="Stop",G493="Suspend",G493="Decommission",G493="Re-authorise",G493="Resume")),"Outcome implies decision",IF(OR(ISNUMBER(SEARCH(",",O493)),ISNUMBER(SEARCH(";",O493))),"One UC-ID per event row — split this event",IF(AND(E493="Decision",OR(Q493="UC-ID REQUIRED",Q493="Decision scope missing",Q493="REMOVE UC-ID OR CORRECT SCOPE")),"Decision scope missing",IF(AND(G493="Progress with condition",COUNTIF(Conditions!$B$4:$B$553,A493)=0),"Progress with condition needs at least one Conditions row",IF(AND(C493&lt;&gt;"",COUNTIFS('Gate plan'!$A$4:$A$353,C493,'Gate plan'!$C$4:$C$353,D493)=0),"Plan gate differs from event gate",IF(AND(C493&lt;&gt;"",O493&lt;&gt;"",COUNTIFS('Gate plan'!$A$4:$A$353,C493,'Gate plan'!$K$4:$K$353,"&lt;&gt;")&gt;0,COUNTIFS('Gate plan'!$A$4:$A$353,C493,'Gate plan'!$K$4:$K$353,O493)=0),"Plan UC-ID differs from event UC-ID",IF(AND(E493="Assurance opinion",J493=""),"Assurance opinion ref missing",IF(AND(G493="Opinion only",E493&lt;&gt;"Assurance opinion",E493&lt;&gt;"Review only"),"Opinion only is for Assurance opinion or Review only events",IF(AND(G493="No decision",E493&lt;&gt;"Review only",E493&lt;&gt;"Priority override",E493&lt;&gt;"Intake / registration"),"No decision is for Review only, Priority override or Intake / registration events",IF(OR(ISNUMBER(SEARCH(" ",TRIM(O493))),ISNUMBER(SEARCH("/",O493))),"One UC-ID per event row: split this event",IF(AND(E493="Precautionary pause (containment)",ISNUMBER(W493),ISNUMBER(F493),W493&lt;F493),"Follow-up decision due date is before the pause",IF(AND(G493="Resume",IFERROR(LOOKUP(2,1/(($B$3:B492=B493)*($O$3:O492=O493)),$G$3:G492),"")&lt;&gt;"Paused — pending decision"),"Resume is only for the event straight after a Precautionary pause on the same AIR-ID and UC-ID (in an earlier row)",IF(AND(E493="Decision",OR(G493="Progress",G493="Progress with condition",G493="Re-authorise",G493="Resume"),X493&lt;&gt;"Yes"),"Decision-maker has not confirmed the screening was considered (column X)","Check against source")))))))))))))))))))))))))))))</f>
        <v/>
      </c>
      <c r="O493" s="37" t="n"/>
      <c r="P493" s="37" t="n"/>
      <c r="Q493" s="14">
        <f>IF(A493="","",IF(E493&lt;&gt;"Decision","",IF(P493="UC-ID specific",IF(O493="","UC-ID REQUIRED","Check source decision for each UC-ID"),IF(P493="Shared system baseline",IF(O493&lt;&gt;"","REMOVE UC-ID OR CORRECT SCOPE","Baseline only — NOT UC approval"),"Decision scope missing"))))</f>
        <v/>
      </c>
      <c r="R493" s="43" t="n"/>
      <c r="S493" s="40" t="n"/>
      <c r="T493" s="40" t="n"/>
      <c r="U493" s="40" t="n"/>
      <c r="V493" s="40" t="n"/>
      <c r="W493" s="41" t="n"/>
      <c r="X493" s="38" t="n"/>
    </row>
    <row r="494">
      <c r="A494" s="38" t="n"/>
      <c r="B494" s="38" t="n"/>
      <c r="C494" s="38" t="n"/>
      <c r="D494" s="38" t="n"/>
      <c r="E494" s="38" t="n"/>
      <c r="F494" s="39" t="n"/>
      <c r="G494" s="38" t="n"/>
      <c r="H494" s="38" t="n"/>
      <c r="I494" s="38" t="n"/>
      <c r="J494" s="38" t="n"/>
      <c r="K494" s="38" t="n"/>
      <c r="L494" s="38" t="n"/>
      <c r="M494" s="38" t="n"/>
      <c r="N494" s="22">
        <f>IF(COUNTA(A494:M494,O494:P494,R494:X494)=0,"",IF(OR(A494="",B494="",F494=""),"Event ID, AIR-ID or date missing",IF(COUNTIF($A$4:$A$553,A494)&gt;1,"Duplicate Event ID",IF(E494="","Event type missing",IF(OR(NOT(ISNUMBER(F494)),F494&gt;TODAY()),"Date is not a real date or is in the future",IF(AND(C494&lt;&gt;"",COUNTIF('Gate plan'!$A$4:$A$353,C494)=0),"Plan ID not found in Gate plan",IF(AND(C494&lt;&gt;"",COUNTIFS('Gate plan'!$A$4:$A$353,C494,'Gate plan'!$B$4:$B$353,B494)=0),"Plan AIR-ID differs from event",IF(D494="","Gate / forum missing",IF(AND(E494="Precautionary pause (containment)",G494&lt;&gt;"Paused — pending decision"),"Precautionary pause: Outcome must be Paused, pending decision",IF(AND(E494="Precautionary pause (containment)",V494=""),"Precautionary pause: AIG-OPS-03 incident ref missing",IF(AND(E494="Precautionary pause (containment)",NOT(ISNUMBER(W494))),"Precautionary pause: follow-up decision due date missing",IF(AND(G494="Paused — pending decision",E494&lt;&gt;"Precautionary pause (containment)"),"Paused, pending decision is only for a Precautionary pause event",IF(AND(E494="Decision",OR(G494="",H494="",I494="")),"Outcome / delegation / decision ref missing",IF(AND(E494="Decision",NOT(OR(G494="Progress",G494="Progress with condition",G494="Return for evidence",G494="Pause",G494="Stop",G494="Suspend",G494="Decommission",G494="Re-authorise",G494="Resume"))),"Decision event needs a decision outcome",IF(AND(E494="Priority override",OR(H494="",I494="")),"Decision-maker / AIG-DEC-03 ref missing",IF(AND(E494="Priority override",G494&lt;&gt;"",G494&lt;&gt;"No decision"),"Priority override: Outcome blank or No decision",IF(AND(E494&lt;&gt;"Decision",OR(G494="Progress",G494="Progress with condition",G494="Return for evidence",G494="Pause",G494="Stop",G494="Suspend",G494="Decommission",G494="Re-authorise",G494="Resume")),"Outcome implies decision",IF(OR(ISNUMBER(SEARCH(",",O494)),ISNUMBER(SEARCH(";",O494))),"One UC-ID per event row — split this event",IF(AND(E494="Decision",OR(Q494="UC-ID REQUIRED",Q494="Decision scope missing",Q494="REMOVE UC-ID OR CORRECT SCOPE")),"Decision scope missing",IF(AND(G494="Progress with condition",COUNTIF(Conditions!$B$4:$B$553,A494)=0),"Progress with condition needs at least one Conditions row",IF(AND(C494&lt;&gt;"",COUNTIFS('Gate plan'!$A$4:$A$353,C494,'Gate plan'!$C$4:$C$353,D494)=0),"Plan gate differs from event gate",IF(AND(C494&lt;&gt;"",O494&lt;&gt;"",COUNTIFS('Gate plan'!$A$4:$A$353,C494,'Gate plan'!$K$4:$K$353,"&lt;&gt;")&gt;0,COUNTIFS('Gate plan'!$A$4:$A$353,C494,'Gate plan'!$K$4:$K$353,O494)=0),"Plan UC-ID differs from event UC-ID",IF(AND(E494="Assurance opinion",J494=""),"Assurance opinion ref missing",IF(AND(G494="Opinion only",E494&lt;&gt;"Assurance opinion",E494&lt;&gt;"Review only"),"Opinion only is for Assurance opinion or Review only events",IF(AND(G494="No decision",E494&lt;&gt;"Review only",E494&lt;&gt;"Priority override",E494&lt;&gt;"Intake / registration"),"No decision is for Review only, Priority override or Intake / registration events",IF(OR(ISNUMBER(SEARCH(" ",TRIM(O494))),ISNUMBER(SEARCH("/",O494))),"One UC-ID per event row: split this event",IF(AND(E494="Precautionary pause (containment)",ISNUMBER(W494),ISNUMBER(F494),W494&lt;F494),"Follow-up decision due date is before the pause",IF(AND(G494="Resume",IFERROR(LOOKUP(2,1/(($B$3:B493=B494)*($O$3:O493=O494)),$G$3:G493),"")&lt;&gt;"Paused — pending decision"),"Resume is only for the event straight after a Precautionary pause on the same AIR-ID and UC-ID (in an earlier row)",IF(AND(E494="Decision",OR(G494="Progress",G494="Progress with condition",G494="Re-authorise",G494="Resume"),X494&lt;&gt;"Yes"),"Decision-maker has not confirmed the screening was considered (column X)","Check against source")))))))))))))))))))))))))))))</f>
        <v/>
      </c>
      <c r="O494" s="37" t="n"/>
      <c r="P494" s="37" t="n"/>
      <c r="Q494" s="14">
        <f>IF(A494="","",IF(E494&lt;&gt;"Decision","",IF(P494="UC-ID specific",IF(O494="","UC-ID REQUIRED","Check source decision for each UC-ID"),IF(P494="Shared system baseline",IF(O494&lt;&gt;"","REMOVE UC-ID OR CORRECT SCOPE","Baseline only — NOT UC approval"),"Decision scope missing"))))</f>
        <v/>
      </c>
      <c r="R494" s="42" t="n"/>
      <c r="S494" s="38" t="n"/>
      <c r="T494" s="38" t="n"/>
      <c r="U494" s="38" t="n"/>
      <c r="V494" s="38" t="n"/>
      <c r="W494" s="39" t="n"/>
      <c r="X494" s="38" t="n"/>
    </row>
    <row r="495">
      <c r="A495" s="40" t="n"/>
      <c r="B495" s="40" t="n"/>
      <c r="C495" s="40" t="n"/>
      <c r="D495" s="40" t="n"/>
      <c r="E495" s="40" t="n"/>
      <c r="F495" s="41" t="n"/>
      <c r="G495" s="40" t="n"/>
      <c r="H495" s="40" t="n"/>
      <c r="I495" s="40" t="n"/>
      <c r="J495" s="40" t="n"/>
      <c r="K495" s="40" t="n"/>
      <c r="L495" s="40" t="n"/>
      <c r="M495" s="40" t="n"/>
      <c r="N495" s="24">
        <f>IF(COUNTA(A495:M495,O495:P495,R495:X495)=0,"",IF(OR(A495="",B495="",F495=""),"Event ID, AIR-ID or date missing",IF(COUNTIF($A$4:$A$553,A495)&gt;1,"Duplicate Event ID",IF(E495="","Event type missing",IF(OR(NOT(ISNUMBER(F495)),F495&gt;TODAY()),"Date is not a real date or is in the future",IF(AND(C495&lt;&gt;"",COUNTIF('Gate plan'!$A$4:$A$353,C495)=0),"Plan ID not found in Gate plan",IF(AND(C495&lt;&gt;"",COUNTIFS('Gate plan'!$A$4:$A$353,C495,'Gate plan'!$B$4:$B$353,B495)=0),"Plan AIR-ID differs from event",IF(D495="","Gate / forum missing",IF(AND(E495="Precautionary pause (containment)",G495&lt;&gt;"Paused — pending decision"),"Precautionary pause: Outcome must be Paused, pending decision",IF(AND(E495="Precautionary pause (containment)",V495=""),"Precautionary pause: AIG-OPS-03 incident ref missing",IF(AND(E495="Precautionary pause (containment)",NOT(ISNUMBER(W495))),"Precautionary pause: follow-up decision due date missing",IF(AND(G495="Paused — pending decision",E495&lt;&gt;"Precautionary pause (containment)"),"Paused, pending decision is only for a Precautionary pause event",IF(AND(E495="Decision",OR(G495="",H495="",I495="")),"Outcome / delegation / decision ref missing",IF(AND(E495="Decision",NOT(OR(G495="Progress",G495="Progress with condition",G495="Return for evidence",G495="Pause",G495="Stop",G495="Suspend",G495="Decommission",G495="Re-authorise",G495="Resume"))),"Decision event needs a decision outcome",IF(AND(E495="Priority override",OR(H495="",I495="")),"Decision-maker / AIG-DEC-03 ref missing",IF(AND(E495="Priority override",G495&lt;&gt;"",G495&lt;&gt;"No decision"),"Priority override: Outcome blank or No decision",IF(AND(E495&lt;&gt;"Decision",OR(G495="Progress",G495="Progress with condition",G495="Return for evidence",G495="Pause",G495="Stop",G495="Suspend",G495="Decommission",G495="Re-authorise",G495="Resume")),"Outcome implies decision",IF(OR(ISNUMBER(SEARCH(",",O495)),ISNUMBER(SEARCH(";",O495))),"One UC-ID per event row — split this event",IF(AND(E495="Decision",OR(Q495="UC-ID REQUIRED",Q495="Decision scope missing",Q495="REMOVE UC-ID OR CORRECT SCOPE")),"Decision scope missing",IF(AND(G495="Progress with condition",COUNTIF(Conditions!$B$4:$B$553,A495)=0),"Progress with condition needs at least one Conditions row",IF(AND(C495&lt;&gt;"",COUNTIFS('Gate plan'!$A$4:$A$353,C495,'Gate plan'!$C$4:$C$353,D495)=0),"Plan gate differs from event gate",IF(AND(C495&lt;&gt;"",O495&lt;&gt;"",COUNTIFS('Gate plan'!$A$4:$A$353,C495,'Gate plan'!$K$4:$K$353,"&lt;&gt;")&gt;0,COUNTIFS('Gate plan'!$A$4:$A$353,C495,'Gate plan'!$K$4:$K$353,O495)=0),"Plan UC-ID differs from event UC-ID",IF(AND(E495="Assurance opinion",J495=""),"Assurance opinion ref missing",IF(AND(G495="Opinion only",E495&lt;&gt;"Assurance opinion",E495&lt;&gt;"Review only"),"Opinion only is for Assurance opinion or Review only events",IF(AND(G495="No decision",E495&lt;&gt;"Review only",E495&lt;&gt;"Priority override",E495&lt;&gt;"Intake / registration"),"No decision is for Review only, Priority override or Intake / registration events",IF(OR(ISNUMBER(SEARCH(" ",TRIM(O495))),ISNUMBER(SEARCH("/",O495))),"One UC-ID per event row: split this event",IF(AND(E495="Precautionary pause (containment)",ISNUMBER(W495),ISNUMBER(F495),W495&lt;F495),"Follow-up decision due date is before the pause",IF(AND(G495="Resume",IFERROR(LOOKUP(2,1/(($B$3:B494=B495)*($O$3:O494=O495)),$G$3:G494),"")&lt;&gt;"Paused — pending decision"),"Resume is only for the event straight after a Precautionary pause on the same AIR-ID and UC-ID (in an earlier row)",IF(AND(E495="Decision",OR(G495="Progress",G495="Progress with condition",G495="Re-authorise",G495="Resume"),X495&lt;&gt;"Yes"),"Decision-maker has not confirmed the screening was considered (column X)","Check against source")))))))))))))))))))))))))))))</f>
        <v/>
      </c>
      <c r="O495" s="37" t="n"/>
      <c r="P495" s="37" t="n"/>
      <c r="Q495" s="14">
        <f>IF(A495="","",IF(E495&lt;&gt;"Decision","",IF(P495="UC-ID specific",IF(O495="","UC-ID REQUIRED","Check source decision for each UC-ID"),IF(P495="Shared system baseline",IF(O495&lt;&gt;"","REMOVE UC-ID OR CORRECT SCOPE","Baseline only — NOT UC approval"),"Decision scope missing"))))</f>
        <v/>
      </c>
      <c r="R495" s="43" t="n"/>
      <c r="S495" s="40" t="n"/>
      <c r="T495" s="40" t="n"/>
      <c r="U495" s="40" t="n"/>
      <c r="V495" s="40" t="n"/>
      <c r="W495" s="41" t="n"/>
      <c r="X495" s="38" t="n"/>
    </row>
    <row r="496">
      <c r="A496" s="38" t="n"/>
      <c r="B496" s="38" t="n"/>
      <c r="C496" s="38" t="n"/>
      <c r="D496" s="38" t="n"/>
      <c r="E496" s="38" t="n"/>
      <c r="F496" s="39" t="n"/>
      <c r="G496" s="38" t="n"/>
      <c r="H496" s="38" t="n"/>
      <c r="I496" s="38" t="n"/>
      <c r="J496" s="38" t="n"/>
      <c r="K496" s="38" t="n"/>
      <c r="L496" s="38" t="n"/>
      <c r="M496" s="38" t="n"/>
      <c r="N496" s="22">
        <f>IF(COUNTA(A496:M496,O496:P496,R496:X496)=0,"",IF(OR(A496="",B496="",F496=""),"Event ID, AIR-ID or date missing",IF(COUNTIF($A$4:$A$553,A496)&gt;1,"Duplicate Event ID",IF(E496="","Event type missing",IF(OR(NOT(ISNUMBER(F496)),F496&gt;TODAY()),"Date is not a real date or is in the future",IF(AND(C496&lt;&gt;"",COUNTIF('Gate plan'!$A$4:$A$353,C496)=0),"Plan ID not found in Gate plan",IF(AND(C496&lt;&gt;"",COUNTIFS('Gate plan'!$A$4:$A$353,C496,'Gate plan'!$B$4:$B$353,B496)=0),"Plan AIR-ID differs from event",IF(D496="","Gate / forum missing",IF(AND(E496="Precautionary pause (containment)",G496&lt;&gt;"Paused — pending decision"),"Precautionary pause: Outcome must be Paused, pending decision",IF(AND(E496="Precautionary pause (containment)",V496=""),"Precautionary pause: AIG-OPS-03 incident ref missing",IF(AND(E496="Precautionary pause (containment)",NOT(ISNUMBER(W496))),"Precautionary pause: follow-up decision due date missing",IF(AND(G496="Paused — pending decision",E496&lt;&gt;"Precautionary pause (containment)"),"Paused, pending decision is only for a Precautionary pause event",IF(AND(E496="Decision",OR(G496="",H496="",I496="")),"Outcome / delegation / decision ref missing",IF(AND(E496="Decision",NOT(OR(G496="Progress",G496="Progress with condition",G496="Return for evidence",G496="Pause",G496="Stop",G496="Suspend",G496="Decommission",G496="Re-authorise",G496="Resume"))),"Decision event needs a decision outcome",IF(AND(E496="Priority override",OR(H496="",I496="")),"Decision-maker / AIG-DEC-03 ref missing",IF(AND(E496="Priority override",G496&lt;&gt;"",G496&lt;&gt;"No decision"),"Priority override: Outcome blank or No decision",IF(AND(E496&lt;&gt;"Decision",OR(G496="Progress",G496="Progress with condition",G496="Return for evidence",G496="Pause",G496="Stop",G496="Suspend",G496="Decommission",G496="Re-authorise",G496="Resume")),"Outcome implies decision",IF(OR(ISNUMBER(SEARCH(",",O496)),ISNUMBER(SEARCH(";",O496))),"One UC-ID per event row — split this event",IF(AND(E496="Decision",OR(Q496="UC-ID REQUIRED",Q496="Decision scope missing",Q496="REMOVE UC-ID OR CORRECT SCOPE")),"Decision scope missing",IF(AND(G496="Progress with condition",COUNTIF(Conditions!$B$4:$B$553,A496)=0),"Progress with condition needs at least one Conditions row",IF(AND(C496&lt;&gt;"",COUNTIFS('Gate plan'!$A$4:$A$353,C496,'Gate plan'!$C$4:$C$353,D496)=0),"Plan gate differs from event gate",IF(AND(C496&lt;&gt;"",O496&lt;&gt;"",COUNTIFS('Gate plan'!$A$4:$A$353,C496,'Gate plan'!$K$4:$K$353,"&lt;&gt;")&gt;0,COUNTIFS('Gate plan'!$A$4:$A$353,C496,'Gate plan'!$K$4:$K$353,O496)=0),"Plan UC-ID differs from event UC-ID",IF(AND(E496="Assurance opinion",J496=""),"Assurance opinion ref missing",IF(AND(G496="Opinion only",E496&lt;&gt;"Assurance opinion",E496&lt;&gt;"Review only"),"Opinion only is for Assurance opinion or Review only events",IF(AND(G496="No decision",E496&lt;&gt;"Review only",E496&lt;&gt;"Priority override",E496&lt;&gt;"Intake / registration"),"No decision is for Review only, Priority override or Intake / registration events",IF(OR(ISNUMBER(SEARCH(" ",TRIM(O496))),ISNUMBER(SEARCH("/",O496))),"One UC-ID per event row: split this event",IF(AND(E496="Precautionary pause (containment)",ISNUMBER(W496),ISNUMBER(F496),W496&lt;F496),"Follow-up decision due date is before the pause",IF(AND(G496="Resume",IFERROR(LOOKUP(2,1/(($B$3:B495=B496)*($O$3:O495=O496)),$G$3:G495),"")&lt;&gt;"Paused — pending decision"),"Resume is only for the event straight after a Precautionary pause on the same AIR-ID and UC-ID (in an earlier row)",IF(AND(E496="Decision",OR(G496="Progress",G496="Progress with condition",G496="Re-authorise",G496="Resume"),X496&lt;&gt;"Yes"),"Decision-maker has not confirmed the screening was considered (column X)","Check against source")))))))))))))))))))))))))))))</f>
        <v/>
      </c>
      <c r="O496" s="37" t="n"/>
      <c r="P496" s="37" t="n"/>
      <c r="Q496" s="14">
        <f>IF(A496="","",IF(E496&lt;&gt;"Decision","",IF(P496="UC-ID specific",IF(O496="","UC-ID REQUIRED","Check source decision for each UC-ID"),IF(P496="Shared system baseline",IF(O496&lt;&gt;"","REMOVE UC-ID OR CORRECT SCOPE","Baseline only — NOT UC approval"),"Decision scope missing"))))</f>
        <v/>
      </c>
      <c r="R496" s="42" t="n"/>
      <c r="S496" s="38" t="n"/>
      <c r="T496" s="38" t="n"/>
      <c r="U496" s="38" t="n"/>
      <c r="V496" s="38" t="n"/>
      <c r="W496" s="39" t="n"/>
      <c r="X496" s="38" t="n"/>
    </row>
    <row r="497">
      <c r="A497" s="40" t="n"/>
      <c r="B497" s="40" t="n"/>
      <c r="C497" s="40" t="n"/>
      <c r="D497" s="40" t="n"/>
      <c r="E497" s="40" t="n"/>
      <c r="F497" s="41" t="n"/>
      <c r="G497" s="40" t="n"/>
      <c r="H497" s="40" t="n"/>
      <c r="I497" s="40" t="n"/>
      <c r="J497" s="40" t="n"/>
      <c r="K497" s="40" t="n"/>
      <c r="L497" s="40" t="n"/>
      <c r="M497" s="40" t="n"/>
      <c r="N497" s="24">
        <f>IF(COUNTA(A497:M497,O497:P497,R497:X497)=0,"",IF(OR(A497="",B497="",F497=""),"Event ID, AIR-ID or date missing",IF(COUNTIF($A$4:$A$553,A497)&gt;1,"Duplicate Event ID",IF(E497="","Event type missing",IF(OR(NOT(ISNUMBER(F497)),F497&gt;TODAY()),"Date is not a real date or is in the future",IF(AND(C497&lt;&gt;"",COUNTIF('Gate plan'!$A$4:$A$353,C497)=0),"Plan ID not found in Gate plan",IF(AND(C497&lt;&gt;"",COUNTIFS('Gate plan'!$A$4:$A$353,C497,'Gate plan'!$B$4:$B$353,B497)=0),"Plan AIR-ID differs from event",IF(D497="","Gate / forum missing",IF(AND(E497="Precautionary pause (containment)",G497&lt;&gt;"Paused — pending decision"),"Precautionary pause: Outcome must be Paused, pending decision",IF(AND(E497="Precautionary pause (containment)",V497=""),"Precautionary pause: AIG-OPS-03 incident ref missing",IF(AND(E497="Precautionary pause (containment)",NOT(ISNUMBER(W497))),"Precautionary pause: follow-up decision due date missing",IF(AND(G497="Paused — pending decision",E497&lt;&gt;"Precautionary pause (containment)"),"Paused, pending decision is only for a Precautionary pause event",IF(AND(E497="Decision",OR(G497="",H497="",I497="")),"Outcome / delegation / decision ref missing",IF(AND(E497="Decision",NOT(OR(G497="Progress",G497="Progress with condition",G497="Return for evidence",G497="Pause",G497="Stop",G497="Suspend",G497="Decommission",G497="Re-authorise",G497="Resume"))),"Decision event needs a decision outcome",IF(AND(E497="Priority override",OR(H497="",I497="")),"Decision-maker / AIG-DEC-03 ref missing",IF(AND(E497="Priority override",G497&lt;&gt;"",G497&lt;&gt;"No decision"),"Priority override: Outcome blank or No decision",IF(AND(E497&lt;&gt;"Decision",OR(G497="Progress",G497="Progress with condition",G497="Return for evidence",G497="Pause",G497="Stop",G497="Suspend",G497="Decommission",G497="Re-authorise",G497="Resume")),"Outcome implies decision",IF(OR(ISNUMBER(SEARCH(",",O497)),ISNUMBER(SEARCH(";",O497))),"One UC-ID per event row — split this event",IF(AND(E497="Decision",OR(Q497="UC-ID REQUIRED",Q497="Decision scope missing",Q497="REMOVE UC-ID OR CORRECT SCOPE")),"Decision scope missing",IF(AND(G497="Progress with condition",COUNTIF(Conditions!$B$4:$B$553,A497)=0),"Progress with condition needs at least one Conditions row",IF(AND(C497&lt;&gt;"",COUNTIFS('Gate plan'!$A$4:$A$353,C497,'Gate plan'!$C$4:$C$353,D497)=0),"Plan gate differs from event gate",IF(AND(C497&lt;&gt;"",O497&lt;&gt;"",COUNTIFS('Gate plan'!$A$4:$A$353,C497,'Gate plan'!$K$4:$K$353,"&lt;&gt;")&gt;0,COUNTIFS('Gate plan'!$A$4:$A$353,C497,'Gate plan'!$K$4:$K$353,O497)=0),"Plan UC-ID differs from event UC-ID",IF(AND(E497="Assurance opinion",J497=""),"Assurance opinion ref missing",IF(AND(G497="Opinion only",E497&lt;&gt;"Assurance opinion",E497&lt;&gt;"Review only"),"Opinion only is for Assurance opinion or Review only events",IF(AND(G497="No decision",E497&lt;&gt;"Review only",E497&lt;&gt;"Priority override",E497&lt;&gt;"Intake / registration"),"No decision is for Review only, Priority override or Intake / registration events",IF(OR(ISNUMBER(SEARCH(" ",TRIM(O497))),ISNUMBER(SEARCH("/",O497))),"One UC-ID per event row: split this event",IF(AND(E497="Precautionary pause (containment)",ISNUMBER(W497),ISNUMBER(F497),W497&lt;F497),"Follow-up decision due date is before the pause",IF(AND(G497="Resume",IFERROR(LOOKUP(2,1/(($B$3:B496=B497)*($O$3:O496=O497)),$G$3:G496),"")&lt;&gt;"Paused — pending decision"),"Resume is only for the event straight after a Precautionary pause on the same AIR-ID and UC-ID (in an earlier row)",IF(AND(E497="Decision",OR(G497="Progress",G497="Progress with condition",G497="Re-authorise",G497="Resume"),X497&lt;&gt;"Yes"),"Decision-maker has not confirmed the screening was considered (column X)","Check against source")))))))))))))))))))))))))))))</f>
        <v/>
      </c>
      <c r="O497" s="37" t="n"/>
      <c r="P497" s="37" t="n"/>
      <c r="Q497" s="14">
        <f>IF(A497="","",IF(E497&lt;&gt;"Decision","",IF(P497="UC-ID specific",IF(O497="","UC-ID REQUIRED","Check source decision for each UC-ID"),IF(P497="Shared system baseline",IF(O497&lt;&gt;"","REMOVE UC-ID OR CORRECT SCOPE","Baseline only — NOT UC approval"),"Decision scope missing"))))</f>
        <v/>
      </c>
      <c r="R497" s="43" t="n"/>
      <c r="S497" s="40" t="n"/>
      <c r="T497" s="40" t="n"/>
      <c r="U497" s="40" t="n"/>
      <c r="V497" s="40" t="n"/>
      <c r="W497" s="41" t="n"/>
      <c r="X497" s="38" t="n"/>
    </row>
    <row r="498">
      <c r="A498" s="38" t="n"/>
      <c r="B498" s="38" t="n"/>
      <c r="C498" s="38" t="n"/>
      <c r="D498" s="38" t="n"/>
      <c r="E498" s="38" t="n"/>
      <c r="F498" s="39" t="n"/>
      <c r="G498" s="38" t="n"/>
      <c r="H498" s="38" t="n"/>
      <c r="I498" s="38" t="n"/>
      <c r="J498" s="38" t="n"/>
      <c r="K498" s="38" t="n"/>
      <c r="L498" s="38" t="n"/>
      <c r="M498" s="38" t="n"/>
      <c r="N498" s="22">
        <f>IF(COUNTA(A498:M498,O498:P498,R498:X498)=0,"",IF(OR(A498="",B498="",F498=""),"Event ID, AIR-ID or date missing",IF(COUNTIF($A$4:$A$553,A498)&gt;1,"Duplicate Event ID",IF(E498="","Event type missing",IF(OR(NOT(ISNUMBER(F498)),F498&gt;TODAY()),"Date is not a real date or is in the future",IF(AND(C498&lt;&gt;"",COUNTIF('Gate plan'!$A$4:$A$353,C498)=0),"Plan ID not found in Gate plan",IF(AND(C498&lt;&gt;"",COUNTIFS('Gate plan'!$A$4:$A$353,C498,'Gate plan'!$B$4:$B$353,B498)=0),"Plan AIR-ID differs from event",IF(D498="","Gate / forum missing",IF(AND(E498="Precautionary pause (containment)",G498&lt;&gt;"Paused — pending decision"),"Precautionary pause: Outcome must be Paused, pending decision",IF(AND(E498="Precautionary pause (containment)",V498=""),"Precautionary pause: AIG-OPS-03 incident ref missing",IF(AND(E498="Precautionary pause (containment)",NOT(ISNUMBER(W498))),"Precautionary pause: follow-up decision due date missing",IF(AND(G498="Paused — pending decision",E498&lt;&gt;"Precautionary pause (containment)"),"Paused, pending decision is only for a Precautionary pause event",IF(AND(E498="Decision",OR(G498="",H498="",I498="")),"Outcome / delegation / decision ref missing",IF(AND(E498="Decision",NOT(OR(G498="Progress",G498="Progress with condition",G498="Return for evidence",G498="Pause",G498="Stop",G498="Suspend",G498="Decommission",G498="Re-authorise",G498="Resume"))),"Decision event needs a decision outcome",IF(AND(E498="Priority override",OR(H498="",I498="")),"Decision-maker / AIG-DEC-03 ref missing",IF(AND(E498="Priority override",G498&lt;&gt;"",G498&lt;&gt;"No decision"),"Priority override: Outcome blank or No decision",IF(AND(E498&lt;&gt;"Decision",OR(G498="Progress",G498="Progress with condition",G498="Return for evidence",G498="Pause",G498="Stop",G498="Suspend",G498="Decommission",G498="Re-authorise",G498="Resume")),"Outcome implies decision",IF(OR(ISNUMBER(SEARCH(",",O498)),ISNUMBER(SEARCH(";",O498))),"One UC-ID per event row — split this event",IF(AND(E498="Decision",OR(Q498="UC-ID REQUIRED",Q498="Decision scope missing",Q498="REMOVE UC-ID OR CORRECT SCOPE")),"Decision scope missing",IF(AND(G498="Progress with condition",COUNTIF(Conditions!$B$4:$B$553,A498)=0),"Progress with condition needs at least one Conditions row",IF(AND(C498&lt;&gt;"",COUNTIFS('Gate plan'!$A$4:$A$353,C498,'Gate plan'!$C$4:$C$353,D498)=0),"Plan gate differs from event gate",IF(AND(C498&lt;&gt;"",O498&lt;&gt;"",COUNTIFS('Gate plan'!$A$4:$A$353,C498,'Gate plan'!$K$4:$K$353,"&lt;&gt;")&gt;0,COUNTIFS('Gate plan'!$A$4:$A$353,C498,'Gate plan'!$K$4:$K$353,O498)=0),"Plan UC-ID differs from event UC-ID",IF(AND(E498="Assurance opinion",J498=""),"Assurance opinion ref missing",IF(AND(G498="Opinion only",E498&lt;&gt;"Assurance opinion",E498&lt;&gt;"Review only"),"Opinion only is for Assurance opinion or Review only events",IF(AND(G498="No decision",E498&lt;&gt;"Review only",E498&lt;&gt;"Priority override",E498&lt;&gt;"Intake / registration"),"No decision is for Review only, Priority override or Intake / registration events",IF(OR(ISNUMBER(SEARCH(" ",TRIM(O498))),ISNUMBER(SEARCH("/",O498))),"One UC-ID per event row: split this event",IF(AND(E498="Precautionary pause (containment)",ISNUMBER(W498),ISNUMBER(F498),W498&lt;F498),"Follow-up decision due date is before the pause",IF(AND(G498="Resume",IFERROR(LOOKUP(2,1/(($B$3:B497=B498)*($O$3:O497=O498)),$G$3:G497),"")&lt;&gt;"Paused — pending decision"),"Resume is only for the event straight after a Precautionary pause on the same AIR-ID and UC-ID (in an earlier row)",IF(AND(E498="Decision",OR(G498="Progress",G498="Progress with condition",G498="Re-authorise",G498="Resume"),X498&lt;&gt;"Yes"),"Decision-maker has not confirmed the screening was considered (column X)","Check against source")))))))))))))))))))))))))))))</f>
        <v/>
      </c>
      <c r="O498" s="37" t="n"/>
      <c r="P498" s="37" t="n"/>
      <c r="Q498" s="14">
        <f>IF(A498="","",IF(E498&lt;&gt;"Decision","",IF(P498="UC-ID specific",IF(O498="","UC-ID REQUIRED","Check source decision for each UC-ID"),IF(P498="Shared system baseline",IF(O498&lt;&gt;"","REMOVE UC-ID OR CORRECT SCOPE","Baseline only — NOT UC approval"),"Decision scope missing"))))</f>
        <v/>
      </c>
      <c r="R498" s="42" t="n"/>
      <c r="S498" s="38" t="n"/>
      <c r="T498" s="38" t="n"/>
      <c r="U498" s="38" t="n"/>
      <c r="V498" s="38" t="n"/>
      <c r="W498" s="39" t="n"/>
      <c r="X498" s="38" t="n"/>
    </row>
    <row r="499">
      <c r="A499" s="40" t="n"/>
      <c r="B499" s="40" t="n"/>
      <c r="C499" s="40" t="n"/>
      <c r="D499" s="40" t="n"/>
      <c r="E499" s="40" t="n"/>
      <c r="F499" s="41" t="n"/>
      <c r="G499" s="40" t="n"/>
      <c r="H499" s="40" t="n"/>
      <c r="I499" s="40" t="n"/>
      <c r="J499" s="40" t="n"/>
      <c r="K499" s="40" t="n"/>
      <c r="L499" s="40" t="n"/>
      <c r="M499" s="40" t="n"/>
      <c r="N499" s="24">
        <f>IF(COUNTA(A499:M499,O499:P499,R499:X499)=0,"",IF(OR(A499="",B499="",F499=""),"Event ID, AIR-ID or date missing",IF(COUNTIF($A$4:$A$553,A499)&gt;1,"Duplicate Event ID",IF(E499="","Event type missing",IF(OR(NOT(ISNUMBER(F499)),F499&gt;TODAY()),"Date is not a real date or is in the future",IF(AND(C499&lt;&gt;"",COUNTIF('Gate plan'!$A$4:$A$353,C499)=0),"Plan ID not found in Gate plan",IF(AND(C499&lt;&gt;"",COUNTIFS('Gate plan'!$A$4:$A$353,C499,'Gate plan'!$B$4:$B$353,B499)=0),"Plan AIR-ID differs from event",IF(D499="","Gate / forum missing",IF(AND(E499="Precautionary pause (containment)",G499&lt;&gt;"Paused — pending decision"),"Precautionary pause: Outcome must be Paused, pending decision",IF(AND(E499="Precautionary pause (containment)",V499=""),"Precautionary pause: AIG-OPS-03 incident ref missing",IF(AND(E499="Precautionary pause (containment)",NOT(ISNUMBER(W499))),"Precautionary pause: follow-up decision due date missing",IF(AND(G499="Paused — pending decision",E499&lt;&gt;"Precautionary pause (containment)"),"Paused, pending decision is only for a Precautionary pause event",IF(AND(E499="Decision",OR(G499="",H499="",I499="")),"Outcome / delegation / decision ref missing",IF(AND(E499="Decision",NOT(OR(G499="Progress",G499="Progress with condition",G499="Return for evidence",G499="Pause",G499="Stop",G499="Suspend",G499="Decommission",G499="Re-authorise",G499="Resume"))),"Decision event needs a decision outcome",IF(AND(E499="Priority override",OR(H499="",I499="")),"Decision-maker / AIG-DEC-03 ref missing",IF(AND(E499="Priority override",G499&lt;&gt;"",G499&lt;&gt;"No decision"),"Priority override: Outcome blank or No decision",IF(AND(E499&lt;&gt;"Decision",OR(G499="Progress",G499="Progress with condition",G499="Return for evidence",G499="Pause",G499="Stop",G499="Suspend",G499="Decommission",G499="Re-authorise",G499="Resume")),"Outcome implies decision",IF(OR(ISNUMBER(SEARCH(",",O499)),ISNUMBER(SEARCH(";",O499))),"One UC-ID per event row — split this event",IF(AND(E499="Decision",OR(Q499="UC-ID REQUIRED",Q499="Decision scope missing",Q499="REMOVE UC-ID OR CORRECT SCOPE")),"Decision scope missing",IF(AND(G499="Progress with condition",COUNTIF(Conditions!$B$4:$B$553,A499)=0),"Progress with condition needs at least one Conditions row",IF(AND(C499&lt;&gt;"",COUNTIFS('Gate plan'!$A$4:$A$353,C499,'Gate plan'!$C$4:$C$353,D499)=0),"Plan gate differs from event gate",IF(AND(C499&lt;&gt;"",O499&lt;&gt;"",COUNTIFS('Gate plan'!$A$4:$A$353,C499,'Gate plan'!$K$4:$K$353,"&lt;&gt;")&gt;0,COUNTIFS('Gate plan'!$A$4:$A$353,C499,'Gate plan'!$K$4:$K$353,O499)=0),"Plan UC-ID differs from event UC-ID",IF(AND(E499="Assurance opinion",J499=""),"Assurance opinion ref missing",IF(AND(G499="Opinion only",E499&lt;&gt;"Assurance opinion",E499&lt;&gt;"Review only"),"Opinion only is for Assurance opinion or Review only events",IF(AND(G499="No decision",E499&lt;&gt;"Review only",E499&lt;&gt;"Priority override",E499&lt;&gt;"Intake / registration"),"No decision is for Review only, Priority override or Intake / registration events",IF(OR(ISNUMBER(SEARCH(" ",TRIM(O499))),ISNUMBER(SEARCH("/",O499))),"One UC-ID per event row: split this event",IF(AND(E499="Precautionary pause (containment)",ISNUMBER(W499),ISNUMBER(F499),W499&lt;F499),"Follow-up decision due date is before the pause",IF(AND(G499="Resume",IFERROR(LOOKUP(2,1/(($B$3:B498=B499)*($O$3:O498=O499)),$G$3:G498),"")&lt;&gt;"Paused — pending decision"),"Resume is only for the event straight after a Precautionary pause on the same AIR-ID and UC-ID (in an earlier row)",IF(AND(E499="Decision",OR(G499="Progress",G499="Progress with condition",G499="Re-authorise",G499="Resume"),X499&lt;&gt;"Yes"),"Decision-maker has not confirmed the screening was considered (column X)","Check against source")))))))))))))))))))))))))))))</f>
        <v/>
      </c>
      <c r="O499" s="37" t="n"/>
      <c r="P499" s="37" t="n"/>
      <c r="Q499" s="14">
        <f>IF(A499="","",IF(E499&lt;&gt;"Decision","",IF(P499="UC-ID specific",IF(O499="","UC-ID REQUIRED","Check source decision for each UC-ID"),IF(P499="Shared system baseline",IF(O499&lt;&gt;"","REMOVE UC-ID OR CORRECT SCOPE","Baseline only — NOT UC approval"),"Decision scope missing"))))</f>
        <v/>
      </c>
      <c r="R499" s="43" t="n"/>
      <c r="S499" s="40" t="n"/>
      <c r="T499" s="40" t="n"/>
      <c r="U499" s="40" t="n"/>
      <c r="V499" s="40" t="n"/>
      <c r="W499" s="41" t="n"/>
      <c r="X499" s="38" t="n"/>
    </row>
    <row r="500">
      <c r="A500" s="38" t="n"/>
      <c r="B500" s="38" t="n"/>
      <c r="C500" s="38" t="n"/>
      <c r="D500" s="38" t="n"/>
      <c r="E500" s="38" t="n"/>
      <c r="F500" s="39" t="n"/>
      <c r="G500" s="38" t="n"/>
      <c r="H500" s="38" t="n"/>
      <c r="I500" s="38" t="n"/>
      <c r="J500" s="38" t="n"/>
      <c r="K500" s="38" t="n"/>
      <c r="L500" s="38" t="n"/>
      <c r="M500" s="38" t="n"/>
      <c r="N500" s="22">
        <f>IF(COUNTA(A500:M500,O500:P500,R500:X500)=0,"",IF(OR(A500="",B500="",F500=""),"Event ID, AIR-ID or date missing",IF(COUNTIF($A$4:$A$553,A500)&gt;1,"Duplicate Event ID",IF(E500="","Event type missing",IF(OR(NOT(ISNUMBER(F500)),F500&gt;TODAY()),"Date is not a real date or is in the future",IF(AND(C500&lt;&gt;"",COUNTIF('Gate plan'!$A$4:$A$353,C500)=0),"Plan ID not found in Gate plan",IF(AND(C500&lt;&gt;"",COUNTIFS('Gate plan'!$A$4:$A$353,C500,'Gate plan'!$B$4:$B$353,B500)=0),"Plan AIR-ID differs from event",IF(D500="","Gate / forum missing",IF(AND(E500="Precautionary pause (containment)",G500&lt;&gt;"Paused — pending decision"),"Precautionary pause: Outcome must be Paused, pending decision",IF(AND(E500="Precautionary pause (containment)",V500=""),"Precautionary pause: AIG-OPS-03 incident ref missing",IF(AND(E500="Precautionary pause (containment)",NOT(ISNUMBER(W500))),"Precautionary pause: follow-up decision due date missing",IF(AND(G500="Paused — pending decision",E500&lt;&gt;"Precautionary pause (containment)"),"Paused, pending decision is only for a Precautionary pause event",IF(AND(E500="Decision",OR(G500="",H500="",I500="")),"Outcome / delegation / decision ref missing",IF(AND(E500="Decision",NOT(OR(G500="Progress",G500="Progress with condition",G500="Return for evidence",G500="Pause",G500="Stop",G500="Suspend",G500="Decommission",G500="Re-authorise",G500="Resume"))),"Decision event needs a decision outcome",IF(AND(E500="Priority override",OR(H500="",I500="")),"Decision-maker / AIG-DEC-03 ref missing",IF(AND(E500="Priority override",G500&lt;&gt;"",G500&lt;&gt;"No decision"),"Priority override: Outcome blank or No decision",IF(AND(E500&lt;&gt;"Decision",OR(G500="Progress",G500="Progress with condition",G500="Return for evidence",G500="Pause",G500="Stop",G500="Suspend",G500="Decommission",G500="Re-authorise",G500="Resume")),"Outcome implies decision",IF(OR(ISNUMBER(SEARCH(",",O500)),ISNUMBER(SEARCH(";",O500))),"One UC-ID per event row — split this event",IF(AND(E500="Decision",OR(Q500="UC-ID REQUIRED",Q500="Decision scope missing",Q500="REMOVE UC-ID OR CORRECT SCOPE")),"Decision scope missing",IF(AND(G500="Progress with condition",COUNTIF(Conditions!$B$4:$B$553,A500)=0),"Progress with condition needs at least one Conditions row",IF(AND(C500&lt;&gt;"",COUNTIFS('Gate plan'!$A$4:$A$353,C500,'Gate plan'!$C$4:$C$353,D500)=0),"Plan gate differs from event gate",IF(AND(C500&lt;&gt;"",O500&lt;&gt;"",COUNTIFS('Gate plan'!$A$4:$A$353,C500,'Gate plan'!$K$4:$K$353,"&lt;&gt;")&gt;0,COUNTIFS('Gate plan'!$A$4:$A$353,C500,'Gate plan'!$K$4:$K$353,O500)=0),"Plan UC-ID differs from event UC-ID",IF(AND(E500="Assurance opinion",J500=""),"Assurance opinion ref missing",IF(AND(G500="Opinion only",E500&lt;&gt;"Assurance opinion",E500&lt;&gt;"Review only"),"Opinion only is for Assurance opinion or Review only events",IF(AND(G500="No decision",E500&lt;&gt;"Review only",E500&lt;&gt;"Priority override",E500&lt;&gt;"Intake / registration"),"No decision is for Review only, Priority override or Intake / registration events",IF(OR(ISNUMBER(SEARCH(" ",TRIM(O500))),ISNUMBER(SEARCH("/",O500))),"One UC-ID per event row: split this event",IF(AND(E500="Precautionary pause (containment)",ISNUMBER(W500),ISNUMBER(F500),W500&lt;F500),"Follow-up decision due date is before the pause",IF(AND(G500="Resume",IFERROR(LOOKUP(2,1/(($B$3:B499=B500)*($O$3:O499=O500)),$G$3:G499),"")&lt;&gt;"Paused — pending decision"),"Resume is only for the event straight after a Precautionary pause on the same AIR-ID and UC-ID (in an earlier row)",IF(AND(E500="Decision",OR(G500="Progress",G500="Progress with condition",G500="Re-authorise",G500="Resume"),X500&lt;&gt;"Yes"),"Decision-maker has not confirmed the screening was considered (column X)","Check against source")))))))))))))))))))))))))))))</f>
        <v/>
      </c>
      <c r="O500" s="37" t="n"/>
      <c r="P500" s="37" t="n"/>
      <c r="Q500" s="14">
        <f>IF(A500="","",IF(E500&lt;&gt;"Decision","",IF(P500="UC-ID specific",IF(O500="","UC-ID REQUIRED","Check source decision for each UC-ID"),IF(P500="Shared system baseline",IF(O500&lt;&gt;"","REMOVE UC-ID OR CORRECT SCOPE","Baseline only — NOT UC approval"),"Decision scope missing"))))</f>
        <v/>
      </c>
      <c r="R500" s="42" t="n"/>
      <c r="S500" s="38" t="n"/>
      <c r="T500" s="38" t="n"/>
      <c r="U500" s="38" t="n"/>
      <c r="V500" s="38" t="n"/>
      <c r="W500" s="39" t="n"/>
      <c r="X500" s="38" t="n"/>
    </row>
    <row r="501">
      <c r="A501" s="40" t="n"/>
      <c r="B501" s="40" t="n"/>
      <c r="C501" s="40" t="n"/>
      <c r="D501" s="40" t="n"/>
      <c r="E501" s="40" t="n"/>
      <c r="F501" s="41" t="n"/>
      <c r="G501" s="40" t="n"/>
      <c r="H501" s="40" t="n"/>
      <c r="I501" s="40" t="n"/>
      <c r="J501" s="40" t="n"/>
      <c r="K501" s="40" t="n"/>
      <c r="L501" s="40" t="n"/>
      <c r="M501" s="40" t="n"/>
      <c r="N501" s="24">
        <f>IF(COUNTA(A501:M501,O501:P501,R501:X501)=0,"",IF(OR(A501="",B501="",F501=""),"Event ID, AIR-ID or date missing",IF(COUNTIF($A$4:$A$553,A501)&gt;1,"Duplicate Event ID",IF(E501="","Event type missing",IF(OR(NOT(ISNUMBER(F501)),F501&gt;TODAY()),"Date is not a real date or is in the future",IF(AND(C501&lt;&gt;"",COUNTIF('Gate plan'!$A$4:$A$353,C501)=0),"Plan ID not found in Gate plan",IF(AND(C501&lt;&gt;"",COUNTIFS('Gate plan'!$A$4:$A$353,C501,'Gate plan'!$B$4:$B$353,B501)=0),"Plan AIR-ID differs from event",IF(D501="","Gate / forum missing",IF(AND(E501="Precautionary pause (containment)",G501&lt;&gt;"Paused — pending decision"),"Precautionary pause: Outcome must be Paused, pending decision",IF(AND(E501="Precautionary pause (containment)",V501=""),"Precautionary pause: AIG-OPS-03 incident ref missing",IF(AND(E501="Precautionary pause (containment)",NOT(ISNUMBER(W501))),"Precautionary pause: follow-up decision due date missing",IF(AND(G501="Paused — pending decision",E501&lt;&gt;"Precautionary pause (containment)"),"Paused, pending decision is only for a Precautionary pause event",IF(AND(E501="Decision",OR(G501="",H501="",I501="")),"Outcome / delegation / decision ref missing",IF(AND(E501="Decision",NOT(OR(G501="Progress",G501="Progress with condition",G501="Return for evidence",G501="Pause",G501="Stop",G501="Suspend",G501="Decommission",G501="Re-authorise",G501="Resume"))),"Decision event needs a decision outcome",IF(AND(E501="Priority override",OR(H501="",I501="")),"Decision-maker / AIG-DEC-03 ref missing",IF(AND(E501="Priority override",G501&lt;&gt;"",G501&lt;&gt;"No decision"),"Priority override: Outcome blank or No decision",IF(AND(E501&lt;&gt;"Decision",OR(G501="Progress",G501="Progress with condition",G501="Return for evidence",G501="Pause",G501="Stop",G501="Suspend",G501="Decommission",G501="Re-authorise",G501="Resume")),"Outcome implies decision",IF(OR(ISNUMBER(SEARCH(",",O501)),ISNUMBER(SEARCH(";",O501))),"One UC-ID per event row — split this event",IF(AND(E501="Decision",OR(Q501="UC-ID REQUIRED",Q501="Decision scope missing",Q501="REMOVE UC-ID OR CORRECT SCOPE")),"Decision scope missing",IF(AND(G501="Progress with condition",COUNTIF(Conditions!$B$4:$B$553,A501)=0),"Progress with condition needs at least one Conditions row",IF(AND(C501&lt;&gt;"",COUNTIFS('Gate plan'!$A$4:$A$353,C501,'Gate plan'!$C$4:$C$353,D501)=0),"Plan gate differs from event gate",IF(AND(C501&lt;&gt;"",O501&lt;&gt;"",COUNTIFS('Gate plan'!$A$4:$A$353,C501,'Gate plan'!$K$4:$K$353,"&lt;&gt;")&gt;0,COUNTIFS('Gate plan'!$A$4:$A$353,C501,'Gate plan'!$K$4:$K$353,O501)=0),"Plan UC-ID differs from event UC-ID",IF(AND(E501="Assurance opinion",J501=""),"Assurance opinion ref missing",IF(AND(G501="Opinion only",E501&lt;&gt;"Assurance opinion",E501&lt;&gt;"Review only"),"Opinion only is for Assurance opinion or Review only events",IF(AND(G501="No decision",E501&lt;&gt;"Review only",E501&lt;&gt;"Priority override",E501&lt;&gt;"Intake / registration"),"No decision is for Review only, Priority override or Intake / registration events",IF(OR(ISNUMBER(SEARCH(" ",TRIM(O501))),ISNUMBER(SEARCH("/",O501))),"One UC-ID per event row: split this event",IF(AND(E501="Precautionary pause (containment)",ISNUMBER(W501),ISNUMBER(F501),W501&lt;F501),"Follow-up decision due date is before the pause",IF(AND(G501="Resume",IFERROR(LOOKUP(2,1/(($B$3:B500=B501)*($O$3:O500=O501)),$G$3:G500),"")&lt;&gt;"Paused — pending decision"),"Resume is only for the event straight after a Precautionary pause on the same AIR-ID and UC-ID (in an earlier row)",IF(AND(E501="Decision",OR(G501="Progress",G501="Progress with condition",G501="Re-authorise",G501="Resume"),X501&lt;&gt;"Yes"),"Decision-maker has not confirmed the screening was considered (column X)","Check against source")))))))))))))))))))))))))))))</f>
        <v/>
      </c>
      <c r="O501" s="37" t="n"/>
      <c r="P501" s="37" t="n"/>
      <c r="Q501" s="14">
        <f>IF(A501="","",IF(E501&lt;&gt;"Decision","",IF(P501="UC-ID specific",IF(O501="","UC-ID REQUIRED","Check source decision for each UC-ID"),IF(P501="Shared system baseline",IF(O501&lt;&gt;"","REMOVE UC-ID OR CORRECT SCOPE","Baseline only — NOT UC approval"),"Decision scope missing"))))</f>
        <v/>
      </c>
      <c r="R501" s="43" t="n"/>
      <c r="S501" s="40" t="n"/>
      <c r="T501" s="40" t="n"/>
      <c r="U501" s="40" t="n"/>
      <c r="V501" s="40" t="n"/>
      <c r="W501" s="41" t="n"/>
      <c r="X501" s="38" t="n"/>
    </row>
    <row r="502">
      <c r="A502" s="38" t="n"/>
      <c r="B502" s="38" t="n"/>
      <c r="C502" s="38" t="n"/>
      <c r="D502" s="38" t="n"/>
      <c r="E502" s="38" t="n"/>
      <c r="F502" s="39" t="n"/>
      <c r="G502" s="38" t="n"/>
      <c r="H502" s="38" t="n"/>
      <c r="I502" s="38" t="n"/>
      <c r="J502" s="38" t="n"/>
      <c r="K502" s="38" t="n"/>
      <c r="L502" s="38" t="n"/>
      <c r="M502" s="38" t="n"/>
      <c r="N502" s="22">
        <f>IF(COUNTA(A502:M502,O502:P502,R502:X502)=0,"",IF(OR(A502="",B502="",F502=""),"Event ID, AIR-ID or date missing",IF(COUNTIF($A$4:$A$553,A502)&gt;1,"Duplicate Event ID",IF(E502="","Event type missing",IF(OR(NOT(ISNUMBER(F502)),F502&gt;TODAY()),"Date is not a real date or is in the future",IF(AND(C502&lt;&gt;"",COUNTIF('Gate plan'!$A$4:$A$353,C502)=0),"Plan ID not found in Gate plan",IF(AND(C502&lt;&gt;"",COUNTIFS('Gate plan'!$A$4:$A$353,C502,'Gate plan'!$B$4:$B$353,B502)=0),"Plan AIR-ID differs from event",IF(D502="","Gate / forum missing",IF(AND(E502="Precautionary pause (containment)",G502&lt;&gt;"Paused — pending decision"),"Precautionary pause: Outcome must be Paused, pending decision",IF(AND(E502="Precautionary pause (containment)",V502=""),"Precautionary pause: AIG-OPS-03 incident ref missing",IF(AND(E502="Precautionary pause (containment)",NOT(ISNUMBER(W502))),"Precautionary pause: follow-up decision due date missing",IF(AND(G502="Paused — pending decision",E502&lt;&gt;"Precautionary pause (containment)"),"Paused, pending decision is only for a Precautionary pause event",IF(AND(E502="Decision",OR(G502="",H502="",I502="")),"Outcome / delegation / decision ref missing",IF(AND(E502="Decision",NOT(OR(G502="Progress",G502="Progress with condition",G502="Return for evidence",G502="Pause",G502="Stop",G502="Suspend",G502="Decommission",G502="Re-authorise",G502="Resume"))),"Decision event needs a decision outcome",IF(AND(E502="Priority override",OR(H502="",I502="")),"Decision-maker / AIG-DEC-03 ref missing",IF(AND(E502="Priority override",G502&lt;&gt;"",G502&lt;&gt;"No decision"),"Priority override: Outcome blank or No decision",IF(AND(E502&lt;&gt;"Decision",OR(G502="Progress",G502="Progress with condition",G502="Return for evidence",G502="Pause",G502="Stop",G502="Suspend",G502="Decommission",G502="Re-authorise",G502="Resume")),"Outcome implies decision",IF(OR(ISNUMBER(SEARCH(",",O502)),ISNUMBER(SEARCH(";",O502))),"One UC-ID per event row — split this event",IF(AND(E502="Decision",OR(Q502="UC-ID REQUIRED",Q502="Decision scope missing",Q502="REMOVE UC-ID OR CORRECT SCOPE")),"Decision scope missing",IF(AND(G502="Progress with condition",COUNTIF(Conditions!$B$4:$B$553,A502)=0),"Progress with condition needs at least one Conditions row",IF(AND(C502&lt;&gt;"",COUNTIFS('Gate plan'!$A$4:$A$353,C502,'Gate plan'!$C$4:$C$353,D502)=0),"Plan gate differs from event gate",IF(AND(C502&lt;&gt;"",O502&lt;&gt;"",COUNTIFS('Gate plan'!$A$4:$A$353,C502,'Gate plan'!$K$4:$K$353,"&lt;&gt;")&gt;0,COUNTIFS('Gate plan'!$A$4:$A$353,C502,'Gate plan'!$K$4:$K$353,O502)=0),"Plan UC-ID differs from event UC-ID",IF(AND(E502="Assurance opinion",J502=""),"Assurance opinion ref missing",IF(AND(G502="Opinion only",E502&lt;&gt;"Assurance opinion",E502&lt;&gt;"Review only"),"Opinion only is for Assurance opinion or Review only events",IF(AND(G502="No decision",E502&lt;&gt;"Review only",E502&lt;&gt;"Priority override",E502&lt;&gt;"Intake / registration"),"No decision is for Review only, Priority override or Intake / registration events",IF(OR(ISNUMBER(SEARCH(" ",TRIM(O502))),ISNUMBER(SEARCH("/",O502))),"One UC-ID per event row: split this event",IF(AND(E502="Precautionary pause (containment)",ISNUMBER(W502),ISNUMBER(F502),W502&lt;F502),"Follow-up decision due date is before the pause",IF(AND(G502="Resume",IFERROR(LOOKUP(2,1/(($B$3:B501=B502)*($O$3:O501=O502)),$G$3:G501),"")&lt;&gt;"Paused — pending decision"),"Resume is only for the event straight after a Precautionary pause on the same AIR-ID and UC-ID (in an earlier row)",IF(AND(E502="Decision",OR(G502="Progress",G502="Progress with condition",G502="Re-authorise",G502="Resume"),X502&lt;&gt;"Yes"),"Decision-maker has not confirmed the screening was considered (column X)","Check against source")))))))))))))))))))))))))))))</f>
        <v/>
      </c>
      <c r="O502" s="37" t="n"/>
      <c r="P502" s="37" t="n"/>
      <c r="Q502" s="14">
        <f>IF(A502="","",IF(E502&lt;&gt;"Decision","",IF(P502="UC-ID specific",IF(O502="","UC-ID REQUIRED","Check source decision for each UC-ID"),IF(P502="Shared system baseline",IF(O502&lt;&gt;"","REMOVE UC-ID OR CORRECT SCOPE","Baseline only — NOT UC approval"),"Decision scope missing"))))</f>
        <v/>
      </c>
      <c r="R502" s="42" t="n"/>
      <c r="S502" s="38" t="n"/>
      <c r="T502" s="38" t="n"/>
      <c r="U502" s="38" t="n"/>
      <c r="V502" s="38" t="n"/>
      <c r="W502" s="39" t="n"/>
      <c r="X502" s="38" t="n"/>
    </row>
    <row r="503">
      <c r="A503" s="40" t="n"/>
      <c r="B503" s="40" t="n"/>
      <c r="C503" s="40" t="n"/>
      <c r="D503" s="40" t="n"/>
      <c r="E503" s="40" t="n"/>
      <c r="F503" s="41" t="n"/>
      <c r="G503" s="40" t="n"/>
      <c r="H503" s="40" t="n"/>
      <c r="I503" s="40" t="n"/>
      <c r="J503" s="40" t="n"/>
      <c r="K503" s="40" t="n"/>
      <c r="L503" s="40" t="n"/>
      <c r="M503" s="40" t="n"/>
      <c r="N503" s="24">
        <f>IF(COUNTA(A503:M503,O503:P503,R503:X503)=0,"",IF(OR(A503="",B503="",F503=""),"Event ID, AIR-ID or date missing",IF(COUNTIF($A$4:$A$553,A503)&gt;1,"Duplicate Event ID",IF(E503="","Event type missing",IF(OR(NOT(ISNUMBER(F503)),F503&gt;TODAY()),"Date is not a real date or is in the future",IF(AND(C503&lt;&gt;"",COUNTIF('Gate plan'!$A$4:$A$353,C503)=0),"Plan ID not found in Gate plan",IF(AND(C503&lt;&gt;"",COUNTIFS('Gate plan'!$A$4:$A$353,C503,'Gate plan'!$B$4:$B$353,B503)=0),"Plan AIR-ID differs from event",IF(D503="","Gate / forum missing",IF(AND(E503="Precautionary pause (containment)",G503&lt;&gt;"Paused — pending decision"),"Precautionary pause: Outcome must be Paused, pending decision",IF(AND(E503="Precautionary pause (containment)",V503=""),"Precautionary pause: AIG-OPS-03 incident ref missing",IF(AND(E503="Precautionary pause (containment)",NOT(ISNUMBER(W503))),"Precautionary pause: follow-up decision due date missing",IF(AND(G503="Paused — pending decision",E503&lt;&gt;"Precautionary pause (containment)"),"Paused, pending decision is only for a Precautionary pause event",IF(AND(E503="Decision",OR(G503="",H503="",I503="")),"Outcome / delegation / decision ref missing",IF(AND(E503="Decision",NOT(OR(G503="Progress",G503="Progress with condition",G503="Return for evidence",G503="Pause",G503="Stop",G503="Suspend",G503="Decommission",G503="Re-authorise",G503="Resume"))),"Decision event needs a decision outcome",IF(AND(E503="Priority override",OR(H503="",I503="")),"Decision-maker / AIG-DEC-03 ref missing",IF(AND(E503="Priority override",G503&lt;&gt;"",G503&lt;&gt;"No decision"),"Priority override: Outcome blank or No decision",IF(AND(E503&lt;&gt;"Decision",OR(G503="Progress",G503="Progress with condition",G503="Return for evidence",G503="Pause",G503="Stop",G503="Suspend",G503="Decommission",G503="Re-authorise",G503="Resume")),"Outcome implies decision",IF(OR(ISNUMBER(SEARCH(",",O503)),ISNUMBER(SEARCH(";",O503))),"One UC-ID per event row — split this event",IF(AND(E503="Decision",OR(Q503="UC-ID REQUIRED",Q503="Decision scope missing",Q503="REMOVE UC-ID OR CORRECT SCOPE")),"Decision scope missing",IF(AND(G503="Progress with condition",COUNTIF(Conditions!$B$4:$B$553,A503)=0),"Progress with condition needs at least one Conditions row",IF(AND(C503&lt;&gt;"",COUNTIFS('Gate plan'!$A$4:$A$353,C503,'Gate plan'!$C$4:$C$353,D503)=0),"Plan gate differs from event gate",IF(AND(C503&lt;&gt;"",O503&lt;&gt;"",COUNTIFS('Gate plan'!$A$4:$A$353,C503,'Gate plan'!$K$4:$K$353,"&lt;&gt;")&gt;0,COUNTIFS('Gate plan'!$A$4:$A$353,C503,'Gate plan'!$K$4:$K$353,O503)=0),"Plan UC-ID differs from event UC-ID",IF(AND(E503="Assurance opinion",J503=""),"Assurance opinion ref missing",IF(AND(G503="Opinion only",E503&lt;&gt;"Assurance opinion",E503&lt;&gt;"Review only"),"Opinion only is for Assurance opinion or Review only events",IF(AND(G503="No decision",E503&lt;&gt;"Review only",E503&lt;&gt;"Priority override",E503&lt;&gt;"Intake / registration"),"No decision is for Review only, Priority override or Intake / registration events",IF(OR(ISNUMBER(SEARCH(" ",TRIM(O503))),ISNUMBER(SEARCH("/",O503))),"One UC-ID per event row: split this event",IF(AND(E503="Precautionary pause (containment)",ISNUMBER(W503),ISNUMBER(F503),W503&lt;F503),"Follow-up decision due date is before the pause",IF(AND(G503="Resume",IFERROR(LOOKUP(2,1/(($B$3:B502=B503)*($O$3:O502=O503)),$G$3:G502),"")&lt;&gt;"Paused — pending decision"),"Resume is only for the event straight after a Precautionary pause on the same AIR-ID and UC-ID (in an earlier row)",IF(AND(E503="Decision",OR(G503="Progress",G503="Progress with condition",G503="Re-authorise",G503="Resume"),X503&lt;&gt;"Yes"),"Decision-maker has not confirmed the screening was considered (column X)","Check against source")))))))))))))))))))))))))))))</f>
        <v/>
      </c>
      <c r="O503" s="37" t="n"/>
      <c r="P503" s="37" t="n"/>
      <c r="Q503" s="14">
        <f>IF(A503="","",IF(E503&lt;&gt;"Decision","",IF(P503="UC-ID specific",IF(O503="","UC-ID REQUIRED","Check source decision for each UC-ID"),IF(P503="Shared system baseline",IF(O503&lt;&gt;"","REMOVE UC-ID OR CORRECT SCOPE","Baseline only — NOT UC approval"),"Decision scope missing"))))</f>
        <v/>
      </c>
      <c r="R503" s="43" t="n"/>
      <c r="S503" s="40" t="n"/>
      <c r="T503" s="40" t="n"/>
      <c r="U503" s="40" t="n"/>
      <c r="V503" s="40" t="n"/>
      <c r="W503" s="41" t="n"/>
      <c r="X503" s="38" t="n"/>
    </row>
    <row r="504">
      <c r="A504" s="38" t="n"/>
      <c r="B504" s="38" t="n"/>
      <c r="C504" s="38" t="n"/>
      <c r="D504" s="38" t="n"/>
      <c r="E504" s="38" t="n"/>
      <c r="F504" s="39" t="n"/>
      <c r="G504" s="38" t="n"/>
      <c r="H504" s="38" t="n"/>
      <c r="I504" s="38" t="n"/>
      <c r="J504" s="38" t="n"/>
      <c r="K504" s="38" t="n"/>
      <c r="L504" s="38" t="n"/>
      <c r="M504" s="38" t="n"/>
      <c r="N504" s="22">
        <f>IF(COUNTA(A504:M504,O504:P504,R504:X504)=0,"",IF(OR(A504="",B504="",F504=""),"Event ID, AIR-ID or date missing",IF(COUNTIF($A$4:$A$553,A504)&gt;1,"Duplicate Event ID",IF(E504="","Event type missing",IF(OR(NOT(ISNUMBER(F504)),F504&gt;TODAY()),"Date is not a real date or is in the future",IF(AND(C504&lt;&gt;"",COUNTIF('Gate plan'!$A$4:$A$353,C504)=0),"Plan ID not found in Gate plan",IF(AND(C504&lt;&gt;"",COUNTIFS('Gate plan'!$A$4:$A$353,C504,'Gate plan'!$B$4:$B$353,B504)=0),"Plan AIR-ID differs from event",IF(D504="","Gate / forum missing",IF(AND(E504="Precautionary pause (containment)",G504&lt;&gt;"Paused — pending decision"),"Precautionary pause: Outcome must be Paused, pending decision",IF(AND(E504="Precautionary pause (containment)",V504=""),"Precautionary pause: AIG-OPS-03 incident ref missing",IF(AND(E504="Precautionary pause (containment)",NOT(ISNUMBER(W504))),"Precautionary pause: follow-up decision due date missing",IF(AND(G504="Paused — pending decision",E504&lt;&gt;"Precautionary pause (containment)"),"Paused, pending decision is only for a Precautionary pause event",IF(AND(E504="Decision",OR(G504="",H504="",I504="")),"Outcome / delegation / decision ref missing",IF(AND(E504="Decision",NOT(OR(G504="Progress",G504="Progress with condition",G504="Return for evidence",G504="Pause",G504="Stop",G504="Suspend",G504="Decommission",G504="Re-authorise",G504="Resume"))),"Decision event needs a decision outcome",IF(AND(E504="Priority override",OR(H504="",I504="")),"Decision-maker / AIG-DEC-03 ref missing",IF(AND(E504="Priority override",G504&lt;&gt;"",G504&lt;&gt;"No decision"),"Priority override: Outcome blank or No decision",IF(AND(E504&lt;&gt;"Decision",OR(G504="Progress",G504="Progress with condition",G504="Return for evidence",G504="Pause",G504="Stop",G504="Suspend",G504="Decommission",G504="Re-authorise",G504="Resume")),"Outcome implies decision",IF(OR(ISNUMBER(SEARCH(",",O504)),ISNUMBER(SEARCH(";",O504))),"One UC-ID per event row — split this event",IF(AND(E504="Decision",OR(Q504="UC-ID REQUIRED",Q504="Decision scope missing",Q504="REMOVE UC-ID OR CORRECT SCOPE")),"Decision scope missing",IF(AND(G504="Progress with condition",COUNTIF(Conditions!$B$4:$B$553,A504)=0),"Progress with condition needs at least one Conditions row",IF(AND(C504&lt;&gt;"",COUNTIFS('Gate plan'!$A$4:$A$353,C504,'Gate plan'!$C$4:$C$353,D504)=0),"Plan gate differs from event gate",IF(AND(C504&lt;&gt;"",O504&lt;&gt;"",COUNTIFS('Gate plan'!$A$4:$A$353,C504,'Gate plan'!$K$4:$K$353,"&lt;&gt;")&gt;0,COUNTIFS('Gate plan'!$A$4:$A$353,C504,'Gate plan'!$K$4:$K$353,O504)=0),"Plan UC-ID differs from event UC-ID",IF(AND(E504="Assurance opinion",J504=""),"Assurance opinion ref missing",IF(AND(G504="Opinion only",E504&lt;&gt;"Assurance opinion",E504&lt;&gt;"Review only"),"Opinion only is for Assurance opinion or Review only events",IF(AND(G504="No decision",E504&lt;&gt;"Review only",E504&lt;&gt;"Priority override",E504&lt;&gt;"Intake / registration"),"No decision is for Review only, Priority override or Intake / registration events",IF(OR(ISNUMBER(SEARCH(" ",TRIM(O504))),ISNUMBER(SEARCH("/",O504))),"One UC-ID per event row: split this event",IF(AND(E504="Precautionary pause (containment)",ISNUMBER(W504),ISNUMBER(F504),W504&lt;F504),"Follow-up decision due date is before the pause",IF(AND(G504="Resume",IFERROR(LOOKUP(2,1/(($B$3:B503=B504)*($O$3:O503=O504)),$G$3:G503),"")&lt;&gt;"Paused — pending decision"),"Resume is only for the event straight after a Precautionary pause on the same AIR-ID and UC-ID (in an earlier row)",IF(AND(E504="Decision",OR(G504="Progress",G504="Progress with condition",G504="Re-authorise",G504="Resume"),X504&lt;&gt;"Yes"),"Decision-maker has not confirmed the screening was considered (column X)","Check against source")))))))))))))))))))))))))))))</f>
        <v/>
      </c>
      <c r="O504" s="37" t="n"/>
      <c r="P504" s="37" t="n"/>
      <c r="Q504" s="14">
        <f>IF(A504="","",IF(E504&lt;&gt;"Decision","",IF(P504="UC-ID specific",IF(O504="","UC-ID REQUIRED","Check source decision for each UC-ID"),IF(P504="Shared system baseline",IF(O504&lt;&gt;"","REMOVE UC-ID OR CORRECT SCOPE","Baseline only — NOT UC approval"),"Decision scope missing"))))</f>
        <v/>
      </c>
      <c r="R504" s="42" t="n"/>
      <c r="S504" s="38" t="n"/>
      <c r="T504" s="38" t="n"/>
      <c r="U504" s="38" t="n"/>
      <c r="V504" s="38" t="n"/>
      <c r="W504" s="39" t="n"/>
      <c r="X504" s="38" t="n"/>
    </row>
    <row r="505">
      <c r="A505" s="40" t="n"/>
      <c r="B505" s="40" t="n"/>
      <c r="C505" s="40" t="n"/>
      <c r="D505" s="40" t="n"/>
      <c r="E505" s="40" t="n"/>
      <c r="F505" s="41" t="n"/>
      <c r="G505" s="40" t="n"/>
      <c r="H505" s="40" t="n"/>
      <c r="I505" s="40" t="n"/>
      <c r="J505" s="40" t="n"/>
      <c r="K505" s="40" t="n"/>
      <c r="L505" s="40" t="n"/>
      <c r="M505" s="40" t="n"/>
      <c r="N505" s="24">
        <f>IF(COUNTA(A505:M505,O505:P505,R505:X505)=0,"",IF(OR(A505="",B505="",F505=""),"Event ID, AIR-ID or date missing",IF(COUNTIF($A$4:$A$553,A505)&gt;1,"Duplicate Event ID",IF(E505="","Event type missing",IF(OR(NOT(ISNUMBER(F505)),F505&gt;TODAY()),"Date is not a real date or is in the future",IF(AND(C505&lt;&gt;"",COUNTIF('Gate plan'!$A$4:$A$353,C505)=0),"Plan ID not found in Gate plan",IF(AND(C505&lt;&gt;"",COUNTIFS('Gate plan'!$A$4:$A$353,C505,'Gate plan'!$B$4:$B$353,B505)=0),"Plan AIR-ID differs from event",IF(D505="","Gate / forum missing",IF(AND(E505="Precautionary pause (containment)",G505&lt;&gt;"Paused — pending decision"),"Precautionary pause: Outcome must be Paused, pending decision",IF(AND(E505="Precautionary pause (containment)",V505=""),"Precautionary pause: AIG-OPS-03 incident ref missing",IF(AND(E505="Precautionary pause (containment)",NOT(ISNUMBER(W505))),"Precautionary pause: follow-up decision due date missing",IF(AND(G505="Paused — pending decision",E505&lt;&gt;"Precautionary pause (containment)"),"Paused, pending decision is only for a Precautionary pause event",IF(AND(E505="Decision",OR(G505="",H505="",I505="")),"Outcome / delegation / decision ref missing",IF(AND(E505="Decision",NOT(OR(G505="Progress",G505="Progress with condition",G505="Return for evidence",G505="Pause",G505="Stop",G505="Suspend",G505="Decommission",G505="Re-authorise",G505="Resume"))),"Decision event needs a decision outcome",IF(AND(E505="Priority override",OR(H505="",I505="")),"Decision-maker / AIG-DEC-03 ref missing",IF(AND(E505="Priority override",G505&lt;&gt;"",G505&lt;&gt;"No decision"),"Priority override: Outcome blank or No decision",IF(AND(E505&lt;&gt;"Decision",OR(G505="Progress",G505="Progress with condition",G505="Return for evidence",G505="Pause",G505="Stop",G505="Suspend",G505="Decommission",G505="Re-authorise",G505="Resume")),"Outcome implies decision",IF(OR(ISNUMBER(SEARCH(",",O505)),ISNUMBER(SEARCH(";",O505))),"One UC-ID per event row — split this event",IF(AND(E505="Decision",OR(Q505="UC-ID REQUIRED",Q505="Decision scope missing",Q505="REMOVE UC-ID OR CORRECT SCOPE")),"Decision scope missing",IF(AND(G505="Progress with condition",COUNTIF(Conditions!$B$4:$B$553,A505)=0),"Progress with condition needs at least one Conditions row",IF(AND(C505&lt;&gt;"",COUNTIFS('Gate plan'!$A$4:$A$353,C505,'Gate plan'!$C$4:$C$353,D505)=0),"Plan gate differs from event gate",IF(AND(C505&lt;&gt;"",O505&lt;&gt;"",COUNTIFS('Gate plan'!$A$4:$A$353,C505,'Gate plan'!$K$4:$K$353,"&lt;&gt;")&gt;0,COUNTIFS('Gate plan'!$A$4:$A$353,C505,'Gate plan'!$K$4:$K$353,O505)=0),"Plan UC-ID differs from event UC-ID",IF(AND(E505="Assurance opinion",J505=""),"Assurance opinion ref missing",IF(AND(G505="Opinion only",E505&lt;&gt;"Assurance opinion",E505&lt;&gt;"Review only"),"Opinion only is for Assurance opinion or Review only events",IF(AND(G505="No decision",E505&lt;&gt;"Review only",E505&lt;&gt;"Priority override",E505&lt;&gt;"Intake / registration"),"No decision is for Review only, Priority override or Intake / registration events",IF(OR(ISNUMBER(SEARCH(" ",TRIM(O505))),ISNUMBER(SEARCH("/",O505))),"One UC-ID per event row: split this event",IF(AND(E505="Precautionary pause (containment)",ISNUMBER(W505),ISNUMBER(F505),W505&lt;F505),"Follow-up decision due date is before the pause",IF(AND(G505="Resume",IFERROR(LOOKUP(2,1/(($B$3:B504=B505)*($O$3:O504=O505)),$G$3:G504),"")&lt;&gt;"Paused — pending decision"),"Resume is only for the event straight after a Precautionary pause on the same AIR-ID and UC-ID (in an earlier row)",IF(AND(E505="Decision",OR(G505="Progress",G505="Progress with condition",G505="Re-authorise",G505="Resume"),X505&lt;&gt;"Yes"),"Decision-maker has not confirmed the screening was considered (column X)","Check against source")))))))))))))))))))))))))))))</f>
        <v/>
      </c>
      <c r="O505" s="37" t="n"/>
      <c r="P505" s="37" t="n"/>
      <c r="Q505" s="14">
        <f>IF(A505="","",IF(E505&lt;&gt;"Decision","",IF(P505="UC-ID specific",IF(O505="","UC-ID REQUIRED","Check source decision for each UC-ID"),IF(P505="Shared system baseline",IF(O505&lt;&gt;"","REMOVE UC-ID OR CORRECT SCOPE","Baseline only — NOT UC approval"),"Decision scope missing"))))</f>
        <v/>
      </c>
      <c r="R505" s="43" t="n"/>
      <c r="S505" s="40" t="n"/>
      <c r="T505" s="40" t="n"/>
      <c r="U505" s="40" t="n"/>
      <c r="V505" s="40" t="n"/>
      <c r="W505" s="41" t="n"/>
      <c r="X505" s="38" t="n"/>
    </row>
    <row r="506">
      <c r="A506" s="38" t="n"/>
      <c r="B506" s="38" t="n"/>
      <c r="C506" s="38" t="n"/>
      <c r="D506" s="38" t="n"/>
      <c r="E506" s="38" t="n"/>
      <c r="F506" s="39" t="n"/>
      <c r="G506" s="38" t="n"/>
      <c r="H506" s="38" t="n"/>
      <c r="I506" s="38" t="n"/>
      <c r="J506" s="38" t="n"/>
      <c r="K506" s="38" t="n"/>
      <c r="L506" s="38" t="n"/>
      <c r="M506" s="38" t="n"/>
      <c r="N506" s="22">
        <f>IF(COUNTA(A506:M506,O506:P506,R506:X506)=0,"",IF(OR(A506="",B506="",F506=""),"Event ID, AIR-ID or date missing",IF(COUNTIF($A$4:$A$553,A506)&gt;1,"Duplicate Event ID",IF(E506="","Event type missing",IF(OR(NOT(ISNUMBER(F506)),F506&gt;TODAY()),"Date is not a real date or is in the future",IF(AND(C506&lt;&gt;"",COUNTIF('Gate plan'!$A$4:$A$353,C506)=0),"Plan ID not found in Gate plan",IF(AND(C506&lt;&gt;"",COUNTIFS('Gate plan'!$A$4:$A$353,C506,'Gate plan'!$B$4:$B$353,B506)=0),"Plan AIR-ID differs from event",IF(D506="","Gate / forum missing",IF(AND(E506="Precautionary pause (containment)",G506&lt;&gt;"Paused — pending decision"),"Precautionary pause: Outcome must be Paused, pending decision",IF(AND(E506="Precautionary pause (containment)",V506=""),"Precautionary pause: AIG-OPS-03 incident ref missing",IF(AND(E506="Precautionary pause (containment)",NOT(ISNUMBER(W506))),"Precautionary pause: follow-up decision due date missing",IF(AND(G506="Paused — pending decision",E506&lt;&gt;"Precautionary pause (containment)"),"Paused, pending decision is only for a Precautionary pause event",IF(AND(E506="Decision",OR(G506="",H506="",I506="")),"Outcome / delegation / decision ref missing",IF(AND(E506="Decision",NOT(OR(G506="Progress",G506="Progress with condition",G506="Return for evidence",G506="Pause",G506="Stop",G506="Suspend",G506="Decommission",G506="Re-authorise",G506="Resume"))),"Decision event needs a decision outcome",IF(AND(E506="Priority override",OR(H506="",I506="")),"Decision-maker / AIG-DEC-03 ref missing",IF(AND(E506="Priority override",G506&lt;&gt;"",G506&lt;&gt;"No decision"),"Priority override: Outcome blank or No decision",IF(AND(E506&lt;&gt;"Decision",OR(G506="Progress",G506="Progress with condition",G506="Return for evidence",G506="Pause",G506="Stop",G506="Suspend",G506="Decommission",G506="Re-authorise",G506="Resume")),"Outcome implies decision",IF(OR(ISNUMBER(SEARCH(",",O506)),ISNUMBER(SEARCH(";",O506))),"One UC-ID per event row — split this event",IF(AND(E506="Decision",OR(Q506="UC-ID REQUIRED",Q506="Decision scope missing",Q506="REMOVE UC-ID OR CORRECT SCOPE")),"Decision scope missing",IF(AND(G506="Progress with condition",COUNTIF(Conditions!$B$4:$B$553,A506)=0),"Progress with condition needs at least one Conditions row",IF(AND(C506&lt;&gt;"",COUNTIFS('Gate plan'!$A$4:$A$353,C506,'Gate plan'!$C$4:$C$353,D506)=0),"Plan gate differs from event gate",IF(AND(C506&lt;&gt;"",O506&lt;&gt;"",COUNTIFS('Gate plan'!$A$4:$A$353,C506,'Gate plan'!$K$4:$K$353,"&lt;&gt;")&gt;0,COUNTIFS('Gate plan'!$A$4:$A$353,C506,'Gate plan'!$K$4:$K$353,O506)=0),"Plan UC-ID differs from event UC-ID",IF(AND(E506="Assurance opinion",J506=""),"Assurance opinion ref missing",IF(AND(G506="Opinion only",E506&lt;&gt;"Assurance opinion",E506&lt;&gt;"Review only"),"Opinion only is for Assurance opinion or Review only events",IF(AND(G506="No decision",E506&lt;&gt;"Review only",E506&lt;&gt;"Priority override",E506&lt;&gt;"Intake / registration"),"No decision is for Review only, Priority override or Intake / registration events",IF(OR(ISNUMBER(SEARCH(" ",TRIM(O506))),ISNUMBER(SEARCH("/",O506))),"One UC-ID per event row: split this event",IF(AND(E506="Precautionary pause (containment)",ISNUMBER(W506),ISNUMBER(F506),W506&lt;F506),"Follow-up decision due date is before the pause",IF(AND(G506="Resume",IFERROR(LOOKUP(2,1/(($B$3:B505=B506)*($O$3:O505=O506)),$G$3:G505),"")&lt;&gt;"Paused — pending decision"),"Resume is only for the event straight after a Precautionary pause on the same AIR-ID and UC-ID (in an earlier row)",IF(AND(E506="Decision",OR(G506="Progress",G506="Progress with condition",G506="Re-authorise",G506="Resume"),X506&lt;&gt;"Yes"),"Decision-maker has not confirmed the screening was considered (column X)","Check against source")))))))))))))))))))))))))))))</f>
        <v/>
      </c>
      <c r="O506" s="37" t="n"/>
      <c r="P506" s="37" t="n"/>
      <c r="Q506" s="14">
        <f>IF(A506="","",IF(E506&lt;&gt;"Decision","",IF(P506="UC-ID specific",IF(O506="","UC-ID REQUIRED","Check source decision for each UC-ID"),IF(P506="Shared system baseline",IF(O506&lt;&gt;"","REMOVE UC-ID OR CORRECT SCOPE","Baseline only — NOT UC approval"),"Decision scope missing"))))</f>
        <v/>
      </c>
      <c r="R506" s="42" t="n"/>
      <c r="S506" s="38" t="n"/>
      <c r="T506" s="38" t="n"/>
      <c r="U506" s="38" t="n"/>
      <c r="V506" s="38" t="n"/>
      <c r="W506" s="39" t="n"/>
      <c r="X506" s="38" t="n"/>
    </row>
    <row r="507">
      <c r="A507" s="40" t="n"/>
      <c r="B507" s="40" t="n"/>
      <c r="C507" s="40" t="n"/>
      <c r="D507" s="40" t="n"/>
      <c r="E507" s="40" t="n"/>
      <c r="F507" s="41" t="n"/>
      <c r="G507" s="40" t="n"/>
      <c r="H507" s="40" t="n"/>
      <c r="I507" s="40" t="n"/>
      <c r="J507" s="40" t="n"/>
      <c r="K507" s="40" t="n"/>
      <c r="L507" s="40" t="n"/>
      <c r="M507" s="40" t="n"/>
      <c r="N507" s="24">
        <f>IF(COUNTA(A507:M507,O507:P507,R507:X507)=0,"",IF(OR(A507="",B507="",F507=""),"Event ID, AIR-ID or date missing",IF(COUNTIF($A$4:$A$553,A507)&gt;1,"Duplicate Event ID",IF(E507="","Event type missing",IF(OR(NOT(ISNUMBER(F507)),F507&gt;TODAY()),"Date is not a real date or is in the future",IF(AND(C507&lt;&gt;"",COUNTIF('Gate plan'!$A$4:$A$353,C507)=0),"Plan ID not found in Gate plan",IF(AND(C507&lt;&gt;"",COUNTIFS('Gate plan'!$A$4:$A$353,C507,'Gate plan'!$B$4:$B$353,B507)=0),"Plan AIR-ID differs from event",IF(D507="","Gate / forum missing",IF(AND(E507="Precautionary pause (containment)",G507&lt;&gt;"Paused — pending decision"),"Precautionary pause: Outcome must be Paused, pending decision",IF(AND(E507="Precautionary pause (containment)",V507=""),"Precautionary pause: AIG-OPS-03 incident ref missing",IF(AND(E507="Precautionary pause (containment)",NOT(ISNUMBER(W507))),"Precautionary pause: follow-up decision due date missing",IF(AND(G507="Paused — pending decision",E507&lt;&gt;"Precautionary pause (containment)"),"Paused, pending decision is only for a Precautionary pause event",IF(AND(E507="Decision",OR(G507="",H507="",I507="")),"Outcome / delegation / decision ref missing",IF(AND(E507="Decision",NOT(OR(G507="Progress",G507="Progress with condition",G507="Return for evidence",G507="Pause",G507="Stop",G507="Suspend",G507="Decommission",G507="Re-authorise",G507="Resume"))),"Decision event needs a decision outcome",IF(AND(E507="Priority override",OR(H507="",I507="")),"Decision-maker / AIG-DEC-03 ref missing",IF(AND(E507="Priority override",G507&lt;&gt;"",G507&lt;&gt;"No decision"),"Priority override: Outcome blank or No decision",IF(AND(E507&lt;&gt;"Decision",OR(G507="Progress",G507="Progress with condition",G507="Return for evidence",G507="Pause",G507="Stop",G507="Suspend",G507="Decommission",G507="Re-authorise",G507="Resume")),"Outcome implies decision",IF(OR(ISNUMBER(SEARCH(",",O507)),ISNUMBER(SEARCH(";",O507))),"One UC-ID per event row — split this event",IF(AND(E507="Decision",OR(Q507="UC-ID REQUIRED",Q507="Decision scope missing",Q507="REMOVE UC-ID OR CORRECT SCOPE")),"Decision scope missing",IF(AND(G507="Progress with condition",COUNTIF(Conditions!$B$4:$B$553,A507)=0),"Progress with condition needs at least one Conditions row",IF(AND(C507&lt;&gt;"",COUNTIFS('Gate plan'!$A$4:$A$353,C507,'Gate plan'!$C$4:$C$353,D507)=0),"Plan gate differs from event gate",IF(AND(C507&lt;&gt;"",O507&lt;&gt;"",COUNTIFS('Gate plan'!$A$4:$A$353,C507,'Gate plan'!$K$4:$K$353,"&lt;&gt;")&gt;0,COUNTIFS('Gate plan'!$A$4:$A$353,C507,'Gate plan'!$K$4:$K$353,O507)=0),"Plan UC-ID differs from event UC-ID",IF(AND(E507="Assurance opinion",J507=""),"Assurance opinion ref missing",IF(AND(G507="Opinion only",E507&lt;&gt;"Assurance opinion",E507&lt;&gt;"Review only"),"Opinion only is for Assurance opinion or Review only events",IF(AND(G507="No decision",E507&lt;&gt;"Review only",E507&lt;&gt;"Priority override",E507&lt;&gt;"Intake / registration"),"No decision is for Review only, Priority override or Intake / registration events",IF(OR(ISNUMBER(SEARCH(" ",TRIM(O507))),ISNUMBER(SEARCH("/",O507))),"One UC-ID per event row: split this event",IF(AND(E507="Precautionary pause (containment)",ISNUMBER(W507),ISNUMBER(F507),W507&lt;F507),"Follow-up decision due date is before the pause",IF(AND(G507="Resume",IFERROR(LOOKUP(2,1/(($B$3:B506=B507)*($O$3:O506=O507)),$G$3:G506),"")&lt;&gt;"Paused — pending decision"),"Resume is only for the event straight after a Precautionary pause on the same AIR-ID and UC-ID (in an earlier row)",IF(AND(E507="Decision",OR(G507="Progress",G507="Progress with condition",G507="Re-authorise",G507="Resume"),X507&lt;&gt;"Yes"),"Decision-maker has not confirmed the screening was considered (column X)","Check against source")))))))))))))))))))))))))))))</f>
        <v/>
      </c>
      <c r="O507" s="37" t="n"/>
      <c r="P507" s="37" t="n"/>
      <c r="Q507" s="14">
        <f>IF(A507="","",IF(E507&lt;&gt;"Decision","",IF(P507="UC-ID specific",IF(O507="","UC-ID REQUIRED","Check source decision for each UC-ID"),IF(P507="Shared system baseline",IF(O507&lt;&gt;"","REMOVE UC-ID OR CORRECT SCOPE","Baseline only — NOT UC approval"),"Decision scope missing"))))</f>
        <v/>
      </c>
      <c r="R507" s="43" t="n"/>
      <c r="S507" s="40" t="n"/>
      <c r="T507" s="40" t="n"/>
      <c r="U507" s="40" t="n"/>
      <c r="V507" s="40" t="n"/>
      <c r="W507" s="41" t="n"/>
      <c r="X507" s="38" t="n"/>
    </row>
    <row r="508">
      <c r="A508" s="38" t="n"/>
      <c r="B508" s="38" t="n"/>
      <c r="C508" s="38" t="n"/>
      <c r="D508" s="38" t="n"/>
      <c r="E508" s="38" t="n"/>
      <c r="F508" s="39" t="n"/>
      <c r="G508" s="38" t="n"/>
      <c r="H508" s="38" t="n"/>
      <c r="I508" s="38" t="n"/>
      <c r="J508" s="38" t="n"/>
      <c r="K508" s="38" t="n"/>
      <c r="L508" s="38" t="n"/>
      <c r="M508" s="38" t="n"/>
      <c r="N508" s="22">
        <f>IF(COUNTA(A508:M508,O508:P508,R508:X508)=0,"",IF(OR(A508="",B508="",F508=""),"Event ID, AIR-ID or date missing",IF(COUNTIF($A$4:$A$553,A508)&gt;1,"Duplicate Event ID",IF(E508="","Event type missing",IF(OR(NOT(ISNUMBER(F508)),F508&gt;TODAY()),"Date is not a real date or is in the future",IF(AND(C508&lt;&gt;"",COUNTIF('Gate plan'!$A$4:$A$353,C508)=0),"Plan ID not found in Gate plan",IF(AND(C508&lt;&gt;"",COUNTIFS('Gate plan'!$A$4:$A$353,C508,'Gate plan'!$B$4:$B$353,B508)=0),"Plan AIR-ID differs from event",IF(D508="","Gate / forum missing",IF(AND(E508="Precautionary pause (containment)",G508&lt;&gt;"Paused — pending decision"),"Precautionary pause: Outcome must be Paused, pending decision",IF(AND(E508="Precautionary pause (containment)",V508=""),"Precautionary pause: AIG-OPS-03 incident ref missing",IF(AND(E508="Precautionary pause (containment)",NOT(ISNUMBER(W508))),"Precautionary pause: follow-up decision due date missing",IF(AND(G508="Paused — pending decision",E508&lt;&gt;"Precautionary pause (containment)"),"Paused, pending decision is only for a Precautionary pause event",IF(AND(E508="Decision",OR(G508="",H508="",I508="")),"Outcome / delegation / decision ref missing",IF(AND(E508="Decision",NOT(OR(G508="Progress",G508="Progress with condition",G508="Return for evidence",G508="Pause",G508="Stop",G508="Suspend",G508="Decommission",G508="Re-authorise",G508="Resume"))),"Decision event needs a decision outcome",IF(AND(E508="Priority override",OR(H508="",I508="")),"Decision-maker / AIG-DEC-03 ref missing",IF(AND(E508="Priority override",G508&lt;&gt;"",G508&lt;&gt;"No decision"),"Priority override: Outcome blank or No decision",IF(AND(E508&lt;&gt;"Decision",OR(G508="Progress",G508="Progress with condition",G508="Return for evidence",G508="Pause",G508="Stop",G508="Suspend",G508="Decommission",G508="Re-authorise",G508="Resume")),"Outcome implies decision",IF(OR(ISNUMBER(SEARCH(",",O508)),ISNUMBER(SEARCH(";",O508))),"One UC-ID per event row — split this event",IF(AND(E508="Decision",OR(Q508="UC-ID REQUIRED",Q508="Decision scope missing",Q508="REMOVE UC-ID OR CORRECT SCOPE")),"Decision scope missing",IF(AND(G508="Progress with condition",COUNTIF(Conditions!$B$4:$B$553,A508)=0),"Progress with condition needs at least one Conditions row",IF(AND(C508&lt;&gt;"",COUNTIFS('Gate plan'!$A$4:$A$353,C508,'Gate plan'!$C$4:$C$353,D508)=0),"Plan gate differs from event gate",IF(AND(C508&lt;&gt;"",O508&lt;&gt;"",COUNTIFS('Gate plan'!$A$4:$A$353,C508,'Gate plan'!$K$4:$K$353,"&lt;&gt;")&gt;0,COUNTIFS('Gate plan'!$A$4:$A$353,C508,'Gate plan'!$K$4:$K$353,O508)=0),"Plan UC-ID differs from event UC-ID",IF(AND(E508="Assurance opinion",J508=""),"Assurance opinion ref missing",IF(AND(G508="Opinion only",E508&lt;&gt;"Assurance opinion",E508&lt;&gt;"Review only"),"Opinion only is for Assurance opinion or Review only events",IF(AND(G508="No decision",E508&lt;&gt;"Review only",E508&lt;&gt;"Priority override",E508&lt;&gt;"Intake / registration"),"No decision is for Review only, Priority override or Intake / registration events",IF(OR(ISNUMBER(SEARCH(" ",TRIM(O508))),ISNUMBER(SEARCH("/",O508))),"One UC-ID per event row: split this event",IF(AND(E508="Precautionary pause (containment)",ISNUMBER(W508),ISNUMBER(F508),W508&lt;F508),"Follow-up decision due date is before the pause",IF(AND(G508="Resume",IFERROR(LOOKUP(2,1/(($B$3:B507=B508)*($O$3:O507=O508)),$G$3:G507),"")&lt;&gt;"Paused — pending decision"),"Resume is only for the event straight after a Precautionary pause on the same AIR-ID and UC-ID (in an earlier row)",IF(AND(E508="Decision",OR(G508="Progress",G508="Progress with condition",G508="Re-authorise",G508="Resume"),X508&lt;&gt;"Yes"),"Decision-maker has not confirmed the screening was considered (column X)","Check against source")))))))))))))))))))))))))))))</f>
        <v/>
      </c>
      <c r="O508" s="37" t="n"/>
      <c r="P508" s="37" t="n"/>
      <c r="Q508" s="14">
        <f>IF(A508="","",IF(E508&lt;&gt;"Decision","",IF(P508="UC-ID specific",IF(O508="","UC-ID REQUIRED","Check source decision for each UC-ID"),IF(P508="Shared system baseline",IF(O508&lt;&gt;"","REMOVE UC-ID OR CORRECT SCOPE","Baseline only — NOT UC approval"),"Decision scope missing"))))</f>
        <v/>
      </c>
      <c r="R508" s="42" t="n"/>
      <c r="S508" s="38" t="n"/>
      <c r="T508" s="38" t="n"/>
      <c r="U508" s="38" t="n"/>
      <c r="V508" s="38" t="n"/>
      <c r="W508" s="39" t="n"/>
      <c r="X508" s="38" t="n"/>
    </row>
    <row r="509">
      <c r="A509" s="40" t="n"/>
      <c r="B509" s="40" t="n"/>
      <c r="C509" s="40" t="n"/>
      <c r="D509" s="40" t="n"/>
      <c r="E509" s="40" t="n"/>
      <c r="F509" s="41" t="n"/>
      <c r="G509" s="40" t="n"/>
      <c r="H509" s="40" t="n"/>
      <c r="I509" s="40" t="n"/>
      <c r="J509" s="40" t="n"/>
      <c r="K509" s="40" t="n"/>
      <c r="L509" s="40" t="n"/>
      <c r="M509" s="40" t="n"/>
      <c r="N509" s="24">
        <f>IF(COUNTA(A509:M509,O509:P509,R509:X509)=0,"",IF(OR(A509="",B509="",F509=""),"Event ID, AIR-ID or date missing",IF(COUNTIF($A$4:$A$553,A509)&gt;1,"Duplicate Event ID",IF(E509="","Event type missing",IF(OR(NOT(ISNUMBER(F509)),F509&gt;TODAY()),"Date is not a real date or is in the future",IF(AND(C509&lt;&gt;"",COUNTIF('Gate plan'!$A$4:$A$353,C509)=0),"Plan ID not found in Gate plan",IF(AND(C509&lt;&gt;"",COUNTIFS('Gate plan'!$A$4:$A$353,C509,'Gate plan'!$B$4:$B$353,B509)=0),"Plan AIR-ID differs from event",IF(D509="","Gate / forum missing",IF(AND(E509="Precautionary pause (containment)",G509&lt;&gt;"Paused — pending decision"),"Precautionary pause: Outcome must be Paused, pending decision",IF(AND(E509="Precautionary pause (containment)",V509=""),"Precautionary pause: AIG-OPS-03 incident ref missing",IF(AND(E509="Precautionary pause (containment)",NOT(ISNUMBER(W509))),"Precautionary pause: follow-up decision due date missing",IF(AND(G509="Paused — pending decision",E509&lt;&gt;"Precautionary pause (containment)"),"Paused, pending decision is only for a Precautionary pause event",IF(AND(E509="Decision",OR(G509="",H509="",I509="")),"Outcome / delegation / decision ref missing",IF(AND(E509="Decision",NOT(OR(G509="Progress",G509="Progress with condition",G509="Return for evidence",G509="Pause",G509="Stop",G509="Suspend",G509="Decommission",G509="Re-authorise",G509="Resume"))),"Decision event needs a decision outcome",IF(AND(E509="Priority override",OR(H509="",I509="")),"Decision-maker / AIG-DEC-03 ref missing",IF(AND(E509="Priority override",G509&lt;&gt;"",G509&lt;&gt;"No decision"),"Priority override: Outcome blank or No decision",IF(AND(E509&lt;&gt;"Decision",OR(G509="Progress",G509="Progress with condition",G509="Return for evidence",G509="Pause",G509="Stop",G509="Suspend",G509="Decommission",G509="Re-authorise",G509="Resume")),"Outcome implies decision",IF(OR(ISNUMBER(SEARCH(",",O509)),ISNUMBER(SEARCH(";",O509))),"One UC-ID per event row — split this event",IF(AND(E509="Decision",OR(Q509="UC-ID REQUIRED",Q509="Decision scope missing",Q509="REMOVE UC-ID OR CORRECT SCOPE")),"Decision scope missing",IF(AND(G509="Progress with condition",COUNTIF(Conditions!$B$4:$B$553,A509)=0),"Progress with condition needs at least one Conditions row",IF(AND(C509&lt;&gt;"",COUNTIFS('Gate plan'!$A$4:$A$353,C509,'Gate plan'!$C$4:$C$353,D509)=0),"Plan gate differs from event gate",IF(AND(C509&lt;&gt;"",O509&lt;&gt;"",COUNTIFS('Gate plan'!$A$4:$A$353,C509,'Gate plan'!$K$4:$K$353,"&lt;&gt;")&gt;0,COUNTIFS('Gate plan'!$A$4:$A$353,C509,'Gate plan'!$K$4:$K$353,O509)=0),"Plan UC-ID differs from event UC-ID",IF(AND(E509="Assurance opinion",J509=""),"Assurance opinion ref missing",IF(AND(G509="Opinion only",E509&lt;&gt;"Assurance opinion",E509&lt;&gt;"Review only"),"Opinion only is for Assurance opinion or Review only events",IF(AND(G509="No decision",E509&lt;&gt;"Review only",E509&lt;&gt;"Priority override",E509&lt;&gt;"Intake / registration"),"No decision is for Review only, Priority override or Intake / registration events",IF(OR(ISNUMBER(SEARCH(" ",TRIM(O509))),ISNUMBER(SEARCH("/",O509))),"One UC-ID per event row: split this event",IF(AND(E509="Precautionary pause (containment)",ISNUMBER(W509),ISNUMBER(F509),W509&lt;F509),"Follow-up decision due date is before the pause",IF(AND(G509="Resume",IFERROR(LOOKUP(2,1/(($B$3:B508=B509)*($O$3:O508=O509)),$G$3:G508),"")&lt;&gt;"Paused — pending decision"),"Resume is only for the event straight after a Precautionary pause on the same AIR-ID and UC-ID (in an earlier row)",IF(AND(E509="Decision",OR(G509="Progress",G509="Progress with condition",G509="Re-authorise",G509="Resume"),X509&lt;&gt;"Yes"),"Decision-maker has not confirmed the screening was considered (column X)","Check against source")))))))))))))))))))))))))))))</f>
        <v/>
      </c>
      <c r="O509" s="37" t="n"/>
      <c r="P509" s="37" t="n"/>
      <c r="Q509" s="14">
        <f>IF(A509="","",IF(E509&lt;&gt;"Decision","",IF(P509="UC-ID specific",IF(O509="","UC-ID REQUIRED","Check source decision for each UC-ID"),IF(P509="Shared system baseline",IF(O509&lt;&gt;"","REMOVE UC-ID OR CORRECT SCOPE","Baseline only — NOT UC approval"),"Decision scope missing"))))</f>
        <v/>
      </c>
      <c r="R509" s="43" t="n"/>
      <c r="S509" s="40" t="n"/>
      <c r="T509" s="40" t="n"/>
      <c r="U509" s="40" t="n"/>
      <c r="V509" s="40" t="n"/>
      <c r="W509" s="41" t="n"/>
      <c r="X509" s="38" t="n"/>
    </row>
    <row r="510">
      <c r="A510" s="38" t="n"/>
      <c r="B510" s="38" t="n"/>
      <c r="C510" s="38" t="n"/>
      <c r="D510" s="38" t="n"/>
      <c r="E510" s="38" t="n"/>
      <c r="F510" s="39" t="n"/>
      <c r="G510" s="38" t="n"/>
      <c r="H510" s="38" t="n"/>
      <c r="I510" s="38" t="n"/>
      <c r="J510" s="38" t="n"/>
      <c r="K510" s="38" t="n"/>
      <c r="L510" s="38" t="n"/>
      <c r="M510" s="38" t="n"/>
      <c r="N510" s="22">
        <f>IF(COUNTA(A510:M510,O510:P510,R510:X510)=0,"",IF(OR(A510="",B510="",F510=""),"Event ID, AIR-ID or date missing",IF(COUNTIF($A$4:$A$553,A510)&gt;1,"Duplicate Event ID",IF(E510="","Event type missing",IF(OR(NOT(ISNUMBER(F510)),F510&gt;TODAY()),"Date is not a real date or is in the future",IF(AND(C510&lt;&gt;"",COUNTIF('Gate plan'!$A$4:$A$353,C510)=0),"Plan ID not found in Gate plan",IF(AND(C510&lt;&gt;"",COUNTIFS('Gate plan'!$A$4:$A$353,C510,'Gate plan'!$B$4:$B$353,B510)=0),"Plan AIR-ID differs from event",IF(D510="","Gate / forum missing",IF(AND(E510="Precautionary pause (containment)",G510&lt;&gt;"Paused — pending decision"),"Precautionary pause: Outcome must be Paused, pending decision",IF(AND(E510="Precautionary pause (containment)",V510=""),"Precautionary pause: AIG-OPS-03 incident ref missing",IF(AND(E510="Precautionary pause (containment)",NOT(ISNUMBER(W510))),"Precautionary pause: follow-up decision due date missing",IF(AND(G510="Paused — pending decision",E510&lt;&gt;"Precautionary pause (containment)"),"Paused, pending decision is only for a Precautionary pause event",IF(AND(E510="Decision",OR(G510="",H510="",I510="")),"Outcome / delegation / decision ref missing",IF(AND(E510="Decision",NOT(OR(G510="Progress",G510="Progress with condition",G510="Return for evidence",G510="Pause",G510="Stop",G510="Suspend",G510="Decommission",G510="Re-authorise",G510="Resume"))),"Decision event needs a decision outcome",IF(AND(E510="Priority override",OR(H510="",I510="")),"Decision-maker / AIG-DEC-03 ref missing",IF(AND(E510="Priority override",G510&lt;&gt;"",G510&lt;&gt;"No decision"),"Priority override: Outcome blank or No decision",IF(AND(E510&lt;&gt;"Decision",OR(G510="Progress",G510="Progress with condition",G510="Return for evidence",G510="Pause",G510="Stop",G510="Suspend",G510="Decommission",G510="Re-authorise",G510="Resume")),"Outcome implies decision",IF(OR(ISNUMBER(SEARCH(",",O510)),ISNUMBER(SEARCH(";",O510))),"One UC-ID per event row — split this event",IF(AND(E510="Decision",OR(Q510="UC-ID REQUIRED",Q510="Decision scope missing",Q510="REMOVE UC-ID OR CORRECT SCOPE")),"Decision scope missing",IF(AND(G510="Progress with condition",COUNTIF(Conditions!$B$4:$B$553,A510)=0),"Progress with condition needs at least one Conditions row",IF(AND(C510&lt;&gt;"",COUNTIFS('Gate plan'!$A$4:$A$353,C510,'Gate plan'!$C$4:$C$353,D510)=0),"Plan gate differs from event gate",IF(AND(C510&lt;&gt;"",O510&lt;&gt;"",COUNTIFS('Gate plan'!$A$4:$A$353,C510,'Gate plan'!$K$4:$K$353,"&lt;&gt;")&gt;0,COUNTIFS('Gate plan'!$A$4:$A$353,C510,'Gate plan'!$K$4:$K$353,O510)=0),"Plan UC-ID differs from event UC-ID",IF(AND(E510="Assurance opinion",J510=""),"Assurance opinion ref missing",IF(AND(G510="Opinion only",E510&lt;&gt;"Assurance opinion",E510&lt;&gt;"Review only"),"Opinion only is for Assurance opinion or Review only events",IF(AND(G510="No decision",E510&lt;&gt;"Review only",E510&lt;&gt;"Priority override",E510&lt;&gt;"Intake / registration"),"No decision is for Review only, Priority override or Intake / registration events",IF(OR(ISNUMBER(SEARCH(" ",TRIM(O510))),ISNUMBER(SEARCH("/",O510))),"One UC-ID per event row: split this event",IF(AND(E510="Precautionary pause (containment)",ISNUMBER(W510),ISNUMBER(F510),W510&lt;F510),"Follow-up decision due date is before the pause",IF(AND(G510="Resume",IFERROR(LOOKUP(2,1/(($B$3:B509=B510)*($O$3:O509=O510)),$G$3:G509),"")&lt;&gt;"Paused — pending decision"),"Resume is only for the event straight after a Precautionary pause on the same AIR-ID and UC-ID (in an earlier row)",IF(AND(E510="Decision",OR(G510="Progress",G510="Progress with condition",G510="Re-authorise",G510="Resume"),X510&lt;&gt;"Yes"),"Decision-maker has not confirmed the screening was considered (column X)","Check against source")))))))))))))))))))))))))))))</f>
        <v/>
      </c>
      <c r="O510" s="37" t="n"/>
      <c r="P510" s="37" t="n"/>
      <c r="Q510" s="14">
        <f>IF(A510="","",IF(E510&lt;&gt;"Decision","",IF(P510="UC-ID specific",IF(O510="","UC-ID REQUIRED","Check source decision for each UC-ID"),IF(P510="Shared system baseline",IF(O510&lt;&gt;"","REMOVE UC-ID OR CORRECT SCOPE","Baseline only — NOT UC approval"),"Decision scope missing"))))</f>
        <v/>
      </c>
      <c r="R510" s="42" t="n"/>
      <c r="S510" s="38" t="n"/>
      <c r="T510" s="38" t="n"/>
      <c r="U510" s="38" t="n"/>
      <c r="V510" s="38" t="n"/>
      <c r="W510" s="39" t="n"/>
      <c r="X510" s="38" t="n"/>
    </row>
    <row r="511">
      <c r="A511" s="40" t="n"/>
      <c r="B511" s="40" t="n"/>
      <c r="C511" s="40" t="n"/>
      <c r="D511" s="40" t="n"/>
      <c r="E511" s="40" t="n"/>
      <c r="F511" s="41" t="n"/>
      <c r="G511" s="40" t="n"/>
      <c r="H511" s="40" t="n"/>
      <c r="I511" s="40" t="n"/>
      <c r="J511" s="40" t="n"/>
      <c r="K511" s="40" t="n"/>
      <c r="L511" s="40" t="n"/>
      <c r="M511" s="40" t="n"/>
      <c r="N511" s="24">
        <f>IF(COUNTA(A511:M511,O511:P511,R511:X511)=0,"",IF(OR(A511="",B511="",F511=""),"Event ID, AIR-ID or date missing",IF(COUNTIF($A$4:$A$553,A511)&gt;1,"Duplicate Event ID",IF(E511="","Event type missing",IF(OR(NOT(ISNUMBER(F511)),F511&gt;TODAY()),"Date is not a real date or is in the future",IF(AND(C511&lt;&gt;"",COUNTIF('Gate plan'!$A$4:$A$353,C511)=0),"Plan ID not found in Gate plan",IF(AND(C511&lt;&gt;"",COUNTIFS('Gate plan'!$A$4:$A$353,C511,'Gate plan'!$B$4:$B$353,B511)=0),"Plan AIR-ID differs from event",IF(D511="","Gate / forum missing",IF(AND(E511="Precautionary pause (containment)",G511&lt;&gt;"Paused — pending decision"),"Precautionary pause: Outcome must be Paused, pending decision",IF(AND(E511="Precautionary pause (containment)",V511=""),"Precautionary pause: AIG-OPS-03 incident ref missing",IF(AND(E511="Precautionary pause (containment)",NOT(ISNUMBER(W511))),"Precautionary pause: follow-up decision due date missing",IF(AND(G511="Paused — pending decision",E511&lt;&gt;"Precautionary pause (containment)"),"Paused, pending decision is only for a Precautionary pause event",IF(AND(E511="Decision",OR(G511="",H511="",I511="")),"Outcome / delegation / decision ref missing",IF(AND(E511="Decision",NOT(OR(G511="Progress",G511="Progress with condition",G511="Return for evidence",G511="Pause",G511="Stop",G511="Suspend",G511="Decommission",G511="Re-authorise",G511="Resume"))),"Decision event needs a decision outcome",IF(AND(E511="Priority override",OR(H511="",I511="")),"Decision-maker / AIG-DEC-03 ref missing",IF(AND(E511="Priority override",G511&lt;&gt;"",G511&lt;&gt;"No decision"),"Priority override: Outcome blank or No decision",IF(AND(E511&lt;&gt;"Decision",OR(G511="Progress",G511="Progress with condition",G511="Return for evidence",G511="Pause",G511="Stop",G511="Suspend",G511="Decommission",G511="Re-authorise",G511="Resume")),"Outcome implies decision",IF(OR(ISNUMBER(SEARCH(",",O511)),ISNUMBER(SEARCH(";",O511))),"One UC-ID per event row — split this event",IF(AND(E511="Decision",OR(Q511="UC-ID REQUIRED",Q511="Decision scope missing",Q511="REMOVE UC-ID OR CORRECT SCOPE")),"Decision scope missing",IF(AND(G511="Progress with condition",COUNTIF(Conditions!$B$4:$B$553,A511)=0),"Progress with condition needs at least one Conditions row",IF(AND(C511&lt;&gt;"",COUNTIFS('Gate plan'!$A$4:$A$353,C511,'Gate plan'!$C$4:$C$353,D511)=0),"Plan gate differs from event gate",IF(AND(C511&lt;&gt;"",O511&lt;&gt;"",COUNTIFS('Gate plan'!$A$4:$A$353,C511,'Gate plan'!$K$4:$K$353,"&lt;&gt;")&gt;0,COUNTIFS('Gate plan'!$A$4:$A$353,C511,'Gate plan'!$K$4:$K$353,O511)=0),"Plan UC-ID differs from event UC-ID",IF(AND(E511="Assurance opinion",J511=""),"Assurance opinion ref missing",IF(AND(G511="Opinion only",E511&lt;&gt;"Assurance opinion",E511&lt;&gt;"Review only"),"Opinion only is for Assurance opinion or Review only events",IF(AND(G511="No decision",E511&lt;&gt;"Review only",E511&lt;&gt;"Priority override",E511&lt;&gt;"Intake / registration"),"No decision is for Review only, Priority override or Intake / registration events",IF(OR(ISNUMBER(SEARCH(" ",TRIM(O511))),ISNUMBER(SEARCH("/",O511))),"One UC-ID per event row: split this event",IF(AND(E511="Precautionary pause (containment)",ISNUMBER(W511),ISNUMBER(F511),W511&lt;F511),"Follow-up decision due date is before the pause",IF(AND(G511="Resume",IFERROR(LOOKUP(2,1/(($B$3:B510=B511)*($O$3:O510=O511)),$G$3:G510),"")&lt;&gt;"Paused — pending decision"),"Resume is only for the event straight after a Precautionary pause on the same AIR-ID and UC-ID (in an earlier row)",IF(AND(E511="Decision",OR(G511="Progress",G511="Progress with condition",G511="Re-authorise",G511="Resume"),X511&lt;&gt;"Yes"),"Decision-maker has not confirmed the screening was considered (column X)","Check against source")))))))))))))))))))))))))))))</f>
        <v/>
      </c>
      <c r="O511" s="37" t="n"/>
      <c r="P511" s="37" t="n"/>
      <c r="Q511" s="14">
        <f>IF(A511="","",IF(E511&lt;&gt;"Decision","",IF(P511="UC-ID specific",IF(O511="","UC-ID REQUIRED","Check source decision for each UC-ID"),IF(P511="Shared system baseline",IF(O511&lt;&gt;"","REMOVE UC-ID OR CORRECT SCOPE","Baseline only — NOT UC approval"),"Decision scope missing"))))</f>
        <v/>
      </c>
      <c r="R511" s="43" t="n"/>
      <c r="S511" s="40" t="n"/>
      <c r="T511" s="40" t="n"/>
      <c r="U511" s="40" t="n"/>
      <c r="V511" s="40" t="n"/>
      <c r="W511" s="41" t="n"/>
      <c r="X511" s="38" t="n"/>
    </row>
    <row r="512">
      <c r="A512" s="38" t="n"/>
      <c r="B512" s="38" t="n"/>
      <c r="C512" s="38" t="n"/>
      <c r="D512" s="38" t="n"/>
      <c r="E512" s="38" t="n"/>
      <c r="F512" s="39" t="n"/>
      <c r="G512" s="38" t="n"/>
      <c r="H512" s="38" t="n"/>
      <c r="I512" s="38" t="n"/>
      <c r="J512" s="38" t="n"/>
      <c r="K512" s="38" t="n"/>
      <c r="L512" s="38" t="n"/>
      <c r="M512" s="38" t="n"/>
      <c r="N512" s="22">
        <f>IF(COUNTA(A512:M512,O512:P512,R512:X512)=0,"",IF(OR(A512="",B512="",F512=""),"Event ID, AIR-ID or date missing",IF(COUNTIF($A$4:$A$553,A512)&gt;1,"Duplicate Event ID",IF(E512="","Event type missing",IF(OR(NOT(ISNUMBER(F512)),F512&gt;TODAY()),"Date is not a real date or is in the future",IF(AND(C512&lt;&gt;"",COUNTIF('Gate plan'!$A$4:$A$353,C512)=0),"Plan ID not found in Gate plan",IF(AND(C512&lt;&gt;"",COUNTIFS('Gate plan'!$A$4:$A$353,C512,'Gate plan'!$B$4:$B$353,B512)=0),"Plan AIR-ID differs from event",IF(D512="","Gate / forum missing",IF(AND(E512="Precautionary pause (containment)",G512&lt;&gt;"Paused — pending decision"),"Precautionary pause: Outcome must be Paused, pending decision",IF(AND(E512="Precautionary pause (containment)",V512=""),"Precautionary pause: AIG-OPS-03 incident ref missing",IF(AND(E512="Precautionary pause (containment)",NOT(ISNUMBER(W512))),"Precautionary pause: follow-up decision due date missing",IF(AND(G512="Paused — pending decision",E512&lt;&gt;"Precautionary pause (containment)"),"Paused, pending decision is only for a Precautionary pause event",IF(AND(E512="Decision",OR(G512="",H512="",I512="")),"Outcome / delegation / decision ref missing",IF(AND(E512="Decision",NOT(OR(G512="Progress",G512="Progress with condition",G512="Return for evidence",G512="Pause",G512="Stop",G512="Suspend",G512="Decommission",G512="Re-authorise",G512="Resume"))),"Decision event needs a decision outcome",IF(AND(E512="Priority override",OR(H512="",I512="")),"Decision-maker / AIG-DEC-03 ref missing",IF(AND(E512="Priority override",G512&lt;&gt;"",G512&lt;&gt;"No decision"),"Priority override: Outcome blank or No decision",IF(AND(E512&lt;&gt;"Decision",OR(G512="Progress",G512="Progress with condition",G512="Return for evidence",G512="Pause",G512="Stop",G512="Suspend",G512="Decommission",G512="Re-authorise",G512="Resume")),"Outcome implies decision",IF(OR(ISNUMBER(SEARCH(",",O512)),ISNUMBER(SEARCH(";",O512))),"One UC-ID per event row — split this event",IF(AND(E512="Decision",OR(Q512="UC-ID REQUIRED",Q512="Decision scope missing",Q512="REMOVE UC-ID OR CORRECT SCOPE")),"Decision scope missing",IF(AND(G512="Progress with condition",COUNTIF(Conditions!$B$4:$B$553,A512)=0),"Progress with condition needs at least one Conditions row",IF(AND(C512&lt;&gt;"",COUNTIFS('Gate plan'!$A$4:$A$353,C512,'Gate plan'!$C$4:$C$353,D512)=0),"Plan gate differs from event gate",IF(AND(C512&lt;&gt;"",O512&lt;&gt;"",COUNTIFS('Gate plan'!$A$4:$A$353,C512,'Gate plan'!$K$4:$K$353,"&lt;&gt;")&gt;0,COUNTIFS('Gate plan'!$A$4:$A$353,C512,'Gate plan'!$K$4:$K$353,O512)=0),"Plan UC-ID differs from event UC-ID",IF(AND(E512="Assurance opinion",J512=""),"Assurance opinion ref missing",IF(AND(G512="Opinion only",E512&lt;&gt;"Assurance opinion",E512&lt;&gt;"Review only"),"Opinion only is for Assurance opinion or Review only events",IF(AND(G512="No decision",E512&lt;&gt;"Review only",E512&lt;&gt;"Priority override",E512&lt;&gt;"Intake / registration"),"No decision is for Review only, Priority override or Intake / registration events",IF(OR(ISNUMBER(SEARCH(" ",TRIM(O512))),ISNUMBER(SEARCH("/",O512))),"One UC-ID per event row: split this event",IF(AND(E512="Precautionary pause (containment)",ISNUMBER(W512),ISNUMBER(F512),W512&lt;F512),"Follow-up decision due date is before the pause",IF(AND(G512="Resume",IFERROR(LOOKUP(2,1/(($B$3:B511=B512)*($O$3:O511=O512)),$G$3:G511),"")&lt;&gt;"Paused — pending decision"),"Resume is only for the event straight after a Precautionary pause on the same AIR-ID and UC-ID (in an earlier row)",IF(AND(E512="Decision",OR(G512="Progress",G512="Progress with condition",G512="Re-authorise",G512="Resume"),X512&lt;&gt;"Yes"),"Decision-maker has not confirmed the screening was considered (column X)","Check against source")))))))))))))))))))))))))))))</f>
        <v/>
      </c>
      <c r="O512" s="37" t="n"/>
      <c r="P512" s="37" t="n"/>
      <c r="Q512" s="14">
        <f>IF(A512="","",IF(E512&lt;&gt;"Decision","",IF(P512="UC-ID specific",IF(O512="","UC-ID REQUIRED","Check source decision for each UC-ID"),IF(P512="Shared system baseline",IF(O512&lt;&gt;"","REMOVE UC-ID OR CORRECT SCOPE","Baseline only — NOT UC approval"),"Decision scope missing"))))</f>
        <v/>
      </c>
      <c r="R512" s="42" t="n"/>
      <c r="S512" s="38" t="n"/>
      <c r="T512" s="38" t="n"/>
      <c r="U512" s="38" t="n"/>
      <c r="V512" s="38" t="n"/>
      <c r="W512" s="39" t="n"/>
      <c r="X512" s="38" t="n"/>
    </row>
    <row r="513">
      <c r="A513" s="40" t="n"/>
      <c r="B513" s="40" t="n"/>
      <c r="C513" s="40" t="n"/>
      <c r="D513" s="40" t="n"/>
      <c r="E513" s="40" t="n"/>
      <c r="F513" s="41" t="n"/>
      <c r="G513" s="40" t="n"/>
      <c r="H513" s="40" t="n"/>
      <c r="I513" s="40" t="n"/>
      <c r="J513" s="40" t="n"/>
      <c r="K513" s="40" t="n"/>
      <c r="L513" s="40" t="n"/>
      <c r="M513" s="40" t="n"/>
      <c r="N513" s="24">
        <f>IF(COUNTA(A513:M513,O513:P513,R513:X513)=0,"",IF(OR(A513="",B513="",F513=""),"Event ID, AIR-ID or date missing",IF(COUNTIF($A$4:$A$553,A513)&gt;1,"Duplicate Event ID",IF(E513="","Event type missing",IF(OR(NOT(ISNUMBER(F513)),F513&gt;TODAY()),"Date is not a real date or is in the future",IF(AND(C513&lt;&gt;"",COUNTIF('Gate plan'!$A$4:$A$353,C513)=0),"Plan ID not found in Gate plan",IF(AND(C513&lt;&gt;"",COUNTIFS('Gate plan'!$A$4:$A$353,C513,'Gate plan'!$B$4:$B$353,B513)=0),"Plan AIR-ID differs from event",IF(D513="","Gate / forum missing",IF(AND(E513="Precautionary pause (containment)",G513&lt;&gt;"Paused — pending decision"),"Precautionary pause: Outcome must be Paused, pending decision",IF(AND(E513="Precautionary pause (containment)",V513=""),"Precautionary pause: AIG-OPS-03 incident ref missing",IF(AND(E513="Precautionary pause (containment)",NOT(ISNUMBER(W513))),"Precautionary pause: follow-up decision due date missing",IF(AND(G513="Paused — pending decision",E513&lt;&gt;"Precautionary pause (containment)"),"Paused, pending decision is only for a Precautionary pause event",IF(AND(E513="Decision",OR(G513="",H513="",I513="")),"Outcome / delegation / decision ref missing",IF(AND(E513="Decision",NOT(OR(G513="Progress",G513="Progress with condition",G513="Return for evidence",G513="Pause",G513="Stop",G513="Suspend",G513="Decommission",G513="Re-authorise",G513="Resume"))),"Decision event needs a decision outcome",IF(AND(E513="Priority override",OR(H513="",I513="")),"Decision-maker / AIG-DEC-03 ref missing",IF(AND(E513="Priority override",G513&lt;&gt;"",G513&lt;&gt;"No decision"),"Priority override: Outcome blank or No decision",IF(AND(E513&lt;&gt;"Decision",OR(G513="Progress",G513="Progress with condition",G513="Return for evidence",G513="Pause",G513="Stop",G513="Suspend",G513="Decommission",G513="Re-authorise",G513="Resume")),"Outcome implies decision",IF(OR(ISNUMBER(SEARCH(",",O513)),ISNUMBER(SEARCH(";",O513))),"One UC-ID per event row — split this event",IF(AND(E513="Decision",OR(Q513="UC-ID REQUIRED",Q513="Decision scope missing",Q513="REMOVE UC-ID OR CORRECT SCOPE")),"Decision scope missing",IF(AND(G513="Progress with condition",COUNTIF(Conditions!$B$4:$B$553,A513)=0),"Progress with condition needs at least one Conditions row",IF(AND(C513&lt;&gt;"",COUNTIFS('Gate plan'!$A$4:$A$353,C513,'Gate plan'!$C$4:$C$353,D513)=0),"Plan gate differs from event gate",IF(AND(C513&lt;&gt;"",O513&lt;&gt;"",COUNTIFS('Gate plan'!$A$4:$A$353,C513,'Gate plan'!$K$4:$K$353,"&lt;&gt;")&gt;0,COUNTIFS('Gate plan'!$A$4:$A$353,C513,'Gate plan'!$K$4:$K$353,O513)=0),"Plan UC-ID differs from event UC-ID",IF(AND(E513="Assurance opinion",J513=""),"Assurance opinion ref missing",IF(AND(G513="Opinion only",E513&lt;&gt;"Assurance opinion",E513&lt;&gt;"Review only"),"Opinion only is for Assurance opinion or Review only events",IF(AND(G513="No decision",E513&lt;&gt;"Review only",E513&lt;&gt;"Priority override",E513&lt;&gt;"Intake / registration"),"No decision is for Review only, Priority override or Intake / registration events",IF(OR(ISNUMBER(SEARCH(" ",TRIM(O513))),ISNUMBER(SEARCH("/",O513))),"One UC-ID per event row: split this event",IF(AND(E513="Precautionary pause (containment)",ISNUMBER(W513),ISNUMBER(F513),W513&lt;F513),"Follow-up decision due date is before the pause",IF(AND(G513="Resume",IFERROR(LOOKUP(2,1/(($B$3:B512=B513)*($O$3:O512=O513)),$G$3:G512),"")&lt;&gt;"Paused — pending decision"),"Resume is only for the event straight after a Precautionary pause on the same AIR-ID and UC-ID (in an earlier row)",IF(AND(E513="Decision",OR(G513="Progress",G513="Progress with condition",G513="Re-authorise",G513="Resume"),X513&lt;&gt;"Yes"),"Decision-maker has not confirmed the screening was considered (column X)","Check against source")))))))))))))))))))))))))))))</f>
        <v/>
      </c>
      <c r="O513" s="37" t="n"/>
      <c r="P513" s="37" t="n"/>
      <c r="Q513" s="14">
        <f>IF(A513="","",IF(E513&lt;&gt;"Decision","",IF(P513="UC-ID specific",IF(O513="","UC-ID REQUIRED","Check source decision for each UC-ID"),IF(P513="Shared system baseline",IF(O513&lt;&gt;"","REMOVE UC-ID OR CORRECT SCOPE","Baseline only — NOT UC approval"),"Decision scope missing"))))</f>
        <v/>
      </c>
      <c r="R513" s="43" t="n"/>
      <c r="S513" s="40" t="n"/>
      <c r="T513" s="40" t="n"/>
      <c r="U513" s="40" t="n"/>
      <c r="V513" s="40" t="n"/>
      <c r="W513" s="41" t="n"/>
      <c r="X513" s="38" t="n"/>
    </row>
    <row r="514">
      <c r="A514" s="38" t="n"/>
      <c r="B514" s="38" t="n"/>
      <c r="C514" s="38" t="n"/>
      <c r="D514" s="38" t="n"/>
      <c r="E514" s="38" t="n"/>
      <c r="F514" s="39" t="n"/>
      <c r="G514" s="38" t="n"/>
      <c r="H514" s="38" t="n"/>
      <c r="I514" s="38" t="n"/>
      <c r="J514" s="38" t="n"/>
      <c r="K514" s="38" t="n"/>
      <c r="L514" s="38" t="n"/>
      <c r="M514" s="38" t="n"/>
      <c r="N514" s="22">
        <f>IF(COUNTA(A514:M514,O514:P514,R514:X514)=0,"",IF(OR(A514="",B514="",F514=""),"Event ID, AIR-ID or date missing",IF(COUNTIF($A$4:$A$553,A514)&gt;1,"Duplicate Event ID",IF(E514="","Event type missing",IF(OR(NOT(ISNUMBER(F514)),F514&gt;TODAY()),"Date is not a real date or is in the future",IF(AND(C514&lt;&gt;"",COUNTIF('Gate plan'!$A$4:$A$353,C514)=0),"Plan ID not found in Gate plan",IF(AND(C514&lt;&gt;"",COUNTIFS('Gate plan'!$A$4:$A$353,C514,'Gate plan'!$B$4:$B$353,B514)=0),"Plan AIR-ID differs from event",IF(D514="","Gate / forum missing",IF(AND(E514="Precautionary pause (containment)",G514&lt;&gt;"Paused — pending decision"),"Precautionary pause: Outcome must be Paused, pending decision",IF(AND(E514="Precautionary pause (containment)",V514=""),"Precautionary pause: AIG-OPS-03 incident ref missing",IF(AND(E514="Precautionary pause (containment)",NOT(ISNUMBER(W514))),"Precautionary pause: follow-up decision due date missing",IF(AND(G514="Paused — pending decision",E514&lt;&gt;"Precautionary pause (containment)"),"Paused, pending decision is only for a Precautionary pause event",IF(AND(E514="Decision",OR(G514="",H514="",I514="")),"Outcome / delegation / decision ref missing",IF(AND(E514="Decision",NOT(OR(G514="Progress",G514="Progress with condition",G514="Return for evidence",G514="Pause",G514="Stop",G514="Suspend",G514="Decommission",G514="Re-authorise",G514="Resume"))),"Decision event needs a decision outcome",IF(AND(E514="Priority override",OR(H514="",I514="")),"Decision-maker / AIG-DEC-03 ref missing",IF(AND(E514="Priority override",G514&lt;&gt;"",G514&lt;&gt;"No decision"),"Priority override: Outcome blank or No decision",IF(AND(E514&lt;&gt;"Decision",OR(G514="Progress",G514="Progress with condition",G514="Return for evidence",G514="Pause",G514="Stop",G514="Suspend",G514="Decommission",G514="Re-authorise",G514="Resume")),"Outcome implies decision",IF(OR(ISNUMBER(SEARCH(",",O514)),ISNUMBER(SEARCH(";",O514))),"One UC-ID per event row — split this event",IF(AND(E514="Decision",OR(Q514="UC-ID REQUIRED",Q514="Decision scope missing",Q514="REMOVE UC-ID OR CORRECT SCOPE")),"Decision scope missing",IF(AND(G514="Progress with condition",COUNTIF(Conditions!$B$4:$B$553,A514)=0),"Progress with condition needs at least one Conditions row",IF(AND(C514&lt;&gt;"",COUNTIFS('Gate plan'!$A$4:$A$353,C514,'Gate plan'!$C$4:$C$353,D514)=0),"Plan gate differs from event gate",IF(AND(C514&lt;&gt;"",O514&lt;&gt;"",COUNTIFS('Gate plan'!$A$4:$A$353,C514,'Gate plan'!$K$4:$K$353,"&lt;&gt;")&gt;0,COUNTIFS('Gate plan'!$A$4:$A$353,C514,'Gate plan'!$K$4:$K$353,O514)=0),"Plan UC-ID differs from event UC-ID",IF(AND(E514="Assurance opinion",J514=""),"Assurance opinion ref missing",IF(AND(G514="Opinion only",E514&lt;&gt;"Assurance opinion",E514&lt;&gt;"Review only"),"Opinion only is for Assurance opinion or Review only events",IF(AND(G514="No decision",E514&lt;&gt;"Review only",E514&lt;&gt;"Priority override",E514&lt;&gt;"Intake / registration"),"No decision is for Review only, Priority override or Intake / registration events",IF(OR(ISNUMBER(SEARCH(" ",TRIM(O514))),ISNUMBER(SEARCH("/",O514))),"One UC-ID per event row: split this event",IF(AND(E514="Precautionary pause (containment)",ISNUMBER(W514),ISNUMBER(F514),W514&lt;F514),"Follow-up decision due date is before the pause",IF(AND(G514="Resume",IFERROR(LOOKUP(2,1/(($B$3:B513=B514)*($O$3:O513=O514)),$G$3:G513),"")&lt;&gt;"Paused — pending decision"),"Resume is only for the event straight after a Precautionary pause on the same AIR-ID and UC-ID (in an earlier row)",IF(AND(E514="Decision",OR(G514="Progress",G514="Progress with condition",G514="Re-authorise",G514="Resume"),X514&lt;&gt;"Yes"),"Decision-maker has not confirmed the screening was considered (column X)","Check against source")))))))))))))))))))))))))))))</f>
        <v/>
      </c>
      <c r="O514" s="37" t="n"/>
      <c r="P514" s="37" t="n"/>
      <c r="Q514" s="14">
        <f>IF(A514="","",IF(E514&lt;&gt;"Decision","",IF(P514="UC-ID specific",IF(O514="","UC-ID REQUIRED","Check source decision for each UC-ID"),IF(P514="Shared system baseline",IF(O514&lt;&gt;"","REMOVE UC-ID OR CORRECT SCOPE","Baseline only — NOT UC approval"),"Decision scope missing"))))</f>
        <v/>
      </c>
      <c r="R514" s="42" t="n"/>
      <c r="S514" s="38" t="n"/>
      <c r="T514" s="38" t="n"/>
      <c r="U514" s="38" t="n"/>
      <c r="V514" s="38" t="n"/>
      <c r="W514" s="39" t="n"/>
      <c r="X514" s="38" t="n"/>
    </row>
    <row r="515">
      <c r="A515" s="40" t="n"/>
      <c r="B515" s="40" t="n"/>
      <c r="C515" s="40" t="n"/>
      <c r="D515" s="40" t="n"/>
      <c r="E515" s="40" t="n"/>
      <c r="F515" s="41" t="n"/>
      <c r="G515" s="40" t="n"/>
      <c r="H515" s="40" t="n"/>
      <c r="I515" s="40" t="n"/>
      <c r="J515" s="40" t="n"/>
      <c r="K515" s="40" t="n"/>
      <c r="L515" s="40" t="n"/>
      <c r="M515" s="40" t="n"/>
      <c r="N515" s="24">
        <f>IF(COUNTA(A515:M515,O515:P515,R515:X515)=0,"",IF(OR(A515="",B515="",F515=""),"Event ID, AIR-ID or date missing",IF(COUNTIF($A$4:$A$553,A515)&gt;1,"Duplicate Event ID",IF(E515="","Event type missing",IF(OR(NOT(ISNUMBER(F515)),F515&gt;TODAY()),"Date is not a real date or is in the future",IF(AND(C515&lt;&gt;"",COUNTIF('Gate plan'!$A$4:$A$353,C515)=0),"Plan ID not found in Gate plan",IF(AND(C515&lt;&gt;"",COUNTIFS('Gate plan'!$A$4:$A$353,C515,'Gate plan'!$B$4:$B$353,B515)=0),"Plan AIR-ID differs from event",IF(D515="","Gate / forum missing",IF(AND(E515="Precautionary pause (containment)",G515&lt;&gt;"Paused — pending decision"),"Precautionary pause: Outcome must be Paused, pending decision",IF(AND(E515="Precautionary pause (containment)",V515=""),"Precautionary pause: AIG-OPS-03 incident ref missing",IF(AND(E515="Precautionary pause (containment)",NOT(ISNUMBER(W515))),"Precautionary pause: follow-up decision due date missing",IF(AND(G515="Paused — pending decision",E515&lt;&gt;"Precautionary pause (containment)"),"Paused, pending decision is only for a Precautionary pause event",IF(AND(E515="Decision",OR(G515="",H515="",I515="")),"Outcome / delegation / decision ref missing",IF(AND(E515="Decision",NOT(OR(G515="Progress",G515="Progress with condition",G515="Return for evidence",G515="Pause",G515="Stop",G515="Suspend",G515="Decommission",G515="Re-authorise",G515="Resume"))),"Decision event needs a decision outcome",IF(AND(E515="Priority override",OR(H515="",I515="")),"Decision-maker / AIG-DEC-03 ref missing",IF(AND(E515="Priority override",G515&lt;&gt;"",G515&lt;&gt;"No decision"),"Priority override: Outcome blank or No decision",IF(AND(E515&lt;&gt;"Decision",OR(G515="Progress",G515="Progress with condition",G515="Return for evidence",G515="Pause",G515="Stop",G515="Suspend",G515="Decommission",G515="Re-authorise",G515="Resume")),"Outcome implies decision",IF(OR(ISNUMBER(SEARCH(",",O515)),ISNUMBER(SEARCH(";",O515))),"One UC-ID per event row — split this event",IF(AND(E515="Decision",OR(Q515="UC-ID REQUIRED",Q515="Decision scope missing",Q515="REMOVE UC-ID OR CORRECT SCOPE")),"Decision scope missing",IF(AND(G515="Progress with condition",COUNTIF(Conditions!$B$4:$B$553,A515)=0),"Progress with condition needs at least one Conditions row",IF(AND(C515&lt;&gt;"",COUNTIFS('Gate plan'!$A$4:$A$353,C515,'Gate plan'!$C$4:$C$353,D515)=0),"Plan gate differs from event gate",IF(AND(C515&lt;&gt;"",O515&lt;&gt;"",COUNTIFS('Gate plan'!$A$4:$A$353,C515,'Gate plan'!$K$4:$K$353,"&lt;&gt;")&gt;0,COUNTIFS('Gate plan'!$A$4:$A$353,C515,'Gate plan'!$K$4:$K$353,O515)=0),"Plan UC-ID differs from event UC-ID",IF(AND(E515="Assurance opinion",J515=""),"Assurance opinion ref missing",IF(AND(G515="Opinion only",E515&lt;&gt;"Assurance opinion",E515&lt;&gt;"Review only"),"Opinion only is for Assurance opinion or Review only events",IF(AND(G515="No decision",E515&lt;&gt;"Review only",E515&lt;&gt;"Priority override",E515&lt;&gt;"Intake / registration"),"No decision is for Review only, Priority override or Intake / registration events",IF(OR(ISNUMBER(SEARCH(" ",TRIM(O515))),ISNUMBER(SEARCH("/",O515))),"One UC-ID per event row: split this event",IF(AND(E515="Precautionary pause (containment)",ISNUMBER(W515),ISNUMBER(F515),W515&lt;F515),"Follow-up decision due date is before the pause",IF(AND(G515="Resume",IFERROR(LOOKUP(2,1/(($B$3:B514=B515)*($O$3:O514=O515)),$G$3:G514),"")&lt;&gt;"Paused — pending decision"),"Resume is only for the event straight after a Precautionary pause on the same AIR-ID and UC-ID (in an earlier row)",IF(AND(E515="Decision",OR(G515="Progress",G515="Progress with condition",G515="Re-authorise",G515="Resume"),X515&lt;&gt;"Yes"),"Decision-maker has not confirmed the screening was considered (column X)","Check against source")))))))))))))))))))))))))))))</f>
        <v/>
      </c>
      <c r="O515" s="37" t="n"/>
      <c r="P515" s="37" t="n"/>
      <c r="Q515" s="14">
        <f>IF(A515="","",IF(E515&lt;&gt;"Decision","",IF(P515="UC-ID specific",IF(O515="","UC-ID REQUIRED","Check source decision for each UC-ID"),IF(P515="Shared system baseline",IF(O515&lt;&gt;"","REMOVE UC-ID OR CORRECT SCOPE","Baseline only — NOT UC approval"),"Decision scope missing"))))</f>
        <v/>
      </c>
      <c r="R515" s="43" t="n"/>
      <c r="S515" s="40" t="n"/>
      <c r="T515" s="40" t="n"/>
      <c r="U515" s="40" t="n"/>
      <c r="V515" s="40" t="n"/>
      <c r="W515" s="41" t="n"/>
      <c r="X515" s="38" t="n"/>
    </row>
    <row r="516">
      <c r="A516" s="38" t="n"/>
      <c r="B516" s="38" t="n"/>
      <c r="C516" s="38" t="n"/>
      <c r="D516" s="38" t="n"/>
      <c r="E516" s="38" t="n"/>
      <c r="F516" s="39" t="n"/>
      <c r="G516" s="38" t="n"/>
      <c r="H516" s="38" t="n"/>
      <c r="I516" s="38" t="n"/>
      <c r="J516" s="38" t="n"/>
      <c r="K516" s="38" t="n"/>
      <c r="L516" s="38" t="n"/>
      <c r="M516" s="38" t="n"/>
      <c r="N516" s="22">
        <f>IF(COUNTA(A516:M516,O516:P516,R516:X516)=0,"",IF(OR(A516="",B516="",F516=""),"Event ID, AIR-ID or date missing",IF(COUNTIF($A$4:$A$553,A516)&gt;1,"Duplicate Event ID",IF(E516="","Event type missing",IF(OR(NOT(ISNUMBER(F516)),F516&gt;TODAY()),"Date is not a real date or is in the future",IF(AND(C516&lt;&gt;"",COUNTIF('Gate plan'!$A$4:$A$353,C516)=0),"Plan ID not found in Gate plan",IF(AND(C516&lt;&gt;"",COUNTIFS('Gate plan'!$A$4:$A$353,C516,'Gate plan'!$B$4:$B$353,B516)=0),"Plan AIR-ID differs from event",IF(D516="","Gate / forum missing",IF(AND(E516="Precautionary pause (containment)",G516&lt;&gt;"Paused — pending decision"),"Precautionary pause: Outcome must be Paused, pending decision",IF(AND(E516="Precautionary pause (containment)",V516=""),"Precautionary pause: AIG-OPS-03 incident ref missing",IF(AND(E516="Precautionary pause (containment)",NOT(ISNUMBER(W516))),"Precautionary pause: follow-up decision due date missing",IF(AND(G516="Paused — pending decision",E516&lt;&gt;"Precautionary pause (containment)"),"Paused, pending decision is only for a Precautionary pause event",IF(AND(E516="Decision",OR(G516="",H516="",I516="")),"Outcome / delegation / decision ref missing",IF(AND(E516="Decision",NOT(OR(G516="Progress",G516="Progress with condition",G516="Return for evidence",G516="Pause",G516="Stop",G516="Suspend",G516="Decommission",G516="Re-authorise",G516="Resume"))),"Decision event needs a decision outcome",IF(AND(E516="Priority override",OR(H516="",I516="")),"Decision-maker / AIG-DEC-03 ref missing",IF(AND(E516="Priority override",G516&lt;&gt;"",G516&lt;&gt;"No decision"),"Priority override: Outcome blank or No decision",IF(AND(E516&lt;&gt;"Decision",OR(G516="Progress",G516="Progress with condition",G516="Return for evidence",G516="Pause",G516="Stop",G516="Suspend",G516="Decommission",G516="Re-authorise",G516="Resume")),"Outcome implies decision",IF(OR(ISNUMBER(SEARCH(",",O516)),ISNUMBER(SEARCH(";",O516))),"One UC-ID per event row — split this event",IF(AND(E516="Decision",OR(Q516="UC-ID REQUIRED",Q516="Decision scope missing",Q516="REMOVE UC-ID OR CORRECT SCOPE")),"Decision scope missing",IF(AND(G516="Progress with condition",COUNTIF(Conditions!$B$4:$B$553,A516)=0),"Progress with condition needs at least one Conditions row",IF(AND(C516&lt;&gt;"",COUNTIFS('Gate plan'!$A$4:$A$353,C516,'Gate plan'!$C$4:$C$353,D516)=0),"Plan gate differs from event gate",IF(AND(C516&lt;&gt;"",O516&lt;&gt;"",COUNTIFS('Gate plan'!$A$4:$A$353,C516,'Gate plan'!$K$4:$K$353,"&lt;&gt;")&gt;0,COUNTIFS('Gate plan'!$A$4:$A$353,C516,'Gate plan'!$K$4:$K$353,O516)=0),"Plan UC-ID differs from event UC-ID",IF(AND(E516="Assurance opinion",J516=""),"Assurance opinion ref missing",IF(AND(G516="Opinion only",E516&lt;&gt;"Assurance opinion",E516&lt;&gt;"Review only"),"Opinion only is for Assurance opinion or Review only events",IF(AND(G516="No decision",E516&lt;&gt;"Review only",E516&lt;&gt;"Priority override",E516&lt;&gt;"Intake / registration"),"No decision is for Review only, Priority override or Intake / registration events",IF(OR(ISNUMBER(SEARCH(" ",TRIM(O516))),ISNUMBER(SEARCH("/",O516))),"One UC-ID per event row: split this event",IF(AND(E516="Precautionary pause (containment)",ISNUMBER(W516),ISNUMBER(F516),W516&lt;F516),"Follow-up decision due date is before the pause",IF(AND(G516="Resume",IFERROR(LOOKUP(2,1/(($B$3:B515=B516)*($O$3:O515=O516)),$G$3:G515),"")&lt;&gt;"Paused — pending decision"),"Resume is only for the event straight after a Precautionary pause on the same AIR-ID and UC-ID (in an earlier row)",IF(AND(E516="Decision",OR(G516="Progress",G516="Progress with condition",G516="Re-authorise",G516="Resume"),X516&lt;&gt;"Yes"),"Decision-maker has not confirmed the screening was considered (column X)","Check against source")))))))))))))))))))))))))))))</f>
        <v/>
      </c>
      <c r="O516" s="37" t="n"/>
      <c r="P516" s="37" t="n"/>
      <c r="Q516" s="14">
        <f>IF(A516="","",IF(E516&lt;&gt;"Decision","",IF(P516="UC-ID specific",IF(O516="","UC-ID REQUIRED","Check source decision for each UC-ID"),IF(P516="Shared system baseline",IF(O516&lt;&gt;"","REMOVE UC-ID OR CORRECT SCOPE","Baseline only — NOT UC approval"),"Decision scope missing"))))</f>
        <v/>
      </c>
      <c r="R516" s="42" t="n"/>
      <c r="S516" s="38" t="n"/>
      <c r="T516" s="38" t="n"/>
      <c r="U516" s="38" t="n"/>
      <c r="V516" s="38" t="n"/>
      <c r="W516" s="39" t="n"/>
      <c r="X516" s="38" t="n"/>
    </row>
    <row r="517">
      <c r="A517" s="40" t="n"/>
      <c r="B517" s="40" t="n"/>
      <c r="C517" s="40" t="n"/>
      <c r="D517" s="40" t="n"/>
      <c r="E517" s="40" t="n"/>
      <c r="F517" s="41" t="n"/>
      <c r="G517" s="40" t="n"/>
      <c r="H517" s="40" t="n"/>
      <c r="I517" s="40" t="n"/>
      <c r="J517" s="40" t="n"/>
      <c r="K517" s="40" t="n"/>
      <c r="L517" s="40" t="n"/>
      <c r="M517" s="40" t="n"/>
      <c r="N517" s="24">
        <f>IF(COUNTA(A517:M517,O517:P517,R517:X517)=0,"",IF(OR(A517="",B517="",F517=""),"Event ID, AIR-ID or date missing",IF(COUNTIF($A$4:$A$553,A517)&gt;1,"Duplicate Event ID",IF(E517="","Event type missing",IF(OR(NOT(ISNUMBER(F517)),F517&gt;TODAY()),"Date is not a real date or is in the future",IF(AND(C517&lt;&gt;"",COUNTIF('Gate plan'!$A$4:$A$353,C517)=0),"Plan ID not found in Gate plan",IF(AND(C517&lt;&gt;"",COUNTIFS('Gate plan'!$A$4:$A$353,C517,'Gate plan'!$B$4:$B$353,B517)=0),"Plan AIR-ID differs from event",IF(D517="","Gate / forum missing",IF(AND(E517="Precautionary pause (containment)",G517&lt;&gt;"Paused — pending decision"),"Precautionary pause: Outcome must be Paused, pending decision",IF(AND(E517="Precautionary pause (containment)",V517=""),"Precautionary pause: AIG-OPS-03 incident ref missing",IF(AND(E517="Precautionary pause (containment)",NOT(ISNUMBER(W517))),"Precautionary pause: follow-up decision due date missing",IF(AND(G517="Paused — pending decision",E517&lt;&gt;"Precautionary pause (containment)"),"Paused, pending decision is only for a Precautionary pause event",IF(AND(E517="Decision",OR(G517="",H517="",I517="")),"Outcome / delegation / decision ref missing",IF(AND(E517="Decision",NOT(OR(G517="Progress",G517="Progress with condition",G517="Return for evidence",G517="Pause",G517="Stop",G517="Suspend",G517="Decommission",G517="Re-authorise",G517="Resume"))),"Decision event needs a decision outcome",IF(AND(E517="Priority override",OR(H517="",I517="")),"Decision-maker / AIG-DEC-03 ref missing",IF(AND(E517="Priority override",G517&lt;&gt;"",G517&lt;&gt;"No decision"),"Priority override: Outcome blank or No decision",IF(AND(E517&lt;&gt;"Decision",OR(G517="Progress",G517="Progress with condition",G517="Return for evidence",G517="Pause",G517="Stop",G517="Suspend",G517="Decommission",G517="Re-authorise",G517="Resume")),"Outcome implies decision",IF(OR(ISNUMBER(SEARCH(",",O517)),ISNUMBER(SEARCH(";",O517))),"One UC-ID per event row — split this event",IF(AND(E517="Decision",OR(Q517="UC-ID REQUIRED",Q517="Decision scope missing",Q517="REMOVE UC-ID OR CORRECT SCOPE")),"Decision scope missing",IF(AND(G517="Progress with condition",COUNTIF(Conditions!$B$4:$B$553,A517)=0),"Progress with condition needs at least one Conditions row",IF(AND(C517&lt;&gt;"",COUNTIFS('Gate plan'!$A$4:$A$353,C517,'Gate plan'!$C$4:$C$353,D517)=0),"Plan gate differs from event gate",IF(AND(C517&lt;&gt;"",O517&lt;&gt;"",COUNTIFS('Gate plan'!$A$4:$A$353,C517,'Gate plan'!$K$4:$K$353,"&lt;&gt;")&gt;0,COUNTIFS('Gate plan'!$A$4:$A$353,C517,'Gate plan'!$K$4:$K$353,O517)=0),"Plan UC-ID differs from event UC-ID",IF(AND(E517="Assurance opinion",J517=""),"Assurance opinion ref missing",IF(AND(G517="Opinion only",E517&lt;&gt;"Assurance opinion",E517&lt;&gt;"Review only"),"Opinion only is for Assurance opinion or Review only events",IF(AND(G517="No decision",E517&lt;&gt;"Review only",E517&lt;&gt;"Priority override",E517&lt;&gt;"Intake / registration"),"No decision is for Review only, Priority override or Intake / registration events",IF(OR(ISNUMBER(SEARCH(" ",TRIM(O517))),ISNUMBER(SEARCH("/",O517))),"One UC-ID per event row: split this event",IF(AND(E517="Precautionary pause (containment)",ISNUMBER(W517),ISNUMBER(F517),W517&lt;F517),"Follow-up decision due date is before the pause",IF(AND(G517="Resume",IFERROR(LOOKUP(2,1/(($B$3:B516=B517)*($O$3:O516=O517)),$G$3:G516),"")&lt;&gt;"Paused — pending decision"),"Resume is only for the event straight after a Precautionary pause on the same AIR-ID and UC-ID (in an earlier row)",IF(AND(E517="Decision",OR(G517="Progress",G517="Progress with condition",G517="Re-authorise",G517="Resume"),X517&lt;&gt;"Yes"),"Decision-maker has not confirmed the screening was considered (column X)","Check against source")))))))))))))))))))))))))))))</f>
        <v/>
      </c>
      <c r="O517" s="37" t="n"/>
      <c r="P517" s="37" t="n"/>
      <c r="Q517" s="14">
        <f>IF(A517="","",IF(E517&lt;&gt;"Decision","",IF(P517="UC-ID specific",IF(O517="","UC-ID REQUIRED","Check source decision for each UC-ID"),IF(P517="Shared system baseline",IF(O517&lt;&gt;"","REMOVE UC-ID OR CORRECT SCOPE","Baseline only — NOT UC approval"),"Decision scope missing"))))</f>
        <v/>
      </c>
      <c r="R517" s="43" t="n"/>
      <c r="S517" s="40" t="n"/>
      <c r="T517" s="40" t="n"/>
      <c r="U517" s="40" t="n"/>
      <c r="V517" s="40" t="n"/>
      <c r="W517" s="41" t="n"/>
      <c r="X517" s="38" t="n"/>
    </row>
    <row r="518">
      <c r="A518" s="38" t="n"/>
      <c r="B518" s="38" t="n"/>
      <c r="C518" s="38" t="n"/>
      <c r="D518" s="38" t="n"/>
      <c r="E518" s="38" t="n"/>
      <c r="F518" s="39" t="n"/>
      <c r="G518" s="38" t="n"/>
      <c r="H518" s="38" t="n"/>
      <c r="I518" s="38" t="n"/>
      <c r="J518" s="38" t="n"/>
      <c r="K518" s="38" t="n"/>
      <c r="L518" s="38" t="n"/>
      <c r="M518" s="38" t="n"/>
      <c r="N518" s="22">
        <f>IF(COUNTA(A518:M518,O518:P518,R518:X518)=0,"",IF(OR(A518="",B518="",F518=""),"Event ID, AIR-ID or date missing",IF(COUNTIF($A$4:$A$553,A518)&gt;1,"Duplicate Event ID",IF(E518="","Event type missing",IF(OR(NOT(ISNUMBER(F518)),F518&gt;TODAY()),"Date is not a real date or is in the future",IF(AND(C518&lt;&gt;"",COUNTIF('Gate plan'!$A$4:$A$353,C518)=0),"Plan ID not found in Gate plan",IF(AND(C518&lt;&gt;"",COUNTIFS('Gate plan'!$A$4:$A$353,C518,'Gate plan'!$B$4:$B$353,B518)=0),"Plan AIR-ID differs from event",IF(D518="","Gate / forum missing",IF(AND(E518="Precautionary pause (containment)",G518&lt;&gt;"Paused — pending decision"),"Precautionary pause: Outcome must be Paused, pending decision",IF(AND(E518="Precautionary pause (containment)",V518=""),"Precautionary pause: AIG-OPS-03 incident ref missing",IF(AND(E518="Precautionary pause (containment)",NOT(ISNUMBER(W518))),"Precautionary pause: follow-up decision due date missing",IF(AND(G518="Paused — pending decision",E518&lt;&gt;"Precautionary pause (containment)"),"Paused, pending decision is only for a Precautionary pause event",IF(AND(E518="Decision",OR(G518="",H518="",I518="")),"Outcome / delegation / decision ref missing",IF(AND(E518="Decision",NOT(OR(G518="Progress",G518="Progress with condition",G518="Return for evidence",G518="Pause",G518="Stop",G518="Suspend",G518="Decommission",G518="Re-authorise",G518="Resume"))),"Decision event needs a decision outcome",IF(AND(E518="Priority override",OR(H518="",I518="")),"Decision-maker / AIG-DEC-03 ref missing",IF(AND(E518="Priority override",G518&lt;&gt;"",G518&lt;&gt;"No decision"),"Priority override: Outcome blank or No decision",IF(AND(E518&lt;&gt;"Decision",OR(G518="Progress",G518="Progress with condition",G518="Return for evidence",G518="Pause",G518="Stop",G518="Suspend",G518="Decommission",G518="Re-authorise",G518="Resume")),"Outcome implies decision",IF(OR(ISNUMBER(SEARCH(",",O518)),ISNUMBER(SEARCH(";",O518))),"One UC-ID per event row — split this event",IF(AND(E518="Decision",OR(Q518="UC-ID REQUIRED",Q518="Decision scope missing",Q518="REMOVE UC-ID OR CORRECT SCOPE")),"Decision scope missing",IF(AND(G518="Progress with condition",COUNTIF(Conditions!$B$4:$B$553,A518)=0),"Progress with condition needs at least one Conditions row",IF(AND(C518&lt;&gt;"",COUNTIFS('Gate plan'!$A$4:$A$353,C518,'Gate plan'!$C$4:$C$353,D518)=0),"Plan gate differs from event gate",IF(AND(C518&lt;&gt;"",O518&lt;&gt;"",COUNTIFS('Gate plan'!$A$4:$A$353,C518,'Gate plan'!$K$4:$K$353,"&lt;&gt;")&gt;0,COUNTIFS('Gate plan'!$A$4:$A$353,C518,'Gate plan'!$K$4:$K$353,O518)=0),"Plan UC-ID differs from event UC-ID",IF(AND(E518="Assurance opinion",J518=""),"Assurance opinion ref missing",IF(AND(G518="Opinion only",E518&lt;&gt;"Assurance opinion",E518&lt;&gt;"Review only"),"Opinion only is for Assurance opinion or Review only events",IF(AND(G518="No decision",E518&lt;&gt;"Review only",E518&lt;&gt;"Priority override",E518&lt;&gt;"Intake / registration"),"No decision is for Review only, Priority override or Intake / registration events",IF(OR(ISNUMBER(SEARCH(" ",TRIM(O518))),ISNUMBER(SEARCH("/",O518))),"One UC-ID per event row: split this event",IF(AND(E518="Precautionary pause (containment)",ISNUMBER(W518),ISNUMBER(F518),W518&lt;F518),"Follow-up decision due date is before the pause",IF(AND(G518="Resume",IFERROR(LOOKUP(2,1/(($B$3:B517=B518)*($O$3:O517=O518)),$G$3:G517),"")&lt;&gt;"Paused — pending decision"),"Resume is only for the event straight after a Precautionary pause on the same AIR-ID and UC-ID (in an earlier row)",IF(AND(E518="Decision",OR(G518="Progress",G518="Progress with condition",G518="Re-authorise",G518="Resume"),X518&lt;&gt;"Yes"),"Decision-maker has not confirmed the screening was considered (column X)","Check against source")))))))))))))))))))))))))))))</f>
        <v/>
      </c>
      <c r="O518" s="37" t="n"/>
      <c r="P518" s="37" t="n"/>
      <c r="Q518" s="14">
        <f>IF(A518="","",IF(E518&lt;&gt;"Decision","",IF(P518="UC-ID specific",IF(O518="","UC-ID REQUIRED","Check source decision for each UC-ID"),IF(P518="Shared system baseline",IF(O518&lt;&gt;"","REMOVE UC-ID OR CORRECT SCOPE","Baseline only — NOT UC approval"),"Decision scope missing"))))</f>
        <v/>
      </c>
      <c r="R518" s="42" t="n"/>
      <c r="S518" s="38" t="n"/>
      <c r="T518" s="38" t="n"/>
      <c r="U518" s="38" t="n"/>
      <c r="V518" s="38" t="n"/>
      <c r="W518" s="39" t="n"/>
      <c r="X518" s="38" t="n"/>
    </row>
    <row r="519">
      <c r="A519" s="40" t="n"/>
      <c r="B519" s="40" t="n"/>
      <c r="C519" s="40" t="n"/>
      <c r="D519" s="40" t="n"/>
      <c r="E519" s="40" t="n"/>
      <c r="F519" s="41" t="n"/>
      <c r="G519" s="40" t="n"/>
      <c r="H519" s="40" t="n"/>
      <c r="I519" s="40" t="n"/>
      <c r="J519" s="40" t="n"/>
      <c r="K519" s="40" t="n"/>
      <c r="L519" s="40" t="n"/>
      <c r="M519" s="40" t="n"/>
      <c r="N519" s="24">
        <f>IF(COUNTA(A519:M519,O519:P519,R519:X519)=0,"",IF(OR(A519="",B519="",F519=""),"Event ID, AIR-ID or date missing",IF(COUNTIF($A$4:$A$553,A519)&gt;1,"Duplicate Event ID",IF(E519="","Event type missing",IF(OR(NOT(ISNUMBER(F519)),F519&gt;TODAY()),"Date is not a real date or is in the future",IF(AND(C519&lt;&gt;"",COUNTIF('Gate plan'!$A$4:$A$353,C519)=0),"Plan ID not found in Gate plan",IF(AND(C519&lt;&gt;"",COUNTIFS('Gate plan'!$A$4:$A$353,C519,'Gate plan'!$B$4:$B$353,B519)=0),"Plan AIR-ID differs from event",IF(D519="","Gate / forum missing",IF(AND(E519="Precautionary pause (containment)",G519&lt;&gt;"Paused — pending decision"),"Precautionary pause: Outcome must be Paused, pending decision",IF(AND(E519="Precautionary pause (containment)",V519=""),"Precautionary pause: AIG-OPS-03 incident ref missing",IF(AND(E519="Precautionary pause (containment)",NOT(ISNUMBER(W519))),"Precautionary pause: follow-up decision due date missing",IF(AND(G519="Paused — pending decision",E519&lt;&gt;"Precautionary pause (containment)"),"Paused, pending decision is only for a Precautionary pause event",IF(AND(E519="Decision",OR(G519="",H519="",I519="")),"Outcome / delegation / decision ref missing",IF(AND(E519="Decision",NOT(OR(G519="Progress",G519="Progress with condition",G519="Return for evidence",G519="Pause",G519="Stop",G519="Suspend",G519="Decommission",G519="Re-authorise",G519="Resume"))),"Decision event needs a decision outcome",IF(AND(E519="Priority override",OR(H519="",I519="")),"Decision-maker / AIG-DEC-03 ref missing",IF(AND(E519="Priority override",G519&lt;&gt;"",G519&lt;&gt;"No decision"),"Priority override: Outcome blank or No decision",IF(AND(E519&lt;&gt;"Decision",OR(G519="Progress",G519="Progress with condition",G519="Return for evidence",G519="Pause",G519="Stop",G519="Suspend",G519="Decommission",G519="Re-authorise",G519="Resume")),"Outcome implies decision",IF(OR(ISNUMBER(SEARCH(",",O519)),ISNUMBER(SEARCH(";",O519))),"One UC-ID per event row — split this event",IF(AND(E519="Decision",OR(Q519="UC-ID REQUIRED",Q519="Decision scope missing",Q519="REMOVE UC-ID OR CORRECT SCOPE")),"Decision scope missing",IF(AND(G519="Progress with condition",COUNTIF(Conditions!$B$4:$B$553,A519)=0),"Progress with condition needs at least one Conditions row",IF(AND(C519&lt;&gt;"",COUNTIFS('Gate plan'!$A$4:$A$353,C519,'Gate plan'!$C$4:$C$353,D519)=0),"Plan gate differs from event gate",IF(AND(C519&lt;&gt;"",O519&lt;&gt;"",COUNTIFS('Gate plan'!$A$4:$A$353,C519,'Gate plan'!$K$4:$K$353,"&lt;&gt;")&gt;0,COUNTIFS('Gate plan'!$A$4:$A$353,C519,'Gate plan'!$K$4:$K$353,O519)=0),"Plan UC-ID differs from event UC-ID",IF(AND(E519="Assurance opinion",J519=""),"Assurance opinion ref missing",IF(AND(G519="Opinion only",E519&lt;&gt;"Assurance opinion",E519&lt;&gt;"Review only"),"Opinion only is for Assurance opinion or Review only events",IF(AND(G519="No decision",E519&lt;&gt;"Review only",E519&lt;&gt;"Priority override",E519&lt;&gt;"Intake / registration"),"No decision is for Review only, Priority override or Intake / registration events",IF(OR(ISNUMBER(SEARCH(" ",TRIM(O519))),ISNUMBER(SEARCH("/",O519))),"One UC-ID per event row: split this event",IF(AND(E519="Precautionary pause (containment)",ISNUMBER(W519),ISNUMBER(F519),W519&lt;F519),"Follow-up decision due date is before the pause",IF(AND(G519="Resume",IFERROR(LOOKUP(2,1/(($B$3:B518=B519)*($O$3:O518=O519)),$G$3:G518),"")&lt;&gt;"Paused — pending decision"),"Resume is only for the event straight after a Precautionary pause on the same AIR-ID and UC-ID (in an earlier row)",IF(AND(E519="Decision",OR(G519="Progress",G519="Progress with condition",G519="Re-authorise",G519="Resume"),X519&lt;&gt;"Yes"),"Decision-maker has not confirmed the screening was considered (column X)","Check against source")))))))))))))))))))))))))))))</f>
        <v/>
      </c>
      <c r="O519" s="37" t="n"/>
      <c r="P519" s="37" t="n"/>
      <c r="Q519" s="14">
        <f>IF(A519="","",IF(E519&lt;&gt;"Decision","",IF(P519="UC-ID specific",IF(O519="","UC-ID REQUIRED","Check source decision for each UC-ID"),IF(P519="Shared system baseline",IF(O519&lt;&gt;"","REMOVE UC-ID OR CORRECT SCOPE","Baseline only — NOT UC approval"),"Decision scope missing"))))</f>
        <v/>
      </c>
      <c r="R519" s="43" t="n"/>
      <c r="S519" s="40" t="n"/>
      <c r="T519" s="40" t="n"/>
      <c r="U519" s="40" t="n"/>
      <c r="V519" s="40" t="n"/>
      <c r="W519" s="41" t="n"/>
      <c r="X519" s="38" t="n"/>
    </row>
    <row r="520">
      <c r="A520" s="38" t="n"/>
      <c r="B520" s="38" t="n"/>
      <c r="C520" s="38" t="n"/>
      <c r="D520" s="38" t="n"/>
      <c r="E520" s="38" t="n"/>
      <c r="F520" s="39" t="n"/>
      <c r="G520" s="38" t="n"/>
      <c r="H520" s="38" t="n"/>
      <c r="I520" s="38" t="n"/>
      <c r="J520" s="38" t="n"/>
      <c r="K520" s="38" t="n"/>
      <c r="L520" s="38" t="n"/>
      <c r="M520" s="38" t="n"/>
      <c r="N520" s="22">
        <f>IF(COUNTA(A520:M520,O520:P520,R520:X520)=0,"",IF(OR(A520="",B520="",F520=""),"Event ID, AIR-ID or date missing",IF(COUNTIF($A$4:$A$553,A520)&gt;1,"Duplicate Event ID",IF(E520="","Event type missing",IF(OR(NOT(ISNUMBER(F520)),F520&gt;TODAY()),"Date is not a real date or is in the future",IF(AND(C520&lt;&gt;"",COUNTIF('Gate plan'!$A$4:$A$353,C520)=0),"Plan ID not found in Gate plan",IF(AND(C520&lt;&gt;"",COUNTIFS('Gate plan'!$A$4:$A$353,C520,'Gate plan'!$B$4:$B$353,B520)=0),"Plan AIR-ID differs from event",IF(D520="","Gate / forum missing",IF(AND(E520="Precautionary pause (containment)",G520&lt;&gt;"Paused — pending decision"),"Precautionary pause: Outcome must be Paused, pending decision",IF(AND(E520="Precautionary pause (containment)",V520=""),"Precautionary pause: AIG-OPS-03 incident ref missing",IF(AND(E520="Precautionary pause (containment)",NOT(ISNUMBER(W520))),"Precautionary pause: follow-up decision due date missing",IF(AND(G520="Paused — pending decision",E520&lt;&gt;"Precautionary pause (containment)"),"Paused, pending decision is only for a Precautionary pause event",IF(AND(E520="Decision",OR(G520="",H520="",I520="")),"Outcome / delegation / decision ref missing",IF(AND(E520="Decision",NOT(OR(G520="Progress",G520="Progress with condition",G520="Return for evidence",G520="Pause",G520="Stop",G520="Suspend",G520="Decommission",G520="Re-authorise",G520="Resume"))),"Decision event needs a decision outcome",IF(AND(E520="Priority override",OR(H520="",I520="")),"Decision-maker / AIG-DEC-03 ref missing",IF(AND(E520="Priority override",G520&lt;&gt;"",G520&lt;&gt;"No decision"),"Priority override: Outcome blank or No decision",IF(AND(E520&lt;&gt;"Decision",OR(G520="Progress",G520="Progress with condition",G520="Return for evidence",G520="Pause",G520="Stop",G520="Suspend",G520="Decommission",G520="Re-authorise",G520="Resume")),"Outcome implies decision",IF(OR(ISNUMBER(SEARCH(",",O520)),ISNUMBER(SEARCH(";",O520))),"One UC-ID per event row — split this event",IF(AND(E520="Decision",OR(Q520="UC-ID REQUIRED",Q520="Decision scope missing",Q520="REMOVE UC-ID OR CORRECT SCOPE")),"Decision scope missing",IF(AND(G520="Progress with condition",COUNTIF(Conditions!$B$4:$B$553,A520)=0),"Progress with condition needs at least one Conditions row",IF(AND(C520&lt;&gt;"",COUNTIFS('Gate plan'!$A$4:$A$353,C520,'Gate plan'!$C$4:$C$353,D520)=0),"Plan gate differs from event gate",IF(AND(C520&lt;&gt;"",O520&lt;&gt;"",COUNTIFS('Gate plan'!$A$4:$A$353,C520,'Gate plan'!$K$4:$K$353,"&lt;&gt;")&gt;0,COUNTIFS('Gate plan'!$A$4:$A$353,C520,'Gate plan'!$K$4:$K$353,O520)=0),"Plan UC-ID differs from event UC-ID",IF(AND(E520="Assurance opinion",J520=""),"Assurance opinion ref missing",IF(AND(G520="Opinion only",E520&lt;&gt;"Assurance opinion",E520&lt;&gt;"Review only"),"Opinion only is for Assurance opinion or Review only events",IF(AND(G520="No decision",E520&lt;&gt;"Review only",E520&lt;&gt;"Priority override",E520&lt;&gt;"Intake / registration"),"No decision is for Review only, Priority override or Intake / registration events",IF(OR(ISNUMBER(SEARCH(" ",TRIM(O520))),ISNUMBER(SEARCH("/",O520))),"One UC-ID per event row: split this event",IF(AND(E520="Precautionary pause (containment)",ISNUMBER(W520),ISNUMBER(F520),W520&lt;F520),"Follow-up decision due date is before the pause",IF(AND(G520="Resume",IFERROR(LOOKUP(2,1/(($B$3:B519=B520)*($O$3:O519=O520)),$G$3:G519),"")&lt;&gt;"Paused — pending decision"),"Resume is only for the event straight after a Precautionary pause on the same AIR-ID and UC-ID (in an earlier row)",IF(AND(E520="Decision",OR(G520="Progress",G520="Progress with condition",G520="Re-authorise",G520="Resume"),X520&lt;&gt;"Yes"),"Decision-maker has not confirmed the screening was considered (column X)","Check against source")))))))))))))))))))))))))))))</f>
        <v/>
      </c>
      <c r="O520" s="37" t="n"/>
      <c r="P520" s="37" t="n"/>
      <c r="Q520" s="14">
        <f>IF(A520="","",IF(E520&lt;&gt;"Decision","",IF(P520="UC-ID specific",IF(O520="","UC-ID REQUIRED","Check source decision for each UC-ID"),IF(P520="Shared system baseline",IF(O520&lt;&gt;"","REMOVE UC-ID OR CORRECT SCOPE","Baseline only — NOT UC approval"),"Decision scope missing"))))</f>
        <v/>
      </c>
      <c r="R520" s="42" t="n"/>
      <c r="S520" s="38" t="n"/>
      <c r="T520" s="38" t="n"/>
      <c r="U520" s="38" t="n"/>
      <c r="V520" s="38" t="n"/>
      <c r="W520" s="39" t="n"/>
      <c r="X520" s="38" t="n"/>
    </row>
    <row r="521">
      <c r="A521" s="40" t="n"/>
      <c r="B521" s="40" t="n"/>
      <c r="C521" s="40" t="n"/>
      <c r="D521" s="40" t="n"/>
      <c r="E521" s="40" t="n"/>
      <c r="F521" s="41" t="n"/>
      <c r="G521" s="40" t="n"/>
      <c r="H521" s="40" t="n"/>
      <c r="I521" s="40" t="n"/>
      <c r="J521" s="40" t="n"/>
      <c r="K521" s="40" t="n"/>
      <c r="L521" s="40" t="n"/>
      <c r="M521" s="40" t="n"/>
      <c r="N521" s="24">
        <f>IF(COUNTA(A521:M521,O521:P521,R521:X521)=0,"",IF(OR(A521="",B521="",F521=""),"Event ID, AIR-ID or date missing",IF(COUNTIF($A$4:$A$553,A521)&gt;1,"Duplicate Event ID",IF(E521="","Event type missing",IF(OR(NOT(ISNUMBER(F521)),F521&gt;TODAY()),"Date is not a real date or is in the future",IF(AND(C521&lt;&gt;"",COUNTIF('Gate plan'!$A$4:$A$353,C521)=0),"Plan ID not found in Gate plan",IF(AND(C521&lt;&gt;"",COUNTIFS('Gate plan'!$A$4:$A$353,C521,'Gate plan'!$B$4:$B$353,B521)=0),"Plan AIR-ID differs from event",IF(D521="","Gate / forum missing",IF(AND(E521="Precautionary pause (containment)",G521&lt;&gt;"Paused — pending decision"),"Precautionary pause: Outcome must be Paused, pending decision",IF(AND(E521="Precautionary pause (containment)",V521=""),"Precautionary pause: AIG-OPS-03 incident ref missing",IF(AND(E521="Precautionary pause (containment)",NOT(ISNUMBER(W521))),"Precautionary pause: follow-up decision due date missing",IF(AND(G521="Paused — pending decision",E521&lt;&gt;"Precautionary pause (containment)"),"Paused, pending decision is only for a Precautionary pause event",IF(AND(E521="Decision",OR(G521="",H521="",I521="")),"Outcome / delegation / decision ref missing",IF(AND(E521="Decision",NOT(OR(G521="Progress",G521="Progress with condition",G521="Return for evidence",G521="Pause",G521="Stop",G521="Suspend",G521="Decommission",G521="Re-authorise",G521="Resume"))),"Decision event needs a decision outcome",IF(AND(E521="Priority override",OR(H521="",I521="")),"Decision-maker / AIG-DEC-03 ref missing",IF(AND(E521="Priority override",G521&lt;&gt;"",G521&lt;&gt;"No decision"),"Priority override: Outcome blank or No decision",IF(AND(E521&lt;&gt;"Decision",OR(G521="Progress",G521="Progress with condition",G521="Return for evidence",G521="Pause",G521="Stop",G521="Suspend",G521="Decommission",G521="Re-authorise",G521="Resume")),"Outcome implies decision",IF(OR(ISNUMBER(SEARCH(",",O521)),ISNUMBER(SEARCH(";",O521))),"One UC-ID per event row — split this event",IF(AND(E521="Decision",OR(Q521="UC-ID REQUIRED",Q521="Decision scope missing",Q521="REMOVE UC-ID OR CORRECT SCOPE")),"Decision scope missing",IF(AND(G521="Progress with condition",COUNTIF(Conditions!$B$4:$B$553,A521)=0),"Progress with condition needs at least one Conditions row",IF(AND(C521&lt;&gt;"",COUNTIFS('Gate plan'!$A$4:$A$353,C521,'Gate plan'!$C$4:$C$353,D521)=0),"Plan gate differs from event gate",IF(AND(C521&lt;&gt;"",O521&lt;&gt;"",COUNTIFS('Gate plan'!$A$4:$A$353,C521,'Gate plan'!$K$4:$K$353,"&lt;&gt;")&gt;0,COUNTIFS('Gate plan'!$A$4:$A$353,C521,'Gate plan'!$K$4:$K$353,O521)=0),"Plan UC-ID differs from event UC-ID",IF(AND(E521="Assurance opinion",J521=""),"Assurance opinion ref missing",IF(AND(G521="Opinion only",E521&lt;&gt;"Assurance opinion",E521&lt;&gt;"Review only"),"Opinion only is for Assurance opinion or Review only events",IF(AND(G521="No decision",E521&lt;&gt;"Review only",E521&lt;&gt;"Priority override",E521&lt;&gt;"Intake / registration"),"No decision is for Review only, Priority override or Intake / registration events",IF(OR(ISNUMBER(SEARCH(" ",TRIM(O521))),ISNUMBER(SEARCH("/",O521))),"One UC-ID per event row: split this event",IF(AND(E521="Precautionary pause (containment)",ISNUMBER(W521),ISNUMBER(F521),W521&lt;F521),"Follow-up decision due date is before the pause",IF(AND(G521="Resume",IFERROR(LOOKUP(2,1/(($B$3:B520=B521)*($O$3:O520=O521)),$G$3:G520),"")&lt;&gt;"Paused — pending decision"),"Resume is only for the event straight after a Precautionary pause on the same AIR-ID and UC-ID (in an earlier row)",IF(AND(E521="Decision",OR(G521="Progress",G521="Progress with condition",G521="Re-authorise",G521="Resume"),X521&lt;&gt;"Yes"),"Decision-maker has not confirmed the screening was considered (column X)","Check against source")))))))))))))))))))))))))))))</f>
        <v/>
      </c>
      <c r="O521" s="37" t="n"/>
      <c r="P521" s="37" t="n"/>
      <c r="Q521" s="14">
        <f>IF(A521="","",IF(E521&lt;&gt;"Decision","",IF(P521="UC-ID specific",IF(O521="","UC-ID REQUIRED","Check source decision for each UC-ID"),IF(P521="Shared system baseline",IF(O521&lt;&gt;"","REMOVE UC-ID OR CORRECT SCOPE","Baseline only — NOT UC approval"),"Decision scope missing"))))</f>
        <v/>
      </c>
      <c r="R521" s="43" t="n"/>
      <c r="S521" s="40" t="n"/>
      <c r="T521" s="40" t="n"/>
      <c r="U521" s="40" t="n"/>
      <c r="V521" s="40" t="n"/>
      <c r="W521" s="41" t="n"/>
      <c r="X521" s="38" t="n"/>
    </row>
    <row r="522">
      <c r="A522" s="38" t="n"/>
      <c r="B522" s="38" t="n"/>
      <c r="C522" s="38" t="n"/>
      <c r="D522" s="38" t="n"/>
      <c r="E522" s="38" t="n"/>
      <c r="F522" s="39" t="n"/>
      <c r="G522" s="38" t="n"/>
      <c r="H522" s="38" t="n"/>
      <c r="I522" s="38" t="n"/>
      <c r="J522" s="38" t="n"/>
      <c r="K522" s="38" t="n"/>
      <c r="L522" s="38" t="n"/>
      <c r="M522" s="38" t="n"/>
      <c r="N522" s="22">
        <f>IF(COUNTA(A522:M522,O522:P522,R522:X522)=0,"",IF(OR(A522="",B522="",F522=""),"Event ID, AIR-ID or date missing",IF(COUNTIF($A$4:$A$553,A522)&gt;1,"Duplicate Event ID",IF(E522="","Event type missing",IF(OR(NOT(ISNUMBER(F522)),F522&gt;TODAY()),"Date is not a real date or is in the future",IF(AND(C522&lt;&gt;"",COUNTIF('Gate plan'!$A$4:$A$353,C522)=0),"Plan ID not found in Gate plan",IF(AND(C522&lt;&gt;"",COUNTIFS('Gate plan'!$A$4:$A$353,C522,'Gate plan'!$B$4:$B$353,B522)=0),"Plan AIR-ID differs from event",IF(D522="","Gate / forum missing",IF(AND(E522="Precautionary pause (containment)",G522&lt;&gt;"Paused — pending decision"),"Precautionary pause: Outcome must be Paused, pending decision",IF(AND(E522="Precautionary pause (containment)",V522=""),"Precautionary pause: AIG-OPS-03 incident ref missing",IF(AND(E522="Precautionary pause (containment)",NOT(ISNUMBER(W522))),"Precautionary pause: follow-up decision due date missing",IF(AND(G522="Paused — pending decision",E522&lt;&gt;"Precautionary pause (containment)"),"Paused, pending decision is only for a Precautionary pause event",IF(AND(E522="Decision",OR(G522="",H522="",I522="")),"Outcome / delegation / decision ref missing",IF(AND(E522="Decision",NOT(OR(G522="Progress",G522="Progress with condition",G522="Return for evidence",G522="Pause",G522="Stop",G522="Suspend",G522="Decommission",G522="Re-authorise",G522="Resume"))),"Decision event needs a decision outcome",IF(AND(E522="Priority override",OR(H522="",I522="")),"Decision-maker / AIG-DEC-03 ref missing",IF(AND(E522="Priority override",G522&lt;&gt;"",G522&lt;&gt;"No decision"),"Priority override: Outcome blank or No decision",IF(AND(E522&lt;&gt;"Decision",OR(G522="Progress",G522="Progress with condition",G522="Return for evidence",G522="Pause",G522="Stop",G522="Suspend",G522="Decommission",G522="Re-authorise",G522="Resume")),"Outcome implies decision",IF(OR(ISNUMBER(SEARCH(",",O522)),ISNUMBER(SEARCH(";",O522))),"One UC-ID per event row — split this event",IF(AND(E522="Decision",OR(Q522="UC-ID REQUIRED",Q522="Decision scope missing",Q522="REMOVE UC-ID OR CORRECT SCOPE")),"Decision scope missing",IF(AND(G522="Progress with condition",COUNTIF(Conditions!$B$4:$B$553,A522)=0),"Progress with condition needs at least one Conditions row",IF(AND(C522&lt;&gt;"",COUNTIFS('Gate plan'!$A$4:$A$353,C522,'Gate plan'!$C$4:$C$353,D522)=0),"Plan gate differs from event gate",IF(AND(C522&lt;&gt;"",O522&lt;&gt;"",COUNTIFS('Gate plan'!$A$4:$A$353,C522,'Gate plan'!$K$4:$K$353,"&lt;&gt;")&gt;0,COUNTIFS('Gate plan'!$A$4:$A$353,C522,'Gate plan'!$K$4:$K$353,O522)=0),"Plan UC-ID differs from event UC-ID",IF(AND(E522="Assurance opinion",J522=""),"Assurance opinion ref missing",IF(AND(G522="Opinion only",E522&lt;&gt;"Assurance opinion",E522&lt;&gt;"Review only"),"Opinion only is for Assurance opinion or Review only events",IF(AND(G522="No decision",E522&lt;&gt;"Review only",E522&lt;&gt;"Priority override",E522&lt;&gt;"Intake / registration"),"No decision is for Review only, Priority override or Intake / registration events",IF(OR(ISNUMBER(SEARCH(" ",TRIM(O522))),ISNUMBER(SEARCH("/",O522))),"One UC-ID per event row: split this event",IF(AND(E522="Precautionary pause (containment)",ISNUMBER(W522),ISNUMBER(F522),W522&lt;F522),"Follow-up decision due date is before the pause",IF(AND(G522="Resume",IFERROR(LOOKUP(2,1/(($B$3:B521=B522)*($O$3:O521=O522)),$G$3:G521),"")&lt;&gt;"Paused — pending decision"),"Resume is only for the event straight after a Precautionary pause on the same AIR-ID and UC-ID (in an earlier row)",IF(AND(E522="Decision",OR(G522="Progress",G522="Progress with condition",G522="Re-authorise",G522="Resume"),X522&lt;&gt;"Yes"),"Decision-maker has not confirmed the screening was considered (column X)","Check against source")))))))))))))))))))))))))))))</f>
        <v/>
      </c>
      <c r="O522" s="37" t="n"/>
      <c r="P522" s="37" t="n"/>
      <c r="Q522" s="14">
        <f>IF(A522="","",IF(E522&lt;&gt;"Decision","",IF(P522="UC-ID specific",IF(O522="","UC-ID REQUIRED","Check source decision for each UC-ID"),IF(P522="Shared system baseline",IF(O522&lt;&gt;"","REMOVE UC-ID OR CORRECT SCOPE","Baseline only — NOT UC approval"),"Decision scope missing"))))</f>
        <v/>
      </c>
      <c r="R522" s="42" t="n"/>
      <c r="S522" s="38" t="n"/>
      <c r="T522" s="38" t="n"/>
      <c r="U522" s="38" t="n"/>
      <c r="V522" s="38" t="n"/>
      <c r="W522" s="39" t="n"/>
      <c r="X522" s="38" t="n"/>
    </row>
    <row r="523">
      <c r="A523" s="40" t="n"/>
      <c r="B523" s="40" t="n"/>
      <c r="C523" s="40" t="n"/>
      <c r="D523" s="40" t="n"/>
      <c r="E523" s="40" t="n"/>
      <c r="F523" s="41" t="n"/>
      <c r="G523" s="40" t="n"/>
      <c r="H523" s="40" t="n"/>
      <c r="I523" s="40" t="n"/>
      <c r="J523" s="40" t="n"/>
      <c r="K523" s="40" t="n"/>
      <c r="L523" s="40" t="n"/>
      <c r="M523" s="40" t="n"/>
      <c r="N523" s="24">
        <f>IF(COUNTA(A523:M523,O523:P523,R523:X523)=0,"",IF(OR(A523="",B523="",F523=""),"Event ID, AIR-ID or date missing",IF(COUNTIF($A$4:$A$553,A523)&gt;1,"Duplicate Event ID",IF(E523="","Event type missing",IF(OR(NOT(ISNUMBER(F523)),F523&gt;TODAY()),"Date is not a real date or is in the future",IF(AND(C523&lt;&gt;"",COUNTIF('Gate plan'!$A$4:$A$353,C523)=0),"Plan ID not found in Gate plan",IF(AND(C523&lt;&gt;"",COUNTIFS('Gate plan'!$A$4:$A$353,C523,'Gate plan'!$B$4:$B$353,B523)=0),"Plan AIR-ID differs from event",IF(D523="","Gate / forum missing",IF(AND(E523="Precautionary pause (containment)",G523&lt;&gt;"Paused — pending decision"),"Precautionary pause: Outcome must be Paused, pending decision",IF(AND(E523="Precautionary pause (containment)",V523=""),"Precautionary pause: AIG-OPS-03 incident ref missing",IF(AND(E523="Precautionary pause (containment)",NOT(ISNUMBER(W523))),"Precautionary pause: follow-up decision due date missing",IF(AND(G523="Paused — pending decision",E523&lt;&gt;"Precautionary pause (containment)"),"Paused, pending decision is only for a Precautionary pause event",IF(AND(E523="Decision",OR(G523="",H523="",I523="")),"Outcome / delegation / decision ref missing",IF(AND(E523="Decision",NOT(OR(G523="Progress",G523="Progress with condition",G523="Return for evidence",G523="Pause",G523="Stop",G523="Suspend",G523="Decommission",G523="Re-authorise",G523="Resume"))),"Decision event needs a decision outcome",IF(AND(E523="Priority override",OR(H523="",I523="")),"Decision-maker / AIG-DEC-03 ref missing",IF(AND(E523="Priority override",G523&lt;&gt;"",G523&lt;&gt;"No decision"),"Priority override: Outcome blank or No decision",IF(AND(E523&lt;&gt;"Decision",OR(G523="Progress",G523="Progress with condition",G523="Return for evidence",G523="Pause",G523="Stop",G523="Suspend",G523="Decommission",G523="Re-authorise",G523="Resume")),"Outcome implies decision",IF(OR(ISNUMBER(SEARCH(",",O523)),ISNUMBER(SEARCH(";",O523))),"One UC-ID per event row — split this event",IF(AND(E523="Decision",OR(Q523="UC-ID REQUIRED",Q523="Decision scope missing",Q523="REMOVE UC-ID OR CORRECT SCOPE")),"Decision scope missing",IF(AND(G523="Progress with condition",COUNTIF(Conditions!$B$4:$B$553,A523)=0),"Progress with condition needs at least one Conditions row",IF(AND(C523&lt;&gt;"",COUNTIFS('Gate plan'!$A$4:$A$353,C523,'Gate plan'!$C$4:$C$353,D523)=0),"Plan gate differs from event gate",IF(AND(C523&lt;&gt;"",O523&lt;&gt;"",COUNTIFS('Gate plan'!$A$4:$A$353,C523,'Gate plan'!$K$4:$K$353,"&lt;&gt;")&gt;0,COUNTIFS('Gate plan'!$A$4:$A$353,C523,'Gate plan'!$K$4:$K$353,O523)=0),"Plan UC-ID differs from event UC-ID",IF(AND(E523="Assurance opinion",J523=""),"Assurance opinion ref missing",IF(AND(G523="Opinion only",E523&lt;&gt;"Assurance opinion",E523&lt;&gt;"Review only"),"Opinion only is for Assurance opinion or Review only events",IF(AND(G523="No decision",E523&lt;&gt;"Review only",E523&lt;&gt;"Priority override",E523&lt;&gt;"Intake / registration"),"No decision is for Review only, Priority override or Intake / registration events",IF(OR(ISNUMBER(SEARCH(" ",TRIM(O523))),ISNUMBER(SEARCH("/",O523))),"One UC-ID per event row: split this event",IF(AND(E523="Precautionary pause (containment)",ISNUMBER(W523),ISNUMBER(F523),W523&lt;F523),"Follow-up decision due date is before the pause",IF(AND(G523="Resume",IFERROR(LOOKUP(2,1/(($B$3:B522=B523)*($O$3:O522=O523)),$G$3:G522),"")&lt;&gt;"Paused — pending decision"),"Resume is only for the event straight after a Precautionary pause on the same AIR-ID and UC-ID (in an earlier row)",IF(AND(E523="Decision",OR(G523="Progress",G523="Progress with condition",G523="Re-authorise",G523="Resume"),X523&lt;&gt;"Yes"),"Decision-maker has not confirmed the screening was considered (column X)","Check against source")))))))))))))))))))))))))))))</f>
        <v/>
      </c>
      <c r="O523" s="37" t="n"/>
      <c r="P523" s="37" t="n"/>
      <c r="Q523" s="14">
        <f>IF(A523="","",IF(E523&lt;&gt;"Decision","",IF(P523="UC-ID specific",IF(O523="","UC-ID REQUIRED","Check source decision for each UC-ID"),IF(P523="Shared system baseline",IF(O523&lt;&gt;"","REMOVE UC-ID OR CORRECT SCOPE","Baseline only — NOT UC approval"),"Decision scope missing"))))</f>
        <v/>
      </c>
      <c r="R523" s="43" t="n"/>
      <c r="S523" s="40" t="n"/>
      <c r="T523" s="40" t="n"/>
      <c r="U523" s="40" t="n"/>
      <c r="V523" s="40" t="n"/>
      <c r="W523" s="41" t="n"/>
      <c r="X523" s="38" t="n"/>
    </row>
    <row r="524">
      <c r="A524" s="38" t="n"/>
      <c r="B524" s="38" t="n"/>
      <c r="C524" s="38" t="n"/>
      <c r="D524" s="38" t="n"/>
      <c r="E524" s="38" t="n"/>
      <c r="F524" s="39" t="n"/>
      <c r="G524" s="38" t="n"/>
      <c r="H524" s="38" t="n"/>
      <c r="I524" s="38" t="n"/>
      <c r="J524" s="38" t="n"/>
      <c r="K524" s="38" t="n"/>
      <c r="L524" s="38" t="n"/>
      <c r="M524" s="38" t="n"/>
      <c r="N524" s="22">
        <f>IF(COUNTA(A524:M524,O524:P524,R524:X524)=0,"",IF(OR(A524="",B524="",F524=""),"Event ID, AIR-ID or date missing",IF(COUNTIF($A$4:$A$553,A524)&gt;1,"Duplicate Event ID",IF(E524="","Event type missing",IF(OR(NOT(ISNUMBER(F524)),F524&gt;TODAY()),"Date is not a real date or is in the future",IF(AND(C524&lt;&gt;"",COUNTIF('Gate plan'!$A$4:$A$353,C524)=0),"Plan ID not found in Gate plan",IF(AND(C524&lt;&gt;"",COUNTIFS('Gate plan'!$A$4:$A$353,C524,'Gate plan'!$B$4:$B$353,B524)=0),"Plan AIR-ID differs from event",IF(D524="","Gate / forum missing",IF(AND(E524="Precautionary pause (containment)",G524&lt;&gt;"Paused — pending decision"),"Precautionary pause: Outcome must be Paused, pending decision",IF(AND(E524="Precautionary pause (containment)",V524=""),"Precautionary pause: AIG-OPS-03 incident ref missing",IF(AND(E524="Precautionary pause (containment)",NOT(ISNUMBER(W524))),"Precautionary pause: follow-up decision due date missing",IF(AND(G524="Paused — pending decision",E524&lt;&gt;"Precautionary pause (containment)"),"Paused, pending decision is only for a Precautionary pause event",IF(AND(E524="Decision",OR(G524="",H524="",I524="")),"Outcome / delegation / decision ref missing",IF(AND(E524="Decision",NOT(OR(G524="Progress",G524="Progress with condition",G524="Return for evidence",G524="Pause",G524="Stop",G524="Suspend",G524="Decommission",G524="Re-authorise",G524="Resume"))),"Decision event needs a decision outcome",IF(AND(E524="Priority override",OR(H524="",I524="")),"Decision-maker / AIG-DEC-03 ref missing",IF(AND(E524="Priority override",G524&lt;&gt;"",G524&lt;&gt;"No decision"),"Priority override: Outcome blank or No decision",IF(AND(E524&lt;&gt;"Decision",OR(G524="Progress",G524="Progress with condition",G524="Return for evidence",G524="Pause",G524="Stop",G524="Suspend",G524="Decommission",G524="Re-authorise",G524="Resume")),"Outcome implies decision",IF(OR(ISNUMBER(SEARCH(",",O524)),ISNUMBER(SEARCH(";",O524))),"One UC-ID per event row — split this event",IF(AND(E524="Decision",OR(Q524="UC-ID REQUIRED",Q524="Decision scope missing",Q524="REMOVE UC-ID OR CORRECT SCOPE")),"Decision scope missing",IF(AND(G524="Progress with condition",COUNTIF(Conditions!$B$4:$B$553,A524)=0),"Progress with condition needs at least one Conditions row",IF(AND(C524&lt;&gt;"",COUNTIFS('Gate plan'!$A$4:$A$353,C524,'Gate plan'!$C$4:$C$353,D524)=0),"Plan gate differs from event gate",IF(AND(C524&lt;&gt;"",O524&lt;&gt;"",COUNTIFS('Gate plan'!$A$4:$A$353,C524,'Gate plan'!$K$4:$K$353,"&lt;&gt;")&gt;0,COUNTIFS('Gate plan'!$A$4:$A$353,C524,'Gate plan'!$K$4:$K$353,O524)=0),"Plan UC-ID differs from event UC-ID",IF(AND(E524="Assurance opinion",J524=""),"Assurance opinion ref missing",IF(AND(G524="Opinion only",E524&lt;&gt;"Assurance opinion",E524&lt;&gt;"Review only"),"Opinion only is for Assurance opinion or Review only events",IF(AND(G524="No decision",E524&lt;&gt;"Review only",E524&lt;&gt;"Priority override",E524&lt;&gt;"Intake / registration"),"No decision is for Review only, Priority override or Intake / registration events",IF(OR(ISNUMBER(SEARCH(" ",TRIM(O524))),ISNUMBER(SEARCH("/",O524))),"One UC-ID per event row: split this event",IF(AND(E524="Precautionary pause (containment)",ISNUMBER(W524),ISNUMBER(F524),W524&lt;F524),"Follow-up decision due date is before the pause",IF(AND(G524="Resume",IFERROR(LOOKUP(2,1/(($B$3:B523=B524)*($O$3:O523=O524)),$G$3:G523),"")&lt;&gt;"Paused — pending decision"),"Resume is only for the event straight after a Precautionary pause on the same AIR-ID and UC-ID (in an earlier row)",IF(AND(E524="Decision",OR(G524="Progress",G524="Progress with condition",G524="Re-authorise",G524="Resume"),X524&lt;&gt;"Yes"),"Decision-maker has not confirmed the screening was considered (column X)","Check against source")))))))))))))))))))))))))))))</f>
        <v/>
      </c>
      <c r="O524" s="37" t="n"/>
      <c r="P524" s="37" t="n"/>
      <c r="Q524" s="14">
        <f>IF(A524="","",IF(E524&lt;&gt;"Decision","",IF(P524="UC-ID specific",IF(O524="","UC-ID REQUIRED","Check source decision for each UC-ID"),IF(P524="Shared system baseline",IF(O524&lt;&gt;"","REMOVE UC-ID OR CORRECT SCOPE","Baseline only — NOT UC approval"),"Decision scope missing"))))</f>
        <v/>
      </c>
      <c r="R524" s="42" t="n"/>
      <c r="S524" s="38" t="n"/>
      <c r="T524" s="38" t="n"/>
      <c r="U524" s="38" t="n"/>
      <c r="V524" s="38" t="n"/>
      <c r="W524" s="39" t="n"/>
      <c r="X524" s="38" t="n"/>
    </row>
    <row r="525">
      <c r="A525" s="40" t="n"/>
      <c r="B525" s="40" t="n"/>
      <c r="C525" s="40" t="n"/>
      <c r="D525" s="40" t="n"/>
      <c r="E525" s="40" t="n"/>
      <c r="F525" s="41" t="n"/>
      <c r="G525" s="40" t="n"/>
      <c r="H525" s="40" t="n"/>
      <c r="I525" s="40" t="n"/>
      <c r="J525" s="40" t="n"/>
      <c r="K525" s="40" t="n"/>
      <c r="L525" s="40" t="n"/>
      <c r="M525" s="40" t="n"/>
      <c r="N525" s="24">
        <f>IF(COUNTA(A525:M525,O525:P525,R525:X525)=0,"",IF(OR(A525="",B525="",F525=""),"Event ID, AIR-ID or date missing",IF(COUNTIF($A$4:$A$553,A525)&gt;1,"Duplicate Event ID",IF(E525="","Event type missing",IF(OR(NOT(ISNUMBER(F525)),F525&gt;TODAY()),"Date is not a real date or is in the future",IF(AND(C525&lt;&gt;"",COUNTIF('Gate plan'!$A$4:$A$353,C525)=0),"Plan ID not found in Gate plan",IF(AND(C525&lt;&gt;"",COUNTIFS('Gate plan'!$A$4:$A$353,C525,'Gate plan'!$B$4:$B$353,B525)=0),"Plan AIR-ID differs from event",IF(D525="","Gate / forum missing",IF(AND(E525="Precautionary pause (containment)",G525&lt;&gt;"Paused — pending decision"),"Precautionary pause: Outcome must be Paused, pending decision",IF(AND(E525="Precautionary pause (containment)",V525=""),"Precautionary pause: AIG-OPS-03 incident ref missing",IF(AND(E525="Precautionary pause (containment)",NOT(ISNUMBER(W525))),"Precautionary pause: follow-up decision due date missing",IF(AND(G525="Paused — pending decision",E525&lt;&gt;"Precautionary pause (containment)"),"Paused, pending decision is only for a Precautionary pause event",IF(AND(E525="Decision",OR(G525="",H525="",I525="")),"Outcome / delegation / decision ref missing",IF(AND(E525="Decision",NOT(OR(G525="Progress",G525="Progress with condition",G525="Return for evidence",G525="Pause",G525="Stop",G525="Suspend",G525="Decommission",G525="Re-authorise",G525="Resume"))),"Decision event needs a decision outcome",IF(AND(E525="Priority override",OR(H525="",I525="")),"Decision-maker / AIG-DEC-03 ref missing",IF(AND(E525="Priority override",G525&lt;&gt;"",G525&lt;&gt;"No decision"),"Priority override: Outcome blank or No decision",IF(AND(E525&lt;&gt;"Decision",OR(G525="Progress",G525="Progress with condition",G525="Return for evidence",G525="Pause",G525="Stop",G525="Suspend",G525="Decommission",G525="Re-authorise",G525="Resume")),"Outcome implies decision",IF(OR(ISNUMBER(SEARCH(",",O525)),ISNUMBER(SEARCH(";",O525))),"One UC-ID per event row — split this event",IF(AND(E525="Decision",OR(Q525="UC-ID REQUIRED",Q525="Decision scope missing",Q525="REMOVE UC-ID OR CORRECT SCOPE")),"Decision scope missing",IF(AND(G525="Progress with condition",COUNTIF(Conditions!$B$4:$B$553,A525)=0),"Progress with condition needs at least one Conditions row",IF(AND(C525&lt;&gt;"",COUNTIFS('Gate plan'!$A$4:$A$353,C525,'Gate plan'!$C$4:$C$353,D525)=0),"Plan gate differs from event gate",IF(AND(C525&lt;&gt;"",O525&lt;&gt;"",COUNTIFS('Gate plan'!$A$4:$A$353,C525,'Gate plan'!$K$4:$K$353,"&lt;&gt;")&gt;0,COUNTIFS('Gate plan'!$A$4:$A$353,C525,'Gate plan'!$K$4:$K$353,O525)=0),"Plan UC-ID differs from event UC-ID",IF(AND(E525="Assurance opinion",J525=""),"Assurance opinion ref missing",IF(AND(G525="Opinion only",E525&lt;&gt;"Assurance opinion",E525&lt;&gt;"Review only"),"Opinion only is for Assurance opinion or Review only events",IF(AND(G525="No decision",E525&lt;&gt;"Review only",E525&lt;&gt;"Priority override",E525&lt;&gt;"Intake / registration"),"No decision is for Review only, Priority override or Intake / registration events",IF(OR(ISNUMBER(SEARCH(" ",TRIM(O525))),ISNUMBER(SEARCH("/",O525))),"One UC-ID per event row: split this event",IF(AND(E525="Precautionary pause (containment)",ISNUMBER(W525),ISNUMBER(F525),W525&lt;F525),"Follow-up decision due date is before the pause",IF(AND(G525="Resume",IFERROR(LOOKUP(2,1/(($B$3:B524=B525)*($O$3:O524=O525)),$G$3:G524),"")&lt;&gt;"Paused — pending decision"),"Resume is only for the event straight after a Precautionary pause on the same AIR-ID and UC-ID (in an earlier row)",IF(AND(E525="Decision",OR(G525="Progress",G525="Progress with condition",G525="Re-authorise",G525="Resume"),X525&lt;&gt;"Yes"),"Decision-maker has not confirmed the screening was considered (column X)","Check against source")))))))))))))))))))))))))))))</f>
        <v/>
      </c>
      <c r="O525" s="37" t="n"/>
      <c r="P525" s="37" t="n"/>
      <c r="Q525" s="14">
        <f>IF(A525="","",IF(E525&lt;&gt;"Decision","",IF(P525="UC-ID specific",IF(O525="","UC-ID REQUIRED","Check source decision for each UC-ID"),IF(P525="Shared system baseline",IF(O525&lt;&gt;"","REMOVE UC-ID OR CORRECT SCOPE","Baseline only — NOT UC approval"),"Decision scope missing"))))</f>
        <v/>
      </c>
      <c r="R525" s="43" t="n"/>
      <c r="S525" s="40" t="n"/>
      <c r="T525" s="40" t="n"/>
      <c r="U525" s="40" t="n"/>
      <c r="V525" s="40" t="n"/>
      <c r="W525" s="41" t="n"/>
      <c r="X525" s="38" t="n"/>
    </row>
    <row r="526">
      <c r="A526" s="38" t="n"/>
      <c r="B526" s="38" t="n"/>
      <c r="C526" s="38" t="n"/>
      <c r="D526" s="38" t="n"/>
      <c r="E526" s="38" t="n"/>
      <c r="F526" s="39" t="n"/>
      <c r="G526" s="38" t="n"/>
      <c r="H526" s="38" t="n"/>
      <c r="I526" s="38" t="n"/>
      <c r="J526" s="38" t="n"/>
      <c r="K526" s="38" t="n"/>
      <c r="L526" s="38" t="n"/>
      <c r="M526" s="38" t="n"/>
      <c r="N526" s="22">
        <f>IF(COUNTA(A526:M526,O526:P526,R526:X526)=0,"",IF(OR(A526="",B526="",F526=""),"Event ID, AIR-ID or date missing",IF(COUNTIF($A$4:$A$553,A526)&gt;1,"Duplicate Event ID",IF(E526="","Event type missing",IF(OR(NOT(ISNUMBER(F526)),F526&gt;TODAY()),"Date is not a real date or is in the future",IF(AND(C526&lt;&gt;"",COUNTIF('Gate plan'!$A$4:$A$353,C526)=0),"Plan ID not found in Gate plan",IF(AND(C526&lt;&gt;"",COUNTIFS('Gate plan'!$A$4:$A$353,C526,'Gate plan'!$B$4:$B$353,B526)=0),"Plan AIR-ID differs from event",IF(D526="","Gate / forum missing",IF(AND(E526="Precautionary pause (containment)",G526&lt;&gt;"Paused — pending decision"),"Precautionary pause: Outcome must be Paused, pending decision",IF(AND(E526="Precautionary pause (containment)",V526=""),"Precautionary pause: AIG-OPS-03 incident ref missing",IF(AND(E526="Precautionary pause (containment)",NOT(ISNUMBER(W526))),"Precautionary pause: follow-up decision due date missing",IF(AND(G526="Paused — pending decision",E526&lt;&gt;"Precautionary pause (containment)"),"Paused, pending decision is only for a Precautionary pause event",IF(AND(E526="Decision",OR(G526="",H526="",I526="")),"Outcome / delegation / decision ref missing",IF(AND(E526="Decision",NOT(OR(G526="Progress",G526="Progress with condition",G526="Return for evidence",G526="Pause",G526="Stop",G526="Suspend",G526="Decommission",G526="Re-authorise",G526="Resume"))),"Decision event needs a decision outcome",IF(AND(E526="Priority override",OR(H526="",I526="")),"Decision-maker / AIG-DEC-03 ref missing",IF(AND(E526="Priority override",G526&lt;&gt;"",G526&lt;&gt;"No decision"),"Priority override: Outcome blank or No decision",IF(AND(E526&lt;&gt;"Decision",OR(G526="Progress",G526="Progress with condition",G526="Return for evidence",G526="Pause",G526="Stop",G526="Suspend",G526="Decommission",G526="Re-authorise",G526="Resume")),"Outcome implies decision",IF(OR(ISNUMBER(SEARCH(",",O526)),ISNUMBER(SEARCH(";",O526))),"One UC-ID per event row — split this event",IF(AND(E526="Decision",OR(Q526="UC-ID REQUIRED",Q526="Decision scope missing",Q526="REMOVE UC-ID OR CORRECT SCOPE")),"Decision scope missing",IF(AND(G526="Progress with condition",COUNTIF(Conditions!$B$4:$B$553,A526)=0),"Progress with condition needs at least one Conditions row",IF(AND(C526&lt;&gt;"",COUNTIFS('Gate plan'!$A$4:$A$353,C526,'Gate plan'!$C$4:$C$353,D526)=0),"Plan gate differs from event gate",IF(AND(C526&lt;&gt;"",O526&lt;&gt;"",COUNTIFS('Gate plan'!$A$4:$A$353,C526,'Gate plan'!$K$4:$K$353,"&lt;&gt;")&gt;0,COUNTIFS('Gate plan'!$A$4:$A$353,C526,'Gate plan'!$K$4:$K$353,O526)=0),"Plan UC-ID differs from event UC-ID",IF(AND(E526="Assurance opinion",J526=""),"Assurance opinion ref missing",IF(AND(G526="Opinion only",E526&lt;&gt;"Assurance opinion",E526&lt;&gt;"Review only"),"Opinion only is for Assurance opinion or Review only events",IF(AND(G526="No decision",E526&lt;&gt;"Review only",E526&lt;&gt;"Priority override",E526&lt;&gt;"Intake / registration"),"No decision is for Review only, Priority override or Intake / registration events",IF(OR(ISNUMBER(SEARCH(" ",TRIM(O526))),ISNUMBER(SEARCH("/",O526))),"One UC-ID per event row: split this event",IF(AND(E526="Precautionary pause (containment)",ISNUMBER(W526),ISNUMBER(F526),W526&lt;F526),"Follow-up decision due date is before the pause",IF(AND(G526="Resume",IFERROR(LOOKUP(2,1/(($B$3:B525=B526)*($O$3:O525=O526)),$G$3:G525),"")&lt;&gt;"Paused — pending decision"),"Resume is only for the event straight after a Precautionary pause on the same AIR-ID and UC-ID (in an earlier row)",IF(AND(E526="Decision",OR(G526="Progress",G526="Progress with condition",G526="Re-authorise",G526="Resume"),X526&lt;&gt;"Yes"),"Decision-maker has not confirmed the screening was considered (column X)","Check against source")))))))))))))))))))))))))))))</f>
        <v/>
      </c>
      <c r="O526" s="37" t="n"/>
      <c r="P526" s="37" t="n"/>
      <c r="Q526" s="14">
        <f>IF(A526="","",IF(E526&lt;&gt;"Decision","",IF(P526="UC-ID specific",IF(O526="","UC-ID REQUIRED","Check source decision for each UC-ID"),IF(P526="Shared system baseline",IF(O526&lt;&gt;"","REMOVE UC-ID OR CORRECT SCOPE","Baseline only — NOT UC approval"),"Decision scope missing"))))</f>
        <v/>
      </c>
      <c r="R526" s="42" t="n"/>
      <c r="S526" s="38" t="n"/>
      <c r="T526" s="38" t="n"/>
      <c r="U526" s="38" t="n"/>
      <c r="V526" s="38" t="n"/>
      <c r="W526" s="39" t="n"/>
      <c r="X526" s="38" t="n"/>
    </row>
    <row r="527">
      <c r="A527" s="40" t="n"/>
      <c r="B527" s="40" t="n"/>
      <c r="C527" s="40" t="n"/>
      <c r="D527" s="40" t="n"/>
      <c r="E527" s="40" t="n"/>
      <c r="F527" s="41" t="n"/>
      <c r="G527" s="40" t="n"/>
      <c r="H527" s="40" t="n"/>
      <c r="I527" s="40" t="n"/>
      <c r="J527" s="40" t="n"/>
      <c r="K527" s="40" t="n"/>
      <c r="L527" s="40" t="n"/>
      <c r="M527" s="40" t="n"/>
      <c r="N527" s="24">
        <f>IF(COUNTA(A527:M527,O527:P527,R527:X527)=0,"",IF(OR(A527="",B527="",F527=""),"Event ID, AIR-ID or date missing",IF(COUNTIF($A$4:$A$553,A527)&gt;1,"Duplicate Event ID",IF(E527="","Event type missing",IF(OR(NOT(ISNUMBER(F527)),F527&gt;TODAY()),"Date is not a real date or is in the future",IF(AND(C527&lt;&gt;"",COUNTIF('Gate plan'!$A$4:$A$353,C527)=0),"Plan ID not found in Gate plan",IF(AND(C527&lt;&gt;"",COUNTIFS('Gate plan'!$A$4:$A$353,C527,'Gate plan'!$B$4:$B$353,B527)=0),"Plan AIR-ID differs from event",IF(D527="","Gate / forum missing",IF(AND(E527="Precautionary pause (containment)",G527&lt;&gt;"Paused — pending decision"),"Precautionary pause: Outcome must be Paused, pending decision",IF(AND(E527="Precautionary pause (containment)",V527=""),"Precautionary pause: AIG-OPS-03 incident ref missing",IF(AND(E527="Precautionary pause (containment)",NOT(ISNUMBER(W527))),"Precautionary pause: follow-up decision due date missing",IF(AND(G527="Paused — pending decision",E527&lt;&gt;"Precautionary pause (containment)"),"Paused, pending decision is only for a Precautionary pause event",IF(AND(E527="Decision",OR(G527="",H527="",I527="")),"Outcome / delegation / decision ref missing",IF(AND(E527="Decision",NOT(OR(G527="Progress",G527="Progress with condition",G527="Return for evidence",G527="Pause",G527="Stop",G527="Suspend",G527="Decommission",G527="Re-authorise",G527="Resume"))),"Decision event needs a decision outcome",IF(AND(E527="Priority override",OR(H527="",I527="")),"Decision-maker / AIG-DEC-03 ref missing",IF(AND(E527="Priority override",G527&lt;&gt;"",G527&lt;&gt;"No decision"),"Priority override: Outcome blank or No decision",IF(AND(E527&lt;&gt;"Decision",OR(G527="Progress",G527="Progress with condition",G527="Return for evidence",G527="Pause",G527="Stop",G527="Suspend",G527="Decommission",G527="Re-authorise",G527="Resume")),"Outcome implies decision",IF(OR(ISNUMBER(SEARCH(",",O527)),ISNUMBER(SEARCH(";",O527))),"One UC-ID per event row — split this event",IF(AND(E527="Decision",OR(Q527="UC-ID REQUIRED",Q527="Decision scope missing",Q527="REMOVE UC-ID OR CORRECT SCOPE")),"Decision scope missing",IF(AND(G527="Progress with condition",COUNTIF(Conditions!$B$4:$B$553,A527)=0),"Progress with condition needs at least one Conditions row",IF(AND(C527&lt;&gt;"",COUNTIFS('Gate plan'!$A$4:$A$353,C527,'Gate plan'!$C$4:$C$353,D527)=0),"Plan gate differs from event gate",IF(AND(C527&lt;&gt;"",O527&lt;&gt;"",COUNTIFS('Gate plan'!$A$4:$A$353,C527,'Gate plan'!$K$4:$K$353,"&lt;&gt;")&gt;0,COUNTIFS('Gate plan'!$A$4:$A$353,C527,'Gate plan'!$K$4:$K$353,O527)=0),"Plan UC-ID differs from event UC-ID",IF(AND(E527="Assurance opinion",J527=""),"Assurance opinion ref missing",IF(AND(G527="Opinion only",E527&lt;&gt;"Assurance opinion",E527&lt;&gt;"Review only"),"Opinion only is for Assurance opinion or Review only events",IF(AND(G527="No decision",E527&lt;&gt;"Review only",E527&lt;&gt;"Priority override",E527&lt;&gt;"Intake / registration"),"No decision is for Review only, Priority override or Intake / registration events",IF(OR(ISNUMBER(SEARCH(" ",TRIM(O527))),ISNUMBER(SEARCH("/",O527))),"One UC-ID per event row: split this event",IF(AND(E527="Precautionary pause (containment)",ISNUMBER(W527),ISNUMBER(F527),W527&lt;F527),"Follow-up decision due date is before the pause",IF(AND(G527="Resume",IFERROR(LOOKUP(2,1/(($B$3:B526=B527)*($O$3:O526=O527)),$G$3:G526),"")&lt;&gt;"Paused — pending decision"),"Resume is only for the event straight after a Precautionary pause on the same AIR-ID and UC-ID (in an earlier row)",IF(AND(E527="Decision",OR(G527="Progress",G527="Progress with condition",G527="Re-authorise",G527="Resume"),X527&lt;&gt;"Yes"),"Decision-maker has not confirmed the screening was considered (column X)","Check against source")))))))))))))))))))))))))))))</f>
        <v/>
      </c>
      <c r="O527" s="37" t="n"/>
      <c r="P527" s="37" t="n"/>
      <c r="Q527" s="14">
        <f>IF(A527="","",IF(E527&lt;&gt;"Decision","",IF(P527="UC-ID specific",IF(O527="","UC-ID REQUIRED","Check source decision for each UC-ID"),IF(P527="Shared system baseline",IF(O527&lt;&gt;"","REMOVE UC-ID OR CORRECT SCOPE","Baseline only — NOT UC approval"),"Decision scope missing"))))</f>
        <v/>
      </c>
      <c r="R527" s="43" t="n"/>
      <c r="S527" s="40" t="n"/>
      <c r="T527" s="40" t="n"/>
      <c r="U527" s="40" t="n"/>
      <c r="V527" s="40" t="n"/>
      <c r="W527" s="41" t="n"/>
      <c r="X527" s="38" t="n"/>
    </row>
    <row r="528">
      <c r="A528" s="38" t="n"/>
      <c r="B528" s="38" t="n"/>
      <c r="C528" s="38" t="n"/>
      <c r="D528" s="38" t="n"/>
      <c r="E528" s="38" t="n"/>
      <c r="F528" s="39" t="n"/>
      <c r="G528" s="38" t="n"/>
      <c r="H528" s="38" t="n"/>
      <c r="I528" s="38" t="n"/>
      <c r="J528" s="38" t="n"/>
      <c r="K528" s="38" t="n"/>
      <c r="L528" s="38" t="n"/>
      <c r="M528" s="38" t="n"/>
      <c r="N528" s="22">
        <f>IF(COUNTA(A528:M528,O528:P528,R528:X528)=0,"",IF(OR(A528="",B528="",F528=""),"Event ID, AIR-ID or date missing",IF(COUNTIF($A$4:$A$553,A528)&gt;1,"Duplicate Event ID",IF(E528="","Event type missing",IF(OR(NOT(ISNUMBER(F528)),F528&gt;TODAY()),"Date is not a real date or is in the future",IF(AND(C528&lt;&gt;"",COUNTIF('Gate plan'!$A$4:$A$353,C528)=0),"Plan ID not found in Gate plan",IF(AND(C528&lt;&gt;"",COUNTIFS('Gate plan'!$A$4:$A$353,C528,'Gate plan'!$B$4:$B$353,B528)=0),"Plan AIR-ID differs from event",IF(D528="","Gate / forum missing",IF(AND(E528="Precautionary pause (containment)",G528&lt;&gt;"Paused — pending decision"),"Precautionary pause: Outcome must be Paused, pending decision",IF(AND(E528="Precautionary pause (containment)",V528=""),"Precautionary pause: AIG-OPS-03 incident ref missing",IF(AND(E528="Precautionary pause (containment)",NOT(ISNUMBER(W528))),"Precautionary pause: follow-up decision due date missing",IF(AND(G528="Paused — pending decision",E528&lt;&gt;"Precautionary pause (containment)"),"Paused, pending decision is only for a Precautionary pause event",IF(AND(E528="Decision",OR(G528="",H528="",I528="")),"Outcome / delegation / decision ref missing",IF(AND(E528="Decision",NOT(OR(G528="Progress",G528="Progress with condition",G528="Return for evidence",G528="Pause",G528="Stop",G528="Suspend",G528="Decommission",G528="Re-authorise",G528="Resume"))),"Decision event needs a decision outcome",IF(AND(E528="Priority override",OR(H528="",I528="")),"Decision-maker / AIG-DEC-03 ref missing",IF(AND(E528="Priority override",G528&lt;&gt;"",G528&lt;&gt;"No decision"),"Priority override: Outcome blank or No decision",IF(AND(E528&lt;&gt;"Decision",OR(G528="Progress",G528="Progress with condition",G528="Return for evidence",G528="Pause",G528="Stop",G528="Suspend",G528="Decommission",G528="Re-authorise",G528="Resume")),"Outcome implies decision",IF(OR(ISNUMBER(SEARCH(",",O528)),ISNUMBER(SEARCH(";",O528))),"One UC-ID per event row — split this event",IF(AND(E528="Decision",OR(Q528="UC-ID REQUIRED",Q528="Decision scope missing",Q528="REMOVE UC-ID OR CORRECT SCOPE")),"Decision scope missing",IF(AND(G528="Progress with condition",COUNTIF(Conditions!$B$4:$B$553,A528)=0),"Progress with condition needs at least one Conditions row",IF(AND(C528&lt;&gt;"",COUNTIFS('Gate plan'!$A$4:$A$353,C528,'Gate plan'!$C$4:$C$353,D528)=0),"Plan gate differs from event gate",IF(AND(C528&lt;&gt;"",O528&lt;&gt;"",COUNTIFS('Gate plan'!$A$4:$A$353,C528,'Gate plan'!$K$4:$K$353,"&lt;&gt;")&gt;0,COUNTIFS('Gate plan'!$A$4:$A$353,C528,'Gate plan'!$K$4:$K$353,O528)=0),"Plan UC-ID differs from event UC-ID",IF(AND(E528="Assurance opinion",J528=""),"Assurance opinion ref missing",IF(AND(G528="Opinion only",E528&lt;&gt;"Assurance opinion",E528&lt;&gt;"Review only"),"Opinion only is for Assurance opinion or Review only events",IF(AND(G528="No decision",E528&lt;&gt;"Review only",E528&lt;&gt;"Priority override",E528&lt;&gt;"Intake / registration"),"No decision is for Review only, Priority override or Intake / registration events",IF(OR(ISNUMBER(SEARCH(" ",TRIM(O528))),ISNUMBER(SEARCH("/",O528))),"One UC-ID per event row: split this event",IF(AND(E528="Precautionary pause (containment)",ISNUMBER(W528),ISNUMBER(F528),W528&lt;F528),"Follow-up decision due date is before the pause",IF(AND(G528="Resume",IFERROR(LOOKUP(2,1/(($B$3:B527=B528)*($O$3:O527=O528)),$G$3:G527),"")&lt;&gt;"Paused — pending decision"),"Resume is only for the event straight after a Precautionary pause on the same AIR-ID and UC-ID (in an earlier row)",IF(AND(E528="Decision",OR(G528="Progress",G528="Progress with condition",G528="Re-authorise",G528="Resume"),X528&lt;&gt;"Yes"),"Decision-maker has not confirmed the screening was considered (column X)","Check against source")))))))))))))))))))))))))))))</f>
        <v/>
      </c>
      <c r="O528" s="37" t="n"/>
      <c r="P528" s="37" t="n"/>
      <c r="Q528" s="14">
        <f>IF(A528="","",IF(E528&lt;&gt;"Decision","",IF(P528="UC-ID specific",IF(O528="","UC-ID REQUIRED","Check source decision for each UC-ID"),IF(P528="Shared system baseline",IF(O528&lt;&gt;"","REMOVE UC-ID OR CORRECT SCOPE","Baseline only — NOT UC approval"),"Decision scope missing"))))</f>
        <v/>
      </c>
      <c r="R528" s="42" t="n"/>
      <c r="S528" s="38" t="n"/>
      <c r="T528" s="38" t="n"/>
      <c r="U528" s="38" t="n"/>
      <c r="V528" s="38" t="n"/>
      <c r="W528" s="39" t="n"/>
      <c r="X528" s="38" t="n"/>
    </row>
    <row r="529">
      <c r="A529" s="40" t="n"/>
      <c r="B529" s="40" t="n"/>
      <c r="C529" s="40" t="n"/>
      <c r="D529" s="40" t="n"/>
      <c r="E529" s="40" t="n"/>
      <c r="F529" s="41" t="n"/>
      <c r="G529" s="40" t="n"/>
      <c r="H529" s="40" t="n"/>
      <c r="I529" s="40" t="n"/>
      <c r="J529" s="40" t="n"/>
      <c r="K529" s="40" t="n"/>
      <c r="L529" s="40" t="n"/>
      <c r="M529" s="40" t="n"/>
      <c r="N529" s="24">
        <f>IF(COUNTA(A529:M529,O529:P529,R529:X529)=0,"",IF(OR(A529="",B529="",F529=""),"Event ID, AIR-ID or date missing",IF(COUNTIF($A$4:$A$553,A529)&gt;1,"Duplicate Event ID",IF(E529="","Event type missing",IF(OR(NOT(ISNUMBER(F529)),F529&gt;TODAY()),"Date is not a real date or is in the future",IF(AND(C529&lt;&gt;"",COUNTIF('Gate plan'!$A$4:$A$353,C529)=0),"Plan ID not found in Gate plan",IF(AND(C529&lt;&gt;"",COUNTIFS('Gate plan'!$A$4:$A$353,C529,'Gate plan'!$B$4:$B$353,B529)=0),"Plan AIR-ID differs from event",IF(D529="","Gate / forum missing",IF(AND(E529="Precautionary pause (containment)",G529&lt;&gt;"Paused — pending decision"),"Precautionary pause: Outcome must be Paused, pending decision",IF(AND(E529="Precautionary pause (containment)",V529=""),"Precautionary pause: AIG-OPS-03 incident ref missing",IF(AND(E529="Precautionary pause (containment)",NOT(ISNUMBER(W529))),"Precautionary pause: follow-up decision due date missing",IF(AND(G529="Paused — pending decision",E529&lt;&gt;"Precautionary pause (containment)"),"Paused, pending decision is only for a Precautionary pause event",IF(AND(E529="Decision",OR(G529="",H529="",I529="")),"Outcome / delegation / decision ref missing",IF(AND(E529="Decision",NOT(OR(G529="Progress",G529="Progress with condition",G529="Return for evidence",G529="Pause",G529="Stop",G529="Suspend",G529="Decommission",G529="Re-authorise",G529="Resume"))),"Decision event needs a decision outcome",IF(AND(E529="Priority override",OR(H529="",I529="")),"Decision-maker / AIG-DEC-03 ref missing",IF(AND(E529="Priority override",G529&lt;&gt;"",G529&lt;&gt;"No decision"),"Priority override: Outcome blank or No decision",IF(AND(E529&lt;&gt;"Decision",OR(G529="Progress",G529="Progress with condition",G529="Return for evidence",G529="Pause",G529="Stop",G529="Suspend",G529="Decommission",G529="Re-authorise",G529="Resume")),"Outcome implies decision",IF(OR(ISNUMBER(SEARCH(",",O529)),ISNUMBER(SEARCH(";",O529))),"One UC-ID per event row — split this event",IF(AND(E529="Decision",OR(Q529="UC-ID REQUIRED",Q529="Decision scope missing",Q529="REMOVE UC-ID OR CORRECT SCOPE")),"Decision scope missing",IF(AND(G529="Progress with condition",COUNTIF(Conditions!$B$4:$B$553,A529)=0),"Progress with condition needs at least one Conditions row",IF(AND(C529&lt;&gt;"",COUNTIFS('Gate plan'!$A$4:$A$353,C529,'Gate plan'!$C$4:$C$353,D529)=0),"Plan gate differs from event gate",IF(AND(C529&lt;&gt;"",O529&lt;&gt;"",COUNTIFS('Gate plan'!$A$4:$A$353,C529,'Gate plan'!$K$4:$K$353,"&lt;&gt;")&gt;0,COUNTIFS('Gate plan'!$A$4:$A$353,C529,'Gate plan'!$K$4:$K$353,O529)=0),"Plan UC-ID differs from event UC-ID",IF(AND(E529="Assurance opinion",J529=""),"Assurance opinion ref missing",IF(AND(G529="Opinion only",E529&lt;&gt;"Assurance opinion",E529&lt;&gt;"Review only"),"Opinion only is for Assurance opinion or Review only events",IF(AND(G529="No decision",E529&lt;&gt;"Review only",E529&lt;&gt;"Priority override",E529&lt;&gt;"Intake / registration"),"No decision is for Review only, Priority override or Intake / registration events",IF(OR(ISNUMBER(SEARCH(" ",TRIM(O529))),ISNUMBER(SEARCH("/",O529))),"One UC-ID per event row: split this event",IF(AND(E529="Precautionary pause (containment)",ISNUMBER(W529),ISNUMBER(F529),W529&lt;F529),"Follow-up decision due date is before the pause",IF(AND(G529="Resume",IFERROR(LOOKUP(2,1/(($B$3:B528=B529)*($O$3:O528=O529)),$G$3:G528),"")&lt;&gt;"Paused — pending decision"),"Resume is only for the event straight after a Precautionary pause on the same AIR-ID and UC-ID (in an earlier row)",IF(AND(E529="Decision",OR(G529="Progress",G529="Progress with condition",G529="Re-authorise",G529="Resume"),X529&lt;&gt;"Yes"),"Decision-maker has not confirmed the screening was considered (column X)","Check against source")))))))))))))))))))))))))))))</f>
        <v/>
      </c>
      <c r="O529" s="37" t="n"/>
      <c r="P529" s="37" t="n"/>
      <c r="Q529" s="14">
        <f>IF(A529="","",IF(E529&lt;&gt;"Decision","",IF(P529="UC-ID specific",IF(O529="","UC-ID REQUIRED","Check source decision for each UC-ID"),IF(P529="Shared system baseline",IF(O529&lt;&gt;"","REMOVE UC-ID OR CORRECT SCOPE","Baseline only — NOT UC approval"),"Decision scope missing"))))</f>
        <v/>
      </c>
      <c r="R529" s="43" t="n"/>
      <c r="S529" s="40" t="n"/>
      <c r="T529" s="40" t="n"/>
      <c r="U529" s="40" t="n"/>
      <c r="V529" s="40" t="n"/>
      <c r="W529" s="41" t="n"/>
      <c r="X529" s="38" t="n"/>
    </row>
    <row r="530">
      <c r="A530" s="38" t="n"/>
      <c r="B530" s="38" t="n"/>
      <c r="C530" s="38" t="n"/>
      <c r="D530" s="38" t="n"/>
      <c r="E530" s="38" t="n"/>
      <c r="F530" s="39" t="n"/>
      <c r="G530" s="38" t="n"/>
      <c r="H530" s="38" t="n"/>
      <c r="I530" s="38" t="n"/>
      <c r="J530" s="38" t="n"/>
      <c r="K530" s="38" t="n"/>
      <c r="L530" s="38" t="n"/>
      <c r="M530" s="38" t="n"/>
      <c r="N530" s="22">
        <f>IF(COUNTA(A530:M530,O530:P530,R530:X530)=0,"",IF(OR(A530="",B530="",F530=""),"Event ID, AIR-ID or date missing",IF(COUNTIF($A$4:$A$553,A530)&gt;1,"Duplicate Event ID",IF(E530="","Event type missing",IF(OR(NOT(ISNUMBER(F530)),F530&gt;TODAY()),"Date is not a real date or is in the future",IF(AND(C530&lt;&gt;"",COUNTIF('Gate plan'!$A$4:$A$353,C530)=0),"Plan ID not found in Gate plan",IF(AND(C530&lt;&gt;"",COUNTIFS('Gate plan'!$A$4:$A$353,C530,'Gate plan'!$B$4:$B$353,B530)=0),"Plan AIR-ID differs from event",IF(D530="","Gate / forum missing",IF(AND(E530="Precautionary pause (containment)",G530&lt;&gt;"Paused — pending decision"),"Precautionary pause: Outcome must be Paused, pending decision",IF(AND(E530="Precautionary pause (containment)",V530=""),"Precautionary pause: AIG-OPS-03 incident ref missing",IF(AND(E530="Precautionary pause (containment)",NOT(ISNUMBER(W530))),"Precautionary pause: follow-up decision due date missing",IF(AND(G530="Paused — pending decision",E530&lt;&gt;"Precautionary pause (containment)"),"Paused, pending decision is only for a Precautionary pause event",IF(AND(E530="Decision",OR(G530="",H530="",I530="")),"Outcome / delegation / decision ref missing",IF(AND(E530="Decision",NOT(OR(G530="Progress",G530="Progress with condition",G530="Return for evidence",G530="Pause",G530="Stop",G530="Suspend",G530="Decommission",G530="Re-authorise",G530="Resume"))),"Decision event needs a decision outcome",IF(AND(E530="Priority override",OR(H530="",I530="")),"Decision-maker / AIG-DEC-03 ref missing",IF(AND(E530="Priority override",G530&lt;&gt;"",G530&lt;&gt;"No decision"),"Priority override: Outcome blank or No decision",IF(AND(E530&lt;&gt;"Decision",OR(G530="Progress",G530="Progress with condition",G530="Return for evidence",G530="Pause",G530="Stop",G530="Suspend",G530="Decommission",G530="Re-authorise",G530="Resume")),"Outcome implies decision",IF(OR(ISNUMBER(SEARCH(",",O530)),ISNUMBER(SEARCH(";",O530))),"One UC-ID per event row — split this event",IF(AND(E530="Decision",OR(Q530="UC-ID REQUIRED",Q530="Decision scope missing",Q530="REMOVE UC-ID OR CORRECT SCOPE")),"Decision scope missing",IF(AND(G530="Progress with condition",COUNTIF(Conditions!$B$4:$B$553,A530)=0),"Progress with condition needs at least one Conditions row",IF(AND(C530&lt;&gt;"",COUNTIFS('Gate plan'!$A$4:$A$353,C530,'Gate plan'!$C$4:$C$353,D530)=0),"Plan gate differs from event gate",IF(AND(C530&lt;&gt;"",O530&lt;&gt;"",COUNTIFS('Gate plan'!$A$4:$A$353,C530,'Gate plan'!$K$4:$K$353,"&lt;&gt;")&gt;0,COUNTIFS('Gate plan'!$A$4:$A$353,C530,'Gate plan'!$K$4:$K$353,O530)=0),"Plan UC-ID differs from event UC-ID",IF(AND(E530="Assurance opinion",J530=""),"Assurance opinion ref missing",IF(AND(G530="Opinion only",E530&lt;&gt;"Assurance opinion",E530&lt;&gt;"Review only"),"Opinion only is for Assurance opinion or Review only events",IF(AND(G530="No decision",E530&lt;&gt;"Review only",E530&lt;&gt;"Priority override",E530&lt;&gt;"Intake / registration"),"No decision is for Review only, Priority override or Intake / registration events",IF(OR(ISNUMBER(SEARCH(" ",TRIM(O530))),ISNUMBER(SEARCH("/",O530))),"One UC-ID per event row: split this event",IF(AND(E530="Precautionary pause (containment)",ISNUMBER(W530),ISNUMBER(F530),W530&lt;F530),"Follow-up decision due date is before the pause",IF(AND(G530="Resume",IFERROR(LOOKUP(2,1/(($B$3:B529=B530)*($O$3:O529=O530)),$G$3:G529),"")&lt;&gt;"Paused — pending decision"),"Resume is only for the event straight after a Precautionary pause on the same AIR-ID and UC-ID (in an earlier row)",IF(AND(E530="Decision",OR(G530="Progress",G530="Progress with condition",G530="Re-authorise",G530="Resume"),X530&lt;&gt;"Yes"),"Decision-maker has not confirmed the screening was considered (column X)","Check against source")))))))))))))))))))))))))))))</f>
        <v/>
      </c>
      <c r="O530" s="37" t="n"/>
      <c r="P530" s="37" t="n"/>
      <c r="Q530" s="14">
        <f>IF(A530="","",IF(E530&lt;&gt;"Decision","",IF(P530="UC-ID specific",IF(O530="","UC-ID REQUIRED","Check source decision for each UC-ID"),IF(P530="Shared system baseline",IF(O530&lt;&gt;"","REMOVE UC-ID OR CORRECT SCOPE","Baseline only — NOT UC approval"),"Decision scope missing"))))</f>
        <v/>
      </c>
      <c r="R530" s="42" t="n"/>
      <c r="S530" s="38" t="n"/>
      <c r="T530" s="38" t="n"/>
      <c r="U530" s="38" t="n"/>
      <c r="V530" s="38" t="n"/>
      <c r="W530" s="39" t="n"/>
      <c r="X530" s="38" t="n"/>
    </row>
    <row r="531">
      <c r="A531" s="40" t="n"/>
      <c r="B531" s="40" t="n"/>
      <c r="C531" s="40" t="n"/>
      <c r="D531" s="40" t="n"/>
      <c r="E531" s="40" t="n"/>
      <c r="F531" s="41" t="n"/>
      <c r="G531" s="40" t="n"/>
      <c r="H531" s="40" t="n"/>
      <c r="I531" s="40" t="n"/>
      <c r="J531" s="40" t="n"/>
      <c r="K531" s="40" t="n"/>
      <c r="L531" s="40" t="n"/>
      <c r="M531" s="40" t="n"/>
      <c r="N531" s="24">
        <f>IF(COUNTA(A531:M531,O531:P531,R531:X531)=0,"",IF(OR(A531="",B531="",F531=""),"Event ID, AIR-ID or date missing",IF(COUNTIF($A$4:$A$553,A531)&gt;1,"Duplicate Event ID",IF(E531="","Event type missing",IF(OR(NOT(ISNUMBER(F531)),F531&gt;TODAY()),"Date is not a real date or is in the future",IF(AND(C531&lt;&gt;"",COUNTIF('Gate plan'!$A$4:$A$353,C531)=0),"Plan ID not found in Gate plan",IF(AND(C531&lt;&gt;"",COUNTIFS('Gate plan'!$A$4:$A$353,C531,'Gate plan'!$B$4:$B$353,B531)=0),"Plan AIR-ID differs from event",IF(D531="","Gate / forum missing",IF(AND(E531="Precautionary pause (containment)",G531&lt;&gt;"Paused — pending decision"),"Precautionary pause: Outcome must be Paused, pending decision",IF(AND(E531="Precautionary pause (containment)",V531=""),"Precautionary pause: AIG-OPS-03 incident ref missing",IF(AND(E531="Precautionary pause (containment)",NOT(ISNUMBER(W531))),"Precautionary pause: follow-up decision due date missing",IF(AND(G531="Paused — pending decision",E531&lt;&gt;"Precautionary pause (containment)"),"Paused, pending decision is only for a Precautionary pause event",IF(AND(E531="Decision",OR(G531="",H531="",I531="")),"Outcome / delegation / decision ref missing",IF(AND(E531="Decision",NOT(OR(G531="Progress",G531="Progress with condition",G531="Return for evidence",G531="Pause",G531="Stop",G531="Suspend",G531="Decommission",G531="Re-authorise",G531="Resume"))),"Decision event needs a decision outcome",IF(AND(E531="Priority override",OR(H531="",I531="")),"Decision-maker / AIG-DEC-03 ref missing",IF(AND(E531="Priority override",G531&lt;&gt;"",G531&lt;&gt;"No decision"),"Priority override: Outcome blank or No decision",IF(AND(E531&lt;&gt;"Decision",OR(G531="Progress",G531="Progress with condition",G531="Return for evidence",G531="Pause",G531="Stop",G531="Suspend",G531="Decommission",G531="Re-authorise",G531="Resume")),"Outcome implies decision",IF(OR(ISNUMBER(SEARCH(",",O531)),ISNUMBER(SEARCH(";",O531))),"One UC-ID per event row — split this event",IF(AND(E531="Decision",OR(Q531="UC-ID REQUIRED",Q531="Decision scope missing",Q531="REMOVE UC-ID OR CORRECT SCOPE")),"Decision scope missing",IF(AND(G531="Progress with condition",COUNTIF(Conditions!$B$4:$B$553,A531)=0),"Progress with condition needs at least one Conditions row",IF(AND(C531&lt;&gt;"",COUNTIFS('Gate plan'!$A$4:$A$353,C531,'Gate plan'!$C$4:$C$353,D531)=0),"Plan gate differs from event gate",IF(AND(C531&lt;&gt;"",O531&lt;&gt;"",COUNTIFS('Gate plan'!$A$4:$A$353,C531,'Gate plan'!$K$4:$K$353,"&lt;&gt;")&gt;0,COUNTIFS('Gate plan'!$A$4:$A$353,C531,'Gate plan'!$K$4:$K$353,O531)=0),"Plan UC-ID differs from event UC-ID",IF(AND(E531="Assurance opinion",J531=""),"Assurance opinion ref missing",IF(AND(G531="Opinion only",E531&lt;&gt;"Assurance opinion",E531&lt;&gt;"Review only"),"Opinion only is for Assurance opinion or Review only events",IF(AND(G531="No decision",E531&lt;&gt;"Review only",E531&lt;&gt;"Priority override",E531&lt;&gt;"Intake / registration"),"No decision is for Review only, Priority override or Intake / registration events",IF(OR(ISNUMBER(SEARCH(" ",TRIM(O531))),ISNUMBER(SEARCH("/",O531))),"One UC-ID per event row: split this event",IF(AND(E531="Precautionary pause (containment)",ISNUMBER(W531),ISNUMBER(F531),W531&lt;F531),"Follow-up decision due date is before the pause",IF(AND(G531="Resume",IFERROR(LOOKUP(2,1/(($B$3:B530=B531)*($O$3:O530=O531)),$G$3:G530),"")&lt;&gt;"Paused — pending decision"),"Resume is only for the event straight after a Precautionary pause on the same AIR-ID and UC-ID (in an earlier row)",IF(AND(E531="Decision",OR(G531="Progress",G531="Progress with condition",G531="Re-authorise",G531="Resume"),X531&lt;&gt;"Yes"),"Decision-maker has not confirmed the screening was considered (column X)","Check against source")))))))))))))))))))))))))))))</f>
        <v/>
      </c>
      <c r="O531" s="37" t="n"/>
      <c r="P531" s="37" t="n"/>
      <c r="Q531" s="14">
        <f>IF(A531="","",IF(E531&lt;&gt;"Decision","",IF(P531="UC-ID specific",IF(O531="","UC-ID REQUIRED","Check source decision for each UC-ID"),IF(P531="Shared system baseline",IF(O531&lt;&gt;"","REMOVE UC-ID OR CORRECT SCOPE","Baseline only — NOT UC approval"),"Decision scope missing"))))</f>
        <v/>
      </c>
      <c r="R531" s="43" t="n"/>
      <c r="S531" s="40" t="n"/>
      <c r="T531" s="40" t="n"/>
      <c r="U531" s="40" t="n"/>
      <c r="V531" s="40" t="n"/>
      <c r="W531" s="41" t="n"/>
      <c r="X531" s="38" t="n"/>
    </row>
    <row r="532">
      <c r="A532" s="38" t="n"/>
      <c r="B532" s="38" t="n"/>
      <c r="C532" s="38" t="n"/>
      <c r="D532" s="38" t="n"/>
      <c r="E532" s="38" t="n"/>
      <c r="F532" s="39" t="n"/>
      <c r="G532" s="38" t="n"/>
      <c r="H532" s="38" t="n"/>
      <c r="I532" s="38" t="n"/>
      <c r="J532" s="38" t="n"/>
      <c r="K532" s="38" t="n"/>
      <c r="L532" s="38" t="n"/>
      <c r="M532" s="38" t="n"/>
      <c r="N532" s="22">
        <f>IF(COUNTA(A532:M532,O532:P532,R532:X532)=0,"",IF(OR(A532="",B532="",F532=""),"Event ID, AIR-ID or date missing",IF(COUNTIF($A$4:$A$553,A532)&gt;1,"Duplicate Event ID",IF(E532="","Event type missing",IF(OR(NOT(ISNUMBER(F532)),F532&gt;TODAY()),"Date is not a real date or is in the future",IF(AND(C532&lt;&gt;"",COUNTIF('Gate plan'!$A$4:$A$353,C532)=0),"Plan ID not found in Gate plan",IF(AND(C532&lt;&gt;"",COUNTIFS('Gate plan'!$A$4:$A$353,C532,'Gate plan'!$B$4:$B$353,B532)=0),"Plan AIR-ID differs from event",IF(D532="","Gate / forum missing",IF(AND(E532="Precautionary pause (containment)",G532&lt;&gt;"Paused — pending decision"),"Precautionary pause: Outcome must be Paused, pending decision",IF(AND(E532="Precautionary pause (containment)",V532=""),"Precautionary pause: AIG-OPS-03 incident ref missing",IF(AND(E532="Precautionary pause (containment)",NOT(ISNUMBER(W532))),"Precautionary pause: follow-up decision due date missing",IF(AND(G532="Paused — pending decision",E532&lt;&gt;"Precautionary pause (containment)"),"Paused, pending decision is only for a Precautionary pause event",IF(AND(E532="Decision",OR(G532="",H532="",I532="")),"Outcome / delegation / decision ref missing",IF(AND(E532="Decision",NOT(OR(G532="Progress",G532="Progress with condition",G532="Return for evidence",G532="Pause",G532="Stop",G532="Suspend",G532="Decommission",G532="Re-authorise",G532="Resume"))),"Decision event needs a decision outcome",IF(AND(E532="Priority override",OR(H532="",I532="")),"Decision-maker / AIG-DEC-03 ref missing",IF(AND(E532="Priority override",G532&lt;&gt;"",G532&lt;&gt;"No decision"),"Priority override: Outcome blank or No decision",IF(AND(E532&lt;&gt;"Decision",OR(G532="Progress",G532="Progress with condition",G532="Return for evidence",G532="Pause",G532="Stop",G532="Suspend",G532="Decommission",G532="Re-authorise",G532="Resume")),"Outcome implies decision",IF(OR(ISNUMBER(SEARCH(",",O532)),ISNUMBER(SEARCH(";",O532))),"One UC-ID per event row — split this event",IF(AND(E532="Decision",OR(Q532="UC-ID REQUIRED",Q532="Decision scope missing",Q532="REMOVE UC-ID OR CORRECT SCOPE")),"Decision scope missing",IF(AND(G532="Progress with condition",COUNTIF(Conditions!$B$4:$B$553,A532)=0),"Progress with condition needs at least one Conditions row",IF(AND(C532&lt;&gt;"",COUNTIFS('Gate plan'!$A$4:$A$353,C532,'Gate plan'!$C$4:$C$353,D532)=0),"Plan gate differs from event gate",IF(AND(C532&lt;&gt;"",O532&lt;&gt;"",COUNTIFS('Gate plan'!$A$4:$A$353,C532,'Gate plan'!$K$4:$K$353,"&lt;&gt;")&gt;0,COUNTIFS('Gate plan'!$A$4:$A$353,C532,'Gate plan'!$K$4:$K$353,O532)=0),"Plan UC-ID differs from event UC-ID",IF(AND(E532="Assurance opinion",J532=""),"Assurance opinion ref missing",IF(AND(G532="Opinion only",E532&lt;&gt;"Assurance opinion",E532&lt;&gt;"Review only"),"Opinion only is for Assurance opinion or Review only events",IF(AND(G532="No decision",E532&lt;&gt;"Review only",E532&lt;&gt;"Priority override",E532&lt;&gt;"Intake / registration"),"No decision is for Review only, Priority override or Intake / registration events",IF(OR(ISNUMBER(SEARCH(" ",TRIM(O532))),ISNUMBER(SEARCH("/",O532))),"One UC-ID per event row: split this event",IF(AND(E532="Precautionary pause (containment)",ISNUMBER(W532),ISNUMBER(F532),W532&lt;F532),"Follow-up decision due date is before the pause",IF(AND(G532="Resume",IFERROR(LOOKUP(2,1/(($B$3:B531=B532)*($O$3:O531=O532)),$G$3:G531),"")&lt;&gt;"Paused — pending decision"),"Resume is only for the event straight after a Precautionary pause on the same AIR-ID and UC-ID (in an earlier row)",IF(AND(E532="Decision",OR(G532="Progress",G532="Progress with condition",G532="Re-authorise",G532="Resume"),X532&lt;&gt;"Yes"),"Decision-maker has not confirmed the screening was considered (column X)","Check against source")))))))))))))))))))))))))))))</f>
        <v/>
      </c>
      <c r="O532" s="37" t="n"/>
      <c r="P532" s="37" t="n"/>
      <c r="Q532" s="14">
        <f>IF(A532="","",IF(E532&lt;&gt;"Decision","",IF(P532="UC-ID specific",IF(O532="","UC-ID REQUIRED","Check source decision for each UC-ID"),IF(P532="Shared system baseline",IF(O532&lt;&gt;"","REMOVE UC-ID OR CORRECT SCOPE","Baseline only — NOT UC approval"),"Decision scope missing"))))</f>
        <v/>
      </c>
      <c r="R532" s="42" t="n"/>
      <c r="S532" s="38" t="n"/>
      <c r="T532" s="38" t="n"/>
      <c r="U532" s="38" t="n"/>
      <c r="V532" s="38" t="n"/>
      <c r="W532" s="39" t="n"/>
      <c r="X532" s="38" t="n"/>
    </row>
    <row r="533">
      <c r="A533" s="40" t="n"/>
      <c r="B533" s="40" t="n"/>
      <c r="C533" s="40" t="n"/>
      <c r="D533" s="40" t="n"/>
      <c r="E533" s="40" t="n"/>
      <c r="F533" s="41" t="n"/>
      <c r="G533" s="40" t="n"/>
      <c r="H533" s="40" t="n"/>
      <c r="I533" s="40" t="n"/>
      <c r="J533" s="40" t="n"/>
      <c r="K533" s="40" t="n"/>
      <c r="L533" s="40" t="n"/>
      <c r="M533" s="40" t="n"/>
      <c r="N533" s="24">
        <f>IF(COUNTA(A533:M533,O533:P533,R533:X533)=0,"",IF(OR(A533="",B533="",F533=""),"Event ID, AIR-ID or date missing",IF(COUNTIF($A$4:$A$553,A533)&gt;1,"Duplicate Event ID",IF(E533="","Event type missing",IF(OR(NOT(ISNUMBER(F533)),F533&gt;TODAY()),"Date is not a real date or is in the future",IF(AND(C533&lt;&gt;"",COUNTIF('Gate plan'!$A$4:$A$353,C533)=0),"Plan ID not found in Gate plan",IF(AND(C533&lt;&gt;"",COUNTIFS('Gate plan'!$A$4:$A$353,C533,'Gate plan'!$B$4:$B$353,B533)=0),"Plan AIR-ID differs from event",IF(D533="","Gate / forum missing",IF(AND(E533="Precautionary pause (containment)",G533&lt;&gt;"Paused — pending decision"),"Precautionary pause: Outcome must be Paused, pending decision",IF(AND(E533="Precautionary pause (containment)",V533=""),"Precautionary pause: AIG-OPS-03 incident ref missing",IF(AND(E533="Precautionary pause (containment)",NOT(ISNUMBER(W533))),"Precautionary pause: follow-up decision due date missing",IF(AND(G533="Paused — pending decision",E533&lt;&gt;"Precautionary pause (containment)"),"Paused, pending decision is only for a Precautionary pause event",IF(AND(E533="Decision",OR(G533="",H533="",I533="")),"Outcome / delegation / decision ref missing",IF(AND(E533="Decision",NOT(OR(G533="Progress",G533="Progress with condition",G533="Return for evidence",G533="Pause",G533="Stop",G533="Suspend",G533="Decommission",G533="Re-authorise",G533="Resume"))),"Decision event needs a decision outcome",IF(AND(E533="Priority override",OR(H533="",I533="")),"Decision-maker / AIG-DEC-03 ref missing",IF(AND(E533="Priority override",G533&lt;&gt;"",G533&lt;&gt;"No decision"),"Priority override: Outcome blank or No decision",IF(AND(E533&lt;&gt;"Decision",OR(G533="Progress",G533="Progress with condition",G533="Return for evidence",G533="Pause",G533="Stop",G533="Suspend",G533="Decommission",G533="Re-authorise",G533="Resume")),"Outcome implies decision",IF(OR(ISNUMBER(SEARCH(",",O533)),ISNUMBER(SEARCH(";",O533))),"One UC-ID per event row — split this event",IF(AND(E533="Decision",OR(Q533="UC-ID REQUIRED",Q533="Decision scope missing",Q533="REMOVE UC-ID OR CORRECT SCOPE")),"Decision scope missing",IF(AND(G533="Progress with condition",COUNTIF(Conditions!$B$4:$B$553,A533)=0),"Progress with condition needs at least one Conditions row",IF(AND(C533&lt;&gt;"",COUNTIFS('Gate plan'!$A$4:$A$353,C533,'Gate plan'!$C$4:$C$353,D533)=0),"Plan gate differs from event gate",IF(AND(C533&lt;&gt;"",O533&lt;&gt;"",COUNTIFS('Gate plan'!$A$4:$A$353,C533,'Gate plan'!$K$4:$K$353,"&lt;&gt;")&gt;0,COUNTIFS('Gate plan'!$A$4:$A$353,C533,'Gate plan'!$K$4:$K$353,O533)=0),"Plan UC-ID differs from event UC-ID",IF(AND(E533="Assurance opinion",J533=""),"Assurance opinion ref missing",IF(AND(G533="Opinion only",E533&lt;&gt;"Assurance opinion",E533&lt;&gt;"Review only"),"Opinion only is for Assurance opinion or Review only events",IF(AND(G533="No decision",E533&lt;&gt;"Review only",E533&lt;&gt;"Priority override",E533&lt;&gt;"Intake / registration"),"No decision is for Review only, Priority override or Intake / registration events",IF(OR(ISNUMBER(SEARCH(" ",TRIM(O533))),ISNUMBER(SEARCH("/",O533))),"One UC-ID per event row: split this event",IF(AND(E533="Precautionary pause (containment)",ISNUMBER(W533),ISNUMBER(F533),W533&lt;F533),"Follow-up decision due date is before the pause",IF(AND(G533="Resume",IFERROR(LOOKUP(2,1/(($B$3:B532=B533)*($O$3:O532=O533)),$G$3:G532),"")&lt;&gt;"Paused — pending decision"),"Resume is only for the event straight after a Precautionary pause on the same AIR-ID and UC-ID (in an earlier row)",IF(AND(E533="Decision",OR(G533="Progress",G533="Progress with condition",G533="Re-authorise",G533="Resume"),X533&lt;&gt;"Yes"),"Decision-maker has not confirmed the screening was considered (column X)","Check against source")))))))))))))))))))))))))))))</f>
        <v/>
      </c>
      <c r="O533" s="37" t="n"/>
      <c r="P533" s="37" t="n"/>
      <c r="Q533" s="14">
        <f>IF(A533="","",IF(E533&lt;&gt;"Decision","",IF(P533="UC-ID specific",IF(O533="","UC-ID REQUIRED","Check source decision for each UC-ID"),IF(P533="Shared system baseline",IF(O533&lt;&gt;"","REMOVE UC-ID OR CORRECT SCOPE","Baseline only — NOT UC approval"),"Decision scope missing"))))</f>
        <v/>
      </c>
      <c r="R533" s="43" t="n"/>
      <c r="S533" s="40" t="n"/>
      <c r="T533" s="40" t="n"/>
      <c r="U533" s="40" t="n"/>
      <c r="V533" s="40" t="n"/>
      <c r="W533" s="41" t="n"/>
      <c r="X533" s="38" t="n"/>
    </row>
    <row r="534">
      <c r="A534" s="38" t="n"/>
      <c r="B534" s="38" t="n"/>
      <c r="C534" s="38" t="n"/>
      <c r="D534" s="38" t="n"/>
      <c r="E534" s="38" t="n"/>
      <c r="F534" s="39" t="n"/>
      <c r="G534" s="38" t="n"/>
      <c r="H534" s="38" t="n"/>
      <c r="I534" s="38" t="n"/>
      <c r="J534" s="38" t="n"/>
      <c r="K534" s="38" t="n"/>
      <c r="L534" s="38" t="n"/>
      <c r="M534" s="38" t="n"/>
      <c r="N534" s="22">
        <f>IF(COUNTA(A534:M534,O534:P534,R534:X534)=0,"",IF(OR(A534="",B534="",F534=""),"Event ID, AIR-ID or date missing",IF(COUNTIF($A$4:$A$553,A534)&gt;1,"Duplicate Event ID",IF(E534="","Event type missing",IF(OR(NOT(ISNUMBER(F534)),F534&gt;TODAY()),"Date is not a real date or is in the future",IF(AND(C534&lt;&gt;"",COUNTIF('Gate plan'!$A$4:$A$353,C534)=0),"Plan ID not found in Gate plan",IF(AND(C534&lt;&gt;"",COUNTIFS('Gate plan'!$A$4:$A$353,C534,'Gate plan'!$B$4:$B$353,B534)=0),"Plan AIR-ID differs from event",IF(D534="","Gate / forum missing",IF(AND(E534="Precautionary pause (containment)",G534&lt;&gt;"Paused — pending decision"),"Precautionary pause: Outcome must be Paused, pending decision",IF(AND(E534="Precautionary pause (containment)",V534=""),"Precautionary pause: AIG-OPS-03 incident ref missing",IF(AND(E534="Precautionary pause (containment)",NOT(ISNUMBER(W534))),"Precautionary pause: follow-up decision due date missing",IF(AND(G534="Paused — pending decision",E534&lt;&gt;"Precautionary pause (containment)"),"Paused, pending decision is only for a Precautionary pause event",IF(AND(E534="Decision",OR(G534="",H534="",I534="")),"Outcome / delegation / decision ref missing",IF(AND(E534="Decision",NOT(OR(G534="Progress",G534="Progress with condition",G534="Return for evidence",G534="Pause",G534="Stop",G534="Suspend",G534="Decommission",G534="Re-authorise",G534="Resume"))),"Decision event needs a decision outcome",IF(AND(E534="Priority override",OR(H534="",I534="")),"Decision-maker / AIG-DEC-03 ref missing",IF(AND(E534="Priority override",G534&lt;&gt;"",G534&lt;&gt;"No decision"),"Priority override: Outcome blank or No decision",IF(AND(E534&lt;&gt;"Decision",OR(G534="Progress",G534="Progress with condition",G534="Return for evidence",G534="Pause",G534="Stop",G534="Suspend",G534="Decommission",G534="Re-authorise",G534="Resume")),"Outcome implies decision",IF(OR(ISNUMBER(SEARCH(",",O534)),ISNUMBER(SEARCH(";",O534))),"One UC-ID per event row — split this event",IF(AND(E534="Decision",OR(Q534="UC-ID REQUIRED",Q534="Decision scope missing",Q534="REMOVE UC-ID OR CORRECT SCOPE")),"Decision scope missing",IF(AND(G534="Progress with condition",COUNTIF(Conditions!$B$4:$B$553,A534)=0),"Progress with condition needs at least one Conditions row",IF(AND(C534&lt;&gt;"",COUNTIFS('Gate plan'!$A$4:$A$353,C534,'Gate plan'!$C$4:$C$353,D534)=0),"Plan gate differs from event gate",IF(AND(C534&lt;&gt;"",O534&lt;&gt;"",COUNTIFS('Gate plan'!$A$4:$A$353,C534,'Gate plan'!$K$4:$K$353,"&lt;&gt;")&gt;0,COUNTIFS('Gate plan'!$A$4:$A$353,C534,'Gate plan'!$K$4:$K$353,O534)=0),"Plan UC-ID differs from event UC-ID",IF(AND(E534="Assurance opinion",J534=""),"Assurance opinion ref missing",IF(AND(G534="Opinion only",E534&lt;&gt;"Assurance opinion",E534&lt;&gt;"Review only"),"Opinion only is for Assurance opinion or Review only events",IF(AND(G534="No decision",E534&lt;&gt;"Review only",E534&lt;&gt;"Priority override",E534&lt;&gt;"Intake / registration"),"No decision is for Review only, Priority override or Intake / registration events",IF(OR(ISNUMBER(SEARCH(" ",TRIM(O534))),ISNUMBER(SEARCH("/",O534))),"One UC-ID per event row: split this event",IF(AND(E534="Precautionary pause (containment)",ISNUMBER(W534),ISNUMBER(F534),W534&lt;F534),"Follow-up decision due date is before the pause",IF(AND(G534="Resume",IFERROR(LOOKUP(2,1/(($B$3:B533=B534)*($O$3:O533=O534)),$G$3:G533),"")&lt;&gt;"Paused — pending decision"),"Resume is only for the event straight after a Precautionary pause on the same AIR-ID and UC-ID (in an earlier row)",IF(AND(E534="Decision",OR(G534="Progress",G534="Progress with condition",G534="Re-authorise",G534="Resume"),X534&lt;&gt;"Yes"),"Decision-maker has not confirmed the screening was considered (column X)","Check against source")))))))))))))))))))))))))))))</f>
        <v/>
      </c>
      <c r="O534" s="37" t="n"/>
      <c r="P534" s="37" t="n"/>
      <c r="Q534" s="14">
        <f>IF(A534="","",IF(E534&lt;&gt;"Decision","",IF(P534="UC-ID specific",IF(O534="","UC-ID REQUIRED","Check source decision for each UC-ID"),IF(P534="Shared system baseline",IF(O534&lt;&gt;"","REMOVE UC-ID OR CORRECT SCOPE","Baseline only — NOT UC approval"),"Decision scope missing"))))</f>
        <v/>
      </c>
      <c r="R534" s="42" t="n"/>
      <c r="S534" s="38" t="n"/>
      <c r="T534" s="38" t="n"/>
      <c r="U534" s="38" t="n"/>
      <c r="V534" s="38" t="n"/>
      <c r="W534" s="39" t="n"/>
      <c r="X534" s="38" t="n"/>
    </row>
    <row r="535">
      <c r="A535" s="40" t="n"/>
      <c r="B535" s="40" t="n"/>
      <c r="C535" s="40" t="n"/>
      <c r="D535" s="40" t="n"/>
      <c r="E535" s="40" t="n"/>
      <c r="F535" s="41" t="n"/>
      <c r="G535" s="40" t="n"/>
      <c r="H535" s="40" t="n"/>
      <c r="I535" s="40" t="n"/>
      <c r="J535" s="40" t="n"/>
      <c r="K535" s="40" t="n"/>
      <c r="L535" s="40" t="n"/>
      <c r="M535" s="40" t="n"/>
      <c r="N535" s="24">
        <f>IF(COUNTA(A535:M535,O535:P535,R535:X535)=0,"",IF(OR(A535="",B535="",F535=""),"Event ID, AIR-ID or date missing",IF(COUNTIF($A$4:$A$553,A535)&gt;1,"Duplicate Event ID",IF(E535="","Event type missing",IF(OR(NOT(ISNUMBER(F535)),F535&gt;TODAY()),"Date is not a real date or is in the future",IF(AND(C535&lt;&gt;"",COUNTIF('Gate plan'!$A$4:$A$353,C535)=0),"Plan ID not found in Gate plan",IF(AND(C535&lt;&gt;"",COUNTIFS('Gate plan'!$A$4:$A$353,C535,'Gate plan'!$B$4:$B$353,B535)=0),"Plan AIR-ID differs from event",IF(D535="","Gate / forum missing",IF(AND(E535="Precautionary pause (containment)",G535&lt;&gt;"Paused — pending decision"),"Precautionary pause: Outcome must be Paused, pending decision",IF(AND(E535="Precautionary pause (containment)",V535=""),"Precautionary pause: AIG-OPS-03 incident ref missing",IF(AND(E535="Precautionary pause (containment)",NOT(ISNUMBER(W535))),"Precautionary pause: follow-up decision due date missing",IF(AND(G535="Paused — pending decision",E535&lt;&gt;"Precautionary pause (containment)"),"Paused, pending decision is only for a Precautionary pause event",IF(AND(E535="Decision",OR(G535="",H535="",I535="")),"Outcome / delegation / decision ref missing",IF(AND(E535="Decision",NOT(OR(G535="Progress",G535="Progress with condition",G535="Return for evidence",G535="Pause",G535="Stop",G535="Suspend",G535="Decommission",G535="Re-authorise",G535="Resume"))),"Decision event needs a decision outcome",IF(AND(E535="Priority override",OR(H535="",I535="")),"Decision-maker / AIG-DEC-03 ref missing",IF(AND(E535="Priority override",G535&lt;&gt;"",G535&lt;&gt;"No decision"),"Priority override: Outcome blank or No decision",IF(AND(E535&lt;&gt;"Decision",OR(G535="Progress",G535="Progress with condition",G535="Return for evidence",G535="Pause",G535="Stop",G535="Suspend",G535="Decommission",G535="Re-authorise",G535="Resume")),"Outcome implies decision",IF(OR(ISNUMBER(SEARCH(",",O535)),ISNUMBER(SEARCH(";",O535))),"One UC-ID per event row — split this event",IF(AND(E535="Decision",OR(Q535="UC-ID REQUIRED",Q535="Decision scope missing",Q535="REMOVE UC-ID OR CORRECT SCOPE")),"Decision scope missing",IF(AND(G535="Progress with condition",COUNTIF(Conditions!$B$4:$B$553,A535)=0),"Progress with condition needs at least one Conditions row",IF(AND(C535&lt;&gt;"",COUNTIFS('Gate plan'!$A$4:$A$353,C535,'Gate plan'!$C$4:$C$353,D535)=0),"Plan gate differs from event gate",IF(AND(C535&lt;&gt;"",O535&lt;&gt;"",COUNTIFS('Gate plan'!$A$4:$A$353,C535,'Gate plan'!$K$4:$K$353,"&lt;&gt;")&gt;0,COUNTIFS('Gate plan'!$A$4:$A$353,C535,'Gate plan'!$K$4:$K$353,O535)=0),"Plan UC-ID differs from event UC-ID",IF(AND(E535="Assurance opinion",J535=""),"Assurance opinion ref missing",IF(AND(G535="Opinion only",E535&lt;&gt;"Assurance opinion",E535&lt;&gt;"Review only"),"Opinion only is for Assurance opinion or Review only events",IF(AND(G535="No decision",E535&lt;&gt;"Review only",E535&lt;&gt;"Priority override",E535&lt;&gt;"Intake / registration"),"No decision is for Review only, Priority override or Intake / registration events",IF(OR(ISNUMBER(SEARCH(" ",TRIM(O535))),ISNUMBER(SEARCH("/",O535))),"One UC-ID per event row: split this event",IF(AND(E535="Precautionary pause (containment)",ISNUMBER(W535),ISNUMBER(F535),W535&lt;F535),"Follow-up decision due date is before the pause",IF(AND(G535="Resume",IFERROR(LOOKUP(2,1/(($B$3:B534=B535)*($O$3:O534=O535)),$G$3:G534),"")&lt;&gt;"Paused — pending decision"),"Resume is only for the event straight after a Precautionary pause on the same AIR-ID and UC-ID (in an earlier row)",IF(AND(E535="Decision",OR(G535="Progress",G535="Progress with condition",G535="Re-authorise",G535="Resume"),X535&lt;&gt;"Yes"),"Decision-maker has not confirmed the screening was considered (column X)","Check against source")))))))))))))))))))))))))))))</f>
        <v/>
      </c>
      <c r="O535" s="37" t="n"/>
      <c r="P535" s="37" t="n"/>
      <c r="Q535" s="14">
        <f>IF(A535="","",IF(E535&lt;&gt;"Decision","",IF(P535="UC-ID specific",IF(O535="","UC-ID REQUIRED","Check source decision for each UC-ID"),IF(P535="Shared system baseline",IF(O535&lt;&gt;"","REMOVE UC-ID OR CORRECT SCOPE","Baseline only — NOT UC approval"),"Decision scope missing"))))</f>
        <v/>
      </c>
      <c r="R535" s="43" t="n"/>
      <c r="S535" s="40" t="n"/>
      <c r="T535" s="40" t="n"/>
      <c r="U535" s="40" t="n"/>
      <c r="V535" s="40" t="n"/>
      <c r="W535" s="41" t="n"/>
      <c r="X535" s="38" t="n"/>
    </row>
    <row r="536">
      <c r="A536" s="38" t="n"/>
      <c r="B536" s="38" t="n"/>
      <c r="C536" s="38" t="n"/>
      <c r="D536" s="38" t="n"/>
      <c r="E536" s="38" t="n"/>
      <c r="F536" s="39" t="n"/>
      <c r="G536" s="38" t="n"/>
      <c r="H536" s="38" t="n"/>
      <c r="I536" s="38" t="n"/>
      <c r="J536" s="38" t="n"/>
      <c r="K536" s="38" t="n"/>
      <c r="L536" s="38" t="n"/>
      <c r="M536" s="38" t="n"/>
      <c r="N536" s="22">
        <f>IF(COUNTA(A536:M536,O536:P536,R536:X536)=0,"",IF(OR(A536="",B536="",F536=""),"Event ID, AIR-ID or date missing",IF(COUNTIF($A$4:$A$553,A536)&gt;1,"Duplicate Event ID",IF(E536="","Event type missing",IF(OR(NOT(ISNUMBER(F536)),F536&gt;TODAY()),"Date is not a real date or is in the future",IF(AND(C536&lt;&gt;"",COUNTIF('Gate plan'!$A$4:$A$353,C536)=0),"Plan ID not found in Gate plan",IF(AND(C536&lt;&gt;"",COUNTIFS('Gate plan'!$A$4:$A$353,C536,'Gate plan'!$B$4:$B$353,B536)=0),"Plan AIR-ID differs from event",IF(D536="","Gate / forum missing",IF(AND(E536="Precautionary pause (containment)",G536&lt;&gt;"Paused — pending decision"),"Precautionary pause: Outcome must be Paused, pending decision",IF(AND(E536="Precautionary pause (containment)",V536=""),"Precautionary pause: AIG-OPS-03 incident ref missing",IF(AND(E536="Precautionary pause (containment)",NOT(ISNUMBER(W536))),"Precautionary pause: follow-up decision due date missing",IF(AND(G536="Paused — pending decision",E536&lt;&gt;"Precautionary pause (containment)"),"Paused, pending decision is only for a Precautionary pause event",IF(AND(E536="Decision",OR(G536="",H536="",I536="")),"Outcome / delegation / decision ref missing",IF(AND(E536="Decision",NOT(OR(G536="Progress",G536="Progress with condition",G536="Return for evidence",G536="Pause",G536="Stop",G536="Suspend",G536="Decommission",G536="Re-authorise",G536="Resume"))),"Decision event needs a decision outcome",IF(AND(E536="Priority override",OR(H536="",I536="")),"Decision-maker / AIG-DEC-03 ref missing",IF(AND(E536="Priority override",G536&lt;&gt;"",G536&lt;&gt;"No decision"),"Priority override: Outcome blank or No decision",IF(AND(E536&lt;&gt;"Decision",OR(G536="Progress",G536="Progress with condition",G536="Return for evidence",G536="Pause",G536="Stop",G536="Suspend",G536="Decommission",G536="Re-authorise",G536="Resume")),"Outcome implies decision",IF(OR(ISNUMBER(SEARCH(",",O536)),ISNUMBER(SEARCH(";",O536))),"One UC-ID per event row — split this event",IF(AND(E536="Decision",OR(Q536="UC-ID REQUIRED",Q536="Decision scope missing",Q536="REMOVE UC-ID OR CORRECT SCOPE")),"Decision scope missing",IF(AND(G536="Progress with condition",COUNTIF(Conditions!$B$4:$B$553,A536)=0),"Progress with condition needs at least one Conditions row",IF(AND(C536&lt;&gt;"",COUNTIFS('Gate plan'!$A$4:$A$353,C536,'Gate plan'!$C$4:$C$353,D536)=0),"Plan gate differs from event gate",IF(AND(C536&lt;&gt;"",O536&lt;&gt;"",COUNTIFS('Gate plan'!$A$4:$A$353,C536,'Gate plan'!$K$4:$K$353,"&lt;&gt;")&gt;0,COUNTIFS('Gate plan'!$A$4:$A$353,C536,'Gate plan'!$K$4:$K$353,O536)=0),"Plan UC-ID differs from event UC-ID",IF(AND(E536="Assurance opinion",J536=""),"Assurance opinion ref missing",IF(AND(G536="Opinion only",E536&lt;&gt;"Assurance opinion",E536&lt;&gt;"Review only"),"Opinion only is for Assurance opinion or Review only events",IF(AND(G536="No decision",E536&lt;&gt;"Review only",E536&lt;&gt;"Priority override",E536&lt;&gt;"Intake / registration"),"No decision is for Review only, Priority override or Intake / registration events",IF(OR(ISNUMBER(SEARCH(" ",TRIM(O536))),ISNUMBER(SEARCH("/",O536))),"One UC-ID per event row: split this event",IF(AND(E536="Precautionary pause (containment)",ISNUMBER(W536),ISNUMBER(F536),W536&lt;F536),"Follow-up decision due date is before the pause",IF(AND(G536="Resume",IFERROR(LOOKUP(2,1/(($B$3:B535=B536)*($O$3:O535=O536)),$G$3:G535),"")&lt;&gt;"Paused — pending decision"),"Resume is only for the event straight after a Precautionary pause on the same AIR-ID and UC-ID (in an earlier row)",IF(AND(E536="Decision",OR(G536="Progress",G536="Progress with condition",G536="Re-authorise",G536="Resume"),X536&lt;&gt;"Yes"),"Decision-maker has not confirmed the screening was considered (column X)","Check against source")))))))))))))))))))))))))))))</f>
        <v/>
      </c>
      <c r="O536" s="37" t="n"/>
      <c r="P536" s="37" t="n"/>
      <c r="Q536" s="14">
        <f>IF(A536="","",IF(E536&lt;&gt;"Decision","",IF(P536="UC-ID specific",IF(O536="","UC-ID REQUIRED","Check source decision for each UC-ID"),IF(P536="Shared system baseline",IF(O536&lt;&gt;"","REMOVE UC-ID OR CORRECT SCOPE","Baseline only — NOT UC approval"),"Decision scope missing"))))</f>
        <v/>
      </c>
      <c r="R536" s="42" t="n"/>
      <c r="S536" s="38" t="n"/>
      <c r="T536" s="38" t="n"/>
      <c r="U536" s="38" t="n"/>
      <c r="V536" s="38" t="n"/>
      <c r="W536" s="39" t="n"/>
      <c r="X536" s="38" t="n"/>
    </row>
    <row r="537">
      <c r="A537" s="40" t="n"/>
      <c r="B537" s="40" t="n"/>
      <c r="C537" s="40" t="n"/>
      <c r="D537" s="40" t="n"/>
      <c r="E537" s="40" t="n"/>
      <c r="F537" s="41" t="n"/>
      <c r="G537" s="40" t="n"/>
      <c r="H537" s="40" t="n"/>
      <c r="I537" s="40" t="n"/>
      <c r="J537" s="40" t="n"/>
      <c r="K537" s="40" t="n"/>
      <c r="L537" s="40" t="n"/>
      <c r="M537" s="40" t="n"/>
      <c r="N537" s="24">
        <f>IF(COUNTA(A537:M537,O537:P537,R537:X537)=0,"",IF(OR(A537="",B537="",F537=""),"Event ID, AIR-ID or date missing",IF(COUNTIF($A$4:$A$553,A537)&gt;1,"Duplicate Event ID",IF(E537="","Event type missing",IF(OR(NOT(ISNUMBER(F537)),F537&gt;TODAY()),"Date is not a real date or is in the future",IF(AND(C537&lt;&gt;"",COUNTIF('Gate plan'!$A$4:$A$353,C537)=0),"Plan ID not found in Gate plan",IF(AND(C537&lt;&gt;"",COUNTIFS('Gate plan'!$A$4:$A$353,C537,'Gate plan'!$B$4:$B$353,B537)=0),"Plan AIR-ID differs from event",IF(D537="","Gate / forum missing",IF(AND(E537="Precautionary pause (containment)",G537&lt;&gt;"Paused — pending decision"),"Precautionary pause: Outcome must be Paused, pending decision",IF(AND(E537="Precautionary pause (containment)",V537=""),"Precautionary pause: AIG-OPS-03 incident ref missing",IF(AND(E537="Precautionary pause (containment)",NOT(ISNUMBER(W537))),"Precautionary pause: follow-up decision due date missing",IF(AND(G537="Paused — pending decision",E537&lt;&gt;"Precautionary pause (containment)"),"Paused, pending decision is only for a Precautionary pause event",IF(AND(E537="Decision",OR(G537="",H537="",I537="")),"Outcome / delegation / decision ref missing",IF(AND(E537="Decision",NOT(OR(G537="Progress",G537="Progress with condition",G537="Return for evidence",G537="Pause",G537="Stop",G537="Suspend",G537="Decommission",G537="Re-authorise",G537="Resume"))),"Decision event needs a decision outcome",IF(AND(E537="Priority override",OR(H537="",I537="")),"Decision-maker / AIG-DEC-03 ref missing",IF(AND(E537="Priority override",G537&lt;&gt;"",G537&lt;&gt;"No decision"),"Priority override: Outcome blank or No decision",IF(AND(E537&lt;&gt;"Decision",OR(G537="Progress",G537="Progress with condition",G537="Return for evidence",G537="Pause",G537="Stop",G537="Suspend",G537="Decommission",G537="Re-authorise",G537="Resume")),"Outcome implies decision",IF(OR(ISNUMBER(SEARCH(",",O537)),ISNUMBER(SEARCH(";",O537))),"One UC-ID per event row — split this event",IF(AND(E537="Decision",OR(Q537="UC-ID REQUIRED",Q537="Decision scope missing",Q537="REMOVE UC-ID OR CORRECT SCOPE")),"Decision scope missing",IF(AND(G537="Progress with condition",COUNTIF(Conditions!$B$4:$B$553,A537)=0),"Progress with condition needs at least one Conditions row",IF(AND(C537&lt;&gt;"",COUNTIFS('Gate plan'!$A$4:$A$353,C537,'Gate plan'!$C$4:$C$353,D537)=0),"Plan gate differs from event gate",IF(AND(C537&lt;&gt;"",O537&lt;&gt;"",COUNTIFS('Gate plan'!$A$4:$A$353,C537,'Gate plan'!$K$4:$K$353,"&lt;&gt;")&gt;0,COUNTIFS('Gate plan'!$A$4:$A$353,C537,'Gate plan'!$K$4:$K$353,O537)=0),"Plan UC-ID differs from event UC-ID",IF(AND(E537="Assurance opinion",J537=""),"Assurance opinion ref missing",IF(AND(G537="Opinion only",E537&lt;&gt;"Assurance opinion",E537&lt;&gt;"Review only"),"Opinion only is for Assurance opinion or Review only events",IF(AND(G537="No decision",E537&lt;&gt;"Review only",E537&lt;&gt;"Priority override",E537&lt;&gt;"Intake / registration"),"No decision is for Review only, Priority override or Intake / registration events",IF(OR(ISNUMBER(SEARCH(" ",TRIM(O537))),ISNUMBER(SEARCH("/",O537))),"One UC-ID per event row: split this event",IF(AND(E537="Precautionary pause (containment)",ISNUMBER(W537),ISNUMBER(F537),W537&lt;F537),"Follow-up decision due date is before the pause",IF(AND(G537="Resume",IFERROR(LOOKUP(2,1/(($B$3:B536=B537)*($O$3:O536=O537)),$G$3:G536),"")&lt;&gt;"Paused — pending decision"),"Resume is only for the event straight after a Precautionary pause on the same AIR-ID and UC-ID (in an earlier row)",IF(AND(E537="Decision",OR(G537="Progress",G537="Progress with condition",G537="Re-authorise",G537="Resume"),X537&lt;&gt;"Yes"),"Decision-maker has not confirmed the screening was considered (column X)","Check against source")))))))))))))))))))))))))))))</f>
        <v/>
      </c>
      <c r="O537" s="37" t="n"/>
      <c r="P537" s="37" t="n"/>
      <c r="Q537" s="14">
        <f>IF(A537="","",IF(E537&lt;&gt;"Decision","",IF(P537="UC-ID specific",IF(O537="","UC-ID REQUIRED","Check source decision for each UC-ID"),IF(P537="Shared system baseline",IF(O537&lt;&gt;"","REMOVE UC-ID OR CORRECT SCOPE","Baseline only — NOT UC approval"),"Decision scope missing"))))</f>
        <v/>
      </c>
      <c r="R537" s="43" t="n"/>
      <c r="S537" s="40" t="n"/>
      <c r="T537" s="40" t="n"/>
      <c r="U537" s="40" t="n"/>
      <c r="V537" s="40" t="n"/>
      <c r="W537" s="41" t="n"/>
      <c r="X537" s="38" t="n"/>
    </row>
    <row r="538">
      <c r="A538" s="38" t="n"/>
      <c r="B538" s="38" t="n"/>
      <c r="C538" s="38" t="n"/>
      <c r="D538" s="38" t="n"/>
      <c r="E538" s="38" t="n"/>
      <c r="F538" s="39" t="n"/>
      <c r="G538" s="38" t="n"/>
      <c r="H538" s="38" t="n"/>
      <c r="I538" s="38" t="n"/>
      <c r="J538" s="38" t="n"/>
      <c r="K538" s="38" t="n"/>
      <c r="L538" s="38" t="n"/>
      <c r="M538" s="38" t="n"/>
      <c r="N538" s="22">
        <f>IF(COUNTA(A538:M538,O538:P538,R538:X538)=0,"",IF(OR(A538="",B538="",F538=""),"Event ID, AIR-ID or date missing",IF(COUNTIF($A$4:$A$553,A538)&gt;1,"Duplicate Event ID",IF(E538="","Event type missing",IF(OR(NOT(ISNUMBER(F538)),F538&gt;TODAY()),"Date is not a real date or is in the future",IF(AND(C538&lt;&gt;"",COUNTIF('Gate plan'!$A$4:$A$353,C538)=0),"Plan ID not found in Gate plan",IF(AND(C538&lt;&gt;"",COUNTIFS('Gate plan'!$A$4:$A$353,C538,'Gate plan'!$B$4:$B$353,B538)=0),"Plan AIR-ID differs from event",IF(D538="","Gate / forum missing",IF(AND(E538="Precautionary pause (containment)",G538&lt;&gt;"Paused — pending decision"),"Precautionary pause: Outcome must be Paused, pending decision",IF(AND(E538="Precautionary pause (containment)",V538=""),"Precautionary pause: AIG-OPS-03 incident ref missing",IF(AND(E538="Precautionary pause (containment)",NOT(ISNUMBER(W538))),"Precautionary pause: follow-up decision due date missing",IF(AND(G538="Paused — pending decision",E538&lt;&gt;"Precautionary pause (containment)"),"Paused, pending decision is only for a Precautionary pause event",IF(AND(E538="Decision",OR(G538="",H538="",I538="")),"Outcome / delegation / decision ref missing",IF(AND(E538="Decision",NOT(OR(G538="Progress",G538="Progress with condition",G538="Return for evidence",G538="Pause",G538="Stop",G538="Suspend",G538="Decommission",G538="Re-authorise",G538="Resume"))),"Decision event needs a decision outcome",IF(AND(E538="Priority override",OR(H538="",I538="")),"Decision-maker / AIG-DEC-03 ref missing",IF(AND(E538="Priority override",G538&lt;&gt;"",G538&lt;&gt;"No decision"),"Priority override: Outcome blank or No decision",IF(AND(E538&lt;&gt;"Decision",OR(G538="Progress",G538="Progress with condition",G538="Return for evidence",G538="Pause",G538="Stop",G538="Suspend",G538="Decommission",G538="Re-authorise",G538="Resume")),"Outcome implies decision",IF(OR(ISNUMBER(SEARCH(",",O538)),ISNUMBER(SEARCH(";",O538))),"One UC-ID per event row — split this event",IF(AND(E538="Decision",OR(Q538="UC-ID REQUIRED",Q538="Decision scope missing",Q538="REMOVE UC-ID OR CORRECT SCOPE")),"Decision scope missing",IF(AND(G538="Progress with condition",COUNTIF(Conditions!$B$4:$B$553,A538)=0),"Progress with condition needs at least one Conditions row",IF(AND(C538&lt;&gt;"",COUNTIFS('Gate plan'!$A$4:$A$353,C538,'Gate plan'!$C$4:$C$353,D538)=0),"Plan gate differs from event gate",IF(AND(C538&lt;&gt;"",O538&lt;&gt;"",COUNTIFS('Gate plan'!$A$4:$A$353,C538,'Gate plan'!$K$4:$K$353,"&lt;&gt;")&gt;0,COUNTIFS('Gate plan'!$A$4:$A$353,C538,'Gate plan'!$K$4:$K$353,O538)=0),"Plan UC-ID differs from event UC-ID",IF(AND(E538="Assurance opinion",J538=""),"Assurance opinion ref missing",IF(AND(G538="Opinion only",E538&lt;&gt;"Assurance opinion",E538&lt;&gt;"Review only"),"Opinion only is for Assurance opinion or Review only events",IF(AND(G538="No decision",E538&lt;&gt;"Review only",E538&lt;&gt;"Priority override",E538&lt;&gt;"Intake / registration"),"No decision is for Review only, Priority override or Intake / registration events",IF(OR(ISNUMBER(SEARCH(" ",TRIM(O538))),ISNUMBER(SEARCH("/",O538))),"One UC-ID per event row: split this event",IF(AND(E538="Precautionary pause (containment)",ISNUMBER(W538),ISNUMBER(F538),W538&lt;F538),"Follow-up decision due date is before the pause",IF(AND(G538="Resume",IFERROR(LOOKUP(2,1/(($B$3:B537=B538)*($O$3:O537=O538)),$G$3:G537),"")&lt;&gt;"Paused — pending decision"),"Resume is only for the event straight after a Precautionary pause on the same AIR-ID and UC-ID (in an earlier row)",IF(AND(E538="Decision",OR(G538="Progress",G538="Progress with condition",G538="Re-authorise",G538="Resume"),X538&lt;&gt;"Yes"),"Decision-maker has not confirmed the screening was considered (column X)","Check against source")))))))))))))))))))))))))))))</f>
        <v/>
      </c>
      <c r="O538" s="37" t="n"/>
      <c r="P538" s="37" t="n"/>
      <c r="Q538" s="14">
        <f>IF(A538="","",IF(E538&lt;&gt;"Decision","",IF(P538="UC-ID specific",IF(O538="","UC-ID REQUIRED","Check source decision for each UC-ID"),IF(P538="Shared system baseline",IF(O538&lt;&gt;"","REMOVE UC-ID OR CORRECT SCOPE","Baseline only — NOT UC approval"),"Decision scope missing"))))</f>
        <v/>
      </c>
      <c r="R538" s="42" t="n"/>
      <c r="S538" s="38" t="n"/>
      <c r="T538" s="38" t="n"/>
      <c r="U538" s="38" t="n"/>
      <c r="V538" s="38" t="n"/>
      <c r="W538" s="39" t="n"/>
      <c r="X538" s="38" t="n"/>
    </row>
    <row r="539">
      <c r="A539" s="40" t="n"/>
      <c r="B539" s="40" t="n"/>
      <c r="C539" s="40" t="n"/>
      <c r="D539" s="40" t="n"/>
      <c r="E539" s="40" t="n"/>
      <c r="F539" s="41" t="n"/>
      <c r="G539" s="40" t="n"/>
      <c r="H539" s="40" t="n"/>
      <c r="I539" s="40" t="n"/>
      <c r="J539" s="40" t="n"/>
      <c r="K539" s="40" t="n"/>
      <c r="L539" s="40" t="n"/>
      <c r="M539" s="40" t="n"/>
      <c r="N539" s="24">
        <f>IF(COUNTA(A539:M539,O539:P539,R539:X539)=0,"",IF(OR(A539="",B539="",F539=""),"Event ID, AIR-ID or date missing",IF(COUNTIF($A$4:$A$553,A539)&gt;1,"Duplicate Event ID",IF(E539="","Event type missing",IF(OR(NOT(ISNUMBER(F539)),F539&gt;TODAY()),"Date is not a real date or is in the future",IF(AND(C539&lt;&gt;"",COUNTIF('Gate plan'!$A$4:$A$353,C539)=0),"Plan ID not found in Gate plan",IF(AND(C539&lt;&gt;"",COUNTIFS('Gate plan'!$A$4:$A$353,C539,'Gate plan'!$B$4:$B$353,B539)=0),"Plan AIR-ID differs from event",IF(D539="","Gate / forum missing",IF(AND(E539="Precautionary pause (containment)",G539&lt;&gt;"Paused — pending decision"),"Precautionary pause: Outcome must be Paused, pending decision",IF(AND(E539="Precautionary pause (containment)",V539=""),"Precautionary pause: AIG-OPS-03 incident ref missing",IF(AND(E539="Precautionary pause (containment)",NOT(ISNUMBER(W539))),"Precautionary pause: follow-up decision due date missing",IF(AND(G539="Paused — pending decision",E539&lt;&gt;"Precautionary pause (containment)"),"Paused, pending decision is only for a Precautionary pause event",IF(AND(E539="Decision",OR(G539="",H539="",I539="")),"Outcome / delegation / decision ref missing",IF(AND(E539="Decision",NOT(OR(G539="Progress",G539="Progress with condition",G539="Return for evidence",G539="Pause",G539="Stop",G539="Suspend",G539="Decommission",G539="Re-authorise",G539="Resume"))),"Decision event needs a decision outcome",IF(AND(E539="Priority override",OR(H539="",I539="")),"Decision-maker / AIG-DEC-03 ref missing",IF(AND(E539="Priority override",G539&lt;&gt;"",G539&lt;&gt;"No decision"),"Priority override: Outcome blank or No decision",IF(AND(E539&lt;&gt;"Decision",OR(G539="Progress",G539="Progress with condition",G539="Return for evidence",G539="Pause",G539="Stop",G539="Suspend",G539="Decommission",G539="Re-authorise",G539="Resume")),"Outcome implies decision",IF(OR(ISNUMBER(SEARCH(",",O539)),ISNUMBER(SEARCH(";",O539))),"One UC-ID per event row — split this event",IF(AND(E539="Decision",OR(Q539="UC-ID REQUIRED",Q539="Decision scope missing",Q539="REMOVE UC-ID OR CORRECT SCOPE")),"Decision scope missing",IF(AND(G539="Progress with condition",COUNTIF(Conditions!$B$4:$B$553,A539)=0),"Progress with condition needs at least one Conditions row",IF(AND(C539&lt;&gt;"",COUNTIFS('Gate plan'!$A$4:$A$353,C539,'Gate plan'!$C$4:$C$353,D539)=0),"Plan gate differs from event gate",IF(AND(C539&lt;&gt;"",O539&lt;&gt;"",COUNTIFS('Gate plan'!$A$4:$A$353,C539,'Gate plan'!$K$4:$K$353,"&lt;&gt;")&gt;0,COUNTIFS('Gate plan'!$A$4:$A$353,C539,'Gate plan'!$K$4:$K$353,O539)=0),"Plan UC-ID differs from event UC-ID",IF(AND(E539="Assurance opinion",J539=""),"Assurance opinion ref missing",IF(AND(G539="Opinion only",E539&lt;&gt;"Assurance opinion",E539&lt;&gt;"Review only"),"Opinion only is for Assurance opinion or Review only events",IF(AND(G539="No decision",E539&lt;&gt;"Review only",E539&lt;&gt;"Priority override",E539&lt;&gt;"Intake / registration"),"No decision is for Review only, Priority override or Intake / registration events",IF(OR(ISNUMBER(SEARCH(" ",TRIM(O539))),ISNUMBER(SEARCH("/",O539))),"One UC-ID per event row: split this event",IF(AND(E539="Precautionary pause (containment)",ISNUMBER(W539),ISNUMBER(F539),W539&lt;F539),"Follow-up decision due date is before the pause",IF(AND(G539="Resume",IFERROR(LOOKUP(2,1/(($B$3:B538=B539)*($O$3:O538=O539)),$G$3:G538),"")&lt;&gt;"Paused — pending decision"),"Resume is only for the event straight after a Precautionary pause on the same AIR-ID and UC-ID (in an earlier row)",IF(AND(E539="Decision",OR(G539="Progress",G539="Progress with condition",G539="Re-authorise",G539="Resume"),X539&lt;&gt;"Yes"),"Decision-maker has not confirmed the screening was considered (column X)","Check against source")))))))))))))))))))))))))))))</f>
        <v/>
      </c>
      <c r="O539" s="37" t="n"/>
      <c r="P539" s="37" t="n"/>
      <c r="Q539" s="14">
        <f>IF(A539="","",IF(E539&lt;&gt;"Decision","",IF(P539="UC-ID specific",IF(O539="","UC-ID REQUIRED","Check source decision for each UC-ID"),IF(P539="Shared system baseline",IF(O539&lt;&gt;"","REMOVE UC-ID OR CORRECT SCOPE","Baseline only — NOT UC approval"),"Decision scope missing"))))</f>
        <v/>
      </c>
      <c r="R539" s="43" t="n"/>
      <c r="S539" s="40" t="n"/>
      <c r="T539" s="40" t="n"/>
      <c r="U539" s="40" t="n"/>
      <c r="V539" s="40" t="n"/>
      <c r="W539" s="41" t="n"/>
      <c r="X539" s="38" t="n"/>
    </row>
    <row r="540">
      <c r="A540" s="38" t="n"/>
      <c r="B540" s="38" t="n"/>
      <c r="C540" s="38" t="n"/>
      <c r="D540" s="38" t="n"/>
      <c r="E540" s="38" t="n"/>
      <c r="F540" s="39" t="n"/>
      <c r="G540" s="38" t="n"/>
      <c r="H540" s="38" t="n"/>
      <c r="I540" s="38" t="n"/>
      <c r="J540" s="38" t="n"/>
      <c r="K540" s="38" t="n"/>
      <c r="L540" s="38" t="n"/>
      <c r="M540" s="38" t="n"/>
      <c r="N540" s="22">
        <f>IF(COUNTA(A540:M540,O540:P540,R540:X540)=0,"",IF(OR(A540="",B540="",F540=""),"Event ID, AIR-ID or date missing",IF(COUNTIF($A$4:$A$553,A540)&gt;1,"Duplicate Event ID",IF(E540="","Event type missing",IF(OR(NOT(ISNUMBER(F540)),F540&gt;TODAY()),"Date is not a real date or is in the future",IF(AND(C540&lt;&gt;"",COUNTIF('Gate plan'!$A$4:$A$353,C540)=0),"Plan ID not found in Gate plan",IF(AND(C540&lt;&gt;"",COUNTIFS('Gate plan'!$A$4:$A$353,C540,'Gate plan'!$B$4:$B$353,B540)=0),"Plan AIR-ID differs from event",IF(D540="","Gate / forum missing",IF(AND(E540="Precautionary pause (containment)",G540&lt;&gt;"Paused — pending decision"),"Precautionary pause: Outcome must be Paused, pending decision",IF(AND(E540="Precautionary pause (containment)",V540=""),"Precautionary pause: AIG-OPS-03 incident ref missing",IF(AND(E540="Precautionary pause (containment)",NOT(ISNUMBER(W540))),"Precautionary pause: follow-up decision due date missing",IF(AND(G540="Paused — pending decision",E540&lt;&gt;"Precautionary pause (containment)"),"Paused, pending decision is only for a Precautionary pause event",IF(AND(E540="Decision",OR(G540="",H540="",I540="")),"Outcome / delegation / decision ref missing",IF(AND(E540="Decision",NOT(OR(G540="Progress",G540="Progress with condition",G540="Return for evidence",G540="Pause",G540="Stop",G540="Suspend",G540="Decommission",G540="Re-authorise",G540="Resume"))),"Decision event needs a decision outcome",IF(AND(E540="Priority override",OR(H540="",I540="")),"Decision-maker / AIG-DEC-03 ref missing",IF(AND(E540="Priority override",G540&lt;&gt;"",G540&lt;&gt;"No decision"),"Priority override: Outcome blank or No decision",IF(AND(E540&lt;&gt;"Decision",OR(G540="Progress",G540="Progress with condition",G540="Return for evidence",G540="Pause",G540="Stop",G540="Suspend",G540="Decommission",G540="Re-authorise",G540="Resume")),"Outcome implies decision",IF(OR(ISNUMBER(SEARCH(",",O540)),ISNUMBER(SEARCH(";",O540))),"One UC-ID per event row — split this event",IF(AND(E540="Decision",OR(Q540="UC-ID REQUIRED",Q540="Decision scope missing",Q540="REMOVE UC-ID OR CORRECT SCOPE")),"Decision scope missing",IF(AND(G540="Progress with condition",COUNTIF(Conditions!$B$4:$B$553,A540)=0),"Progress with condition needs at least one Conditions row",IF(AND(C540&lt;&gt;"",COUNTIFS('Gate plan'!$A$4:$A$353,C540,'Gate plan'!$C$4:$C$353,D540)=0),"Plan gate differs from event gate",IF(AND(C540&lt;&gt;"",O540&lt;&gt;"",COUNTIFS('Gate plan'!$A$4:$A$353,C540,'Gate plan'!$K$4:$K$353,"&lt;&gt;")&gt;0,COUNTIFS('Gate plan'!$A$4:$A$353,C540,'Gate plan'!$K$4:$K$353,O540)=0),"Plan UC-ID differs from event UC-ID",IF(AND(E540="Assurance opinion",J540=""),"Assurance opinion ref missing",IF(AND(G540="Opinion only",E540&lt;&gt;"Assurance opinion",E540&lt;&gt;"Review only"),"Opinion only is for Assurance opinion or Review only events",IF(AND(G540="No decision",E540&lt;&gt;"Review only",E540&lt;&gt;"Priority override",E540&lt;&gt;"Intake / registration"),"No decision is for Review only, Priority override or Intake / registration events",IF(OR(ISNUMBER(SEARCH(" ",TRIM(O540))),ISNUMBER(SEARCH("/",O540))),"One UC-ID per event row: split this event",IF(AND(E540="Precautionary pause (containment)",ISNUMBER(W540),ISNUMBER(F540),W540&lt;F540),"Follow-up decision due date is before the pause",IF(AND(G540="Resume",IFERROR(LOOKUP(2,1/(($B$3:B539=B540)*($O$3:O539=O540)),$G$3:G539),"")&lt;&gt;"Paused — pending decision"),"Resume is only for the event straight after a Precautionary pause on the same AIR-ID and UC-ID (in an earlier row)",IF(AND(E540="Decision",OR(G540="Progress",G540="Progress with condition",G540="Re-authorise",G540="Resume"),X540&lt;&gt;"Yes"),"Decision-maker has not confirmed the screening was considered (column X)","Check against source")))))))))))))))))))))))))))))</f>
        <v/>
      </c>
      <c r="O540" s="37" t="n"/>
      <c r="P540" s="37" t="n"/>
      <c r="Q540" s="14">
        <f>IF(A540="","",IF(E540&lt;&gt;"Decision","",IF(P540="UC-ID specific",IF(O540="","UC-ID REQUIRED","Check source decision for each UC-ID"),IF(P540="Shared system baseline",IF(O540&lt;&gt;"","REMOVE UC-ID OR CORRECT SCOPE","Baseline only — NOT UC approval"),"Decision scope missing"))))</f>
        <v/>
      </c>
      <c r="R540" s="42" t="n"/>
      <c r="S540" s="38" t="n"/>
      <c r="T540" s="38" t="n"/>
      <c r="U540" s="38" t="n"/>
      <c r="V540" s="38" t="n"/>
      <c r="W540" s="39" t="n"/>
      <c r="X540" s="38" t="n"/>
    </row>
    <row r="541">
      <c r="A541" s="40" t="n"/>
      <c r="B541" s="40" t="n"/>
      <c r="C541" s="40" t="n"/>
      <c r="D541" s="40" t="n"/>
      <c r="E541" s="40" t="n"/>
      <c r="F541" s="41" t="n"/>
      <c r="G541" s="40" t="n"/>
      <c r="H541" s="40" t="n"/>
      <c r="I541" s="40" t="n"/>
      <c r="J541" s="40" t="n"/>
      <c r="K541" s="40" t="n"/>
      <c r="L541" s="40" t="n"/>
      <c r="M541" s="40" t="n"/>
      <c r="N541" s="24">
        <f>IF(COUNTA(A541:M541,O541:P541,R541:X541)=0,"",IF(OR(A541="",B541="",F541=""),"Event ID, AIR-ID or date missing",IF(COUNTIF($A$4:$A$553,A541)&gt;1,"Duplicate Event ID",IF(E541="","Event type missing",IF(OR(NOT(ISNUMBER(F541)),F541&gt;TODAY()),"Date is not a real date or is in the future",IF(AND(C541&lt;&gt;"",COUNTIF('Gate plan'!$A$4:$A$353,C541)=0),"Plan ID not found in Gate plan",IF(AND(C541&lt;&gt;"",COUNTIFS('Gate plan'!$A$4:$A$353,C541,'Gate plan'!$B$4:$B$353,B541)=0),"Plan AIR-ID differs from event",IF(D541="","Gate / forum missing",IF(AND(E541="Precautionary pause (containment)",G541&lt;&gt;"Paused — pending decision"),"Precautionary pause: Outcome must be Paused, pending decision",IF(AND(E541="Precautionary pause (containment)",V541=""),"Precautionary pause: AIG-OPS-03 incident ref missing",IF(AND(E541="Precautionary pause (containment)",NOT(ISNUMBER(W541))),"Precautionary pause: follow-up decision due date missing",IF(AND(G541="Paused — pending decision",E541&lt;&gt;"Precautionary pause (containment)"),"Paused, pending decision is only for a Precautionary pause event",IF(AND(E541="Decision",OR(G541="",H541="",I541="")),"Outcome / delegation / decision ref missing",IF(AND(E541="Decision",NOT(OR(G541="Progress",G541="Progress with condition",G541="Return for evidence",G541="Pause",G541="Stop",G541="Suspend",G541="Decommission",G541="Re-authorise",G541="Resume"))),"Decision event needs a decision outcome",IF(AND(E541="Priority override",OR(H541="",I541="")),"Decision-maker / AIG-DEC-03 ref missing",IF(AND(E541="Priority override",G541&lt;&gt;"",G541&lt;&gt;"No decision"),"Priority override: Outcome blank or No decision",IF(AND(E541&lt;&gt;"Decision",OR(G541="Progress",G541="Progress with condition",G541="Return for evidence",G541="Pause",G541="Stop",G541="Suspend",G541="Decommission",G541="Re-authorise",G541="Resume")),"Outcome implies decision",IF(OR(ISNUMBER(SEARCH(",",O541)),ISNUMBER(SEARCH(";",O541))),"One UC-ID per event row — split this event",IF(AND(E541="Decision",OR(Q541="UC-ID REQUIRED",Q541="Decision scope missing",Q541="REMOVE UC-ID OR CORRECT SCOPE")),"Decision scope missing",IF(AND(G541="Progress with condition",COUNTIF(Conditions!$B$4:$B$553,A541)=0),"Progress with condition needs at least one Conditions row",IF(AND(C541&lt;&gt;"",COUNTIFS('Gate plan'!$A$4:$A$353,C541,'Gate plan'!$C$4:$C$353,D541)=0),"Plan gate differs from event gate",IF(AND(C541&lt;&gt;"",O541&lt;&gt;"",COUNTIFS('Gate plan'!$A$4:$A$353,C541,'Gate plan'!$K$4:$K$353,"&lt;&gt;")&gt;0,COUNTIFS('Gate plan'!$A$4:$A$353,C541,'Gate plan'!$K$4:$K$353,O541)=0),"Plan UC-ID differs from event UC-ID",IF(AND(E541="Assurance opinion",J541=""),"Assurance opinion ref missing",IF(AND(G541="Opinion only",E541&lt;&gt;"Assurance opinion",E541&lt;&gt;"Review only"),"Opinion only is for Assurance opinion or Review only events",IF(AND(G541="No decision",E541&lt;&gt;"Review only",E541&lt;&gt;"Priority override",E541&lt;&gt;"Intake / registration"),"No decision is for Review only, Priority override or Intake / registration events",IF(OR(ISNUMBER(SEARCH(" ",TRIM(O541))),ISNUMBER(SEARCH("/",O541))),"One UC-ID per event row: split this event",IF(AND(E541="Precautionary pause (containment)",ISNUMBER(W541),ISNUMBER(F541),W541&lt;F541),"Follow-up decision due date is before the pause",IF(AND(G541="Resume",IFERROR(LOOKUP(2,1/(($B$3:B540=B541)*($O$3:O540=O541)),$G$3:G540),"")&lt;&gt;"Paused — pending decision"),"Resume is only for the event straight after a Precautionary pause on the same AIR-ID and UC-ID (in an earlier row)",IF(AND(E541="Decision",OR(G541="Progress",G541="Progress with condition",G541="Re-authorise",G541="Resume"),X541&lt;&gt;"Yes"),"Decision-maker has not confirmed the screening was considered (column X)","Check against source")))))))))))))))))))))))))))))</f>
        <v/>
      </c>
      <c r="O541" s="37" t="n"/>
      <c r="P541" s="37" t="n"/>
      <c r="Q541" s="14">
        <f>IF(A541="","",IF(E541&lt;&gt;"Decision","",IF(P541="UC-ID specific",IF(O541="","UC-ID REQUIRED","Check source decision for each UC-ID"),IF(P541="Shared system baseline",IF(O541&lt;&gt;"","REMOVE UC-ID OR CORRECT SCOPE","Baseline only — NOT UC approval"),"Decision scope missing"))))</f>
        <v/>
      </c>
      <c r="R541" s="43" t="n"/>
      <c r="S541" s="40" t="n"/>
      <c r="T541" s="40" t="n"/>
      <c r="U541" s="40" t="n"/>
      <c r="V541" s="40" t="n"/>
      <c r="W541" s="41" t="n"/>
      <c r="X541" s="38" t="n"/>
    </row>
    <row r="542">
      <c r="A542" s="38" t="n"/>
      <c r="B542" s="38" t="n"/>
      <c r="C542" s="38" t="n"/>
      <c r="D542" s="38" t="n"/>
      <c r="E542" s="38" t="n"/>
      <c r="F542" s="39" t="n"/>
      <c r="G542" s="38" t="n"/>
      <c r="H542" s="38" t="n"/>
      <c r="I542" s="38" t="n"/>
      <c r="J542" s="38" t="n"/>
      <c r="K542" s="38" t="n"/>
      <c r="L542" s="38" t="n"/>
      <c r="M542" s="38" t="n"/>
      <c r="N542" s="22">
        <f>IF(COUNTA(A542:M542,O542:P542,R542:X542)=0,"",IF(OR(A542="",B542="",F542=""),"Event ID, AIR-ID or date missing",IF(COUNTIF($A$4:$A$553,A542)&gt;1,"Duplicate Event ID",IF(E542="","Event type missing",IF(OR(NOT(ISNUMBER(F542)),F542&gt;TODAY()),"Date is not a real date or is in the future",IF(AND(C542&lt;&gt;"",COUNTIF('Gate plan'!$A$4:$A$353,C542)=0),"Plan ID not found in Gate plan",IF(AND(C542&lt;&gt;"",COUNTIFS('Gate plan'!$A$4:$A$353,C542,'Gate plan'!$B$4:$B$353,B542)=0),"Plan AIR-ID differs from event",IF(D542="","Gate / forum missing",IF(AND(E542="Precautionary pause (containment)",G542&lt;&gt;"Paused — pending decision"),"Precautionary pause: Outcome must be Paused, pending decision",IF(AND(E542="Precautionary pause (containment)",V542=""),"Precautionary pause: AIG-OPS-03 incident ref missing",IF(AND(E542="Precautionary pause (containment)",NOT(ISNUMBER(W542))),"Precautionary pause: follow-up decision due date missing",IF(AND(G542="Paused — pending decision",E542&lt;&gt;"Precautionary pause (containment)"),"Paused, pending decision is only for a Precautionary pause event",IF(AND(E542="Decision",OR(G542="",H542="",I542="")),"Outcome / delegation / decision ref missing",IF(AND(E542="Decision",NOT(OR(G542="Progress",G542="Progress with condition",G542="Return for evidence",G542="Pause",G542="Stop",G542="Suspend",G542="Decommission",G542="Re-authorise",G542="Resume"))),"Decision event needs a decision outcome",IF(AND(E542="Priority override",OR(H542="",I542="")),"Decision-maker / AIG-DEC-03 ref missing",IF(AND(E542="Priority override",G542&lt;&gt;"",G542&lt;&gt;"No decision"),"Priority override: Outcome blank or No decision",IF(AND(E542&lt;&gt;"Decision",OR(G542="Progress",G542="Progress with condition",G542="Return for evidence",G542="Pause",G542="Stop",G542="Suspend",G542="Decommission",G542="Re-authorise",G542="Resume")),"Outcome implies decision",IF(OR(ISNUMBER(SEARCH(",",O542)),ISNUMBER(SEARCH(";",O542))),"One UC-ID per event row — split this event",IF(AND(E542="Decision",OR(Q542="UC-ID REQUIRED",Q542="Decision scope missing",Q542="REMOVE UC-ID OR CORRECT SCOPE")),"Decision scope missing",IF(AND(G542="Progress with condition",COUNTIF(Conditions!$B$4:$B$553,A542)=0),"Progress with condition needs at least one Conditions row",IF(AND(C542&lt;&gt;"",COUNTIFS('Gate plan'!$A$4:$A$353,C542,'Gate plan'!$C$4:$C$353,D542)=0),"Plan gate differs from event gate",IF(AND(C542&lt;&gt;"",O542&lt;&gt;"",COUNTIFS('Gate plan'!$A$4:$A$353,C542,'Gate plan'!$K$4:$K$353,"&lt;&gt;")&gt;0,COUNTIFS('Gate plan'!$A$4:$A$353,C542,'Gate plan'!$K$4:$K$353,O542)=0),"Plan UC-ID differs from event UC-ID",IF(AND(E542="Assurance opinion",J542=""),"Assurance opinion ref missing",IF(AND(G542="Opinion only",E542&lt;&gt;"Assurance opinion",E542&lt;&gt;"Review only"),"Opinion only is for Assurance opinion or Review only events",IF(AND(G542="No decision",E542&lt;&gt;"Review only",E542&lt;&gt;"Priority override",E542&lt;&gt;"Intake / registration"),"No decision is for Review only, Priority override or Intake / registration events",IF(OR(ISNUMBER(SEARCH(" ",TRIM(O542))),ISNUMBER(SEARCH("/",O542))),"One UC-ID per event row: split this event",IF(AND(E542="Precautionary pause (containment)",ISNUMBER(W542),ISNUMBER(F542),W542&lt;F542),"Follow-up decision due date is before the pause",IF(AND(G542="Resume",IFERROR(LOOKUP(2,1/(($B$3:B541=B542)*($O$3:O541=O542)),$G$3:G541),"")&lt;&gt;"Paused — pending decision"),"Resume is only for the event straight after a Precautionary pause on the same AIR-ID and UC-ID (in an earlier row)",IF(AND(E542="Decision",OR(G542="Progress",G542="Progress with condition",G542="Re-authorise",G542="Resume"),X542&lt;&gt;"Yes"),"Decision-maker has not confirmed the screening was considered (column X)","Check against source")))))))))))))))))))))))))))))</f>
        <v/>
      </c>
      <c r="O542" s="37" t="n"/>
      <c r="P542" s="37" t="n"/>
      <c r="Q542" s="14">
        <f>IF(A542="","",IF(E542&lt;&gt;"Decision","",IF(P542="UC-ID specific",IF(O542="","UC-ID REQUIRED","Check source decision for each UC-ID"),IF(P542="Shared system baseline",IF(O542&lt;&gt;"","REMOVE UC-ID OR CORRECT SCOPE","Baseline only — NOT UC approval"),"Decision scope missing"))))</f>
        <v/>
      </c>
      <c r="R542" s="42" t="n"/>
      <c r="S542" s="38" t="n"/>
      <c r="T542" s="38" t="n"/>
      <c r="U542" s="38" t="n"/>
      <c r="V542" s="38" t="n"/>
      <c r="W542" s="39" t="n"/>
      <c r="X542" s="38" t="n"/>
    </row>
    <row r="543">
      <c r="A543" s="40" t="n"/>
      <c r="B543" s="40" t="n"/>
      <c r="C543" s="40" t="n"/>
      <c r="D543" s="40" t="n"/>
      <c r="E543" s="40" t="n"/>
      <c r="F543" s="41" t="n"/>
      <c r="G543" s="40" t="n"/>
      <c r="H543" s="40" t="n"/>
      <c r="I543" s="40" t="n"/>
      <c r="J543" s="40" t="n"/>
      <c r="K543" s="40" t="n"/>
      <c r="L543" s="40" t="n"/>
      <c r="M543" s="40" t="n"/>
      <c r="N543" s="24">
        <f>IF(COUNTA(A543:M543,O543:P543,R543:X543)=0,"",IF(OR(A543="",B543="",F543=""),"Event ID, AIR-ID or date missing",IF(COUNTIF($A$4:$A$553,A543)&gt;1,"Duplicate Event ID",IF(E543="","Event type missing",IF(OR(NOT(ISNUMBER(F543)),F543&gt;TODAY()),"Date is not a real date or is in the future",IF(AND(C543&lt;&gt;"",COUNTIF('Gate plan'!$A$4:$A$353,C543)=0),"Plan ID not found in Gate plan",IF(AND(C543&lt;&gt;"",COUNTIFS('Gate plan'!$A$4:$A$353,C543,'Gate plan'!$B$4:$B$353,B543)=0),"Plan AIR-ID differs from event",IF(D543="","Gate / forum missing",IF(AND(E543="Precautionary pause (containment)",G543&lt;&gt;"Paused — pending decision"),"Precautionary pause: Outcome must be Paused, pending decision",IF(AND(E543="Precautionary pause (containment)",V543=""),"Precautionary pause: AIG-OPS-03 incident ref missing",IF(AND(E543="Precautionary pause (containment)",NOT(ISNUMBER(W543))),"Precautionary pause: follow-up decision due date missing",IF(AND(G543="Paused — pending decision",E543&lt;&gt;"Precautionary pause (containment)"),"Paused, pending decision is only for a Precautionary pause event",IF(AND(E543="Decision",OR(G543="",H543="",I543="")),"Outcome / delegation / decision ref missing",IF(AND(E543="Decision",NOT(OR(G543="Progress",G543="Progress with condition",G543="Return for evidence",G543="Pause",G543="Stop",G543="Suspend",G543="Decommission",G543="Re-authorise",G543="Resume"))),"Decision event needs a decision outcome",IF(AND(E543="Priority override",OR(H543="",I543="")),"Decision-maker / AIG-DEC-03 ref missing",IF(AND(E543="Priority override",G543&lt;&gt;"",G543&lt;&gt;"No decision"),"Priority override: Outcome blank or No decision",IF(AND(E543&lt;&gt;"Decision",OR(G543="Progress",G543="Progress with condition",G543="Return for evidence",G543="Pause",G543="Stop",G543="Suspend",G543="Decommission",G543="Re-authorise",G543="Resume")),"Outcome implies decision",IF(OR(ISNUMBER(SEARCH(",",O543)),ISNUMBER(SEARCH(";",O543))),"One UC-ID per event row — split this event",IF(AND(E543="Decision",OR(Q543="UC-ID REQUIRED",Q543="Decision scope missing",Q543="REMOVE UC-ID OR CORRECT SCOPE")),"Decision scope missing",IF(AND(G543="Progress with condition",COUNTIF(Conditions!$B$4:$B$553,A543)=0),"Progress with condition needs at least one Conditions row",IF(AND(C543&lt;&gt;"",COUNTIFS('Gate plan'!$A$4:$A$353,C543,'Gate plan'!$C$4:$C$353,D543)=0),"Plan gate differs from event gate",IF(AND(C543&lt;&gt;"",O543&lt;&gt;"",COUNTIFS('Gate plan'!$A$4:$A$353,C543,'Gate plan'!$K$4:$K$353,"&lt;&gt;")&gt;0,COUNTIFS('Gate plan'!$A$4:$A$353,C543,'Gate plan'!$K$4:$K$353,O543)=0),"Plan UC-ID differs from event UC-ID",IF(AND(E543="Assurance opinion",J543=""),"Assurance opinion ref missing",IF(AND(G543="Opinion only",E543&lt;&gt;"Assurance opinion",E543&lt;&gt;"Review only"),"Opinion only is for Assurance opinion or Review only events",IF(AND(G543="No decision",E543&lt;&gt;"Review only",E543&lt;&gt;"Priority override",E543&lt;&gt;"Intake / registration"),"No decision is for Review only, Priority override or Intake / registration events",IF(OR(ISNUMBER(SEARCH(" ",TRIM(O543))),ISNUMBER(SEARCH("/",O543))),"One UC-ID per event row: split this event",IF(AND(E543="Precautionary pause (containment)",ISNUMBER(W543),ISNUMBER(F543),W543&lt;F543),"Follow-up decision due date is before the pause",IF(AND(G543="Resume",IFERROR(LOOKUP(2,1/(($B$3:B542=B543)*($O$3:O542=O543)),$G$3:G542),"")&lt;&gt;"Paused — pending decision"),"Resume is only for the event straight after a Precautionary pause on the same AIR-ID and UC-ID (in an earlier row)",IF(AND(E543="Decision",OR(G543="Progress",G543="Progress with condition",G543="Re-authorise",G543="Resume"),X543&lt;&gt;"Yes"),"Decision-maker has not confirmed the screening was considered (column X)","Check against source")))))))))))))))))))))))))))))</f>
        <v/>
      </c>
      <c r="O543" s="37" t="n"/>
      <c r="P543" s="37" t="n"/>
      <c r="Q543" s="14">
        <f>IF(A543="","",IF(E543&lt;&gt;"Decision","",IF(P543="UC-ID specific",IF(O543="","UC-ID REQUIRED","Check source decision for each UC-ID"),IF(P543="Shared system baseline",IF(O543&lt;&gt;"","REMOVE UC-ID OR CORRECT SCOPE","Baseline only — NOT UC approval"),"Decision scope missing"))))</f>
        <v/>
      </c>
      <c r="R543" s="43" t="n"/>
      <c r="S543" s="40" t="n"/>
      <c r="T543" s="40" t="n"/>
      <c r="U543" s="40" t="n"/>
      <c r="V543" s="40" t="n"/>
      <c r="W543" s="41" t="n"/>
      <c r="X543" s="38" t="n"/>
    </row>
    <row r="544">
      <c r="A544" s="38" t="n"/>
      <c r="B544" s="38" t="n"/>
      <c r="C544" s="38" t="n"/>
      <c r="D544" s="38" t="n"/>
      <c r="E544" s="38" t="n"/>
      <c r="F544" s="39" t="n"/>
      <c r="G544" s="38" t="n"/>
      <c r="H544" s="38" t="n"/>
      <c r="I544" s="38" t="n"/>
      <c r="J544" s="38" t="n"/>
      <c r="K544" s="38" t="n"/>
      <c r="L544" s="38" t="n"/>
      <c r="M544" s="38" t="n"/>
      <c r="N544" s="22">
        <f>IF(COUNTA(A544:M544,O544:P544,R544:X544)=0,"",IF(OR(A544="",B544="",F544=""),"Event ID, AIR-ID or date missing",IF(COUNTIF($A$4:$A$553,A544)&gt;1,"Duplicate Event ID",IF(E544="","Event type missing",IF(OR(NOT(ISNUMBER(F544)),F544&gt;TODAY()),"Date is not a real date or is in the future",IF(AND(C544&lt;&gt;"",COUNTIF('Gate plan'!$A$4:$A$353,C544)=0),"Plan ID not found in Gate plan",IF(AND(C544&lt;&gt;"",COUNTIFS('Gate plan'!$A$4:$A$353,C544,'Gate plan'!$B$4:$B$353,B544)=0),"Plan AIR-ID differs from event",IF(D544="","Gate / forum missing",IF(AND(E544="Precautionary pause (containment)",G544&lt;&gt;"Paused — pending decision"),"Precautionary pause: Outcome must be Paused, pending decision",IF(AND(E544="Precautionary pause (containment)",V544=""),"Precautionary pause: AIG-OPS-03 incident ref missing",IF(AND(E544="Precautionary pause (containment)",NOT(ISNUMBER(W544))),"Precautionary pause: follow-up decision due date missing",IF(AND(G544="Paused — pending decision",E544&lt;&gt;"Precautionary pause (containment)"),"Paused, pending decision is only for a Precautionary pause event",IF(AND(E544="Decision",OR(G544="",H544="",I544="")),"Outcome / delegation / decision ref missing",IF(AND(E544="Decision",NOT(OR(G544="Progress",G544="Progress with condition",G544="Return for evidence",G544="Pause",G544="Stop",G544="Suspend",G544="Decommission",G544="Re-authorise",G544="Resume"))),"Decision event needs a decision outcome",IF(AND(E544="Priority override",OR(H544="",I544="")),"Decision-maker / AIG-DEC-03 ref missing",IF(AND(E544="Priority override",G544&lt;&gt;"",G544&lt;&gt;"No decision"),"Priority override: Outcome blank or No decision",IF(AND(E544&lt;&gt;"Decision",OR(G544="Progress",G544="Progress with condition",G544="Return for evidence",G544="Pause",G544="Stop",G544="Suspend",G544="Decommission",G544="Re-authorise",G544="Resume")),"Outcome implies decision",IF(OR(ISNUMBER(SEARCH(",",O544)),ISNUMBER(SEARCH(";",O544))),"One UC-ID per event row — split this event",IF(AND(E544="Decision",OR(Q544="UC-ID REQUIRED",Q544="Decision scope missing",Q544="REMOVE UC-ID OR CORRECT SCOPE")),"Decision scope missing",IF(AND(G544="Progress with condition",COUNTIF(Conditions!$B$4:$B$553,A544)=0),"Progress with condition needs at least one Conditions row",IF(AND(C544&lt;&gt;"",COUNTIFS('Gate plan'!$A$4:$A$353,C544,'Gate plan'!$C$4:$C$353,D544)=0),"Plan gate differs from event gate",IF(AND(C544&lt;&gt;"",O544&lt;&gt;"",COUNTIFS('Gate plan'!$A$4:$A$353,C544,'Gate plan'!$K$4:$K$353,"&lt;&gt;")&gt;0,COUNTIFS('Gate plan'!$A$4:$A$353,C544,'Gate plan'!$K$4:$K$353,O544)=0),"Plan UC-ID differs from event UC-ID",IF(AND(E544="Assurance opinion",J544=""),"Assurance opinion ref missing",IF(AND(G544="Opinion only",E544&lt;&gt;"Assurance opinion",E544&lt;&gt;"Review only"),"Opinion only is for Assurance opinion or Review only events",IF(AND(G544="No decision",E544&lt;&gt;"Review only",E544&lt;&gt;"Priority override",E544&lt;&gt;"Intake / registration"),"No decision is for Review only, Priority override or Intake / registration events",IF(OR(ISNUMBER(SEARCH(" ",TRIM(O544))),ISNUMBER(SEARCH("/",O544))),"One UC-ID per event row: split this event",IF(AND(E544="Precautionary pause (containment)",ISNUMBER(W544),ISNUMBER(F544),W544&lt;F544),"Follow-up decision due date is before the pause",IF(AND(G544="Resume",IFERROR(LOOKUP(2,1/(($B$3:B543=B544)*($O$3:O543=O544)),$G$3:G543),"")&lt;&gt;"Paused — pending decision"),"Resume is only for the event straight after a Precautionary pause on the same AIR-ID and UC-ID (in an earlier row)",IF(AND(E544="Decision",OR(G544="Progress",G544="Progress with condition",G544="Re-authorise",G544="Resume"),X544&lt;&gt;"Yes"),"Decision-maker has not confirmed the screening was considered (column X)","Check against source")))))))))))))))))))))))))))))</f>
        <v/>
      </c>
      <c r="O544" s="37" t="n"/>
      <c r="P544" s="37" t="n"/>
      <c r="Q544" s="14">
        <f>IF(A544="","",IF(E544&lt;&gt;"Decision","",IF(P544="UC-ID specific",IF(O544="","UC-ID REQUIRED","Check source decision for each UC-ID"),IF(P544="Shared system baseline",IF(O544&lt;&gt;"","REMOVE UC-ID OR CORRECT SCOPE","Baseline only — NOT UC approval"),"Decision scope missing"))))</f>
        <v/>
      </c>
      <c r="R544" s="42" t="n"/>
      <c r="S544" s="38" t="n"/>
      <c r="T544" s="38" t="n"/>
      <c r="U544" s="38" t="n"/>
      <c r="V544" s="38" t="n"/>
      <c r="W544" s="39" t="n"/>
      <c r="X544" s="38" t="n"/>
    </row>
    <row r="545">
      <c r="A545" s="40" t="n"/>
      <c r="B545" s="40" t="n"/>
      <c r="C545" s="40" t="n"/>
      <c r="D545" s="40" t="n"/>
      <c r="E545" s="40" t="n"/>
      <c r="F545" s="41" t="n"/>
      <c r="G545" s="40" t="n"/>
      <c r="H545" s="40" t="n"/>
      <c r="I545" s="40" t="n"/>
      <c r="J545" s="40" t="n"/>
      <c r="K545" s="40" t="n"/>
      <c r="L545" s="40" t="n"/>
      <c r="M545" s="40" t="n"/>
      <c r="N545" s="24">
        <f>IF(COUNTA(A545:M545,O545:P545,R545:X545)=0,"",IF(OR(A545="",B545="",F545=""),"Event ID, AIR-ID or date missing",IF(COUNTIF($A$4:$A$553,A545)&gt;1,"Duplicate Event ID",IF(E545="","Event type missing",IF(OR(NOT(ISNUMBER(F545)),F545&gt;TODAY()),"Date is not a real date or is in the future",IF(AND(C545&lt;&gt;"",COUNTIF('Gate plan'!$A$4:$A$353,C545)=0),"Plan ID not found in Gate plan",IF(AND(C545&lt;&gt;"",COUNTIFS('Gate plan'!$A$4:$A$353,C545,'Gate plan'!$B$4:$B$353,B545)=0),"Plan AIR-ID differs from event",IF(D545="","Gate / forum missing",IF(AND(E545="Precautionary pause (containment)",G545&lt;&gt;"Paused — pending decision"),"Precautionary pause: Outcome must be Paused, pending decision",IF(AND(E545="Precautionary pause (containment)",V545=""),"Precautionary pause: AIG-OPS-03 incident ref missing",IF(AND(E545="Precautionary pause (containment)",NOT(ISNUMBER(W545))),"Precautionary pause: follow-up decision due date missing",IF(AND(G545="Paused — pending decision",E545&lt;&gt;"Precautionary pause (containment)"),"Paused, pending decision is only for a Precautionary pause event",IF(AND(E545="Decision",OR(G545="",H545="",I545="")),"Outcome / delegation / decision ref missing",IF(AND(E545="Decision",NOT(OR(G545="Progress",G545="Progress with condition",G545="Return for evidence",G545="Pause",G545="Stop",G545="Suspend",G545="Decommission",G545="Re-authorise",G545="Resume"))),"Decision event needs a decision outcome",IF(AND(E545="Priority override",OR(H545="",I545="")),"Decision-maker / AIG-DEC-03 ref missing",IF(AND(E545="Priority override",G545&lt;&gt;"",G545&lt;&gt;"No decision"),"Priority override: Outcome blank or No decision",IF(AND(E545&lt;&gt;"Decision",OR(G545="Progress",G545="Progress with condition",G545="Return for evidence",G545="Pause",G545="Stop",G545="Suspend",G545="Decommission",G545="Re-authorise",G545="Resume")),"Outcome implies decision",IF(OR(ISNUMBER(SEARCH(",",O545)),ISNUMBER(SEARCH(";",O545))),"One UC-ID per event row — split this event",IF(AND(E545="Decision",OR(Q545="UC-ID REQUIRED",Q545="Decision scope missing",Q545="REMOVE UC-ID OR CORRECT SCOPE")),"Decision scope missing",IF(AND(G545="Progress with condition",COUNTIF(Conditions!$B$4:$B$553,A545)=0),"Progress with condition needs at least one Conditions row",IF(AND(C545&lt;&gt;"",COUNTIFS('Gate plan'!$A$4:$A$353,C545,'Gate plan'!$C$4:$C$353,D545)=0),"Plan gate differs from event gate",IF(AND(C545&lt;&gt;"",O545&lt;&gt;"",COUNTIFS('Gate plan'!$A$4:$A$353,C545,'Gate plan'!$K$4:$K$353,"&lt;&gt;")&gt;0,COUNTIFS('Gate plan'!$A$4:$A$353,C545,'Gate plan'!$K$4:$K$353,O545)=0),"Plan UC-ID differs from event UC-ID",IF(AND(E545="Assurance opinion",J545=""),"Assurance opinion ref missing",IF(AND(G545="Opinion only",E545&lt;&gt;"Assurance opinion",E545&lt;&gt;"Review only"),"Opinion only is for Assurance opinion or Review only events",IF(AND(G545="No decision",E545&lt;&gt;"Review only",E545&lt;&gt;"Priority override",E545&lt;&gt;"Intake / registration"),"No decision is for Review only, Priority override or Intake / registration events",IF(OR(ISNUMBER(SEARCH(" ",TRIM(O545))),ISNUMBER(SEARCH("/",O545))),"One UC-ID per event row: split this event",IF(AND(E545="Precautionary pause (containment)",ISNUMBER(W545),ISNUMBER(F545),W545&lt;F545),"Follow-up decision due date is before the pause",IF(AND(G545="Resume",IFERROR(LOOKUP(2,1/(($B$3:B544=B545)*($O$3:O544=O545)),$G$3:G544),"")&lt;&gt;"Paused — pending decision"),"Resume is only for the event straight after a Precautionary pause on the same AIR-ID and UC-ID (in an earlier row)",IF(AND(E545="Decision",OR(G545="Progress",G545="Progress with condition",G545="Re-authorise",G545="Resume"),X545&lt;&gt;"Yes"),"Decision-maker has not confirmed the screening was considered (column X)","Check against source")))))))))))))))))))))))))))))</f>
        <v/>
      </c>
      <c r="O545" s="37" t="n"/>
      <c r="P545" s="37" t="n"/>
      <c r="Q545" s="14">
        <f>IF(A545="","",IF(E545&lt;&gt;"Decision","",IF(P545="UC-ID specific",IF(O545="","UC-ID REQUIRED","Check source decision for each UC-ID"),IF(P545="Shared system baseline",IF(O545&lt;&gt;"","REMOVE UC-ID OR CORRECT SCOPE","Baseline only — NOT UC approval"),"Decision scope missing"))))</f>
        <v/>
      </c>
      <c r="R545" s="43" t="n"/>
      <c r="S545" s="40" t="n"/>
      <c r="T545" s="40" t="n"/>
      <c r="U545" s="40" t="n"/>
      <c r="V545" s="40" t="n"/>
      <c r="W545" s="41" t="n"/>
      <c r="X545" s="38" t="n"/>
    </row>
    <row r="546">
      <c r="A546" s="38" t="n"/>
      <c r="B546" s="38" t="n"/>
      <c r="C546" s="38" t="n"/>
      <c r="D546" s="38" t="n"/>
      <c r="E546" s="38" t="n"/>
      <c r="F546" s="39" t="n"/>
      <c r="G546" s="38" t="n"/>
      <c r="H546" s="38" t="n"/>
      <c r="I546" s="38" t="n"/>
      <c r="J546" s="38" t="n"/>
      <c r="K546" s="38" t="n"/>
      <c r="L546" s="38" t="n"/>
      <c r="M546" s="38" t="n"/>
      <c r="N546" s="22">
        <f>IF(COUNTA(A546:M546,O546:P546,R546:X546)=0,"",IF(OR(A546="",B546="",F546=""),"Event ID, AIR-ID or date missing",IF(COUNTIF($A$4:$A$553,A546)&gt;1,"Duplicate Event ID",IF(E546="","Event type missing",IF(OR(NOT(ISNUMBER(F546)),F546&gt;TODAY()),"Date is not a real date or is in the future",IF(AND(C546&lt;&gt;"",COUNTIF('Gate plan'!$A$4:$A$353,C546)=0),"Plan ID not found in Gate plan",IF(AND(C546&lt;&gt;"",COUNTIFS('Gate plan'!$A$4:$A$353,C546,'Gate plan'!$B$4:$B$353,B546)=0),"Plan AIR-ID differs from event",IF(D546="","Gate / forum missing",IF(AND(E546="Precautionary pause (containment)",G546&lt;&gt;"Paused — pending decision"),"Precautionary pause: Outcome must be Paused, pending decision",IF(AND(E546="Precautionary pause (containment)",V546=""),"Precautionary pause: AIG-OPS-03 incident ref missing",IF(AND(E546="Precautionary pause (containment)",NOT(ISNUMBER(W546))),"Precautionary pause: follow-up decision due date missing",IF(AND(G546="Paused — pending decision",E546&lt;&gt;"Precautionary pause (containment)"),"Paused, pending decision is only for a Precautionary pause event",IF(AND(E546="Decision",OR(G546="",H546="",I546="")),"Outcome / delegation / decision ref missing",IF(AND(E546="Decision",NOT(OR(G546="Progress",G546="Progress with condition",G546="Return for evidence",G546="Pause",G546="Stop",G546="Suspend",G546="Decommission",G546="Re-authorise",G546="Resume"))),"Decision event needs a decision outcome",IF(AND(E546="Priority override",OR(H546="",I546="")),"Decision-maker / AIG-DEC-03 ref missing",IF(AND(E546="Priority override",G546&lt;&gt;"",G546&lt;&gt;"No decision"),"Priority override: Outcome blank or No decision",IF(AND(E546&lt;&gt;"Decision",OR(G546="Progress",G546="Progress with condition",G546="Return for evidence",G546="Pause",G546="Stop",G546="Suspend",G546="Decommission",G546="Re-authorise",G546="Resume")),"Outcome implies decision",IF(OR(ISNUMBER(SEARCH(",",O546)),ISNUMBER(SEARCH(";",O546))),"One UC-ID per event row — split this event",IF(AND(E546="Decision",OR(Q546="UC-ID REQUIRED",Q546="Decision scope missing",Q546="REMOVE UC-ID OR CORRECT SCOPE")),"Decision scope missing",IF(AND(G546="Progress with condition",COUNTIF(Conditions!$B$4:$B$553,A546)=0),"Progress with condition needs at least one Conditions row",IF(AND(C546&lt;&gt;"",COUNTIFS('Gate plan'!$A$4:$A$353,C546,'Gate plan'!$C$4:$C$353,D546)=0),"Plan gate differs from event gate",IF(AND(C546&lt;&gt;"",O546&lt;&gt;"",COUNTIFS('Gate plan'!$A$4:$A$353,C546,'Gate plan'!$K$4:$K$353,"&lt;&gt;")&gt;0,COUNTIFS('Gate plan'!$A$4:$A$353,C546,'Gate plan'!$K$4:$K$353,O546)=0),"Plan UC-ID differs from event UC-ID",IF(AND(E546="Assurance opinion",J546=""),"Assurance opinion ref missing",IF(AND(G546="Opinion only",E546&lt;&gt;"Assurance opinion",E546&lt;&gt;"Review only"),"Opinion only is for Assurance opinion or Review only events",IF(AND(G546="No decision",E546&lt;&gt;"Review only",E546&lt;&gt;"Priority override",E546&lt;&gt;"Intake / registration"),"No decision is for Review only, Priority override or Intake / registration events",IF(OR(ISNUMBER(SEARCH(" ",TRIM(O546))),ISNUMBER(SEARCH("/",O546))),"One UC-ID per event row: split this event",IF(AND(E546="Precautionary pause (containment)",ISNUMBER(W546),ISNUMBER(F546),W546&lt;F546),"Follow-up decision due date is before the pause",IF(AND(G546="Resume",IFERROR(LOOKUP(2,1/(($B$3:B545=B546)*($O$3:O545=O546)),$G$3:G545),"")&lt;&gt;"Paused — pending decision"),"Resume is only for the event straight after a Precautionary pause on the same AIR-ID and UC-ID (in an earlier row)",IF(AND(E546="Decision",OR(G546="Progress",G546="Progress with condition",G546="Re-authorise",G546="Resume"),X546&lt;&gt;"Yes"),"Decision-maker has not confirmed the screening was considered (column X)","Check against source")))))))))))))))))))))))))))))</f>
        <v/>
      </c>
      <c r="O546" s="37" t="n"/>
      <c r="P546" s="37" t="n"/>
      <c r="Q546" s="14">
        <f>IF(A546="","",IF(E546&lt;&gt;"Decision","",IF(P546="UC-ID specific",IF(O546="","UC-ID REQUIRED","Check source decision for each UC-ID"),IF(P546="Shared system baseline",IF(O546&lt;&gt;"","REMOVE UC-ID OR CORRECT SCOPE","Baseline only — NOT UC approval"),"Decision scope missing"))))</f>
        <v/>
      </c>
      <c r="R546" s="42" t="n"/>
      <c r="S546" s="38" t="n"/>
      <c r="T546" s="38" t="n"/>
      <c r="U546" s="38" t="n"/>
      <c r="V546" s="38" t="n"/>
      <c r="W546" s="39" t="n"/>
      <c r="X546" s="38" t="n"/>
    </row>
    <row r="547">
      <c r="A547" s="40" t="n"/>
      <c r="B547" s="40" t="n"/>
      <c r="C547" s="40" t="n"/>
      <c r="D547" s="40" t="n"/>
      <c r="E547" s="40" t="n"/>
      <c r="F547" s="41" t="n"/>
      <c r="G547" s="40" t="n"/>
      <c r="H547" s="40" t="n"/>
      <c r="I547" s="40" t="n"/>
      <c r="J547" s="40" t="n"/>
      <c r="K547" s="40" t="n"/>
      <c r="L547" s="40" t="n"/>
      <c r="M547" s="40" t="n"/>
      <c r="N547" s="24">
        <f>IF(COUNTA(A547:M547,O547:P547,R547:X547)=0,"",IF(OR(A547="",B547="",F547=""),"Event ID, AIR-ID or date missing",IF(COUNTIF($A$4:$A$553,A547)&gt;1,"Duplicate Event ID",IF(E547="","Event type missing",IF(OR(NOT(ISNUMBER(F547)),F547&gt;TODAY()),"Date is not a real date or is in the future",IF(AND(C547&lt;&gt;"",COUNTIF('Gate plan'!$A$4:$A$353,C547)=0),"Plan ID not found in Gate plan",IF(AND(C547&lt;&gt;"",COUNTIFS('Gate plan'!$A$4:$A$353,C547,'Gate plan'!$B$4:$B$353,B547)=0),"Plan AIR-ID differs from event",IF(D547="","Gate / forum missing",IF(AND(E547="Precautionary pause (containment)",G547&lt;&gt;"Paused — pending decision"),"Precautionary pause: Outcome must be Paused, pending decision",IF(AND(E547="Precautionary pause (containment)",V547=""),"Precautionary pause: AIG-OPS-03 incident ref missing",IF(AND(E547="Precautionary pause (containment)",NOT(ISNUMBER(W547))),"Precautionary pause: follow-up decision due date missing",IF(AND(G547="Paused — pending decision",E547&lt;&gt;"Precautionary pause (containment)"),"Paused, pending decision is only for a Precautionary pause event",IF(AND(E547="Decision",OR(G547="",H547="",I547="")),"Outcome / delegation / decision ref missing",IF(AND(E547="Decision",NOT(OR(G547="Progress",G547="Progress with condition",G547="Return for evidence",G547="Pause",G547="Stop",G547="Suspend",G547="Decommission",G547="Re-authorise",G547="Resume"))),"Decision event needs a decision outcome",IF(AND(E547="Priority override",OR(H547="",I547="")),"Decision-maker / AIG-DEC-03 ref missing",IF(AND(E547="Priority override",G547&lt;&gt;"",G547&lt;&gt;"No decision"),"Priority override: Outcome blank or No decision",IF(AND(E547&lt;&gt;"Decision",OR(G547="Progress",G547="Progress with condition",G547="Return for evidence",G547="Pause",G547="Stop",G547="Suspend",G547="Decommission",G547="Re-authorise",G547="Resume")),"Outcome implies decision",IF(OR(ISNUMBER(SEARCH(",",O547)),ISNUMBER(SEARCH(";",O547))),"One UC-ID per event row — split this event",IF(AND(E547="Decision",OR(Q547="UC-ID REQUIRED",Q547="Decision scope missing",Q547="REMOVE UC-ID OR CORRECT SCOPE")),"Decision scope missing",IF(AND(G547="Progress with condition",COUNTIF(Conditions!$B$4:$B$553,A547)=0),"Progress with condition needs at least one Conditions row",IF(AND(C547&lt;&gt;"",COUNTIFS('Gate plan'!$A$4:$A$353,C547,'Gate plan'!$C$4:$C$353,D547)=0),"Plan gate differs from event gate",IF(AND(C547&lt;&gt;"",O547&lt;&gt;"",COUNTIFS('Gate plan'!$A$4:$A$353,C547,'Gate plan'!$K$4:$K$353,"&lt;&gt;")&gt;0,COUNTIFS('Gate plan'!$A$4:$A$353,C547,'Gate plan'!$K$4:$K$353,O547)=0),"Plan UC-ID differs from event UC-ID",IF(AND(E547="Assurance opinion",J547=""),"Assurance opinion ref missing",IF(AND(G547="Opinion only",E547&lt;&gt;"Assurance opinion",E547&lt;&gt;"Review only"),"Opinion only is for Assurance opinion or Review only events",IF(AND(G547="No decision",E547&lt;&gt;"Review only",E547&lt;&gt;"Priority override",E547&lt;&gt;"Intake / registration"),"No decision is for Review only, Priority override or Intake / registration events",IF(OR(ISNUMBER(SEARCH(" ",TRIM(O547))),ISNUMBER(SEARCH("/",O547))),"One UC-ID per event row: split this event",IF(AND(E547="Precautionary pause (containment)",ISNUMBER(W547),ISNUMBER(F547),W547&lt;F547),"Follow-up decision due date is before the pause",IF(AND(G547="Resume",IFERROR(LOOKUP(2,1/(($B$3:B546=B547)*($O$3:O546=O547)),$G$3:G546),"")&lt;&gt;"Paused — pending decision"),"Resume is only for the event straight after a Precautionary pause on the same AIR-ID and UC-ID (in an earlier row)",IF(AND(E547="Decision",OR(G547="Progress",G547="Progress with condition",G547="Re-authorise",G547="Resume"),X547&lt;&gt;"Yes"),"Decision-maker has not confirmed the screening was considered (column X)","Check against source")))))))))))))))))))))))))))))</f>
        <v/>
      </c>
      <c r="O547" s="37" t="n"/>
      <c r="P547" s="37" t="n"/>
      <c r="Q547" s="14">
        <f>IF(A547="","",IF(E547&lt;&gt;"Decision","",IF(P547="UC-ID specific",IF(O547="","UC-ID REQUIRED","Check source decision for each UC-ID"),IF(P547="Shared system baseline",IF(O547&lt;&gt;"","REMOVE UC-ID OR CORRECT SCOPE","Baseline only — NOT UC approval"),"Decision scope missing"))))</f>
        <v/>
      </c>
      <c r="R547" s="43" t="n"/>
      <c r="S547" s="40" t="n"/>
      <c r="T547" s="40" t="n"/>
      <c r="U547" s="40" t="n"/>
      <c r="V547" s="40" t="n"/>
      <c r="W547" s="41" t="n"/>
      <c r="X547" s="38" t="n"/>
    </row>
    <row r="548">
      <c r="A548" s="38" t="n"/>
      <c r="B548" s="38" t="n"/>
      <c r="C548" s="38" t="n"/>
      <c r="D548" s="38" t="n"/>
      <c r="E548" s="38" t="n"/>
      <c r="F548" s="39" t="n"/>
      <c r="G548" s="38" t="n"/>
      <c r="H548" s="38" t="n"/>
      <c r="I548" s="38" t="n"/>
      <c r="J548" s="38" t="n"/>
      <c r="K548" s="38" t="n"/>
      <c r="L548" s="38" t="n"/>
      <c r="M548" s="38" t="n"/>
      <c r="N548" s="22">
        <f>IF(COUNTA(A548:M548,O548:P548,R548:X548)=0,"",IF(OR(A548="",B548="",F548=""),"Event ID, AIR-ID or date missing",IF(COUNTIF($A$4:$A$553,A548)&gt;1,"Duplicate Event ID",IF(E548="","Event type missing",IF(OR(NOT(ISNUMBER(F548)),F548&gt;TODAY()),"Date is not a real date or is in the future",IF(AND(C548&lt;&gt;"",COUNTIF('Gate plan'!$A$4:$A$353,C548)=0),"Plan ID not found in Gate plan",IF(AND(C548&lt;&gt;"",COUNTIFS('Gate plan'!$A$4:$A$353,C548,'Gate plan'!$B$4:$B$353,B548)=0),"Plan AIR-ID differs from event",IF(D548="","Gate / forum missing",IF(AND(E548="Precautionary pause (containment)",G548&lt;&gt;"Paused — pending decision"),"Precautionary pause: Outcome must be Paused, pending decision",IF(AND(E548="Precautionary pause (containment)",V548=""),"Precautionary pause: AIG-OPS-03 incident ref missing",IF(AND(E548="Precautionary pause (containment)",NOT(ISNUMBER(W548))),"Precautionary pause: follow-up decision due date missing",IF(AND(G548="Paused — pending decision",E548&lt;&gt;"Precautionary pause (containment)"),"Paused, pending decision is only for a Precautionary pause event",IF(AND(E548="Decision",OR(G548="",H548="",I548="")),"Outcome / delegation / decision ref missing",IF(AND(E548="Decision",NOT(OR(G548="Progress",G548="Progress with condition",G548="Return for evidence",G548="Pause",G548="Stop",G548="Suspend",G548="Decommission",G548="Re-authorise",G548="Resume"))),"Decision event needs a decision outcome",IF(AND(E548="Priority override",OR(H548="",I548="")),"Decision-maker / AIG-DEC-03 ref missing",IF(AND(E548="Priority override",G548&lt;&gt;"",G548&lt;&gt;"No decision"),"Priority override: Outcome blank or No decision",IF(AND(E548&lt;&gt;"Decision",OR(G548="Progress",G548="Progress with condition",G548="Return for evidence",G548="Pause",G548="Stop",G548="Suspend",G548="Decommission",G548="Re-authorise",G548="Resume")),"Outcome implies decision",IF(OR(ISNUMBER(SEARCH(",",O548)),ISNUMBER(SEARCH(";",O548))),"One UC-ID per event row — split this event",IF(AND(E548="Decision",OR(Q548="UC-ID REQUIRED",Q548="Decision scope missing",Q548="REMOVE UC-ID OR CORRECT SCOPE")),"Decision scope missing",IF(AND(G548="Progress with condition",COUNTIF(Conditions!$B$4:$B$553,A548)=0),"Progress with condition needs at least one Conditions row",IF(AND(C548&lt;&gt;"",COUNTIFS('Gate plan'!$A$4:$A$353,C548,'Gate plan'!$C$4:$C$353,D548)=0),"Plan gate differs from event gate",IF(AND(C548&lt;&gt;"",O548&lt;&gt;"",COUNTIFS('Gate plan'!$A$4:$A$353,C548,'Gate plan'!$K$4:$K$353,"&lt;&gt;")&gt;0,COUNTIFS('Gate plan'!$A$4:$A$353,C548,'Gate plan'!$K$4:$K$353,O548)=0),"Plan UC-ID differs from event UC-ID",IF(AND(E548="Assurance opinion",J548=""),"Assurance opinion ref missing",IF(AND(G548="Opinion only",E548&lt;&gt;"Assurance opinion",E548&lt;&gt;"Review only"),"Opinion only is for Assurance opinion or Review only events",IF(AND(G548="No decision",E548&lt;&gt;"Review only",E548&lt;&gt;"Priority override",E548&lt;&gt;"Intake / registration"),"No decision is for Review only, Priority override or Intake / registration events",IF(OR(ISNUMBER(SEARCH(" ",TRIM(O548))),ISNUMBER(SEARCH("/",O548))),"One UC-ID per event row: split this event",IF(AND(E548="Precautionary pause (containment)",ISNUMBER(W548),ISNUMBER(F548),W548&lt;F548),"Follow-up decision due date is before the pause",IF(AND(G548="Resume",IFERROR(LOOKUP(2,1/(($B$3:B547=B548)*($O$3:O547=O548)),$G$3:G547),"")&lt;&gt;"Paused — pending decision"),"Resume is only for the event straight after a Precautionary pause on the same AIR-ID and UC-ID (in an earlier row)",IF(AND(E548="Decision",OR(G548="Progress",G548="Progress with condition",G548="Re-authorise",G548="Resume"),X548&lt;&gt;"Yes"),"Decision-maker has not confirmed the screening was considered (column X)","Check against source")))))))))))))))))))))))))))))</f>
        <v/>
      </c>
      <c r="O548" s="37" t="n"/>
      <c r="P548" s="37" t="n"/>
      <c r="Q548" s="14">
        <f>IF(A548="","",IF(E548&lt;&gt;"Decision","",IF(P548="UC-ID specific",IF(O548="","UC-ID REQUIRED","Check source decision for each UC-ID"),IF(P548="Shared system baseline",IF(O548&lt;&gt;"","REMOVE UC-ID OR CORRECT SCOPE","Baseline only — NOT UC approval"),"Decision scope missing"))))</f>
        <v/>
      </c>
      <c r="R548" s="42" t="n"/>
      <c r="S548" s="38" t="n"/>
      <c r="T548" s="38" t="n"/>
      <c r="U548" s="38" t="n"/>
      <c r="V548" s="38" t="n"/>
      <c r="W548" s="39" t="n"/>
      <c r="X548" s="38" t="n"/>
    </row>
    <row r="549">
      <c r="A549" s="40" t="n"/>
      <c r="B549" s="40" t="n"/>
      <c r="C549" s="40" t="n"/>
      <c r="D549" s="40" t="n"/>
      <c r="E549" s="40" t="n"/>
      <c r="F549" s="41" t="n"/>
      <c r="G549" s="40" t="n"/>
      <c r="H549" s="40" t="n"/>
      <c r="I549" s="40" t="n"/>
      <c r="J549" s="40" t="n"/>
      <c r="K549" s="40" t="n"/>
      <c r="L549" s="40" t="n"/>
      <c r="M549" s="40" t="n"/>
      <c r="N549" s="24">
        <f>IF(COUNTA(A549:M549,O549:P549,R549:X549)=0,"",IF(OR(A549="",B549="",F549=""),"Event ID, AIR-ID or date missing",IF(COUNTIF($A$4:$A$553,A549)&gt;1,"Duplicate Event ID",IF(E549="","Event type missing",IF(OR(NOT(ISNUMBER(F549)),F549&gt;TODAY()),"Date is not a real date or is in the future",IF(AND(C549&lt;&gt;"",COUNTIF('Gate plan'!$A$4:$A$353,C549)=0),"Plan ID not found in Gate plan",IF(AND(C549&lt;&gt;"",COUNTIFS('Gate plan'!$A$4:$A$353,C549,'Gate plan'!$B$4:$B$353,B549)=0),"Plan AIR-ID differs from event",IF(D549="","Gate / forum missing",IF(AND(E549="Precautionary pause (containment)",G549&lt;&gt;"Paused — pending decision"),"Precautionary pause: Outcome must be Paused, pending decision",IF(AND(E549="Precautionary pause (containment)",V549=""),"Precautionary pause: AIG-OPS-03 incident ref missing",IF(AND(E549="Precautionary pause (containment)",NOT(ISNUMBER(W549))),"Precautionary pause: follow-up decision due date missing",IF(AND(G549="Paused — pending decision",E549&lt;&gt;"Precautionary pause (containment)"),"Paused, pending decision is only for a Precautionary pause event",IF(AND(E549="Decision",OR(G549="",H549="",I549="")),"Outcome / delegation / decision ref missing",IF(AND(E549="Decision",NOT(OR(G549="Progress",G549="Progress with condition",G549="Return for evidence",G549="Pause",G549="Stop",G549="Suspend",G549="Decommission",G549="Re-authorise",G549="Resume"))),"Decision event needs a decision outcome",IF(AND(E549="Priority override",OR(H549="",I549="")),"Decision-maker / AIG-DEC-03 ref missing",IF(AND(E549="Priority override",G549&lt;&gt;"",G549&lt;&gt;"No decision"),"Priority override: Outcome blank or No decision",IF(AND(E549&lt;&gt;"Decision",OR(G549="Progress",G549="Progress with condition",G549="Return for evidence",G549="Pause",G549="Stop",G549="Suspend",G549="Decommission",G549="Re-authorise",G549="Resume")),"Outcome implies decision",IF(OR(ISNUMBER(SEARCH(",",O549)),ISNUMBER(SEARCH(";",O549))),"One UC-ID per event row — split this event",IF(AND(E549="Decision",OR(Q549="UC-ID REQUIRED",Q549="Decision scope missing",Q549="REMOVE UC-ID OR CORRECT SCOPE")),"Decision scope missing",IF(AND(G549="Progress with condition",COUNTIF(Conditions!$B$4:$B$553,A549)=0),"Progress with condition needs at least one Conditions row",IF(AND(C549&lt;&gt;"",COUNTIFS('Gate plan'!$A$4:$A$353,C549,'Gate plan'!$C$4:$C$353,D549)=0),"Plan gate differs from event gate",IF(AND(C549&lt;&gt;"",O549&lt;&gt;"",COUNTIFS('Gate plan'!$A$4:$A$353,C549,'Gate plan'!$K$4:$K$353,"&lt;&gt;")&gt;0,COUNTIFS('Gate plan'!$A$4:$A$353,C549,'Gate plan'!$K$4:$K$353,O549)=0),"Plan UC-ID differs from event UC-ID",IF(AND(E549="Assurance opinion",J549=""),"Assurance opinion ref missing",IF(AND(G549="Opinion only",E549&lt;&gt;"Assurance opinion",E549&lt;&gt;"Review only"),"Opinion only is for Assurance opinion or Review only events",IF(AND(G549="No decision",E549&lt;&gt;"Review only",E549&lt;&gt;"Priority override",E549&lt;&gt;"Intake / registration"),"No decision is for Review only, Priority override or Intake / registration events",IF(OR(ISNUMBER(SEARCH(" ",TRIM(O549))),ISNUMBER(SEARCH("/",O549))),"One UC-ID per event row: split this event",IF(AND(E549="Precautionary pause (containment)",ISNUMBER(W549),ISNUMBER(F549),W549&lt;F549),"Follow-up decision due date is before the pause",IF(AND(G549="Resume",IFERROR(LOOKUP(2,1/(($B$3:B548=B549)*($O$3:O548=O549)),$G$3:G548),"")&lt;&gt;"Paused — pending decision"),"Resume is only for the event straight after a Precautionary pause on the same AIR-ID and UC-ID (in an earlier row)",IF(AND(E549="Decision",OR(G549="Progress",G549="Progress with condition",G549="Re-authorise",G549="Resume"),X549&lt;&gt;"Yes"),"Decision-maker has not confirmed the screening was considered (column X)","Check against source")))))))))))))))))))))))))))))</f>
        <v/>
      </c>
      <c r="O549" s="37" t="n"/>
      <c r="P549" s="37" t="n"/>
      <c r="Q549" s="14">
        <f>IF(A549="","",IF(E549&lt;&gt;"Decision","",IF(P549="UC-ID specific",IF(O549="","UC-ID REQUIRED","Check source decision for each UC-ID"),IF(P549="Shared system baseline",IF(O549&lt;&gt;"","REMOVE UC-ID OR CORRECT SCOPE","Baseline only — NOT UC approval"),"Decision scope missing"))))</f>
        <v/>
      </c>
      <c r="R549" s="43" t="n"/>
      <c r="S549" s="40" t="n"/>
      <c r="T549" s="40" t="n"/>
      <c r="U549" s="40" t="n"/>
      <c r="V549" s="40" t="n"/>
      <c r="W549" s="41" t="n"/>
      <c r="X549" s="38" t="n"/>
    </row>
    <row r="550">
      <c r="A550" s="38" t="n"/>
      <c r="B550" s="38" t="n"/>
      <c r="C550" s="38" t="n"/>
      <c r="D550" s="38" t="n"/>
      <c r="E550" s="38" t="n"/>
      <c r="F550" s="39" t="n"/>
      <c r="G550" s="38" t="n"/>
      <c r="H550" s="38" t="n"/>
      <c r="I550" s="38" t="n"/>
      <c r="J550" s="38" t="n"/>
      <c r="K550" s="38" t="n"/>
      <c r="L550" s="38" t="n"/>
      <c r="M550" s="38" t="n"/>
      <c r="N550" s="22">
        <f>IF(COUNTA(A550:M550,O550:P550,R550:X550)=0,"",IF(OR(A550="",B550="",F550=""),"Event ID, AIR-ID or date missing",IF(COUNTIF($A$4:$A$553,A550)&gt;1,"Duplicate Event ID",IF(E550="","Event type missing",IF(OR(NOT(ISNUMBER(F550)),F550&gt;TODAY()),"Date is not a real date or is in the future",IF(AND(C550&lt;&gt;"",COUNTIF('Gate plan'!$A$4:$A$353,C550)=0),"Plan ID not found in Gate plan",IF(AND(C550&lt;&gt;"",COUNTIFS('Gate plan'!$A$4:$A$353,C550,'Gate plan'!$B$4:$B$353,B550)=0),"Plan AIR-ID differs from event",IF(D550="","Gate / forum missing",IF(AND(E550="Precautionary pause (containment)",G550&lt;&gt;"Paused — pending decision"),"Precautionary pause: Outcome must be Paused, pending decision",IF(AND(E550="Precautionary pause (containment)",V550=""),"Precautionary pause: AIG-OPS-03 incident ref missing",IF(AND(E550="Precautionary pause (containment)",NOT(ISNUMBER(W550))),"Precautionary pause: follow-up decision due date missing",IF(AND(G550="Paused — pending decision",E550&lt;&gt;"Precautionary pause (containment)"),"Paused, pending decision is only for a Precautionary pause event",IF(AND(E550="Decision",OR(G550="",H550="",I550="")),"Outcome / delegation / decision ref missing",IF(AND(E550="Decision",NOT(OR(G550="Progress",G550="Progress with condition",G550="Return for evidence",G550="Pause",G550="Stop",G550="Suspend",G550="Decommission",G550="Re-authorise",G550="Resume"))),"Decision event needs a decision outcome",IF(AND(E550="Priority override",OR(H550="",I550="")),"Decision-maker / AIG-DEC-03 ref missing",IF(AND(E550="Priority override",G550&lt;&gt;"",G550&lt;&gt;"No decision"),"Priority override: Outcome blank or No decision",IF(AND(E550&lt;&gt;"Decision",OR(G550="Progress",G550="Progress with condition",G550="Return for evidence",G550="Pause",G550="Stop",G550="Suspend",G550="Decommission",G550="Re-authorise",G550="Resume")),"Outcome implies decision",IF(OR(ISNUMBER(SEARCH(",",O550)),ISNUMBER(SEARCH(";",O550))),"One UC-ID per event row — split this event",IF(AND(E550="Decision",OR(Q550="UC-ID REQUIRED",Q550="Decision scope missing",Q550="REMOVE UC-ID OR CORRECT SCOPE")),"Decision scope missing",IF(AND(G550="Progress with condition",COUNTIF(Conditions!$B$4:$B$553,A550)=0),"Progress with condition needs at least one Conditions row",IF(AND(C550&lt;&gt;"",COUNTIFS('Gate plan'!$A$4:$A$353,C550,'Gate plan'!$C$4:$C$353,D550)=0),"Plan gate differs from event gate",IF(AND(C550&lt;&gt;"",O550&lt;&gt;"",COUNTIFS('Gate plan'!$A$4:$A$353,C550,'Gate plan'!$K$4:$K$353,"&lt;&gt;")&gt;0,COUNTIFS('Gate plan'!$A$4:$A$353,C550,'Gate plan'!$K$4:$K$353,O550)=0),"Plan UC-ID differs from event UC-ID",IF(AND(E550="Assurance opinion",J550=""),"Assurance opinion ref missing",IF(AND(G550="Opinion only",E550&lt;&gt;"Assurance opinion",E550&lt;&gt;"Review only"),"Opinion only is for Assurance opinion or Review only events",IF(AND(G550="No decision",E550&lt;&gt;"Review only",E550&lt;&gt;"Priority override",E550&lt;&gt;"Intake / registration"),"No decision is for Review only, Priority override or Intake / registration events",IF(OR(ISNUMBER(SEARCH(" ",TRIM(O550))),ISNUMBER(SEARCH("/",O550))),"One UC-ID per event row: split this event",IF(AND(E550="Precautionary pause (containment)",ISNUMBER(W550),ISNUMBER(F550),W550&lt;F550),"Follow-up decision due date is before the pause",IF(AND(G550="Resume",IFERROR(LOOKUP(2,1/(($B$3:B549=B550)*($O$3:O549=O550)),$G$3:G549),"")&lt;&gt;"Paused — pending decision"),"Resume is only for the event straight after a Precautionary pause on the same AIR-ID and UC-ID (in an earlier row)",IF(AND(E550="Decision",OR(G550="Progress",G550="Progress with condition",G550="Re-authorise",G550="Resume"),X550&lt;&gt;"Yes"),"Decision-maker has not confirmed the screening was considered (column X)","Check against source")))))))))))))))))))))))))))))</f>
        <v/>
      </c>
      <c r="O550" s="37" t="n"/>
      <c r="P550" s="37" t="n"/>
      <c r="Q550" s="14">
        <f>IF(A550="","",IF(E550&lt;&gt;"Decision","",IF(P550="UC-ID specific",IF(O550="","UC-ID REQUIRED","Check source decision for each UC-ID"),IF(P550="Shared system baseline",IF(O550&lt;&gt;"","REMOVE UC-ID OR CORRECT SCOPE","Baseline only — NOT UC approval"),"Decision scope missing"))))</f>
        <v/>
      </c>
      <c r="R550" s="42" t="n"/>
      <c r="S550" s="38" t="n"/>
      <c r="T550" s="38" t="n"/>
      <c r="U550" s="38" t="n"/>
      <c r="V550" s="38" t="n"/>
      <c r="W550" s="39" t="n"/>
      <c r="X550" s="38" t="n"/>
    </row>
    <row r="551">
      <c r="A551" s="40" t="n"/>
      <c r="B551" s="40" t="n"/>
      <c r="C551" s="40" t="n"/>
      <c r="D551" s="40" t="n"/>
      <c r="E551" s="40" t="n"/>
      <c r="F551" s="41" t="n"/>
      <c r="G551" s="40" t="n"/>
      <c r="H551" s="40" t="n"/>
      <c r="I551" s="40" t="n"/>
      <c r="J551" s="40" t="n"/>
      <c r="K551" s="40" t="n"/>
      <c r="L551" s="40" t="n"/>
      <c r="M551" s="40" t="n"/>
      <c r="N551" s="24">
        <f>IF(COUNTA(A551:M551,O551:P551,R551:X551)=0,"",IF(OR(A551="",B551="",F551=""),"Event ID, AIR-ID or date missing",IF(COUNTIF($A$4:$A$553,A551)&gt;1,"Duplicate Event ID",IF(E551="","Event type missing",IF(OR(NOT(ISNUMBER(F551)),F551&gt;TODAY()),"Date is not a real date or is in the future",IF(AND(C551&lt;&gt;"",COUNTIF('Gate plan'!$A$4:$A$353,C551)=0),"Plan ID not found in Gate plan",IF(AND(C551&lt;&gt;"",COUNTIFS('Gate plan'!$A$4:$A$353,C551,'Gate plan'!$B$4:$B$353,B551)=0),"Plan AIR-ID differs from event",IF(D551="","Gate / forum missing",IF(AND(E551="Precautionary pause (containment)",G551&lt;&gt;"Paused — pending decision"),"Precautionary pause: Outcome must be Paused, pending decision",IF(AND(E551="Precautionary pause (containment)",V551=""),"Precautionary pause: AIG-OPS-03 incident ref missing",IF(AND(E551="Precautionary pause (containment)",NOT(ISNUMBER(W551))),"Precautionary pause: follow-up decision due date missing",IF(AND(G551="Paused — pending decision",E551&lt;&gt;"Precautionary pause (containment)"),"Paused, pending decision is only for a Precautionary pause event",IF(AND(E551="Decision",OR(G551="",H551="",I551="")),"Outcome / delegation / decision ref missing",IF(AND(E551="Decision",NOT(OR(G551="Progress",G551="Progress with condition",G551="Return for evidence",G551="Pause",G551="Stop",G551="Suspend",G551="Decommission",G551="Re-authorise",G551="Resume"))),"Decision event needs a decision outcome",IF(AND(E551="Priority override",OR(H551="",I551="")),"Decision-maker / AIG-DEC-03 ref missing",IF(AND(E551="Priority override",G551&lt;&gt;"",G551&lt;&gt;"No decision"),"Priority override: Outcome blank or No decision",IF(AND(E551&lt;&gt;"Decision",OR(G551="Progress",G551="Progress with condition",G551="Return for evidence",G551="Pause",G551="Stop",G551="Suspend",G551="Decommission",G551="Re-authorise",G551="Resume")),"Outcome implies decision",IF(OR(ISNUMBER(SEARCH(",",O551)),ISNUMBER(SEARCH(";",O551))),"One UC-ID per event row — split this event",IF(AND(E551="Decision",OR(Q551="UC-ID REQUIRED",Q551="Decision scope missing",Q551="REMOVE UC-ID OR CORRECT SCOPE")),"Decision scope missing",IF(AND(G551="Progress with condition",COUNTIF(Conditions!$B$4:$B$553,A551)=0),"Progress with condition needs at least one Conditions row",IF(AND(C551&lt;&gt;"",COUNTIFS('Gate plan'!$A$4:$A$353,C551,'Gate plan'!$C$4:$C$353,D551)=0),"Plan gate differs from event gate",IF(AND(C551&lt;&gt;"",O551&lt;&gt;"",COUNTIFS('Gate plan'!$A$4:$A$353,C551,'Gate plan'!$K$4:$K$353,"&lt;&gt;")&gt;0,COUNTIFS('Gate plan'!$A$4:$A$353,C551,'Gate plan'!$K$4:$K$353,O551)=0),"Plan UC-ID differs from event UC-ID",IF(AND(E551="Assurance opinion",J551=""),"Assurance opinion ref missing",IF(AND(G551="Opinion only",E551&lt;&gt;"Assurance opinion",E551&lt;&gt;"Review only"),"Opinion only is for Assurance opinion or Review only events",IF(AND(G551="No decision",E551&lt;&gt;"Review only",E551&lt;&gt;"Priority override",E551&lt;&gt;"Intake / registration"),"No decision is for Review only, Priority override or Intake / registration events",IF(OR(ISNUMBER(SEARCH(" ",TRIM(O551))),ISNUMBER(SEARCH("/",O551))),"One UC-ID per event row: split this event",IF(AND(E551="Precautionary pause (containment)",ISNUMBER(W551),ISNUMBER(F551),W551&lt;F551),"Follow-up decision due date is before the pause",IF(AND(G551="Resume",IFERROR(LOOKUP(2,1/(($B$3:B550=B551)*($O$3:O550=O551)),$G$3:G550),"")&lt;&gt;"Paused — pending decision"),"Resume is only for the event straight after a Precautionary pause on the same AIR-ID and UC-ID (in an earlier row)",IF(AND(E551="Decision",OR(G551="Progress",G551="Progress with condition",G551="Re-authorise",G551="Resume"),X551&lt;&gt;"Yes"),"Decision-maker has not confirmed the screening was considered (column X)","Check against source")))))))))))))))))))))))))))))</f>
        <v/>
      </c>
      <c r="O551" s="37" t="n"/>
      <c r="P551" s="37" t="n"/>
      <c r="Q551" s="14">
        <f>IF(A551="","",IF(E551&lt;&gt;"Decision","",IF(P551="UC-ID specific",IF(O551="","UC-ID REQUIRED","Check source decision for each UC-ID"),IF(P551="Shared system baseline",IF(O551&lt;&gt;"","REMOVE UC-ID OR CORRECT SCOPE","Baseline only — NOT UC approval"),"Decision scope missing"))))</f>
        <v/>
      </c>
      <c r="R551" s="43" t="n"/>
      <c r="S551" s="40" t="n"/>
      <c r="T551" s="40" t="n"/>
      <c r="U551" s="40" t="n"/>
      <c r="V551" s="40" t="n"/>
      <c r="W551" s="41" t="n"/>
      <c r="X551" s="38" t="n"/>
    </row>
    <row r="552">
      <c r="A552" s="38" t="n"/>
      <c r="B552" s="38" t="n"/>
      <c r="C552" s="38" t="n"/>
      <c r="D552" s="38" t="n"/>
      <c r="E552" s="38" t="n"/>
      <c r="F552" s="39" t="n"/>
      <c r="G552" s="38" t="n"/>
      <c r="H552" s="38" t="n"/>
      <c r="I552" s="38" t="n"/>
      <c r="J552" s="38" t="n"/>
      <c r="K552" s="38" t="n"/>
      <c r="L552" s="38" t="n"/>
      <c r="M552" s="38" t="n"/>
      <c r="N552" s="22">
        <f>IF(COUNTA(A552:M552,O552:P552,R552:X552)=0,"",IF(OR(A552="",B552="",F552=""),"Event ID, AIR-ID or date missing",IF(COUNTIF($A$4:$A$553,A552)&gt;1,"Duplicate Event ID",IF(E552="","Event type missing",IF(OR(NOT(ISNUMBER(F552)),F552&gt;TODAY()),"Date is not a real date or is in the future",IF(AND(C552&lt;&gt;"",COUNTIF('Gate plan'!$A$4:$A$353,C552)=0),"Plan ID not found in Gate plan",IF(AND(C552&lt;&gt;"",COUNTIFS('Gate plan'!$A$4:$A$353,C552,'Gate plan'!$B$4:$B$353,B552)=0),"Plan AIR-ID differs from event",IF(D552="","Gate / forum missing",IF(AND(E552="Precautionary pause (containment)",G552&lt;&gt;"Paused — pending decision"),"Precautionary pause: Outcome must be Paused, pending decision",IF(AND(E552="Precautionary pause (containment)",V552=""),"Precautionary pause: AIG-OPS-03 incident ref missing",IF(AND(E552="Precautionary pause (containment)",NOT(ISNUMBER(W552))),"Precautionary pause: follow-up decision due date missing",IF(AND(G552="Paused — pending decision",E552&lt;&gt;"Precautionary pause (containment)"),"Paused, pending decision is only for a Precautionary pause event",IF(AND(E552="Decision",OR(G552="",H552="",I552="")),"Outcome / delegation / decision ref missing",IF(AND(E552="Decision",NOT(OR(G552="Progress",G552="Progress with condition",G552="Return for evidence",G552="Pause",G552="Stop",G552="Suspend",G552="Decommission",G552="Re-authorise",G552="Resume"))),"Decision event needs a decision outcome",IF(AND(E552="Priority override",OR(H552="",I552="")),"Decision-maker / AIG-DEC-03 ref missing",IF(AND(E552="Priority override",G552&lt;&gt;"",G552&lt;&gt;"No decision"),"Priority override: Outcome blank or No decision",IF(AND(E552&lt;&gt;"Decision",OR(G552="Progress",G552="Progress with condition",G552="Return for evidence",G552="Pause",G552="Stop",G552="Suspend",G552="Decommission",G552="Re-authorise",G552="Resume")),"Outcome implies decision",IF(OR(ISNUMBER(SEARCH(",",O552)),ISNUMBER(SEARCH(";",O552))),"One UC-ID per event row — split this event",IF(AND(E552="Decision",OR(Q552="UC-ID REQUIRED",Q552="Decision scope missing",Q552="REMOVE UC-ID OR CORRECT SCOPE")),"Decision scope missing",IF(AND(G552="Progress with condition",COUNTIF(Conditions!$B$4:$B$553,A552)=0),"Progress with condition needs at least one Conditions row",IF(AND(C552&lt;&gt;"",COUNTIFS('Gate plan'!$A$4:$A$353,C552,'Gate plan'!$C$4:$C$353,D552)=0),"Plan gate differs from event gate",IF(AND(C552&lt;&gt;"",O552&lt;&gt;"",COUNTIFS('Gate plan'!$A$4:$A$353,C552,'Gate plan'!$K$4:$K$353,"&lt;&gt;")&gt;0,COUNTIFS('Gate plan'!$A$4:$A$353,C552,'Gate plan'!$K$4:$K$353,O552)=0),"Plan UC-ID differs from event UC-ID",IF(AND(E552="Assurance opinion",J552=""),"Assurance opinion ref missing",IF(AND(G552="Opinion only",E552&lt;&gt;"Assurance opinion",E552&lt;&gt;"Review only"),"Opinion only is for Assurance opinion or Review only events",IF(AND(G552="No decision",E552&lt;&gt;"Review only",E552&lt;&gt;"Priority override",E552&lt;&gt;"Intake / registration"),"No decision is for Review only, Priority override or Intake / registration events",IF(OR(ISNUMBER(SEARCH(" ",TRIM(O552))),ISNUMBER(SEARCH("/",O552))),"One UC-ID per event row: split this event",IF(AND(E552="Precautionary pause (containment)",ISNUMBER(W552),ISNUMBER(F552),W552&lt;F552),"Follow-up decision due date is before the pause",IF(AND(G552="Resume",IFERROR(LOOKUP(2,1/(($B$3:B551=B552)*($O$3:O551=O552)),$G$3:G551),"")&lt;&gt;"Paused — pending decision"),"Resume is only for the event straight after a Precautionary pause on the same AIR-ID and UC-ID (in an earlier row)",IF(AND(E552="Decision",OR(G552="Progress",G552="Progress with condition",G552="Re-authorise",G552="Resume"),X552&lt;&gt;"Yes"),"Decision-maker has not confirmed the screening was considered (column X)","Check against source")))))))))))))))))))))))))))))</f>
        <v/>
      </c>
      <c r="O552" s="37" t="n"/>
      <c r="P552" s="37" t="n"/>
      <c r="Q552" s="14">
        <f>IF(A552="","",IF(E552&lt;&gt;"Decision","",IF(P552="UC-ID specific",IF(O552="","UC-ID REQUIRED","Check source decision for each UC-ID"),IF(P552="Shared system baseline",IF(O552&lt;&gt;"","REMOVE UC-ID OR CORRECT SCOPE","Baseline only — NOT UC approval"),"Decision scope missing"))))</f>
        <v/>
      </c>
      <c r="R552" s="42" t="n"/>
      <c r="S552" s="38" t="n"/>
      <c r="T552" s="38" t="n"/>
      <c r="U552" s="38" t="n"/>
      <c r="V552" s="38" t="n"/>
      <c r="W552" s="39" t="n"/>
      <c r="X552" s="38" t="n"/>
    </row>
    <row r="553">
      <c r="A553" s="40" t="n"/>
      <c r="B553" s="40" t="n"/>
      <c r="C553" s="40" t="n"/>
      <c r="D553" s="40" t="n"/>
      <c r="E553" s="40" t="n"/>
      <c r="F553" s="41" t="n"/>
      <c r="G553" s="40" t="n"/>
      <c r="H553" s="40" t="n"/>
      <c r="I553" s="40" t="n"/>
      <c r="J553" s="40" t="n"/>
      <c r="K553" s="40" t="n"/>
      <c r="L553" s="40" t="n"/>
      <c r="M553" s="40" t="n"/>
      <c r="N553" s="24">
        <f>IF(COUNTA(A553:M553,O553:P553,R553:X553)=0,"",IF(OR(A553="",B553="",F553=""),"Event ID, AIR-ID or date missing",IF(COUNTIF($A$4:$A$553,A553)&gt;1,"Duplicate Event ID",IF(E553="","Event type missing",IF(OR(NOT(ISNUMBER(F553)),F553&gt;TODAY()),"Date is not a real date or is in the future",IF(AND(C553&lt;&gt;"",COUNTIF('Gate plan'!$A$4:$A$353,C553)=0),"Plan ID not found in Gate plan",IF(AND(C553&lt;&gt;"",COUNTIFS('Gate plan'!$A$4:$A$353,C553,'Gate plan'!$B$4:$B$353,B553)=0),"Plan AIR-ID differs from event",IF(D553="","Gate / forum missing",IF(AND(E553="Precautionary pause (containment)",G553&lt;&gt;"Paused — pending decision"),"Precautionary pause: Outcome must be Paused, pending decision",IF(AND(E553="Precautionary pause (containment)",V553=""),"Precautionary pause: AIG-OPS-03 incident ref missing",IF(AND(E553="Precautionary pause (containment)",NOT(ISNUMBER(W553))),"Precautionary pause: follow-up decision due date missing",IF(AND(G553="Paused — pending decision",E553&lt;&gt;"Precautionary pause (containment)"),"Paused, pending decision is only for a Precautionary pause event",IF(AND(E553="Decision",OR(G553="",H553="",I553="")),"Outcome / delegation / decision ref missing",IF(AND(E553="Decision",NOT(OR(G553="Progress",G553="Progress with condition",G553="Return for evidence",G553="Pause",G553="Stop",G553="Suspend",G553="Decommission",G553="Re-authorise",G553="Resume"))),"Decision event needs a decision outcome",IF(AND(E553="Priority override",OR(H553="",I553="")),"Decision-maker / AIG-DEC-03 ref missing",IF(AND(E553="Priority override",G553&lt;&gt;"",G553&lt;&gt;"No decision"),"Priority override: Outcome blank or No decision",IF(AND(E553&lt;&gt;"Decision",OR(G553="Progress",G553="Progress with condition",G553="Return for evidence",G553="Pause",G553="Stop",G553="Suspend",G553="Decommission",G553="Re-authorise",G553="Resume")),"Outcome implies decision",IF(OR(ISNUMBER(SEARCH(",",O553)),ISNUMBER(SEARCH(";",O553))),"One UC-ID per event row — split this event",IF(AND(E553="Decision",OR(Q553="UC-ID REQUIRED",Q553="Decision scope missing",Q553="REMOVE UC-ID OR CORRECT SCOPE")),"Decision scope missing",IF(AND(G553="Progress with condition",COUNTIF(Conditions!$B$4:$B$553,A553)=0),"Progress with condition needs at least one Conditions row",IF(AND(C553&lt;&gt;"",COUNTIFS('Gate plan'!$A$4:$A$353,C553,'Gate plan'!$C$4:$C$353,D553)=0),"Plan gate differs from event gate",IF(AND(C553&lt;&gt;"",O553&lt;&gt;"",COUNTIFS('Gate plan'!$A$4:$A$353,C553,'Gate plan'!$K$4:$K$353,"&lt;&gt;")&gt;0,COUNTIFS('Gate plan'!$A$4:$A$353,C553,'Gate plan'!$K$4:$K$353,O553)=0),"Plan UC-ID differs from event UC-ID",IF(AND(E553="Assurance opinion",J553=""),"Assurance opinion ref missing",IF(AND(G553="Opinion only",E553&lt;&gt;"Assurance opinion",E553&lt;&gt;"Review only"),"Opinion only is for Assurance opinion or Review only events",IF(AND(G553="No decision",E553&lt;&gt;"Review only",E553&lt;&gt;"Priority override",E553&lt;&gt;"Intake / registration"),"No decision is for Review only, Priority override or Intake / registration events",IF(OR(ISNUMBER(SEARCH(" ",TRIM(O553))),ISNUMBER(SEARCH("/",O553))),"One UC-ID per event row: split this event",IF(AND(E553="Precautionary pause (containment)",ISNUMBER(W553),ISNUMBER(F553),W553&lt;F553),"Follow-up decision due date is before the pause",IF(AND(G553="Resume",IFERROR(LOOKUP(2,1/(($B$3:B552=B553)*($O$3:O552=O553)),$G$3:G552),"")&lt;&gt;"Paused — pending decision"),"Resume is only for the event straight after a Precautionary pause on the same AIR-ID and UC-ID (in an earlier row)",IF(AND(E553="Decision",OR(G553="Progress",G553="Progress with condition",G553="Re-authorise",G553="Resume"),X553&lt;&gt;"Yes"),"Decision-maker has not confirmed the screening was considered (column X)","Check against source")))))))))))))))))))))))))))))</f>
        <v/>
      </c>
      <c r="O553" s="37" t="n"/>
      <c r="P553" s="37" t="n"/>
      <c r="Q553" s="14">
        <f>IF(A553="","",IF(E553&lt;&gt;"Decision","",IF(P553="UC-ID specific",IF(O553="","UC-ID REQUIRED","Check source decision for each UC-ID"),IF(P553="Shared system baseline",IF(O553&lt;&gt;"","REMOVE UC-ID OR CORRECT SCOPE","Baseline only — NOT UC approval"),"Decision scope missing"))))</f>
        <v/>
      </c>
      <c r="R553" s="43" t="n"/>
      <c r="S553" s="40" t="n"/>
      <c r="T553" s="40" t="n"/>
      <c r="U553" s="40" t="n"/>
      <c r="V553" s="40" t="n"/>
      <c r="W553" s="41" t="n"/>
      <c r="X553" s="38" t="n"/>
    </row>
  </sheetData>
  <sheetProtection sheet="1" objects="1" scenarios="1" formatCells="0" formatColumns="0" formatRows="0" autoFilter="0" sort="0" selectLockedCells="0" selectUnlockedCells="0"/>
  <mergeCells count="2">
    <mergeCell ref="A2:N2"/>
    <mergeCell ref="A1:N1"/>
  </mergeCells>
  <conditionalFormatting sqref="N4:N553">
    <cfRule type="expression" priority="1" dxfId="0">
      <formula>AND($N4&lt;&gt;"",$N4&lt;&gt;"Check against source")</formula>
    </cfRule>
  </conditionalFormatting>
  <dataValidations count="8">
    <dataValidation sqref="E4:E553" showDropDown="0" showInputMessage="0" showErrorMessage="1" allowBlank="1" errorTitle="Controlled value" error="Choose a value from the list." type="list">
      <formula1>"Decision,Assurance opinion,Review only,Priority override,Intake / registration,Precautionary pause (containment)"</formula1>
    </dataValidation>
    <dataValidation sqref="G4:G553" showDropDown="0" showInputMessage="0" showErrorMessage="1" allowBlank="1" errorTitle="Controlled value" error="Choose a value from the list." type="list">
      <formula1>"Progress,Progress with condition,Return for evidence,Pause,Stop,Suspend,Decommission,Re-authorise,Resume,Opinion only,No decision,Paused — pending decision"</formula1>
    </dataValidation>
    <dataValidation sqref="P4:P553" showDropDown="0" showInputMessage="0" showErrorMessage="1" allowBlank="1" type="list" errorStyle="stop">
      <formula1>"UC-ID specific,Shared system baseline"</formula1>
    </dataValidation>
    <dataValidation sqref="D4:D553" showDropDown="0" showInputMessage="0" showErrorMessage="1" allowBlank="1" errorTitle="Controlled value" error="Choose the AIG-DEC-01 gate from the Lists sheet." type="list" errorStyle="stop">
      <formula1>Lists!$A$5:$A$14</formula1>
    </dataValidation>
    <dataValidation sqref="R4:R553" showDropDown="0" showInputMessage="0" showErrorMessage="1" allowBlank="1" errorTitle="Controlled value" error="Enter a time (hh:mm)." type="time" errorStyle="stop" operator="between">
      <formula1>0</formula1>
      <formula2>0.999988</formula2>
    </dataValidation>
    <dataValidation sqref="U4:U553" showDropDown="0" showInputMessage="0" showErrorMessage="1" allowBlank="1" errorTitle="Controlled value" error="Choose the Playbook §3.6 lifecycle stage." type="list" errorStyle="stop">
      <formula1>Lists!$B$5:$B$11</formula1>
    </dataValidation>
    <dataValidation sqref="W4:W553" showDropDown="0" showInputMessage="0" showErrorMessage="1" allowBlank="1" errorTitle="Controlled value" error="Enter a date." type="date" errorStyle="stop" operator="greaterThan">
      <formula1>43831</formula1>
    </dataValidation>
    <dataValidation sqref="X4:X553" showDropDown="0" showInputMessage="1" showErrorMessage="1" allowBlank="1" errorTitle="Controlled value" error="Choose Yes or No." promptTitle="Screening considered" prompt="For a Decision that lets a use go ahead (Progress, Progress with condition, Re-authorise, Resume): Yes once the decision-maker has seen and considered the equality, human rights and data protection screening (AIG-DEC-03)." type="list" errorStyle="stop">
      <formula1>"Yes,No"</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O553"/>
  <sheetViews>
    <sheetView showGridLines="0" workbookViewId="0">
      <pane xSplit="2" ySplit="3" topLeftCell="C4" activePane="bottomRight" state="frozen"/>
      <selection activeCell="A1" sqref="A1"/>
    </sheetView>
  </sheetViews>
  <sheetFormatPr baseColWidth="8" defaultRowHeight="15"/>
  <cols>
    <col width="22" customWidth="1" min="1" max="1"/>
    <col width="19" customWidth="1" min="2" max="2"/>
    <col width="17" customWidth="1" min="3" max="3"/>
    <col width="52" customWidth="1" min="4" max="4"/>
    <col width="27" customWidth="1" min="5" max="5"/>
    <col width="17" customWidth="1" min="6" max="6"/>
    <col width="19" customWidth="1" min="7" max="7"/>
    <col width="20" customWidth="1" min="8" max="8"/>
    <col width="43" customWidth="1" min="9" max="9"/>
    <col width="44" customWidth="1" min="10" max="10"/>
    <col width="34" customWidth="1" min="11" max="11"/>
    <col width="34" customWidth="1" min="12" max="12"/>
    <col width="28" customWidth="1" min="13" max="13"/>
    <col width="20" customWidth="1" min="14" max="14"/>
    <col width="34" customWidth="1" min="15" max="15"/>
  </cols>
  <sheetData>
    <row r="1" ht="34" customHeight="1">
      <c r="A1" s="19" t="inlineStr">
        <is>
          <t>AIG-DEC-04 / CONDITIONS — WHAT REMAINS OPEN</t>
        </is>
      </c>
      <c r="K1" s="14" t="n"/>
      <c r="L1" s="14" t="n"/>
    </row>
    <row r="2" ht="43" customHeight="1">
      <c r="A2" s="20" t="inlineStr">
        <is>
          <t>One condition per row. Parent Event ID must exist in Gate events. Evidence of closure or a properly authorised waiver is required.</t>
        </is>
      </c>
      <c r="K2" s="20" t="inlineStr">
        <is>
          <t>For UC-ID-specific conditions, enter one UC-ID per row; the parent Gate events row carries one UC-ID. Shared baseline conditions have a blank UC-ID. Overdue is derived by the Row check (Open and due date passed).</t>
        </is>
      </c>
      <c r="L2" s="14" t="n"/>
    </row>
    <row r="3" ht="56" customHeight="1">
      <c r="A3" s="21" t="inlineStr">
        <is>
          <t>Condition ID</t>
        </is>
      </c>
      <c r="B3" s="21" t="inlineStr">
        <is>
          <t>Event ID</t>
        </is>
      </c>
      <c r="C3" s="21" t="inlineStr">
        <is>
          <t>AIR-ID</t>
        </is>
      </c>
      <c r="D3" s="21" t="inlineStr">
        <is>
          <t>Required action / condition</t>
        </is>
      </c>
      <c r="E3" s="21" t="inlineStr">
        <is>
          <t>Action owner</t>
        </is>
      </c>
      <c r="F3" s="21" t="inlineStr">
        <is>
          <t>Due date</t>
        </is>
      </c>
      <c r="G3" s="21" t="inlineStr">
        <is>
          <t>State</t>
        </is>
      </c>
      <c r="H3" s="21" t="inlineStr">
        <is>
          <t>Closed / waived on</t>
        </is>
      </c>
      <c r="I3" s="21" t="inlineStr">
        <is>
          <t>Evidence / waiver authority ref</t>
        </is>
      </c>
      <c r="J3" s="21" t="inlineStr">
        <is>
          <t>Row check</t>
        </is>
      </c>
      <c r="K3" s="21" t="inlineStr">
        <is>
          <t>UC-ID scope (blank only if shared system condition)</t>
        </is>
      </c>
      <c r="L3" s="21" t="inlineStr">
        <is>
          <t>Condition scope (UC-ID specific / shared system baseline)</t>
        </is>
      </c>
      <c r="M3" s="21" t="inlineStr">
        <is>
          <t>Verified by / date</t>
        </is>
      </c>
      <c r="N3" s="21" t="inlineStr">
        <is>
          <t>Monitoring condition? (Yes / No)</t>
        </is>
      </c>
      <c r="O3" s="21" t="inlineStr">
        <is>
          <t>AIG-OPS-02 evidence ref (monitoring conditions)</t>
        </is>
      </c>
    </row>
    <row r="4">
      <c r="A4" s="38" t="n"/>
      <c r="B4" s="38" t="n"/>
      <c r="C4" s="38" t="n"/>
      <c r="D4" s="38" t="n"/>
      <c r="E4" s="38" t="n"/>
      <c r="F4" s="39" t="n"/>
      <c r="G4" s="38" t="n"/>
      <c r="H4" s="39" t="n"/>
      <c r="I4" s="38" t="n"/>
      <c r="J4" s="22">
        <f>IF(COUNTA(A4:I4,K4:O4)=0,"",IF(OR(A4="",B4="",C4=""),"ID / parent missing",IF(COUNTIF($A$4:$A$553,A4)&gt;1,"Duplicate condition ID",IF(COUNTIF('Gate events'!$A$4:$A$553,B4)=0,"Event ID not found",IF(INDEX('Gate events'!$B$4:$B$553,MATCH(B4,'Gate events'!$A$4:$A$553,0))&lt;&gt;C4,"AIR-ID differs from event",IF(IF(INDEX('Gate events'!$P$4:$P$553,MATCH(B4,'Gate events'!$A$4:$A$553,0))="UC-ID specific",IF(OR(L4&lt;&gt;"UC-ID specific",K4=""),"Condition UC-ID required",IF(ISNUMBER(SEARCH(","&amp;SUBSTITUTE(K4," ","")&amp;",",","&amp;SUBSTITUTE(INDEX('Gate events'!$O$4:$O$553,MATCH(B4,'Gate events'!$A$4:$A$553,0))," ","")&amp;",")),"","UC-ID differs from decision")),IF(INDEX('Gate events'!$P$4:$P$553,MATCH(B4,'Gate events'!$A$4:$A$553,0))="Shared system baseline",IF(OR(L4&lt;&gt;"Shared system baseline",K4&lt;&gt;""),"Condition scope differs from decision",""),"Parent decision scope missing"))&lt;&gt;"",IF(INDEX('Gate events'!$P$4:$P$553,MATCH(B4,'Gate events'!$A$4:$A$553,0))="UC-ID specific",IF(OR(L4&lt;&gt;"UC-ID specific",K4=""),"Condition UC-ID required",IF(ISNUMBER(SEARCH(","&amp;SUBSTITUTE(K4," ","")&amp;",",","&amp;SUBSTITUTE(INDEX('Gate events'!$O$4:$O$553,MATCH(B4,'Gate events'!$A$4:$A$553,0))," ","")&amp;",")),"","UC-ID differs from decision")),IF(INDEX('Gate events'!$P$4:$P$553,MATCH(B4,'Gate events'!$A$4:$A$553,0))="Shared system baseline",IF(OR(L4&lt;&gt;"Shared system baseline",K4&lt;&gt;""),"Condition scope differs from decision",""),"Parent decision scope missing")),IF(OR(D4="",E4="",F4="",G4=""),"Condition, owner, due date or state missing",IF(NOT(ISNUMBER(F4)),"Due date is not a date",IF(OR(G4="Overdue",G4="Superseded"),"Legacy state — owner review (use the shared five states)",IF(INDEX('Gate events'!$E$4:$E$553,MATCH(B4,'Gate events'!$A$4:$A$553,0))&lt;&gt;"Decision","Parent event is not a Decision",IF(AND(INDEX('Gate events'!$G$4:$G$553,MATCH(B4,'Gate events'!$A$4:$A$553,0))&lt;&gt;"Progress with condition",INDEX('Gate events'!$G$4:$G$553,MATCH(B4,'Gate events'!$A$4:$A$553,0))&lt;&gt;"Re-authorise",INDEX('Gate events'!$G$4:$G$553,MATCH(B4,'Gate events'!$A$4:$A$553,0))&lt;&gt;"Resume"),"Parent outcome is not Progress with condition / Re-authorise / Resume",IF(AND(ISNUMBER(INDEX('Gate events'!$F$4:$F$553,MATCH(B4,'Gate events'!$A$4:$A$553,0))),F4&lt;INDEX('Gate events'!$F$4:$F$553,MATCH(B4,'Gate events'!$A$4:$A$553,0))),"Due date before parent event date",IF(AND(OR(G4="Closed-verified",G4="Waived",G4="Accepted-open"),OR(H4="",I4="")),"Closure evidence missing",IF(AND(H4&lt;&gt;"",NOT(ISNUMBER(H4))),"Closed / waived on is not a date",IF(AND(ISNUMBER(H4),ISNUMBER(INDEX('Gate events'!$F$4:$F$553,MATCH(B4,'Gate events'!$A$4:$A$553,0))),H4&lt;INDEX('Gate events'!$F$4:$F$553,MATCH(B4,'Gate events'!$A$4:$A$553,0))),"Closure date before parent event date",IF(AND(G4="Closed-verified",M4=""),"Verifier / date missing",IF(AND(N4="Yes",G4="Closed-verified",O4=""),"Monitoring condition needs AIG-OPS-02 evidence ref",IF(AND(G4="Open",F4&lt;TODAY()),"OVERDUE (derived) — review",IF(G4="Unknown","State Unknown: owner to confirm","Check against source")))))))))))))))))))</f>
        <v/>
      </c>
      <c r="K4" s="38" t="n"/>
      <c r="L4" s="38" t="n"/>
      <c r="M4" s="38" t="n"/>
      <c r="N4" s="38" t="n"/>
      <c r="O4" s="38" t="n"/>
    </row>
    <row r="5">
      <c r="A5" s="40" t="n"/>
      <c r="B5" s="40" t="n"/>
      <c r="C5" s="40" t="n"/>
      <c r="D5" s="40" t="n"/>
      <c r="E5" s="40" t="n"/>
      <c r="F5" s="41" t="n"/>
      <c r="G5" s="40" t="n"/>
      <c r="H5" s="41" t="n"/>
      <c r="I5" s="40" t="n"/>
      <c r="J5" s="24">
        <f>IF(COUNTA(A5:I5,K5:O5)=0,"",IF(OR(A5="",B5="",C5=""),"ID / parent missing",IF(COUNTIF($A$4:$A$553,A5)&gt;1,"Duplicate condition ID",IF(COUNTIF('Gate events'!$A$4:$A$553,B5)=0,"Event ID not found",IF(INDEX('Gate events'!$B$4:$B$553,MATCH(B5,'Gate events'!$A$4:$A$553,0))&lt;&gt;C5,"AIR-ID differs from event",IF(IF(INDEX('Gate events'!$P$4:$P$553,MATCH(B5,'Gate events'!$A$4:$A$553,0))="UC-ID specific",IF(OR(L5&lt;&gt;"UC-ID specific",K5=""),"Condition UC-ID required",IF(ISNUMBER(SEARCH(","&amp;SUBSTITUTE(K5," ","")&amp;",",","&amp;SUBSTITUTE(INDEX('Gate events'!$O$4:$O$553,MATCH(B5,'Gate events'!$A$4:$A$553,0))," ","")&amp;",")),"","UC-ID differs from decision")),IF(INDEX('Gate events'!$P$4:$P$553,MATCH(B5,'Gate events'!$A$4:$A$553,0))="Shared system baseline",IF(OR(L5&lt;&gt;"Shared system baseline",K5&lt;&gt;""),"Condition scope differs from decision",""),"Parent decision scope missing"))&lt;&gt;"",IF(INDEX('Gate events'!$P$4:$P$553,MATCH(B5,'Gate events'!$A$4:$A$553,0))="UC-ID specific",IF(OR(L5&lt;&gt;"UC-ID specific",K5=""),"Condition UC-ID required",IF(ISNUMBER(SEARCH(","&amp;SUBSTITUTE(K5," ","")&amp;",",","&amp;SUBSTITUTE(INDEX('Gate events'!$O$4:$O$553,MATCH(B5,'Gate events'!$A$4:$A$553,0))," ","")&amp;",")),"","UC-ID differs from decision")),IF(INDEX('Gate events'!$P$4:$P$553,MATCH(B5,'Gate events'!$A$4:$A$553,0))="Shared system baseline",IF(OR(L5&lt;&gt;"Shared system baseline",K5&lt;&gt;""),"Condition scope differs from decision",""),"Parent decision scope missing")),IF(OR(D5="",E5="",F5="",G5=""),"Condition, owner, due date or state missing",IF(NOT(ISNUMBER(F5)),"Due date is not a date",IF(OR(G5="Overdue",G5="Superseded"),"Legacy state — owner review (use the shared five states)",IF(INDEX('Gate events'!$E$4:$E$553,MATCH(B5,'Gate events'!$A$4:$A$553,0))&lt;&gt;"Decision","Parent event is not a Decision",IF(AND(INDEX('Gate events'!$G$4:$G$553,MATCH(B5,'Gate events'!$A$4:$A$553,0))&lt;&gt;"Progress with condition",INDEX('Gate events'!$G$4:$G$553,MATCH(B5,'Gate events'!$A$4:$A$553,0))&lt;&gt;"Re-authorise",INDEX('Gate events'!$G$4:$G$553,MATCH(B5,'Gate events'!$A$4:$A$553,0))&lt;&gt;"Resume"),"Parent outcome is not Progress with condition / Re-authorise / Resume",IF(AND(ISNUMBER(INDEX('Gate events'!$F$4:$F$553,MATCH(B5,'Gate events'!$A$4:$A$553,0))),F5&lt;INDEX('Gate events'!$F$4:$F$553,MATCH(B5,'Gate events'!$A$4:$A$553,0))),"Due date before parent event date",IF(AND(OR(G5="Closed-verified",G5="Waived",G5="Accepted-open"),OR(H5="",I5="")),"Closure evidence missing",IF(AND(H5&lt;&gt;"",NOT(ISNUMBER(H5))),"Closed / waived on is not a date",IF(AND(ISNUMBER(H5),ISNUMBER(INDEX('Gate events'!$F$4:$F$553,MATCH(B5,'Gate events'!$A$4:$A$553,0))),H5&lt;INDEX('Gate events'!$F$4:$F$553,MATCH(B5,'Gate events'!$A$4:$A$553,0))),"Closure date before parent event date",IF(AND(G5="Closed-verified",M5=""),"Verifier / date missing",IF(AND(N5="Yes",G5="Closed-verified",O5=""),"Monitoring condition needs AIG-OPS-02 evidence ref",IF(AND(G5="Open",F5&lt;TODAY()),"OVERDUE (derived) — review",IF(G5="Unknown","State Unknown: owner to confirm","Check against source")))))))))))))))))))</f>
        <v/>
      </c>
      <c r="K5" s="37" t="n"/>
      <c r="L5" s="37" t="n"/>
      <c r="M5" s="40" t="n"/>
      <c r="N5" s="40" t="n"/>
      <c r="O5" s="40" t="n"/>
    </row>
    <row r="6">
      <c r="A6" s="38" t="n"/>
      <c r="B6" s="38" t="n"/>
      <c r="C6" s="38" t="n"/>
      <c r="D6" s="38" t="n"/>
      <c r="E6" s="38" t="n"/>
      <c r="F6" s="39" t="n"/>
      <c r="G6" s="38" t="n"/>
      <c r="H6" s="39" t="n"/>
      <c r="I6" s="38" t="n"/>
      <c r="J6" s="22">
        <f>IF(COUNTA(A6:I6,K6:O6)=0,"",IF(OR(A6="",B6="",C6=""),"ID / parent missing",IF(COUNTIF($A$4:$A$553,A6)&gt;1,"Duplicate condition ID",IF(COUNTIF('Gate events'!$A$4:$A$553,B6)=0,"Event ID not found",IF(INDEX('Gate events'!$B$4:$B$553,MATCH(B6,'Gate events'!$A$4:$A$553,0))&lt;&gt;C6,"AIR-ID differs from event",IF(IF(INDEX('Gate events'!$P$4:$P$553,MATCH(B6,'Gate events'!$A$4:$A$553,0))="UC-ID specific",IF(OR(L6&lt;&gt;"UC-ID specific",K6=""),"Condition UC-ID required",IF(ISNUMBER(SEARCH(","&amp;SUBSTITUTE(K6," ","")&amp;",",","&amp;SUBSTITUTE(INDEX('Gate events'!$O$4:$O$553,MATCH(B6,'Gate events'!$A$4:$A$553,0))," ","")&amp;",")),"","UC-ID differs from decision")),IF(INDEX('Gate events'!$P$4:$P$553,MATCH(B6,'Gate events'!$A$4:$A$553,0))="Shared system baseline",IF(OR(L6&lt;&gt;"Shared system baseline",K6&lt;&gt;""),"Condition scope differs from decision",""),"Parent decision scope missing"))&lt;&gt;"",IF(INDEX('Gate events'!$P$4:$P$553,MATCH(B6,'Gate events'!$A$4:$A$553,0))="UC-ID specific",IF(OR(L6&lt;&gt;"UC-ID specific",K6=""),"Condition UC-ID required",IF(ISNUMBER(SEARCH(","&amp;SUBSTITUTE(K6," ","")&amp;",",","&amp;SUBSTITUTE(INDEX('Gate events'!$O$4:$O$553,MATCH(B6,'Gate events'!$A$4:$A$553,0))," ","")&amp;",")),"","UC-ID differs from decision")),IF(INDEX('Gate events'!$P$4:$P$553,MATCH(B6,'Gate events'!$A$4:$A$553,0))="Shared system baseline",IF(OR(L6&lt;&gt;"Shared system baseline",K6&lt;&gt;""),"Condition scope differs from decision",""),"Parent decision scope missing")),IF(OR(D6="",E6="",F6="",G6=""),"Condition, owner, due date or state missing",IF(NOT(ISNUMBER(F6)),"Due date is not a date",IF(OR(G6="Overdue",G6="Superseded"),"Legacy state — owner review (use the shared five states)",IF(INDEX('Gate events'!$E$4:$E$553,MATCH(B6,'Gate events'!$A$4:$A$553,0))&lt;&gt;"Decision","Parent event is not a Decision",IF(AND(INDEX('Gate events'!$G$4:$G$553,MATCH(B6,'Gate events'!$A$4:$A$553,0))&lt;&gt;"Progress with condition",INDEX('Gate events'!$G$4:$G$553,MATCH(B6,'Gate events'!$A$4:$A$553,0))&lt;&gt;"Re-authorise",INDEX('Gate events'!$G$4:$G$553,MATCH(B6,'Gate events'!$A$4:$A$553,0))&lt;&gt;"Resume"),"Parent outcome is not Progress with condition / Re-authorise / Resume",IF(AND(ISNUMBER(INDEX('Gate events'!$F$4:$F$553,MATCH(B6,'Gate events'!$A$4:$A$553,0))),F6&lt;INDEX('Gate events'!$F$4:$F$553,MATCH(B6,'Gate events'!$A$4:$A$553,0))),"Due date before parent event date",IF(AND(OR(G6="Closed-verified",G6="Waived",G6="Accepted-open"),OR(H6="",I6="")),"Closure evidence missing",IF(AND(H6&lt;&gt;"",NOT(ISNUMBER(H6))),"Closed / waived on is not a date",IF(AND(ISNUMBER(H6),ISNUMBER(INDEX('Gate events'!$F$4:$F$553,MATCH(B6,'Gate events'!$A$4:$A$553,0))),H6&lt;INDEX('Gate events'!$F$4:$F$553,MATCH(B6,'Gate events'!$A$4:$A$553,0))),"Closure date before parent event date",IF(AND(G6="Closed-verified",M6=""),"Verifier / date missing",IF(AND(N6="Yes",G6="Closed-verified",O6=""),"Monitoring condition needs AIG-OPS-02 evidence ref",IF(AND(G6="Open",F6&lt;TODAY()),"OVERDUE (derived) — review",IF(G6="Unknown","State Unknown: owner to confirm","Check against source")))))))))))))))))))</f>
        <v/>
      </c>
      <c r="K6" s="37" t="n"/>
      <c r="L6" s="37" t="n"/>
      <c r="M6" s="38" t="n"/>
      <c r="N6" s="38" t="n"/>
      <c r="O6" s="38" t="n"/>
    </row>
    <row r="7">
      <c r="A7" s="40" t="n"/>
      <c r="B7" s="40" t="n"/>
      <c r="C7" s="40" t="n"/>
      <c r="D7" s="40" t="n"/>
      <c r="E7" s="40" t="n"/>
      <c r="F7" s="41" t="n"/>
      <c r="G7" s="40" t="n"/>
      <c r="H7" s="41" t="n"/>
      <c r="I7" s="40" t="n"/>
      <c r="J7" s="24">
        <f>IF(COUNTA(A7:I7,K7:O7)=0,"",IF(OR(A7="",B7="",C7=""),"ID / parent missing",IF(COUNTIF($A$4:$A$553,A7)&gt;1,"Duplicate condition ID",IF(COUNTIF('Gate events'!$A$4:$A$553,B7)=0,"Event ID not found",IF(INDEX('Gate events'!$B$4:$B$553,MATCH(B7,'Gate events'!$A$4:$A$553,0))&lt;&gt;C7,"AIR-ID differs from event",IF(IF(INDEX('Gate events'!$P$4:$P$553,MATCH(B7,'Gate events'!$A$4:$A$553,0))="UC-ID specific",IF(OR(L7&lt;&gt;"UC-ID specific",K7=""),"Condition UC-ID required",IF(ISNUMBER(SEARCH(","&amp;SUBSTITUTE(K7," ","")&amp;",",","&amp;SUBSTITUTE(INDEX('Gate events'!$O$4:$O$553,MATCH(B7,'Gate events'!$A$4:$A$553,0))," ","")&amp;",")),"","UC-ID differs from decision")),IF(INDEX('Gate events'!$P$4:$P$553,MATCH(B7,'Gate events'!$A$4:$A$553,0))="Shared system baseline",IF(OR(L7&lt;&gt;"Shared system baseline",K7&lt;&gt;""),"Condition scope differs from decision",""),"Parent decision scope missing"))&lt;&gt;"",IF(INDEX('Gate events'!$P$4:$P$553,MATCH(B7,'Gate events'!$A$4:$A$553,0))="UC-ID specific",IF(OR(L7&lt;&gt;"UC-ID specific",K7=""),"Condition UC-ID required",IF(ISNUMBER(SEARCH(","&amp;SUBSTITUTE(K7," ","")&amp;",",","&amp;SUBSTITUTE(INDEX('Gate events'!$O$4:$O$553,MATCH(B7,'Gate events'!$A$4:$A$553,0))," ","")&amp;",")),"","UC-ID differs from decision")),IF(INDEX('Gate events'!$P$4:$P$553,MATCH(B7,'Gate events'!$A$4:$A$553,0))="Shared system baseline",IF(OR(L7&lt;&gt;"Shared system baseline",K7&lt;&gt;""),"Condition scope differs from decision",""),"Parent decision scope missing")),IF(OR(D7="",E7="",F7="",G7=""),"Condition, owner, due date or state missing",IF(NOT(ISNUMBER(F7)),"Due date is not a date",IF(OR(G7="Overdue",G7="Superseded"),"Legacy state — owner review (use the shared five states)",IF(INDEX('Gate events'!$E$4:$E$553,MATCH(B7,'Gate events'!$A$4:$A$553,0))&lt;&gt;"Decision","Parent event is not a Decision",IF(AND(INDEX('Gate events'!$G$4:$G$553,MATCH(B7,'Gate events'!$A$4:$A$553,0))&lt;&gt;"Progress with condition",INDEX('Gate events'!$G$4:$G$553,MATCH(B7,'Gate events'!$A$4:$A$553,0))&lt;&gt;"Re-authorise",INDEX('Gate events'!$G$4:$G$553,MATCH(B7,'Gate events'!$A$4:$A$553,0))&lt;&gt;"Resume"),"Parent outcome is not Progress with condition / Re-authorise / Resume",IF(AND(ISNUMBER(INDEX('Gate events'!$F$4:$F$553,MATCH(B7,'Gate events'!$A$4:$A$553,0))),F7&lt;INDEX('Gate events'!$F$4:$F$553,MATCH(B7,'Gate events'!$A$4:$A$553,0))),"Due date before parent event date",IF(AND(OR(G7="Closed-verified",G7="Waived",G7="Accepted-open"),OR(H7="",I7="")),"Closure evidence missing",IF(AND(H7&lt;&gt;"",NOT(ISNUMBER(H7))),"Closed / waived on is not a date",IF(AND(ISNUMBER(H7),ISNUMBER(INDEX('Gate events'!$F$4:$F$553,MATCH(B7,'Gate events'!$A$4:$A$553,0))),H7&lt;INDEX('Gate events'!$F$4:$F$553,MATCH(B7,'Gate events'!$A$4:$A$553,0))),"Closure date before parent event date",IF(AND(G7="Closed-verified",M7=""),"Verifier / date missing",IF(AND(N7="Yes",G7="Closed-verified",O7=""),"Monitoring condition needs AIG-OPS-02 evidence ref",IF(AND(G7="Open",F7&lt;TODAY()),"OVERDUE (derived) — review",IF(G7="Unknown","State Unknown: owner to confirm","Check against source")))))))))))))))))))</f>
        <v/>
      </c>
      <c r="K7" s="37" t="n"/>
      <c r="L7" s="37" t="n"/>
      <c r="M7" s="40" t="n"/>
      <c r="N7" s="40" t="n"/>
      <c r="O7" s="40" t="n"/>
    </row>
    <row r="8">
      <c r="A8" s="38" t="n"/>
      <c r="B8" s="38" t="n"/>
      <c r="C8" s="38" t="n"/>
      <c r="D8" s="38" t="n"/>
      <c r="E8" s="38" t="n"/>
      <c r="F8" s="39" t="n"/>
      <c r="G8" s="38" t="n"/>
      <c r="H8" s="39" t="n"/>
      <c r="I8" s="38" t="n"/>
      <c r="J8" s="22">
        <f>IF(COUNTA(A8:I8,K8:O8)=0,"",IF(OR(A8="",B8="",C8=""),"ID / parent missing",IF(COUNTIF($A$4:$A$553,A8)&gt;1,"Duplicate condition ID",IF(COUNTIF('Gate events'!$A$4:$A$553,B8)=0,"Event ID not found",IF(INDEX('Gate events'!$B$4:$B$553,MATCH(B8,'Gate events'!$A$4:$A$553,0))&lt;&gt;C8,"AIR-ID differs from event",IF(IF(INDEX('Gate events'!$P$4:$P$553,MATCH(B8,'Gate events'!$A$4:$A$553,0))="UC-ID specific",IF(OR(L8&lt;&gt;"UC-ID specific",K8=""),"Condition UC-ID required",IF(ISNUMBER(SEARCH(","&amp;SUBSTITUTE(K8," ","")&amp;",",","&amp;SUBSTITUTE(INDEX('Gate events'!$O$4:$O$553,MATCH(B8,'Gate events'!$A$4:$A$553,0))," ","")&amp;",")),"","UC-ID differs from decision")),IF(INDEX('Gate events'!$P$4:$P$553,MATCH(B8,'Gate events'!$A$4:$A$553,0))="Shared system baseline",IF(OR(L8&lt;&gt;"Shared system baseline",K8&lt;&gt;""),"Condition scope differs from decision",""),"Parent decision scope missing"))&lt;&gt;"",IF(INDEX('Gate events'!$P$4:$P$553,MATCH(B8,'Gate events'!$A$4:$A$553,0))="UC-ID specific",IF(OR(L8&lt;&gt;"UC-ID specific",K8=""),"Condition UC-ID required",IF(ISNUMBER(SEARCH(","&amp;SUBSTITUTE(K8," ","")&amp;",",","&amp;SUBSTITUTE(INDEX('Gate events'!$O$4:$O$553,MATCH(B8,'Gate events'!$A$4:$A$553,0))," ","")&amp;",")),"","UC-ID differs from decision")),IF(INDEX('Gate events'!$P$4:$P$553,MATCH(B8,'Gate events'!$A$4:$A$553,0))="Shared system baseline",IF(OR(L8&lt;&gt;"Shared system baseline",K8&lt;&gt;""),"Condition scope differs from decision",""),"Parent decision scope missing")),IF(OR(D8="",E8="",F8="",G8=""),"Condition, owner, due date or state missing",IF(NOT(ISNUMBER(F8)),"Due date is not a date",IF(OR(G8="Overdue",G8="Superseded"),"Legacy state — owner review (use the shared five states)",IF(INDEX('Gate events'!$E$4:$E$553,MATCH(B8,'Gate events'!$A$4:$A$553,0))&lt;&gt;"Decision","Parent event is not a Decision",IF(AND(INDEX('Gate events'!$G$4:$G$553,MATCH(B8,'Gate events'!$A$4:$A$553,0))&lt;&gt;"Progress with condition",INDEX('Gate events'!$G$4:$G$553,MATCH(B8,'Gate events'!$A$4:$A$553,0))&lt;&gt;"Re-authorise",INDEX('Gate events'!$G$4:$G$553,MATCH(B8,'Gate events'!$A$4:$A$553,0))&lt;&gt;"Resume"),"Parent outcome is not Progress with condition / Re-authorise / Resume",IF(AND(ISNUMBER(INDEX('Gate events'!$F$4:$F$553,MATCH(B8,'Gate events'!$A$4:$A$553,0))),F8&lt;INDEX('Gate events'!$F$4:$F$553,MATCH(B8,'Gate events'!$A$4:$A$553,0))),"Due date before parent event date",IF(AND(OR(G8="Closed-verified",G8="Waived",G8="Accepted-open"),OR(H8="",I8="")),"Closure evidence missing",IF(AND(H8&lt;&gt;"",NOT(ISNUMBER(H8))),"Closed / waived on is not a date",IF(AND(ISNUMBER(H8),ISNUMBER(INDEX('Gate events'!$F$4:$F$553,MATCH(B8,'Gate events'!$A$4:$A$553,0))),H8&lt;INDEX('Gate events'!$F$4:$F$553,MATCH(B8,'Gate events'!$A$4:$A$553,0))),"Closure date before parent event date",IF(AND(G8="Closed-verified",M8=""),"Verifier / date missing",IF(AND(N8="Yes",G8="Closed-verified",O8=""),"Monitoring condition needs AIG-OPS-02 evidence ref",IF(AND(G8="Open",F8&lt;TODAY()),"OVERDUE (derived) — review",IF(G8="Unknown","State Unknown: owner to confirm","Check against source")))))))))))))))))))</f>
        <v/>
      </c>
      <c r="K8" s="37" t="n"/>
      <c r="L8" s="37" t="n"/>
      <c r="M8" s="38" t="n"/>
      <c r="N8" s="38" t="n"/>
      <c r="O8" s="38" t="n"/>
    </row>
    <row r="9">
      <c r="A9" s="40" t="n"/>
      <c r="B9" s="40" t="n"/>
      <c r="C9" s="40" t="n"/>
      <c r="D9" s="40" t="n"/>
      <c r="E9" s="40" t="n"/>
      <c r="F9" s="41" t="n"/>
      <c r="G9" s="40" t="n"/>
      <c r="H9" s="41" t="n"/>
      <c r="I9" s="40" t="n"/>
      <c r="J9" s="24">
        <f>IF(COUNTA(A9:I9,K9:O9)=0,"",IF(OR(A9="",B9="",C9=""),"ID / parent missing",IF(COUNTIF($A$4:$A$553,A9)&gt;1,"Duplicate condition ID",IF(COUNTIF('Gate events'!$A$4:$A$553,B9)=0,"Event ID not found",IF(INDEX('Gate events'!$B$4:$B$553,MATCH(B9,'Gate events'!$A$4:$A$553,0))&lt;&gt;C9,"AIR-ID differs from event",IF(IF(INDEX('Gate events'!$P$4:$P$553,MATCH(B9,'Gate events'!$A$4:$A$553,0))="UC-ID specific",IF(OR(L9&lt;&gt;"UC-ID specific",K9=""),"Condition UC-ID required",IF(ISNUMBER(SEARCH(","&amp;SUBSTITUTE(K9," ","")&amp;",",","&amp;SUBSTITUTE(INDEX('Gate events'!$O$4:$O$553,MATCH(B9,'Gate events'!$A$4:$A$553,0))," ","")&amp;",")),"","UC-ID differs from decision")),IF(INDEX('Gate events'!$P$4:$P$553,MATCH(B9,'Gate events'!$A$4:$A$553,0))="Shared system baseline",IF(OR(L9&lt;&gt;"Shared system baseline",K9&lt;&gt;""),"Condition scope differs from decision",""),"Parent decision scope missing"))&lt;&gt;"",IF(INDEX('Gate events'!$P$4:$P$553,MATCH(B9,'Gate events'!$A$4:$A$553,0))="UC-ID specific",IF(OR(L9&lt;&gt;"UC-ID specific",K9=""),"Condition UC-ID required",IF(ISNUMBER(SEARCH(","&amp;SUBSTITUTE(K9," ","")&amp;",",","&amp;SUBSTITUTE(INDEX('Gate events'!$O$4:$O$553,MATCH(B9,'Gate events'!$A$4:$A$553,0))," ","")&amp;",")),"","UC-ID differs from decision")),IF(INDEX('Gate events'!$P$4:$P$553,MATCH(B9,'Gate events'!$A$4:$A$553,0))="Shared system baseline",IF(OR(L9&lt;&gt;"Shared system baseline",K9&lt;&gt;""),"Condition scope differs from decision",""),"Parent decision scope missing")),IF(OR(D9="",E9="",F9="",G9=""),"Condition, owner, due date or state missing",IF(NOT(ISNUMBER(F9)),"Due date is not a date",IF(OR(G9="Overdue",G9="Superseded"),"Legacy state — owner review (use the shared five states)",IF(INDEX('Gate events'!$E$4:$E$553,MATCH(B9,'Gate events'!$A$4:$A$553,0))&lt;&gt;"Decision","Parent event is not a Decision",IF(AND(INDEX('Gate events'!$G$4:$G$553,MATCH(B9,'Gate events'!$A$4:$A$553,0))&lt;&gt;"Progress with condition",INDEX('Gate events'!$G$4:$G$553,MATCH(B9,'Gate events'!$A$4:$A$553,0))&lt;&gt;"Re-authorise",INDEX('Gate events'!$G$4:$G$553,MATCH(B9,'Gate events'!$A$4:$A$553,0))&lt;&gt;"Resume"),"Parent outcome is not Progress with condition / Re-authorise / Resume",IF(AND(ISNUMBER(INDEX('Gate events'!$F$4:$F$553,MATCH(B9,'Gate events'!$A$4:$A$553,0))),F9&lt;INDEX('Gate events'!$F$4:$F$553,MATCH(B9,'Gate events'!$A$4:$A$553,0))),"Due date before parent event date",IF(AND(OR(G9="Closed-verified",G9="Waived",G9="Accepted-open"),OR(H9="",I9="")),"Closure evidence missing",IF(AND(H9&lt;&gt;"",NOT(ISNUMBER(H9))),"Closed / waived on is not a date",IF(AND(ISNUMBER(H9),ISNUMBER(INDEX('Gate events'!$F$4:$F$553,MATCH(B9,'Gate events'!$A$4:$A$553,0))),H9&lt;INDEX('Gate events'!$F$4:$F$553,MATCH(B9,'Gate events'!$A$4:$A$553,0))),"Closure date before parent event date",IF(AND(G9="Closed-verified",M9=""),"Verifier / date missing",IF(AND(N9="Yes",G9="Closed-verified",O9=""),"Monitoring condition needs AIG-OPS-02 evidence ref",IF(AND(G9="Open",F9&lt;TODAY()),"OVERDUE (derived) — review",IF(G9="Unknown","State Unknown: owner to confirm","Check against source")))))))))))))))))))</f>
        <v/>
      </c>
      <c r="K9" s="37" t="n"/>
      <c r="L9" s="37" t="n"/>
      <c r="M9" s="40" t="n"/>
      <c r="N9" s="40" t="n"/>
      <c r="O9" s="40" t="n"/>
    </row>
    <row r="10">
      <c r="A10" s="38" t="n"/>
      <c r="B10" s="38" t="n"/>
      <c r="C10" s="38" t="n"/>
      <c r="D10" s="38" t="n"/>
      <c r="E10" s="38" t="n"/>
      <c r="F10" s="39" t="n"/>
      <c r="G10" s="38" t="n"/>
      <c r="H10" s="39" t="n"/>
      <c r="I10" s="38" t="n"/>
      <c r="J10" s="22">
        <f>IF(COUNTA(A10:I10,K10:O10)=0,"",IF(OR(A10="",B10="",C10=""),"ID / parent missing",IF(COUNTIF($A$4:$A$553,A10)&gt;1,"Duplicate condition ID",IF(COUNTIF('Gate events'!$A$4:$A$553,B10)=0,"Event ID not found",IF(INDEX('Gate events'!$B$4:$B$553,MATCH(B10,'Gate events'!$A$4:$A$553,0))&lt;&gt;C10,"AIR-ID differs from event",IF(IF(INDEX('Gate events'!$P$4:$P$553,MATCH(B10,'Gate events'!$A$4:$A$553,0))="UC-ID specific",IF(OR(L10&lt;&gt;"UC-ID specific",K10=""),"Condition UC-ID required",IF(ISNUMBER(SEARCH(","&amp;SUBSTITUTE(K10," ","")&amp;",",","&amp;SUBSTITUTE(INDEX('Gate events'!$O$4:$O$553,MATCH(B10,'Gate events'!$A$4:$A$553,0))," ","")&amp;",")),"","UC-ID differs from decision")),IF(INDEX('Gate events'!$P$4:$P$553,MATCH(B10,'Gate events'!$A$4:$A$553,0))="Shared system baseline",IF(OR(L10&lt;&gt;"Shared system baseline",K10&lt;&gt;""),"Condition scope differs from decision",""),"Parent decision scope missing"))&lt;&gt;"",IF(INDEX('Gate events'!$P$4:$P$553,MATCH(B10,'Gate events'!$A$4:$A$553,0))="UC-ID specific",IF(OR(L10&lt;&gt;"UC-ID specific",K10=""),"Condition UC-ID required",IF(ISNUMBER(SEARCH(","&amp;SUBSTITUTE(K10," ","")&amp;",",","&amp;SUBSTITUTE(INDEX('Gate events'!$O$4:$O$553,MATCH(B10,'Gate events'!$A$4:$A$553,0))," ","")&amp;",")),"","UC-ID differs from decision")),IF(INDEX('Gate events'!$P$4:$P$553,MATCH(B10,'Gate events'!$A$4:$A$553,0))="Shared system baseline",IF(OR(L10&lt;&gt;"Shared system baseline",K10&lt;&gt;""),"Condition scope differs from decision",""),"Parent decision scope missing")),IF(OR(D10="",E10="",F10="",G10=""),"Condition, owner, due date or state missing",IF(NOT(ISNUMBER(F10)),"Due date is not a date",IF(OR(G10="Overdue",G10="Superseded"),"Legacy state — owner review (use the shared five states)",IF(INDEX('Gate events'!$E$4:$E$553,MATCH(B10,'Gate events'!$A$4:$A$553,0))&lt;&gt;"Decision","Parent event is not a Decision",IF(AND(INDEX('Gate events'!$G$4:$G$553,MATCH(B10,'Gate events'!$A$4:$A$553,0))&lt;&gt;"Progress with condition",INDEX('Gate events'!$G$4:$G$553,MATCH(B10,'Gate events'!$A$4:$A$553,0))&lt;&gt;"Re-authorise",INDEX('Gate events'!$G$4:$G$553,MATCH(B10,'Gate events'!$A$4:$A$553,0))&lt;&gt;"Resume"),"Parent outcome is not Progress with condition / Re-authorise / Resume",IF(AND(ISNUMBER(INDEX('Gate events'!$F$4:$F$553,MATCH(B10,'Gate events'!$A$4:$A$553,0))),F10&lt;INDEX('Gate events'!$F$4:$F$553,MATCH(B10,'Gate events'!$A$4:$A$553,0))),"Due date before parent event date",IF(AND(OR(G10="Closed-verified",G10="Waived",G10="Accepted-open"),OR(H10="",I10="")),"Closure evidence missing",IF(AND(H10&lt;&gt;"",NOT(ISNUMBER(H10))),"Closed / waived on is not a date",IF(AND(ISNUMBER(H10),ISNUMBER(INDEX('Gate events'!$F$4:$F$553,MATCH(B10,'Gate events'!$A$4:$A$553,0))),H10&lt;INDEX('Gate events'!$F$4:$F$553,MATCH(B10,'Gate events'!$A$4:$A$553,0))),"Closure date before parent event date",IF(AND(G10="Closed-verified",M10=""),"Verifier / date missing",IF(AND(N10="Yes",G10="Closed-verified",O10=""),"Monitoring condition needs AIG-OPS-02 evidence ref",IF(AND(G10="Open",F10&lt;TODAY()),"OVERDUE (derived) — review",IF(G10="Unknown","State Unknown: owner to confirm","Check against source")))))))))))))))))))</f>
        <v/>
      </c>
      <c r="K10" s="37" t="n"/>
      <c r="L10" s="37" t="n"/>
      <c r="M10" s="38" t="n"/>
      <c r="N10" s="38" t="n"/>
      <c r="O10" s="38" t="n"/>
    </row>
    <row r="11">
      <c r="A11" s="40" t="n"/>
      <c r="B11" s="40" t="n"/>
      <c r="C11" s="40" t="n"/>
      <c r="D11" s="40" t="n"/>
      <c r="E11" s="40" t="n"/>
      <c r="F11" s="41" t="n"/>
      <c r="G11" s="40" t="n"/>
      <c r="H11" s="41" t="n"/>
      <c r="I11" s="40" t="n"/>
      <c r="J11" s="24">
        <f>IF(COUNTA(A11:I11,K11:O11)=0,"",IF(OR(A11="",B11="",C11=""),"ID / parent missing",IF(COUNTIF($A$4:$A$553,A11)&gt;1,"Duplicate condition ID",IF(COUNTIF('Gate events'!$A$4:$A$553,B11)=0,"Event ID not found",IF(INDEX('Gate events'!$B$4:$B$553,MATCH(B11,'Gate events'!$A$4:$A$553,0))&lt;&gt;C11,"AIR-ID differs from event",IF(IF(INDEX('Gate events'!$P$4:$P$553,MATCH(B11,'Gate events'!$A$4:$A$553,0))="UC-ID specific",IF(OR(L11&lt;&gt;"UC-ID specific",K11=""),"Condition UC-ID required",IF(ISNUMBER(SEARCH(","&amp;SUBSTITUTE(K11," ","")&amp;",",","&amp;SUBSTITUTE(INDEX('Gate events'!$O$4:$O$553,MATCH(B11,'Gate events'!$A$4:$A$553,0))," ","")&amp;",")),"","UC-ID differs from decision")),IF(INDEX('Gate events'!$P$4:$P$553,MATCH(B11,'Gate events'!$A$4:$A$553,0))="Shared system baseline",IF(OR(L11&lt;&gt;"Shared system baseline",K11&lt;&gt;""),"Condition scope differs from decision",""),"Parent decision scope missing"))&lt;&gt;"",IF(INDEX('Gate events'!$P$4:$P$553,MATCH(B11,'Gate events'!$A$4:$A$553,0))="UC-ID specific",IF(OR(L11&lt;&gt;"UC-ID specific",K11=""),"Condition UC-ID required",IF(ISNUMBER(SEARCH(","&amp;SUBSTITUTE(K11," ","")&amp;",",","&amp;SUBSTITUTE(INDEX('Gate events'!$O$4:$O$553,MATCH(B11,'Gate events'!$A$4:$A$553,0))," ","")&amp;",")),"","UC-ID differs from decision")),IF(INDEX('Gate events'!$P$4:$P$553,MATCH(B11,'Gate events'!$A$4:$A$553,0))="Shared system baseline",IF(OR(L11&lt;&gt;"Shared system baseline",K11&lt;&gt;""),"Condition scope differs from decision",""),"Parent decision scope missing")),IF(OR(D11="",E11="",F11="",G11=""),"Condition, owner, due date or state missing",IF(NOT(ISNUMBER(F11)),"Due date is not a date",IF(OR(G11="Overdue",G11="Superseded"),"Legacy state — owner review (use the shared five states)",IF(INDEX('Gate events'!$E$4:$E$553,MATCH(B11,'Gate events'!$A$4:$A$553,0))&lt;&gt;"Decision","Parent event is not a Decision",IF(AND(INDEX('Gate events'!$G$4:$G$553,MATCH(B11,'Gate events'!$A$4:$A$553,0))&lt;&gt;"Progress with condition",INDEX('Gate events'!$G$4:$G$553,MATCH(B11,'Gate events'!$A$4:$A$553,0))&lt;&gt;"Re-authorise",INDEX('Gate events'!$G$4:$G$553,MATCH(B11,'Gate events'!$A$4:$A$553,0))&lt;&gt;"Resume"),"Parent outcome is not Progress with condition / Re-authorise / Resume",IF(AND(ISNUMBER(INDEX('Gate events'!$F$4:$F$553,MATCH(B11,'Gate events'!$A$4:$A$553,0))),F11&lt;INDEX('Gate events'!$F$4:$F$553,MATCH(B11,'Gate events'!$A$4:$A$553,0))),"Due date before parent event date",IF(AND(OR(G11="Closed-verified",G11="Waived",G11="Accepted-open"),OR(H11="",I11="")),"Closure evidence missing",IF(AND(H11&lt;&gt;"",NOT(ISNUMBER(H11))),"Closed / waived on is not a date",IF(AND(ISNUMBER(H11),ISNUMBER(INDEX('Gate events'!$F$4:$F$553,MATCH(B11,'Gate events'!$A$4:$A$553,0))),H11&lt;INDEX('Gate events'!$F$4:$F$553,MATCH(B11,'Gate events'!$A$4:$A$553,0))),"Closure date before parent event date",IF(AND(G11="Closed-verified",M11=""),"Verifier / date missing",IF(AND(N11="Yes",G11="Closed-verified",O11=""),"Monitoring condition needs AIG-OPS-02 evidence ref",IF(AND(G11="Open",F11&lt;TODAY()),"OVERDUE (derived) — review",IF(G11="Unknown","State Unknown: owner to confirm","Check against source")))))))))))))))))))</f>
        <v/>
      </c>
      <c r="K11" s="37" t="n"/>
      <c r="L11" s="37" t="n"/>
      <c r="M11" s="40" t="n"/>
      <c r="N11" s="40" t="n"/>
      <c r="O11" s="40" t="n"/>
    </row>
    <row r="12">
      <c r="A12" s="38" t="n"/>
      <c r="B12" s="38" t="n"/>
      <c r="C12" s="38" t="n"/>
      <c r="D12" s="38" t="n"/>
      <c r="E12" s="38" t="n"/>
      <c r="F12" s="39" t="n"/>
      <c r="G12" s="38" t="n"/>
      <c r="H12" s="39" t="n"/>
      <c r="I12" s="38" t="n"/>
      <c r="J12" s="22">
        <f>IF(COUNTA(A12:I12,K12:O12)=0,"",IF(OR(A12="",B12="",C12=""),"ID / parent missing",IF(COUNTIF($A$4:$A$553,A12)&gt;1,"Duplicate condition ID",IF(COUNTIF('Gate events'!$A$4:$A$553,B12)=0,"Event ID not found",IF(INDEX('Gate events'!$B$4:$B$553,MATCH(B12,'Gate events'!$A$4:$A$553,0))&lt;&gt;C12,"AIR-ID differs from event",IF(IF(INDEX('Gate events'!$P$4:$P$553,MATCH(B12,'Gate events'!$A$4:$A$553,0))="UC-ID specific",IF(OR(L12&lt;&gt;"UC-ID specific",K12=""),"Condition UC-ID required",IF(ISNUMBER(SEARCH(","&amp;SUBSTITUTE(K12," ","")&amp;",",","&amp;SUBSTITUTE(INDEX('Gate events'!$O$4:$O$553,MATCH(B12,'Gate events'!$A$4:$A$553,0))," ","")&amp;",")),"","UC-ID differs from decision")),IF(INDEX('Gate events'!$P$4:$P$553,MATCH(B12,'Gate events'!$A$4:$A$553,0))="Shared system baseline",IF(OR(L12&lt;&gt;"Shared system baseline",K12&lt;&gt;""),"Condition scope differs from decision",""),"Parent decision scope missing"))&lt;&gt;"",IF(INDEX('Gate events'!$P$4:$P$553,MATCH(B12,'Gate events'!$A$4:$A$553,0))="UC-ID specific",IF(OR(L12&lt;&gt;"UC-ID specific",K12=""),"Condition UC-ID required",IF(ISNUMBER(SEARCH(","&amp;SUBSTITUTE(K12," ","")&amp;",",","&amp;SUBSTITUTE(INDEX('Gate events'!$O$4:$O$553,MATCH(B12,'Gate events'!$A$4:$A$553,0))," ","")&amp;",")),"","UC-ID differs from decision")),IF(INDEX('Gate events'!$P$4:$P$553,MATCH(B12,'Gate events'!$A$4:$A$553,0))="Shared system baseline",IF(OR(L12&lt;&gt;"Shared system baseline",K12&lt;&gt;""),"Condition scope differs from decision",""),"Parent decision scope missing")),IF(OR(D12="",E12="",F12="",G12=""),"Condition, owner, due date or state missing",IF(NOT(ISNUMBER(F12)),"Due date is not a date",IF(OR(G12="Overdue",G12="Superseded"),"Legacy state — owner review (use the shared five states)",IF(INDEX('Gate events'!$E$4:$E$553,MATCH(B12,'Gate events'!$A$4:$A$553,0))&lt;&gt;"Decision","Parent event is not a Decision",IF(AND(INDEX('Gate events'!$G$4:$G$553,MATCH(B12,'Gate events'!$A$4:$A$553,0))&lt;&gt;"Progress with condition",INDEX('Gate events'!$G$4:$G$553,MATCH(B12,'Gate events'!$A$4:$A$553,0))&lt;&gt;"Re-authorise",INDEX('Gate events'!$G$4:$G$553,MATCH(B12,'Gate events'!$A$4:$A$553,0))&lt;&gt;"Resume"),"Parent outcome is not Progress with condition / Re-authorise / Resume",IF(AND(ISNUMBER(INDEX('Gate events'!$F$4:$F$553,MATCH(B12,'Gate events'!$A$4:$A$553,0))),F12&lt;INDEX('Gate events'!$F$4:$F$553,MATCH(B12,'Gate events'!$A$4:$A$553,0))),"Due date before parent event date",IF(AND(OR(G12="Closed-verified",G12="Waived",G12="Accepted-open"),OR(H12="",I12="")),"Closure evidence missing",IF(AND(H12&lt;&gt;"",NOT(ISNUMBER(H12))),"Closed / waived on is not a date",IF(AND(ISNUMBER(H12),ISNUMBER(INDEX('Gate events'!$F$4:$F$553,MATCH(B12,'Gate events'!$A$4:$A$553,0))),H12&lt;INDEX('Gate events'!$F$4:$F$553,MATCH(B12,'Gate events'!$A$4:$A$553,0))),"Closure date before parent event date",IF(AND(G12="Closed-verified",M12=""),"Verifier / date missing",IF(AND(N12="Yes",G12="Closed-verified",O12=""),"Monitoring condition needs AIG-OPS-02 evidence ref",IF(AND(G12="Open",F12&lt;TODAY()),"OVERDUE (derived) — review",IF(G12="Unknown","State Unknown: owner to confirm","Check against source")))))))))))))))))))</f>
        <v/>
      </c>
      <c r="K12" s="37" t="n"/>
      <c r="L12" s="37" t="n"/>
      <c r="M12" s="38" t="n"/>
      <c r="N12" s="38" t="n"/>
      <c r="O12" s="38" t="n"/>
    </row>
    <row r="13">
      <c r="A13" s="40" t="n"/>
      <c r="B13" s="40" t="n"/>
      <c r="C13" s="40" t="n"/>
      <c r="D13" s="40" t="n"/>
      <c r="E13" s="40" t="n"/>
      <c r="F13" s="41" t="n"/>
      <c r="G13" s="40" t="n"/>
      <c r="H13" s="41" t="n"/>
      <c r="I13" s="40" t="n"/>
      <c r="J13" s="24">
        <f>IF(COUNTA(A13:I13,K13:O13)=0,"",IF(OR(A13="",B13="",C13=""),"ID / parent missing",IF(COUNTIF($A$4:$A$553,A13)&gt;1,"Duplicate condition ID",IF(COUNTIF('Gate events'!$A$4:$A$553,B13)=0,"Event ID not found",IF(INDEX('Gate events'!$B$4:$B$553,MATCH(B13,'Gate events'!$A$4:$A$553,0))&lt;&gt;C13,"AIR-ID differs from event",IF(IF(INDEX('Gate events'!$P$4:$P$553,MATCH(B13,'Gate events'!$A$4:$A$553,0))="UC-ID specific",IF(OR(L13&lt;&gt;"UC-ID specific",K13=""),"Condition UC-ID required",IF(ISNUMBER(SEARCH(","&amp;SUBSTITUTE(K13," ","")&amp;",",","&amp;SUBSTITUTE(INDEX('Gate events'!$O$4:$O$553,MATCH(B13,'Gate events'!$A$4:$A$553,0))," ","")&amp;",")),"","UC-ID differs from decision")),IF(INDEX('Gate events'!$P$4:$P$553,MATCH(B13,'Gate events'!$A$4:$A$553,0))="Shared system baseline",IF(OR(L13&lt;&gt;"Shared system baseline",K13&lt;&gt;""),"Condition scope differs from decision",""),"Parent decision scope missing"))&lt;&gt;"",IF(INDEX('Gate events'!$P$4:$P$553,MATCH(B13,'Gate events'!$A$4:$A$553,0))="UC-ID specific",IF(OR(L13&lt;&gt;"UC-ID specific",K13=""),"Condition UC-ID required",IF(ISNUMBER(SEARCH(","&amp;SUBSTITUTE(K13," ","")&amp;",",","&amp;SUBSTITUTE(INDEX('Gate events'!$O$4:$O$553,MATCH(B13,'Gate events'!$A$4:$A$553,0))," ","")&amp;",")),"","UC-ID differs from decision")),IF(INDEX('Gate events'!$P$4:$P$553,MATCH(B13,'Gate events'!$A$4:$A$553,0))="Shared system baseline",IF(OR(L13&lt;&gt;"Shared system baseline",K13&lt;&gt;""),"Condition scope differs from decision",""),"Parent decision scope missing")),IF(OR(D13="",E13="",F13="",G13=""),"Condition, owner, due date or state missing",IF(NOT(ISNUMBER(F13)),"Due date is not a date",IF(OR(G13="Overdue",G13="Superseded"),"Legacy state — owner review (use the shared five states)",IF(INDEX('Gate events'!$E$4:$E$553,MATCH(B13,'Gate events'!$A$4:$A$553,0))&lt;&gt;"Decision","Parent event is not a Decision",IF(AND(INDEX('Gate events'!$G$4:$G$553,MATCH(B13,'Gate events'!$A$4:$A$553,0))&lt;&gt;"Progress with condition",INDEX('Gate events'!$G$4:$G$553,MATCH(B13,'Gate events'!$A$4:$A$553,0))&lt;&gt;"Re-authorise",INDEX('Gate events'!$G$4:$G$553,MATCH(B13,'Gate events'!$A$4:$A$553,0))&lt;&gt;"Resume"),"Parent outcome is not Progress with condition / Re-authorise / Resume",IF(AND(ISNUMBER(INDEX('Gate events'!$F$4:$F$553,MATCH(B13,'Gate events'!$A$4:$A$553,0))),F13&lt;INDEX('Gate events'!$F$4:$F$553,MATCH(B13,'Gate events'!$A$4:$A$553,0))),"Due date before parent event date",IF(AND(OR(G13="Closed-verified",G13="Waived",G13="Accepted-open"),OR(H13="",I13="")),"Closure evidence missing",IF(AND(H13&lt;&gt;"",NOT(ISNUMBER(H13))),"Closed / waived on is not a date",IF(AND(ISNUMBER(H13),ISNUMBER(INDEX('Gate events'!$F$4:$F$553,MATCH(B13,'Gate events'!$A$4:$A$553,0))),H13&lt;INDEX('Gate events'!$F$4:$F$553,MATCH(B13,'Gate events'!$A$4:$A$553,0))),"Closure date before parent event date",IF(AND(G13="Closed-verified",M13=""),"Verifier / date missing",IF(AND(N13="Yes",G13="Closed-verified",O13=""),"Monitoring condition needs AIG-OPS-02 evidence ref",IF(AND(G13="Open",F13&lt;TODAY()),"OVERDUE (derived) — review",IF(G13="Unknown","State Unknown: owner to confirm","Check against source")))))))))))))))))))</f>
        <v/>
      </c>
      <c r="K13" s="37" t="n"/>
      <c r="L13" s="37" t="n"/>
      <c r="M13" s="40" t="n"/>
      <c r="N13" s="40" t="n"/>
      <c r="O13" s="40" t="n"/>
    </row>
    <row r="14">
      <c r="A14" s="38" t="n"/>
      <c r="B14" s="38" t="n"/>
      <c r="C14" s="38" t="n"/>
      <c r="D14" s="38" t="n"/>
      <c r="E14" s="38" t="n"/>
      <c r="F14" s="39" t="n"/>
      <c r="G14" s="38" t="n"/>
      <c r="H14" s="39" t="n"/>
      <c r="I14" s="38" t="n"/>
      <c r="J14" s="22">
        <f>IF(COUNTA(A14:I14,K14:O14)=0,"",IF(OR(A14="",B14="",C14=""),"ID / parent missing",IF(COUNTIF($A$4:$A$553,A14)&gt;1,"Duplicate condition ID",IF(COUNTIF('Gate events'!$A$4:$A$553,B14)=0,"Event ID not found",IF(INDEX('Gate events'!$B$4:$B$553,MATCH(B14,'Gate events'!$A$4:$A$553,0))&lt;&gt;C14,"AIR-ID differs from event",IF(IF(INDEX('Gate events'!$P$4:$P$553,MATCH(B14,'Gate events'!$A$4:$A$553,0))="UC-ID specific",IF(OR(L14&lt;&gt;"UC-ID specific",K14=""),"Condition UC-ID required",IF(ISNUMBER(SEARCH(","&amp;SUBSTITUTE(K14," ","")&amp;",",","&amp;SUBSTITUTE(INDEX('Gate events'!$O$4:$O$553,MATCH(B14,'Gate events'!$A$4:$A$553,0))," ","")&amp;",")),"","UC-ID differs from decision")),IF(INDEX('Gate events'!$P$4:$P$553,MATCH(B14,'Gate events'!$A$4:$A$553,0))="Shared system baseline",IF(OR(L14&lt;&gt;"Shared system baseline",K14&lt;&gt;""),"Condition scope differs from decision",""),"Parent decision scope missing"))&lt;&gt;"",IF(INDEX('Gate events'!$P$4:$P$553,MATCH(B14,'Gate events'!$A$4:$A$553,0))="UC-ID specific",IF(OR(L14&lt;&gt;"UC-ID specific",K14=""),"Condition UC-ID required",IF(ISNUMBER(SEARCH(","&amp;SUBSTITUTE(K14," ","")&amp;",",","&amp;SUBSTITUTE(INDEX('Gate events'!$O$4:$O$553,MATCH(B14,'Gate events'!$A$4:$A$553,0))," ","")&amp;",")),"","UC-ID differs from decision")),IF(INDEX('Gate events'!$P$4:$P$553,MATCH(B14,'Gate events'!$A$4:$A$553,0))="Shared system baseline",IF(OR(L14&lt;&gt;"Shared system baseline",K14&lt;&gt;""),"Condition scope differs from decision",""),"Parent decision scope missing")),IF(OR(D14="",E14="",F14="",G14=""),"Condition, owner, due date or state missing",IF(NOT(ISNUMBER(F14)),"Due date is not a date",IF(OR(G14="Overdue",G14="Superseded"),"Legacy state — owner review (use the shared five states)",IF(INDEX('Gate events'!$E$4:$E$553,MATCH(B14,'Gate events'!$A$4:$A$553,0))&lt;&gt;"Decision","Parent event is not a Decision",IF(AND(INDEX('Gate events'!$G$4:$G$553,MATCH(B14,'Gate events'!$A$4:$A$553,0))&lt;&gt;"Progress with condition",INDEX('Gate events'!$G$4:$G$553,MATCH(B14,'Gate events'!$A$4:$A$553,0))&lt;&gt;"Re-authorise",INDEX('Gate events'!$G$4:$G$553,MATCH(B14,'Gate events'!$A$4:$A$553,0))&lt;&gt;"Resume"),"Parent outcome is not Progress with condition / Re-authorise / Resume",IF(AND(ISNUMBER(INDEX('Gate events'!$F$4:$F$553,MATCH(B14,'Gate events'!$A$4:$A$553,0))),F14&lt;INDEX('Gate events'!$F$4:$F$553,MATCH(B14,'Gate events'!$A$4:$A$553,0))),"Due date before parent event date",IF(AND(OR(G14="Closed-verified",G14="Waived",G14="Accepted-open"),OR(H14="",I14="")),"Closure evidence missing",IF(AND(H14&lt;&gt;"",NOT(ISNUMBER(H14))),"Closed / waived on is not a date",IF(AND(ISNUMBER(H14),ISNUMBER(INDEX('Gate events'!$F$4:$F$553,MATCH(B14,'Gate events'!$A$4:$A$553,0))),H14&lt;INDEX('Gate events'!$F$4:$F$553,MATCH(B14,'Gate events'!$A$4:$A$553,0))),"Closure date before parent event date",IF(AND(G14="Closed-verified",M14=""),"Verifier / date missing",IF(AND(N14="Yes",G14="Closed-verified",O14=""),"Monitoring condition needs AIG-OPS-02 evidence ref",IF(AND(G14="Open",F14&lt;TODAY()),"OVERDUE (derived) — review",IF(G14="Unknown","State Unknown: owner to confirm","Check against source")))))))))))))))))))</f>
        <v/>
      </c>
      <c r="K14" s="37" t="n"/>
      <c r="L14" s="37" t="n"/>
      <c r="M14" s="38" t="n"/>
      <c r="N14" s="38" t="n"/>
      <c r="O14" s="38" t="n"/>
    </row>
    <row r="15">
      <c r="A15" s="40" t="n"/>
      <c r="B15" s="40" t="n"/>
      <c r="C15" s="40" t="n"/>
      <c r="D15" s="40" t="n"/>
      <c r="E15" s="40" t="n"/>
      <c r="F15" s="41" t="n"/>
      <c r="G15" s="40" t="n"/>
      <c r="H15" s="41" t="n"/>
      <c r="I15" s="40" t="n"/>
      <c r="J15" s="24">
        <f>IF(COUNTA(A15:I15,K15:O15)=0,"",IF(OR(A15="",B15="",C15=""),"ID / parent missing",IF(COUNTIF($A$4:$A$553,A15)&gt;1,"Duplicate condition ID",IF(COUNTIF('Gate events'!$A$4:$A$553,B15)=0,"Event ID not found",IF(INDEX('Gate events'!$B$4:$B$553,MATCH(B15,'Gate events'!$A$4:$A$553,0))&lt;&gt;C15,"AIR-ID differs from event",IF(IF(INDEX('Gate events'!$P$4:$P$553,MATCH(B15,'Gate events'!$A$4:$A$553,0))="UC-ID specific",IF(OR(L15&lt;&gt;"UC-ID specific",K15=""),"Condition UC-ID required",IF(ISNUMBER(SEARCH(","&amp;SUBSTITUTE(K15," ","")&amp;",",","&amp;SUBSTITUTE(INDEX('Gate events'!$O$4:$O$553,MATCH(B15,'Gate events'!$A$4:$A$553,0))," ","")&amp;",")),"","UC-ID differs from decision")),IF(INDEX('Gate events'!$P$4:$P$553,MATCH(B15,'Gate events'!$A$4:$A$553,0))="Shared system baseline",IF(OR(L15&lt;&gt;"Shared system baseline",K15&lt;&gt;""),"Condition scope differs from decision",""),"Parent decision scope missing"))&lt;&gt;"",IF(INDEX('Gate events'!$P$4:$P$553,MATCH(B15,'Gate events'!$A$4:$A$553,0))="UC-ID specific",IF(OR(L15&lt;&gt;"UC-ID specific",K15=""),"Condition UC-ID required",IF(ISNUMBER(SEARCH(","&amp;SUBSTITUTE(K15," ","")&amp;",",","&amp;SUBSTITUTE(INDEX('Gate events'!$O$4:$O$553,MATCH(B15,'Gate events'!$A$4:$A$553,0))," ","")&amp;",")),"","UC-ID differs from decision")),IF(INDEX('Gate events'!$P$4:$P$553,MATCH(B15,'Gate events'!$A$4:$A$553,0))="Shared system baseline",IF(OR(L15&lt;&gt;"Shared system baseline",K15&lt;&gt;""),"Condition scope differs from decision",""),"Parent decision scope missing")),IF(OR(D15="",E15="",F15="",G15=""),"Condition, owner, due date or state missing",IF(NOT(ISNUMBER(F15)),"Due date is not a date",IF(OR(G15="Overdue",G15="Superseded"),"Legacy state — owner review (use the shared five states)",IF(INDEX('Gate events'!$E$4:$E$553,MATCH(B15,'Gate events'!$A$4:$A$553,0))&lt;&gt;"Decision","Parent event is not a Decision",IF(AND(INDEX('Gate events'!$G$4:$G$553,MATCH(B15,'Gate events'!$A$4:$A$553,0))&lt;&gt;"Progress with condition",INDEX('Gate events'!$G$4:$G$553,MATCH(B15,'Gate events'!$A$4:$A$553,0))&lt;&gt;"Re-authorise",INDEX('Gate events'!$G$4:$G$553,MATCH(B15,'Gate events'!$A$4:$A$553,0))&lt;&gt;"Resume"),"Parent outcome is not Progress with condition / Re-authorise / Resume",IF(AND(ISNUMBER(INDEX('Gate events'!$F$4:$F$553,MATCH(B15,'Gate events'!$A$4:$A$553,0))),F15&lt;INDEX('Gate events'!$F$4:$F$553,MATCH(B15,'Gate events'!$A$4:$A$553,0))),"Due date before parent event date",IF(AND(OR(G15="Closed-verified",G15="Waived",G15="Accepted-open"),OR(H15="",I15="")),"Closure evidence missing",IF(AND(H15&lt;&gt;"",NOT(ISNUMBER(H15))),"Closed / waived on is not a date",IF(AND(ISNUMBER(H15),ISNUMBER(INDEX('Gate events'!$F$4:$F$553,MATCH(B15,'Gate events'!$A$4:$A$553,0))),H15&lt;INDEX('Gate events'!$F$4:$F$553,MATCH(B15,'Gate events'!$A$4:$A$553,0))),"Closure date before parent event date",IF(AND(G15="Closed-verified",M15=""),"Verifier / date missing",IF(AND(N15="Yes",G15="Closed-verified",O15=""),"Monitoring condition needs AIG-OPS-02 evidence ref",IF(AND(G15="Open",F15&lt;TODAY()),"OVERDUE (derived) — review",IF(G15="Unknown","State Unknown: owner to confirm","Check against source")))))))))))))))))))</f>
        <v/>
      </c>
      <c r="K15" s="37" t="n"/>
      <c r="L15" s="37" t="n"/>
      <c r="M15" s="40" t="n"/>
      <c r="N15" s="40" t="n"/>
      <c r="O15" s="40" t="n"/>
    </row>
    <row r="16">
      <c r="A16" s="38" t="n"/>
      <c r="B16" s="38" t="n"/>
      <c r="C16" s="38" t="n"/>
      <c r="D16" s="38" t="n"/>
      <c r="E16" s="38" t="n"/>
      <c r="F16" s="39" t="n"/>
      <c r="G16" s="38" t="n"/>
      <c r="H16" s="39" t="n"/>
      <c r="I16" s="38" t="n"/>
      <c r="J16" s="22">
        <f>IF(COUNTA(A16:I16,K16:O16)=0,"",IF(OR(A16="",B16="",C16=""),"ID / parent missing",IF(COUNTIF($A$4:$A$553,A16)&gt;1,"Duplicate condition ID",IF(COUNTIF('Gate events'!$A$4:$A$553,B16)=0,"Event ID not found",IF(INDEX('Gate events'!$B$4:$B$553,MATCH(B16,'Gate events'!$A$4:$A$553,0))&lt;&gt;C16,"AIR-ID differs from event",IF(IF(INDEX('Gate events'!$P$4:$P$553,MATCH(B16,'Gate events'!$A$4:$A$553,0))="UC-ID specific",IF(OR(L16&lt;&gt;"UC-ID specific",K16=""),"Condition UC-ID required",IF(ISNUMBER(SEARCH(","&amp;SUBSTITUTE(K16," ","")&amp;",",","&amp;SUBSTITUTE(INDEX('Gate events'!$O$4:$O$553,MATCH(B16,'Gate events'!$A$4:$A$553,0))," ","")&amp;",")),"","UC-ID differs from decision")),IF(INDEX('Gate events'!$P$4:$P$553,MATCH(B16,'Gate events'!$A$4:$A$553,0))="Shared system baseline",IF(OR(L16&lt;&gt;"Shared system baseline",K16&lt;&gt;""),"Condition scope differs from decision",""),"Parent decision scope missing"))&lt;&gt;"",IF(INDEX('Gate events'!$P$4:$P$553,MATCH(B16,'Gate events'!$A$4:$A$553,0))="UC-ID specific",IF(OR(L16&lt;&gt;"UC-ID specific",K16=""),"Condition UC-ID required",IF(ISNUMBER(SEARCH(","&amp;SUBSTITUTE(K16," ","")&amp;",",","&amp;SUBSTITUTE(INDEX('Gate events'!$O$4:$O$553,MATCH(B16,'Gate events'!$A$4:$A$553,0))," ","")&amp;",")),"","UC-ID differs from decision")),IF(INDEX('Gate events'!$P$4:$P$553,MATCH(B16,'Gate events'!$A$4:$A$553,0))="Shared system baseline",IF(OR(L16&lt;&gt;"Shared system baseline",K16&lt;&gt;""),"Condition scope differs from decision",""),"Parent decision scope missing")),IF(OR(D16="",E16="",F16="",G16=""),"Condition, owner, due date or state missing",IF(NOT(ISNUMBER(F16)),"Due date is not a date",IF(OR(G16="Overdue",G16="Superseded"),"Legacy state — owner review (use the shared five states)",IF(INDEX('Gate events'!$E$4:$E$553,MATCH(B16,'Gate events'!$A$4:$A$553,0))&lt;&gt;"Decision","Parent event is not a Decision",IF(AND(INDEX('Gate events'!$G$4:$G$553,MATCH(B16,'Gate events'!$A$4:$A$553,0))&lt;&gt;"Progress with condition",INDEX('Gate events'!$G$4:$G$553,MATCH(B16,'Gate events'!$A$4:$A$553,0))&lt;&gt;"Re-authorise",INDEX('Gate events'!$G$4:$G$553,MATCH(B16,'Gate events'!$A$4:$A$553,0))&lt;&gt;"Resume"),"Parent outcome is not Progress with condition / Re-authorise / Resume",IF(AND(ISNUMBER(INDEX('Gate events'!$F$4:$F$553,MATCH(B16,'Gate events'!$A$4:$A$553,0))),F16&lt;INDEX('Gate events'!$F$4:$F$553,MATCH(B16,'Gate events'!$A$4:$A$553,0))),"Due date before parent event date",IF(AND(OR(G16="Closed-verified",G16="Waived",G16="Accepted-open"),OR(H16="",I16="")),"Closure evidence missing",IF(AND(H16&lt;&gt;"",NOT(ISNUMBER(H16))),"Closed / waived on is not a date",IF(AND(ISNUMBER(H16),ISNUMBER(INDEX('Gate events'!$F$4:$F$553,MATCH(B16,'Gate events'!$A$4:$A$553,0))),H16&lt;INDEX('Gate events'!$F$4:$F$553,MATCH(B16,'Gate events'!$A$4:$A$553,0))),"Closure date before parent event date",IF(AND(G16="Closed-verified",M16=""),"Verifier / date missing",IF(AND(N16="Yes",G16="Closed-verified",O16=""),"Monitoring condition needs AIG-OPS-02 evidence ref",IF(AND(G16="Open",F16&lt;TODAY()),"OVERDUE (derived) — review",IF(G16="Unknown","State Unknown: owner to confirm","Check against source")))))))))))))))))))</f>
        <v/>
      </c>
      <c r="K16" s="37" t="n"/>
      <c r="L16" s="37" t="n"/>
      <c r="M16" s="38" t="n"/>
      <c r="N16" s="38" t="n"/>
      <c r="O16" s="38" t="n"/>
    </row>
    <row r="17">
      <c r="A17" s="40" t="n"/>
      <c r="B17" s="40" t="n"/>
      <c r="C17" s="40" t="n"/>
      <c r="D17" s="40" t="n"/>
      <c r="E17" s="40" t="n"/>
      <c r="F17" s="41" t="n"/>
      <c r="G17" s="40" t="n"/>
      <c r="H17" s="41" t="n"/>
      <c r="I17" s="40" t="n"/>
      <c r="J17" s="24">
        <f>IF(COUNTA(A17:I17,K17:O17)=0,"",IF(OR(A17="",B17="",C17=""),"ID / parent missing",IF(COUNTIF($A$4:$A$553,A17)&gt;1,"Duplicate condition ID",IF(COUNTIF('Gate events'!$A$4:$A$553,B17)=0,"Event ID not found",IF(INDEX('Gate events'!$B$4:$B$553,MATCH(B17,'Gate events'!$A$4:$A$553,0))&lt;&gt;C17,"AIR-ID differs from event",IF(IF(INDEX('Gate events'!$P$4:$P$553,MATCH(B17,'Gate events'!$A$4:$A$553,0))="UC-ID specific",IF(OR(L17&lt;&gt;"UC-ID specific",K17=""),"Condition UC-ID required",IF(ISNUMBER(SEARCH(","&amp;SUBSTITUTE(K17," ","")&amp;",",","&amp;SUBSTITUTE(INDEX('Gate events'!$O$4:$O$553,MATCH(B17,'Gate events'!$A$4:$A$553,0))," ","")&amp;",")),"","UC-ID differs from decision")),IF(INDEX('Gate events'!$P$4:$P$553,MATCH(B17,'Gate events'!$A$4:$A$553,0))="Shared system baseline",IF(OR(L17&lt;&gt;"Shared system baseline",K17&lt;&gt;""),"Condition scope differs from decision",""),"Parent decision scope missing"))&lt;&gt;"",IF(INDEX('Gate events'!$P$4:$P$553,MATCH(B17,'Gate events'!$A$4:$A$553,0))="UC-ID specific",IF(OR(L17&lt;&gt;"UC-ID specific",K17=""),"Condition UC-ID required",IF(ISNUMBER(SEARCH(","&amp;SUBSTITUTE(K17," ","")&amp;",",","&amp;SUBSTITUTE(INDEX('Gate events'!$O$4:$O$553,MATCH(B17,'Gate events'!$A$4:$A$553,0))," ","")&amp;",")),"","UC-ID differs from decision")),IF(INDEX('Gate events'!$P$4:$P$553,MATCH(B17,'Gate events'!$A$4:$A$553,0))="Shared system baseline",IF(OR(L17&lt;&gt;"Shared system baseline",K17&lt;&gt;""),"Condition scope differs from decision",""),"Parent decision scope missing")),IF(OR(D17="",E17="",F17="",G17=""),"Condition, owner, due date or state missing",IF(NOT(ISNUMBER(F17)),"Due date is not a date",IF(OR(G17="Overdue",G17="Superseded"),"Legacy state — owner review (use the shared five states)",IF(INDEX('Gate events'!$E$4:$E$553,MATCH(B17,'Gate events'!$A$4:$A$553,0))&lt;&gt;"Decision","Parent event is not a Decision",IF(AND(INDEX('Gate events'!$G$4:$G$553,MATCH(B17,'Gate events'!$A$4:$A$553,0))&lt;&gt;"Progress with condition",INDEX('Gate events'!$G$4:$G$553,MATCH(B17,'Gate events'!$A$4:$A$553,0))&lt;&gt;"Re-authorise",INDEX('Gate events'!$G$4:$G$553,MATCH(B17,'Gate events'!$A$4:$A$553,0))&lt;&gt;"Resume"),"Parent outcome is not Progress with condition / Re-authorise / Resume",IF(AND(ISNUMBER(INDEX('Gate events'!$F$4:$F$553,MATCH(B17,'Gate events'!$A$4:$A$553,0))),F17&lt;INDEX('Gate events'!$F$4:$F$553,MATCH(B17,'Gate events'!$A$4:$A$553,0))),"Due date before parent event date",IF(AND(OR(G17="Closed-verified",G17="Waived",G17="Accepted-open"),OR(H17="",I17="")),"Closure evidence missing",IF(AND(H17&lt;&gt;"",NOT(ISNUMBER(H17))),"Closed / waived on is not a date",IF(AND(ISNUMBER(H17),ISNUMBER(INDEX('Gate events'!$F$4:$F$553,MATCH(B17,'Gate events'!$A$4:$A$553,0))),H17&lt;INDEX('Gate events'!$F$4:$F$553,MATCH(B17,'Gate events'!$A$4:$A$553,0))),"Closure date before parent event date",IF(AND(G17="Closed-verified",M17=""),"Verifier / date missing",IF(AND(N17="Yes",G17="Closed-verified",O17=""),"Monitoring condition needs AIG-OPS-02 evidence ref",IF(AND(G17="Open",F17&lt;TODAY()),"OVERDUE (derived) — review",IF(G17="Unknown","State Unknown: owner to confirm","Check against source")))))))))))))))))))</f>
        <v/>
      </c>
      <c r="K17" s="37" t="n"/>
      <c r="L17" s="37" t="n"/>
      <c r="M17" s="40" t="n"/>
      <c r="N17" s="40" t="n"/>
      <c r="O17" s="40" t="n"/>
    </row>
    <row r="18">
      <c r="A18" s="38" t="n"/>
      <c r="B18" s="38" t="n"/>
      <c r="C18" s="38" t="n"/>
      <c r="D18" s="38" t="n"/>
      <c r="E18" s="38" t="n"/>
      <c r="F18" s="39" t="n"/>
      <c r="G18" s="38" t="n"/>
      <c r="H18" s="39" t="n"/>
      <c r="I18" s="38" t="n"/>
      <c r="J18" s="22">
        <f>IF(COUNTA(A18:I18,K18:O18)=0,"",IF(OR(A18="",B18="",C18=""),"ID / parent missing",IF(COUNTIF($A$4:$A$553,A18)&gt;1,"Duplicate condition ID",IF(COUNTIF('Gate events'!$A$4:$A$553,B18)=0,"Event ID not found",IF(INDEX('Gate events'!$B$4:$B$553,MATCH(B18,'Gate events'!$A$4:$A$553,0))&lt;&gt;C18,"AIR-ID differs from event",IF(IF(INDEX('Gate events'!$P$4:$P$553,MATCH(B18,'Gate events'!$A$4:$A$553,0))="UC-ID specific",IF(OR(L18&lt;&gt;"UC-ID specific",K18=""),"Condition UC-ID required",IF(ISNUMBER(SEARCH(","&amp;SUBSTITUTE(K18," ","")&amp;",",","&amp;SUBSTITUTE(INDEX('Gate events'!$O$4:$O$553,MATCH(B18,'Gate events'!$A$4:$A$553,0))," ","")&amp;",")),"","UC-ID differs from decision")),IF(INDEX('Gate events'!$P$4:$P$553,MATCH(B18,'Gate events'!$A$4:$A$553,0))="Shared system baseline",IF(OR(L18&lt;&gt;"Shared system baseline",K18&lt;&gt;""),"Condition scope differs from decision",""),"Parent decision scope missing"))&lt;&gt;"",IF(INDEX('Gate events'!$P$4:$P$553,MATCH(B18,'Gate events'!$A$4:$A$553,0))="UC-ID specific",IF(OR(L18&lt;&gt;"UC-ID specific",K18=""),"Condition UC-ID required",IF(ISNUMBER(SEARCH(","&amp;SUBSTITUTE(K18," ","")&amp;",",","&amp;SUBSTITUTE(INDEX('Gate events'!$O$4:$O$553,MATCH(B18,'Gate events'!$A$4:$A$553,0))," ","")&amp;",")),"","UC-ID differs from decision")),IF(INDEX('Gate events'!$P$4:$P$553,MATCH(B18,'Gate events'!$A$4:$A$553,0))="Shared system baseline",IF(OR(L18&lt;&gt;"Shared system baseline",K18&lt;&gt;""),"Condition scope differs from decision",""),"Parent decision scope missing")),IF(OR(D18="",E18="",F18="",G18=""),"Condition, owner, due date or state missing",IF(NOT(ISNUMBER(F18)),"Due date is not a date",IF(OR(G18="Overdue",G18="Superseded"),"Legacy state — owner review (use the shared five states)",IF(INDEX('Gate events'!$E$4:$E$553,MATCH(B18,'Gate events'!$A$4:$A$553,0))&lt;&gt;"Decision","Parent event is not a Decision",IF(AND(INDEX('Gate events'!$G$4:$G$553,MATCH(B18,'Gate events'!$A$4:$A$553,0))&lt;&gt;"Progress with condition",INDEX('Gate events'!$G$4:$G$553,MATCH(B18,'Gate events'!$A$4:$A$553,0))&lt;&gt;"Re-authorise",INDEX('Gate events'!$G$4:$G$553,MATCH(B18,'Gate events'!$A$4:$A$553,0))&lt;&gt;"Resume"),"Parent outcome is not Progress with condition / Re-authorise / Resume",IF(AND(ISNUMBER(INDEX('Gate events'!$F$4:$F$553,MATCH(B18,'Gate events'!$A$4:$A$553,0))),F18&lt;INDEX('Gate events'!$F$4:$F$553,MATCH(B18,'Gate events'!$A$4:$A$553,0))),"Due date before parent event date",IF(AND(OR(G18="Closed-verified",G18="Waived",G18="Accepted-open"),OR(H18="",I18="")),"Closure evidence missing",IF(AND(H18&lt;&gt;"",NOT(ISNUMBER(H18))),"Closed / waived on is not a date",IF(AND(ISNUMBER(H18),ISNUMBER(INDEX('Gate events'!$F$4:$F$553,MATCH(B18,'Gate events'!$A$4:$A$553,0))),H18&lt;INDEX('Gate events'!$F$4:$F$553,MATCH(B18,'Gate events'!$A$4:$A$553,0))),"Closure date before parent event date",IF(AND(G18="Closed-verified",M18=""),"Verifier / date missing",IF(AND(N18="Yes",G18="Closed-verified",O18=""),"Monitoring condition needs AIG-OPS-02 evidence ref",IF(AND(G18="Open",F18&lt;TODAY()),"OVERDUE (derived) — review",IF(G18="Unknown","State Unknown: owner to confirm","Check against source")))))))))))))))))))</f>
        <v/>
      </c>
      <c r="K18" s="37" t="n"/>
      <c r="L18" s="37" t="n"/>
      <c r="M18" s="38" t="n"/>
      <c r="N18" s="38" t="n"/>
      <c r="O18" s="38" t="n"/>
    </row>
    <row r="19">
      <c r="A19" s="40" t="n"/>
      <c r="B19" s="40" t="n"/>
      <c r="C19" s="40" t="n"/>
      <c r="D19" s="40" t="n"/>
      <c r="E19" s="40" t="n"/>
      <c r="F19" s="41" t="n"/>
      <c r="G19" s="40" t="n"/>
      <c r="H19" s="41" t="n"/>
      <c r="I19" s="40" t="n"/>
      <c r="J19" s="24">
        <f>IF(COUNTA(A19:I19,K19:O19)=0,"",IF(OR(A19="",B19="",C19=""),"ID / parent missing",IF(COUNTIF($A$4:$A$553,A19)&gt;1,"Duplicate condition ID",IF(COUNTIF('Gate events'!$A$4:$A$553,B19)=0,"Event ID not found",IF(INDEX('Gate events'!$B$4:$B$553,MATCH(B19,'Gate events'!$A$4:$A$553,0))&lt;&gt;C19,"AIR-ID differs from event",IF(IF(INDEX('Gate events'!$P$4:$P$553,MATCH(B19,'Gate events'!$A$4:$A$553,0))="UC-ID specific",IF(OR(L19&lt;&gt;"UC-ID specific",K19=""),"Condition UC-ID required",IF(ISNUMBER(SEARCH(","&amp;SUBSTITUTE(K19," ","")&amp;",",","&amp;SUBSTITUTE(INDEX('Gate events'!$O$4:$O$553,MATCH(B19,'Gate events'!$A$4:$A$553,0))," ","")&amp;",")),"","UC-ID differs from decision")),IF(INDEX('Gate events'!$P$4:$P$553,MATCH(B19,'Gate events'!$A$4:$A$553,0))="Shared system baseline",IF(OR(L19&lt;&gt;"Shared system baseline",K19&lt;&gt;""),"Condition scope differs from decision",""),"Parent decision scope missing"))&lt;&gt;"",IF(INDEX('Gate events'!$P$4:$P$553,MATCH(B19,'Gate events'!$A$4:$A$553,0))="UC-ID specific",IF(OR(L19&lt;&gt;"UC-ID specific",K19=""),"Condition UC-ID required",IF(ISNUMBER(SEARCH(","&amp;SUBSTITUTE(K19," ","")&amp;",",","&amp;SUBSTITUTE(INDEX('Gate events'!$O$4:$O$553,MATCH(B19,'Gate events'!$A$4:$A$553,0))," ","")&amp;",")),"","UC-ID differs from decision")),IF(INDEX('Gate events'!$P$4:$P$553,MATCH(B19,'Gate events'!$A$4:$A$553,0))="Shared system baseline",IF(OR(L19&lt;&gt;"Shared system baseline",K19&lt;&gt;""),"Condition scope differs from decision",""),"Parent decision scope missing")),IF(OR(D19="",E19="",F19="",G19=""),"Condition, owner, due date or state missing",IF(NOT(ISNUMBER(F19)),"Due date is not a date",IF(OR(G19="Overdue",G19="Superseded"),"Legacy state — owner review (use the shared five states)",IF(INDEX('Gate events'!$E$4:$E$553,MATCH(B19,'Gate events'!$A$4:$A$553,0))&lt;&gt;"Decision","Parent event is not a Decision",IF(AND(INDEX('Gate events'!$G$4:$G$553,MATCH(B19,'Gate events'!$A$4:$A$553,0))&lt;&gt;"Progress with condition",INDEX('Gate events'!$G$4:$G$553,MATCH(B19,'Gate events'!$A$4:$A$553,0))&lt;&gt;"Re-authorise",INDEX('Gate events'!$G$4:$G$553,MATCH(B19,'Gate events'!$A$4:$A$553,0))&lt;&gt;"Resume"),"Parent outcome is not Progress with condition / Re-authorise / Resume",IF(AND(ISNUMBER(INDEX('Gate events'!$F$4:$F$553,MATCH(B19,'Gate events'!$A$4:$A$553,0))),F19&lt;INDEX('Gate events'!$F$4:$F$553,MATCH(B19,'Gate events'!$A$4:$A$553,0))),"Due date before parent event date",IF(AND(OR(G19="Closed-verified",G19="Waived",G19="Accepted-open"),OR(H19="",I19="")),"Closure evidence missing",IF(AND(H19&lt;&gt;"",NOT(ISNUMBER(H19))),"Closed / waived on is not a date",IF(AND(ISNUMBER(H19),ISNUMBER(INDEX('Gate events'!$F$4:$F$553,MATCH(B19,'Gate events'!$A$4:$A$553,0))),H19&lt;INDEX('Gate events'!$F$4:$F$553,MATCH(B19,'Gate events'!$A$4:$A$553,0))),"Closure date before parent event date",IF(AND(G19="Closed-verified",M19=""),"Verifier / date missing",IF(AND(N19="Yes",G19="Closed-verified",O19=""),"Monitoring condition needs AIG-OPS-02 evidence ref",IF(AND(G19="Open",F19&lt;TODAY()),"OVERDUE (derived) — review",IF(G19="Unknown","State Unknown: owner to confirm","Check against source")))))))))))))))))))</f>
        <v/>
      </c>
      <c r="K19" s="37" t="n"/>
      <c r="L19" s="37" t="n"/>
      <c r="M19" s="40" t="n"/>
      <c r="N19" s="40" t="n"/>
      <c r="O19" s="40" t="n"/>
    </row>
    <row r="20">
      <c r="A20" s="38" t="n"/>
      <c r="B20" s="38" t="n"/>
      <c r="C20" s="38" t="n"/>
      <c r="D20" s="38" t="n"/>
      <c r="E20" s="38" t="n"/>
      <c r="F20" s="39" t="n"/>
      <c r="G20" s="38" t="n"/>
      <c r="H20" s="39" t="n"/>
      <c r="I20" s="38" t="n"/>
      <c r="J20" s="22">
        <f>IF(COUNTA(A20:I20,K20:O20)=0,"",IF(OR(A20="",B20="",C20=""),"ID / parent missing",IF(COUNTIF($A$4:$A$553,A20)&gt;1,"Duplicate condition ID",IF(COUNTIF('Gate events'!$A$4:$A$553,B20)=0,"Event ID not found",IF(INDEX('Gate events'!$B$4:$B$553,MATCH(B20,'Gate events'!$A$4:$A$553,0))&lt;&gt;C20,"AIR-ID differs from event",IF(IF(INDEX('Gate events'!$P$4:$P$553,MATCH(B20,'Gate events'!$A$4:$A$553,0))="UC-ID specific",IF(OR(L20&lt;&gt;"UC-ID specific",K20=""),"Condition UC-ID required",IF(ISNUMBER(SEARCH(","&amp;SUBSTITUTE(K20," ","")&amp;",",","&amp;SUBSTITUTE(INDEX('Gate events'!$O$4:$O$553,MATCH(B20,'Gate events'!$A$4:$A$553,0))," ","")&amp;",")),"","UC-ID differs from decision")),IF(INDEX('Gate events'!$P$4:$P$553,MATCH(B20,'Gate events'!$A$4:$A$553,0))="Shared system baseline",IF(OR(L20&lt;&gt;"Shared system baseline",K20&lt;&gt;""),"Condition scope differs from decision",""),"Parent decision scope missing"))&lt;&gt;"",IF(INDEX('Gate events'!$P$4:$P$553,MATCH(B20,'Gate events'!$A$4:$A$553,0))="UC-ID specific",IF(OR(L20&lt;&gt;"UC-ID specific",K20=""),"Condition UC-ID required",IF(ISNUMBER(SEARCH(","&amp;SUBSTITUTE(K20," ","")&amp;",",","&amp;SUBSTITUTE(INDEX('Gate events'!$O$4:$O$553,MATCH(B20,'Gate events'!$A$4:$A$553,0))," ","")&amp;",")),"","UC-ID differs from decision")),IF(INDEX('Gate events'!$P$4:$P$553,MATCH(B20,'Gate events'!$A$4:$A$553,0))="Shared system baseline",IF(OR(L20&lt;&gt;"Shared system baseline",K20&lt;&gt;""),"Condition scope differs from decision",""),"Parent decision scope missing")),IF(OR(D20="",E20="",F20="",G20=""),"Condition, owner, due date or state missing",IF(NOT(ISNUMBER(F20)),"Due date is not a date",IF(OR(G20="Overdue",G20="Superseded"),"Legacy state — owner review (use the shared five states)",IF(INDEX('Gate events'!$E$4:$E$553,MATCH(B20,'Gate events'!$A$4:$A$553,0))&lt;&gt;"Decision","Parent event is not a Decision",IF(AND(INDEX('Gate events'!$G$4:$G$553,MATCH(B20,'Gate events'!$A$4:$A$553,0))&lt;&gt;"Progress with condition",INDEX('Gate events'!$G$4:$G$553,MATCH(B20,'Gate events'!$A$4:$A$553,0))&lt;&gt;"Re-authorise",INDEX('Gate events'!$G$4:$G$553,MATCH(B20,'Gate events'!$A$4:$A$553,0))&lt;&gt;"Resume"),"Parent outcome is not Progress with condition / Re-authorise / Resume",IF(AND(ISNUMBER(INDEX('Gate events'!$F$4:$F$553,MATCH(B20,'Gate events'!$A$4:$A$553,0))),F20&lt;INDEX('Gate events'!$F$4:$F$553,MATCH(B20,'Gate events'!$A$4:$A$553,0))),"Due date before parent event date",IF(AND(OR(G20="Closed-verified",G20="Waived",G20="Accepted-open"),OR(H20="",I20="")),"Closure evidence missing",IF(AND(H20&lt;&gt;"",NOT(ISNUMBER(H20))),"Closed / waived on is not a date",IF(AND(ISNUMBER(H20),ISNUMBER(INDEX('Gate events'!$F$4:$F$553,MATCH(B20,'Gate events'!$A$4:$A$553,0))),H20&lt;INDEX('Gate events'!$F$4:$F$553,MATCH(B20,'Gate events'!$A$4:$A$553,0))),"Closure date before parent event date",IF(AND(G20="Closed-verified",M20=""),"Verifier / date missing",IF(AND(N20="Yes",G20="Closed-verified",O20=""),"Monitoring condition needs AIG-OPS-02 evidence ref",IF(AND(G20="Open",F20&lt;TODAY()),"OVERDUE (derived) — review",IF(G20="Unknown","State Unknown: owner to confirm","Check against source")))))))))))))))))))</f>
        <v/>
      </c>
      <c r="K20" s="37" t="n"/>
      <c r="L20" s="37" t="n"/>
      <c r="M20" s="38" t="n"/>
      <c r="N20" s="38" t="n"/>
      <c r="O20" s="38" t="n"/>
    </row>
    <row r="21">
      <c r="A21" s="40" t="n"/>
      <c r="B21" s="40" t="n"/>
      <c r="C21" s="40" t="n"/>
      <c r="D21" s="40" t="n"/>
      <c r="E21" s="40" t="n"/>
      <c r="F21" s="41" t="n"/>
      <c r="G21" s="40" t="n"/>
      <c r="H21" s="41" t="n"/>
      <c r="I21" s="40" t="n"/>
      <c r="J21" s="24">
        <f>IF(COUNTA(A21:I21,K21:O21)=0,"",IF(OR(A21="",B21="",C21=""),"ID / parent missing",IF(COUNTIF($A$4:$A$553,A21)&gt;1,"Duplicate condition ID",IF(COUNTIF('Gate events'!$A$4:$A$553,B21)=0,"Event ID not found",IF(INDEX('Gate events'!$B$4:$B$553,MATCH(B21,'Gate events'!$A$4:$A$553,0))&lt;&gt;C21,"AIR-ID differs from event",IF(IF(INDEX('Gate events'!$P$4:$P$553,MATCH(B21,'Gate events'!$A$4:$A$553,0))="UC-ID specific",IF(OR(L21&lt;&gt;"UC-ID specific",K21=""),"Condition UC-ID required",IF(ISNUMBER(SEARCH(","&amp;SUBSTITUTE(K21," ","")&amp;",",","&amp;SUBSTITUTE(INDEX('Gate events'!$O$4:$O$553,MATCH(B21,'Gate events'!$A$4:$A$553,0))," ","")&amp;",")),"","UC-ID differs from decision")),IF(INDEX('Gate events'!$P$4:$P$553,MATCH(B21,'Gate events'!$A$4:$A$553,0))="Shared system baseline",IF(OR(L21&lt;&gt;"Shared system baseline",K21&lt;&gt;""),"Condition scope differs from decision",""),"Parent decision scope missing"))&lt;&gt;"",IF(INDEX('Gate events'!$P$4:$P$553,MATCH(B21,'Gate events'!$A$4:$A$553,0))="UC-ID specific",IF(OR(L21&lt;&gt;"UC-ID specific",K21=""),"Condition UC-ID required",IF(ISNUMBER(SEARCH(","&amp;SUBSTITUTE(K21," ","")&amp;",",","&amp;SUBSTITUTE(INDEX('Gate events'!$O$4:$O$553,MATCH(B21,'Gate events'!$A$4:$A$553,0))," ","")&amp;",")),"","UC-ID differs from decision")),IF(INDEX('Gate events'!$P$4:$P$553,MATCH(B21,'Gate events'!$A$4:$A$553,0))="Shared system baseline",IF(OR(L21&lt;&gt;"Shared system baseline",K21&lt;&gt;""),"Condition scope differs from decision",""),"Parent decision scope missing")),IF(OR(D21="",E21="",F21="",G21=""),"Condition, owner, due date or state missing",IF(NOT(ISNUMBER(F21)),"Due date is not a date",IF(OR(G21="Overdue",G21="Superseded"),"Legacy state — owner review (use the shared five states)",IF(INDEX('Gate events'!$E$4:$E$553,MATCH(B21,'Gate events'!$A$4:$A$553,0))&lt;&gt;"Decision","Parent event is not a Decision",IF(AND(INDEX('Gate events'!$G$4:$G$553,MATCH(B21,'Gate events'!$A$4:$A$553,0))&lt;&gt;"Progress with condition",INDEX('Gate events'!$G$4:$G$553,MATCH(B21,'Gate events'!$A$4:$A$553,0))&lt;&gt;"Re-authorise",INDEX('Gate events'!$G$4:$G$553,MATCH(B21,'Gate events'!$A$4:$A$553,0))&lt;&gt;"Resume"),"Parent outcome is not Progress with condition / Re-authorise / Resume",IF(AND(ISNUMBER(INDEX('Gate events'!$F$4:$F$553,MATCH(B21,'Gate events'!$A$4:$A$553,0))),F21&lt;INDEX('Gate events'!$F$4:$F$553,MATCH(B21,'Gate events'!$A$4:$A$553,0))),"Due date before parent event date",IF(AND(OR(G21="Closed-verified",G21="Waived",G21="Accepted-open"),OR(H21="",I21="")),"Closure evidence missing",IF(AND(H21&lt;&gt;"",NOT(ISNUMBER(H21))),"Closed / waived on is not a date",IF(AND(ISNUMBER(H21),ISNUMBER(INDEX('Gate events'!$F$4:$F$553,MATCH(B21,'Gate events'!$A$4:$A$553,0))),H21&lt;INDEX('Gate events'!$F$4:$F$553,MATCH(B21,'Gate events'!$A$4:$A$553,0))),"Closure date before parent event date",IF(AND(G21="Closed-verified",M21=""),"Verifier / date missing",IF(AND(N21="Yes",G21="Closed-verified",O21=""),"Monitoring condition needs AIG-OPS-02 evidence ref",IF(AND(G21="Open",F21&lt;TODAY()),"OVERDUE (derived) — review",IF(G21="Unknown","State Unknown: owner to confirm","Check against source")))))))))))))))))))</f>
        <v/>
      </c>
      <c r="K21" s="37" t="n"/>
      <c r="L21" s="37" t="n"/>
      <c r="M21" s="40" t="n"/>
      <c r="N21" s="40" t="n"/>
      <c r="O21" s="40" t="n"/>
    </row>
    <row r="22">
      <c r="A22" s="38" t="n"/>
      <c r="B22" s="38" t="n"/>
      <c r="C22" s="38" t="n"/>
      <c r="D22" s="38" t="n"/>
      <c r="E22" s="38" t="n"/>
      <c r="F22" s="39" t="n"/>
      <c r="G22" s="38" t="n"/>
      <c r="H22" s="39" t="n"/>
      <c r="I22" s="38" t="n"/>
      <c r="J22" s="22">
        <f>IF(COUNTA(A22:I22,K22:O22)=0,"",IF(OR(A22="",B22="",C22=""),"ID / parent missing",IF(COUNTIF($A$4:$A$553,A22)&gt;1,"Duplicate condition ID",IF(COUNTIF('Gate events'!$A$4:$A$553,B22)=0,"Event ID not found",IF(INDEX('Gate events'!$B$4:$B$553,MATCH(B22,'Gate events'!$A$4:$A$553,0))&lt;&gt;C22,"AIR-ID differs from event",IF(IF(INDEX('Gate events'!$P$4:$P$553,MATCH(B22,'Gate events'!$A$4:$A$553,0))="UC-ID specific",IF(OR(L22&lt;&gt;"UC-ID specific",K22=""),"Condition UC-ID required",IF(ISNUMBER(SEARCH(","&amp;SUBSTITUTE(K22," ","")&amp;",",","&amp;SUBSTITUTE(INDEX('Gate events'!$O$4:$O$553,MATCH(B22,'Gate events'!$A$4:$A$553,0))," ","")&amp;",")),"","UC-ID differs from decision")),IF(INDEX('Gate events'!$P$4:$P$553,MATCH(B22,'Gate events'!$A$4:$A$553,0))="Shared system baseline",IF(OR(L22&lt;&gt;"Shared system baseline",K22&lt;&gt;""),"Condition scope differs from decision",""),"Parent decision scope missing"))&lt;&gt;"",IF(INDEX('Gate events'!$P$4:$P$553,MATCH(B22,'Gate events'!$A$4:$A$553,0))="UC-ID specific",IF(OR(L22&lt;&gt;"UC-ID specific",K22=""),"Condition UC-ID required",IF(ISNUMBER(SEARCH(","&amp;SUBSTITUTE(K22," ","")&amp;",",","&amp;SUBSTITUTE(INDEX('Gate events'!$O$4:$O$553,MATCH(B22,'Gate events'!$A$4:$A$553,0))," ","")&amp;",")),"","UC-ID differs from decision")),IF(INDEX('Gate events'!$P$4:$P$553,MATCH(B22,'Gate events'!$A$4:$A$553,0))="Shared system baseline",IF(OR(L22&lt;&gt;"Shared system baseline",K22&lt;&gt;""),"Condition scope differs from decision",""),"Parent decision scope missing")),IF(OR(D22="",E22="",F22="",G22=""),"Condition, owner, due date or state missing",IF(NOT(ISNUMBER(F22)),"Due date is not a date",IF(OR(G22="Overdue",G22="Superseded"),"Legacy state — owner review (use the shared five states)",IF(INDEX('Gate events'!$E$4:$E$553,MATCH(B22,'Gate events'!$A$4:$A$553,0))&lt;&gt;"Decision","Parent event is not a Decision",IF(AND(INDEX('Gate events'!$G$4:$G$553,MATCH(B22,'Gate events'!$A$4:$A$553,0))&lt;&gt;"Progress with condition",INDEX('Gate events'!$G$4:$G$553,MATCH(B22,'Gate events'!$A$4:$A$553,0))&lt;&gt;"Re-authorise",INDEX('Gate events'!$G$4:$G$553,MATCH(B22,'Gate events'!$A$4:$A$553,0))&lt;&gt;"Resume"),"Parent outcome is not Progress with condition / Re-authorise / Resume",IF(AND(ISNUMBER(INDEX('Gate events'!$F$4:$F$553,MATCH(B22,'Gate events'!$A$4:$A$553,0))),F22&lt;INDEX('Gate events'!$F$4:$F$553,MATCH(B22,'Gate events'!$A$4:$A$553,0))),"Due date before parent event date",IF(AND(OR(G22="Closed-verified",G22="Waived",G22="Accepted-open"),OR(H22="",I22="")),"Closure evidence missing",IF(AND(H22&lt;&gt;"",NOT(ISNUMBER(H22))),"Closed / waived on is not a date",IF(AND(ISNUMBER(H22),ISNUMBER(INDEX('Gate events'!$F$4:$F$553,MATCH(B22,'Gate events'!$A$4:$A$553,0))),H22&lt;INDEX('Gate events'!$F$4:$F$553,MATCH(B22,'Gate events'!$A$4:$A$553,0))),"Closure date before parent event date",IF(AND(G22="Closed-verified",M22=""),"Verifier / date missing",IF(AND(N22="Yes",G22="Closed-verified",O22=""),"Monitoring condition needs AIG-OPS-02 evidence ref",IF(AND(G22="Open",F22&lt;TODAY()),"OVERDUE (derived) — review",IF(G22="Unknown","State Unknown: owner to confirm","Check against source")))))))))))))))))))</f>
        <v/>
      </c>
      <c r="K22" s="37" t="n"/>
      <c r="L22" s="37" t="n"/>
      <c r="M22" s="38" t="n"/>
      <c r="N22" s="38" t="n"/>
      <c r="O22" s="38" t="n"/>
    </row>
    <row r="23">
      <c r="A23" s="40" t="n"/>
      <c r="B23" s="40" t="n"/>
      <c r="C23" s="40" t="n"/>
      <c r="D23" s="40" t="n"/>
      <c r="E23" s="40" t="n"/>
      <c r="F23" s="41" t="n"/>
      <c r="G23" s="40" t="n"/>
      <c r="H23" s="41" t="n"/>
      <c r="I23" s="40" t="n"/>
      <c r="J23" s="24">
        <f>IF(COUNTA(A23:I23,K23:O23)=0,"",IF(OR(A23="",B23="",C23=""),"ID / parent missing",IF(COUNTIF($A$4:$A$553,A23)&gt;1,"Duplicate condition ID",IF(COUNTIF('Gate events'!$A$4:$A$553,B23)=0,"Event ID not found",IF(INDEX('Gate events'!$B$4:$B$553,MATCH(B23,'Gate events'!$A$4:$A$553,0))&lt;&gt;C23,"AIR-ID differs from event",IF(IF(INDEX('Gate events'!$P$4:$P$553,MATCH(B23,'Gate events'!$A$4:$A$553,0))="UC-ID specific",IF(OR(L23&lt;&gt;"UC-ID specific",K23=""),"Condition UC-ID required",IF(ISNUMBER(SEARCH(","&amp;SUBSTITUTE(K23," ","")&amp;",",","&amp;SUBSTITUTE(INDEX('Gate events'!$O$4:$O$553,MATCH(B23,'Gate events'!$A$4:$A$553,0))," ","")&amp;",")),"","UC-ID differs from decision")),IF(INDEX('Gate events'!$P$4:$P$553,MATCH(B23,'Gate events'!$A$4:$A$553,0))="Shared system baseline",IF(OR(L23&lt;&gt;"Shared system baseline",K23&lt;&gt;""),"Condition scope differs from decision",""),"Parent decision scope missing"))&lt;&gt;"",IF(INDEX('Gate events'!$P$4:$P$553,MATCH(B23,'Gate events'!$A$4:$A$553,0))="UC-ID specific",IF(OR(L23&lt;&gt;"UC-ID specific",K23=""),"Condition UC-ID required",IF(ISNUMBER(SEARCH(","&amp;SUBSTITUTE(K23," ","")&amp;",",","&amp;SUBSTITUTE(INDEX('Gate events'!$O$4:$O$553,MATCH(B23,'Gate events'!$A$4:$A$553,0))," ","")&amp;",")),"","UC-ID differs from decision")),IF(INDEX('Gate events'!$P$4:$P$553,MATCH(B23,'Gate events'!$A$4:$A$553,0))="Shared system baseline",IF(OR(L23&lt;&gt;"Shared system baseline",K23&lt;&gt;""),"Condition scope differs from decision",""),"Parent decision scope missing")),IF(OR(D23="",E23="",F23="",G23=""),"Condition, owner, due date or state missing",IF(NOT(ISNUMBER(F23)),"Due date is not a date",IF(OR(G23="Overdue",G23="Superseded"),"Legacy state — owner review (use the shared five states)",IF(INDEX('Gate events'!$E$4:$E$553,MATCH(B23,'Gate events'!$A$4:$A$553,0))&lt;&gt;"Decision","Parent event is not a Decision",IF(AND(INDEX('Gate events'!$G$4:$G$553,MATCH(B23,'Gate events'!$A$4:$A$553,0))&lt;&gt;"Progress with condition",INDEX('Gate events'!$G$4:$G$553,MATCH(B23,'Gate events'!$A$4:$A$553,0))&lt;&gt;"Re-authorise",INDEX('Gate events'!$G$4:$G$553,MATCH(B23,'Gate events'!$A$4:$A$553,0))&lt;&gt;"Resume"),"Parent outcome is not Progress with condition / Re-authorise / Resume",IF(AND(ISNUMBER(INDEX('Gate events'!$F$4:$F$553,MATCH(B23,'Gate events'!$A$4:$A$553,0))),F23&lt;INDEX('Gate events'!$F$4:$F$553,MATCH(B23,'Gate events'!$A$4:$A$553,0))),"Due date before parent event date",IF(AND(OR(G23="Closed-verified",G23="Waived",G23="Accepted-open"),OR(H23="",I23="")),"Closure evidence missing",IF(AND(H23&lt;&gt;"",NOT(ISNUMBER(H23))),"Closed / waived on is not a date",IF(AND(ISNUMBER(H23),ISNUMBER(INDEX('Gate events'!$F$4:$F$553,MATCH(B23,'Gate events'!$A$4:$A$553,0))),H23&lt;INDEX('Gate events'!$F$4:$F$553,MATCH(B23,'Gate events'!$A$4:$A$553,0))),"Closure date before parent event date",IF(AND(G23="Closed-verified",M23=""),"Verifier / date missing",IF(AND(N23="Yes",G23="Closed-verified",O23=""),"Monitoring condition needs AIG-OPS-02 evidence ref",IF(AND(G23="Open",F23&lt;TODAY()),"OVERDUE (derived) — review",IF(G23="Unknown","State Unknown: owner to confirm","Check against source")))))))))))))))))))</f>
        <v/>
      </c>
      <c r="K23" s="37" t="n"/>
      <c r="L23" s="37" t="n"/>
      <c r="M23" s="40" t="n"/>
      <c r="N23" s="40" t="n"/>
      <c r="O23" s="40" t="n"/>
    </row>
    <row r="24">
      <c r="A24" s="38" t="n"/>
      <c r="B24" s="38" t="n"/>
      <c r="C24" s="38" t="n"/>
      <c r="D24" s="38" t="n"/>
      <c r="E24" s="38" t="n"/>
      <c r="F24" s="39" t="n"/>
      <c r="G24" s="38" t="n"/>
      <c r="H24" s="39" t="n"/>
      <c r="I24" s="38" t="n"/>
      <c r="J24" s="22">
        <f>IF(COUNTA(A24:I24,K24:O24)=0,"",IF(OR(A24="",B24="",C24=""),"ID / parent missing",IF(COUNTIF($A$4:$A$553,A24)&gt;1,"Duplicate condition ID",IF(COUNTIF('Gate events'!$A$4:$A$553,B24)=0,"Event ID not found",IF(INDEX('Gate events'!$B$4:$B$553,MATCH(B24,'Gate events'!$A$4:$A$553,0))&lt;&gt;C24,"AIR-ID differs from event",IF(IF(INDEX('Gate events'!$P$4:$P$553,MATCH(B24,'Gate events'!$A$4:$A$553,0))="UC-ID specific",IF(OR(L24&lt;&gt;"UC-ID specific",K24=""),"Condition UC-ID required",IF(ISNUMBER(SEARCH(","&amp;SUBSTITUTE(K24," ","")&amp;",",","&amp;SUBSTITUTE(INDEX('Gate events'!$O$4:$O$553,MATCH(B24,'Gate events'!$A$4:$A$553,0))," ","")&amp;",")),"","UC-ID differs from decision")),IF(INDEX('Gate events'!$P$4:$P$553,MATCH(B24,'Gate events'!$A$4:$A$553,0))="Shared system baseline",IF(OR(L24&lt;&gt;"Shared system baseline",K24&lt;&gt;""),"Condition scope differs from decision",""),"Parent decision scope missing"))&lt;&gt;"",IF(INDEX('Gate events'!$P$4:$P$553,MATCH(B24,'Gate events'!$A$4:$A$553,0))="UC-ID specific",IF(OR(L24&lt;&gt;"UC-ID specific",K24=""),"Condition UC-ID required",IF(ISNUMBER(SEARCH(","&amp;SUBSTITUTE(K24," ","")&amp;",",","&amp;SUBSTITUTE(INDEX('Gate events'!$O$4:$O$553,MATCH(B24,'Gate events'!$A$4:$A$553,0))," ","")&amp;",")),"","UC-ID differs from decision")),IF(INDEX('Gate events'!$P$4:$P$553,MATCH(B24,'Gate events'!$A$4:$A$553,0))="Shared system baseline",IF(OR(L24&lt;&gt;"Shared system baseline",K24&lt;&gt;""),"Condition scope differs from decision",""),"Parent decision scope missing")),IF(OR(D24="",E24="",F24="",G24=""),"Condition, owner, due date or state missing",IF(NOT(ISNUMBER(F24)),"Due date is not a date",IF(OR(G24="Overdue",G24="Superseded"),"Legacy state — owner review (use the shared five states)",IF(INDEX('Gate events'!$E$4:$E$553,MATCH(B24,'Gate events'!$A$4:$A$553,0))&lt;&gt;"Decision","Parent event is not a Decision",IF(AND(INDEX('Gate events'!$G$4:$G$553,MATCH(B24,'Gate events'!$A$4:$A$553,0))&lt;&gt;"Progress with condition",INDEX('Gate events'!$G$4:$G$553,MATCH(B24,'Gate events'!$A$4:$A$553,0))&lt;&gt;"Re-authorise",INDEX('Gate events'!$G$4:$G$553,MATCH(B24,'Gate events'!$A$4:$A$553,0))&lt;&gt;"Resume"),"Parent outcome is not Progress with condition / Re-authorise / Resume",IF(AND(ISNUMBER(INDEX('Gate events'!$F$4:$F$553,MATCH(B24,'Gate events'!$A$4:$A$553,0))),F24&lt;INDEX('Gate events'!$F$4:$F$553,MATCH(B24,'Gate events'!$A$4:$A$553,0))),"Due date before parent event date",IF(AND(OR(G24="Closed-verified",G24="Waived",G24="Accepted-open"),OR(H24="",I24="")),"Closure evidence missing",IF(AND(H24&lt;&gt;"",NOT(ISNUMBER(H24))),"Closed / waived on is not a date",IF(AND(ISNUMBER(H24),ISNUMBER(INDEX('Gate events'!$F$4:$F$553,MATCH(B24,'Gate events'!$A$4:$A$553,0))),H24&lt;INDEX('Gate events'!$F$4:$F$553,MATCH(B24,'Gate events'!$A$4:$A$553,0))),"Closure date before parent event date",IF(AND(G24="Closed-verified",M24=""),"Verifier / date missing",IF(AND(N24="Yes",G24="Closed-verified",O24=""),"Monitoring condition needs AIG-OPS-02 evidence ref",IF(AND(G24="Open",F24&lt;TODAY()),"OVERDUE (derived) — review",IF(G24="Unknown","State Unknown: owner to confirm","Check against source")))))))))))))))))))</f>
        <v/>
      </c>
      <c r="K24" s="37" t="n"/>
      <c r="L24" s="37" t="n"/>
      <c r="M24" s="38" t="n"/>
      <c r="N24" s="38" t="n"/>
      <c r="O24" s="38" t="n"/>
    </row>
    <row r="25">
      <c r="A25" s="40" t="n"/>
      <c r="B25" s="40" t="n"/>
      <c r="C25" s="40" t="n"/>
      <c r="D25" s="40" t="n"/>
      <c r="E25" s="40" t="n"/>
      <c r="F25" s="41" t="n"/>
      <c r="G25" s="40" t="n"/>
      <c r="H25" s="41" t="n"/>
      <c r="I25" s="40" t="n"/>
      <c r="J25" s="24">
        <f>IF(COUNTA(A25:I25,K25:O25)=0,"",IF(OR(A25="",B25="",C25=""),"ID / parent missing",IF(COUNTIF($A$4:$A$553,A25)&gt;1,"Duplicate condition ID",IF(COUNTIF('Gate events'!$A$4:$A$553,B25)=0,"Event ID not found",IF(INDEX('Gate events'!$B$4:$B$553,MATCH(B25,'Gate events'!$A$4:$A$553,0))&lt;&gt;C25,"AIR-ID differs from event",IF(IF(INDEX('Gate events'!$P$4:$P$553,MATCH(B25,'Gate events'!$A$4:$A$553,0))="UC-ID specific",IF(OR(L25&lt;&gt;"UC-ID specific",K25=""),"Condition UC-ID required",IF(ISNUMBER(SEARCH(","&amp;SUBSTITUTE(K25," ","")&amp;",",","&amp;SUBSTITUTE(INDEX('Gate events'!$O$4:$O$553,MATCH(B25,'Gate events'!$A$4:$A$553,0))," ","")&amp;",")),"","UC-ID differs from decision")),IF(INDEX('Gate events'!$P$4:$P$553,MATCH(B25,'Gate events'!$A$4:$A$553,0))="Shared system baseline",IF(OR(L25&lt;&gt;"Shared system baseline",K25&lt;&gt;""),"Condition scope differs from decision",""),"Parent decision scope missing"))&lt;&gt;"",IF(INDEX('Gate events'!$P$4:$P$553,MATCH(B25,'Gate events'!$A$4:$A$553,0))="UC-ID specific",IF(OR(L25&lt;&gt;"UC-ID specific",K25=""),"Condition UC-ID required",IF(ISNUMBER(SEARCH(","&amp;SUBSTITUTE(K25," ","")&amp;",",","&amp;SUBSTITUTE(INDEX('Gate events'!$O$4:$O$553,MATCH(B25,'Gate events'!$A$4:$A$553,0))," ","")&amp;",")),"","UC-ID differs from decision")),IF(INDEX('Gate events'!$P$4:$P$553,MATCH(B25,'Gate events'!$A$4:$A$553,0))="Shared system baseline",IF(OR(L25&lt;&gt;"Shared system baseline",K25&lt;&gt;""),"Condition scope differs from decision",""),"Parent decision scope missing")),IF(OR(D25="",E25="",F25="",G25=""),"Condition, owner, due date or state missing",IF(NOT(ISNUMBER(F25)),"Due date is not a date",IF(OR(G25="Overdue",G25="Superseded"),"Legacy state — owner review (use the shared five states)",IF(INDEX('Gate events'!$E$4:$E$553,MATCH(B25,'Gate events'!$A$4:$A$553,0))&lt;&gt;"Decision","Parent event is not a Decision",IF(AND(INDEX('Gate events'!$G$4:$G$553,MATCH(B25,'Gate events'!$A$4:$A$553,0))&lt;&gt;"Progress with condition",INDEX('Gate events'!$G$4:$G$553,MATCH(B25,'Gate events'!$A$4:$A$553,0))&lt;&gt;"Re-authorise",INDEX('Gate events'!$G$4:$G$553,MATCH(B25,'Gate events'!$A$4:$A$553,0))&lt;&gt;"Resume"),"Parent outcome is not Progress with condition / Re-authorise / Resume",IF(AND(ISNUMBER(INDEX('Gate events'!$F$4:$F$553,MATCH(B25,'Gate events'!$A$4:$A$553,0))),F25&lt;INDEX('Gate events'!$F$4:$F$553,MATCH(B25,'Gate events'!$A$4:$A$553,0))),"Due date before parent event date",IF(AND(OR(G25="Closed-verified",G25="Waived",G25="Accepted-open"),OR(H25="",I25="")),"Closure evidence missing",IF(AND(H25&lt;&gt;"",NOT(ISNUMBER(H25))),"Closed / waived on is not a date",IF(AND(ISNUMBER(H25),ISNUMBER(INDEX('Gate events'!$F$4:$F$553,MATCH(B25,'Gate events'!$A$4:$A$553,0))),H25&lt;INDEX('Gate events'!$F$4:$F$553,MATCH(B25,'Gate events'!$A$4:$A$553,0))),"Closure date before parent event date",IF(AND(G25="Closed-verified",M25=""),"Verifier / date missing",IF(AND(N25="Yes",G25="Closed-verified",O25=""),"Monitoring condition needs AIG-OPS-02 evidence ref",IF(AND(G25="Open",F25&lt;TODAY()),"OVERDUE (derived) — review",IF(G25="Unknown","State Unknown: owner to confirm","Check against source")))))))))))))))))))</f>
        <v/>
      </c>
      <c r="K25" s="37" t="n"/>
      <c r="L25" s="37" t="n"/>
      <c r="M25" s="40" t="n"/>
      <c r="N25" s="40" t="n"/>
      <c r="O25" s="40" t="n"/>
    </row>
    <row r="26">
      <c r="A26" s="38" t="n"/>
      <c r="B26" s="38" t="n"/>
      <c r="C26" s="38" t="n"/>
      <c r="D26" s="38" t="n"/>
      <c r="E26" s="38" t="n"/>
      <c r="F26" s="39" t="n"/>
      <c r="G26" s="38" t="n"/>
      <c r="H26" s="39" t="n"/>
      <c r="I26" s="38" t="n"/>
      <c r="J26" s="22">
        <f>IF(COUNTA(A26:I26,K26:O26)=0,"",IF(OR(A26="",B26="",C26=""),"ID / parent missing",IF(COUNTIF($A$4:$A$553,A26)&gt;1,"Duplicate condition ID",IF(COUNTIF('Gate events'!$A$4:$A$553,B26)=0,"Event ID not found",IF(INDEX('Gate events'!$B$4:$B$553,MATCH(B26,'Gate events'!$A$4:$A$553,0))&lt;&gt;C26,"AIR-ID differs from event",IF(IF(INDEX('Gate events'!$P$4:$P$553,MATCH(B26,'Gate events'!$A$4:$A$553,0))="UC-ID specific",IF(OR(L26&lt;&gt;"UC-ID specific",K26=""),"Condition UC-ID required",IF(ISNUMBER(SEARCH(","&amp;SUBSTITUTE(K26," ","")&amp;",",","&amp;SUBSTITUTE(INDEX('Gate events'!$O$4:$O$553,MATCH(B26,'Gate events'!$A$4:$A$553,0))," ","")&amp;",")),"","UC-ID differs from decision")),IF(INDEX('Gate events'!$P$4:$P$553,MATCH(B26,'Gate events'!$A$4:$A$553,0))="Shared system baseline",IF(OR(L26&lt;&gt;"Shared system baseline",K26&lt;&gt;""),"Condition scope differs from decision",""),"Parent decision scope missing"))&lt;&gt;"",IF(INDEX('Gate events'!$P$4:$P$553,MATCH(B26,'Gate events'!$A$4:$A$553,0))="UC-ID specific",IF(OR(L26&lt;&gt;"UC-ID specific",K26=""),"Condition UC-ID required",IF(ISNUMBER(SEARCH(","&amp;SUBSTITUTE(K26," ","")&amp;",",","&amp;SUBSTITUTE(INDEX('Gate events'!$O$4:$O$553,MATCH(B26,'Gate events'!$A$4:$A$553,0))," ","")&amp;",")),"","UC-ID differs from decision")),IF(INDEX('Gate events'!$P$4:$P$553,MATCH(B26,'Gate events'!$A$4:$A$553,0))="Shared system baseline",IF(OR(L26&lt;&gt;"Shared system baseline",K26&lt;&gt;""),"Condition scope differs from decision",""),"Parent decision scope missing")),IF(OR(D26="",E26="",F26="",G26=""),"Condition, owner, due date or state missing",IF(NOT(ISNUMBER(F26)),"Due date is not a date",IF(OR(G26="Overdue",G26="Superseded"),"Legacy state — owner review (use the shared five states)",IF(INDEX('Gate events'!$E$4:$E$553,MATCH(B26,'Gate events'!$A$4:$A$553,0))&lt;&gt;"Decision","Parent event is not a Decision",IF(AND(INDEX('Gate events'!$G$4:$G$553,MATCH(B26,'Gate events'!$A$4:$A$553,0))&lt;&gt;"Progress with condition",INDEX('Gate events'!$G$4:$G$553,MATCH(B26,'Gate events'!$A$4:$A$553,0))&lt;&gt;"Re-authorise",INDEX('Gate events'!$G$4:$G$553,MATCH(B26,'Gate events'!$A$4:$A$553,0))&lt;&gt;"Resume"),"Parent outcome is not Progress with condition / Re-authorise / Resume",IF(AND(ISNUMBER(INDEX('Gate events'!$F$4:$F$553,MATCH(B26,'Gate events'!$A$4:$A$553,0))),F26&lt;INDEX('Gate events'!$F$4:$F$553,MATCH(B26,'Gate events'!$A$4:$A$553,0))),"Due date before parent event date",IF(AND(OR(G26="Closed-verified",G26="Waived",G26="Accepted-open"),OR(H26="",I26="")),"Closure evidence missing",IF(AND(H26&lt;&gt;"",NOT(ISNUMBER(H26))),"Closed / waived on is not a date",IF(AND(ISNUMBER(H26),ISNUMBER(INDEX('Gate events'!$F$4:$F$553,MATCH(B26,'Gate events'!$A$4:$A$553,0))),H26&lt;INDEX('Gate events'!$F$4:$F$553,MATCH(B26,'Gate events'!$A$4:$A$553,0))),"Closure date before parent event date",IF(AND(G26="Closed-verified",M26=""),"Verifier / date missing",IF(AND(N26="Yes",G26="Closed-verified",O26=""),"Monitoring condition needs AIG-OPS-02 evidence ref",IF(AND(G26="Open",F26&lt;TODAY()),"OVERDUE (derived) — review",IF(G26="Unknown","State Unknown: owner to confirm","Check against source")))))))))))))))))))</f>
        <v/>
      </c>
      <c r="K26" s="37" t="n"/>
      <c r="L26" s="37" t="n"/>
      <c r="M26" s="38" t="n"/>
      <c r="N26" s="38" t="n"/>
      <c r="O26" s="38" t="n"/>
    </row>
    <row r="27">
      <c r="A27" s="40" t="n"/>
      <c r="B27" s="40" t="n"/>
      <c r="C27" s="40" t="n"/>
      <c r="D27" s="40" t="n"/>
      <c r="E27" s="40" t="n"/>
      <c r="F27" s="41" t="n"/>
      <c r="G27" s="40" t="n"/>
      <c r="H27" s="41" t="n"/>
      <c r="I27" s="40" t="n"/>
      <c r="J27" s="24">
        <f>IF(COUNTA(A27:I27,K27:O27)=0,"",IF(OR(A27="",B27="",C27=""),"ID / parent missing",IF(COUNTIF($A$4:$A$553,A27)&gt;1,"Duplicate condition ID",IF(COUNTIF('Gate events'!$A$4:$A$553,B27)=0,"Event ID not found",IF(INDEX('Gate events'!$B$4:$B$553,MATCH(B27,'Gate events'!$A$4:$A$553,0))&lt;&gt;C27,"AIR-ID differs from event",IF(IF(INDEX('Gate events'!$P$4:$P$553,MATCH(B27,'Gate events'!$A$4:$A$553,0))="UC-ID specific",IF(OR(L27&lt;&gt;"UC-ID specific",K27=""),"Condition UC-ID required",IF(ISNUMBER(SEARCH(","&amp;SUBSTITUTE(K27," ","")&amp;",",","&amp;SUBSTITUTE(INDEX('Gate events'!$O$4:$O$553,MATCH(B27,'Gate events'!$A$4:$A$553,0))," ","")&amp;",")),"","UC-ID differs from decision")),IF(INDEX('Gate events'!$P$4:$P$553,MATCH(B27,'Gate events'!$A$4:$A$553,0))="Shared system baseline",IF(OR(L27&lt;&gt;"Shared system baseline",K27&lt;&gt;""),"Condition scope differs from decision",""),"Parent decision scope missing"))&lt;&gt;"",IF(INDEX('Gate events'!$P$4:$P$553,MATCH(B27,'Gate events'!$A$4:$A$553,0))="UC-ID specific",IF(OR(L27&lt;&gt;"UC-ID specific",K27=""),"Condition UC-ID required",IF(ISNUMBER(SEARCH(","&amp;SUBSTITUTE(K27," ","")&amp;",",","&amp;SUBSTITUTE(INDEX('Gate events'!$O$4:$O$553,MATCH(B27,'Gate events'!$A$4:$A$553,0))," ","")&amp;",")),"","UC-ID differs from decision")),IF(INDEX('Gate events'!$P$4:$P$553,MATCH(B27,'Gate events'!$A$4:$A$553,0))="Shared system baseline",IF(OR(L27&lt;&gt;"Shared system baseline",K27&lt;&gt;""),"Condition scope differs from decision",""),"Parent decision scope missing")),IF(OR(D27="",E27="",F27="",G27=""),"Condition, owner, due date or state missing",IF(NOT(ISNUMBER(F27)),"Due date is not a date",IF(OR(G27="Overdue",G27="Superseded"),"Legacy state — owner review (use the shared five states)",IF(INDEX('Gate events'!$E$4:$E$553,MATCH(B27,'Gate events'!$A$4:$A$553,0))&lt;&gt;"Decision","Parent event is not a Decision",IF(AND(INDEX('Gate events'!$G$4:$G$553,MATCH(B27,'Gate events'!$A$4:$A$553,0))&lt;&gt;"Progress with condition",INDEX('Gate events'!$G$4:$G$553,MATCH(B27,'Gate events'!$A$4:$A$553,0))&lt;&gt;"Re-authorise",INDEX('Gate events'!$G$4:$G$553,MATCH(B27,'Gate events'!$A$4:$A$553,0))&lt;&gt;"Resume"),"Parent outcome is not Progress with condition / Re-authorise / Resume",IF(AND(ISNUMBER(INDEX('Gate events'!$F$4:$F$553,MATCH(B27,'Gate events'!$A$4:$A$553,0))),F27&lt;INDEX('Gate events'!$F$4:$F$553,MATCH(B27,'Gate events'!$A$4:$A$553,0))),"Due date before parent event date",IF(AND(OR(G27="Closed-verified",G27="Waived",G27="Accepted-open"),OR(H27="",I27="")),"Closure evidence missing",IF(AND(H27&lt;&gt;"",NOT(ISNUMBER(H27))),"Closed / waived on is not a date",IF(AND(ISNUMBER(H27),ISNUMBER(INDEX('Gate events'!$F$4:$F$553,MATCH(B27,'Gate events'!$A$4:$A$553,0))),H27&lt;INDEX('Gate events'!$F$4:$F$553,MATCH(B27,'Gate events'!$A$4:$A$553,0))),"Closure date before parent event date",IF(AND(G27="Closed-verified",M27=""),"Verifier / date missing",IF(AND(N27="Yes",G27="Closed-verified",O27=""),"Monitoring condition needs AIG-OPS-02 evidence ref",IF(AND(G27="Open",F27&lt;TODAY()),"OVERDUE (derived) — review",IF(G27="Unknown","State Unknown: owner to confirm","Check against source")))))))))))))))))))</f>
        <v/>
      </c>
      <c r="K27" s="37" t="n"/>
      <c r="L27" s="37" t="n"/>
      <c r="M27" s="40" t="n"/>
      <c r="N27" s="40" t="n"/>
      <c r="O27" s="40" t="n"/>
    </row>
    <row r="28">
      <c r="A28" s="38" t="n"/>
      <c r="B28" s="38" t="n"/>
      <c r="C28" s="38" t="n"/>
      <c r="D28" s="38" t="n"/>
      <c r="E28" s="38" t="n"/>
      <c r="F28" s="39" t="n"/>
      <c r="G28" s="38" t="n"/>
      <c r="H28" s="39" t="n"/>
      <c r="I28" s="38" t="n"/>
      <c r="J28" s="22">
        <f>IF(COUNTA(A28:I28,K28:O28)=0,"",IF(OR(A28="",B28="",C28=""),"ID / parent missing",IF(COUNTIF($A$4:$A$553,A28)&gt;1,"Duplicate condition ID",IF(COUNTIF('Gate events'!$A$4:$A$553,B28)=0,"Event ID not found",IF(INDEX('Gate events'!$B$4:$B$553,MATCH(B28,'Gate events'!$A$4:$A$553,0))&lt;&gt;C28,"AIR-ID differs from event",IF(IF(INDEX('Gate events'!$P$4:$P$553,MATCH(B28,'Gate events'!$A$4:$A$553,0))="UC-ID specific",IF(OR(L28&lt;&gt;"UC-ID specific",K28=""),"Condition UC-ID required",IF(ISNUMBER(SEARCH(","&amp;SUBSTITUTE(K28," ","")&amp;",",","&amp;SUBSTITUTE(INDEX('Gate events'!$O$4:$O$553,MATCH(B28,'Gate events'!$A$4:$A$553,0))," ","")&amp;",")),"","UC-ID differs from decision")),IF(INDEX('Gate events'!$P$4:$P$553,MATCH(B28,'Gate events'!$A$4:$A$553,0))="Shared system baseline",IF(OR(L28&lt;&gt;"Shared system baseline",K28&lt;&gt;""),"Condition scope differs from decision",""),"Parent decision scope missing"))&lt;&gt;"",IF(INDEX('Gate events'!$P$4:$P$553,MATCH(B28,'Gate events'!$A$4:$A$553,0))="UC-ID specific",IF(OR(L28&lt;&gt;"UC-ID specific",K28=""),"Condition UC-ID required",IF(ISNUMBER(SEARCH(","&amp;SUBSTITUTE(K28," ","")&amp;",",","&amp;SUBSTITUTE(INDEX('Gate events'!$O$4:$O$553,MATCH(B28,'Gate events'!$A$4:$A$553,0))," ","")&amp;",")),"","UC-ID differs from decision")),IF(INDEX('Gate events'!$P$4:$P$553,MATCH(B28,'Gate events'!$A$4:$A$553,0))="Shared system baseline",IF(OR(L28&lt;&gt;"Shared system baseline",K28&lt;&gt;""),"Condition scope differs from decision",""),"Parent decision scope missing")),IF(OR(D28="",E28="",F28="",G28=""),"Condition, owner, due date or state missing",IF(NOT(ISNUMBER(F28)),"Due date is not a date",IF(OR(G28="Overdue",G28="Superseded"),"Legacy state — owner review (use the shared five states)",IF(INDEX('Gate events'!$E$4:$E$553,MATCH(B28,'Gate events'!$A$4:$A$553,0))&lt;&gt;"Decision","Parent event is not a Decision",IF(AND(INDEX('Gate events'!$G$4:$G$553,MATCH(B28,'Gate events'!$A$4:$A$553,0))&lt;&gt;"Progress with condition",INDEX('Gate events'!$G$4:$G$553,MATCH(B28,'Gate events'!$A$4:$A$553,0))&lt;&gt;"Re-authorise",INDEX('Gate events'!$G$4:$G$553,MATCH(B28,'Gate events'!$A$4:$A$553,0))&lt;&gt;"Resume"),"Parent outcome is not Progress with condition / Re-authorise / Resume",IF(AND(ISNUMBER(INDEX('Gate events'!$F$4:$F$553,MATCH(B28,'Gate events'!$A$4:$A$553,0))),F28&lt;INDEX('Gate events'!$F$4:$F$553,MATCH(B28,'Gate events'!$A$4:$A$553,0))),"Due date before parent event date",IF(AND(OR(G28="Closed-verified",G28="Waived",G28="Accepted-open"),OR(H28="",I28="")),"Closure evidence missing",IF(AND(H28&lt;&gt;"",NOT(ISNUMBER(H28))),"Closed / waived on is not a date",IF(AND(ISNUMBER(H28),ISNUMBER(INDEX('Gate events'!$F$4:$F$553,MATCH(B28,'Gate events'!$A$4:$A$553,0))),H28&lt;INDEX('Gate events'!$F$4:$F$553,MATCH(B28,'Gate events'!$A$4:$A$553,0))),"Closure date before parent event date",IF(AND(G28="Closed-verified",M28=""),"Verifier / date missing",IF(AND(N28="Yes",G28="Closed-verified",O28=""),"Monitoring condition needs AIG-OPS-02 evidence ref",IF(AND(G28="Open",F28&lt;TODAY()),"OVERDUE (derived) — review",IF(G28="Unknown","State Unknown: owner to confirm","Check against source")))))))))))))))))))</f>
        <v/>
      </c>
      <c r="K28" s="37" t="n"/>
      <c r="L28" s="37" t="n"/>
      <c r="M28" s="38" t="n"/>
      <c r="N28" s="38" t="n"/>
      <c r="O28" s="38" t="n"/>
    </row>
    <row r="29">
      <c r="A29" s="40" t="n"/>
      <c r="B29" s="40" t="n"/>
      <c r="C29" s="40" t="n"/>
      <c r="D29" s="40" t="n"/>
      <c r="E29" s="40" t="n"/>
      <c r="F29" s="41" t="n"/>
      <c r="G29" s="40" t="n"/>
      <c r="H29" s="41" t="n"/>
      <c r="I29" s="40" t="n"/>
      <c r="J29" s="24">
        <f>IF(COUNTA(A29:I29,K29:O29)=0,"",IF(OR(A29="",B29="",C29=""),"ID / parent missing",IF(COUNTIF($A$4:$A$553,A29)&gt;1,"Duplicate condition ID",IF(COUNTIF('Gate events'!$A$4:$A$553,B29)=0,"Event ID not found",IF(INDEX('Gate events'!$B$4:$B$553,MATCH(B29,'Gate events'!$A$4:$A$553,0))&lt;&gt;C29,"AIR-ID differs from event",IF(IF(INDEX('Gate events'!$P$4:$P$553,MATCH(B29,'Gate events'!$A$4:$A$553,0))="UC-ID specific",IF(OR(L29&lt;&gt;"UC-ID specific",K29=""),"Condition UC-ID required",IF(ISNUMBER(SEARCH(","&amp;SUBSTITUTE(K29," ","")&amp;",",","&amp;SUBSTITUTE(INDEX('Gate events'!$O$4:$O$553,MATCH(B29,'Gate events'!$A$4:$A$553,0))," ","")&amp;",")),"","UC-ID differs from decision")),IF(INDEX('Gate events'!$P$4:$P$553,MATCH(B29,'Gate events'!$A$4:$A$553,0))="Shared system baseline",IF(OR(L29&lt;&gt;"Shared system baseline",K29&lt;&gt;""),"Condition scope differs from decision",""),"Parent decision scope missing"))&lt;&gt;"",IF(INDEX('Gate events'!$P$4:$P$553,MATCH(B29,'Gate events'!$A$4:$A$553,0))="UC-ID specific",IF(OR(L29&lt;&gt;"UC-ID specific",K29=""),"Condition UC-ID required",IF(ISNUMBER(SEARCH(","&amp;SUBSTITUTE(K29," ","")&amp;",",","&amp;SUBSTITUTE(INDEX('Gate events'!$O$4:$O$553,MATCH(B29,'Gate events'!$A$4:$A$553,0))," ","")&amp;",")),"","UC-ID differs from decision")),IF(INDEX('Gate events'!$P$4:$P$553,MATCH(B29,'Gate events'!$A$4:$A$553,0))="Shared system baseline",IF(OR(L29&lt;&gt;"Shared system baseline",K29&lt;&gt;""),"Condition scope differs from decision",""),"Parent decision scope missing")),IF(OR(D29="",E29="",F29="",G29=""),"Condition, owner, due date or state missing",IF(NOT(ISNUMBER(F29)),"Due date is not a date",IF(OR(G29="Overdue",G29="Superseded"),"Legacy state — owner review (use the shared five states)",IF(INDEX('Gate events'!$E$4:$E$553,MATCH(B29,'Gate events'!$A$4:$A$553,0))&lt;&gt;"Decision","Parent event is not a Decision",IF(AND(INDEX('Gate events'!$G$4:$G$553,MATCH(B29,'Gate events'!$A$4:$A$553,0))&lt;&gt;"Progress with condition",INDEX('Gate events'!$G$4:$G$553,MATCH(B29,'Gate events'!$A$4:$A$553,0))&lt;&gt;"Re-authorise",INDEX('Gate events'!$G$4:$G$553,MATCH(B29,'Gate events'!$A$4:$A$553,0))&lt;&gt;"Resume"),"Parent outcome is not Progress with condition / Re-authorise / Resume",IF(AND(ISNUMBER(INDEX('Gate events'!$F$4:$F$553,MATCH(B29,'Gate events'!$A$4:$A$553,0))),F29&lt;INDEX('Gate events'!$F$4:$F$553,MATCH(B29,'Gate events'!$A$4:$A$553,0))),"Due date before parent event date",IF(AND(OR(G29="Closed-verified",G29="Waived",G29="Accepted-open"),OR(H29="",I29="")),"Closure evidence missing",IF(AND(H29&lt;&gt;"",NOT(ISNUMBER(H29))),"Closed / waived on is not a date",IF(AND(ISNUMBER(H29),ISNUMBER(INDEX('Gate events'!$F$4:$F$553,MATCH(B29,'Gate events'!$A$4:$A$553,0))),H29&lt;INDEX('Gate events'!$F$4:$F$553,MATCH(B29,'Gate events'!$A$4:$A$553,0))),"Closure date before parent event date",IF(AND(G29="Closed-verified",M29=""),"Verifier / date missing",IF(AND(N29="Yes",G29="Closed-verified",O29=""),"Monitoring condition needs AIG-OPS-02 evidence ref",IF(AND(G29="Open",F29&lt;TODAY()),"OVERDUE (derived) — review",IF(G29="Unknown","State Unknown: owner to confirm","Check against source")))))))))))))))))))</f>
        <v/>
      </c>
      <c r="K29" s="37" t="n"/>
      <c r="L29" s="37" t="n"/>
      <c r="M29" s="40" t="n"/>
      <c r="N29" s="40" t="n"/>
      <c r="O29" s="40" t="n"/>
    </row>
    <row r="30">
      <c r="A30" s="38" t="n"/>
      <c r="B30" s="38" t="n"/>
      <c r="C30" s="38" t="n"/>
      <c r="D30" s="38" t="n"/>
      <c r="E30" s="38" t="n"/>
      <c r="F30" s="39" t="n"/>
      <c r="G30" s="38" t="n"/>
      <c r="H30" s="39" t="n"/>
      <c r="I30" s="38" t="n"/>
      <c r="J30" s="22">
        <f>IF(COUNTA(A30:I30,K30:O30)=0,"",IF(OR(A30="",B30="",C30=""),"ID / parent missing",IF(COUNTIF($A$4:$A$553,A30)&gt;1,"Duplicate condition ID",IF(COUNTIF('Gate events'!$A$4:$A$553,B30)=0,"Event ID not found",IF(INDEX('Gate events'!$B$4:$B$553,MATCH(B30,'Gate events'!$A$4:$A$553,0))&lt;&gt;C30,"AIR-ID differs from event",IF(IF(INDEX('Gate events'!$P$4:$P$553,MATCH(B30,'Gate events'!$A$4:$A$553,0))="UC-ID specific",IF(OR(L30&lt;&gt;"UC-ID specific",K30=""),"Condition UC-ID required",IF(ISNUMBER(SEARCH(","&amp;SUBSTITUTE(K30," ","")&amp;",",","&amp;SUBSTITUTE(INDEX('Gate events'!$O$4:$O$553,MATCH(B30,'Gate events'!$A$4:$A$553,0))," ","")&amp;",")),"","UC-ID differs from decision")),IF(INDEX('Gate events'!$P$4:$P$553,MATCH(B30,'Gate events'!$A$4:$A$553,0))="Shared system baseline",IF(OR(L30&lt;&gt;"Shared system baseline",K30&lt;&gt;""),"Condition scope differs from decision",""),"Parent decision scope missing"))&lt;&gt;"",IF(INDEX('Gate events'!$P$4:$P$553,MATCH(B30,'Gate events'!$A$4:$A$553,0))="UC-ID specific",IF(OR(L30&lt;&gt;"UC-ID specific",K30=""),"Condition UC-ID required",IF(ISNUMBER(SEARCH(","&amp;SUBSTITUTE(K30," ","")&amp;",",","&amp;SUBSTITUTE(INDEX('Gate events'!$O$4:$O$553,MATCH(B30,'Gate events'!$A$4:$A$553,0))," ","")&amp;",")),"","UC-ID differs from decision")),IF(INDEX('Gate events'!$P$4:$P$553,MATCH(B30,'Gate events'!$A$4:$A$553,0))="Shared system baseline",IF(OR(L30&lt;&gt;"Shared system baseline",K30&lt;&gt;""),"Condition scope differs from decision",""),"Parent decision scope missing")),IF(OR(D30="",E30="",F30="",G30=""),"Condition, owner, due date or state missing",IF(NOT(ISNUMBER(F30)),"Due date is not a date",IF(OR(G30="Overdue",G30="Superseded"),"Legacy state — owner review (use the shared five states)",IF(INDEX('Gate events'!$E$4:$E$553,MATCH(B30,'Gate events'!$A$4:$A$553,0))&lt;&gt;"Decision","Parent event is not a Decision",IF(AND(INDEX('Gate events'!$G$4:$G$553,MATCH(B30,'Gate events'!$A$4:$A$553,0))&lt;&gt;"Progress with condition",INDEX('Gate events'!$G$4:$G$553,MATCH(B30,'Gate events'!$A$4:$A$553,0))&lt;&gt;"Re-authorise",INDEX('Gate events'!$G$4:$G$553,MATCH(B30,'Gate events'!$A$4:$A$553,0))&lt;&gt;"Resume"),"Parent outcome is not Progress with condition / Re-authorise / Resume",IF(AND(ISNUMBER(INDEX('Gate events'!$F$4:$F$553,MATCH(B30,'Gate events'!$A$4:$A$553,0))),F30&lt;INDEX('Gate events'!$F$4:$F$553,MATCH(B30,'Gate events'!$A$4:$A$553,0))),"Due date before parent event date",IF(AND(OR(G30="Closed-verified",G30="Waived",G30="Accepted-open"),OR(H30="",I30="")),"Closure evidence missing",IF(AND(H30&lt;&gt;"",NOT(ISNUMBER(H30))),"Closed / waived on is not a date",IF(AND(ISNUMBER(H30),ISNUMBER(INDEX('Gate events'!$F$4:$F$553,MATCH(B30,'Gate events'!$A$4:$A$553,0))),H30&lt;INDEX('Gate events'!$F$4:$F$553,MATCH(B30,'Gate events'!$A$4:$A$553,0))),"Closure date before parent event date",IF(AND(G30="Closed-verified",M30=""),"Verifier / date missing",IF(AND(N30="Yes",G30="Closed-verified",O30=""),"Monitoring condition needs AIG-OPS-02 evidence ref",IF(AND(G30="Open",F30&lt;TODAY()),"OVERDUE (derived) — review",IF(G30="Unknown","State Unknown: owner to confirm","Check against source")))))))))))))))))))</f>
        <v/>
      </c>
      <c r="K30" s="37" t="n"/>
      <c r="L30" s="37" t="n"/>
      <c r="M30" s="38" t="n"/>
      <c r="N30" s="38" t="n"/>
      <c r="O30" s="38" t="n"/>
    </row>
    <row r="31">
      <c r="A31" s="40" t="n"/>
      <c r="B31" s="40" t="n"/>
      <c r="C31" s="40" t="n"/>
      <c r="D31" s="40" t="n"/>
      <c r="E31" s="40" t="n"/>
      <c r="F31" s="41" t="n"/>
      <c r="G31" s="40" t="n"/>
      <c r="H31" s="41" t="n"/>
      <c r="I31" s="40" t="n"/>
      <c r="J31" s="24">
        <f>IF(COUNTA(A31:I31,K31:O31)=0,"",IF(OR(A31="",B31="",C31=""),"ID / parent missing",IF(COUNTIF($A$4:$A$553,A31)&gt;1,"Duplicate condition ID",IF(COUNTIF('Gate events'!$A$4:$A$553,B31)=0,"Event ID not found",IF(INDEX('Gate events'!$B$4:$B$553,MATCH(B31,'Gate events'!$A$4:$A$553,0))&lt;&gt;C31,"AIR-ID differs from event",IF(IF(INDEX('Gate events'!$P$4:$P$553,MATCH(B31,'Gate events'!$A$4:$A$553,0))="UC-ID specific",IF(OR(L31&lt;&gt;"UC-ID specific",K31=""),"Condition UC-ID required",IF(ISNUMBER(SEARCH(","&amp;SUBSTITUTE(K31," ","")&amp;",",","&amp;SUBSTITUTE(INDEX('Gate events'!$O$4:$O$553,MATCH(B31,'Gate events'!$A$4:$A$553,0))," ","")&amp;",")),"","UC-ID differs from decision")),IF(INDEX('Gate events'!$P$4:$P$553,MATCH(B31,'Gate events'!$A$4:$A$553,0))="Shared system baseline",IF(OR(L31&lt;&gt;"Shared system baseline",K31&lt;&gt;""),"Condition scope differs from decision",""),"Parent decision scope missing"))&lt;&gt;"",IF(INDEX('Gate events'!$P$4:$P$553,MATCH(B31,'Gate events'!$A$4:$A$553,0))="UC-ID specific",IF(OR(L31&lt;&gt;"UC-ID specific",K31=""),"Condition UC-ID required",IF(ISNUMBER(SEARCH(","&amp;SUBSTITUTE(K31," ","")&amp;",",","&amp;SUBSTITUTE(INDEX('Gate events'!$O$4:$O$553,MATCH(B31,'Gate events'!$A$4:$A$553,0))," ","")&amp;",")),"","UC-ID differs from decision")),IF(INDEX('Gate events'!$P$4:$P$553,MATCH(B31,'Gate events'!$A$4:$A$553,0))="Shared system baseline",IF(OR(L31&lt;&gt;"Shared system baseline",K31&lt;&gt;""),"Condition scope differs from decision",""),"Parent decision scope missing")),IF(OR(D31="",E31="",F31="",G31=""),"Condition, owner, due date or state missing",IF(NOT(ISNUMBER(F31)),"Due date is not a date",IF(OR(G31="Overdue",G31="Superseded"),"Legacy state — owner review (use the shared five states)",IF(INDEX('Gate events'!$E$4:$E$553,MATCH(B31,'Gate events'!$A$4:$A$553,0))&lt;&gt;"Decision","Parent event is not a Decision",IF(AND(INDEX('Gate events'!$G$4:$G$553,MATCH(B31,'Gate events'!$A$4:$A$553,0))&lt;&gt;"Progress with condition",INDEX('Gate events'!$G$4:$G$553,MATCH(B31,'Gate events'!$A$4:$A$553,0))&lt;&gt;"Re-authorise",INDEX('Gate events'!$G$4:$G$553,MATCH(B31,'Gate events'!$A$4:$A$553,0))&lt;&gt;"Resume"),"Parent outcome is not Progress with condition / Re-authorise / Resume",IF(AND(ISNUMBER(INDEX('Gate events'!$F$4:$F$553,MATCH(B31,'Gate events'!$A$4:$A$553,0))),F31&lt;INDEX('Gate events'!$F$4:$F$553,MATCH(B31,'Gate events'!$A$4:$A$553,0))),"Due date before parent event date",IF(AND(OR(G31="Closed-verified",G31="Waived",G31="Accepted-open"),OR(H31="",I31="")),"Closure evidence missing",IF(AND(H31&lt;&gt;"",NOT(ISNUMBER(H31))),"Closed / waived on is not a date",IF(AND(ISNUMBER(H31),ISNUMBER(INDEX('Gate events'!$F$4:$F$553,MATCH(B31,'Gate events'!$A$4:$A$553,0))),H31&lt;INDEX('Gate events'!$F$4:$F$553,MATCH(B31,'Gate events'!$A$4:$A$553,0))),"Closure date before parent event date",IF(AND(G31="Closed-verified",M31=""),"Verifier / date missing",IF(AND(N31="Yes",G31="Closed-verified",O31=""),"Monitoring condition needs AIG-OPS-02 evidence ref",IF(AND(G31="Open",F31&lt;TODAY()),"OVERDUE (derived) — review",IF(G31="Unknown","State Unknown: owner to confirm","Check against source")))))))))))))))))))</f>
        <v/>
      </c>
      <c r="K31" s="37" t="n"/>
      <c r="L31" s="37" t="n"/>
      <c r="M31" s="40" t="n"/>
      <c r="N31" s="40" t="n"/>
      <c r="O31" s="40" t="n"/>
    </row>
    <row r="32">
      <c r="A32" s="38" t="n"/>
      <c r="B32" s="38" t="n"/>
      <c r="C32" s="38" t="n"/>
      <c r="D32" s="38" t="n"/>
      <c r="E32" s="38" t="n"/>
      <c r="F32" s="39" t="n"/>
      <c r="G32" s="38" t="n"/>
      <c r="H32" s="39" t="n"/>
      <c r="I32" s="38" t="n"/>
      <c r="J32" s="22">
        <f>IF(COUNTA(A32:I32,K32:O32)=0,"",IF(OR(A32="",B32="",C32=""),"ID / parent missing",IF(COUNTIF($A$4:$A$553,A32)&gt;1,"Duplicate condition ID",IF(COUNTIF('Gate events'!$A$4:$A$553,B32)=0,"Event ID not found",IF(INDEX('Gate events'!$B$4:$B$553,MATCH(B32,'Gate events'!$A$4:$A$553,0))&lt;&gt;C32,"AIR-ID differs from event",IF(IF(INDEX('Gate events'!$P$4:$P$553,MATCH(B32,'Gate events'!$A$4:$A$553,0))="UC-ID specific",IF(OR(L32&lt;&gt;"UC-ID specific",K32=""),"Condition UC-ID required",IF(ISNUMBER(SEARCH(","&amp;SUBSTITUTE(K32," ","")&amp;",",","&amp;SUBSTITUTE(INDEX('Gate events'!$O$4:$O$553,MATCH(B32,'Gate events'!$A$4:$A$553,0))," ","")&amp;",")),"","UC-ID differs from decision")),IF(INDEX('Gate events'!$P$4:$P$553,MATCH(B32,'Gate events'!$A$4:$A$553,0))="Shared system baseline",IF(OR(L32&lt;&gt;"Shared system baseline",K32&lt;&gt;""),"Condition scope differs from decision",""),"Parent decision scope missing"))&lt;&gt;"",IF(INDEX('Gate events'!$P$4:$P$553,MATCH(B32,'Gate events'!$A$4:$A$553,0))="UC-ID specific",IF(OR(L32&lt;&gt;"UC-ID specific",K32=""),"Condition UC-ID required",IF(ISNUMBER(SEARCH(","&amp;SUBSTITUTE(K32," ","")&amp;",",","&amp;SUBSTITUTE(INDEX('Gate events'!$O$4:$O$553,MATCH(B32,'Gate events'!$A$4:$A$553,0))," ","")&amp;",")),"","UC-ID differs from decision")),IF(INDEX('Gate events'!$P$4:$P$553,MATCH(B32,'Gate events'!$A$4:$A$553,0))="Shared system baseline",IF(OR(L32&lt;&gt;"Shared system baseline",K32&lt;&gt;""),"Condition scope differs from decision",""),"Parent decision scope missing")),IF(OR(D32="",E32="",F32="",G32=""),"Condition, owner, due date or state missing",IF(NOT(ISNUMBER(F32)),"Due date is not a date",IF(OR(G32="Overdue",G32="Superseded"),"Legacy state — owner review (use the shared five states)",IF(INDEX('Gate events'!$E$4:$E$553,MATCH(B32,'Gate events'!$A$4:$A$553,0))&lt;&gt;"Decision","Parent event is not a Decision",IF(AND(INDEX('Gate events'!$G$4:$G$553,MATCH(B32,'Gate events'!$A$4:$A$553,0))&lt;&gt;"Progress with condition",INDEX('Gate events'!$G$4:$G$553,MATCH(B32,'Gate events'!$A$4:$A$553,0))&lt;&gt;"Re-authorise",INDEX('Gate events'!$G$4:$G$553,MATCH(B32,'Gate events'!$A$4:$A$553,0))&lt;&gt;"Resume"),"Parent outcome is not Progress with condition / Re-authorise / Resume",IF(AND(ISNUMBER(INDEX('Gate events'!$F$4:$F$553,MATCH(B32,'Gate events'!$A$4:$A$553,0))),F32&lt;INDEX('Gate events'!$F$4:$F$553,MATCH(B32,'Gate events'!$A$4:$A$553,0))),"Due date before parent event date",IF(AND(OR(G32="Closed-verified",G32="Waived",G32="Accepted-open"),OR(H32="",I32="")),"Closure evidence missing",IF(AND(H32&lt;&gt;"",NOT(ISNUMBER(H32))),"Closed / waived on is not a date",IF(AND(ISNUMBER(H32),ISNUMBER(INDEX('Gate events'!$F$4:$F$553,MATCH(B32,'Gate events'!$A$4:$A$553,0))),H32&lt;INDEX('Gate events'!$F$4:$F$553,MATCH(B32,'Gate events'!$A$4:$A$553,0))),"Closure date before parent event date",IF(AND(G32="Closed-verified",M32=""),"Verifier / date missing",IF(AND(N32="Yes",G32="Closed-verified",O32=""),"Monitoring condition needs AIG-OPS-02 evidence ref",IF(AND(G32="Open",F32&lt;TODAY()),"OVERDUE (derived) — review",IF(G32="Unknown","State Unknown: owner to confirm","Check against source")))))))))))))))))))</f>
        <v/>
      </c>
      <c r="K32" s="37" t="n"/>
      <c r="L32" s="37" t="n"/>
      <c r="M32" s="38" t="n"/>
      <c r="N32" s="38" t="n"/>
      <c r="O32" s="38" t="n"/>
    </row>
    <row r="33">
      <c r="A33" s="40" t="n"/>
      <c r="B33" s="40" t="n"/>
      <c r="C33" s="40" t="n"/>
      <c r="D33" s="40" t="n"/>
      <c r="E33" s="40" t="n"/>
      <c r="F33" s="41" t="n"/>
      <c r="G33" s="40" t="n"/>
      <c r="H33" s="41" t="n"/>
      <c r="I33" s="40" t="n"/>
      <c r="J33" s="24">
        <f>IF(COUNTA(A33:I33,K33:O33)=0,"",IF(OR(A33="",B33="",C33=""),"ID / parent missing",IF(COUNTIF($A$4:$A$553,A33)&gt;1,"Duplicate condition ID",IF(COUNTIF('Gate events'!$A$4:$A$553,B33)=0,"Event ID not found",IF(INDEX('Gate events'!$B$4:$B$553,MATCH(B33,'Gate events'!$A$4:$A$553,0))&lt;&gt;C33,"AIR-ID differs from event",IF(IF(INDEX('Gate events'!$P$4:$P$553,MATCH(B33,'Gate events'!$A$4:$A$553,0))="UC-ID specific",IF(OR(L33&lt;&gt;"UC-ID specific",K33=""),"Condition UC-ID required",IF(ISNUMBER(SEARCH(","&amp;SUBSTITUTE(K33," ","")&amp;",",","&amp;SUBSTITUTE(INDEX('Gate events'!$O$4:$O$553,MATCH(B33,'Gate events'!$A$4:$A$553,0))," ","")&amp;",")),"","UC-ID differs from decision")),IF(INDEX('Gate events'!$P$4:$P$553,MATCH(B33,'Gate events'!$A$4:$A$553,0))="Shared system baseline",IF(OR(L33&lt;&gt;"Shared system baseline",K33&lt;&gt;""),"Condition scope differs from decision",""),"Parent decision scope missing"))&lt;&gt;"",IF(INDEX('Gate events'!$P$4:$P$553,MATCH(B33,'Gate events'!$A$4:$A$553,0))="UC-ID specific",IF(OR(L33&lt;&gt;"UC-ID specific",K33=""),"Condition UC-ID required",IF(ISNUMBER(SEARCH(","&amp;SUBSTITUTE(K33," ","")&amp;",",","&amp;SUBSTITUTE(INDEX('Gate events'!$O$4:$O$553,MATCH(B33,'Gate events'!$A$4:$A$553,0))," ","")&amp;",")),"","UC-ID differs from decision")),IF(INDEX('Gate events'!$P$4:$P$553,MATCH(B33,'Gate events'!$A$4:$A$553,0))="Shared system baseline",IF(OR(L33&lt;&gt;"Shared system baseline",K33&lt;&gt;""),"Condition scope differs from decision",""),"Parent decision scope missing")),IF(OR(D33="",E33="",F33="",G33=""),"Condition, owner, due date or state missing",IF(NOT(ISNUMBER(F33)),"Due date is not a date",IF(OR(G33="Overdue",G33="Superseded"),"Legacy state — owner review (use the shared five states)",IF(INDEX('Gate events'!$E$4:$E$553,MATCH(B33,'Gate events'!$A$4:$A$553,0))&lt;&gt;"Decision","Parent event is not a Decision",IF(AND(INDEX('Gate events'!$G$4:$G$553,MATCH(B33,'Gate events'!$A$4:$A$553,0))&lt;&gt;"Progress with condition",INDEX('Gate events'!$G$4:$G$553,MATCH(B33,'Gate events'!$A$4:$A$553,0))&lt;&gt;"Re-authorise",INDEX('Gate events'!$G$4:$G$553,MATCH(B33,'Gate events'!$A$4:$A$553,0))&lt;&gt;"Resume"),"Parent outcome is not Progress with condition / Re-authorise / Resume",IF(AND(ISNUMBER(INDEX('Gate events'!$F$4:$F$553,MATCH(B33,'Gate events'!$A$4:$A$553,0))),F33&lt;INDEX('Gate events'!$F$4:$F$553,MATCH(B33,'Gate events'!$A$4:$A$553,0))),"Due date before parent event date",IF(AND(OR(G33="Closed-verified",G33="Waived",G33="Accepted-open"),OR(H33="",I33="")),"Closure evidence missing",IF(AND(H33&lt;&gt;"",NOT(ISNUMBER(H33))),"Closed / waived on is not a date",IF(AND(ISNUMBER(H33),ISNUMBER(INDEX('Gate events'!$F$4:$F$553,MATCH(B33,'Gate events'!$A$4:$A$553,0))),H33&lt;INDEX('Gate events'!$F$4:$F$553,MATCH(B33,'Gate events'!$A$4:$A$553,0))),"Closure date before parent event date",IF(AND(G33="Closed-verified",M33=""),"Verifier / date missing",IF(AND(N33="Yes",G33="Closed-verified",O33=""),"Monitoring condition needs AIG-OPS-02 evidence ref",IF(AND(G33="Open",F33&lt;TODAY()),"OVERDUE (derived) — review",IF(G33="Unknown","State Unknown: owner to confirm","Check against source")))))))))))))))))))</f>
        <v/>
      </c>
      <c r="K33" s="37" t="n"/>
      <c r="L33" s="37" t="n"/>
      <c r="M33" s="40" t="n"/>
      <c r="N33" s="40" t="n"/>
      <c r="O33" s="40" t="n"/>
    </row>
    <row r="34">
      <c r="A34" s="38" t="n"/>
      <c r="B34" s="38" t="n"/>
      <c r="C34" s="38" t="n"/>
      <c r="D34" s="38" t="n"/>
      <c r="E34" s="38" t="n"/>
      <c r="F34" s="39" t="n"/>
      <c r="G34" s="38" t="n"/>
      <c r="H34" s="39" t="n"/>
      <c r="I34" s="38" t="n"/>
      <c r="J34" s="22">
        <f>IF(COUNTA(A34:I34,K34:O34)=0,"",IF(OR(A34="",B34="",C34=""),"ID / parent missing",IF(COUNTIF($A$4:$A$553,A34)&gt;1,"Duplicate condition ID",IF(COUNTIF('Gate events'!$A$4:$A$553,B34)=0,"Event ID not found",IF(INDEX('Gate events'!$B$4:$B$553,MATCH(B34,'Gate events'!$A$4:$A$553,0))&lt;&gt;C34,"AIR-ID differs from event",IF(IF(INDEX('Gate events'!$P$4:$P$553,MATCH(B34,'Gate events'!$A$4:$A$553,0))="UC-ID specific",IF(OR(L34&lt;&gt;"UC-ID specific",K34=""),"Condition UC-ID required",IF(ISNUMBER(SEARCH(","&amp;SUBSTITUTE(K34," ","")&amp;",",","&amp;SUBSTITUTE(INDEX('Gate events'!$O$4:$O$553,MATCH(B34,'Gate events'!$A$4:$A$553,0))," ","")&amp;",")),"","UC-ID differs from decision")),IF(INDEX('Gate events'!$P$4:$P$553,MATCH(B34,'Gate events'!$A$4:$A$553,0))="Shared system baseline",IF(OR(L34&lt;&gt;"Shared system baseline",K34&lt;&gt;""),"Condition scope differs from decision",""),"Parent decision scope missing"))&lt;&gt;"",IF(INDEX('Gate events'!$P$4:$P$553,MATCH(B34,'Gate events'!$A$4:$A$553,0))="UC-ID specific",IF(OR(L34&lt;&gt;"UC-ID specific",K34=""),"Condition UC-ID required",IF(ISNUMBER(SEARCH(","&amp;SUBSTITUTE(K34," ","")&amp;",",","&amp;SUBSTITUTE(INDEX('Gate events'!$O$4:$O$553,MATCH(B34,'Gate events'!$A$4:$A$553,0))," ","")&amp;",")),"","UC-ID differs from decision")),IF(INDEX('Gate events'!$P$4:$P$553,MATCH(B34,'Gate events'!$A$4:$A$553,0))="Shared system baseline",IF(OR(L34&lt;&gt;"Shared system baseline",K34&lt;&gt;""),"Condition scope differs from decision",""),"Parent decision scope missing")),IF(OR(D34="",E34="",F34="",G34=""),"Condition, owner, due date or state missing",IF(NOT(ISNUMBER(F34)),"Due date is not a date",IF(OR(G34="Overdue",G34="Superseded"),"Legacy state — owner review (use the shared five states)",IF(INDEX('Gate events'!$E$4:$E$553,MATCH(B34,'Gate events'!$A$4:$A$553,0))&lt;&gt;"Decision","Parent event is not a Decision",IF(AND(INDEX('Gate events'!$G$4:$G$553,MATCH(B34,'Gate events'!$A$4:$A$553,0))&lt;&gt;"Progress with condition",INDEX('Gate events'!$G$4:$G$553,MATCH(B34,'Gate events'!$A$4:$A$553,0))&lt;&gt;"Re-authorise",INDEX('Gate events'!$G$4:$G$553,MATCH(B34,'Gate events'!$A$4:$A$553,0))&lt;&gt;"Resume"),"Parent outcome is not Progress with condition / Re-authorise / Resume",IF(AND(ISNUMBER(INDEX('Gate events'!$F$4:$F$553,MATCH(B34,'Gate events'!$A$4:$A$553,0))),F34&lt;INDEX('Gate events'!$F$4:$F$553,MATCH(B34,'Gate events'!$A$4:$A$553,0))),"Due date before parent event date",IF(AND(OR(G34="Closed-verified",G34="Waived",G34="Accepted-open"),OR(H34="",I34="")),"Closure evidence missing",IF(AND(H34&lt;&gt;"",NOT(ISNUMBER(H34))),"Closed / waived on is not a date",IF(AND(ISNUMBER(H34),ISNUMBER(INDEX('Gate events'!$F$4:$F$553,MATCH(B34,'Gate events'!$A$4:$A$553,0))),H34&lt;INDEX('Gate events'!$F$4:$F$553,MATCH(B34,'Gate events'!$A$4:$A$553,0))),"Closure date before parent event date",IF(AND(G34="Closed-verified",M34=""),"Verifier / date missing",IF(AND(N34="Yes",G34="Closed-verified",O34=""),"Monitoring condition needs AIG-OPS-02 evidence ref",IF(AND(G34="Open",F34&lt;TODAY()),"OVERDUE (derived) — review",IF(G34="Unknown","State Unknown: owner to confirm","Check against source")))))))))))))))))))</f>
        <v/>
      </c>
      <c r="K34" s="37" t="n"/>
      <c r="L34" s="37" t="n"/>
      <c r="M34" s="38" t="n"/>
      <c r="N34" s="38" t="n"/>
      <c r="O34" s="38" t="n"/>
    </row>
    <row r="35">
      <c r="A35" s="40" t="n"/>
      <c r="B35" s="40" t="n"/>
      <c r="C35" s="40" t="n"/>
      <c r="D35" s="40" t="n"/>
      <c r="E35" s="40" t="n"/>
      <c r="F35" s="41" t="n"/>
      <c r="G35" s="40" t="n"/>
      <c r="H35" s="41" t="n"/>
      <c r="I35" s="40" t="n"/>
      <c r="J35" s="24">
        <f>IF(COUNTA(A35:I35,K35:O35)=0,"",IF(OR(A35="",B35="",C35=""),"ID / parent missing",IF(COUNTIF($A$4:$A$553,A35)&gt;1,"Duplicate condition ID",IF(COUNTIF('Gate events'!$A$4:$A$553,B35)=0,"Event ID not found",IF(INDEX('Gate events'!$B$4:$B$553,MATCH(B35,'Gate events'!$A$4:$A$553,0))&lt;&gt;C35,"AIR-ID differs from event",IF(IF(INDEX('Gate events'!$P$4:$P$553,MATCH(B35,'Gate events'!$A$4:$A$553,0))="UC-ID specific",IF(OR(L35&lt;&gt;"UC-ID specific",K35=""),"Condition UC-ID required",IF(ISNUMBER(SEARCH(","&amp;SUBSTITUTE(K35," ","")&amp;",",","&amp;SUBSTITUTE(INDEX('Gate events'!$O$4:$O$553,MATCH(B35,'Gate events'!$A$4:$A$553,0))," ","")&amp;",")),"","UC-ID differs from decision")),IF(INDEX('Gate events'!$P$4:$P$553,MATCH(B35,'Gate events'!$A$4:$A$553,0))="Shared system baseline",IF(OR(L35&lt;&gt;"Shared system baseline",K35&lt;&gt;""),"Condition scope differs from decision",""),"Parent decision scope missing"))&lt;&gt;"",IF(INDEX('Gate events'!$P$4:$P$553,MATCH(B35,'Gate events'!$A$4:$A$553,0))="UC-ID specific",IF(OR(L35&lt;&gt;"UC-ID specific",K35=""),"Condition UC-ID required",IF(ISNUMBER(SEARCH(","&amp;SUBSTITUTE(K35," ","")&amp;",",","&amp;SUBSTITUTE(INDEX('Gate events'!$O$4:$O$553,MATCH(B35,'Gate events'!$A$4:$A$553,0))," ","")&amp;",")),"","UC-ID differs from decision")),IF(INDEX('Gate events'!$P$4:$P$553,MATCH(B35,'Gate events'!$A$4:$A$553,0))="Shared system baseline",IF(OR(L35&lt;&gt;"Shared system baseline",K35&lt;&gt;""),"Condition scope differs from decision",""),"Parent decision scope missing")),IF(OR(D35="",E35="",F35="",G35=""),"Condition, owner, due date or state missing",IF(NOT(ISNUMBER(F35)),"Due date is not a date",IF(OR(G35="Overdue",G35="Superseded"),"Legacy state — owner review (use the shared five states)",IF(INDEX('Gate events'!$E$4:$E$553,MATCH(B35,'Gate events'!$A$4:$A$553,0))&lt;&gt;"Decision","Parent event is not a Decision",IF(AND(INDEX('Gate events'!$G$4:$G$553,MATCH(B35,'Gate events'!$A$4:$A$553,0))&lt;&gt;"Progress with condition",INDEX('Gate events'!$G$4:$G$553,MATCH(B35,'Gate events'!$A$4:$A$553,0))&lt;&gt;"Re-authorise",INDEX('Gate events'!$G$4:$G$553,MATCH(B35,'Gate events'!$A$4:$A$553,0))&lt;&gt;"Resume"),"Parent outcome is not Progress with condition / Re-authorise / Resume",IF(AND(ISNUMBER(INDEX('Gate events'!$F$4:$F$553,MATCH(B35,'Gate events'!$A$4:$A$553,0))),F35&lt;INDEX('Gate events'!$F$4:$F$553,MATCH(B35,'Gate events'!$A$4:$A$553,0))),"Due date before parent event date",IF(AND(OR(G35="Closed-verified",G35="Waived",G35="Accepted-open"),OR(H35="",I35="")),"Closure evidence missing",IF(AND(H35&lt;&gt;"",NOT(ISNUMBER(H35))),"Closed / waived on is not a date",IF(AND(ISNUMBER(H35),ISNUMBER(INDEX('Gate events'!$F$4:$F$553,MATCH(B35,'Gate events'!$A$4:$A$553,0))),H35&lt;INDEX('Gate events'!$F$4:$F$553,MATCH(B35,'Gate events'!$A$4:$A$553,0))),"Closure date before parent event date",IF(AND(G35="Closed-verified",M35=""),"Verifier / date missing",IF(AND(N35="Yes",G35="Closed-verified",O35=""),"Monitoring condition needs AIG-OPS-02 evidence ref",IF(AND(G35="Open",F35&lt;TODAY()),"OVERDUE (derived) — review",IF(G35="Unknown","State Unknown: owner to confirm","Check against source")))))))))))))))))))</f>
        <v/>
      </c>
      <c r="K35" s="37" t="n"/>
      <c r="L35" s="37" t="n"/>
      <c r="M35" s="40" t="n"/>
      <c r="N35" s="40" t="n"/>
      <c r="O35" s="40" t="n"/>
    </row>
    <row r="36">
      <c r="A36" s="38" t="n"/>
      <c r="B36" s="38" t="n"/>
      <c r="C36" s="38" t="n"/>
      <c r="D36" s="38" t="n"/>
      <c r="E36" s="38" t="n"/>
      <c r="F36" s="39" t="n"/>
      <c r="G36" s="38" t="n"/>
      <c r="H36" s="39" t="n"/>
      <c r="I36" s="38" t="n"/>
      <c r="J36" s="22">
        <f>IF(COUNTA(A36:I36,K36:O36)=0,"",IF(OR(A36="",B36="",C36=""),"ID / parent missing",IF(COUNTIF($A$4:$A$553,A36)&gt;1,"Duplicate condition ID",IF(COUNTIF('Gate events'!$A$4:$A$553,B36)=0,"Event ID not found",IF(INDEX('Gate events'!$B$4:$B$553,MATCH(B36,'Gate events'!$A$4:$A$553,0))&lt;&gt;C36,"AIR-ID differs from event",IF(IF(INDEX('Gate events'!$P$4:$P$553,MATCH(B36,'Gate events'!$A$4:$A$553,0))="UC-ID specific",IF(OR(L36&lt;&gt;"UC-ID specific",K36=""),"Condition UC-ID required",IF(ISNUMBER(SEARCH(","&amp;SUBSTITUTE(K36," ","")&amp;",",","&amp;SUBSTITUTE(INDEX('Gate events'!$O$4:$O$553,MATCH(B36,'Gate events'!$A$4:$A$553,0))," ","")&amp;",")),"","UC-ID differs from decision")),IF(INDEX('Gate events'!$P$4:$P$553,MATCH(B36,'Gate events'!$A$4:$A$553,0))="Shared system baseline",IF(OR(L36&lt;&gt;"Shared system baseline",K36&lt;&gt;""),"Condition scope differs from decision",""),"Parent decision scope missing"))&lt;&gt;"",IF(INDEX('Gate events'!$P$4:$P$553,MATCH(B36,'Gate events'!$A$4:$A$553,0))="UC-ID specific",IF(OR(L36&lt;&gt;"UC-ID specific",K36=""),"Condition UC-ID required",IF(ISNUMBER(SEARCH(","&amp;SUBSTITUTE(K36," ","")&amp;",",","&amp;SUBSTITUTE(INDEX('Gate events'!$O$4:$O$553,MATCH(B36,'Gate events'!$A$4:$A$553,0))," ","")&amp;",")),"","UC-ID differs from decision")),IF(INDEX('Gate events'!$P$4:$P$553,MATCH(B36,'Gate events'!$A$4:$A$553,0))="Shared system baseline",IF(OR(L36&lt;&gt;"Shared system baseline",K36&lt;&gt;""),"Condition scope differs from decision",""),"Parent decision scope missing")),IF(OR(D36="",E36="",F36="",G36=""),"Condition, owner, due date or state missing",IF(NOT(ISNUMBER(F36)),"Due date is not a date",IF(OR(G36="Overdue",G36="Superseded"),"Legacy state — owner review (use the shared five states)",IF(INDEX('Gate events'!$E$4:$E$553,MATCH(B36,'Gate events'!$A$4:$A$553,0))&lt;&gt;"Decision","Parent event is not a Decision",IF(AND(INDEX('Gate events'!$G$4:$G$553,MATCH(B36,'Gate events'!$A$4:$A$553,0))&lt;&gt;"Progress with condition",INDEX('Gate events'!$G$4:$G$553,MATCH(B36,'Gate events'!$A$4:$A$553,0))&lt;&gt;"Re-authorise",INDEX('Gate events'!$G$4:$G$553,MATCH(B36,'Gate events'!$A$4:$A$553,0))&lt;&gt;"Resume"),"Parent outcome is not Progress with condition / Re-authorise / Resume",IF(AND(ISNUMBER(INDEX('Gate events'!$F$4:$F$553,MATCH(B36,'Gate events'!$A$4:$A$553,0))),F36&lt;INDEX('Gate events'!$F$4:$F$553,MATCH(B36,'Gate events'!$A$4:$A$553,0))),"Due date before parent event date",IF(AND(OR(G36="Closed-verified",G36="Waived",G36="Accepted-open"),OR(H36="",I36="")),"Closure evidence missing",IF(AND(H36&lt;&gt;"",NOT(ISNUMBER(H36))),"Closed / waived on is not a date",IF(AND(ISNUMBER(H36),ISNUMBER(INDEX('Gate events'!$F$4:$F$553,MATCH(B36,'Gate events'!$A$4:$A$553,0))),H36&lt;INDEX('Gate events'!$F$4:$F$553,MATCH(B36,'Gate events'!$A$4:$A$553,0))),"Closure date before parent event date",IF(AND(G36="Closed-verified",M36=""),"Verifier / date missing",IF(AND(N36="Yes",G36="Closed-verified",O36=""),"Monitoring condition needs AIG-OPS-02 evidence ref",IF(AND(G36="Open",F36&lt;TODAY()),"OVERDUE (derived) — review",IF(G36="Unknown","State Unknown: owner to confirm","Check against source")))))))))))))))))))</f>
        <v/>
      </c>
      <c r="K36" s="37" t="n"/>
      <c r="L36" s="37" t="n"/>
      <c r="M36" s="38" t="n"/>
      <c r="N36" s="38" t="n"/>
      <c r="O36" s="38" t="n"/>
    </row>
    <row r="37">
      <c r="A37" s="40" t="n"/>
      <c r="B37" s="40" t="n"/>
      <c r="C37" s="40" t="n"/>
      <c r="D37" s="40" t="n"/>
      <c r="E37" s="40" t="n"/>
      <c r="F37" s="41" t="n"/>
      <c r="G37" s="40" t="n"/>
      <c r="H37" s="41" t="n"/>
      <c r="I37" s="40" t="n"/>
      <c r="J37" s="24">
        <f>IF(COUNTA(A37:I37,K37:O37)=0,"",IF(OR(A37="",B37="",C37=""),"ID / parent missing",IF(COUNTIF($A$4:$A$553,A37)&gt;1,"Duplicate condition ID",IF(COUNTIF('Gate events'!$A$4:$A$553,B37)=0,"Event ID not found",IF(INDEX('Gate events'!$B$4:$B$553,MATCH(B37,'Gate events'!$A$4:$A$553,0))&lt;&gt;C37,"AIR-ID differs from event",IF(IF(INDEX('Gate events'!$P$4:$P$553,MATCH(B37,'Gate events'!$A$4:$A$553,0))="UC-ID specific",IF(OR(L37&lt;&gt;"UC-ID specific",K37=""),"Condition UC-ID required",IF(ISNUMBER(SEARCH(","&amp;SUBSTITUTE(K37," ","")&amp;",",","&amp;SUBSTITUTE(INDEX('Gate events'!$O$4:$O$553,MATCH(B37,'Gate events'!$A$4:$A$553,0))," ","")&amp;",")),"","UC-ID differs from decision")),IF(INDEX('Gate events'!$P$4:$P$553,MATCH(B37,'Gate events'!$A$4:$A$553,0))="Shared system baseline",IF(OR(L37&lt;&gt;"Shared system baseline",K37&lt;&gt;""),"Condition scope differs from decision",""),"Parent decision scope missing"))&lt;&gt;"",IF(INDEX('Gate events'!$P$4:$P$553,MATCH(B37,'Gate events'!$A$4:$A$553,0))="UC-ID specific",IF(OR(L37&lt;&gt;"UC-ID specific",K37=""),"Condition UC-ID required",IF(ISNUMBER(SEARCH(","&amp;SUBSTITUTE(K37," ","")&amp;",",","&amp;SUBSTITUTE(INDEX('Gate events'!$O$4:$O$553,MATCH(B37,'Gate events'!$A$4:$A$553,0))," ","")&amp;",")),"","UC-ID differs from decision")),IF(INDEX('Gate events'!$P$4:$P$553,MATCH(B37,'Gate events'!$A$4:$A$553,0))="Shared system baseline",IF(OR(L37&lt;&gt;"Shared system baseline",K37&lt;&gt;""),"Condition scope differs from decision",""),"Parent decision scope missing")),IF(OR(D37="",E37="",F37="",G37=""),"Condition, owner, due date or state missing",IF(NOT(ISNUMBER(F37)),"Due date is not a date",IF(OR(G37="Overdue",G37="Superseded"),"Legacy state — owner review (use the shared five states)",IF(INDEX('Gate events'!$E$4:$E$553,MATCH(B37,'Gate events'!$A$4:$A$553,0))&lt;&gt;"Decision","Parent event is not a Decision",IF(AND(INDEX('Gate events'!$G$4:$G$553,MATCH(B37,'Gate events'!$A$4:$A$553,0))&lt;&gt;"Progress with condition",INDEX('Gate events'!$G$4:$G$553,MATCH(B37,'Gate events'!$A$4:$A$553,0))&lt;&gt;"Re-authorise",INDEX('Gate events'!$G$4:$G$553,MATCH(B37,'Gate events'!$A$4:$A$553,0))&lt;&gt;"Resume"),"Parent outcome is not Progress with condition / Re-authorise / Resume",IF(AND(ISNUMBER(INDEX('Gate events'!$F$4:$F$553,MATCH(B37,'Gate events'!$A$4:$A$553,0))),F37&lt;INDEX('Gate events'!$F$4:$F$553,MATCH(B37,'Gate events'!$A$4:$A$553,0))),"Due date before parent event date",IF(AND(OR(G37="Closed-verified",G37="Waived",G37="Accepted-open"),OR(H37="",I37="")),"Closure evidence missing",IF(AND(H37&lt;&gt;"",NOT(ISNUMBER(H37))),"Closed / waived on is not a date",IF(AND(ISNUMBER(H37),ISNUMBER(INDEX('Gate events'!$F$4:$F$553,MATCH(B37,'Gate events'!$A$4:$A$553,0))),H37&lt;INDEX('Gate events'!$F$4:$F$553,MATCH(B37,'Gate events'!$A$4:$A$553,0))),"Closure date before parent event date",IF(AND(G37="Closed-verified",M37=""),"Verifier / date missing",IF(AND(N37="Yes",G37="Closed-verified",O37=""),"Monitoring condition needs AIG-OPS-02 evidence ref",IF(AND(G37="Open",F37&lt;TODAY()),"OVERDUE (derived) — review",IF(G37="Unknown","State Unknown: owner to confirm","Check against source")))))))))))))))))))</f>
        <v/>
      </c>
      <c r="K37" s="37" t="n"/>
      <c r="L37" s="37" t="n"/>
      <c r="M37" s="40" t="n"/>
      <c r="N37" s="40" t="n"/>
      <c r="O37" s="40" t="n"/>
    </row>
    <row r="38">
      <c r="A38" s="38" t="n"/>
      <c r="B38" s="38" t="n"/>
      <c r="C38" s="38" t="n"/>
      <c r="D38" s="38" t="n"/>
      <c r="E38" s="38" t="n"/>
      <c r="F38" s="39" t="n"/>
      <c r="G38" s="38" t="n"/>
      <c r="H38" s="39" t="n"/>
      <c r="I38" s="38" t="n"/>
      <c r="J38" s="22">
        <f>IF(COUNTA(A38:I38,K38:O38)=0,"",IF(OR(A38="",B38="",C38=""),"ID / parent missing",IF(COUNTIF($A$4:$A$553,A38)&gt;1,"Duplicate condition ID",IF(COUNTIF('Gate events'!$A$4:$A$553,B38)=0,"Event ID not found",IF(INDEX('Gate events'!$B$4:$B$553,MATCH(B38,'Gate events'!$A$4:$A$553,0))&lt;&gt;C38,"AIR-ID differs from event",IF(IF(INDEX('Gate events'!$P$4:$P$553,MATCH(B38,'Gate events'!$A$4:$A$553,0))="UC-ID specific",IF(OR(L38&lt;&gt;"UC-ID specific",K38=""),"Condition UC-ID required",IF(ISNUMBER(SEARCH(","&amp;SUBSTITUTE(K38," ","")&amp;",",","&amp;SUBSTITUTE(INDEX('Gate events'!$O$4:$O$553,MATCH(B38,'Gate events'!$A$4:$A$553,0))," ","")&amp;",")),"","UC-ID differs from decision")),IF(INDEX('Gate events'!$P$4:$P$553,MATCH(B38,'Gate events'!$A$4:$A$553,0))="Shared system baseline",IF(OR(L38&lt;&gt;"Shared system baseline",K38&lt;&gt;""),"Condition scope differs from decision",""),"Parent decision scope missing"))&lt;&gt;"",IF(INDEX('Gate events'!$P$4:$P$553,MATCH(B38,'Gate events'!$A$4:$A$553,0))="UC-ID specific",IF(OR(L38&lt;&gt;"UC-ID specific",K38=""),"Condition UC-ID required",IF(ISNUMBER(SEARCH(","&amp;SUBSTITUTE(K38," ","")&amp;",",","&amp;SUBSTITUTE(INDEX('Gate events'!$O$4:$O$553,MATCH(B38,'Gate events'!$A$4:$A$553,0))," ","")&amp;",")),"","UC-ID differs from decision")),IF(INDEX('Gate events'!$P$4:$P$553,MATCH(B38,'Gate events'!$A$4:$A$553,0))="Shared system baseline",IF(OR(L38&lt;&gt;"Shared system baseline",K38&lt;&gt;""),"Condition scope differs from decision",""),"Parent decision scope missing")),IF(OR(D38="",E38="",F38="",G38=""),"Condition, owner, due date or state missing",IF(NOT(ISNUMBER(F38)),"Due date is not a date",IF(OR(G38="Overdue",G38="Superseded"),"Legacy state — owner review (use the shared five states)",IF(INDEX('Gate events'!$E$4:$E$553,MATCH(B38,'Gate events'!$A$4:$A$553,0))&lt;&gt;"Decision","Parent event is not a Decision",IF(AND(INDEX('Gate events'!$G$4:$G$553,MATCH(B38,'Gate events'!$A$4:$A$553,0))&lt;&gt;"Progress with condition",INDEX('Gate events'!$G$4:$G$553,MATCH(B38,'Gate events'!$A$4:$A$553,0))&lt;&gt;"Re-authorise",INDEX('Gate events'!$G$4:$G$553,MATCH(B38,'Gate events'!$A$4:$A$553,0))&lt;&gt;"Resume"),"Parent outcome is not Progress with condition / Re-authorise / Resume",IF(AND(ISNUMBER(INDEX('Gate events'!$F$4:$F$553,MATCH(B38,'Gate events'!$A$4:$A$553,0))),F38&lt;INDEX('Gate events'!$F$4:$F$553,MATCH(B38,'Gate events'!$A$4:$A$553,0))),"Due date before parent event date",IF(AND(OR(G38="Closed-verified",G38="Waived",G38="Accepted-open"),OR(H38="",I38="")),"Closure evidence missing",IF(AND(H38&lt;&gt;"",NOT(ISNUMBER(H38))),"Closed / waived on is not a date",IF(AND(ISNUMBER(H38),ISNUMBER(INDEX('Gate events'!$F$4:$F$553,MATCH(B38,'Gate events'!$A$4:$A$553,0))),H38&lt;INDEX('Gate events'!$F$4:$F$553,MATCH(B38,'Gate events'!$A$4:$A$553,0))),"Closure date before parent event date",IF(AND(G38="Closed-verified",M38=""),"Verifier / date missing",IF(AND(N38="Yes",G38="Closed-verified",O38=""),"Monitoring condition needs AIG-OPS-02 evidence ref",IF(AND(G38="Open",F38&lt;TODAY()),"OVERDUE (derived) — review",IF(G38="Unknown","State Unknown: owner to confirm","Check against source")))))))))))))))))))</f>
        <v/>
      </c>
      <c r="K38" s="37" t="n"/>
      <c r="L38" s="37" t="n"/>
      <c r="M38" s="38" t="n"/>
      <c r="N38" s="38" t="n"/>
      <c r="O38" s="38" t="n"/>
    </row>
    <row r="39">
      <c r="A39" s="40" t="n"/>
      <c r="B39" s="40" t="n"/>
      <c r="C39" s="40" t="n"/>
      <c r="D39" s="40" t="n"/>
      <c r="E39" s="40" t="n"/>
      <c r="F39" s="41" t="n"/>
      <c r="G39" s="40" t="n"/>
      <c r="H39" s="41" t="n"/>
      <c r="I39" s="40" t="n"/>
      <c r="J39" s="24">
        <f>IF(COUNTA(A39:I39,K39:O39)=0,"",IF(OR(A39="",B39="",C39=""),"ID / parent missing",IF(COUNTIF($A$4:$A$553,A39)&gt;1,"Duplicate condition ID",IF(COUNTIF('Gate events'!$A$4:$A$553,B39)=0,"Event ID not found",IF(INDEX('Gate events'!$B$4:$B$553,MATCH(B39,'Gate events'!$A$4:$A$553,0))&lt;&gt;C39,"AIR-ID differs from event",IF(IF(INDEX('Gate events'!$P$4:$P$553,MATCH(B39,'Gate events'!$A$4:$A$553,0))="UC-ID specific",IF(OR(L39&lt;&gt;"UC-ID specific",K39=""),"Condition UC-ID required",IF(ISNUMBER(SEARCH(","&amp;SUBSTITUTE(K39," ","")&amp;",",","&amp;SUBSTITUTE(INDEX('Gate events'!$O$4:$O$553,MATCH(B39,'Gate events'!$A$4:$A$553,0))," ","")&amp;",")),"","UC-ID differs from decision")),IF(INDEX('Gate events'!$P$4:$P$553,MATCH(B39,'Gate events'!$A$4:$A$553,0))="Shared system baseline",IF(OR(L39&lt;&gt;"Shared system baseline",K39&lt;&gt;""),"Condition scope differs from decision",""),"Parent decision scope missing"))&lt;&gt;"",IF(INDEX('Gate events'!$P$4:$P$553,MATCH(B39,'Gate events'!$A$4:$A$553,0))="UC-ID specific",IF(OR(L39&lt;&gt;"UC-ID specific",K39=""),"Condition UC-ID required",IF(ISNUMBER(SEARCH(","&amp;SUBSTITUTE(K39," ","")&amp;",",","&amp;SUBSTITUTE(INDEX('Gate events'!$O$4:$O$553,MATCH(B39,'Gate events'!$A$4:$A$553,0))," ","")&amp;",")),"","UC-ID differs from decision")),IF(INDEX('Gate events'!$P$4:$P$553,MATCH(B39,'Gate events'!$A$4:$A$553,0))="Shared system baseline",IF(OR(L39&lt;&gt;"Shared system baseline",K39&lt;&gt;""),"Condition scope differs from decision",""),"Parent decision scope missing")),IF(OR(D39="",E39="",F39="",G39=""),"Condition, owner, due date or state missing",IF(NOT(ISNUMBER(F39)),"Due date is not a date",IF(OR(G39="Overdue",G39="Superseded"),"Legacy state — owner review (use the shared five states)",IF(INDEX('Gate events'!$E$4:$E$553,MATCH(B39,'Gate events'!$A$4:$A$553,0))&lt;&gt;"Decision","Parent event is not a Decision",IF(AND(INDEX('Gate events'!$G$4:$G$553,MATCH(B39,'Gate events'!$A$4:$A$553,0))&lt;&gt;"Progress with condition",INDEX('Gate events'!$G$4:$G$553,MATCH(B39,'Gate events'!$A$4:$A$553,0))&lt;&gt;"Re-authorise",INDEX('Gate events'!$G$4:$G$553,MATCH(B39,'Gate events'!$A$4:$A$553,0))&lt;&gt;"Resume"),"Parent outcome is not Progress with condition / Re-authorise / Resume",IF(AND(ISNUMBER(INDEX('Gate events'!$F$4:$F$553,MATCH(B39,'Gate events'!$A$4:$A$553,0))),F39&lt;INDEX('Gate events'!$F$4:$F$553,MATCH(B39,'Gate events'!$A$4:$A$553,0))),"Due date before parent event date",IF(AND(OR(G39="Closed-verified",G39="Waived",G39="Accepted-open"),OR(H39="",I39="")),"Closure evidence missing",IF(AND(H39&lt;&gt;"",NOT(ISNUMBER(H39))),"Closed / waived on is not a date",IF(AND(ISNUMBER(H39),ISNUMBER(INDEX('Gate events'!$F$4:$F$553,MATCH(B39,'Gate events'!$A$4:$A$553,0))),H39&lt;INDEX('Gate events'!$F$4:$F$553,MATCH(B39,'Gate events'!$A$4:$A$553,0))),"Closure date before parent event date",IF(AND(G39="Closed-verified",M39=""),"Verifier / date missing",IF(AND(N39="Yes",G39="Closed-verified",O39=""),"Monitoring condition needs AIG-OPS-02 evidence ref",IF(AND(G39="Open",F39&lt;TODAY()),"OVERDUE (derived) — review",IF(G39="Unknown","State Unknown: owner to confirm","Check against source")))))))))))))))))))</f>
        <v/>
      </c>
      <c r="K39" s="37" t="n"/>
      <c r="L39" s="37" t="n"/>
      <c r="M39" s="40" t="n"/>
      <c r="N39" s="40" t="n"/>
      <c r="O39" s="40" t="n"/>
    </row>
    <row r="40">
      <c r="A40" s="38" t="n"/>
      <c r="B40" s="38" t="n"/>
      <c r="C40" s="38" t="n"/>
      <c r="D40" s="38" t="n"/>
      <c r="E40" s="38" t="n"/>
      <c r="F40" s="39" t="n"/>
      <c r="G40" s="38" t="n"/>
      <c r="H40" s="39" t="n"/>
      <c r="I40" s="38" t="n"/>
      <c r="J40" s="22">
        <f>IF(COUNTA(A40:I40,K40:O40)=0,"",IF(OR(A40="",B40="",C40=""),"ID / parent missing",IF(COUNTIF($A$4:$A$553,A40)&gt;1,"Duplicate condition ID",IF(COUNTIF('Gate events'!$A$4:$A$553,B40)=0,"Event ID not found",IF(INDEX('Gate events'!$B$4:$B$553,MATCH(B40,'Gate events'!$A$4:$A$553,0))&lt;&gt;C40,"AIR-ID differs from event",IF(IF(INDEX('Gate events'!$P$4:$P$553,MATCH(B40,'Gate events'!$A$4:$A$553,0))="UC-ID specific",IF(OR(L40&lt;&gt;"UC-ID specific",K40=""),"Condition UC-ID required",IF(ISNUMBER(SEARCH(","&amp;SUBSTITUTE(K40," ","")&amp;",",","&amp;SUBSTITUTE(INDEX('Gate events'!$O$4:$O$553,MATCH(B40,'Gate events'!$A$4:$A$553,0))," ","")&amp;",")),"","UC-ID differs from decision")),IF(INDEX('Gate events'!$P$4:$P$553,MATCH(B40,'Gate events'!$A$4:$A$553,0))="Shared system baseline",IF(OR(L40&lt;&gt;"Shared system baseline",K40&lt;&gt;""),"Condition scope differs from decision",""),"Parent decision scope missing"))&lt;&gt;"",IF(INDEX('Gate events'!$P$4:$P$553,MATCH(B40,'Gate events'!$A$4:$A$553,0))="UC-ID specific",IF(OR(L40&lt;&gt;"UC-ID specific",K40=""),"Condition UC-ID required",IF(ISNUMBER(SEARCH(","&amp;SUBSTITUTE(K40," ","")&amp;",",","&amp;SUBSTITUTE(INDEX('Gate events'!$O$4:$O$553,MATCH(B40,'Gate events'!$A$4:$A$553,0))," ","")&amp;",")),"","UC-ID differs from decision")),IF(INDEX('Gate events'!$P$4:$P$553,MATCH(B40,'Gate events'!$A$4:$A$553,0))="Shared system baseline",IF(OR(L40&lt;&gt;"Shared system baseline",K40&lt;&gt;""),"Condition scope differs from decision",""),"Parent decision scope missing")),IF(OR(D40="",E40="",F40="",G40=""),"Condition, owner, due date or state missing",IF(NOT(ISNUMBER(F40)),"Due date is not a date",IF(OR(G40="Overdue",G40="Superseded"),"Legacy state — owner review (use the shared five states)",IF(INDEX('Gate events'!$E$4:$E$553,MATCH(B40,'Gate events'!$A$4:$A$553,0))&lt;&gt;"Decision","Parent event is not a Decision",IF(AND(INDEX('Gate events'!$G$4:$G$553,MATCH(B40,'Gate events'!$A$4:$A$553,0))&lt;&gt;"Progress with condition",INDEX('Gate events'!$G$4:$G$553,MATCH(B40,'Gate events'!$A$4:$A$553,0))&lt;&gt;"Re-authorise",INDEX('Gate events'!$G$4:$G$553,MATCH(B40,'Gate events'!$A$4:$A$553,0))&lt;&gt;"Resume"),"Parent outcome is not Progress with condition / Re-authorise / Resume",IF(AND(ISNUMBER(INDEX('Gate events'!$F$4:$F$553,MATCH(B40,'Gate events'!$A$4:$A$553,0))),F40&lt;INDEX('Gate events'!$F$4:$F$553,MATCH(B40,'Gate events'!$A$4:$A$553,0))),"Due date before parent event date",IF(AND(OR(G40="Closed-verified",G40="Waived",G40="Accepted-open"),OR(H40="",I40="")),"Closure evidence missing",IF(AND(H40&lt;&gt;"",NOT(ISNUMBER(H40))),"Closed / waived on is not a date",IF(AND(ISNUMBER(H40),ISNUMBER(INDEX('Gate events'!$F$4:$F$553,MATCH(B40,'Gate events'!$A$4:$A$553,0))),H40&lt;INDEX('Gate events'!$F$4:$F$553,MATCH(B40,'Gate events'!$A$4:$A$553,0))),"Closure date before parent event date",IF(AND(G40="Closed-verified",M40=""),"Verifier / date missing",IF(AND(N40="Yes",G40="Closed-verified",O40=""),"Monitoring condition needs AIG-OPS-02 evidence ref",IF(AND(G40="Open",F40&lt;TODAY()),"OVERDUE (derived) — review",IF(G40="Unknown","State Unknown: owner to confirm","Check against source")))))))))))))))))))</f>
        <v/>
      </c>
      <c r="K40" s="37" t="n"/>
      <c r="L40" s="37" t="n"/>
      <c r="M40" s="38" t="n"/>
      <c r="N40" s="38" t="n"/>
      <c r="O40" s="38" t="n"/>
    </row>
    <row r="41">
      <c r="A41" s="40" t="n"/>
      <c r="B41" s="40" t="n"/>
      <c r="C41" s="40" t="n"/>
      <c r="D41" s="40" t="n"/>
      <c r="E41" s="40" t="n"/>
      <c r="F41" s="41" t="n"/>
      <c r="G41" s="40" t="n"/>
      <c r="H41" s="41" t="n"/>
      <c r="I41" s="40" t="n"/>
      <c r="J41" s="24">
        <f>IF(COUNTA(A41:I41,K41:O41)=0,"",IF(OR(A41="",B41="",C41=""),"ID / parent missing",IF(COUNTIF($A$4:$A$553,A41)&gt;1,"Duplicate condition ID",IF(COUNTIF('Gate events'!$A$4:$A$553,B41)=0,"Event ID not found",IF(INDEX('Gate events'!$B$4:$B$553,MATCH(B41,'Gate events'!$A$4:$A$553,0))&lt;&gt;C41,"AIR-ID differs from event",IF(IF(INDEX('Gate events'!$P$4:$P$553,MATCH(B41,'Gate events'!$A$4:$A$553,0))="UC-ID specific",IF(OR(L41&lt;&gt;"UC-ID specific",K41=""),"Condition UC-ID required",IF(ISNUMBER(SEARCH(","&amp;SUBSTITUTE(K41," ","")&amp;",",","&amp;SUBSTITUTE(INDEX('Gate events'!$O$4:$O$553,MATCH(B41,'Gate events'!$A$4:$A$553,0))," ","")&amp;",")),"","UC-ID differs from decision")),IF(INDEX('Gate events'!$P$4:$P$553,MATCH(B41,'Gate events'!$A$4:$A$553,0))="Shared system baseline",IF(OR(L41&lt;&gt;"Shared system baseline",K41&lt;&gt;""),"Condition scope differs from decision",""),"Parent decision scope missing"))&lt;&gt;"",IF(INDEX('Gate events'!$P$4:$P$553,MATCH(B41,'Gate events'!$A$4:$A$553,0))="UC-ID specific",IF(OR(L41&lt;&gt;"UC-ID specific",K41=""),"Condition UC-ID required",IF(ISNUMBER(SEARCH(","&amp;SUBSTITUTE(K41," ","")&amp;",",","&amp;SUBSTITUTE(INDEX('Gate events'!$O$4:$O$553,MATCH(B41,'Gate events'!$A$4:$A$553,0))," ","")&amp;",")),"","UC-ID differs from decision")),IF(INDEX('Gate events'!$P$4:$P$553,MATCH(B41,'Gate events'!$A$4:$A$553,0))="Shared system baseline",IF(OR(L41&lt;&gt;"Shared system baseline",K41&lt;&gt;""),"Condition scope differs from decision",""),"Parent decision scope missing")),IF(OR(D41="",E41="",F41="",G41=""),"Condition, owner, due date or state missing",IF(NOT(ISNUMBER(F41)),"Due date is not a date",IF(OR(G41="Overdue",G41="Superseded"),"Legacy state — owner review (use the shared five states)",IF(INDEX('Gate events'!$E$4:$E$553,MATCH(B41,'Gate events'!$A$4:$A$553,0))&lt;&gt;"Decision","Parent event is not a Decision",IF(AND(INDEX('Gate events'!$G$4:$G$553,MATCH(B41,'Gate events'!$A$4:$A$553,0))&lt;&gt;"Progress with condition",INDEX('Gate events'!$G$4:$G$553,MATCH(B41,'Gate events'!$A$4:$A$553,0))&lt;&gt;"Re-authorise",INDEX('Gate events'!$G$4:$G$553,MATCH(B41,'Gate events'!$A$4:$A$553,0))&lt;&gt;"Resume"),"Parent outcome is not Progress with condition / Re-authorise / Resume",IF(AND(ISNUMBER(INDEX('Gate events'!$F$4:$F$553,MATCH(B41,'Gate events'!$A$4:$A$553,0))),F41&lt;INDEX('Gate events'!$F$4:$F$553,MATCH(B41,'Gate events'!$A$4:$A$553,0))),"Due date before parent event date",IF(AND(OR(G41="Closed-verified",G41="Waived",G41="Accepted-open"),OR(H41="",I41="")),"Closure evidence missing",IF(AND(H41&lt;&gt;"",NOT(ISNUMBER(H41))),"Closed / waived on is not a date",IF(AND(ISNUMBER(H41),ISNUMBER(INDEX('Gate events'!$F$4:$F$553,MATCH(B41,'Gate events'!$A$4:$A$553,0))),H41&lt;INDEX('Gate events'!$F$4:$F$553,MATCH(B41,'Gate events'!$A$4:$A$553,0))),"Closure date before parent event date",IF(AND(G41="Closed-verified",M41=""),"Verifier / date missing",IF(AND(N41="Yes",G41="Closed-verified",O41=""),"Monitoring condition needs AIG-OPS-02 evidence ref",IF(AND(G41="Open",F41&lt;TODAY()),"OVERDUE (derived) — review",IF(G41="Unknown","State Unknown: owner to confirm","Check against source")))))))))))))))))))</f>
        <v/>
      </c>
      <c r="K41" s="37" t="n"/>
      <c r="L41" s="37" t="n"/>
      <c r="M41" s="40" t="n"/>
      <c r="N41" s="40" t="n"/>
      <c r="O41" s="40" t="n"/>
    </row>
    <row r="42">
      <c r="A42" s="38" t="n"/>
      <c r="B42" s="38" t="n"/>
      <c r="C42" s="38" t="n"/>
      <c r="D42" s="38" t="n"/>
      <c r="E42" s="38" t="n"/>
      <c r="F42" s="39" t="n"/>
      <c r="G42" s="38" t="n"/>
      <c r="H42" s="39" t="n"/>
      <c r="I42" s="38" t="n"/>
      <c r="J42" s="22">
        <f>IF(COUNTA(A42:I42,K42:O42)=0,"",IF(OR(A42="",B42="",C42=""),"ID / parent missing",IF(COUNTIF($A$4:$A$553,A42)&gt;1,"Duplicate condition ID",IF(COUNTIF('Gate events'!$A$4:$A$553,B42)=0,"Event ID not found",IF(INDEX('Gate events'!$B$4:$B$553,MATCH(B42,'Gate events'!$A$4:$A$553,0))&lt;&gt;C42,"AIR-ID differs from event",IF(IF(INDEX('Gate events'!$P$4:$P$553,MATCH(B42,'Gate events'!$A$4:$A$553,0))="UC-ID specific",IF(OR(L42&lt;&gt;"UC-ID specific",K42=""),"Condition UC-ID required",IF(ISNUMBER(SEARCH(","&amp;SUBSTITUTE(K42," ","")&amp;",",","&amp;SUBSTITUTE(INDEX('Gate events'!$O$4:$O$553,MATCH(B42,'Gate events'!$A$4:$A$553,0))," ","")&amp;",")),"","UC-ID differs from decision")),IF(INDEX('Gate events'!$P$4:$P$553,MATCH(B42,'Gate events'!$A$4:$A$553,0))="Shared system baseline",IF(OR(L42&lt;&gt;"Shared system baseline",K42&lt;&gt;""),"Condition scope differs from decision",""),"Parent decision scope missing"))&lt;&gt;"",IF(INDEX('Gate events'!$P$4:$P$553,MATCH(B42,'Gate events'!$A$4:$A$553,0))="UC-ID specific",IF(OR(L42&lt;&gt;"UC-ID specific",K42=""),"Condition UC-ID required",IF(ISNUMBER(SEARCH(","&amp;SUBSTITUTE(K42," ","")&amp;",",","&amp;SUBSTITUTE(INDEX('Gate events'!$O$4:$O$553,MATCH(B42,'Gate events'!$A$4:$A$553,0))," ","")&amp;",")),"","UC-ID differs from decision")),IF(INDEX('Gate events'!$P$4:$P$553,MATCH(B42,'Gate events'!$A$4:$A$553,0))="Shared system baseline",IF(OR(L42&lt;&gt;"Shared system baseline",K42&lt;&gt;""),"Condition scope differs from decision",""),"Parent decision scope missing")),IF(OR(D42="",E42="",F42="",G42=""),"Condition, owner, due date or state missing",IF(NOT(ISNUMBER(F42)),"Due date is not a date",IF(OR(G42="Overdue",G42="Superseded"),"Legacy state — owner review (use the shared five states)",IF(INDEX('Gate events'!$E$4:$E$553,MATCH(B42,'Gate events'!$A$4:$A$553,0))&lt;&gt;"Decision","Parent event is not a Decision",IF(AND(INDEX('Gate events'!$G$4:$G$553,MATCH(B42,'Gate events'!$A$4:$A$553,0))&lt;&gt;"Progress with condition",INDEX('Gate events'!$G$4:$G$553,MATCH(B42,'Gate events'!$A$4:$A$553,0))&lt;&gt;"Re-authorise",INDEX('Gate events'!$G$4:$G$553,MATCH(B42,'Gate events'!$A$4:$A$553,0))&lt;&gt;"Resume"),"Parent outcome is not Progress with condition / Re-authorise / Resume",IF(AND(ISNUMBER(INDEX('Gate events'!$F$4:$F$553,MATCH(B42,'Gate events'!$A$4:$A$553,0))),F42&lt;INDEX('Gate events'!$F$4:$F$553,MATCH(B42,'Gate events'!$A$4:$A$553,0))),"Due date before parent event date",IF(AND(OR(G42="Closed-verified",G42="Waived",G42="Accepted-open"),OR(H42="",I42="")),"Closure evidence missing",IF(AND(H42&lt;&gt;"",NOT(ISNUMBER(H42))),"Closed / waived on is not a date",IF(AND(ISNUMBER(H42),ISNUMBER(INDEX('Gate events'!$F$4:$F$553,MATCH(B42,'Gate events'!$A$4:$A$553,0))),H42&lt;INDEX('Gate events'!$F$4:$F$553,MATCH(B42,'Gate events'!$A$4:$A$553,0))),"Closure date before parent event date",IF(AND(G42="Closed-verified",M42=""),"Verifier / date missing",IF(AND(N42="Yes",G42="Closed-verified",O42=""),"Monitoring condition needs AIG-OPS-02 evidence ref",IF(AND(G42="Open",F42&lt;TODAY()),"OVERDUE (derived) — review",IF(G42="Unknown","State Unknown: owner to confirm","Check against source")))))))))))))))))))</f>
        <v/>
      </c>
      <c r="K42" s="37" t="n"/>
      <c r="L42" s="37" t="n"/>
      <c r="M42" s="38" t="n"/>
      <c r="N42" s="38" t="n"/>
      <c r="O42" s="38" t="n"/>
    </row>
    <row r="43">
      <c r="A43" s="40" t="n"/>
      <c r="B43" s="40" t="n"/>
      <c r="C43" s="40" t="n"/>
      <c r="D43" s="40" t="n"/>
      <c r="E43" s="40" t="n"/>
      <c r="F43" s="41" t="n"/>
      <c r="G43" s="40" t="n"/>
      <c r="H43" s="41" t="n"/>
      <c r="I43" s="40" t="n"/>
      <c r="J43" s="24">
        <f>IF(COUNTA(A43:I43,K43:O43)=0,"",IF(OR(A43="",B43="",C43=""),"ID / parent missing",IF(COUNTIF($A$4:$A$553,A43)&gt;1,"Duplicate condition ID",IF(COUNTIF('Gate events'!$A$4:$A$553,B43)=0,"Event ID not found",IF(INDEX('Gate events'!$B$4:$B$553,MATCH(B43,'Gate events'!$A$4:$A$553,0))&lt;&gt;C43,"AIR-ID differs from event",IF(IF(INDEX('Gate events'!$P$4:$P$553,MATCH(B43,'Gate events'!$A$4:$A$553,0))="UC-ID specific",IF(OR(L43&lt;&gt;"UC-ID specific",K43=""),"Condition UC-ID required",IF(ISNUMBER(SEARCH(","&amp;SUBSTITUTE(K43," ","")&amp;",",","&amp;SUBSTITUTE(INDEX('Gate events'!$O$4:$O$553,MATCH(B43,'Gate events'!$A$4:$A$553,0))," ","")&amp;",")),"","UC-ID differs from decision")),IF(INDEX('Gate events'!$P$4:$P$553,MATCH(B43,'Gate events'!$A$4:$A$553,0))="Shared system baseline",IF(OR(L43&lt;&gt;"Shared system baseline",K43&lt;&gt;""),"Condition scope differs from decision",""),"Parent decision scope missing"))&lt;&gt;"",IF(INDEX('Gate events'!$P$4:$P$553,MATCH(B43,'Gate events'!$A$4:$A$553,0))="UC-ID specific",IF(OR(L43&lt;&gt;"UC-ID specific",K43=""),"Condition UC-ID required",IF(ISNUMBER(SEARCH(","&amp;SUBSTITUTE(K43," ","")&amp;",",","&amp;SUBSTITUTE(INDEX('Gate events'!$O$4:$O$553,MATCH(B43,'Gate events'!$A$4:$A$553,0))," ","")&amp;",")),"","UC-ID differs from decision")),IF(INDEX('Gate events'!$P$4:$P$553,MATCH(B43,'Gate events'!$A$4:$A$553,0))="Shared system baseline",IF(OR(L43&lt;&gt;"Shared system baseline",K43&lt;&gt;""),"Condition scope differs from decision",""),"Parent decision scope missing")),IF(OR(D43="",E43="",F43="",G43=""),"Condition, owner, due date or state missing",IF(NOT(ISNUMBER(F43)),"Due date is not a date",IF(OR(G43="Overdue",G43="Superseded"),"Legacy state — owner review (use the shared five states)",IF(INDEX('Gate events'!$E$4:$E$553,MATCH(B43,'Gate events'!$A$4:$A$553,0))&lt;&gt;"Decision","Parent event is not a Decision",IF(AND(INDEX('Gate events'!$G$4:$G$553,MATCH(B43,'Gate events'!$A$4:$A$553,0))&lt;&gt;"Progress with condition",INDEX('Gate events'!$G$4:$G$553,MATCH(B43,'Gate events'!$A$4:$A$553,0))&lt;&gt;"Re-authorise",INDEX('Gate events'!$G$4:$G$553,MATCH(B43,'Gate events'!$A$4:$A$553,0))&lt;&gt;"Resume"),"Parent outcome is not Progress with condition / Re-authorise / Resume",IF(AND(ISNUMBER(INDEX('Gate events'!$F$4:$F$553,MATCH(B43,'Gate events'!$A$4:$A$553,0))),F43&lt;INDEX('Gate events'!$F$4:$F$553,MATCH(B43,'Gate events'!$A$4:$A$553,0))),"Due date before parent event date",IF(AND(OR(G43="Closed-verified",G43="Waived",G43="Accepted-open"),OR(H43="",I43="")),"Closure evidence missing",IF(AND(H43&lt;&gt;"",NOT(ISNUMBER(H43))),"Closed / waived on is not a date",IF(AND(ISNUMBER(H43),ISNUMBER(INDEX('Gate events'!$F$4:$F$553,MATCH(B43,'Gate events'!$A$4:$A$553,0))),H43&lt;INDEX('Gate events'!$F$4:$F$553,MATCH(B43,'Gate events'!$A$4:$A$553,0))),"Closure date before parent event date",IF(AND(G43="Closed-verified",M43=""),"Verifier / date missing",IF(AND(N43="Yes",G43="Closed-verified",O43=""),"Monitoring condition needs AIG-OPS-02 evidence ref",IF(AND(G43="Open",F43&lt;TODAY()),"OVERDUE (derived) — review",IF(G43="Unknown","State Unknown: owner to confirm","Check against source")))))))))))))))))))</f>
        <v/>
      </c>
      <c r="K43" s="37" t="n"/>
      <c r="L43" s="37" t="n"/>
      <c r="M43" s="40" t="n"/>
      <c r="N43" s="40" t="n"/>
      <c r="O43" s="40" t="n"/>
    </row>
    <row r="44">
      <c r="A44" s="38" t="n"/>
      <c r="B44" s="38" t="n"/>
      <c r="C44" s="38" t="n"/>
      <c r="D44" s="38" t="n"/>
      <c r="E44" s="38" t="n"/>
      <c r="F44" s="39" t="n"/>
      <c r="G44" s="38" t="n"/>
      <c r="H44" s="39" t="n"/>
      <c r="I44" s="38" t="n"/>
      <c r="J44" s="22">
        <f>IF(COUNTA(A44:I44,K44:O44)=0,"",IF(OR(A44="",B44="",C44=""),"ID / parent missing",IF(COUNTIF($A$4:$A$553,A44)&gt;1,"Duplicate condition ID",IF(COUNTIF('Gate events'!$A$4:$A$553,B44)=0,"Event ID not found",IF(INDEX('Gate events'!$B$4:$B$553,MATCH(B44,'Gate events'!$A$4:$A$553,0))&lt;&gt;C44,"AIR-ID differs from event",IF(IF(INDEX('Gate events'!$P$4:$P$553,MATCH(B44,'Gate events'!$A$4:$A$553,0))="UC-ID specific",IF(OR(L44&lt;&gt;"UC-ID specific",K44=""),"Condition UC-ID required",IF(ISNUMBER(SEARCH(","&amp;SUBSTITUTE(K44," ","")&amp;",",","&amp;SUBSTITUTE(INDEX('Gate events'!$O$4:$O$553,MATCH(B44,'Gate events'!$A$4:$A$553,0))," ","")&amp;",")),"","UC-ID differs from decision")),IF(INDEX('Gate events'!$P$4:$P$553,MATCH(B44,'Gate events'!$A$4:$A$553,0))="Shared system baseline",IF(OR(L44&lt;&gt;"Shared system baseline",K44&lt;&gt;""),"Condition scope differs from decision",""),"Parent decision scope missing"))&lt;&gt;"",IF(INDEX('Gate events'!$P$4:$P$553,MATCH(B44,'Gate events'!$A$4:$A$553,0))="UC-ID specific",IF(OR(L44&lt;&gt;"UC-ID specific",K44=""),"Condition UC-ID required",IF(ISNUMBER(SEARCH(","&amp;SUBSTITUTE(K44," ","")&amp;",",","&amp;SUBSTITUTE(INDEX('Gate events'!$O$4:$O$553,MATCH(B44,'Gate events'!$A$4:$A$553,0))," ","")&amp;",")),"","UC-ID differs from decision")),IF(INDEX('Gate events'!$P$4:$P$553,MATCH(B44,'Gate events'!$A$4:$A$553,0))="Shared system baseline",IF(OR(L44&lt;&gt;"Shared system baseline",K44&lt;&gt;""),"Condition scope differs from decision",""),"Parent decision scope missing")),IF(OR(D44="",E44="",F44="",G44=""),"Condition, owner, due date or state missing",IF(NOT(ISNUMBER(F44)),"Due date is not a date",IF(OR(G44="Overdue",G44="Superseded"),"Legacy state — owner review (use the shared five states)",IF(INDEX('Gate events'!$E$4:$E$553,MATCH(B44,'Gate events'!$A$4:$A$553,0))&lt;&gt;"Decision","Parent event is not a Decision",IF(AND(INDEX('Gate events'!$G$4:$G$553,MATCH(B44,'Gate events'!$A$4:$A$553,0))&lt;&gt;"Progress with condition",INDEX('Gate events'!$G$4:$G$553,MATCH(B44,'Gate events'!$A$4:$A$553,0))&lt;&gt;"Re-authorise",INDEX('Gate events'!$G$4:$G$553,MATCH(B44,'Gate events'!$A$4:$A$553,0))&lt;&gt;"Resume"),"Parent outcome is not Progress with condition / Re-authorise / Resume",IF(AND(ISNUMBER(INDEX('Gate events'!$F$4:$F$553,MATCH(B44,'Gate events'!$A$4:$A$553,0))),F44&lt;INDEX('Gate events'!$F$4:$F$553,MATCH(B44,'Gate events'!$A$4:$A$553,0))),"Due date before parent event date",IF(AND(OR(G44="Closed-verified",G44="Waived",G44="Accepted-open"),OR(H44="",I44="")),"Closure evidence missing",IF(AND(H44&lt;&gt;"",NOT(ISNUMBER(H44))),"Closed / waived on is not a date",IF(AND(ISNUMBER(H44),ISNUMBER(INDEX('Gate events'!$F$4:$F$553,MATCH(B44,'Gate events'!$A$4:$A$553,0))),H44&lt;INDEX('Gate events'!$F$4:$F$553,MATCH(B44,'Gate events'!$A$4:$A$553,0))),"Closure date before parent event date",IF(AND(G44="Closed-verified",M44=""),"Verifier / date missing",IF(AND(N44="Yes",G44="Closed-verified",O44=""),"Monitoring condition needs AIG-OPS-02 evidence ref",IF(AND(G44="Open",F44&lt;TODAY()),"OVERDUE (derived) — review",IF(G44="Unknown","State Unknown: owner to confirm","Check against source")))))))))))))))))))</f>
        <v/>
      </c>
      <c r="K44" s="37" t="n"/>
      <c r="L44" s="37" t="n"/>
      <c r="M44" s="38" t="n"/>
      <c r="N44" s="38" t="n"/>
      <c r="O44" s="38" t="n"/>
    </row>
    <row r="45">
      <c r="A45" s="40" t="n"/>
      <c r="B45" s="40" t="n"/>
      <c r="C45" s="40" t="n"/>
      <c r="D45" s="40" t="n"/>
      <c r="E45" s="40" t="n"/>
      <c r="F45" s="41" t="n"/>
      <c r="G45" s="40" t="n"/>
      <c r="H45" s="41" t="n"/>
      <c r="I45" s="40" t="n"/>
      <c r="J45" s="24">
        <f>IF(COUNTA(A45:I45,K45:O45)=0,"",IF(OR(A45="",B45="",C45=""),"ID / parent missing",IF(COUNTIF($A$4:$A$553,A45)&gt;1,"Duplicate condition ID",IF(COUNTIF('Gate events'!$A$4:$A$553,B45)=0,"Event ID not found",IF(INDEX('Gate events'!$B$4:$B$553,MATCH(B45,'Gate events'!$A$4:$A$553,0))&lt;&gt;C45,"AIR-ID differs from event",IF(IF(INDEX('Gate events'!$P$4:$P$553,MATCH(B45,'Gate events'!$A$4:$A$553,0))="UC-ID specific",IF(OR(L45&lt;&gt;"UC-ID specific",K45=""),"Condition UC-ID required",IF(ISNUMBER(SEARCH(","&amp;SUBSTITUTE(K45," ","")&amp;",",","&amp;SUBSTITUTE(INDEX('Gate events'!$O$4:$O$553,MATCH(B45,'Gate events'!$A$4:$A$553,0))," ","")&amp;",")),"","UC-ID differs from decision")),IF(INDEX('Gate events'!$P$4:$P$553,MATCH(B45,'Gate events'!$A$4:$A$553,0))="Shared system baseline",IF(OR(L45&lt;&gt;"Shared system baseline",K45&lt;&gt;""),"Condition scope differs from decision",""),"Parent decision scope missing"))&lt;&gt;"",IF(INDEX('Gate events'!$P$4:$P$553,MATCH(B45,'Gate events'!$A$4:$A$553,0))="UC-ID specific",IF(OR(L45&lt;&gt;"UC-ID specific",K45=""),"Condition UC-ID required",IF(ISNUMBER(SEARCH(","&amp;SUBSTITUTE(K45," ","")&amp;",",","&amp;SUBSTITUTE(INDEX('Gate events'!$O$4:$O$553,MATCH(B45,'Gate events'!$A$4:$A$553,0))," ","")&amp;",")),"","UC-ID differs from decision")),IF(INDEX('Gate events'!$P$4:$P$553,MATCH(B45,'Gate events'!$A$4:$A$553,0))="Shared system baseline",IF(OR(L45&lt;&gt;"Shared system baseline",K45&lt;&gt;""),"Condition scope differs from decision",""),"Parent decision scope missing")),IF(OR(D45="",E45="",F45="",G45=""),"Condition, owner, due date or state missing",IF(NOT(ISNUMBER(F45)),"Due date is not a date",IF(OR(G45="Overdue",G45="Superseded"),"Legacy state — owner review (use the shared five states)",IF(INDEX('Gate events'!$E$4:$E$553,MATCH(B45,'Gate events'!$A$4:$A$553,0))&lt;&gt;"Decision","Parent event is not a Decision",IF(AND(INDEX('Gate events'!$G$4:$G$553,MATCH(B45,'Gate events'!$A$4:$A$553,0))&lt;&gt;"Progress with condition",INDEX('Gate events'!$G$4:$G$553,MATCH(B45,'Gate events'!$A$4:$A$553,0))&lt;&gt;"Re-authorise",INDEX('Gate events'!$G$4:$G$553,MATCH(B45,'Gate events'!$A$4:$A$553,0))&lt;&gt;"Resume"),"Parent outcome is not Progress with condition / Re-authorise / Resume",IF(AND(ISNUMBER(INDEX('Gate events'!$F$4:$F$553,MATCH(B45,'Gate events'!$A$4:$A$553,0))),F45&lt;INDEX('Gate events'!$F$4:$F$553,MATCH(B45,'Gate events'!$A$4:$A$553,0))),"Due date before parent event date",IF(AND(OR(G45="Closed-verified",G45="Waived",G45="Accepted-open"),OR(H45="",I45="")),"Closure evidence missing",IF(AND(H45&lt;&gt;"",NOT(ISNUMBER(H45))),"Closed / waived on is not a date",IF(AND(ISNUMBER(H45),ISNUMBER(INDEX('Gate events'!$F$4:$F$553,MATCH(B45,'Gate events'!$A$4:$A$553,0))),H45&lt;INDEX('Gate events'!$F$4:$F$553,MATCH(B45,'Gate events'!$A$4:$A$553,0))),"Closure date before parent event date",IF(AND(G45="Closed-verified",M45=""),"Verifier / date missing",IF(AND(N45="Yes",G45="Closed-verified",O45=""),"Monitoring condition needs AIG-OPS-02 evidence ref",IF(AND(G45="Open",F45&lt;TODAY()),"OVERDUE (derived) — review",IF(G45="Unknown","State Unknown: owner to confirm","Check against source")))))))))))))))))))</f>
        <v/>
      </c>
      <c r="K45" s="37" t="n"/>
      <c r="L45" s="37" t="n"/>
      <c r="M45" s="40" t="n"/>
      <c r="N45" s="40" t="n"/>
      <c r="O45" s="40" t="n"/>
    </row>
    <row r="46">
      <c r="A46" s="38" t="n"/>
      <c r="B46" s="38" t="n"/>
      <c r="C46" s="38" t="n"/>
      <c r="D46" s="38" t="n"/>
      <c r="E46" s="38" t="n"/>
      <c r="F46" s="39" t="n"/>
      <c r="G46" s="38" t="n"/>
      <c r="H46" s="39" t="n"/>
      <c r="I46" s="38" t="n"/>
      <c r="J46" s="22">
        <f>IF(COUNTA(A46:I46,K46:O46)=0,"",IF(OR(A46="",B46="",C46=""),"ID / parent missing",IF(COUNTIF($A$4:$A$553,A46)&gt;1,"Duplicate condition ID",IF(COUNTIF('Gate events'!$A$4:$A$553,B46)=0,"Event ID not found",IF(INDEX('Gate events'!$B$4:$B$553,MATCH(B46,'Gate events'!$A$4:$A$553,0))&lt;&gt;C46,"AIR-ID differs from event",IF(IF(INDEX('Gate events'!$P$4:$P$553,MATCH(B46,'Gate events'!$A$4:$A$553,0))="UC-ID specific",IF(OR(L46&lt;&gt;"UC-ID specific",K46=""),"Condition UC-ID required",IF(ISNUMBER(SEARCH(","&amp;SUBSTITUTE(K46," ","")&amp;",",","&amp;SUBSTITUTE(INDEX('Gate events'!$O$4:$O$553,MATCH(B46,'Gate events'!$A$4:$A$553,0))," ","")&amp;",")),"","UC-ID differs from decision")),IF(INDEX('Gate events'!$P$4:$P$553,MATCH(B46,'Gate events'!$A$4:$A$553,0))="Shared system baseline",IF(OR(L46&lt;&gt;"Shared system baseline",K46&lt;&gt;""),"Condition scope differs from decision",""),"Parent decision scope missing"))&lt;&gt;"",IF(INDEX('Gate events'!$P$4:$P$553,MATCH(B46,'Gate events'!$A$4:$A$553,0))="UC-ID specific",IF(OR(L46&lt;&gt;"UC-ID specific",K46=""),"Condition UC-ID required",IF(ISNUMBER(SEARCH(","&amp;SUBSTITUTE(K46," ","")&amp;",",","&amp;SUBSTITUTE(INDEX('Gate events'!$O$4:$O$553,MATCH(B46,'Gate events'!$A$4:$A$553,0))," ","")&amp;",")),"","UC-ID differs from decision")),IF(INDEX('Gate events'!$P$4:$P$553,MATCH(B46,'Gate events'!$A$4:$A$553,0))="Shared system baseline",IF(OR(L46&lt;&gt;"Shared system baseline",K46&lt;&gt;""),"Condition scope differs from decision",""),"Parent decision scope missing")),IF(OR(D46="",E46="",F46="",G46=""),"Condition, owner, due date or state missing",IF(NOT(ISNUMBER(F46)),"Due date is not a date",IF(OR(G46="Overdue",G46="Superseded"),"Legacy state — owner review (use the shared five states)",IF(INDEX('Gate events'!$E$4:$E$553,MATCH(B46,'Gate events'!$A$4:$A$553,0))&lt;&gt;"Decision","Parent event is not a Decision",IF(AND(INDEX('Gate events'!$G$4:$G$553,MATCH(B46,'Gate events'!$A$4:$A$553,0))&lt;&gt;"Progress with condition",INDEX('Gate events'!$G$4:$G$553,MATCH(B46,'Gate events'!$A$4:$A$553,0))&lt;&gt;"Re-authorise",INDEX('Gate events'!$G$4:$G$553,MATCH(B46,'Gate events'!$A$4:$A$553,0))&lt;&gt;"Resume"),"Parent outcome is not Progress with condition / Re-authorise / Resume",IF(AND(ISNUMBER(INDEX('Gate events'!$F$4:$F$553,MATCH(B46,'Gate events'!$A$4:$A$553,0))),F46&lt;INDEX('Gate events'!$F$4:$F$553,MATCH(B46,'Gate events'!$A$4:$A$553,0))),"Due date before parent event date",IF(AND(OR(G46="Closed-verified",G46="Waived",G46="Accepted-open"),OR(H46="",I46="")),"Closure evidence missing",IF(AND(H46&lt;&gt;"",NOT(ISNUMBER(H46))),"Closed / waived on is not a date",IF(AND(ISNUMBER(H46),ISNUMBER(INDEX('Gate events'!$F$4:$F$553,MATCH(B46,'Gate events'!$A$4:$A$553,0))),H46&lt;INDEX('Gate events'!$F$4:$F$553,MATCH(B46,'Gate events'!$A$4:$A$553,0))),"Closure date before parent event date",IF(AND(G46="Closed-verified",M46=""),"Verifier / date missing",IF(AND(N46="Yes",G46="Closed-verified",O46=""),"Monitoring condition needs AIG-OPS-02 evidence ref",IF(AND(G46="Open",F46&lt;TODAY()),"OVERDUE (derived) — review",IF(G46="Unknown","State Unknown: owner to confirm","Check against source")))))))))))))))))))</f>
        <v/>
      </c>
      <c r="K46" s="37" t="n"/>
      <c r="L46" s="37" t="n"/>
      <c r="M46" s="38" t="n"/>
      <c r="N46" s="38" t="n"/>
      <c r="O46" s="38" t="n"/>
    </row>
    <row r="47">
      <c r="A47" s="40" t="n"/>
      <c r="B47" s="40" t="n"/>
      <c r="C47" s="40" t="n"/>
      <c r="D47" s="40" t="n"/>
      <c r="E47" s="40" t="n"/>
      <c r="F47" s="41" t="n"/>
      <c r="G47" s="40" t="n"/>
      <c r="H47" s="41" t="n"/>
      <c r="I47" s="40" t="n"/>
      <c r="J47" s="24">
        <f>IF(COUNTA(A47:I47,K47:O47)=0,"",IF(OR(A47="",B47="",C47=""),"ID / parent missing",IF(COUNTIF($A$4:$A$553,A47)&gt;1,"Duplicate condition ID",IF(COUNTIF('Gate events'!$A$4:$A$553,B47)=0,"Event ID not found",IF(INDEX('Gate events'!$B$4:$B$553,MATCH(B47,'Gate events'!$A$4:$A$553,0))&lt;&gt;C47,"AIR-ID differs from event",IF(IF(INDEX('Gate events'!$P$4:$P$553,MATCH(B47,'Gate events'!$A$4:$A$553,0))="UC-ID specific",IF(OR(L47&lt;&gt;"UC-ID specific",K47=""),"Condition UC-ID required",IF(ISNUMBER(SEARCH(","&amp;SUBSTITUTE(K47," ","")&amp;",",","&amp;SUBSTITUTE(INDEX('Gate events'!$O$4:$O$553,MATCH(B47,'Gate events'!$A$4:$A$553,0))," ","")&amp;",")),"","UC-ID differs from decision")),IF(INDEX('Gate events'!$P$4:$P$553,MATCH(B47,'Gate events'!$A$4:$A$553,0))="Shared system baseline",IF(OR(L47&lt;&gt;"Shared system baseline",K47&lt;&gt;""),"Condition scope differs from decision",""),"Parent decision scope missing"))&lt;&gt;"",IF(INDEX('Gate events'!$P$4:$P$553,MATCH(B47,'Gate events'!$A$4:$A$553,0))="UC-ID specific",IF(OR(L47&lt;&gt;"UC-ID specific",K47=""),"Condition UC-ID required",IF(ISNUMBER(SEARCH(","&amp;SUBSTITUTE(K47," ","")&amp;",",","&amp;SUBSTITUTE(INDEX('Gate events'!$O$4:$O$553,MATCH(B47,'Gate events'!$A$4:$A$553,0))," ","")&amp;",")),"","UC-ID differs from decision")),IF(INDEX('Gate events'!$P$4:$P$553,MATCH(B47,'Gate events'!$A$4:$A$553,0))="Shared system baseline",IF(OR(L47&lt;&gt;"Shared system baseline",K47&lt;&gt;""),"Condition scope differs from decision",""),"Parent decision scope missing")),IF(OR(D47="",E47="",F47="",G47=""),"Condition, owner, due date or state missing",IF(NOT(ISNUMBER(F47)),"Due date is not a date",IF(OR(G47="Overdue",G47="Superseded"),"Legacy state — owner review (use the shared five states)",IF(INDEX('Gate events'!$E$4:$E$553,MATCH(B47,'Gate events'!$A$4:$A$553,0))&lt;&gt;"Decision","Parent event is not a Decision",IF(AND(INDEX('Gate events'!$G$4:$G$553,MATCH(B47,'Gate events'!$A$4:$A$553,0))&lt;&gt;"Progress with condition",INDEX('Gate events'!$G$4:$G$553,MATCH(B47,'Gate events'!$A$4:$A$553,0))&lt;&gt;"Re-authorise",INDEX('Gate events'!$G$4:$G$553,MATCH(B47,'Gate events'!$A$4:$A$553,0))&lt;&gt;"Resume"),"Parent outcome is not Progress with condition / Re-authorise / Resume",IF(AND(ISNUMBER(INDEX('Gate events'!$F$4:$F$553,MATCH(B47,'Gate events'!$A$4:$A$553,0))),F47&lt;INDEX('Gate events'!$F$4:$F$553,MATCH(B47,'Gate events'!$A$4:$A$553,0))),"Due date before parent event date",IF(AND(OR(G47="Closed-verified",G47="Waived",G47="Accepted-open"),OR(H47="",I47="")),"Closure evidence missing",IF(AND(H47&lt;&gt;"",NOT(ISNUMBER(H47))),"Closed / waived on is not a date",IF(AND(ISNUMBER(H47),ISNUMBER(INDEX('Gate events'!$F$4:$F$553,MATCH(B47,'Gate events'!$A$4:$A$553,0))),H47&lt;INDEX('Gate events'!$F$4:$F$553,MATCH(B47,'Gate events'!$A$4:$A$553,0))),"Closure date before parent event date",IF(AND(G47="Closed-verified",M47=""),"Verifier / date missing",IF(AND(N47="Yes",G47="Closed-verified",O47=""),"Monitoring condition needs AIG-OPS-02 evidence ref",IF(AND(G47="Open",F47&lt;TODAY()),"OVERDUE (derived) — review",IF(G47="Unknown","State Unknown: owner to confirm","Check against source")))))))))))))))))))</f>
        <v/>
      </c>
      <c r="K47" s="37" t="n"/>
      <c r="L47" s="37" t="n"/>
      <c r="M47" s="40" t="n"/>
      <c r="N47" s="40" t="n"/>
      <c r="O47" s="40" t="n"/>
    </row>
    <row r="48">
      <c r="A48" s="38" t="n"/>
      <c r="B48" s="38" t="n"/>
      <c r="C48" s="38" t="n"/>
      <c r="D48" s="38" t="n"/>
      <c r="E48" s="38" t="n"/>
      <c r="F48" s="39" t="n"/>
      <c r="G48" s="38" t="n"/>
      <c r="H48" s="39" t="n"/>
      <c r="I48" s="38" t="n"/>
      <c r="J48" s="22">
        <f>IF(COUNTA(A48:I48,K48:O48)=0,"",IF(OR(A48="",B48="",C48=""),"ID / parent missing",IF(COUNTIF($A$4:$A$553,A48)&gt;1,"Duplicate condition ID",IF(COUNTIF('Gate events'!$A$4:$A$553,B48)=0,"Event ID not found",IF(INDEX('Gate events'!$B$4:$B$553,MATCH(B48,'Gate events'!$A$4:$A$553,0))&lt;&gt;C48,"AIR-ID differs from event",IF(IF(INDEX('Gate events'!$P$4:$P$553,MATCH(B48,'Gate events'!$A$4:$A$553,0))="UC-ID specific",IF(OR(L48&lt;&gt;"UC-ID specific",K48=""),"Condition UC-ID required",IF(ISNUMBER(SEARCH(","&amp;SUBSTITUTE(K48," ","")&amp;",",","&amp;SUBSTITUTE(INDEX('Gate events'!$O$4:$O$553,MATCH(B48,'Gate events'!$A$4:$A$553,0))," ","")&amp;",")),"","UC-ID differs from decision")),IF(INDEX('Gate events'!$P$4:$P$553,MATCH(B48,'Gate events'!$A$4:$A$553,0))="Shared system baseline",IF(OR(L48&lt;&gt;"Shared system baseline",K48&lt;&gt;""),"Condition scope differs from decision",""),"Parent decision scope missing"))&lt;&gt;"",IF(INDEX('Gate events'!$P$4:$P$553,MATCH(B48,'Gate events'!$A$4:$A$553,0))="UC-ID specific",IF(OR(L48&lt;&gt;"UC-ID specific",K48=""),"Condition UC-ID required",IF(ISNUMBER(SEARCH(","&amp;SUBSTITUTE(K48," ","")&amp;",",","&amp;SUBSTITUTE(INDEX('Gate events'!$O$4:$O$553,MATCH(B48,'Gate events'!$A$4:$A$553,0))," ","")&amp;",")),"","UC-ID differs from decision")),IF(INDEX('Gate events'!$P$4:$P$553,MATCH(B48,'Gate events'!$A$4:$A$553,0))="Shared system baseline",IF(OR(L48&lt;&gt;"Shared system baseline",K48&lt;&gt;""),"Condition scope differs from decision",""),"Parent decision scope missing")),IF(OR(D48="",E48="",F48="",G48=""),"Condition, owner, due date or state missing",IF(NOT(ISNUMBER(F48)),"Due date is not a date",IF(OR(G48="Overdue",G48="Superseded"),"Legacy state — owner review (use the shared five states)",IF(INDEX('Gate events'!$E$4:$E$553,MATCH(B48,'Gate events'!$A$4:$A$553,0))&lt;&gt;"Decision","Parent event is not a Decision",IF(AND(INDEX('Gate events'!$G$4:$G$553,MATCH(B48,'Gate events'!$A$4:$A$553,0))&lt;&gt;"Progress with condition",INDEX('Gate events'!$G$4:$G$553,MATCH(B48,'Gate events'!$A$4:$A$553,0))&lt;&gt;"Re-authorise",INDEX('Gate events'!$G$4:$G$553,MATCH(B48,'Gate events'!$A$4:$A$553,0))&lt;&gt;"Resume"),"Parent outcome is not Progress with condition / Re-authorise / Resume",IF(AND(ISNUMBER(INDEX('Gate events'!$F$4:$F$553,MATCH(B48,'Gate events'!$A$4:$A$553,0))),F48&lt;INDEX('Gate events'!$F$4:$F$553,MATCH(B48,'Gate events'!$A$4:$A$553,0))),"Due date before parent event date",IF(AND(OR(G48="Closed-verified",G48="Waived",G48="Accepted-open"),OR(H48="",I48="")),"Closure evidence missing",IF(AND(H48&lt;&gt;"",NOT(ISNUMBER(H48))),"Closed / waived on is not a date",IF(AND(ISNUMBER(H48),ISNUMBER(INDEX('Gate events'!$F$4:$F$553,MATCH(B48,'Gate events'!$A$4:$A$553,0))),H48&lt;INDEX('Gate events'!$F$4:$F$553,MATCH(B48,'Gate events'!$A$4:$A$553,0))),"Closure date before parent event date",IF(AND(G48="Closed-verified",M48=""),"Verifier / date missing",IF(AND(N48="Yes",G48="Closed-verified",O48=""),"Monitoring condition needs AIG-OPS-02 evidence ref",IF(AND(G48="Open",F48&lt;TODAY()),"OVERDUE (derived) — review",IF(G48="Unknown","State Unknown: owner to confirm","Check against source")))))))))))))))))))</f>
        <v/>
      </c>
      <c r="K48" s="37" t="n"/>
      <c r="L48" s="37" t="n"/>
      <c r="M48" s="38" t="n"/>
      <c r="N48" s="38" t="n"/>
      <c r="O48" s="38" t="n"/>
    </row>
    <row r="49">
      <c r="A49" s="40" t="n"/>
      <c r="B49" s="40" t="n"/>
      <c r="C49" s="40" t="n"/>
      <c r="D49" s="40" t="n"/>
      <c r="E49" s="40" t="n"/>
      <c r="F49" s="41" t="n"/>
      <c r="G49" s="40" t="n"/>
      <c r="H49" s="41" t="n"/>
      <c r="I49" s="40" t="n"/>
      <c r="J49" s="24">
        <f>IF(COUNTA(A49:I49,K49:O49)=0,"",IF(OR(A49="",B49="",C49=""),"ID / parent missing",IF(COUNTIF($A$4:$A$553,A49)&gt;1,"Duplicate condition ID",IF(COUNTIF('Gate events'!$A$4:$A$553,B49)=0,"Event ID not found",IF(INDEX('Gate events'!$B$4:$B$553,MATCH(B49,'Gate events'!$A$4:$A$553,0))&lt;&gt;C49,"AIR-ID differs from event",IF(IF(INDEX('Gate events'!$P$4:$P$553,MATCH(B49,'Gate events'!$A$4:$A$553,0))="UC-ID specific",IF(OR(L49&lt;&gt;"UC-ID specific",K49=""),"Condition UC-ID required",IF(ISNUMBER(SEARCH(","&amp;SUBSTITUTE(K49," ","")&amp;",",","&amp;SUBSTITUTE(INDEX('Gate events'!$O$4:$O$553,MATCH(B49,'Gate events'!$A$4:$A$553,0))," ","")&amp;",")),"","UC-ID differs from decision")),IF(INDEX('Gate events'!$P$4:$P$553,MATCH(B49,'Gate events'!$A$4:$A$553,0))="Shared system baseline",IF(OR(L49&lt;&gt;"Shared system baseline",K49&lt;&gt;""),"Condition scope differs from decision",""),"Parent decision scope missing"))&lt;&gt;"",IF(INDEX('Gate events'!$P$4:$P$553,MATCH(B49,'Gate events'!$A$4:$A$553,0))="UC-ID specific",IF(OR(L49&lt;&gt;"UC-ID specific",K49=""),"Condition UC-ID required",IF(ISNUMBER(SEARCH(","&amp;SUBSTITUTE(K49," ","")&amp;",",","&amp;SUBSTITUTE(INDEX('Gate events'!$O$4:$O$553,MATCH(B49,'Gate events'!$A$4:$A$553,0))," ","")&amp;",")),"","UC-ID differs from decision")),IF(INDEX('Gate events'!$P$4:$P$553,MATCH(B49,'Gate events'!$A$4:$A$553,0))="Shared system baseline",IF(OR(L49&lt;&gt;"Shared system baseline",K49&lt;&gt;""),"Condition scope differs from decision",""),"Parent decision scope missing")),IF(OR(D49="",E49="",F49="",G49=""),"Condition, owner, due date or state missing",IF(NOT(ISNUMBER(F49)),"Due date is not a date",IF(OR(G49="Overdue",G49="Superseded"),"Legacy state — owner review (use the shared five states)",IF(INDEX('Gate events'!$E$4:$E$553,MATCH(B49,'Gate events'!$A$4:$A$553,0))&lt;&gt;"Decision","Parent event is not a Decision",IF(AND(INDEX('Gate events'!$G$4:$G$553,MATCH(B49,'Gate events'!$A$4:$A$553,0))&lt;&gt;"Progress with condition",INDEX('Gate events'!$G$4:$G$553,MATCH(B49,'Gate events'!$A$4:$A$553,0))&lt;&gt;"Re-authorise",INDEX('Gate events'!$G$4:$G$553,MATCH(B49,'Gate events'!$A$4:$A$553,0))&lt;&gt;"Resume"),"Parent outcome is not Progress with condition / Re-authorise / Resume",IF(AND(ISNUMBER(INDEX('Gate events'!$F$4:$F$553,MATCH(B49,'Gate events'!$A$4:$A$553,0))),F49&lt;INDEX('Gate events'!$F$4:$F$553,MATCH(B49,'Gate events'!$A$4:$A$553,0))),"Due date before parent event date",IF(AND(OR(G49="Closed-verified",G49="Waived",G49="Accepted-open"),OR(H49="",I49="")),"Closure evidence missing",IF(AND(H49&lt;&gt;"",NOT(ISNUMBER(H49))),"Closed / waived on is not a date",IF(AND(ISNUMBER(H49),ISNUMBER(INDEX('Gate events'!$F$4:$F$553,MATCH(B49,'Gate events'!$A$4:$A$553,0))),H49&lt;INDEX('Gate events'!$F$4:$F$553,MATCH(B49,'Gate events'!$A$4:$A$553,0))),"Closure date before parent event date",IF(AND(G49="Closed-verified",M49=""),"Verifier / date missing",IF(AND(N49="Yes",G49="Closed-verified",O49=""),"Monitoring condition needs AIG-OPS-02 evidence ref",IF(AND(G49="Open",F49&lt;TODAY()),"OVERDUE (derived) — review",IF(G49="Unknown","State Unknown: owner to confirm","Check against source")))))))))))))))))))</f>
        <v/>
      </c>
      <c r="K49" s="37" t="n"/>
      <c r="L49" s="37" t="n"/>
      <c r="M49" s="40" t="n"/>
      <c r="N49" s="40" t="n"/>
      <c r="O49" s="40" t="n"/>
    </row>
    <row r="50">
      <c r="A50" s="38" t="n"/>
      <c r="B50" s="38" t="n"/>
      <c r="C50" s="38" t="n"/>
      <c r="D50" s="38" t="n"/>
      <c r="E50" s="38" t="n"/>
      <c r="F50" s="39" t="n"/>
      <c r="G50" s="38" t="n"/>
      <c r="H50" s="39" t="n"/>
      <c r="I50" s="38" t="n"/>
      <c r="J50" s="22">
        <f>IF(COUNTA(A50:I50,K50:O50)=0,"",IF(OR(A50="",B50="",C50=""),"ID / parent missing",IF(COUNTIF($A$4:$A$553,A50)&gt;1,"Duplicate condition ID",IF(COUNTIF('Gate events'!$A$4:$A$553,B50)=0,"Event ID not found",IF(INDEX('Gate events'!$B$4:$B$553,MATCH(B50,'Gate events'!$A$4:$A$553,0))&lt;&gt;C50,"AIR-ID differs from event",IF(IF(INDEX('Gate events'!$P$4:$P$553,MATCH(B50,'Gate events'!$A$4:$A$553,0))="UC-ID specific",IF(OR(L50&lt;&gt;"UC-ID specific",K50=""),"Condition UC-ID required",IF(ISNUMBER(SEARCH(","&amp;SUBSTITUTE(K50," ","")&amp;",",","&amp;SUBSTITUTE(INDEX('Gate events'!$O$4:$O$553,MATCH(B50,'Gate events'!$A$4:$A$553,0))," ","")&amp;",")),"","UC-ID differs from decision")),IF(INDEX('Gate events'!$P$4:$P$553,MATCH(B50,'Gate events'!$A$4:$A$553,0))="Shared system baseline",IF(OR(L50&lt;&gt;"Shared system baseline",K50&lt;&gt;""),"Condition scope differs from decision",""),"Parent decision scope missing"))&lt;&gt;"",IF(INDEX('Gate events'!$P$4:$P$553,MATCH(B50,'Gate events'!$A$4:$A$553,0))="UC-ID specific",IF(OR(L50&lt;&gt;"UC-ID specific",K50=""),"Condition UC-ID required",IF(ISNUMBER(SEARCH(","&amp;SUBSTITUTE(K50," ","")&amp;",",","&amp;SUBSTITUTE(INDEX('Gate events'!$O$4:$O$553,MATCH(B50,'Gate events'!$A$4:$A$553,0))," ","")&amp;",")),"","UC-ID differs from decision")),IF(INDEX('Gate events'!$P$4:$P$553,MATCH(B50,'Gate events'!$A$4:$A$553,0))="Shared system baseline",IF(OR(L50&lt;&gt;"Shared system baseline",K50&lt;&gt;""),"Condition scope differs from decision",""),"Parent decision scope missing")),IF(OR(D50="",E50="",F50="",G50=""),"Condition, owner, due date or state missing",IF(NOT(ISNUMBER(F50)),"Due date is not a date",IF(OR(G50="Overdue",G50="Superseded"),"Legacy state — owner review (use the shared five states)",IF(INDEX('Gate events'!$E$4:$E$553,MATCH(B50,'Gate events'!$A$4:$A$553,0))&lt;&gt;"Decision","Parent event is not a Decision",IF(AND(INDEX('Gate events'!$G$4:$G$553,MATCH(B50,'Gate events'!$A$4:$A$553,0))&lt;&gt;"Progress with condition",INDEX('Gate events'!$G$4:$G$553,MATCH(B50,'Gate events'!$A$4:$A$553,0))&lt;&gt;"Re-authorise",INDEX('Gate events'!$G$4:$G$553,MATCH(B50,'Gate events'!$A$4:$A$553,0))&lt;&gt;"Resume"),"Parent outcome is not Progress with condition / Re-authorise / Resume",IF(AND(ISNUMBER(INDEX('Gate events'!$F$4:$F$553,MATCH(B50,'Gate events'!$A$4:$A$553,0))),F50&lt;INDEX('Gate events'!$F$4:$F$553,MATCH(B50,'Gate events'!$A$4:$A$553,0))),"Due date before parent event date",IF(AND(OR(G50="Closed-verified",G50="Waived",G50="Accepted-open"),OR(H50="",I50="")),"Closure evidence missing",IF(AND(H50&lt;&gt;"",NOT(ISNUMBER(H50))),"Closed / waived on is not a date",IF(AND(ISNUMBER(H50),ISNUMBER(INDEX('Gate events'!$F$4:$F$553,MATCH(B50,'Gate events'!$A$4:$A$553,0))),H50&lt;INDEX('Gate events'!$F$4:$F$553,MATCH(B50,'Gate events'!$A$4:$A$553,0))),"Closure date before parent event date",IF(AND(G50="Closed-verified",M50=""),"Verifier / date missing",IF(AND(N50="Yes",G50="Closed-verified",O50=""),"Monitoring condition needs AIG-OPS-02 evidence ref",IF(AND(G50="Open",F50&lt;TODAY()),"OVERDUE (derived) — review",IF(G50="Unknown","State Unknown: owner to confirm","Check against source")))))))))))))))))))</f>
        <v/>
      </c>
      <c r="K50" s="37" t="n"/>
      <c r="L50" s="37" t="n"/>
      <c r="M50" s="38" t="n"/>
      <c r="N50" s="38" t="n"/>
      <c r="O50" s="38" t="n"/>
    </row>
    <row r="51">
      <c r="A51" s="40" t="n"/>
      <c r="B51" s="40" t="n"/>
      <c r="C51" s="40" t="n"/>
      <c r="D51" s="40" t="n"/>
      <c r="E51" s="40" t="n"/>
      <c r="F51" s="41" t="n"/>
      <c r="G51" s="40" t="n"/>
      <c r="H51" s="41" t="n"/>
      <c r="I51" s="40" t="n"/>
      <c r="J51" s="24">
        <f>IF(COUNTA(A51:I51,K51:O51)=0,"",IF(OR(A51="",B51="",C51=""),"ID / parent missing",IF(COUNTIF($A$4:$A$553,A51)&gt;1,"Duplicate condition ID",IF(COUNTIF('Gate events'!$A$4:$A$553,B51)=0,"Event ID not found",IF(INDEX('Gate events'!$B$4:$B$553,MATCH(B51,'Gate events'!$A$4:$A$553,0))&lt;&gt;C51,"AIR-ID differs from event",IF(IF(INDEX('Gate events'!$P$4:$P$553,MATCH(B51,'Gate events'!$A$4:$A$553,0))="UC-ID specific",IF(OR(L51&lt;&gt;"UC-ID specific",K51=""),"Condition UC-ID required",IF(ISNUMBER(SEARCH(","&amp;SUBSTITUTE(K51," ","")&amp;",",","&amp;SUBSTITUTE(INDEX('Gate events'!$O$4:$O$553,MATCH(B51,'Gate events'!$A$4:$A$553,0))," ","")&amp;",")),"","UC-ID differs from decision")),IF(INDEX('Gate events'!$P$4:$P$553,MATCH(B51,'Gate events'!$A$4:$A$553,0))="Shared system baseline",IF(OR(L51&lt;&gt;"Shared system baseline",K51&lt;&gt;""),"Condition scope differs from decision",""),"Parent decision scope missing"))&lt;&gt;"",IF(INDEX('Gate events'!$P$4:$P$553,MATCH(B51,'Gate events'!$A$4:$A$553,0))="UC-ID specific",IF(OR(L51&lt;&gt;"UC-ID specific",K51=""),"Condition UC-ID required",IF(ISNUMBER(SEARCH(","&amp;SUBSTITUTE(K51," ","")&amp;",",","&amp;SUBSTITUTE(INDEX('Gate events'!$O$4:$O$553,MATCH(B51,'Gate events'!$A$4:$A$553,0))," ","")&amp;",")),"","UC-ID differs from decision")),IF(INDEX('Gate events'!$P$4:$P$553,MATCH(B51,'Gate events'!$A$4:$A$553,0))="Shared system baseline",IF(OR(L51&lt;&gt;"Shared system baseline",K51&lt;&gt;""),"Condition scope differs from decision",""),"Parent decision scope missing")),IF(OR(D51="",E51="",F51="",G51=""),"Condition, owner, due date or state missing",IF(NOT(ISNUMBER(F51)),"Due date is not a date",IF(OR(G51="Overdue",G51="Superseded"),"Legacy state — owner review (use the shared five states)",IF(INDEX('Gate events'!$E$4:$E$553,MATCH(B51,'Gate events'!$A$4:$A$553,0))&lt;&gt;"Decision","Parent event is not a Decision",IF(AND(INDEX('Gate events'!$G$4:$G$553,MATCH(B51,'Gate events'!$A$4:$A$553,0))&lt;&gt;"Progress with condition",INDEX('Gate events'!$G$4:$G$553,MATCH(B51,'Gate events'!$A$4:$A$553,0))&lt;&gt;"Re-authorise",INDEX('Gate events'!$G$4:$G$553,MATCH(B51,'Gate events'!$A$4:$A$553,0))&lt;&gt;"Resume"),"Parent outcome is not Progress with condition / Re-authorise / Resume",IF(AND(ISNUMBER(INDEX('Gate events'!$F$4:$F$553,MATCH(B51,'Gate events'!$A$4:$A$553,0))),F51&lt;INDEX('Gate events'!$F$4:$F$553,MATCH(B51,'Gate events'!$A$4:$A$553,0))),"Due date before parent event date",IF(AND(OR(G51="Closed-verified",G51="Waived",G51="Accepted-open"),OR(H51="",I51="")),"Closure evidence missing",IF(AND(H51&lt;&gt;"",NOT(ISNUMBER(H51))),"Closed / waived on is not a date",IF(AND(ISNUMBER(H51),ISNUMBER(INDEX('Gate events'!$F$4:$F$553,MATCH(B51,'Gate events'!$A$4:$A$553,0))),H51&lt;INDEX('Gate events'!$F$4:$F$553,MATCH(B51,'Gate events'!$A$4:$A$553,0))),"Closure date before parent event date",IF(AND(G51="Closed-verified",M51=""),"Verifier / date missing",IF(AND(N51="Yes",G51="Closed-verified",O51=""),"Monitoring condition needs AIG-OPS-02 evidence ref",IF(AND(G51="Open",F51&lt;TODAY()),"OVERDUE (derived) — review",IF(G51="Unknown","State Unknown: owner to confirm","Check against source")))))))))))))))))))</f>
        <v/>
      </c>
      <c r="K51" s="37" t="n"/>
      <c r="L51" s="37" t="n"/>
      <c r="M51" s="40" t="n"/>
      <c r="N51" s="40" t="n"/>
      <c r="O51" s="40" t="n"/>
    </row>
    <row r="52">
      <c r="A52" s="38" t="n"/>
      <c r="B52" s="38" t="n"/>
      <c r="C52" s="38" t="n"/>
      <c r="D52" s="38" t="n"/>
      <c r="E52" s="38" t="n"/>
      <c r="F52" s="39" t="n"/>
      <c r="G52" s="38" t="n"/>
      <c r="H52" s="39" t="n"/>
      <c r="I52" s="38" t="n"/>
      <c r="J52" s="22">
        <f>IF(COUNTA(A52:I52,K52:O52)=0,"",IF(OR(A52="",B52="",C52=""),"ID / parent missing",IF(COUNTIF($A$4:$A$553,A52)&gt;1,"Duplicate condition ID",IF(COUNTIF('Gate events'!$A$4:$A$553,B52)=0,"Event ID not found",IF(INDEX('Gate events'!$B$4:$B$553,MATCH(B52,'Gate events'!$A$4:$A$553,0))&lt;&gt;C52,"AIR-ID differs from event",IF(IF(INDEX('Gate events'!$P$4:$P$553,MATCH(B52,'Gate events'!$A$4:$A$553,0))="UC-ID specific",IF(OR(L52&lt;&gt;"UC-ID specific",K52=""),"Condition UC-ID required",IF(ISNUMBER(SEARCH(","&amp;SUBSTITUTE(K52," ","")&amp;",",","&amp;SUBSTITUTE(INDEX('Gate events'!$O$4:$O$553,MATCH(B52,'Gate events'!$A$4:$A$553,0))," ","")&amp;",")),"","UC-ID differs from decision")),IF(INDEX('Gate events'!$P$4:$P$553,MATCH(B52,'Gate events'!$A$4:$A$553,0))="Shared system baseline",IF(OR(L52&lt;&gt;"Shared system baseline",K52&lt;&gt;""),"Condition scope differs from decision",""),"Parent decision scope missing"))&lt;&gt;"",IF(INDEX('Gate events'!$P$4:$P$553,MATCH(B52,'Gate events'!$A$4:$A$553,0))="UC-ID specific",IF(OR(L52&lt;&gt;"UC-ID specific",K52=""),"Condition UC-ID required",IF(ISNUMBER(SEARCH(","&amp;SUBSTITUTE(K52," ","")&amp;",",","&amp;SUBSTITUTE(INDEX('Gate events'!$O$4:$O$553,MATCH(B52,'Gate events'!$A$4:$A$553,0))," ","")&amp;",")),"","UC-ID differs from decision")),IF(INDEX('Gate events'!$P$4:$P$553,MATCH(B52,'Gate events'!$A$4:$A$553,0))="Shared system baseline",IF(OR(L52&lt;&gt;"Shared system baseline",K52&lt;&gt;""),"Condition scope differs from decision",""),"Parent decision scope missing")),IF(OR(D52="",E52="",F52="",G52=""),"Condition, owner, due date or state missing",IF(NOT(ISNUMBER(F52)),"Due date is not a date",IF(OR(G52="Overdue",G52="Superseded"),"Legacy state — owner review (use the shared five states)",IF(INDEX('Gate events'!$E$4:$E$553,MATCH(B52,'Gate events'!$A$4:$A$553,0))&lt;&gt;"Decision","Parent event is not a Decision",IF(AND(INDEX('Gate events'!$G$4:$G$553,MATCH(B52,'Gate events'!$A$4:$A$553,0))&lt;&gt;"Progress with condition",INDEX('Gate events'!$G$4:$G$553,MATCH(B52,'Gate events'!$A$4:$A$553,0))&lt;&gt;"Re-authorise",INDEX('Gate events'!$G$4:$G$553,MATCH(B52,'Gate events'!$A$4:$A$553,0))&lt;&gt;"Resume"),"Parent outcome is not Progress with condition / Re-authorise / Resume",IF(AND(ISNUMBER(INDEX('Gate events'!$F$4:$F$553,MATCH(B52,'Gate events'!$A$4:$A$553,0))),F52&lt;INDEX('Gate events'!$F$4:$F$553,MATCH(B52,'Gate events'!$A$4:$A$553,0))),"Due date before parent event date",IF(AND(OR(G52="Closed-verified",G52="Waived",G52="Accepted-open"),OR(H52="",I52="")),"Closure evidence missing",IF(AND(H52&lt;&gt;"",NOT(ISNUMBER(H52))),"Closed / waived on is not a date",IF(AND(ISNUMBER(H52),ISNUMBER(INDEX('Gate events'!$F$4:$F$553,MATCH(B52,'Gate events'!$A$4:$A$553,0))),H52&lt;INDEX('Gate events'!$F$4:$F$553,MATCH(B52,'Gate events'!$A$4:$A$553,0))),"Closure date before parent event date",IF(AND(G52="Closed-verified",M52=""),"Verifier / date missing",IF(AND(N52="Yes",G52="Closed-verified",O52=""),"Monitoring condition needs AIG-OPS-02 evidence ref",IF(AND(G52="Open",F52&lt;TODAY()),"OVERDUE (derived) — review",IF(G52="Unknown","State Unknown: owner to confirm","Check against source")))))))))))))))))))</f>
        <v/>
      </c>
      <c r="K52" s="37" t="n"/>
      <c r="L52" s="37" t="n"/>
      <c r="M52" s="38" t="n"/>
      <c r="N52" s="38" t="n"/>
      <c r="O52" s="38" t="n"/>
    </row>
    <row r="53">
      <c r="A53" s="40" t="n"/>
      <c r="B53" s="40" t="n"/>
      <c r="C53" s="40" t="n"/>
      <c r="D53" s="40" t="n"/>
      <c r="E53" s="40" t="n"/>
      <c r="F53" s="41" t="n"/>
      <c r="G53" s="40" t="n"/>
      <c r="H53" s="41" t="n"/>
      <c r="I53" s="40" t="n"/>
      <c r="J53" s="24">
        <f>IF(COUNTA(A53:I53,K53:O53)=0,"",IF(OR(A53="",B53="",C53=""),"ID / parent missing",IF(COUNTIF($A$4:$A$553,A53)&gt;1,"Duplicate condition ID",IF(COUNTIF('Gate events'!$A$4:$A$553,B53)=0,"Event ID not found",IF(INDEX('Gate events'!$B$4:$B$553,MATCH(B53,'Gate events'!$A$4:$A$553,0))&lt;&gt;C53,"AIR-ID differs from event",IF(IF(INDEX('Gate events'!$P$4:$P$553,MATCH(B53,'Gate events'!$A$4:$A$553,0))="UC-ID specific",IF(OR(L53&lt;&gt;"UC-ID specific",K53=""),"Condition UC-ID required",IF(ISNUMBER(SEARCH(","&amp;SUBSTITUTE(K53," ","")&amp;",",","&amp;SUBSTITUTE(INDEX('Gate events'!$O$4:$O$553,MATCH(B53,'Gate events'!$A$4:$A$553,0))," ","")&amp;",")),"","UC-ID differs from decision")),IF(INDEX('Gate events'!$P$4:$P$553,MATCH(B53,'Gate events'!$A$4:$A$553,0))="Shared system baseline",IF(OR(L53&lt;&gt;"Shared system baseline",K53&lt;&gt;""),"Condition scope differs from decision",""),"Parent decision scope missing"))&lt;&gt;"",IF(INDEX('Gate events'!$P$4:$P$553,MATCH(B53,'Gate events'!$A$4:$A$553,0))="UC-ID specific",IF(OR(L53&lt;&gt;"UC-ID specific",K53=""),"Condition UC-ID required",IF(ISNUMBER(SEARCH(","&amp;SUBSTITUTE(K53," ","")&amp;",",","&amp;SUBSTITUTE(INDEX('Gate events'!$O$4:$O$553,MATCH(B53,'Gate events'!$A$4:$A$553,0))," ","")&amp;",")),"","UC-ID differs from decision")),IF(INDEX('Gate events'!$P$4:$P$553,MATCH(B53,'Gate events'!$A$4:$A$553,0))="Shared system baseline",IF(OR(L53&lt;&gt;"Shared system baseline",K53&lt;&gt;""),"Condition scope differs from decision",""),"Parent decision scope missing")),IF(OR(D53="",E53="",F53="",G53=""),"Condition, owner, due date or state missing",IF(NOT(ISNUMBER(F53)),"Due date is not a date",IF(OR(G53="Overdue",G53="Superseded"),"Legacy state — owner review (use the shared five states)",IF(INDEX('Gate events'!$E$4:$E$553,MATCH(B53,'Gate events'!$A$4:$A$553,0))&lt;&gt;"Decision","Parent event is not a Decision",IF(AND(INDEX('Gate events'!$G$4:$G$553,MATCH(B53,'Gate events'!$A$4:$A$553,0))&lt;&gt;"Progress with condition",INDEX('Gate events'!$G$4:$G$553,MATCH(B53,'Gate events'!$A$4:$A$553,0))&lt;&gt;"Re-authorise",INDEX('Gate events'!$G$4:$G$553,MATCH(B53,'Gate events'!$A$4:$A$553,0))&lt;&gt;"Resume"),"Parent outcome is not Progress with condition / Re-authorise / Resume",IF(AND(ISNUMBER(INDEX('Gate events'!$F$4:$F$553,MATCH(B53,'Gate events'!$A$4:$A$553,0))),F53&lt;INDEX('Gate events'!$F$4:$F$553,MATCH(B53,'Gate events'!$A$4:$A$553,0))),"Due date before parent event date",IF(AND(OR(G53="Closed-verified",G53="Waived",G53="Accepted-open"),OR(H53="",I53="")),"Closure evidence missing",IF(AND(H53&lt;&gt;"",NOT(ISNUMBER(H53))),"Closed / waived on is not a date",IF(AND(ISNUMBER(H53),ISNUMBER(INDEX('Gate events'!$F$4:$F$553,MATCH(B53,'Gate events'!$A$4:$A$553,0))),H53&lt;INDEX('Gate events'!$F$4:$F$553,MATCH(B53,'Gate events'!$A$4:$A$553,0))),"Closure date before parent event date",IF(AND(G53="Closed-verified",M53=""),"Verifier / date missing",IF(AND(N53="Yes",G53="Closed-verified",O53=""),"Monitoring condition needs AIG-OPS-02 evidence ref",IF(AND(G53="Open",F53&lt;TODAY()),"OVERDUE (derived) — review",IF(G53="Unknown","State Unknown: owner to confirm","Check against source")))))))))))))))))))</f>
        <v/>
      </c>
      <c r="K53" s="37" t="n"/>
      <c r="L53" s="37" t="n"/>
      <c r="M53" s="40" t="n"/>
      <c r="N53" s="40" t="n"/>
      <c r="O53" s="40" t="n"/>
    </row>
    <row r="54">
      <c r="A54" s="38" t="n"/>
      <c r="B54" s="38" t="n"/>
      <c r="C54" s="38" t="n"/>
      <c r="D54" s="38" t="n"/>
      <c r="E54" s="38" t="n"/>
      <c r="F54" s="39" t="n"/>
      <c r="G54" s="38" t="n"/>
      <c r="H54" s="39" t="n"/>
      <c r="I54" s="38" t="n"/>
      <c r="J54" s="22">
        <f>IF(COUNTA(A54:I54,K54:O54)=0,"",IF(OR(A54="",B54="",C54=""),"ID / parent missing",IF(COUNTIF($A$4:$A$553,A54)&gt;1,"Duplicate condition ID",IF(COUNTIF('Gate events'!$A$4:$A$553,B54)=0,"Event ID not found",IF(INDEX('Gate events'!$B$4:$B$553,MATCH(B54,'Gate events'!$A$4:$A$553,0))&lt;&gt;C54,"AIR-ID differs from event",IF(IF(INDEX('Gate events'!$P$4:$P$553,MATCH(B54,'Gate events'!$A$4:$A$553,0))="UC-ID specific",IF(OR(L54&lt;&gt;"UC-ID specific",K54=""),"Condition UC-ID required",IF(ISNUMBER(SEARCH(","&amp;SUBSTITUTE(K54," ","")&amp;",",","&amp;SUBSTITUTE(INDEX('Gate events'!$O$4:$O$553,MATCH(B54,'Gate events'!$A$4:$A$553,0))," ","")&amp;",")),"","UC-ID differs from decision")),IF(INDEX('Gate events'!$P$4:$P$553,MATCH(B54,'Gate events'!$A$4:$A$553,0))="Shared system baseline",IF(OR(L54&lt;&gt;"Shared system baseline",K54&lt;&gt;""),"Condition scope differs from decision",""),"Parent decision scope missing"))&lt;&gt;"",IF(INDEX('Gate events'!$P$4:$P$553,MATCH(B54,'Gate events'!$A$4:$A$553,0))="UC-ID specific",IF(OR(L54&lt;&gt;"UC-ID specific",K54=""),"Condition UC-ID required",IF(ISNUMBER(SEARCH(","&amp;SUBSTITUTE(K54," ","")&amp;",",","&amp;SUBSTITUTE(INDEX('Gate events'!$O$4:$O$553,MATCH(B54,'Gate events'!$A$4:$A$553,0))," ","")&amp;",")),"","UC-ID differs from decision")),IF(INDEX('Gate events'!$P$4:$P$553,MATCH(B54,'Gate events'!$A$4:$A$553,0))="Shared system baseline",IF(OR(L54&lt;&gt;"Shared system baseline",K54&lt;&gt;""),"Condition scope differs from decision",""),"Parent decision scope missing")),IF(OR(D54="",E54="",F54="",G54=""),"Condition, owner, due date or state missing",IF(NOT(ISNUMBER(F54)),"Due date is not a date",IF(OR(G54="Overdue",G54="Superseded"),"Legacy state — owner review (use the shared five states)",IF(INDEX('Gate events'!$E$4:$E$553,MATCH(B54,'Gate events'!$A$4:$A$553,0))&lt;&gt;"Decision","Parent event is not a Decision",IF(AND(INDEX('Gate events'!$G$4:$G$553,MATCH(B54,'Gate events'!$A$4:$A$553,0))&lt;&gt;"Progress with condition",INDEX('Gate events'!$G$4:$G$553,MATCH(B54,'Gate events'!$A$4:$A$553,0))&lt;&gt;"Re-authorise",INDEX('Gate events'!$G$4:$G$553,MATCH(B54,'Gate events'!$A$4:$A$553,0))&lt;&gt;"Resume"),"Parent outcome is not Progress with condition / Re-authorise / Resume",IF(AND(ISNUMBER(INDEX('Gate events'!$F$4:$F$553,MATCH(B54,'Gate events'!$A$4:$A$553,0))),F54&lt;INDEX('Gate events'!$F$4:$F$553,MATCH(B54,'Gate events'!$A$4:$A$553,0))),"Due date before parent event date",IF(AND(OR(G54="Closed-verified",G54="Waived",G54="Accepted-open"),OR(H54="",I54="")),"Closure evidence missing",IF(AND(H54&lt;&gt;"",NOT(ISNUMBER(H54))),"Closed / waived on is not a date",IF(AND(ISNUMBER(H54),ISNUMBER(INDEX('Gate events'!$F$4:$F$553,MATCH(B54,'Gate events'!$A$4:$A$553,0))),H54&lt;INDEX('Gate events'!$F$4:$F$553,MATCH(B54,'Gate events'!$A$4:$A$553,0))),"Closure date before parent event date",IF(AND(G54="Closed-verified",M54=""),"Verifier / date missing",IF(AND(N54="Yes",G54="Closed-verified",O54=""),"Monitoring condition needs AIG-OPS-02 evidence ref",IF(AND(G54="Open",F54&lt;TODAY()),"OVERDUE (derived) — review",IF(G54="Unknown","State Unknown: owner to confirm","Check against source")))))))))))))))))))</f>
        <v/>
      </c>
      <c r="K54" s="37" t="n"/>
      <c r="L54" s="37" t="n"/>
      <c r="M54" s="38" t="n"/>
      <c r="N54" s="38" t="n"/>
      <c r="O54" s="38" t="n"/>
    </row>
    <row r="55">
      <c r="A55" s="40" t="n"/>
      <c r="B55" s="40" t="n"/>
      <c r="C55" s="40" t="n"/>
      <c r="D55" s="40" t="n"/>
      <c r="E55" s="40" t="n"/>
      <c r="F55" s="41" t="n"/>
      <c r="G55" s="40" t="n"/>
      <c r="H55" s="41" t="n"/>
      <c r="I55" s="40" t="n"/>
      <c r="J55" s="24">
        <f>IF(COUNTA(A55:I55,K55:O55)=0,"",IF(OR(A55="",B55="",C55=""),"ID / parent missing",IF(COUNTIF($A$4:$A$553,A55)&gt;1,"Duplicate condition ID",IF(COUNTIF('Gate events'!$A$4:$A$553,B55)=0,"Event ID not found",IF(INDEX('Gate events'!$B$4:$B$553,MATCH(B55,'Gate events'!$A$4:$A$553,0))&lt;&gt;C55,"AIR-ID differs from event",IF(IF(INDEX('Gate events'!$P$4:$P$553,MATCH(B55,'Gate events'!$A$4:$A$553,0))="UC-ID specific",IF(OR(L55&lt;&gt;"UC-ID specific",K55=""),"Condition UC-ID required",IF(ISNUMBER(SEARCH(","&amp;SUBSTITUTE(K55," ","")&amp;",",","&amp;SUBSTITUTE(INDEX('Gate events'!$O$4:$O$553,MATCH(B55,'Gate events'!$A$4:$A$553,0))," ","")&amp;",")),"","UC-ID differs from decision")),IF(INDEX('Gate events'!$P$4:$P$553,MATCH(B55,'Gate events'!$A$4:$A$553,0))="Shared system baseline",IF(OR(L55&lt;&gt;"Shared system baseline",K55&lt;&gt;""),"Condition scope differs from decision",""),"Parent decision scope missing"))&lt;&gt;"",IF(INDEX('Gate events'!$P$4:$P$553,MATCH(B55,'Gate events'!$A$4:$A$553,0))="UC-ID specific",IF(OR(L55&lt;&gt;"UC-ID specific",K55=""),"Condition UC-ID required",IF(ISNUMBER(SEARCH(","&amp;SUBSTITUTE(K55," ","")&amp;",",","&amp;SUBSTITUTE(INDEX('Gate events'!$O$4:$O$553,MATCH(B55,'Gate events'!$A$4:$A$553,0))," ","")&amp;",")),"","UC-ID differs from decision")),IF(INDEX('Gate events'!$P$4:$P$553,MATCH(B55,'Gate events'!$A$4:$A$553,0))="Shared system baseline",IF(OR(L55&lt;&gt;"Shared system baseline",K55&lt;&gt;""),"Condition scope differs from decision",""),"Parent decision scope missing")),IF(OR(D55="",E55="",F55="",G55=""),"Condition, owner, due date or state missing",IF(NOT(ISNUMBER(F55)),"Due date is not a date",IF(OR(G55="Overdue",G55="Superseded"),"Legacy state — owner review (use the shared five states)",IF(INDEX('Gate events'!$E$4:$E$553,MATCH(B55,'Gate events'!$A$4:$A$553,0))&lt;&gt;"Decision","Parent event is not a Decision",IF(AND(INDEX('Gate events'!$G$4:$G$553,MATCH(B55,'Gate events'!$A$4:$A$553,0))&lt;&gt;"Progress with condition",INDEX('Gate events'!$G$4:$G$553,MATCH(B55,'Gate events'!$A$4:$A$553,0))&lt;&gt;"Re-authorise",INDEX('Gate events'!$G$4:$G$553,MATCH(B55,'Gate events'!$A$4:$A$553,0))&lt;&gt;"Resume"),"Parent outcome is not Progress with condition / Re-authorise / Resume",IF(AND(ISNUMBER(INDEX('Gate events'!$F$4:$F$553,MATCH(B55,'Gate events'!$A$4:$A$553,0))),F55&lt;INDEX('Gate events'!$F$4:$F$553,MATCH(B55,'Gate events'!$A$4:$A$553,0))),"Due date before parent event date",IF(AND(OR(G55="Closed-verified",G55="Waived",G55="Accepted-open"),OR(H55="",I55="")),"Closure evidence missing",IF(AND(H55&lt;&gt;"",NOT(ISNUMBER(H55))),"Closed / waived on is not a date",IF(AND(ISNUMBER(H55),ISNUMBER(INDEX('Gate events'!$F$4:$F$553,MATCH(B55,'Gate events'!$A$4:$A$553,0))),H55&lt;INDEX('Gate events'!$F$4:$F$553,MATCH(B55,'Gate events'!$A$4:$A$553,0))),"Closure date before parent event date",IF(AND(G55="Closed-verified",M55=""),"Verifier / date missing",IF(AND(N55="Yes",G55="Closed-verified",O55=""),"Monitoring condition needs AIG-OPS-02 evidence ref",IF(AND(G55="Open",F55&lt;TODAY()),"OVERDUE (derived) — review",IF(G55="Unknown","State Unknown: owner to confirm","Check against source")))))))))))))))))))</f>
        <v/>
      </c>
      <c r="K55" s="37" t="n"/>
      <c r="L55" s="37" t="n"/>
      <c r="M55" s="40" t="n"/>
      <c r="N55" s="40" t="n"/>
      <c r="O55" s="40" t="n"/>
    </row>
    <row r="56">
      <c r="A56" s="38" t="n"/>
      <c r="B56" s="38" t="n"/>
      <c r="C56" s="38" t="n"/>
      <c r="D56" s="38" t="n"/>
      <c r="E56" s="38" t="n"/>
      <c r="F56" s="39" t="n"/>
      <c r="G56" s="38" t="n"/>
      <c r="H56" s="39" t="n"/>
      <c r="I56" s="38" t="n"/>
      <c r="J56" s="22">
        <f>IF(COUNTA(A56:I56,K56:O56)=0,"",IF(OR(A56="",B56="",C56=""),"ID / parent missing",IF(COUNTIF($A$4:$A$553,A56)&gt;1,"Duplicate condition ID",IF(COUNTIF('Gate events'!$A$4:$A$553,B56)=0,"Event ID not found",IF(INDEX('Gate events'!$B$4:$B$553,MATCH(B56,'Gate events'!$A$4:$A$553,0))&lt;&gt;C56,"AIR-ID differs from event",IF(IF(INDEX('Gate events'!$P$4:$P$553,MATCH(B56,'Gate events'!$A$4:$A$553,0))="UC-ID specific",IF(OR(L56&lt;&gt;"UC-ID specific",K56=""),"Condition UC-ID required",IF(ISNUMBER(SEARCH(","&amp;SUBSTITUTE(K56," ","")&amp;",",","&amp;SUBSTITUTE(INDEX('Gate events'!$O$4:$O$553,MATCH(B56,'Gate events'!$A$4:$A$553,0))," ","")&amp;",")),"","UC-ID differs from decision")),IF(INDEX('Gate events'!$P$4:$P$553,MATCH(B56,'Gate events'!$A$4:$A$553,0))="Shared system baseline",IF(OR(L56&lt;&gt;"Shared system baseline",K56&lt;&gt;""),"Condition scope differs from decision",""),"Parent decision scope missing"))&lt;&gt;"",IF(INDEX('Gate events'!$P$4:$P$553,MATCH(B56,'Gate events'!$A$4:$A$553,0))="UC-ID specific",IF(OR(L56&lt;&gt;"UC-ID specific",K56=""),"Condition UC-ID required",IF(ISNUMBER(SEARCH(","&amp;SUBSTITUTE(K56," ","")&amp;",",","&amp;SUBSTITUTE(INDEX('Gate events'!$O$4:$O$553,MATCH(B56,'Gate events'!$A$4:$A$553,0))," ","")&amp;",")),"","UC-ID differs from decision")),IF(INDEX('Gate events'!$P$4:$P$553,MATCH(B56,'Gate events'!$A$4:$A$553,0))="Shared system baseline",IF(OR(L56&lt;&gt;"Shared system baseline",K56&lt;&gt;""),"Condition scope differs from decision",""),"Parent decision scope missing")),IF(OR(D56="",E56="",F56="",G56=""),"Condition, owner, due date or state missing",IF(NOT(ISNUMBER(F56)),"Due date is not a date",IF(OR(G56="Overdue",G56="Superseded"),"Legacy state — owner review (use the shared five states)",IF(INDEX('Gate events'!$E$4:$E$553,MATCH(B56,'Gate events'!$A$4:$A$553,0))&lt;&gt;"Decision","Parent event is not a Decision",IF(AND(INDEX('Gate events'!$G$4:$G$553,MATCH(B56,'Gate events'!$A$4:$A$553,0))&lt;&gt;"Progress with condition",INDEX('Gate events'!$G$4:$G$553,MATCH(B56,'Gate events'!$A$4:$A$553,0))&lt;&gt;"Re-authorise",INDEX('Gate events'!$G$4:$G$553,MATCH(B56,'Gate events'!$A$4:$A$553,0))&lt;&gt;"Resume"),"Parent outcome is not Progress with condition / Re-authorise / Resume",IF(AND(ISNUMBER(INDEX('Gate events'!$F$4:$F$553,MATCH(B56,'Gate events'!$A$4:$A$553,0))),F56&lt;INDEX('Gate events'!$F$4:$F$553,MATCH(B56,'Gate events'!$A$4:$A$553,0))),"Due date before parent event date",IF(AND(OR(G56="Closed-verified",G56="Waived",G56="Accepted-open"),OR(H56="",I56="")),"Closure evidence missing",IF(AND(H56&lt;&gt;"",NOT(ISNUMBER(H56))),"Closed / waived on is not a date",IF(AND(ISNUMBER(H56),ISNUMBER(INDEX('Gate events'!$F$4:$F$553,MATCH(B56,'Gate events'!$A$4:$A$553,0))),H56&lt;INDEX('Gate events'!$F$4:$F$553,MATCH(B56,'Gate events'!$A$4:$A$553,0))),"Closure date before parent event date",IF(AND(G56="Closed-verified",M56=""),"Verifier / date missing",IF(AND(N56="Yes",G56="Closed-verified",O56=""),"Monitoring condition needs AIG-OPS-02 evidence ref",IF(AND(G56="Open",F56&lt;TODAY()),"OVERDUE (derived) — review",IF(G56="Unknown","State Unknown: owner to confirm","Check against source")))))))))))))))))))</f>
        <v/>
      </c>
      <c r="K56" s="37" t="n"/>
      <c r="L56" s="37" t="n"/>
      <c r="M56" s="38" t="n"/>
      <c r="N56" s="38" t="n"/>
      <c r="O56" s="38" t="n"/>
    </row>
    <row r="57">
      <c r="A57" s="40" t="n"/>
      <c r="B57" s="40" t="n"/>
      <c r="C57" s="40" t="n"/>
      <c r="D57" s="40" t="n"/>
      <c r="E57" s="40" t="n"/>
      <c r="F57" s="41" t="n"/>
      <c r="G57" s="40" t="n"/>
      <c r="H57" s="41" t="n"/>
      <c r="I57" s="40" t="n"/>
      <c r="J57" s="24">
        <f>IF(COUNTA(A57:I57,K57:O57)=0,"",IF(OR(A57="",B57="",C57=""),"ID / parent missing",IF(COUNTIF($A$4:$A$553,A57)&gt;1,"Duplicate condition ID",IF(COUNTIF('Gate events'!$A$4:$A$553,B57)=0,"Event ID not found",IF(INDEX('Gate events'!$B$4:$B$553,MATCH(B57,'Gate events'!$A$4:$A$553,0))&lt;&gt;C57,"AIR-ID differs from event",IF(IF(INDEX('Gate events'!$P$4:$P$553,MATCH(B57,'Gate events'!$A$4:$A$553,0))="UC-ID specific",IF(OR(L57&lt;&gt;"UC-ID specific",K57=""),"Condition UC-ID required",IF(ISNUMBER(SEARCH(","&amp;SUBSTITUTE(K57," ","")&amp;",",","&amp;SUBSTITUTE(INDEX('Gate events'!$O$4:$O$553,MATCH(B57,'Gate events'!$A$4:$A$553,0))," ","")&amp;",")),"","UC-ID differs from decision")),IF(INDEX('Gate events'!$P$4:$P$553,MATCH(B57,'Gate events'!$A$4:$A$553,0))="Shared system baseline",IF(OR(L57&lt;&gt;"Shared system baseline",K57&lt;&gt;""),"Condition scope differs from decision",""),"Parent decision scope missing"))&lt;&gt;"",IF(INDEX('Gate events'!$P$4:$P$553,MATCH(B57,'Gate events'!$A$4:$A$553,0))="UC-ID specific",IF(OR(L57&lt;&gt;"UC-ID specific",K57=""),"Condition UC-ID required",IF(ISNUMBER(SEARCH(","&amp;SUBSTITUTE(K57," ","")&amp;",",","&amp;SUBSTITUTE(INDEX('Gate events'!$O$4:$O$553,MATCH(B57,'Gate events'!$A$4:$A$553,0))," ","")&amp;",")),"","UC-ID differs from decision")),IF(INDEX('Gate events'!$P$4:$P$553,MATCH(B57,'Gate events'!$A$4:$A$553,0))="Shared system baseline",IF(OR(L57&lt;&gt;"Shared system baseline",K57&lt;&gt;""),"Condition scope differs from decision",""),"Parent decision scope missing")),IF(OR(D57="",E57="",F57="",G57=""),"Condition, owner, due date or state missing",IF(NOT(ISNUMBER(F57)),"Due date is not a date",IF(OR(G57="Overdue",G57="Superseded"),"Legacy state — owner review (use the shared five states)",IF(INDEX('Gate events'!$E$4:$E$553,MATCH(B57,'Gate events'!$A$4:$A$553,0))&lt;&gt;"Decision","Parent event is not a Decision",IF(AND(INDEX('Gate events'!$G$4:$G$553,MATCH(B57,'Gate events'!$A$4:$A$553,0))&lt;&gt;"Progress with condition",INDEX('Gate events'!$G$4:$G$553,MATCH(B57,'Gate events'!$A$4:$A$553,0))&lt;&gt;"Re-authorise",INDEX('Gate events'!$G$4:$G$553,MATCH(B57,'Gate events'!$A$4:$A$553,0))&lt;&gt;"Resume"),"Parent outcome is not Progress with condition / Re-authorise / Resume",IF(AND(ISNUMBER(INDEX('Gate events'!$F$4:$F$553,MATCH(B57,'Gate events'!$A$4:$A$553,0))),F57&lt;INDEX('Gate events'!$F$4:$F$553,MATCH(B57,'Gate events'!$A$4:$A$553,0))),"Due date before parent event date",IF(AND(OR(G57="Closed-verified",G57="Waived",G57="Accepted-open"),OR(H57="",I57="")),"Closure evidence missing",IF(AND(H57&lt;&gt;"",NOT(ISNUMBER(H57))),"Closed / waived on is not a date",IF(AND(ISNUMBER(H57),ISNUMBER(INDEX('Gate events'!$F$4:$F$553,MATCH(B57,'Gate events'!$A$4:$A$553,0))),H57&lt;INDEX('Gate events'!$F$4:$F$553,MATCH(B57,'Gate events'!$A$4:$A$553,0))),"Closure date before parent event date",IF(AND(G57="Closed-verified",M57=""),"Verifier / date missing",IF(AND(N57="Yes",G57="Closed-verified",O57=""),"Monitoring condition needs AIG-OPS-02 evidence ref",IF(AND(G57="Open",F57&lt;TODAY()),"OVERDUE (derived) — review",IF(G57="Unknown","State Unknown: owner to confirm","Check against source")))))))))))))))))))</f>
        <v/>
      </c>
      <c r="K57" s="37" t="n"/>
      <c r="L57" s="37" t="n"/>
      <c r="M57" s="40" t="n"/>
      <c r="N57" s="40" t="n"/>
      <c r="O57" s="40" t="n"/>
    </row>
    <row r="58">
      <c r="A58" s="38" t="n"/>
      <c r="B58" s="38" t="n"/>
      <c r="C58" s="38" t="n"/>
      <c r="D58" s="38" t="n"/>
      <c r="E58" s="38" t="n"/>
      <c r="F58" s="39" t="n"/>
      <c r="G58" s="38" t="n"/>
      <c r="H58" s="39" t="n"/>
      <c r="I58" s="38" t="n"/>
      <c r="J58" s="22">
        <f>IF(COUNTA(A58:I58,K58:O58)=0,"",IF(OR(A58="",B58="",C58=""),"ID / parent missing",IF(COUNTIF($A$4:$A$553,A58)&gt;1,"Duplicate condition ID",IF(COUNTIF('Gate events'!$A$4:$A$553,B58)=0,"Event ID not found",IF(INDEX('Gate events'!$B$4:$B$553,MATCH(B58,'Gate events'!$A$4:$A$553,0))&lt;&gt;C58,"AIR-ID differs from event",IF(IF(INDEX('Gate events'!$P$4:$P$553,MATCH(B58,'Gate events'!$A$4:$A$553,0))="UC-ID specific",IF(OR(L58&lt;&gt;"UC-ID specific",K58=""),"Condition UC-ID required",IF(ISNUMBER(SEARCH(","&amp;SUBSTITUTE(K58," ","")&amp;",",","&amp;SUBSTITUTE(INDEX('Gate events'!$O$4:$O$553,MATCH(B58,'Gate events'!$A$4:$A$553,0))," ","")&amp;",")),"","UC-ID differs from decision")),IF(INDEX('Gate events'!$P$4:$P$553,MATCH(B58,'Gate events'!$A$4:$A$553,0))="Shared system baseline",IF(OR(L58&lt;&gt;"Shared system baseline",K58&lt;&gt;""),"Condition scope differs from decision",""),"Parent decision scope missing"))&lt;&gt;"",IF(INDEX('Gate events'!$P$4:$P$553,MATCH(B58,'Gate events'!$A$4:$A$553,0))="UC-ID specific",IF(OR(L58&lt;&gt;"UC-ID specific",K58=""),"Condition UC-ID required",IF(ISNUMBER(SEARCH(","&amp;SUBSTITUTE(K58," ","")&amp;",",","&amp;SUBSTITUTE(INDEX('Gate events'!$O$4:$O$553,MATCH(B58,'Gate events'!$A$4:$A$553,0))," ","")&amp;",")),"","UC-ID differs from decision")),IF(INDEX('Gate events'!$P$4:$P$553,MATCH(B58,'Gate events'!$A$4:$A$553,0))="Shared system baseline",IF(OR(L58&lt;&gt;"Shared system baseline",K58&lt;&gt;""),"Condition scope differs from decision",""),"Parent decision scope missing")),IF(OR(D58="",E58="",F58="",G58=""),"Condition, owner, due date or state missing",IF(NOT(ISNUMBER(F58)),"Due date is not a date",IF(OR(G58="Overdue",G58="Superseded"),"Legacy state — owner review (use the shared five states)",IF(INDEX('Gate events'!$E$4:$E$553,MATCH(B58,'Gate events'!$A$4:$A$553,0))&lt;&gt;"Decision","Parent event is not a Decision",IF(AND(INDEX('Gate events'!$G$4:$G$553,MATCH(B58,'Gate events'!$A$4:$A$553,0))&lt;&gt;"Progress with condition",INDEX('Gate events'!$G$4:$G$553,MATCH(B58,'Gate events'!$A$4:$A$553,0))&lt;&gt;"Re-authorise",INDEX('Gate events'!$G$4:$G$553,MATCH(B58,'Gate events'!$A$4:$A$553,0))&lt;&gt;"Resume"),"Parent outcome is not Progress with condition / Re-authorise / Resume",IF(AND(ISNUMBER(INDEX('Gate events'!$F$4:$F$553,MATCH(B58,'Gate events'!$A$4:$A$553,0))),F58&lt;INDEX('Gate events'!$F$4:$F$553,MATCH(B58,'Gate events'!$A$4:$A$553,0))),"Due date before parent event date",IF(AND(OR(G58="Closed-verified",G58="Waived",G58="Accepted-open"),OR(H58="",I58="")),"Closure evidence missing",IF(AND(H58&lt;&gt;"",NOT(ISNUMBER(H58))),"Closed / waived on is not a date",IF(AND(ISNUMBER(H58),ISNUMBER(INDEX('Gate events'!$F$4:$F$553,MATCH(B58,'Gate events'!$A$4:$A$553,0))),H58&lt;INDEX('Gate events'!$F$4:$F$553,MATCH(B58,'Gate events'!$A$4:$A$553,0))),"Closure date before parent event date",IF(AND(G58="Closed-verified",M58=""),"Verifier / date missing",IF(AND(N58="Yes",G58="Closed-verified",O58=""),"Monitoring condition needs AIG-OPS-02 evidence ref",IF(AND(G58="Open",F58&lt;TODAY()),"OVERDUE (derived) — review",IF(G58="Unknown","State Unknown: owner to confirm","Check against source")))))))))))))))))))</f>
        <v/>
      </c>
      <c r="K58" s="37" t="n"/>
      <c r="L58" s="37" t="n"/>
      <c r="M58" s="38" t="n"/>
      <c r="N58" s="38" t="n"/>
      <c r="O58" s="38" t="n"/>
    </row>
    <row r="59">
      <c r="A59" s="40" t="n"/>
      <c r="B59" s="40" t="n"/>
      <c r="C59" s="40" t="n"/>
      <c r="D59" s="40" t="n"/>
      <c r="E59" s="40" t="n"/>
      <c r="F59" s="41" t="n"/>
      <c r="G59" s="40" t="n"/>
      <c r="H59" s="41" t="n"/>
      <c r="I59" s="40" t="n"/>
      <c r="J59" s="24">
        <f>IF(COUNTA(A59:I59,K59:O59)=0,"",IF(OR(A59="",B59="",C59=""),"ID / parent missing",IF(COUNTIF($A$4:$A$553,A59)&gt;1,"Duplicate condition ID",IF(COUNTIF('Gate events'!$A$4:$A$553,B59)=0,"Event ID not found",IF(INDEX('Gate events'!$B$4:$B$553,MATCH(B59,'Gate events'!$A$4:$A$553,0))&lt;&gt;C59,"AIR-ID differs from event",IF(IF(INDEX('Gate events'!$P$4:$P$553,MATCH(B59,'Gate events'!$A$4:$A$553,0))="UC-ID specific",IF(OR(L59&lt;&gt;"UC-ID specific",K59=""),"Condition UC-ID required",IF(ISNUMBER(SEARCH(","&amp;SUBSTITUTE(K59," ","")&amp;",",","&amp;SUBSTITUTE(INDEX('Gate events'!$O$4:$O$553,MATCH(B59,'Gate events'!$A$4:$A$553,0))," ","")&amp;",")),"","UC-ID differs from decision")),IF(INDEX('Gate events'!$P$4:$P$553,MATCH(B59,'Gate events'!$A$4:$A$553,0))="Shared system baseline",IF(OR(L59&lt;&gt;"Shared system baseline",K59&lt;&gt;""),"Condition scope differs from decision",""),"Parent decision scope missing"))&lt;&gt;"",IF(INDEX('Gate events'!$P$4:$P$553,MATCH(B59,'Gate events'!$A$4:$A$553,0))="UC-ID specific",IF(OR(L59&lt;&gt;"UC-ID specific",K59=""),"Condition UC-ID required",IF(ISNUMBER(SEARCH(","&amp;SUBSTITUTE(K59," ","")&amp;",",","&amp;SUBSTITUTE(INDEX('Gate events'!$O$4:$O$553,MATCH(B59,'Gate events'!$A$4:$A$553,0))," ","")&amp;",")),"","UC-ID differs from decision")),IF(INDEX('Gate events'!$P$4:$P$553,MATCH(B59,'Gate events'!$A$4:$A$553,0))="Shared system baseline",IF(OR(L59&lt;&gt;"Shared system baseline",K59&lt;&gt;""),"Condition scope differs from decision",""),"Parent decision scope missing")),IF(OR(D59="",E59="",F59="",G59=""),"Condition, owner, due date or state missing",IF(NOT(ISNUMBER(F59)),"Due date is not a date",IF(OR(G59="Overdue",G59="Superseded"),"Legacy state — owner review (use the shared five states)",IF(INDEX('Gate events'!$E$4:$E$553,MATCH(B59,'Gate events'!$A$4:$A$553,0))&lt;&gt;"Decision","Parent event is not a Decision",IF(AND(INDEX('Gate events'!$G$4:$G$553,MATCH(B59,'Gate events'!$A$4:$A$553,0))&lt;&gt;"Progress with condition",INDEX('Gate events'!$G$4:$G$553,MATCH(B59,'Gate events'!$A$4:$A$553,0))&lt;&gt;"Re-authorise",INDEX('Gate events'!$G$4:$G$553,MATCH(B59,'Gate events'!$A$4:$A$553,0))&lt;&gt;"Resume"),"Parent outcome is not Progress with condition / Re-authorise / Resume",IF(AND(ISNUMBER(INDEX('Gate events'!$F$4:$F$553,MATCH(B59,'Gate events'!$A$4:$A$553,0))),F59&lt;INDEX('Gate events'!$F$4:$F$553,MATCH(B59,'Gate events'!$A$4:$A$553,0))),"Due date before parent event date",IF(AND(OR(G59="Closed-verified",G59="Waived",G59="Accepted-open"),OR(H59="",I59="")),"Closure evidence missing",IF(AND(H59&lt;&gt;"",NOT(ISNUMBER(H59))),"Closed / waived on is not a date",IF(AND(ISNUMBER(H59),ISNUMBER(INDEX('Gate events'!$F$4:$F$553,MATCH(B59,'Gate events'!$A$4:$A$553,0))),H59&lt;INDEX('Gate events'!$F$4:$F$553,MATCH(B59,'Gate events'!$A$4:$A$553,0))),"Closure date before parent event date",IF(AND(G59="Closed-verified",M59=""),"Verifier / date missing",IF(AND(N59="Yes",G59="Closed-verified",O59=""),"Monitoring condition needs AIG-OPS-02 evidence ref",IF(AND(G59="Open",F59&lt;TODAY()),"OVERDUE (derived) — review",IF(G59="Unknown","State Unknown: owner to confirm","Check against source")))))))))))))))))))</f>
        <v/>
      </c>
      <c r="K59" s="37" t="n"/>
      <c r="L59" s="37" t="n"/>
      <c r="M59" s="40" t="n"/>
      <c r="N59" s="40" t="n"/>
      <c r="O59" s="40" t="n"/>
    </row>
    <row r="60">
      <c r="A60" s="38" t="n"/>
      <c r="B60" s="38" t="n"/>
      <c r="C60" s="38" t="n"/>
      <c r="D60" s="38" t="n"/>
      <c r="E60" s="38" t="n"/>
      <c r="F60" s="39" t="n"/>
      <c r="G60" s="38" t="n"/>
      <c r="H60" s="39" t="n"/>
      <c r="I60" s="38" t="n"/>
      <c r="J60" s="22">
        <f>IF(COUNTA(A60:I60,K60:O60)=0,"",IF(OR(A60="",B60="",C60=""),"ID / parent missing",IF(COUNTIF($A$4:$A$553,A60)&gt;1,"Duplicate condition ID",IF(COUNTIF('Gate events'!$A$4:$A$553,B60)=0,"Event ID not found",IF(INDEX('Gate events'!$B$4:$B$553,MATCH(B60,'Gate events'!$A$4:$A$553,0))&lt;&gt;C60,"AIR-ID differs from event",IF(IF(INDEX('Gate events'!$P$4:$P$553,MATCH(B60,'Gate events'!$A$4:$A$553,0))="UC-ID specific",IF(OR(L60&lt;&gt;"UC-ID specific",K60=""),"Condition UC-ID required",IF(ISNUMBER(SEARCH(","&amp;SUBSTITUTE(K60," ","")&amp;",",","&amp;SUBSTITUTE(INDEX('Gate events'!$O$4:$O$553,MATCH(B60,'Gate events'!$A$4:$A$553,0))," ","")&amp;",")),"","UC-ID differs from decision")),IF(INDEX('Gate events'!$P$4:$P$553,MATCH(B60,'Gate events'!$A$4:$A$553,0))="Shared system baseline",IF(OR(L60&lt;&gt;"Shared system baseline",K60&lt;&gt;""),"Condition scope differs from decision",""),"Parent decision scope missing"))&lt;&gt;"",IF(INDEX('Gate events'!$P$4:$P$553,MATCH(B60,'Gate events'!$A$4:$A$553,0))="UC-ID specific",IF(OR(L60&lt;&gt;"UC-ID specific",K60=""),"Condition UC-ID required",IF(ISNUMBER(SEARCH(","&amp;SUBSTITUTE(K60," ","")&amp;",",","&amp;SUBSTITUTE(INDEX('Gate events'!$O$4:$O$553,MATCH(B60,'Gate events'!$A$4:$A$553,0))," ","")&amp;",")),"","UC-ID differs from decision")),IF(INDEX('Gate events'!$P$4:$P$553,MATCH(B60,'Gate events'!$A$4:$A$553,0))="Shared system baseline",IF(OR(L60&lt;&gt;"Shared system baseline",K60&lt;&gt;""),"Condition scope differs from decision",""),"Parent decision scope missing")),IF(OR(D60="",E60="",F60="",G60=""),"Condition, owner, due date or state missing",IF(NOT(ISNUMBER(F60)),"Due date is not a date",IF(OR(G60="Overdue",G60="Superseded"),"Legacy state — owner review (use the shared five states)",IF(INDEX('Gate events'!$E$4:$E$553,MATCH(B60,'Gate events'!$A$4:$A$553,0))&lt;&gt;"Decision","Parent event is not a Decision",IF(AND(INDEX('Gate events'!$G$4:$G$553,MATCH(B60,'Gate events'!$A$4:$A$553,0))&lt;&gt;"Progress with condition",INDEX('Gate events'!$G$4:$G$553,MATCH(B60,'Gate events'!$A$4:$A$553,0))&lt;&gt;"Re-authorise",INDEX('Gate events'!$G$4:$G$553,MATCH(B60,'Gate events'!$A$4:$A$553,0))&lt;&gt;"Resume"),"Parent outcome is not Progress with condition / Re-authorise / Resume",IF(AND(ISNUMBER(INDEX('Gate events'!$F$4:$F$553,MATCH(B60,'Gate events'!$A$4:$A$553,0))),F60&lt;INDEX('Gate events'!$F$4:$F$553,MATCH(B60,'Gate events'!$A$4:$A$553,0))),"Due date before parent event date",IF(AND(OR(G60="Closed-verified",G60="Waived",G60="Accepted-open"),OR(H60="",I60="")),"Closure evidence missing",IF(AND(H60&lt;&gt;"",NOT(ISNUMBER(H60))),"Closed / waived on is not a date",IF(AND(ISNUMBER(H60),ISNUMBER(INDEX('Gate events'!$F$4:$F$553,MATCH(B60,'Gate events'!$A$4:$A$553,0))),H60&lt;INDEX('Gate events'!$F$4:$F$553,MATCH(B60,'Gate events'!$A$4:$A$553,0))),"Closure date before parent event date",IF(AND(G60="Closed-verified",M60=""),"Verifier / date missing",IF(AND(N60="Yes",G60="Closed-verified",O60=""),"Monitoring condition needs AIG-OPS-02 evidence ref",IF(AND(G60="Open",F60&lt;TODAY()),"OVERDUE (derived) — review",IF(G60="Unknown","State Unknown: owner to confirm","Check against source")))))))))))))))))))</f>
        <v/>
      </c>
      <c r="K60" s="37" t="n"/>
      <c r="L60" s="37" t="n"/>
      <c r="M60" s="38" t="n"/>
      <c r="N60" s="38" t="n"/>
      <c r="O60" s="38" t="n"/>
    </row>
    <row r="61">
      <c r="A61" s="40" t="n"/>
      <c r="B61" s="40" t="n"/>
      <c r="C61" s="40" t="n"/>
      <c r="D61" s="40" t="n"/>
      <c r="E61" s="40" t="n"/>
      <c r="F61" s="41" t="n"/>
      <c r="G61" s="40" t="n"/>
      <c r="H61" s="41" t="n"/>
      <c r="I61" s="40" t="n"/>
      <c r="J61" s="24">
        <f>IF(COUNTA(A61:I61,K61:O61)=0,"",IF(OR(A61="",B61="",C61=""),"ID / parent missing",IF(COUNTIF($A$4:$A$553,A61)&gt;1,"Duplicate condition ID",IF(COUNTIF('Gate events'!$A$4:$A$553,B61)=0,"Event ID not found",IF(INDEX('Gate events'!$B$4:$B$553,MATCH(B61,'Gate events'!$A$4:$A$553,0))&lt;&gt;C61,"AIR-ID differs from event",IF(IF(INDEX('Gate events'!$P$4:$P$553,MATCH(B61,'Gate events'!$A$4:$A$553,0))="UC-ID specific",IF(OR(L61&lt;&gt;"UC-ID specific",K61=""),"Condition UC-ID required",IF(ISNUMBER(SEARCH(","&amp;SUBSTITUTE(K61," ","")&amp;",",","&amp;SUBSTITUTE(INDEX('Gate events'!$O$4:$O$553,MATCH(B61,'Gate events'!$A$4:$A$553,0))," ","")&amp;",")),"","UC-ID differs from decision")),IF(INDEX('Gate events'!$P$4:$P$553,MATCH(B61,'Gate events'!$A$4:$A$553,0))="Shared system baseline",IF(OR(L61&lt;&gt;"Shared system baseline",K61&lt;&gt;""),"Condition scope differs from decision",""),"Parent decision scope missing"))&lt;&gt;"",IF(INDEX('Gate events'!$P$4:$P$553,MATCH(B61,'Gate events'!$A$4:$A$553,0))="UC-ID specific",IF(OR(L61&lt;&gt;"UC-ID specific",K61=""),"Condition UC-ID required",IF(ISNUMBER(SEARCH(","&amp;SUBSTITUTE(K61," ","")&amp;",",","&amp;SUBSTITUTE(INDEX('Gate events'!$O$4:$O$553,MATCH(B61,'Gate events'!$A$4:$A$553,0))," ","")&amp;",")),"","UC-ID differs from decision")),IF(INDEX('Gate events'!$P$4:$P$553,MATCH(B61,'Gate events'!$A$4:$A$553,0))="Shared system baseline",IF(OR(L61&lt;&gt;"Shared system baseline",K61&lt;&gt;""),"Condition scope differs from decision",""),"Parent decision scope missing")),IF(OR(D61="",E61="",F61="",G61=""),"Condition, owner, due date or state missing",IF(NOT(ISNUMBER(F61)),"Due date is not a date",IF(OR(G61="Overdue",G61="Superseded"),"Legacy state — owner review (use the shared five states)",IF(INDEX('Gate events'!$E$4:$E$553,MATCH(B61,'Gate events'!$A$4:$A$553,0))&lt;&gt;"Decision","Parent event is not a Decision",IF(AND(INDEX('Gate events'!$G$4:$G$553,MATCH(B61,'Gate events'!$A$4:$A$553,0))&lt;&gt;"Progress with condition",INDEX('Gate events'!$G$4:$G$553,MATCH(B61,'Gate events'!$A$4:$A$553,0))&lt;&gt;"Re-authorise",INDEX('Gate events'!$G$4:$G$553,MATCH(B61,'Gate events'!$A$4:$A$553,0))&lt;&gt;"Resume"),"Parent outcome is not Progress with condition / Re-authorise / Resume",IF(AND(ISNUMBER(INDEX('Gate events'!$F$4:$F$553,MATCH(B61,'Gate events'!$A$4:$A$553,0))),F61&lt;INDEX('Gate events'!$F$4:$F$553,MATCH(B61,'Gate events'!$A$4:$A$553,0))),"Due date before parent event date",IF(AND(OR(G61="Closed-verified",G61="Waived",G61="Accepted-open"),OR(H61="",I61="")),"Closure evidence missing",IF(AND(H61&lt;&gt;"",NOT(ISNUMBER(H61))),"Closed / waived on is not a date",IF(AND(ISNUMBER(H61),ISNUMBER(INDEX('Gate events'!$F$4:$F$553,MATCH(B61,'Gate events'!$A$4:$A$553,0))),H61&lt;INDEX('Gate events'!$F$4:$F$553,MATCH(B61,'Gate events'!$A$4:$A$553,0))),"Closure date before parent event date",IF(AND(G61="Closed-verified",M61=""),"Verifier / date missing",IF(AND(N61="Yes",G61="Closed-verified",O61=""),"Monitoring condition needs AIG-OPS-02 evidence ref",IF(AND(G61="Open",F61&lt;TODAY()),"OVERDUE (derived) — review",IF(G61="Unknown","State Unknown: owner to confirm","Check against source")))))))))))))))))))</f>
        <v/>
      </c>
      <c r="K61" s="37" t="n"/>
      <c r="L61" s="37" t="n"/>
      <c r="M61" s="40" t="n"/>
      <c r="N61" s="40" t="n"/>
      <c r="O61" s="40" t="n"/>
    </row>
    <row r="62">
      <c r="A62" s="38" t="n"/>
      <c r="B62" s="38" t="n"/>
      <c r="C62" s="38" t="n"/>
      <c r="D62" s="38" t="n"/>
      <c r="E62" s="38" t="n"/>
      <c r="F62" s="39" t="n"/>
      <c r="G62" s="38" t="n"/>
      <c r="H62" s="39" t="n"/>
      <c r="I62" s="38" t="n"/>
      <c r="J62" s="22">
        <f>IF(COUNTA(A62:I62,K62:O62)=0,"",IF(OR(A62="",B62="",C62=""),"ID / parent missing",IF(COUNTIF($A$4:$A$553,A62)&gt;1,"Duplicate condition ID",IF(COUNTIF('Gate events'!$A$4:$A$553,B62)=0,"Event ID not found",IF(INDEX('Gate events'!$B$4:$B$553,MATCH(B62,'Gate events'!$A$4:$A$553,0))&lt;&gt;C62,"AIR-ID differs from event",IF(IF(INDEX('Gate events'!$P$4:$P$553,MATCH(B62,'Gate events'!$A$4:$A$553,0))="UC-ID specific",IF(OR(L62&lt;&gt;"UC-ID specific",K62=""),"Condition UC-ID required",IF(ISNUMBER(SEARCH(","&amp;SUBSTITUTE(K62," ","")&amp;",",","&amp;SUBSTITUTE(INDEX('Gate events'!$O$4:$O$553,MATCH(B62,'Gate events'!$A$4:$A$553,0))," ","")&amp;",")),"","UC-ID differs from decision")),IF(INDEX('Gate events'!$P$4:$P$553,MATCH(B62,'Gate events'!$A$4:$A$553,0))="Shared system baseline",IF(OR(L62&lt;&gt;"Shared system baseline",K62&lt;&gt;""),"Condition scope differs from decision",""),"Parent decision scope missing"))&lt;&gt;"",IF(INDEX('Gate events'!$P$4:$P$553,MATCH(B62,'Gate events'!$A$4:$A$553,0))="UC-ID specific",IF(OR(L62&lt;&gt;"UC-ID specific",K62=""),"Condition UC-ID required",IF(ISNUMBER(SEARCH(","&amp;SUBSTITUTE(K62," ","")&amp;",",","&amp;SUBSTITUTE(INDEX('Gate events'!$O$4:$O$553,MATCH(B62,'Gate events'!$A$4:$A$553,0))," ","")&amp;",")),"","UC-ID differs from decision")),IF(INDEX('Gate events'!$P$4:$P$553,MATCH(B62,'Gate events'!$A$4:$A$553,0))="Shared system baseline",IF(OR(L62&lt;&gt;"Shared system baseline",K62&lt;&gt;""),"Condition scope differs from decision",""),"Parent decision scope missing")),IF(OR(D62="",E62="",F62="",G62=""),"Condition, owner, due date or state missing",IF(NOT(ISNUMBER(F62)),"Due date is not a date",IF(OR(G62="Overdue",G62="Superseded"),"Legacy state — owner review (use the shared five states)",IF(INDEX('Gate events'!$E$4:$E$553,MATCH(B62,'Gate events'!$A$4:$A$553,0))&lt;&gt;"Decision","Parent event is not a Decision",IF(AND(INDEX('Gate events'!$G$4:$G$553,MATCH(B62,'Gate events'!$A$4:$A$553,0))&lt;&gt;"Progress with condition",INDEX('Gate events'!$G$4:$G$553,MATCH(B62,'Gate events'!$A$4:$A$553,0))&lt;&gt;"Re-authorise",INDEX('Gate events'!$G$4:$G$553,MATCH(B62,'Gate events'!$A$4:$A$553,0))&lt;&gt;"Resume"),"Parent outcome is not Progress with condition / Re-authorise / Resume",IF(AND(ISNUMBER(INDEX('Gate events'!$F$4:$F$553,MATCH(B62,'Gate events'!$A$4:$A$553,0))),F62&lt;INDEX('Gate events'!$F$4:$F$553,MATCH(B62,'Gate events'!$A$4:$A$553,0))),"Due date before parent event date",IF(AND(OR(G62="Closed-verified",G62="Waived",G62="Accepted-open"),OR(H62="",I62="")),"Closure evidence missing",IF(AND(H62&lt;&gt;"",NOT(ISNUMBER(H62))),"Closed / waived on is not a date",IF(AND(ISNUMBER(H62),ISNUMBER(INDEX('Gate events'!$F$4:$F$553,MATCH(B62,'Gate events'!$A$4:$A$553,0))),H62&lt;INDEX('Gate events'!$F$4:$F$553,MATCH(B62,'Gate events'!$A$4:$A$553,0))),"Closure date before parent event date",IF(AND(G62="Closed-verified",M62=""),"Verifier / date missing",IF(AND(N62="Yes",G62="Closed-verified",O62=""),"Monitoring condition needs AIG-OPS-02 evidence ref",IF(AND(G62="Open",F62&lt;TODAY()),"OVERDUE (derived) — review",IF(G62="Unknown","State Unknown: owner to confirm","Check against source")))))))))))))))))))</f>
        <v/>
      </c>
      <c r="K62" s="37" t="n"/>
      <c r="L62" s="37" t="n"/>
      <c r="M62" s="38" t="n"/>
      <c r="N62" s="38" t="n"/>
      <c r="O62" s="38" t="n"/>
    </row>
    <row r="63">
      <c r="A63" s="40" t="n"/>
      <c r="B63" s="40" t="n"/>
      <c r="C63" s="40" t="n"/>
      <c r="D63" s="40" t="n"/>
      <c r="E63" s="40" t="n"/>
      <c r="F63" s="41" t="n"/>
      <c r="G63" s="40" t="n"/>
      <c r="H63" s="41" t="n"/>
      <c r="I63" s="40" t="n"/>
      <c r="J63" s="24">
        <f>IF(COUNTA(A63:I63,K63:O63)=0,"",IF(OR(A63="",B63="",C63=""),"ID / parent missing",IF(COUNTIF($A$4:$A$553,A63)&gt;1,"Duplicate condition ID",IF(COUNTIF('Gate events'!$A$4:$A$553,B63)=0,"Event ID not found",IF(INDEX('Gate events'!$B$4:$B$553,MATCH(B63,'Gate events'!$A$4:$A$553,0))&lt;&gt;C63,"AIR-ID differs from event",IF(IF(INDEX('Gate events'!$P$4:$P$553,MATCH(B63,'Gate events'!$A$4:$A$553,0))="UC-ID specific",IF(OR(L63&lt;&gt;"UC-ID specific",K63=""),"Condition UC-ID required",IF(ISNUMBER(SEARCH(","&amp;SUBSTITUTE(K63," ","")&amp;",",","&amp;SUBSTITUTE(INDEX('Gate events'!$O$4:$O$553,MATCH(B63,'Gate events'!$A$4:$A$553,0))," ","")&amp;",")),"","UC-ID differs from decision")),IF(INDEX('Gate events'!$P$4:$P$553,MATCH(B63,'Gate events'!$A$4:$A$553,0))="Shared system baseline",IF(OR(L63&lt;&gt;"Shared system baseline",K63&lt;&gt;""),"Condition scope differs from decision",""),"Parent decision scope missing"))&lt;&gt;"",IF(INDEX('Gate events'!$P$4:$P$553,MATCH(B63,'Gate events'!$A$4:$A$553,0))="UC-ID specific",IF(OR(L63&lt;&gt;"UC-ID specific",K63=""),"Condition UC-ID required",IF(ISNUMBER(SEARCH(","&amp;SUBSTITUTE(K63," ","")&amp;",",","&amp;SUBSTITUTE(INDEX('Gate events'!$O$4:$O$553,MATCH(B63,'Gate events'!$A$4:$A$553,0))," ","")&amp;",")),"","UC-ID differs from decision")),IF(INDEX('Gate events'!$P$4:$P$553,MATCH(B63,'Gate events'!$A$4:$A$553,0))="Shared system baseline",IF(OR(L63&lt;&gt;"Shared system baseline",K63&lt;&gt;""),"Condition scope differs from decision",""),"Parent decision scope missing")),IF(OR(D63="",E63="",F63="",G63=""),"Condition, owner, due date or state missing",IF(NOT(ISNUMBER(F63)),"Due date is not a date",IF(OR(G63="Overdue",G63="Superseded"),"Legacy state — owner review (use the shared five states)",IF(INDEX('Gate events'!$E$4:$E$553,MATCH(B63,'Gate events'!$A$4:$A$553,0))&lt;&gt;"Decision","Parent event is not a Decision",IF(AND(INDEX('Gate events'!$G$4:$G$553,MATCH(B63,'Gate events'!$A$4:$A$553,0))&lt;&gt;"Progress with condition",INDEX('Gate events'!$G$4:$G$553,MATCH(B63,'Gate events'!$A$4:$A$553,0))&lt;&gt;"Re-authorise",INDEX('Gate events'!$G$4:$G$553,MATCH(B63,'Gate events'!$A$4:$A$553,0))&lt;&gt;"Resume"),"Parent outcome is not Progress with condition / Re-authorise / Resume",IF(AND(ISNUMBER(INDEX('Gate events'!$F$4:$F$553,MATCH(B63,'Gate events'!$A$4:$A$553,0))),F63&lt;INDEX('Gate events'!$F$4:$F$553,MATCH(B63,'Gate events'!$A$4:$A$553,0))),"Due date before parent event date",IF(AND(OR(G63="Closed-verified",G63="Waived",G63="Accepted-open"),OR(H63="",I63="")),"Closure evidence missing",IF(AND(H63&lt;&gt;"",NOT(ISNUMBER(H63))),"Closed / waived on is not a date",IF(AND(ISNUMBER(H63),ISNUMBER(INDEX('Gate events'!$F$4:$F$553,MATCH(B63,'Gate events'!$A$4:$A$553,0))),H63&lt;INDEX('Gate events'!$F$4:$F$553,MATCH(B63,'Gate events'!$A$4:$A$553,0))),"Closure date before parent event date",IF(AND(G63="Closed-verified",M63=""),"Verifier / date missing",IF(AND(N63="Yes",G63="Closed-verified",O63=""),"Monitoring condition needs AIG-OPS-02 evidence ref",IF(AND(G63="Open",F63&lt;TODAY()),"OVERDUE (derived) — review",IF(G63="Unknown","State Unknown: owner to confirm","Check against source")))))))))))))))))))</f>
        <v/>
      </c>
      <c r="K63" s="37" t="n"/>
      <c r="L63" s="37" t="n"/>
      <c r="M63" s="40" t="n"/>
      <c r="N63" s="40" t="n"/>
      <c r="O63" s="40" t="n"/>
    </row>
    <row r="64">
      <c r="A64" s="38" t="n"/>
      <c r="B64" s="38" t="n"/>
      <c r="C64" s="38" t="n"/>
      <c r="D64" s="38" t="n"/>
      <c r="E64" s="38" t="n"/>
      <c r="F64" s="39" t="n"/>
      <c r="G64" s="38" t="n"/>
      <c r="H64" s="39" t="n"/>
      <c r="I64" s="38" t="n"/>
      <c r="J64" s="22">
        <f>IF(COUNTA(A64:I64,K64:O64)=0,"",IF(OR(A64="",B64="",C64=""),"ID / parent missing",IF(COUNTIF($A$4:$A$553,A64)&gt;1,"Duplicate condition ID",IF(COUNTIF('Gate events'!$A$4:$A$553,B64)=0,"Event ID not found",IF(INDEX('Gate events'!$B$4:$B$553,MATCH(B64,'Gate events'!$A$4:$A$553,0))&lt;&gt;C64,"AIR-ID differs from event",IF(IF(INDEX('Gate events'!$P$4:$P$553,MATCH(B64,'Gate events'!$A$4:$A$553,0))="UC-ID specific",IF(OR(L64&lt;&gt;"UC-ID specific",K64=""),"Condition UC-ID required",IF(ISNUMBER(SEARCH(","&amp;SUBSTITUTE(K64," ","")&amp;",",","&amp;SUBSTITUTE(INDEX('Gate events'!$O$4:$O$553,MATCH(B64,'Gate events'!$A$4:$A$553,0))," ","")&amp;",")),"","UC-ID differs from decision")),IF(INDEX('Gate events'!$P$4:$P$553,MATCH(B64,'Gate events'!$A$4:$A$553,0))="Shared system baseline",IF(OR(L64&lt;&gt;"Shared system baseline",K64&lt;&gt;""),"Condition scope differs from decision",""),"Parent decision scope missing"))&lt;&gt;"",IF(INDEX('Gate events'!$P$4:$P$553,MATCH(B64,'Gate events'!$A$4:$A$553,0))="UC-ID specific",IF(OR(L64&lt;&gt;"UC-ID specific",K64=""),"Condition UC-ID required",IF(ISNUMBER(SEARCH(","&amp;SUBSTITUTE(K64," ","")&amp;",",","&amp;SUBSTITUTE(INDEX('Gate events'!$O$4:$O$553,MATCH(B64,'Gate events'!$A$4:$A$553,0))," ","")&amp;",")),"","UC-ID differs from decision")),IF(INDEX('Gate events'!$P$4:$P$553,MATCH(B64,'Gate events'!$A$4:$A$553,0))="Shared system baseline",IF(OR(L64&lt;&gt;"Shared system baseline",K64&lt;&gt;""),"Condition scope differs from decision",""),"Parent decision scope missing")),IF(OR(D64="",E64="",F64="",G64=""),"Condition, owner, due date or state missing",IF(NOT(ISNUMBER(F64)),"Due date is not a date",IF(OR(G64="Overdue",G64="Superseded"),"Legacy state — owner review (use the shared five states)",IF(INDEX('Gate events'!$E$4:$E$553,MATCH(B64,'Gate events'!$A$4:$A$553,0))&lt;&gt;"Decision","Parent event is not a Decision",IF(AND(INDEX('Gate events'!$G$4:$G$553,MATCH(B64,'Gate events'!$A$4:$A$553,0))&lt;&gt;"Progress with condition",INDEX('Gate events'!$G$4:$G$553,MATCH(B64,'Gate events'!$A$4:$A$553,0))&lt;&gt;"Re-authorise",INDEX('Gate events'!$G$4:$G$553,MATCH(B64,'Gate events'!$A$4:$A$553,0))&lt;&gt;"Resume"),"Parent outcome is not Progress with condition / Re-authorise / Resume",IF(AND(ISNUMBER(INDEX('Gate events'!$F$4:$F$553,MATCH(B64,'Gate events'!$A$4:$A$553,0))),F64&lt;INDEX('Gate events'!$F$4:$F$553,MATCH(B64,'Gate events'!$A$4:$A$553,0))),"Due date before parent event date",IF(AND(OR(G64="Closed-verified",G64="Waived",G64="Accepted-open"),OR(H64="",I64="")),"Closure evidence missing",IF(AND(H64&lt;&gt;"",NOT(ISNUMBER(H64))),"Closed / waived on is not a date",IF(AND(ISNUMBER(H64),ISNUMBER(INDEX('Gate events'!$F$4:$F$553,MATCH(B64,'Gate events'!$A$4:$A$553,0))),H64&lt;INDEX('Gate events'!$F$4:$F$553,MATCH(B64,'Gate events'!$A$4:$A$553,0))),"Closure date before parent event date",IF(AND(G64="Closed-verified",M64=""),"Verifier / date missing",IF(AND(N64="Yes",G64="Closed-verified",O64=""),"Monitoring condition needs AIG-OPS-02 evidence ref",IF(AND(G64="Open",F64&lt;TODAY()),"OVERDUE (derived) — review",IF(G64="Unknown","State Unknown: owner to confirm","Check against source")))))))))))))))))))</f>
        <v/>
      </c>
      <c r="K64" s="37" t="n"/>
      <c r="L64" s="37" t="n"/>
      <c r="M64" s="38" t="n"/>
      <c r="N64" s="38" t="n"/>
      <c r="O64" s="38" t="n"/>
    </row>
    <row r="65">
      <c r="A65" s="40" t="n"/>
      <c r="B65" s="40" t="n"/>
      <c r="C65" s="40" t="n"/>
      <c r="D65" s="40" t="n"/>
      <c r="E65" s="40" t="n"/>
      <c r="F65" s="41" t="n"/>
      <c r="G65" s="40" t="n"/>
      <c r="H65" s="41" t="n"/>
      <c r="I65" s="40" t="n"/>
      <c r="J65" s="24">
        <f>IF(COUNTA(A65:I65,K65:O65)=0,"",IF(OR(A65="",B65="",C65=""),"ID / parent missing",IF(COUNTIF($A$4:$A$553,A65)&gt;1,"Duplicate condition ID",IF(COUNTIF('Gate events'!$A$4:$A$553,B65)=0,"Event ID not found",IF(INDEX('Gate events'!$B$4:$B$553,MATCH(B65,'Gate events'!$A$4:$A$553,0))&lt;&gt;C65,"AIR-ID differs from event",IF(IF(INDEX('Gate events'!$P$4:$P$553,MATCH(B65,'Gate events'!$A$4:$A$553,0))="UC-ID specific",IF(OR(L65&lt;&gt;"UC-ID specific",K65=""),"Condition UC-ID required",IF(ISNUMBER(SEARCH(","&amp;SUBSTITUTE(K65," ","")&amp;",",","&amp;SUBSTITUTE(INDEX('Gate events'!$O$4:$O$553,MATCH(B65,'Gate events'!$A$4:$A$553,0))," ","")&amp;",")),"","UC-ID differs from decision")),IF(INDEX('Gate events'!$P$4:$P$553,MATCH(B65,'Gate events'!$A$4:$A$553,0))="Shared system baseline",IF(OR(L65&lt;&gt;"Shared system baseline",K65&lt;&gt;""),"Condition scope differs from decision",""),"Parent decision scope missing"))&lt;&gt;"",IF(INDEX('Gate events'!$P$4:$P$553,MATCH(B65,'Gate events'!$A$4:$A$553,0))="UC-ID specific",IF(OR(L65&lt;&gt;"UC-ID specific",K65=""),"Condition UC-ID required",IF(ISNUMBER(SEARCH(","&amp;SUBSTITUTE(K65," ","")&amp;",",","&amp;SUBSTITUTE(INDEX('Gate events'!$O$4:$O$553,MATCH(B65,'Gate events'!$A$4:$A$553,0))," ","")&amp;",")),"","UC-ID differs from decision")),IF(INDEX('Gate events'!$P$4:$P$553,MATCH(B65,'Gate events'!$A$4:$A$553,0))="Shared system baseline",IF(OR(L65&lt;&gt;"Shared system baseline",K65&lt;&gt;""),"Condition scope differs from decision",""),"Parent decision scope missing")),IF(OR(D65="",E65="",F65="",G65=""),"Condition, owner, due date or state missing",IF(NOT(ISNUMBER(F65)),"Due date is not a date",IF(OR(G65="Overdue",G65="Superseded"),"Legacy state — owner review (use the shared five states)",IF(INDEX('Gate events'!$E$4:$E$553,MATCH(B65,'Gate events'!$A$4:$A$553,0))&lt;&gt;"Decision","Parent event is not a Decision",IF(AND(INDEX('Gate events'!$G$4:$G$553,MATCH(B65,'Gate events'!$A$4:$A$553,0))&lt;&gt;"Progress with condition",INDEX('Gate events'!$G$4:$G$553,MATCH(B65,'Gate events'!$A$4:$A$553,0))&lt;&gt;"Re-authorise",INDEX('Gate events'!$G$4:$G$553,MATCH(B65,'Gate events'!$A$4:$A$553,0))&lt;&gt;"Resume"),"Parent outcome is not Progress with condition / Re-authorise / Resume",IF(AND(ISNUMBER(INDEX('Gate events'!$F$4:$F$553,MATCH(B65,'Gate events'!$A$4:$A$553,0))),F65&lt;INDEX('Gate events'!$F$4:$F$553,MATCH(B65,'Gate events'!$A$4:$A$553,0))),"Due date before parent event date",IF(AND(OR(G65="Closed-verified",G65="Waived",G65="Accepted-open"),OR(H65="",I65="")),"Closure evidence missing",IF(AND(H65&lt;&gt;"",NOT(ISNUMBER(H65))),"Closed / waived on is not a date",IF(AND(ISNUMBER(H65),ISNUMBER(INDEX('Gate events'!$F$4:$F$553,MATCH(B65,'Gate events'!$A$4:$A$553,0))),H65&lt;INDEX('Gate events'!$F$4:$F$553,MATCH(B65,'Gate events'!$A$4:$A$553,0))),"Closure date before parent event date",IF(AND(G65="Closed-verified",M65=""),"Verifier / date missing",IF(AND(N65="Yes",G65="Closed-verified",O65=""),"Monitoring condition needs AIG-OPS-02 evidence ref",IF(AND(G65="Open",F65&lt;TODAY()),"OVERDUE (derived) — review",IF(G65="Unknown","State Unknown: owner to confirm","Check against source")))))))))))))))))))</f>
        <v/>
      </c>
      <c r="K65" s="37" t="n"/>
      <c r="L65" s="37" t="n"/>
      <c r="M65" s="40" t="n"/>
      <c r="N65" s="40" t="n"/>
      <c r="O65" s="40" t="n"/>
    </row>
    <row r="66">
      <c r="A66" s="38" t="n"/>
      <c r="B66" s="38" t="n"/>
      <c r="C66" s="38" t="n"/>
      <c r="D66" s="38" t="n"/>
      <c r="E66" s="38" t="n"/>
      <c r="F66" s="39" t="n"/>
      <c r="G66" s="38" t="n"/>
      <c r="H66" s="39" t="n"/>
      <c r="I66" s="38" t="n"/>
      <c r="J66" s="22">
        <f>IF(COUNTA(A66:I66,K66:O66)=0,"",IF(OR(A66="",B66="",C66=""),"ID / parent missing",IF(COUNTIF($A$4:$A$553,A66)&gt;1,"Duplicate condition ID",IF(COUNTIF('Gate events'!$A$4:$A$553,B66)=0,"Event ID not found",IF(INDEX('Gate events'!$B$4:$B$553,MATCH(B66,'Gate events'!$A$4:$A$553,0))&lt;&gt;C66,"AIR-ID differs from event",IF(IF(INDEX('Gate events'!$P$4:$P$553,MATCH(B66,'Gate events'!$A$4:$A$553,0))="UC-ID specific",IF(OR(L66&lt;&gt;"UC-ID specific",K66=""),"Condition UC-ID required",IF(ISNUMBER(SEARCH(","&amp;SUBSTITUTE(K66," ","")&amp;",",","&amp;SUBSTITUTE(INDEX('Gate events'!$O$4:$O$553,MATCH(B66,'Gate events'!$A$4:$A$553,0))," ","")&amp;",")),"","UC-ID differs from decision")),IF(INDEX('Gate events'!$P$4:$P$553,MATCH(B66,'Gate events'!$A$4:$A$553,0))="Shared system baseline",IF(OR(L66&lt;&gt;"Shared system baseline",K66&lt;&gt;""),"Condition scope differs from decision",""),"Parent decision scope missing"))&lt;&gt;"",IF(INDEX('Gate events'!$P$4:$P$553,MATCH(B66,'Gate events'!$A$4:$A$553,0))="UC-ID specific",IF(OR(L66&lt;&gt;"UC-ID specific",K66=""),"Condition UC-ID required",IF(ISNUMBER(SEARCH(","&amp;SUBSTITUTE(K66," ","")&amp;",",","&amp;SUBSTITUTE(INDEX('Gate events'!$O$4:$O$553,MATCH(B66,'Gate events'!$A$4:$A$553,0))," ","")&amp;",")),"","UC-ID differs from decision")),IF(INDEX('Gate events'!$P$4:$P$553,MATCH(B66,'Gate events'!$A$4:$A$553,0))="Shared system baseline",IF(OR(L66&lt;&gt;"Shared system baseline",K66&lt;&gt;""),"Condition scope differs from decision",""),"Parent decision scope missing")),IF(OR(D66="",E66="",F66="",G66=""),"Condition, owner, due date or state missing",IF(NOT(ISNUMBER(F66)),"Due date is not a date",IF(OR(G66="Overdue",G66="Superseded"),"Legacy state — owner review (use the shared five states)",IF(INDEX('Gate events'!$E$4:$E$553,MATCH(B66,'Gate events'!$A$4:$A$553,0))&lt;&gt;"Decision","Parent event is not a Decision",IF(AND(INDEX('Gate events'!$G$4:$G$553,MATCH(B66,'Gate events'!$A$4:$A$553,0))&lt;&gt;"Progress with condition",INDEX('Gate events'!$G$4:$G$553,MATCH(B66,'Gate events'!$A$4:$A$553,0))&lt;&gt;"Re-authorise",INDEX('Gate events'!$G$4:$G$553,MATCH(B66,'Gate events'!$A$4:$A$553,0))&lt;&gt;"Resume"),"Parent outcome is not Progress with condition / Re-authorise / Resume",IF(AND(ISNUMBER(INDEX('Gate events'!$F$4:$F$553,MATCH(B66,'Gate events'!$A$4:$A$553,0))),F66&lt;INDEX('Gate events'!$F$4:$F$553,MATCH(B66,'Gate events'!$A$4:$A$553,0))),"Due date before parent event date",IF(AND(OR(G66="Closed-verified",G66="Waived",G66="Accepted-open"),OR(H66="",I66="")),"Closure evidence missing",IF(AND(H66&lt;&gt;"",NOT(ISNUMBER(H66))),"Closed / waived on is not a date",IF(AND(ISNUMBER(H66),ISNUMBER(INDEX('Gate events'!$F$4:$F$553,MATCH(B66,'Gate events'!$A$4:$A$553,0))),H66&lt;INDEX('Gate events'!$F$4:$F$553,MATCH(B66,'Gate events'!$A$4:$A$553,0))),"Closure date before parent event date",IF(AND(G66="Closed-verified",M66=""),"Verifier / date missing",IF(AND(N66="Yes",G66="Closed-verified",O66=""),"Monitoring condition needs AIG-OPS-02 evidence ref",IF(AND(G66="Open",F66&lt;TODAY()),"OVERDUE (derived) — review",IF(G66="Unknown","State Unknown: owner to confirm","Check against source")))))))))))))))))))</f>
        <v/>
      </c>
      <c r="K66" s="37" t="n"/>
      <c r="L66" s="37" t="n"/>
      <c r="M66" s="38" t="n"/>
      <c r="N66" s="38" t="n"/>
      <c r="O66" s="38" t="n"/>
    </row>
    <row r="67">
      <c r="A67" s="40" t="n"/>
      <c r="B67" s="40" t="n"/>
      <c r="C67" s="40" t="n"/>
      <c r="D67" s="40" t="n"/>
      <c r="E67" s="40" t="n"/>
      <c r="F67" s="41" t="n"/>
      <c r="G67" s="40" t="n"/>
      <c r="H67" s="41" t="n"/>
      <c r="I67" s="40" t="n"/>
      <c r="J67" s="24">
        <f>IF(COUNTA(A67:I67,K67:O67)=0,"",IF(OR(A67="",B67="",C67=""),"ID / parent missing",IF(COUNTIF($A$4:$A$553,A67)&gt;1,"Duplicate condition ID",IF(COUNTIF('Gate events'!$A$4:$A$553,B67)=0,"Event ID not found",IF(INDEX('Gate events'!$B$4:$B$553,MATCH(B67,'Gate events'!$A$4:$A$553,0))&lt;&gt;C67,"AIR-ID differs from event",IF(IF(INDEX('Gate events'!$P$4:$P$553,MATCH(B67,'Gate events'!$A$4:$A$553,0))="UC-ID specific",IF(OR(L67&lt;&gt;"UC-ID specific",K67=""),"Condition UC-ID required",IF(ISNUMBER(SEARCH(","&amp;SUBSTITUTE(K67," ","")&amp;",",","&amp;SUBSTITUTE(INDEX('Gate events'!$O$4:$O$553,MATCH(B67,'Gate events'!$A$4:$A$553,0))," ","")&amp;",")),"","UC-ID differs from decision")),IF(INDEX('Gate events'!$P$4:$P$553,MATCH(B67,'Gate events'!$A$4:$A$553,0))="Shared system baseline",IF(OR(L67&lt;&gt;"Shared system baseline",K67&lt;&gt;""),"Condition scope differs from decision",""),"Parent decision scope missing"))&lt;&gt;"",IF(INDEX('Gate events'!$P$4:$P$553,MATCH(B67,'Gate events'!$A$4:$A$553,0))="UC-ID specific",IF(OR(L67&lt;&gt;"UC-ID specific",K67=""),"Condition UC-ID required",IF(ISNUMBER(SEARCH(","&amp;SUBSTITUTE(K67," ","")&amp;",",","&amp;SUBSTITUTE(INDEX('Gate events'!$O$4:$O$553,MATCH(B67,'Gate events'!$A$4:$A$553,0))," ","")&amp;",")),"","UC-ID differs from decision")),IF(INDEX('Gate events'!$P$4:$P$553,MATCH(B67,'Gate events'!$A$4:$A$553,0))="Shared system baseline",IF(OR(L67&lt;&gt;"Shared system baseline",K67&lt;&gt;""),"Condition scope differs from decision",""),"Parent decision scope missing")),IF(OR(D67="",E67="",F67="",G67=""),"Condition, owner, due date or state missing",IF(NOT(ISNUMBER(F67)),"Due date is not a date",IF(OR(G67="Overdue",G67="Superseded"),"Legacy state — owner review (use the shared five states)",IF(INDEX('Gate events'!$E$4:$E$553,MATCH(B67,'Gate events'!$A$4:$A$553,0))&lt;&gt;"Decision","Parent event is not a Decision",IF(AND(INDEX('Gate events'!$G$4:$G$553,MATCH(B67,'Gate events'!$A$4:$A$553,0))&lt;&gt;"Progress with condition",INDEX('Gate events'!$G$4:$G$553,MATCH(B67,'Gate events'!$A$4:$A$553,0))&lt;&gt;"Re-authorise",INDEX('Gate events'!$G$4:$G$553,MATCH(B67,'Gate events'!$A$4:$A$553,0))&lt;&gt;"Resume"),"Parent outcome is not Progress with condition / Re-authorise / Resume",IF(AND(ISNUMBER(INDEX('Gate events'!$F$4:$F$553,MATCH(B67,'Gate events'!$A$4:$A$553,0))),F67&lt;INDEX('Gate events'!$F$4:$F$553,MATCH(B67,'Gate events'!$A$4:$A$553,0))),"Due date before parent event date",IF(AND(OR(G67="Closed-verified",G67="Waived",G67="Accepted-open"),OR(H67="",I67="")),"Closure evidence missing",IF(AND(H67&lt;&gt;"",NOT(ISNUMBER(H67))),"Closed / waived on is not a date",IF(AND(ISNUMBER(H67),ISNUMBER(INDEX('Gate events'!$F$4:$F$553,MATCH(B67,'Gate events'!$A$4:$A$553,0))),H67&lt;INDEX('Gate events'!$F$4:$F$553,MATCH(B67,'Gate events'!$A$4:$A$553,0))),"Closure date before parent event date",IF(AND(G67="Closed-verified",M67=""),"Verifier / date missing",IF(AND(N67="Yes",G67="Closed-verified",O67=""),"Monitoring condition needs AIG-OPS-02 evidence ref",IF(AND(G67="Open",F67&lt;TODAY()),"OVERDUE (derived) — review",IF(G67="Unknown","State Unknown: owner to confirm","Check against source")))))))))))))))))))</f>
        <v/>
      </c>
      <c r="K67" s="37" t="n"/>
      <c r="L67" s="37" t="n"/>
      <c r="M67" s="40" t="n"/>
      <c r="N67" s="40" t="n"/>
      <c r="O67" s="40" t="n"/>
    </row>
    <row r="68">
      <c r="A68" s="38" t="n"/>
      <c r="B68" s="38" t="n"/>
      <c r="C68" s="38" t="n"/>
      <c r="D68" s="38" t="n"/>
      <c r="E68" s="38" t="n"/>
      <c r="F68" s="39" t="n"/>
      <c r="G68" s="38" t="n"/>
      <c r="H68" s="39" t="n"/>
      <c r="I68" s="38" t="n"/>
      <c r="J68" s="22">
        <f>IF(COUNTA(A68:I68,K68:O68)=0,"",IF(OR(A68="",B68="",C68=""),"ID / parent missing",IF(COUNTIF($A$4:$A$553,A68)&gt;1,"Duplicate condition ID",IF(COUNTIF('Gate events'!$A$4:$A$553,B68)=0,"Event ID not found",IF(INDEX('Gate events'!$B$4:$B$553,MATCH(B68,'Gate events'!$A$4:$A$553,0))&lt;&gt;C68,"AIR-ID differs from event",IF(IF(INDEX('Gate events'!$P$4:$P$553,MATCH(B68,'Gate events'!$A$4:$A$553,0))="UC-ID specific",IF(OR(L68&lt;&gt;"UC-ID specific",K68=""),"Condition UC-ID required",IF(ISNUMBER(SEARCH(","&amp;SUBSTITUTE(K68," ","")&amp;",",","&amp;SUBSTITUTE(INDEX('Gate events'!$O$4:$O$553,MATCH(B68,'Gate events'!$A$4:$A$553,0))," ","")&amp;",")),"","UC-ID differs from decision")),IF(INDEX('Gate events'!$P$4:$P$553,MATCH(B68,'Gate events'!$A$4:$A$553,0))="Shared system baseline",IF(OR(L68&lt;&gt;"Shared system baseline",K68&lt;&gt;""),"Condition scope differs from decision",""),"Parent decision scope missing"))&lt;&gt;"",IF(INDEX('Gate events'!$P$4:$P$553,MATCH(B68,'Gate events'!$A$4:$A$553,0))="UC-ID specific",IF(OR(L68&lt;&gt;"UC-ID specific",K68=""),"Condition UC-ID required",IF(ISNUMBER(SEARCH(","&amp;SUBSTITUTE(K68," ","")&amp;",",","&amp;SUBSTITUTE(INDEX('Gate events'!$O$4:$O$553,MATCH(B68,'Gate events'!$A$4:$A$553,0))," ","")&amp;",")),"","UC-ID differs from decision")),IF(INDEX('Gate events'!$P$4:$P$553,MATCH(B68,'Gate events'!$A$4:$A$553,0))="Shared system baseline",IF(OR(L68&lt;&gt;"Shared system baseline",K68&lt;&gt;""),"Condition scope differs from decision",""),"Parent decision scope missing")),IF(OR(D68="",E68="",F68="",G68=""),"Condition, owner, due date or state missing",IF(NOT(ISNUMBER(F68)),"Due date is not a date",IF(OR(G68="Overdue",G68="Superseded"),"Legacy state — owner review (use the shared five states)",IF(INDEX('Gate events'!$E$4:$E$553,MATCH(B68,'Gate events'!$A$4:$A$553,0))&lt;&gt;"Decision","Parent event is not a Decision",IF(AND(INDEX('Gate events'!$G$4:$G$553,MATCH(B68,'Gate events'!$A$4:$A$553,0))&lt;&gt;"Progress with condition",INDEX('Gate events'!$G$4:$G$553,MATCH(B68,'Gate events'!$A$4:$A$553,0))&lt;&gt;"Re-authorise",INDEX('Gate events'!$G$4:$G$553,MATCH(B68,'Gate events'!$A$4:$A$553,0))&lt;&gt;"Resume"),"Parent outcome is not Progress with condition / Re-authorise / Resume",IF(AND(ISNUMBER(INDEX('Gate events'!$F$4:$F$553,MATCH(B68,'Gate events'!$A$4:$A$553,0))),F68&lt;INDEX('Gate events'!$F$4:$F$553,MATCH(B68,'Gate events'!$A$4:$A$553,0))),"Due date before parent event date",IF(AND(OR(G68="Closed-verified",G68="Waived",G68="Accepted-open"),OR(H68="",I68="")),"Closure evidence missing",IF(AND(H68&lt;&gt;"",NOT(ISNUMBER(H68))),"Closed / waived on is not a date",IF(AND(ISNUMBER(H68),ISNUMBER(INDEX('Gate events'!$F$4:$F$553,MATCH(B68,'Gate events'!$A$4:$A$553,0))),H68&lt;INDEX('Gate events'!$F$4:$F$553,MATCH(B68,'Gate events'!$A$4:$A$553,0))),"Closure date before parent event date",IF(AND(G68="Closed-verified",M68=""),"Verifier / date missing",IF(AND(N68="Yes",G68="Closed-verified",O68=""),"Monitoring condition needs AIG-OPS-02 evidence ref",IF(AND(G68="Open",F68&lt;TODAY()),"OVERDUE (derived) — review",IF(G68="Unknown","State Unknown: owner to confirm","Check against source")))))))))))))))))))</f>
        <v/>
      </c>
      <c r="K68" s="37" t="n"/>
      <c r="L68" s="37" t="n"/>
      <c r="M68" s="38" t="n"/>
      <c r="N68" s="38" t="n"/>
      <c r="O68" s="38" t="n"/>
    </row>
    <row r="69">
      <c r="A69" s="40" t="n"/>
      <c r="B69" s="40" t="n"/>
      <c r="C69" s="40" t="n"/>
      <c r="D69" s="40" t="n"/>
      <c r="E69" s="40" t="n"/>
      <c r="F69" s="41" t="n"/>
      <c r="G69" s="40" t="n"/>
      <c r="H69" s="41" t="n"/>
      <c r="I69" s="40" t="n"/>
      <c r="J69" s="24">
        <f>IF(COUNTA(A69:I69,K69:O69)=0,"",IF(OR(A69="",B69="",C69=""),"ID / parent missing",IF(COUNTIF($A$4:$A$553,A69)&gt;1,"Duplicate condition ID",IF(COUNTIF('Gate events'!$A$4:$A$553,B69)=0,"Event ID not found",IF(INDEX('Gate events'!$B$4:$B$553,MATCH(B69,'Gate events'!$A$4:$A$553,0))&lt;&gt;C69,"AIR-ID differs from event",IF(IF(INDEX('Gate events'!$P$4:$P$553,MATCH(B69,'Gate events'!$A$4:$A$553,0))="UC-ID specific",IF(OR(L69&lt;&gt;"UC-ID specific",K69=""),"Condition UC-ID required",IF(ISNUMBER(SEARCH(","&amp;SUBSTITUTE(K69," ","")&amp;",",","&amp;SUBSTITUTE(INDEX('Gate events'!$O$4:$O$553,MATCH(B69,'Gate events'!$A$4:$A$553,0))," ","")&amp;",")),"","UC-ID differs from decision")),IF(INDEX('Gate events'!$P$4:$P$553,MATCH(B69,'Gate events'!$A$4:$A$553,0))="Shared system baseline",IF(OR(L69&lt;&gt;"Shared system baseline",K69&lt;&gt;""),"Condition scope differs from decision",""),"Parent decision scope missing"))&lt;&gt;"",IF(INDEX('Gate events'!$P$4:$P$553,MATCH(B69,'Gate events'!$A$4:$A$553,0))="UC-ID specific",IF(OR(L69&lt;&gt;"UC-ID specific",K69=""),"Condition UC-ID required",IF(ISNUMBER(SEARCH(","&amp;SUBSTITUTE(K69," ","")&amp;",",","&amp;SUBSTITUTE(INDEX('Gate events'!$O$4:$O$553,MATCH(B69,'Gate events'!$A$4:$A$553,0))," ","")&amp;",")),"","UC-ID differs from decision")),IF(INDEX('Gate events'!$P$4:$P$553,MATCH(B69,'Gate events'!$A$4:$A$553,0))="Shared system baseline",IF(OR(L69&lt;&gt;"Shared system baseline",K69&lt;&gt;""),"Condition scope differs from decision",""),"Parent decision scope missing")),IF(OR(D69="",E69="",F69="",G69=""),"Condition, owner, due date or state missing",IF(NOT(ISNUMBER(F69)),"Due date is not a date",IF(OR(G69="Overdue",G69="Superseded"),"Legacy state — owner review (use the shared five states)",IF(INDEX('Gate events'!$E$4:$E$553,MATCH(B69,'Gate events'!$A$4:$A$553,0))&lt;&gt;"Decision","Parent event is not a Decision",IF(AND(INDEX('Gate events'!$G$4:$G$553,MATCH(B69,'Gate events'!$A$4:$A$553,0))&lt;&gt;"Progress with condition",INDEX('Gate events'!$G$4:$G$553,MATCH(B69,'Gate events'!$A$4:$A$553,0))&lt;&gt;"Re-authorise",INDEX('Gate events'!$G$4:$G$553,MATCH(B69,'Gate events'!$A$4:$A$553,0))&lt;&gt;"Resume"),"Parent outcome is not Progress with condition / Re-authorise / Resume",IF(AND(ISNUMBER(INDEX('Gate events'!$F$4:$F$553,MATCH(B69,'Gate events'!$A$4:$A$553,0))),F69&lt;INDEX('Gate events'!$F$4:$F$553,MATCH(B69,'Gate events'!$A$4:$A$553,0))),"Due date before parent event date",IF(AND(OR(G69="Closed-verified",G69="Waived",G69="Accepted-open"),OR(H69="",I69="")),"Closure evidence missing",IF(AND(H69&lt;&gt;"",NOT(ISNUMBER(H69))),"Closed / waived on is not a date",IF(AND(ISNUMBER(H69),ISNUMBER(INDEX('Gate events'!$F$4:$F$553,MATCH(B69,'Gate events'!$A$4:$A$553,0))),H69&lt;INDEX('Gate events'!$F$4:$F$553,MATCH(B69,'Gate events'!$A$4:$A$553,0))),"Closure date before parent event date",IF(AND(G69="Closed-verified",M69=""),"Verifier / date missing",IF(AND(N69="Yes",G69="Closed-verified",O69=""),"Monitoring condition needs AIG-OPS-02 evidence ref",IF(AND(G69="Open",F69&lt;TODAY()),"OVERDUE (derived) — review",IF(G69="Unknown","State Unknown: owner to confirm","Check against source")))))))))))))))))))</f>
        <v/>
      </c>
      <c r="K69" s="37" t="n"/>
      <c r="L69" s="37" t="n"/>
      <c r="M69" s="40" t="n"/>
      <c r="N69" s="40" t="n"/>
      <c r="O69" s="40" t="n"/>
    </row>
    <row r="70">
      <c r="A70" s="38" t="n"/>
      <c r="B70" s="38" t="n"/>
      <c r="C70" s="38" t="n"/>
      <c r="D70" s="38" t="n"/>
      <c r="E70" s="38" t="n"/>
      <c r="F70" s="39" t="n"/>
      <c r="G70" s="38" t="n"/>
      <c r="H70" s="39" t="n"/>
      <c r="I70" s="38" t="n"/>
      <c r="J70" s="22">
        <f>IF(COUNTA(A70:I70,K70:O70)=0,"",IF(OR(A70="",B70="",C70=""),"ID / parent missing",IF(COUNTIF($A$4:$A$553,A70)&gt;1,"Duplicate condition ID",IF(COUNTIF('Gate events'!$A$4:$A$553,B70)=0,"Event ID not found",IF(INDEX('Gate events'!$B$4:$B$553,MATCH(B70,'Gate events'!$A$4:$A$553,0))&lt;&gt;C70,"AIR-ID differs from event",IF(IF(INDEX('Gate events'!$P$4:$P$553,MATCH(B70,'Gate events'!$A$4:$A$553,0))="UC-ID specific",IF(OR(L70&lt;&gt;"UC-ID specific",K70=""),"Condition UC-ID required",IF(ISNUMBER(SEARCH(","&amp;SUBSTITUTE(K70," ","")&amp;",",","&amp;SUBSTITUTE(INDEX('Gate events'!$O$4:$O$553,MATCH(B70,'Gate events'!$A$4:$A$553,0))," ","")&amp;",")),"","UC-ID differs from decision")),IF(INDEX('Gate events'!$P$4:$P$553,MATCH(B70,'Gate events'!$A$4:$A$553,0))="Shared system baseline",IF(OR(L70&lt;&gt;"Shared system baseline",K70&lt;&gt;""),"Condition scope differs from decision",""),"Parent decision scope missing"))&lt;&gt;"",IF(INDEX('Gate events'!$P$4:$P$553,MATCH(B70,'Gate events'!$A$4:$A$553,0))="UC-ID specific",IF(OR(L70&lt;&gt;"UC-ID specific",K70=""),"Condition UC-ID required",IF(ISNUMBER(SEARCH(","&amp;SUBSTITUTE(K70," ","")&amp;",",","&amp;SUBSTITUTE(INDEX('Gate events'!$O$4:$O$553,MATCH(B70,'Gate events'!$A$4:$A$553,0))," ","")&amp;",")),"","UC-ID differs from decision")),IF(INDEX('Gate events'!$P$4:$P$553,MATCH(B70,'Gate events'!$A$4:$A$553,0))="Shared system baseline",IF(OR(L70&lt;&gt;"Shared system baseline",K70&lt;&gt;""),"Condition scope differs from decision",""),"Parent decision scope missing")),IF(OR(D70="",E70="",F70="",G70=""),"Condition, owner, due date or state missing",IF(NOT(ISNUMBER(F70)),"Due date is not a date",IF(OR(G70="Overdue",G70="Superseded"),"Legacy state — owner review (use the shared five states)",IF(INDEX('Gate events'!$E$4:$E$553,MATCH(B70,'Gate events'!$A$4:$A$553,0))&lt;&gt;"Decision","Parent event is not a Decision",IF(AND(INDEX('Gate events'!$G$4:$G$553,MATCH(B70,'Gate events'!$A$4:$A$553,0))&lt;&gt;"Progress with condition",INDEX('Gate events'!$G$4:$G$553,MATCH(B70,'Gate events'!$A$4:$A$553,0))&lt;&gt;"Re-authorise",INDEX('Gate events'!$G$4:$G$553,MATCH(B70,'Gate events'!$A$4:$A$553,0))&lt;&gt;"Resume"),"Parent outcome is not Progress with condition / Re-authorise / Resume",IF(AND(ISNUMBER(INDEX('Gate events'!$F$4:$F$553,MATCH(B70,'Gate events'!$A$4:$A$553,0))),F70&lt;INDEX('Gate events'!$F$4:$F$553,MATCH(B70,'Gate events'!$A$4:$A$553,0))),"Due date before parent event date",IF(AND(OR(G70="Closed-verified",G70="Waived",G70="Accepted-open"),OR(H70="",I70="")),"Closure evidence missing",IF(AND(H70&lt;&gt;"",NOT(ISNUMBER(H70))),"Closed / waived on is not a date",IF(AND(ISNUMBER(H70),ISNUMBER(INDEX('Gate events'!$F$4:$F$553,MATCH(B70,'Gate events'!$A$4:$A$553,0))),H70&lt;INDEX('Gate events'!$F$4:$F$553,MATCH(B70,'Gate events'!$A$4:$A$553,0))),"Closure date before parent event date",IF(AND(G70="Closed-verified",M70=""),"Verifier / date missing",IF(AND(N70="Yes",G70="Closed-verified",O70=""),"Monitoring condition needs AIG-OPS-02 evidence ref",IF(AND(G70="Open",F70&lt;TODAY()),"OVERDUE (derived) — review",IF(G70="Unknown","State Unknown: owner to confirm","Check against source")))))))))))))))))))</f>
        <v/>
      </c>
      <c r="K70" s="37" t="n"/>
      <c r="L70" s="37" t="n"/>
      <c r="M70" s="38" t="n"/>
      <c r="N70" s="38" t="n"/>
      <c r="O70" s="38" t="n"/>
    </row>
    <row r="71">
      <c r="A71" s="40" t="n"/>
      <c r="B71" s="40" t="n"/>
      <c r="C71" s="40" t="n"/>
      <c r="D71" s="40" t="n"/>
      <c r="E71" s="40" t="n"/>
      <c r="F71" s="41" t="n"/>
      <c r="G71" s="40" t="n"/>
      <c r="H71" s="41" t="n"/>
      <c r="I71" s="40" t="n"/>
      <c r="J71" s="24">
        <f>IF(COUNTA(A71:I71,K71:O71)=0,"",IF(OR(A71="",B71="",C71=""),"ID / parent missing",IF(COUNTIF($A$4:$A$553,A71)&gt;1,"Duplicate condition ID",IF(COUNTIF('Gate events'!$A$4:$A$553,B71)=0,"Event ID not found",IF(INDEX('Gate events'!$B$4:$B$553,MATCH(B71,'Gate events'!$A$4:$A$553,0))&lt;&gt;C71,"AIR-ID differs from event",IF(IF(INDEX('Gate events'!$P$4:$P$553,MATCH(B71,'Gate events'!$A$4:$A$553,0))="UC-ID specific",IF(OR(L71&lt;&gt;"UC-ID specific",K71=""),"Condition UC-ID required",IF(ISNUMBER(SEARCH(","&amp;SUBSTITUTE(K71," ","")&amp;",",","&amp;SUBSTITUTE(INDEX('Gate events'!$O$4:$O$553,MATCH(B71,'Gate events'!$A$4:$A$553,0))," ","")&amp;",")),"","UC-ID differs from decision")),IF(INDEX('Gate events'!$P$4:$P$553,MATCH(B71,'Gate events'!$A$4:$A$553,0))="Shared system baseline",IF(OR(L71&lt;&gt;"Shared system baseline",K71&lt;&gt;""),"Condition scope differs from decision",""),"Parent decision scope missing"))&lt;&gt;"",IF(INDEX('Gate events'!$P$4:$P$553,MATCH(B71,'Gate events'!$A$4:$A$553,0))="UC-ID specific",IF(OR(L71&lt;&gt;"UC-ID specific",K71=""),"Condition UC-ID required",IF(ISNUMBER(SEARCH(","&amp;SUBSTITUTE(K71," ","")&amp;",",","&amp;SUBSTITUTE(INDEX('Gate events'!$O$4:$O$553,MATCH(B71,'Gate events'!$A$4:$A$553,0))," ","")&amp;",")),"","UC-ID differs from decision")),IF(INDEX('Gate events'!$P$4:$P$553,MATCH(B71,'Gate events'!$A$4:$A$553,0))="Shared system baseline",IF(OR(L71&lt;&gt;"Shared system baseline",K71&lt;&gt;""),"Condition scope differs from decision",""),"Parent decision scope missing")),IF(OR(D71="",E71="",F71="",G71=""),"Condition, owner, due date or state missing",IF(NOT(ISNUMBER(F71)),"Due date is not a date",IF(OR(G71="Overdue",G71="Superseded"),"Legacy state — owner review (use the shared five states)",IF(INDEX('Gate events'!$E$4:$E$553,MATCH(B71,'Gate events'!$A$4:$A$553,0))&lt;&gt;"Decision","Parent event is not a Decision",IF(AND(INDEX('Gate events'!$G$4:$G$553,MATCH(B71,'Gate events'!$A$4:$A$553,0))&lt;&gt;"Progress with condition",INDEX('Gate events'!$G$4:$G$553,MATCH(B71,'Gate events'!$A$4:$A$553,0))&lt;&gt;"Re-authorise",INDEX('Gate events'!$G$4:$G$553,MATCH(B71,'Gate events'!$A$4:$A$553,0))&lt;&gt;"Resume"),"Parent outcome is not Progress with condition / Re-authorise / Resume",IF(AND(ISNUMBER(INDEX('Gate events'!$F$4:$F$553,MATCH(B71,'Gate events'!$A$4:$A$553,0))),F71&lt;INDEX('Gate events'!$F$4:$F$553,MATCH(B71,'Gate events'!$A$4:$A$553,0))),"Due date before parent event date",IF(AND(OR(G71="Closed-verified",G71="Waived",G71="Accepted-open"),OR(H71="",I71="")),"Closure evidence missing",IF(AND(H71&lt;&gt;"",NOT(ISNUMBER(H71))),"Closed / waived on is not a date",IF(AND(ISNUMBER(H71),ISNUMBER(INDEX('Gate events'!$F$4:$F$553,MATCH(B71,'Gate events'!$A$4:$A$553,0))),H71&lt;INDEX('Gate events'!$F$4:$F$553,MATCH(B71,'Gate events'!$A$4:$A$553,0))),"Closure date before parent event date",IF(AND(G71="Closed-verified",M71=""),"Verifier / date missing",IF(AND(N71="Yes",G71="Closed-verified",O71=""),"Monitoring condition needs AIG-OPS-02 evidence ref",IF(AND(G71="Open",F71&lt;TODAY()),"OVERDUE (derived) — review",IF(G71="Unknown","State Unknown: owner to confirm","Check against source")))))))))))))))))))</f>
        <v/>
      </c>
      <c r="K71" s="37" t="n"/>
      <c r="L71" s="37" t="n"/>
      <c r="M71" s="40" t="n"/>
      <c r="N71" s="40" t="n"/>
      <c r="O71" s="40" t="n"/>
    </row>
    <row r="72">
      <c r="A72" s="38" t="n"/>
      <c r="B72" s="38" t="n"/>
      <c r="C72" s="38" t="n"/>
      <c r="D72" s="38" t="n"/>
      <c r="E72" s="38" t="n"/>
      <c r="F72" s="39" t="n"/>
      <c r="G72" s="38" t="n"/>
      <c r="H72" s="39" t="n"/>
      <c r="I72" s="38" t="n"/>
      <c r="J72" s="22">
        <f>IF(COUNTA(A72:I72,K72:O72)=0,"",IF(OR(A72="",B72="",C72=""),"ID / parent missing",IF(COUNTIF($A$4:$A$553,A72)&gt;1,"Duplicate condition ID",IF(COUNTIF('Gate events'!$A$4:$A$553,B72)=0,"Event ID not found",IF(INDEX('Gate events'!$B$4:$B$553,MATCH(B72,'Gate events'!$A$4:$A$553,0))&lt;&gt;C72,"AIR-ID differs from event",IF(IF(INDEX('Gate events'!$P$4:$P$553,MATCH(B72,'Gate events'!$A$4:$A$553,0))="UC-ID specific",IF(OR(L72&lt;&gt;"UC-ID specific",K72=""),"Condition UC-ID required",IF(ISNUMBER(SEARCH(","&amp;SUBSTITUTE(K72," ","")&amp;",",","&amp;SUBSTITUTE(INDEX('Gate events'!$O$4:$O$553,MATCH(B72,'Gate events'!$A$4:$A$553,0))," ","")&amp;",")),"","UC-ID differs from decision")),IF(INDEX('Gate events'!$P$4:$P$553,MATCH(B72,'Gate events'!$A$4:$A$553,0))="Shared system baseline",IF(OR(L72&lt;&gt;"Shared system baseline",K72&lt;&gt;""),"Condition scope differs from decision",""),"Parent decision scope missing"))&lt;&gt;"",IF(INDEX('Gate events'!$P$4:$P$553,MATCH(B72,'Gate events'!$A$4:$A$553,0))="UC-ID specific",IF(OR(L72&lt;&gt;"UC-ID specific",K72=""),"Condition UC-ID required",IF(ISNUMBER(SEARCH(","&amp;SUBSTITUTE(K72," ","")&amp;",",","&amp;SUBSTITUTE(INDEX('Gate events'!$O$4:$O$553,MATCH(B72,'Gate events'!$A$4:$A$553,0))," ","")&amp;",")),"","UC-ID differs from decision")),IF(INDEX('Gate events'!$P$4:$P$553,MATCH(B72,'Gate events'!$A$4:$A$553,0))="Shared system baseline",IF(OR(L72&lt;&gt;"Shared system baseline",K72&lt;&gt;""),"Condition scope differs from decision",""),"Parent decision scope missing")),IF(OR(D72="",E72="",F72="",G72=""),"Condition, owner, due date or state missing",IF(NOT(ISNUMBER(F72)),"Due date is not a date",IF(OR(G72="Overdue",G72="Superseded"),"Legacy state — owner review (use the shared five states)",IF(INDEX('Gate events'!$E$4:$E$553,MATCH(B72,'Gate events'!$A$4:$A$553,0))&lt;&gt;"Decision","Parent event is not a Decision",IF(AND(INDEX('Gate events'!$G$4:$G$553,MATCH(B72,'Gate events'!$A$4:$A$553,0))&lt;&gt;"Progress with condition",INDEX('Gate events'!$G$4:$G$553,MATCH(B72,'Gate events'!$A$4:$A$553,0))&lt;&gt;"Re-authorise",INDEX('Gate events'!$G$4:$G$553,MATCH(B72,'Gate events'!$A$4:$A$553,0))&lt;&gt;"Resume"),"Parent outcome is not Progress with condition / Re-authorise / Resume",IF(AND(ISNUMBER(INDEX('Gate events'!$F$4:$F$553,MATCH(B72,'Gate events'!$A$4:$A$553,0))),F72&lt;INDEX('Gate events'!$F$4:$F$553,MATCH(B72,'Gate events'!$A$4:$A$553,0))),"Due date before parent event date",IF(AND(OR(G72="Closed-verified",G72="Waived",G72="Accepted-open"),OR(H72="",I72="")),"Closure evidence missing",IF(AND(H72&lt;&gt;"",NOT(ISNUMBER(H72))),"Closed / waived on is not a date",IF(AND(ISNUMBER(H72),ISNUMBER(INDEX('Gate events'!$F$4:$F$553,MATCH(B72,'Gate events'!$A$4:$A$553,0))),H72&lt;INDEX('Gate events'!$F$4:$F$553,MATCH(B72,'Gate events'!$A$4:$A$553,0))),"Closure date before parent event date",IF(AND(G72="Closed-verified",M72=""),"Verifier / date missing",IF(AND(N72="Yes",G72="Closed-verified",O72=""),"Monitoring condition needs AIG-OPS-02 evidence ref",IF(AND(G72="Open",F72&lt;TODAY()),"OVERDUE (derived) — review",IF(G72="Unknown","State Unknown: owner to confirm","Check against source")))))))))))))))))))</f>
        <v/>
      </c>
      <c r="K72" s="37" t="n"/>
      <c r="L72" s="37" t="n"/>
      <c r="M72" s="38" t="n"/>
      <c r="N72" s="38" t="n"/>
      <c r="O72" s="38" t="n"/>
    </row>
    <row r="73">
      <c r="A73" s="40" t="n"/>
      <c r="B73" s="40" t="n"/>
      <c r="C73" s="40" t="n"/>
      <c r="D73" s="40" t="n"/>
      <c r="E73" s="40" t="n"/>
      <c r="F73" s="41" t="n"/>
      <c r="G73" s="40" t="n"/>
      <c r="H73" s="41" t="n"/>
      <c r="I73" s="40" t="n"/>
      <c r="J73" s="24">
        <f>IF(COUNTA(A73:I73,K73:O73)=0,"",IF(OR(A73="",B73="",C73=""),"ID / parent missing",IF(COUNTIF($A$4:$A$553,A73)&gt;1,"Duplicate condition ID",IF(COUNTIF('Gate events'!$A$4:$A$553,B73)=0,"Event ID not found",IF(INDEX('Gate events'!$B$4:$B$553,MATCH(B73,'Gate events'!$A$4:$A$553,0))&lt;&gt;C73,"AIR-ID differs from event",IF(IF(INDEX('Gate events'!$P$4:$P$553,MATCH(B73,'Gate events'!$A$4:$A$553,0))="UC-ID specific",IF(OR(L73&lt;&gt;"UC-ID specific",K73=""),"Condition UC-ID required",IF(ISNUMBER(SEARCH(","&amp;SUBSTITUTE(K73," ","")&amp;",",","&amp;SUBSTITUTE(INDEX('Gate events'!$O$4:$O$553,MATCH(B73,'Gate events'!$A$4:$A$553,0))," ","")&amp;",")),"","UC-ID differs from decision")),IF(INDEX('Gate events'!$P$4:$P$553,MATCH(B73,'Gate events'!$A$4:$A$553,0))="Shared system baseline",IF(OR(L73&lt;&gt;"Shared system baseline",K73&lt;&gt;""),"Condition scope differs from decision",""),"Parent decision scope missing"))&lt;&gt;"",IF(INDEX('Gate events'!$P$4:$P$553,MATCH(B73,'Gate events'!$A$4:$A$553,0))="UC-ID specific",IF(OR(L73&lt;&gt;"UC-ID specific",K73=""),"Condition UC-ID required",IF(ISNUMBER(SEARCH(","&amp;SUBSTITUTE(K73," ","")&amp;",",","&amp;SUBSTITUTE(INDEX('Gate events'!$O$4:$O$553,MATCH(B73,'Gate events'!$A$4:$A$553,0))," ","")&amp;",")),"","UC-ID differs from decision")),IF(INDEX('Gate events'!$P$4:$P$553,MATCH(B73,'Gate events'!$A$4:$A$553,0))="Shared system baseline",IF(OR(L73&lt;&gt;"Shared system baseline",K73&lt;&gt;""),"Condition scope differs from decision",""),"Parent decision scope missing")),IF(OR(D73="",E73="",F73="",G73=""),"Condition, owner, due date or state missing",IF(NOT(ISNUMBER(F73)),"Due date is not a date",IF(OR(G73="Overdue",G73="Superseded"),"Legacy state — owner review (use the shared five states)",IF(INDEX('Gate events'!$E$4:$E$553,MATCH(B73,'Gate events'!$A$4:$A$553,0))&lt;&gt;"Decision","Parent event is not a Decision",IF(AND(INDEX('Gate events'!$G$4:$G$553,MATCH(B73,'Gate events'!$A$4:$A$553,0))&lt;&gt;"Progress with condition",INDEX('Gate events'!$G$4:$G$553,MATCH(B73,'Gate events'!$A$4:$A$553,0))&lt;&gt;"Re-authorise",INDEX('Gate events'!$G$4:$G$553,MATCH(B73,'Gate events'!$A$4:$A$553,0))&lt;&gt;"Resume"),"Parent outcome is not Progress with condition / Re-authorise / Resume",IF(AND(ISNUMBER(INDEX('Gate events'!$F$4:$F$553,MATCH(B73,'Gate events'!$A$4:$A$553,0))),F73&lt;INDEX('Gate events'!$F$4:$F$553,MATCH(B73,'Gate events'!$A$4:$A$553,0))),"Due date before parent event date",IF(AND(OR(G73="Closed-verified",G73="Waived",G73="Accepted-open"),OR(H73="",I73="")),"Closure evidence missing",IF(AND(H73&lt;&gt;"",NOT(ISNUMBER(H73))),"Closed / waived on is not a date",IF(AND(ISNUMBER(H73),ISNUMBER(INDEX('Gate events'!$F$4:$F$553,MATCH(B73,'Gate events'!$A$4:$A$553,0))),H73&lt;INDEX('Gate events'!$F$4:$F$553,MATCH(B73,'Gate events'!$A$4:$A$553,0))),"Closure date before parent event date",IF(AND(G73="Closed-verified",M73=""),"Verifier / date missing",IF(AND(N73="Yes",G73="Closed-verified",O73=""),"Monitoring condition needs AIG-OPS-02 evidence ref",IF(AND(G73="Open",F73&lt;TODAY()),"OVERDUE (derived) — review",IF(G73="Unknown","State Unknown: owner to confirm","Check against source")))))))))))))))))))</f>
        <v/>
      </c>
      <c r="K73" s="37" t="n"/>
      <c r="L73" s="37" t="n"/>
      <c r="M73" s="40" t="n"/>
      <c r="N73" s="40" t="n"/>
      <c r="O73" s="40" t="n"/>
    </row>
    <row r="74">
      <c r="A74" s="38" t="n"/>
      <c r="B74" s="38" t="n"/>
      <c r="C74" s="38" t="n"/>
      <c r="D74" s="38" t="n"/>
      <c r="E74" s="38" t="n"/>
      <c r="F74" s="39" t="n"/>
      <c r="G74" s="38" t="n"/>
      <c r="H74" s="39" t="n"/>
      <c r="I74" s="38" t="n"/>
      <c r="J74" s="22">
        <f>IF(COUNTA(A74:I74,K74:O74)=0,"",IF(OR(A74="",B74="",C74=""),"ID / parent missing",IF(COUNTIF($A$4:$A$553,A74)&gt;1,"Duplicate condition ID",IF(COUNTIF('Gate events'!$A$4:$A$553,B74)=0,"Event ID not found",IF(INDEX('Gate events'!$B$4:$B$553,MATCH(B74,'Gate events'!$A$4:$A$553,0))&lt;&gt;C74,"AIR-ID differs from event",IF(IF(INDEX('Gate events'!$P$4:$P$553,MATCH(B74,'Gate events'!$A$4:$A$553,0))="UC-ID specific",IF(OR(L74&lt;&gt;"UC-ID specific",K74=""),"Condition UC-ID required",IF(ISNUMBER(SEARCH(","&amp;SUBSTITUTE(K74," ","")&amp;",",","&amp;SUBSTITUTE(INDEX('Gate events'!$O$4:$O$553,MATCH(B74,'Gate events'!$A$4:$A$553,0))," ","")&amp;",")),"","UC-ID differs from decision")),IF(INDEX('Gate events'!$P$4:$P$553,MATCH(B74,'Gate events'!$A$4:$A$553,0))="Shared system baseline",IF(OR(L74&lt;&gt;"Shared system baseline",K74&lt;&gt;""),"Condition scope differs from decision",""),"Parent decision scope missing"))&lt;&gt;"",IF(INDEX('Gate events'!$P$4:$P$553,MATCH(B74,'Gate events'!$A$4:$A$553,0))="UC-ID specific",IF(OR(L74&lt;&gt;"UC-ID specific",K74=""),"Condition UC-ID required",IF(ISNUMBER(SEARCH(","&amp;SUBSTITUTE(K74," ","")&amp;",",","&amp;SUBSTITUTE(INDEX('Gate events'!$O$4:$O$553,MATCH(B74,'Gate events'!$A$4:$A$553,0))," ","")&amp;",")),"","UC-ID differs from decision")),IF(INDEX('Gate events'!$P$4:$P$553,MATCH(B74,'Gate events'!$A$4:$A$553,0))="Shared system baseline",IF(OR(L74&lt;&gt;"Shared system baseline",K74&lt;&gt;""),"Condition scope differs from decision",""),"Parent decision scope missing")),IF(OR(D74="",E74="",F74="",G74=""),"Condition, owner, due date or state missing",IF(NOT(ISNUMBER(F74)),"Due date is not a date",IF(OR(G74="Overdue",G74="Superseded"),"Legacy state — owner review (use the shared five states)",IF(INDEX('Gate events'!$E$4:$E$553,MATCH(B74,'Gate events'!$A$4:$A$553,0))&lt;&gt;"Decision","Parent event is not a Decision",IF(AND(INDEX('Gate events'!$G$4:$G$553,MATCH(B74,'Gate events'!$A$4:$A$553,0))&lt;&gt;"Progress with condition",INDEX('Gate events'!$G$4:$G$553,MATCH(B74,'Gate events'!$A$4:$A$553,0))&lt;&gt;"Re-authorise",INDEX('Gate events'!$G$4:$G$553,MATCH(B74,'Gate events'!$A$4:$A$553,0))&lt;&gt;"Resume"),"Parent outcome is not Progress with condition / Re-authorise / Resume",IF(AND(ISNUMBER(INDEX('Gate events'!$F$4:$F$553,MATCH(B74,'Gate events'!$A$4:$A$553,0))),F74&lt;INDEX('Gate events'!$F$4:$F$553,MATCH(B74,'Gate events'!$A$4:$A$553,0))),"Due date before parent event date",IF(AND(OR(G74="Closed-verified",G74="Waived",G74="Accepted-open"),OR(H74="",I74="")),"Closure evidence missing",IF(AND(H74&lt;&gt;"",NOT(ISNUMBER(H74))),"Closed / waived on is not a date",IF(AND(ISNUMBER(H74),ISNUMBER(INDEX('Gate events'!$F$4:$F$553,MATCH(B74,'Gate events'!$A$4:$A$553,0))),H74&lt;INDEX('Gate events'!$F$4:$F$553,MATCH(B74,'Gate events'!$A$4:$A$553,0))),"Closure date before parent event date",IF(AND(G74="Closed-verified",M74=""),"Verifier / date missing",IF(AND(N74="Yes",G74="Closed-verified",O74=""),"Monitoring condition needs AIG-OPS-02 evidence ref",IF(AND(G74="Open",F74&lt;TODAY()),"OVERDUE (derived) — review",IF(G74="Unknown","State Unknown: owner to confirm","Check against source")))))))))))))))))))</f>
        <v/>
      </c>
      <c r="K74" s="37" t="n"/>
      <c r="L74" s="37" t="n"/>
      <c r="M74" s="38" t="n"/>
      <c r="N74" s="38" t="n"/>
      <c r="O74" s="38" t="n"/>
    </row>
    <row r="75">
      <c r="A75" s="40" t="n"/>
      <c r="B75" s="40" t="n"/>
      <c r="C75" s="40" t="n"/>
      <c r="D75" s="40" t="n"/>
      <c r="E75" s="40" t="n"/>
      <c r="F75" s="41" t="n"/>
      <c r="G75" s="40" t="n"/>
      <c r="H75" s="41" t="n"/>
      <c r="I75" s="40" t="n"/>
      <c r="J75" s="24">
        <f>IF(COUNTA(A75:I75,K75:O75)=0,"",IF(OR(A75="",B75="",C75=""),"ID / parent missing",IF(COUNTIF($A$4:$A$553,A75)&gt;1,"Duplicate condition ID",IF(COUNTIF('Gate events'!$A$4:$A$553,B75)=0,"Event ID not found",IF(INDEX('Gate events'!$B$4:$B$553,MATCH(B75,'Gate events'!$A$4:$A$553,0))&lt;&gt;C75,"AIR-ID differs from event",IF(IF(INDEX('Gate events'!$P$4:$P$553,MATCH(B75,'Gate events'!$A$4:$A$553,0))="UC-ID specific",IF(OR(L75&lt;&gt;"UC-ID specific",K75=""),"Condition UC-ID required",IF(ISNUMBER(SEARCH(","&amp;SUBSTITUTE(K75," ","")&amp;",",","&amp;SUBSTITUTE(INDEX('Gate events'!$O$4:$O$553,MATCH(B75,'Gate events'!$A$4:$A$553,0))," ","")&amp;",")),"","UC-ID differs from decision")),IF(INDEX('Gate events'!$P$4:$P$553,MATCH(B75,'Gate events'!$A$4:$A$553,0))="Shared system baseline",IF(OR(L75&lt;&gt;"Shared system baseline",K75&lt;&gt;""),"Condition scope differs from decision",""),"Parent decision scope missing"))&lt;&gt;"",IF(INDEX('Gate events'!$P$4:$P$553,MATCH(B75,'Gate events'!$A$4:$A$553,0))="UC-ID specific",IF(OR(L75&lt;&gt;"UC-ID specific",K75=""),"Condition UC-ID required",IF(ISNUMBER(SEARCH(","&amp;SUBSTITUTE(K75," ","")&amp;",",","&amp;SUBSTITUTE(INDEX('Gate events'!$O$4:$O$553,MATCH(B75,'Gate events'!$A$4:$A$553,0))," ","")&amp;",")),"","UC-ID differs from decision")),IF(INDEX('Gate events'!$P$4:$P$553,MATCH(B75,'Gate events'!$A$4:$A$553,0))="Shared system baseline",IF(OR(L75&lt;&gt;"Shared system baseline",K75&lt;&gt;""),"Condition scope differs from decision",""),"Parent decision scope missing")),IF(OR(D75="",E75="",F75="",G75=""),"Condition, owner, due date or state missing",IF(NOT(ISNUMBER(F75)),"Due date is not a date",IF(OR(G75="Overdue",G75="Superseded"),"Legacy state — owner review (use the shared five states)",IF(INDEX('Gate events'!$E$4:$E$553,MATCH(B75,'Gate events'!$A$4:$A$553,0))&lt;&gt;"Decision","Parent event is not a Decision",IF(AND(INDEX('Gate events'!$G$4:$G$553,MATCH(B75,'Gate events'!$A$4:$A$553,0))&lt;&gt;"Progress with condition",INDEX('Gate events'!$G$4:$G$553,MATCH(B75,'Gate events'!$A$4:$A$553,0))&lt;&gt;"Re-authorise",INDEX('Gate events'!$G$4:$G$553,MATCH(B75,'Gate events'!$A$4:$A$553,0))&lt;&gt;"Resume"),"Parent outcome is not Progress with condition / Re-authorise / Resume",IF(AND(ISNUMBER(INDEX('Gate events'!$F$4:$F$553,MATCH(B75,'Gate events'!$A$4:$A$553,0))),F75&lt;INDEX('Gate events'!$F$4:$F$553,MATCH(B75,'Gate events'!$A$4:$A$553,0))),"Due date before parent event date",IF(AND(OR(G75="Closed-verified",G75="Waived",G75="Accepted-open"),OR(H75="",I75="")),"Closure evidence missing",IF(AND(H75&lt;&gt;"",NOT(ISNUMBER(H75))),"Closed / waived on is not a date",IF(AND(ISNUMBER(H75),ISNUMBER(INDEX('Gate events'!$F$4:$F$553,MATCH(B75,'Gate events'!$A$4:$A$553,0))),H75&lt;INDEX('Gate events'!$F$4:$F$553,MATCH(B75,'Gate events'!$A$4:$A$553,0))),"Closure date before parent event date",IF(AND(G75="Closed-verified",M75=""),"Verifier / date missing",IF(AND(N75="Yes",G75="Closed-verified",O75=""),"Monitoring condition needs AIG-OPS-02 evidence ref",IF(AND(G75="Open",F75&lt;TODAY()),"OVERDUE (derived) — review",IF(G75="Unknown","State Unknown: owner to confirm","Check against source")))))))))))))))))))</f>
        <v/>
      </c>
      <c r="K75" s="37" t="n"/>
      <c r="L75" s="37" t="n"/>
      <c r="M75" s="40" t="n"/>
      <c r="N75" s="40" t="n"/>
      <c r="O75" s="40" t="n"/>
    </row>
    <row r="76">
      <c r="A76" s="38" t="n"/>
      <c r="B76" s="38" t="n"/>
      <c r="C76" s="38" t="n"/>
      <c r="D76" s="38" t="n"/>
      <c r="E76" s="38" t="n"/>
      <c r="F76" s="39" t="n"/>
      <c r="G76" s="38" t="n"/>
      <c r="H76" s="39" t="n"/>
      <c r="I76" s="38" t="n"/>
      <c r="J76" s="22">
        <f>IF(COUNTA(A76:I76,K76:O76)=0,"",IF(OR(A76="",B76="",C76=""),"ID / parent missing",IF(COUNTIF($A$4:$A$553,A76)&gt;1,"Duplicate condition ID",IF(COUNTIF('Gate events'!$A$4:$A$553,B76)=0,"Event ID not found",IF(INDEX('Gate events'!$B$4:$B$553,MATCH(B76,'Gate events'!$A$4:$A$553,0))&lt;&gt;C76,"AIR-ID differs from event",IF(IF(INDEX('Gate events'!$P$4:$P$553,MATCH(B76,'Gate events'!$A$4:$A$553,0))="UC-ID specific",IF(OR(L76&lt;&gt;"UC-ID specific",K76=""),"Condition UC-ID required",IF(ISNUMBER(SEARCH(","&amp;SUBSTITUTE(K76," ","")&amp;",",","&amp;SUBSTITUTE(INDEX('Gate events'!$O$4:$O$553,MATCH(B76,'Gate events'!$A$4:$A$553,0))," ","")&amp;",")),"","UC-ID differs from decision")),IF(INDEX('Gate events'!$P$4:$P$553,MATCH(B76,'Gate events'!$A$4:$A$553,0))="Shared system baseline",IF(OR(L76&lt;&gt;"Shared system baseline",K76&lt;&gt;""),"Condition scope differs from decision",""),"Parent decision scope missing"))&lt;&gt;"",IF(INDEX('Gate events'!$P$4:$P$553,MATCH(B76,'Gate events'!$A$4:$A$553,0))="UC-ID specific",IF(OR(L76&lt;&gt;"UC-ID specific",K76=""),"Condition UC-ID required",IF(ISNUMBER(SEARCH(","&amp;SUBSTITUTE(K76," ","")&amp;",",","&amp;SUBSTITUTE(INDEX('Gate events'!$O$4:$O$553,MATCH(B76,'Gate events'!$A$4:$A$553,0))," ","")&amp;",")),"","UC-ID differs from decision")),IF(INDEX('Gate events'!$P$4:$P$553,MATCH(B76,'Gate events'!$A$4:$A$553,0))="Shared system baseline",IF(OR(L76&lt;&gt;"Shared system baseline",K76&lt;&gt;""),"Condition scope differs from decision",""),"Parent decision scope missing")),IF(OR(D76="",E76="",F76="",G76=""),"Condition, owner, due date or state missing",IF(NOT(ISNUMBER(F76)),"Due date is not a date",IF(OR(G76="Overdue",G76="Superseded"),"Legacy state — owner review (use the shared five states)",IF(INDEX('Gate events'!$E$4:$E$553,MATCH(B76,'Gate events'!$A$4:$A$553,0))&lt;&gt;"Decision","Parent event is not a Decision",IF(AND(INDEX('Gate events'!$G$4:$G$553,MATCH(B76,'Gate events'!$A$4:$A$553,0))&lt;&gt;"Progress with condition",INDEX('Gate events'!$G$4:$G$553,MATCH(B76,'Gate events'!$A$4:$A$553,0))&lt;&gt;"Re-authorise",INDEX('Gate events'!$G$4:$G$553,MATCH(B76,'Gate events'!$A$4:$A$553,0))&lt;&gt;"Resume"),"Parent outcome is not Progress with condition / Re-authorise / Resume",IF(AND(ISNUMBER(INDEX('Gate events'!$F$4:$F$553,MATCH(B76,'Gate events'!$A$4:$A$553,0))),F76&lt;INDEX('Gate events'!$F$4:$F$553,MATCH(B76,'Gate events'!$A$4:$A$553,0))),"Due date before parent event date",IF(AND(OR(G76="Closed-verified",G76="Waived",G76="Accepted-open"),OR(H76="",I76="")),"Closure evidence missing",IF(AND(H76&lt;&gt;"",NOT(ISNUMBER(H76))),"Closed / waived on is not a date",IF(AND(ISNUMBER(H76),ISNUMBER(INDEX('Gate events'!$F$4:$F$553,MATCH(B76,'Gate events'!$A$4:$A$553,0))),H76&lt;INDEX('Gate events'!$F$4:$F$553,MATCH(B76,'Gate events'!$A$4:$A$553,0))),"Closure date before parent event date",IF(AND(G76="Closed-verified",M76=""),"Verifier / date missing",IF(AND(N76="Yes",G76="Closed-verified",O76=""),"Monitoring condition needs AIG-OPS-02 evidence ref",IF(AND(G76="Open",F76&lt;TODAY()),"OVERDUE (derived) — review",IF(G76="Unknown","State Unknown: owner to confirm","Check against source")))))))))))))))))))</f>
        <v/>
      </c>
      <c r="K76" s="37" t="n"/>
      <c r="L76" s="37" t="n"/>
      <c r="M76" s="38" t="n"/>
      <c r="N76" s="38" t="n"/>
      <c r="O76" s="38" t="n"/>
    </row>
    <row r="77">
      <c r="A77" s="40" t="n"/>
      <c r="B77" s="40" t="n"/>
      <c r="C77" s="40" t="n"/>
      <c r="D77" s="40" t="n"/>
      <c r="E77" s="40" t="n"/>
      <c r="F77" s="41" t="n"/>
      <c r="G77" s="40" t="n"/>
      <c r="H77" s="41" t="n"/>
      <c r="I77" s="40" t="n"/>
      <c r="J77" s="24">
        <f>IF(COUNTA(A77:I77,K77:O77)=0,"",IF(OR(A77="",B77="",C77=""),"ID / parent missing",IF(COUNTIF($A$4:$A$553,A77)&gt;1,"Duplicate condition ID",IF(COUNTIF('Gate events'!$A$4:$A$553,B77)=0,"Event ID not found",IF(INDEX('Gate events'!$B$4:$B$553,MATCH(B77,'Gate events'!$A$4:$A$553,0))&lt;&gt;C77,"AIR-ID differs from event",IF(IF(INDEX('Gate events'!$P$4:$P$553,MATCH(B77,'Gate events'!$A$4:$A$553,0))="UC-ID specific",IF(OR(L77&lt;&gt;"UC-ID specific",K77=""),"Condition UC-ID required",IF(ISNUMBER(SEARCH(","&amp;SUBSTITUTE(K77," ","")&amp;",",","&amp;SUBSTITUTE(INDEX('Gate events'!$O$4:$O$553,MATCH(B77,'Gate events'!$A$4:$A$553,0))," ","")&amp;",")),"","UC-ID differs from decision")),IF(INDEX('Gate events'!$P$4:$P$553,MATCH(B77,'Gate events'!$A$4:$A$553,0))="Shared system baseline",IF(OR(L77&lt;&gt;"Shared system baseline",K77&lt;&gt;""),"Condition scope differs from decision",""),"Parent decision scope missing"))&lt;&gt;"",IF(INDEX('Gate events'!$P$4:$P$553,MATCH(B77,'Gate events'!$A$4:$A$553,0))="UC-ID specific",IF(OR(L77&lt;&gt;"UC-ID specific",K77=""),"Condition UC-ID required",IF(ISNUMBER(SEARCH(","&amp;SUBSTITUTE(K77," ","")&amp;",",","&amp;SUBSTITUTE(INDEX('Gate events'!$O$4:$O$553,MATCH(B77,'Gate events'!$A$4:$A$553,0))," ","")&amp;",")),"","UC-ID differs from decision")),IF(INDEX('Gate events'!$P$4:$P$553,MATCH(B77,'Gate events'!$A$4:$A$553,0))="Shared system baseline",IF(OR(L77&lt;&gt;"Shared system baseline",K77&lt;&gt;""),"Condition scope differs from decision",""),"Parent decision scope missing")),IF(OR(D77="",E77="",F77="",G77=""),"Condition, owner, due date or state missing",IF(NOT(ISNUMBER(F77)),"Due date is not a date",IF(OR(G77="Overdue",G77="Superseded"),"Legacy state — owner review (use the shared five states)",IF(INDEX('Gate events'!$E$4:$E$553,MATCH(B77,'Gate events'!$A$4:$A$553,0))&lt;&gt;"Decision","Parent event is not a Decision",IF(AND(INDEX('Gate events'!$G$4:$G$553,MATCH(B77,'Gate events'!$A$4:$A$553,0))&lt;&gt;"Progress with condition",INDEX('Gate events'!$G$4:$G$553,MATCH(B77,'Gate events'!$A$4:$A$553,0))&lt;&gt;"Re-authorise",INDEX('Gate events'!$G$4:$G$553,MATCH(B77,'Gate events'!$A$4:$A$553,0))&lt;&gt;"Resume"),"Parent outcome is not Progress with condition / Re-authorise / Resume",IF(AND(ISNUMBER(INDEX('Gate events'!$F$4:$F$553,MATCH(B77,'Gate events'!$A$4:$A$553,0))),F77&lt;INDEX('Gate events'!$F$4:$F$553,MATCH(B77,'Gate events'!$A$4:$A$553,0))),"Due date before parent event date",IF(AND(OR(G77="Closed-verified",G77="Waived",G77="Accepted-open"),OR(H77="",I77="")),"Closure evidence missing",IF(AND(H77&lt;&gt;"",NOT(ISNUMBER(H77))),"Closed / waived on is not a date",IF(AND(ISNUMBER(H77),ISNUMBER(INDEX('Gate events'!$F$4:$F$553,MATCH(B77,'Gate events'!$A$4:$A$553,0))),H77&lt;INDEX('Gate events'!$F$4:$F$553,MATCH(B77,'Gate events'!$A$4:$A$553,0))),"Closure date before parent event date",IF(AND(G77="Closed-verified",M77=""),"Verifier / date missing",IF(AND(N77="Yes",G77="Closed-verified",O77=""),"Monitoring condition needs AIG-OPS-02 evidence ref",IF(AND(G77="Open",F77&lt;TODAY()),"OVERDUE (derived) — review",IF(G77="Unknown","State Unknown: owner to confirm","Check against source")))))))))))))))))))</f>
        <v/>
      </c>
      <c r="K77" s="37" t="n"/>
      <c r="L77" s="37" t="n"/>
      <c r="M77" s="40" t="n"/>
      <c r="N77" s="40" t="n"/>
      <c r="O77" s="40" t="n"/>
    </row>
    <row r="78">
      <c r="A78" s="38" t="n"/>
      <c r="B78" s="38" t="n"/>
      <c r="C78" s="38" t="n"/>
      <c r="D78" s="38" t="n"/>
      <c r="E78" s="38" t="n"/>
      <c r="F78" s="39" t="n"/>
      <c r="G78" s="38" t="n"/>
      <c r="H78" s="39" t="n"/>
      <c r="I78" s="38" t="n"/>
      <c r="J78" s="22">
        <f>IF(COUNTA(A78:I78,K78:O78)=0,"",IF(OR(A78="",B78="",C78=""),"ID / parent missing",IF(COUNTIF($A$4:$A$553,A78)&gt;1,"Duplicate condition ID",IF(COUNTIF('Gate events'!$A$4:$A$553,B78)=0,"Event ID not found",IF(INDEX('Gate events'!$B$4:$B$553,MATCH(B78,'Gate events'!$A$4:$A$553,0))&lt;&gt;C78,"AIR-ID differs from event",IF(IF(INDEX('Gate events'!$P$4:$P$553,MATCH(B78,'Gate events'!$A$4:$A$553,0))="UC-ID specific",IF(OR(L78&lt;&gt;"UC-ID specific",K78=""),"Condition UC-ID required",IF(ISNUMBER(SEARCH(","&amp;SUBSTITUTE(K78," ","")&amp;",",","&amp;SUBSTITUTE(INDEX('Gate events'!$O$4:$O$553,MATCH(B78,'Gate events'!$A$4:$A$553,0))," ","")&amp;",")),"","UC-ID differs from decision")),IF(INDEX('Gate events'!$P$4:$P$553,MATCH(B78,'Gate events'!$A$4:$A$553,0))="Shared system baseline",IF(OR(L78&lt;&gt;"Shared system baseline",K78&lt;&gt;""),"Condition scope differs from decision",""),"Parent decision scope missing"))&lt;&gt;"",IF(INDEX('Gate events'!$P$4:$P$553,MATCH(B78,'Gate events'!$A$4:$A$553,0))="UC-ID specific",IF(OR(L78&lt;&gt;"UC-ID specific",K78=""),"Condition UC-ID required",IF(ISNUMBER(SEARCH(","&amp;SUBSTITUTE(K78," ","")&amp;",",","&amp;SUBSTITUTE(INDEX('Gate events'!$O$4:$O$553,MATCH(B78,'Gate events'!$A$4:$A$553,0))," ","")&amp;",")),"","UC-ID differs from decision")),IF(INDEX('Gate events'!$P$4:$P$553,MATCH(B78,'Gate events'!$A$4:$A$553,0))="Shared system baseline",IF(OR(L78&lt;&gt;"Shared system baseline",K78&lt;&gt;""),"Condition scope differs from decision",""),"Parent decision scope missing")),IF(OR(D78="",E78="",F78="",G78=""),"Condition, owner, due date or state missing",IF(NOT(ISNUMBER(F78)),"Due date is not a date",IF(OR(G78="Overdue",G78="Superseded"),"Legacy state — owner review (use the shared five states)",IF(INDEX('Gate events'!$E$4:$E$553,MATCH(B78,'Gate events'!$A$4:$A$553,0))&lt;&gt;"Decision","Parent event is not a Decision",IF(AND(INDEX('Gate events'!$G$4:$G$553,MATCH(B78,'Gate events'!$A$4:$A$553,0))&lt;&gt;"Progress with condition",INDEX('Gate events'!$G$4:$G$553,MATCH(B78,'Gate events'!$A$4:$A$553,0))&lt;&gt;"Re-authorise",INDEX('Gate events'!$G$4:$G$553,MATCH(B78,'Gate events'!$A$4:$A$553,0))&lt;&gt;"Resume"),"Parent outcome is not Progress with condition / Re-authorise / Resume",IF(AND(ISNUMBER(INDEX('Gate events'!$F$4:$F$553,MATCH(B78,'Gate events'!$A$4:$A$553,0))),F78&lt;INDEX('Gate events'!$F$4:$F$553,MATCH(B78,'Gate events'!$A$4:$A$553,0))),"Due date before parent event date",IF(AND(OR(G78="Closed-verified",G78="Waived",G78="Accepted-open"),OR(H78="",I78="")),"Closure evidence missing",IF(AND(H78&lt;&gt;"",NOT(ISNUMBER(H78))),"Closed / waived on is not a date",IF(AND(ISNUMBER(H78),ISNUMBER(INDEX('Gate events'!$F$4:$F$553,MATCH(B78,'Gate events'!$A$4:$A$553,0))),H78&lt;INDEX('Gate events'!$F$4:$F$553,MATCH(B78,'Gate events'!$A$4:$A$553,0))),"Closure date before parent event date",IF(AND(G78="Closed-verified",M78=""),"Verifier / date missing",IF(AND(N78="Yes",G78="Closed-verified",O78=""),"Monitoring condition needs AIG-OPS-02 evidence ref",IF(AND(G78="Open",F78&lt;TODAY()),"OVERDUE (derived) — review",IF(G78="Unknown","State Unknown: owner to confirm","Check against source")))))))))))))))))))</f>
        <v/>
      </c>
      <c r="K78" s="37" t="n"/>
      <c r="L78" s="37" t="n"/>
      <c r="M78" s="38" t="n"/>
      <c r="N78" s="38" t="n"/>
      <c r="O78" s="38" t="n"/>
    </row>
    <row r="79">
      <c r="A79" s="40" t="n"/>
      <c r="B79" s="40" t="n"/>
      <c r="C79" s="40" t="n"/>
      <c r="D79" s="40" t="n"/>
      <c r="E79" s="40" t="n"/>
      <c r="F79" s="41" t="n"/>
      <c r="G79" s="40" t="n"/>
      <c r="H79" s="41" t="n"/>
      <c r="I79" s="40" t="n"/>
      <c r="J79" s="24">
        <f>IF(COUNTA(A79:I79,K79:O79)=0,"",IF(OR(A79="",B79="",C79=""),"ID / parent missing",IF(COUNTIF($A$4:$A$553,A79)&gt;1,"Duplicate condition ID",IF(COUNTIF('Gate events'!$A$4:$A$553,B79)=0,"Event ID not found",IF(INDEX('Gate events'!$B$4:$B$553,MATCH(B79,'Gate events'!$A$4:$A$553,0))&lt;&gt;C79,"AIR-ID differs from event",IF(IF(INDEX('Gate events'!$P$4:$P$553,MATCH(B79,'Gate events'!$A$4:$A$553,0))="UC-ID specific",IF(OR(L79&lt;&gt;"UC-ID specific",K79=""),"Condition UC-ID required",IF(ISNUMBER(SEARCH(","&amp;SUBSTITUTE(K79," ","")&amp;",",","&amp;SUBSTITUTE(INDEX('Gate events'!$O$4:$O$553,MATCH(B79,'Gate events'!$A$4:$A$553,0))," ","")&amp;",")),"","UC-ID differs from decision")),IF(INDEX('Gate events'!$P$4:$P$553,MATCH(B79,'Gate events'!$A$4:$A$553,0))="Shared system baseline",IF(OR(L79&lt;&gt;"Shared system baseline",K79&lt;&gt;""),"Condition scope differs from decision",""),"Parent decision scope missing"))&lt;&gt;"",IF(INDEX('Gate events'!$P$4:$P$553,MATCH(B79,'Gate events'!$A$4:$A$553,0))="UC-ID specific",IF(OR(L79&lt;&gt;"UC-ID specific",K79=""),"Condition UC-ID required",IF(ISNUMBER(SEARCH(","&amp;SUBSTITUTE(K79," ","")&amp;",",","&amp;SUBSTITUTE(INDEX('Gate events'!$O$4:$O$553,MATCH(B79,'Gate events'!$A$4:$A$553,0))," ","")&amp;",")),"","UC-ID differs from decision")),IF(INDEX('Gate events'!$P$4:$P$553,MATCH(B79,'Gate events'!$A$4:$A$553,0))="Shared system baseline",IF(OR(L79&lt;&gt;"Shared system baseline",K79&lt;&gt;""),"Condition scope differs from decision",""),"Parent decision scope missing")),IF(OR(D79="",E79="",F79="",G79=""),"Condition, owner, due date or state missing",IF(NOT(ISNUMBER(F79)),"Due date is not a date",IF(OR(G79="Overdue",G79="Superseded"),"Legacy state — owner review (use the shared five states)",IF(INDEX('Gate events'!$E$4:$E$553,MATCH(B79,'Gate events'!$A$4:$A$553,0))&lt;&gt;"Decision","Parent event is not a Decision",IF(AND(INDEX('Gate events'!$G$4:$G$553,MATCH(B79,'Gate events'!$A$4:$A$553,0))&lt;&gt;"Progress with condition",INDEX('Gate events'!$G$4:$G$553,MATCH(B79,'Gate events'!$A$4:$A$553,0))&lt;&gt;"Re-authorise",INDEX('Gate events'!$G$4:$G$553,MATCH(B79,'Gate events'!$A$4:$A$553,0))&lt;&gt;"Resume"),"Parent outcome is not Progress with condition / Re-authorise / Resume",IF(AND(ISNUMBER(INDEX('Gate events'!$F$4:$F$553,MATCH(B79,'Gate events'!$A$4:$A$553,0))),F79&lt;INDEX('Gate events'!$F$4:$F$553,MATCH(B79,'Gate events'!$A$4:$A$553,0))),"Due date before parent event date",IF(AND(OR(G79="Closed-verified",G79="Waived",G79="Accepted-open"),OR(H79="",I79="")),"Closure evidence missing",IF(AND(H79&lt;&gt;"",NOT(ISNUMBER(H79))),"Closed / waived on is not a date",IF(AND(ISNUMBER(H79),ISNUMBER(INDEX('Gate events'!$F$4:$F$553,MATCH(B79,'Gate events'!$A$4:$A$553,0))),H79&lt;INDEX('Gate events'!$F$4:$F$553,MATCH(B79,'Gate events'!$A$4:$A$553,0))),"Closure date before parent event date",IF(AND(G79="Closed-verified",M79=""),"Verifier / date missing",IF(AND(N79="Yes",G79="Closed-verified",O79=""),"Monitoring condition needs AIG-OPS-02 evidence ref",IF(AND(G79="Open",F79&lt;TODAY()),"OVERDUE (derived) — review",IF(G79="Unknown","State Unknown: owner to confirm","Check against source")))))))))))))))))))</f>
        <v/>
      </c>
      <c r="K79" s="37" t="n"/>
      <c r="L79" s="37" t="n"/>
      <c r="M79" s="40" t="n"/>
      <c r="N79" s="40" t="n"/>
      <c r="O79" s="40" t="n"/>
    </row>
    <row r="80">
      <c r="A80" s="38" t="n"/>
      <c r="B80" s="38" t="n"/>
      <c r="C80" s="38" t="n"/>
      <c r="D80" s="38" t="n"/>
      <c r="E80" s="38" t="n"/>
      <c r="F80" s="39" t="n"/>
      <c r="G80" s="38" t="n"/>
      <c r="H80" s="39" t="n"/>
      <c r="I80" s="38" t="n"/>
      <c r="J80" s="22">
        <f>IF(COUNTA(A80:I80,K80:O80)=0,"",IF(OR(A80="",B80="",C80=""),"ID / parent missing",IF(COUNTIF($A$4:$A$553,A80)&gt;1,"Duplicate condition ID",IF(COUNTIF('Gate events'!$A$4:$A$553,B80)=0,"Event ID not found",IF(INDEX('Gate events'!$B$4:$B$553,MATCH(B80,'Gate events'!$A$4:$A$553,0))&lt;&gt;C80,"AIR-ID differs from event",IF(IF(INDEX('Gate events'!$P$4:$P$553,MATCH(B80,'Gate events'!$A$4:$A$553,0))="UC-ID specific",IF(OR(L80&lt;&gt;"UC-ID specific",K80=""),"Condition UC-ID required",IF(ISNUMBER(SEARCH(","&amp;SUBSTITUTE(K80," ","")&amp;",",","&amp;SUBSTITUTE(INDEX('Gate events'!$O$4:$O$553,MATCH(B80,'Gate events'!$A$4:$A$553,0))," ","")&amp;",")),"","UC-ID differs from decision")),IF(INDEX('Gate events'!$P$4:$P$553,MATCH(B80,'Gate events'!$A$4:$A$553,0))="Shared system baseline",IF(OR(L80&lt;&gt;"Shared system baseline",K80&lt;&gt;""),"Condition scope differs from decision",""),"Parent decision scope missing"))&lt;&gt;"",IF(INDEX('Gate events'!$P$4:$P$553,MATCH(B80,'Gate events'!$A$4:$A$553,0))="UC-ID specific",IF(OR(L80&lt;&gt;"UC-ID specific",K80=""),"Condition UC-ID required",IF(ISNUMBER(SEARCH(","&amp;SUBSTITUTE(K80," ","")&amp;",",","&amp;SUBSTITUTE(INDEX('Gate events'!$O$4:$O$553,MATCH(B80,'Gate events'!$A$4:$A$553,0))," ","")&amp;",")),"","UC-ID differs from decision")),IF(INDEX('Gate events'!$P$4:$P$553,MATCH(B80,'Gate events'!$A$4:$A$553,0))="Shared system baseline",IF(OR(L80&lt;&gt;"Shared system baseline",K80&lt;&gt;""),"Condition scope differs from decision",""),"Parent decision scope missing")),IF(OR(D80="",E80="",F80="",G80=""),"Condition, owner, due date or state missing",IF(NOT(ISNUMBER(F80)),"Due date is not a date",IF(OR(G80="Overdue",G80="Superseded"),"Legacy state — owner review (use the shared five states)",IF(INDEX('Gate events'!$E$4:$E$553,MATCH(B80,'Gate events'!$A$4:$A$553,0))&lt;&gt;"Decision","Parent event is not a Decision",IF(AND(INDEX('Gate events'!$G$4:$G$553,MATCH(B80,'Gate events'!$A$4:$A$553,0))&lt;&gt;"Progress with condition",INDEX('Gate events'!$G$4:$G$553,MATCH(B80,'Gate events'!$A$4:$A$553,0))&lt;&gt;"Re-authorise",INDEX('Gate events'!$G$4:$G$553,MATCH(B80,'Gate events'!$A$4:$A$553,0))&lt;&gt;"Resume"),"Parent outcome is not Progress with condition / Re-authorise / Resume",IF(AND(ISNUMBER(INDEX('Gate events'!$F$4:$F$553,MATCH(B80,'Gate events'!$A$4:$A$553,0))),F80&lt;INDEX('Gate events'!$F$4:$F$553,MATCH(B80,'Gate events'!$A$4:$A$553,0))),"Due date before parent event date",IF(AND(OR(G80="Closed-verified",G80="Waived",G80="Accepted-open"),OR(H80="",I80="")),"Closure evidence missing",IF(AND(H80&lt;&gt;"",NOT(ISNUMBER(H80))),"Closed / waived on is not a date",IF(AND(ISNUMBER(H80),ISNUMBER(INDEX('Gate events'!$F$4:$F$553,MATCH(B80,'Gate events'!$A$4:$A$553,0))),H80&lt;INDEX('Gate events'!$F$4:$F$553,MATCH(B80,'Gate events'!$A$4:$A$553,0))),"Closure date before parent event date",IF(AND(G80="Closed-verified",M80=""),"Verifier / date missing",IF(AND(N80="Yes",G80="Closed-verified",O80=""),"Monitoring condition needs AIG-OPS-02 evidence ref",IF(AND(G80="Open",F80&lt;TODAY()),"OVERDUE (derived) — review",IF(G80="Unknown","State Unknown: owner to confirm","Check against source")))))))))))))))))))</f>
        <v/>
      </c>
      <c r="K80" s="37" t="n"/>
      <c r="L80" s="37" t="n"/>
      <c r="M80" s="38" t="n"/>
      <c r="N80" s="38" t="n"/>
      <c r="O80" s="38" t="n"/>
    </row>
    <row r="81">
      <c r="A81" s="40" t="n"/>
      <c r="B81" s="40" t="n"/>
      <c r="C81" s="40" t="n"/>
      <c r="D81" s="40" t="n"/>
      <c r="E81" s="40" t="n"/>
      <c r="F81" s="41" t="n"/>
      <c r="G81" s="40" t="n"/>
      <c r="H81" s="41" t="n"/>
      <c r="I81" s="40" t="n"/>
      <c r="J81" s="24">
        <f>IF(COUNTA(A81:I81,K81:O81)=0,"",IF(OR(A81="",B81="",C81=""),"ID / parent missing",IF(COUNTIF($A$4:$A$553,A81)&gt;1,"Duplicate condition ID",IF(COUNTIF('Gate events'!$A$4:$A$553,B81)=0,"Event ID not found",IF(INDEX('Gate events'!$B$4:$B$553,MATCH(B81,'Gate events'!$A$4:$A$553,0))&lt;&gt;C81,"AIR-ID differs from event",IF(IF(INDEX('Gate events'!$P$4:$P$553,MATCH(B81,'Gate events'!$A$4:$A$553,0))="UC-ID specific",IF(OR(L81&lt;&gt;"UC-ID specific",K81=""),"Condition UC-ID required",IF(ISNUMBER(SEARCH(","&amp;SUBSTITUTE(K81," ","")&amp;",",","&amp;SUBSTITUTE(INDEX('Gate events'!$O$4:$O$553,MATCH(B81,'Gate events'!$A$4:$A$553,0))," ","")&amp;",")),"","UC-ID differs from decision")),IF(INDEX('Gate events'!$P$4:$P$553,MATCH(B81,'Gate events'!$A$4:$A$553,0))="Shared system baseline",IF(OR(L81&lt;&gt;"Shared system baseline",K81&lt;&gt;""),"Condition scope differs from decision",""),"Parent decision scope missing"))&lt;&gt;"",IF(INDEX('Gate events'!$P$4:$P$553,MATCH(B81,'Gate events'!$A$4:$A$553,0))="UC-ID specific",IF(OR(L81&lt;&gt;"UC-ID specific",K81=""),"Condition UC-ID required",IF(ISNUMBER(SEARCH(","&amp;SUBSTITUTE(K81," ","")&amp;",",","&amp;SUBSTITUTE(INDEX('Gate events'!$O$4:$O$553,MATCH(B81,'Gate events'!$A$4:$A$553,0))," ","")&amp;",")),"","UC-ID differs from decision")),IF(INDEX('Gate events'!$P$4:$P$553,MATCH(B81,'Gate events'!$A$4:$A$553,0))="Shared system baseline",IF(OR(L81&lt;&gt;"Shared system baseline",K81&lt;&gt;""),"Condition scope differs from decision",""),"Parent decision scope missing")),IF(OR(D81="",E81="",F81="",G81=""),"Condition, owner, due date or state missing",IF(NOT(ISNUMBER(F81)),"Due date is not a date",IF(OR(G81="Overdue",G81="Superseded"),"Legacy state — owner review (use the shared five states)",IF(INDEX('Gate events'!$E$4:$E$553,MATCH(B81,'Gate events'!$A$4:$A$553,0))&lt;&gt;"Decision","Parent event is not a Decision",IF(AND(INDEX('Gate events'!$G$4:$G$553,MATCH(B81,'Gate events'!$A$4:$A$553,0))&lt;&gt;"Progress with condition",INDEX('Gate events'!$G$4:$G$553,MATCH(B81,'Gate events'!$A$4:$A$553,0))&lt;&gt;"Re-authorise",INDEX('Gate events'!$G$4:$G$553,MATCH(B81,'Gate events'!$A$4:$A$553,0))&lt;&gt;"Resume"),"Parent outcome is not Progress with condition / Re-authorise / Resume",IF(AND(ISNUMBER(INDEX('Gate events'!$F$4:$F$553,MATCH(B81,'Gate events'!$A$4:$A$553,0))),F81&lt;INDEX('Gate events'!$F$4:$F$553,MATCH(B81,'Gate events'!$A$4:$A$553,0))),"Due date before parent event date",IF(AND(OR(G81="Closed-verified",G81="Waived",G81="Accepted-open"),OR(H81="",I81="")),"Closure evidence missing",IF(AND(H81&lt;&gt;"",NOT(ISNUMBER(H81))),"Closed / waived on is not a date",IF(AND(ISNUMBER(H81),ISNUMBER(INDEX('Gate events'!$F$4:$F$553,MATCH(B81,'Gate events'!$A$4:$A$553,0))),H81&lt;INDEX('Gate events'!$F$4:$F$553,MATCH(B81,'Gate events'!$A$4:$A$553,0))),"Closure date before parent event date",IF(AND(G81="Closed-verified",M81=""),"Verifier / date missing",IF(AND(N81="Yes",G81="Closed-verified",O81=""),"Monitoring condition needs AIG-OPS-02 evidence ref",IF(AND(G81="Open",F81&lt;TODAY()),"OVERDUE (derived) — review",IF(G81="Unknown","State Unknown: owner to confirm","Check against source")))))))))))))))))))</f>
        <v/>
      </c>
      <c r="K81" s="37" t="n"/>
      <c r="L81" s="37" t="n"/>
      <c r="M81" s="40" t="n"/>
      <c r="N81" s="40" t="n"/>
      <c r="O81" s="40" t="n"/>
    </row>
    <row r="82">
      <c r="A82" s="38" t="n"/>
      <c r="B82" s="38" t="n"/>
      <c r="C82" s="38" t="n"/>
      <c r="D82" s="38" t="n"/>
      <c r="E82" s="38" t="n"/>
      <c r="F82" s="39" t="n"/>
      <c r="G82" s="38" t="n"/>
      <c r="H82" s="39" t="n"/>
      <c r="I82" s="38" t="n"/>
      <c r="J82" s="22">
        <f>IF(COUNTA(A82:I82,K82:O82)=0,"",IF(OR(A82="",B82="",C82=""),"ID / parent missing",IF(COUNTIF($A$4:$A$553,A82)&gt;1,"Duplicate condition ID",IF(COUNTIF('Gate events'!$A$4:$A$553,B82)=0,"Event ID not found",IF(INDEX('Gate events'!$B$4:$B$553,MATCH(B82,'Gate events'!$A$4:$A$553,0))&lt;&gt;C82,"AIR-ID differs from event",IF(IF(INDEX('Gate events'!$P$4:$P$553,MATCH(B82,'Gate events'!$A$4:$A$553,0))="UC-ID specific",IF(OR(L82&lt;&gt;"UC-ID specific",K82=""),"Condition UC-ID required",IF(ISNUMBER(SEARCH(","&amp;SUBSTITUTE(K82," ","")&amp;",",","&amp;SUBSTITUTE(INDEX('Gate events'!$O$4:$O$553,MATCH(B82,'Gate events'!$A$4:$A$553,0))," ","")&amp;",")),"","UC-ID differs from decision")),IF(INDEX('Gate events'!$P$4:$P$553,MATCH(B82,'Gate events'!$A$4:$A$553,0))="Shared system baseline",IF(OR(L82&lt;&gt;"Shared system baseline",K82&lt;&gt;""),"Condition scope differs from decision",""),"Parent decision scope missing"))&lt;&gt;"",IF(INDEX('Gate events'!$P$4:$P$553,MATCH(B82,'Gate events'!$A$4:$A$553,0))="UC-ID specific",IF(OR(L82&lt;&gt;"UC-ID specific",K82=""),"Condition UC-ID required",IF(ISNUMBER(SEARCH(","&amp;SUBSTITUTE(K82," ","")&amp;",",","&amp;SUBSTITUTE(INDEX('Gate events'!$O$4:$O$553,MATCH(B82,'Gate events'!$A$4:$A$553,0))," ","")&amp;",")),"","UC-ID differs from decision")),IF(INDEX('Gate events'!$P$4:$P$553,MATCH(B82,'Gate events'!$A$4:$A$553,0))="Shared system baseline",IF(OR(L82&lt;&gt;"Shared system baseline",K82&lt;&gt;""),"Condition scope differs from decision",""),"Parent decision scope missing")),IF(OR(D82="",E82="",F82="",G82=""),"Condition, owner, due date or state missing",IF(NOT(ISNUMBER(F82)),"Due date is not a date",IF(OR(G82="Overdue",G82="Superseded"),"Legacy state — owner review (use the shared five states)",IF(INDEX('Gate events'!$E$4:$E$553,MATCH(B82,'Gate events'!$A$4:$A$553,0))&lt;&gt;"Decision","Parent event is not a Decision",IF(AND(INDEX('Gate events'!$G$4:$G$553,MATCH(B82,'Gate events'!$A$4:$A$553,0))&lt;&gt;"Progress with condition",INDEX('Gate events'!$G$4:$G$553,MATCH(B82,'Gate events'!$A$4:$A$553,0))&lt;&gt;"Re-authorise",INDEX('Gate events'!$G$4:$G$553,MATCH(B82,'Gate events'!$A$4:$A$553,0))&lt;&gt;"Resume"),"Parent outcome is not Progress with condition / Re-authorise / Resume",IF(AND(ISNUMBER(INDEX('Gate events'!$F$4:$F$553,MATCH(B82,'Gate events'!$A$4:$A$553,0))),F82&lt;INDEX('Gate events'!$F$4:$F$553,MATCH(B82,'Gate events'!$A$4:$A$553,0))),"Due date before parent event date",IF(AND(OR(G82="Closed-verified",G82="Waived",G82="Accepted-open"),OR(H82="",I82="")),"Closure evidence missing",IF(AND(H82&lt;&gt;"",NOT(ISNUMBER(H82))),"Closed / waived on is not a date",IF(AND(ISNUMBER(H82),ISNUMBER(INDEX('Gate events'!$F$4:$F$553,MATCH(B82,'Gate events'!$A$4:$A$553,0))),H82&lt;INDEX('Gate events'!$F$4:$F$553,MATCH(B82,'Gate events'!$A$4:$A$553,0))),"Closure date before parent event date",IF(AND(G82="Closed-verified",M82=""),"Verifier / date missing",IF(AND(N82="Yes",G82="Closed-verified",O82=""),"Monitoring condition needs AIG-OPS-02 evidence ref",IF(AND(G82="Open",F82&lt;TODAY()),"OVERDUE (derived) — review",IF(G82="Unknown","State Unknown: owner to confirm","Check against source")))))))))))))))))))</f>
        <v/>
      </c>
      <c r="K82" s="37" t="n"/>
      <c r="L82" s="37" t="n"/>
      <c r="M82" s="38" t="n"/>
      <c r="N82" s="38" t="n"/>
      <c r="O82" s="38" t="n"/>
    </row>
    <row r="83">
      <c r="A83" s="40" t="n"/>
      <c r="B83" s="40" t="n"/>
      <c r="C83" s="40" t="n"/>
      <c r="D83" s="40" t="n"/>
      <c r="E83" s="40" t="n"/>
      <c r="F83" s="41" t="n"/>
      <c r="G83" s="40" t="n"/>
      <c r="H83" s="41" t="n"/>
      <c r="I83" s="40" t="n"/>
      <c r="J83" s="24">
        <f>IF(COUNTA(A83:I83,K83:O83)=0,"",IF(OR(A83="",B83="",C83=""),"ID / parent missing",IF(COUNTIF($A$4:$A$553,A83)&gt;1,"Duplicate condition ID",IF(COUNTIF('Gate events'!$A$4:$A$553,B83)=0,"Event ID not found",IF(INDEX('Gate events'!$B$4:$B$553,MATCH(B83,'Gate events'!$A$4:$A$553,0))&lt;&gt;C83,"AIR-ID differs from event",IF(IF(INDEX('Gate events'!$P$4:$P$553,MATCH(B83,'Gate events'!$A$4:$A$553,0))="UC-ID specific",IF(OR(L83&lt;&gt;"UC-ID specific",K83=""),"Condition UC-ID required",IF(ISNUMBER(SEARCH(","&amp;SUBSTITUTE(K83," ","")&amp;",",","&amp;SUBSTITUTE(INDEX('Gate events'!$O$4:$O$553,MATCH(B83,'Gate events'!$A$4:$A$553,0))," ","")&amp;",")),"","UC-ID differs from decision")),IF(INDEX('Gate events'!$P$4:$P$553,MATCH(B83,'Gate events'!$A$4:$A$553,0))="Shared system baseline",IF(OR(L83&lt;&gt;"Shared system baseline",K83&lt;&gt;""),"Condition scope differs from decision",""),"Parent decision scope missing"))&lt;&gt;"",IF(INDEX('Gate events'!$P$4:$P$553,MATCH(B83,'Gate events'!$A$4:$A$553,0))="UC-ID specific",IF(OR(L83&lt;&gt;"UC-ID specific",K83=""),"Condition UC-ID required",IF(ISNUMBER(SEARCH(","&amp;SUBSTITUTE(K83," ","")&amp;",",","&amp;SUBSTITUTE(INDEX('Gate events'!$O$4:$O$553,MATCH(B83,'Gate events'!$A$4:$A$553,0))," ","")&amp;",")),"","UC-ID differs from decision")),IF(INDEX('Gate events'!$P$4:$P$553,MATCH(B83,'Gate events'!$A$4:$A$553,0))="Shared system baseline",IF(OR(L83&lt;&gt;"Shared system baseline",K83&lt;&gt;""),"Condition scope differs from decision",""),"Parent decision scope missing")),IF(OR(D83="",E83="",F83="",G83=""),"Condition, owner, due date or state missing",IF(NOT(ISNUMBER(F83)),"Due date is not a date",IF(OR(G83="Overdue",G83="Superseded"),"Legacy state — owner review (use the shared five states)",IF(INDEX('Gate events'!$E$4:$E$553,MATCH(B83,'Gate events'!$A$4:$A$553,0))&lt;&gt;"Decision","Parent event is not a Decision",IF(AND(INDEX('Gate events'!$G$4:$G$553,MATCH(B83,'Gate events'!$A$4:$A$553,0))&lt;&gt;"Progress with condition",INDEX('Gate events'!$G$4:$G$553,MATCH(B83,'Gate events'!$A$4:$A$553,0))&lt;&gt;"Re-authorise",INDEX('Gate events'!$G$4:$G$553,MATCH(B83,'Gate events'!$A$4:$A$553,0))&lt;&gt;"Resume"),"Parent outcome is not Progress with condition / Re-authorise / Resume",IF(AND(ISNUMBER(INDEX('Gate events'!$F$4:$F$553,MATCH(B83,'Gate events'!$A$4:$A$553,0))),F83&lt;INDEX('Gate events'!$F$4:$F$553,MATCH(B83,'Gate events'!$A$4:$A$553,0))),"Due date before parent event date",IF(AND(OR(G83="Closed-verified",G83="Waived",G83="Accepted-open"),OR(H83="",I83="")),"Closure evidence missing",IF(AND(H83&lt;&gt;"",NOT(ISNUMBER(H83))),"Closed / waived on is not a date",IF(AND(ISNUMBER(H83),ISNUMBER(INDEX('Gate events'!$F$4:$F$553,MATCH(B83,'Gate events'!$A$4:$A$553,0))),H83&lt;INDEX('Gate events'!$F$4:$F$553,MATCH(B83,'Gate events'!$A$4:$A$553,0))),"Closure date before parent event date",IF(AND(G83="Closed-verified",M83=""),"Verifier / date missing",IF(AND(N83="Yes",G83="Closed-verified",O83=""),"Monitoring condition needs AIG-OPS-02 evidence ref",IF(AND(G83="Open",F83&lt;TODAY()),"OVERDUE (derived) — review",IF(G83="Unknown","State Unknown: owner to confirm","Check against source")))))))))))))))))))</f>
        <v/>
      </c>
      <c r="K83" s="37" t="n"/>
      <c r="L83" s="37" t="n"/>
      <c r="M83" s="40" t="n"/>
      <c r="N83" s="40" t="n"/>
      <c r="O83" s="40" t="n"/>
    </row>
    <row r="84">
      <c r="A84" s="38" t="n"/>
      <c r="B84" s="38" t="n"/>
      <c r="C84" s="38" t="n"/>
      <c r="D84" s="38" t="n"/>
      <c r="E84" s="38" t="n"/>
      <c r="F84" s="39" t="n"/>
      <c r="G84" s="38" t="n"/>
      <c r="H84" s="39" t="n"/>
      <c r="I84" s="38" t="n"/>
      <c r="J84" s="22">
        <f>IF(COUNTA(A84:I84,K84:O84)=0,"",IF(OR(A84="",B84="",C84=""),"ID / parent missing",IF(COUNTIF($A$4:$A$553,A84)&gt;1,"Duplicate condition ID",IF(COUNTIF('Gate events'!$A$4:$A$553,B84)=0,"Event ID not found",IF(INDEX('Gate events'!$B$4:$B$553,MATCH(B84,'Gate events'!$A$4:$A$553,0))&lt;&gt;C84,"AIR-ID differs from event",IF(IF(INDEX('Gate events'!$P$4:$P$553,MATCH(B84,'Gate events'!$A$4:$A$553,0))="UC-ID specific",IF(OR(L84&lt;&gt;"UC-ID specific",K84=""),"Condition UC-ID required",IF(ISNUMBER(SEARCH(","&amp;SUBSTITUTE(K84," ","")&amp;",",","&amp;SUBSTITUTE(INDEX('Gate events'!$O$4:$O$553,MATCH(B84,'Gate events'!$A$4:$A$553,0))," ","")&amp;",")),"","UC-ID differs from decision")),IF(INDEX('Gate events'!$P$4:$P$553,MATCH(B84,'Gate events'!$A$4:$A$553,0))="Shared system baseline",IF(OR(L84&lt;&gt;"Shared system baseline",K84&lt;&gt;""),"Condition scope differs from decision",""),"Parent decision scope missing"))&lt;&gt;"",IF(INDEX('Gate events'!$P$4:$P$553,MATCH(B84,'Gate events'!$A$4:$A$553,0))="UC-ID specific",IF(OR(L84&lt;&gt;"UC-ID specific",K84=""),"Condition UC-ID required",IF(ISNUMBER(SEARCH(","&amp;SUBSTITUTE(K84," ","")&amp;",",","&amp;SUBSTITUTE(INDEX('Gate events'!$O$4:$O$553,MATCH(B84,'Gate events'!$A$4:$A$553,0))," ","")&amp;",")),"","UC-ID differs from decision")),IF(INDEX('Gate events'!$P$4:$P$553,MATCH(B84,'Gate events'!$A$4:$A$553,0))="Shared system baseline",IF(OR(L84&lt;&gt;"Shared system baseline",K84&lt;&gt;""),"Condition scope differs from decision",""),"Parent decision scope missing")),IF(OR(D84="",E84="",F84="",G84=""),"Condition, owner, due date or state missing",IF(NOT(ISNUMBER(F84)),"Due date is not a date",IF(OR(G84="Overdue",G84="Superseded"),"Legacy state — owner review (use the shared five states)",IF(INDEX('Gate events'!$E$4:$E$553,MATCH(B84,'Gate events'!$A$4:$A$553,0))&lt;&gt;"Decision","Parent event is not a Decision",IF(AND(INDEX('Gate events'!$G$4:$G$553,MATCH(B84,'Gate events'!$A$4:$A$553,0))&lt;&gt;"Progress with condition",INDEX('Gate events'!$G$4:$G$553,MATCH(B84,'Gate events'!$A$4:$A$553,0))&lt;&gt;"Re-authorise",INDEX('Gate events'!$G$4:$G$553,MATCH(B84,'Gate events'!$A$4:$A$553,0))&lt;&gt;"Resume"),"Parent outcome is not Progress with condition / Re-authorise / Resume",IF(AND(ISNUMBER(INDEX('Gate events'!$F$4:$F$553,MATCH(B84,'Gate events'!$A$4:$A$553,0))),F84&lt;INDEX('Gate events'!$F$4:$F$553,MATCH(B84,'Gate events'!$A$4:$A$553,0))),"Due date before parent event date",IF(AND(OR(G84="Closed-verified",G84="Waived",G84="Accepted-open"),OR(H84="",I84="")),"Closure evidence missing",IF(AND(H84&lt;&gt;"",NOT(ISNUMBER(H84))),"Closed / waived on is not a date",IF(AND(ISNUMBER(H84),ISNUMBER(INDEX('Gate events'!$F$4:$F$553,MATCH(B84,'Gate events'!$A$4:$A$553,0))),H84&lt;INDEX('Gate events'!$F$4:$F$553,MATCH(B84,'Gate events'!$A$4:$A$553,0))),"Closure date before parent event date",IF(AND(G84="Closed-verified",M84=""),"Verifier / date missing",IF(AND(N84="Yes",G84="Closed-verified",O84=""),"Monitoring condition needs AIG-OPS-02 evidence ref",IF(AND(G84="Open",F84&lt;TODAY()),"OVERDUE (derived) — review",IF(G84="Unknown","State Unknown: owner to confirm","Check against source")))))))))))))))))))</f>
        <v/>
      </c>
      <c r="K84" s="37" t="n"/>
      <c r="L84" s="37" t="n"/>
      <c r="M84" s="38" t="n"/>
      <c r="N84" s="38" t="n"/>
      <c r="O84" s="38" t="n"/>
    </row>
    <row r="85">
      <c r="A85" s="40" t="n"/>
      <c r="B85" s="40" t="n"/>
      <c r="C85" s="40" t="n"/>
      <c r="D85" s="40" t="n"/>
      <c r="E85" s="40" t="n"/>
      <c r="F85" s="41" t="n"/>
      <c r="G85" s="40" t="n"/>
      <c r="H85" s="41" t="n"/>
      <c r="I85" s="40" t="n"/>
      <c r="J85" s="24">
        <f>IF(COUNTA(A85:I85,K85:O85)=0,"",IF(OR(A85="",B85="",C85=""),"ID / parent missing",IF(COUNTIF($A$4:$A$553,A85)&gt;1,"Duplicate condition ID",IF(COUNTIF('Gate events'!$A$4:$A$553,B85)=0,"Event ID not found",IF(INDEX('Gate events'!$B$4:$B$553,MATCH(B85,'Gate events'!$A$4:$A$553,0))&lt;&gt;C85,"AIR-ID differs from event",IF(IF(INDEX('Gate events'!$P$4:$P$553,MATCH(B85,'Gate events'!$A$4:$A$553,0))="UC-ID specific",IF(OR(L85&lt;&gt;"UC-ID specific",K85=""),"Condition UC-ID required",IF(ISNUMBER(SEARCH(","&amp;SUBSTITUTE(K85," ","")&amp;",",","&amp;SUBSTITUTE(INDEX('Gate events'!$O$4:$O$553,MATCH(B85,'Gate events'!$A$4:$A$553,0))," ","")&amp;",")),"","UC-ID differs from decision")),IF(INDEX('Gate events'!$P$4:$P$553,MATCH(B85,'Gate events'!$A$4:$A$553,0))="Shared system baseline",IF(OR(L85&lt;&gt;"Shared system baseline",K85&lt;&gt;""),"Condition scope differs from decision",""),"Parent decision scope missing"))&lt;&gt;"",IF(INDEX('Gate events'!$P$4:$P$553,MATCH(B85,'Gate events'!$A$4:$A$553,0))="UC-ID specific",IF(OR(L85&lt;&gt;"UC-ID specific",K85=""),"Condition UC-ID required",IF(ISNUMBER(SEARCH(","&amp;SUBSTITUTE(K85," ","")&amp;",",","&amp;SUBSTITUTE(INDEX('Gate events'!$O$4:$O$553,MATCH(B85,'Gate events'!$A$4:$A$553,0))," ","")&amp;",")),"","UC-ID differs from decision")),IF(INDEX('Gate events'!$P$4:$P$553,MATCH(B85,'Gate events'!$A$4:$A$553,0))="Shared system baseline",IF(OR(L85&lt;&gt;"Shared system baseline",K85&lt;&gt;""),"Condition scope differs from decision",""),"Parent decision scope missing")),IF(OR(D85="",E85="",F85="",G85=""),"Condition, owner, due date or state missing",IF(NOT(ISNUMBER(F85)),"Due date is not a date",IF(OR(G85="Overdue",G85="Superseded"),"Legacy state — owner review (use the shared five states)",IF(INDEX('Gate events'!$E$4:$E$553,MATCH(B85,'Gate events'!$A$4:$A$553,0))&lt;&gt;"Decision","Parent event is not a Decision",IF(AND(INDEX('Gate events'!$G$4:$G$553,MATCH(B85,'Gate events'!$A$4:$A$553,0))&lt;&gt;"Progress with condition",INDEX('Gate events'!$G$4:$G$553,MATCH(B85,'Gate events'!$A$4:$A$553,0))&lt;&gt;"Re-authorise",INDEX('Gate events'!$G$4:$G$553,MATCH(B85,'Gate events'!$A$4:$A$553,0))&lt;&gt;"Resume"),"Parent outcome is not Progress with condition / Re-authorise / Resume",IF(AND(ISNUMBER(INDEX('Gate events'!$F$4:$F$553,MATCH(B85,'Gate events'!$A$4:$A$553,0))),F85&lt;INDEX('Gate events'!$F$4:$F$553,MATCH(B85,'Gate events'!$A$4:$A$553,0))),"Due date before parent event date",IF(AND(OR(G85="Closed-verified",G85="Waived",G85="Accepted-open"),OR(H85="",I85="")),"Closure evidence missing",IF(AND(H85&lt;&gt;"",NOT(ISNUMBER(H85))),"Closed / waived on is not a date",IF(AND(ISNUMBER(H85),ISNUMBER(INDEX('Gate events'!$F$4:$F$553,MATCH(B85,'Gate events'!$A$4:$A$553,0))),H85&lt;INDEX('Gate events'!$F$4:$F$553,MATCH(B85,'Gate events'!$A$4:$A$553,0))),"Closure date before parent event date",IF(AND(G85="Closed-verified",M85=""),"Verifier / date missing",IF(AND(N85="Yes",G85="Closed-verified",O85=""),"Monitoring condition needs AIG-OPS-02 evidence ref",IF(AND(G85="Open",F85&lt;TODAY()),"OVERDUE (derived) — review",IF(G85="Unknown","State Unknown: owner to confirm","Check against source")))))))))))))))))))</f>
        <v/>
      </c>
      <c r="K85" s="37" t="n"/>
      <c r="L85" s="37" t="n"/>
      <c r="M85" s="40" t="n"/>
      <c r="N85" s="40" t="n"/>
      <c r="O85" s="40" t="n"/>
    </row>
    <row r="86">
      <c r="A86" s="38" t="n"/>
      <c r="B86" s="38" t="n"/>
      <c r="C86" s="38" t="n"/>
      <c r="D86" s="38" t="n"/>
      <c r="E86" s="38" t="n"/>
      <c r="F86" s="39" t="n"/>
      <c r="G86" s="38" t="n"/>
      <c r="H86" s="39" t="n"/>
      <c r="I86" s="38" t="n"/>
      <c r="J86" s="22">
        <f>IF(COUNTA(A86:I86,K86:O86)=0,"",IF(OR(A86="",B86="",C86=""),"ID / parent missing",IF(COUNTIF($A$4:$A$553,A86)&gt;1,"Duplicate condition ID",IF(COUNTIF('Gate events'!$A$4:$A$553,B86)=0,"Event ID not found",IF(INDEX('Gate events'!$B$4:$B$553,MATCH(B86,'Gate events'!$A$4:$A$553,0))&lt;&gt;C86,"AIR-ID differs from event",IF(IF(INDEX('Gate events'!$P$4:$P$553,MATCH(B86,'Gate events'!$A$4:$A$553,0))="UC-ID specific",IF(OR(L86&lt;&gt;"UC-ID specific",K86=""),"Condition UC-ID required",IF(ISNUMBER(SEARCH(","&amp;SUBSTITUTE(K86," ","")&amp;",",","&amp;SUBSTITUTE(INDEX('Gate events'!$O$4:$O$553,MATCH(B86,'Gate events'!$A$4:$A$553,0))," ","")&amp;",")),"","UC-ID differs from decision")),IF(INDEX('Gate events'!$P$4:$P$553,MATCH(B86,'Gate events'!$A$4:$A$553,0))="Shared system baseline",IF(OR(L86&lt;&gt;"Shared system baseline",K86&lt;&gt;""),"Condition scope differs from decision",""),"Parent decision scope missing"))&lt;&gt;"",IF(INDEX('Gate events'!$P$4:$P$553,MATCH(B86,'Gate events'!$A$4:$A$553,0))="UC-ID specific",IF(OR(L86&lt;&gt;"UC-ID specific",K86=""),"Condition UC-ID required",IF(ISNUMBER(SEARCH(","&amp;SUBSTITUTE(K86," ","")&amp;",",","&amp;SUBSTITUTE(INDEX('Gate events'!$O$4:$O$553,MATCH(B86,'Gate events'!$A$4:$A$553,0))," ","")&amp;",")),"","UC-ID differs from decision")),IF(INDEX('Gate events'!$P$4:$P$553,MATCH(B86,'Gate events'!$A$4:$A$553,0))="Shared system baseline",IF(OR(L86&lt;&gt;"Shared system baseline",K86&lt;&gt;""),"Condition scope differs from decision",""),"Parent decision scope missing")),IF(OR(D86="",E86="",F86="",G86=""),"Condition, owner, due date or state missing",IF(NOT(ISNUMBER(F86)),"Due date is not a date",IF(OR(G86="Overdue",G86="Superseded"),"Legacy state — owner review (use the shared five states)",IF(INDEX('Gate events'!$E$4:$E$553,MATCH(B86,'Gate events'!$A$4:$A$553,0))&lt;&gt;"Decision","Parent event is not a Decision",IF(AND(INDEX('Gate events'!$G$4:$G$553,MATCH(B86,'Gate events'!$A$4:$A$553,0))&lt;&gt;"Progress with condition",INDEX('Gate events'!$G$4:$G$553,MATCH(B86,'Gate events'!$A$4:$A$553,0))&lt;&gt;"Re-authorise",INDEX('Gate events'!$G$4:$G$553,MATCH(B86,'Gate events'!$A$4:$A$553,0))&lt;&gt;"Resume"),"Parent outcome is not Progress with condition / Re-authorise / Resume",IF(AND(ISNUMBER(INDEX('Gate events'!$F$4:$F$553,MATCH(B86,'Gate events'!$A$4:$A$553,0))),F86&lt;INDEX('Gate events'!$F$4:$F$553,MATCH(B86,'Gate events'!$A$4:$A$553,0))),"Due date before parent event date",IF(AND(OR(G86="Closed-verified",G86="Waived",G86="Accepted-open"),OR(H86="",I86="")),"Closure evidence missing",IF(AND(H86&lt;&gt;"",NOT(ISNUMBER(H86))),"Closed / waived on is not a date",IF(AND(ISNUMBER(H86),ISNUMBER(INDEX('Gate events'!$F$4:$F$553,MATCH(B86,'Gate events'!$A$4:$A$553,0))),H86&lt;INDEX('Gate events'!$F$4:$F$553,MATCH(B86,'Gate events'!$A$4:$A$553,0))),"Closure date before parent event date",IF(AND(G86="Closed-verified",M86=""),"Verifier / date missing",IF(AND(N86="Yes",G86="Closed-verified",O86=""),"Monitoring condition needs AIG-OPS-02 evidence ref",IF(AND(G86="Open",F86&lt;TODAY()),"OVERDUE (derived) — review",IF(G86="Unknown","State Unknown: owner to confirm","Check against source")))))))))))))))))))</f>
        <v/>
      </c>
      <c r="K86" s="37" t="n"/>
      <c r="L86" s="37" t="n"/>
      <c r="M86" s="38" t="n"/>
      <c r="N86" s="38" t="n"/>
      <c r="O86" s="38" t="n"/>
    </row>
    <row r="87">
      <c r="A87" s="40" t="n"/>
      <c r="B87" s="40" t="n"/>
      <c r="C87" s="40" t="n"/>
      <c r="D87" s="40" t="n"/>
      <c r="E87" s="40" t="n"/>
      <c r="F87" s="41" t="n"/>
      <c r="G87" s="40" t="n"/>
      <c r="H87" s="41" t="n"/>
      <c r="I87" s="40" t="n"/>
      <c r="J87" s="24">
        <f>IF(COUNTA(A87:I87,K87:O87)=0,"",IF(OR(A87="",B87="",C87=""),"ID / parent missing",IF(COUNTIF($A$4:$A$553,A87)&gt;1,"Duplicate condition ID",IF(COUNTIF('Gate events'!$A$4:$A$553,B87)=0,"Event ID not found",IF(INDEX('Gate events'!$B$4:$B$553,MATCH(B87,'Gate events'!$A$4:$A$553,0))&lt;&gt;C87,"AIR-ID differs from event",IF(IF(INDEX('Gate events'!$P$4:$P$553,MATCH(B87,'Gate events'!$A$4:$A$553,0))="UC-ID specific",IF(OR(L87&lt;&gt;"UC-ID specific",K87=""),"Condition UC-ID required",IF(ISNUMBER(SEARCH(","&amp;SUBSTITUTE(K87," ","")&amp;",",","&amp;SUBSTITUTE(INDEX('Gate events'!$O$4:$O$553,MATCH(B87,'Gate events'!$A$4:$A$553,0))," ","")&amp;",")),"","UC-ID differs from decision")),IF(INDEX('Gate events'!$P$4:$P$553,MATCH(B87,'Gate events'!$A$4:$A$553,0))="Shared system baseline",IF(OR(L87&lt;&gt;"Shared system baseline",K87&lt;&gt;""),"Condition scope differs from decision",""),"Parent decision scope missing"))&lt;&gt;"",IF(INDEX('Gate events'!$P$4:$P$553,MATCH(B87,'Gate events'!$A$4:$A$553,0))="UC-ID specific",IF(OR(L87&lt;&gt;"UC-ID specific",K87=""),"Condition UC-ID required",IF(ISNUMBER(SEARCH(","&amp;SUBSTITUTE(K87," ","")&amp;",",","&amp;SUBSTITUTE(INDEX('Gate events'!$O$4:$O$553,MATCH(B87,'Gate events'!$A$4:$A$553,0))," ","")&amp;",")),"","UC-ID differs from decision")),IF(INDEX('Gate events'!$P$4:$P$553,MATCH(B87,'Gate events'!$A$4:$A$553,0))="Shared system baseline",IF(OR(L87&lt;&gt;"Shared system baseline",K87&lt;&gt;""),"Condition scope differs from decision",""),"Parent decision scope missing")),IF(OR(D87="",E87="",F87="",G87=""),"Condition, owner, due date or state missing",IF(NOT(ISNUMBER(F87)),"Due date is not a date",IF(OR(G87="Overdue",G87="Superseded"),"Legacy state — owner review (use the shared five states)",IF(INDEX('Gate events'!$E$4:$E$553,MATCH(B87,'Gate events'!$A$4:$A$553,0))&lt;&gt;"Decision","Parent event is not a Decision",IF(AND(INDEX('Gate events'!$G$4:$G$553,MATCH(B87,'Gate events'!$A$4:$A$553,0))&lt;&gt;"Progress with condition",INDEX('Gate events'!$G$4:$G$553,MATCH(B87,'Gate events'!$A$4:$A$553,0))&lt;&gt;"Re-authorise",INDEX('Gate events'!$G$4:$G$553,MATCH(B87,'Gate events'!$A$4:$A$553,0))&lt;&gt;"Resume"),"Parent outcome is not Progress with condition / Re-authorise / Resume",IF(AND(ISNUMBER(INDEX('Gate events'!$F$4:$F$553,MATCH(B87,'Gate events'!$A$4:$A$553,0))),F87&lt;INDEX('Gate events'!$F$4:$F$553,MATCH(B87,'Gate events'!$A$4:$A$553,0))),"Due date before parent event date",IF(AND(OR(G87="Closed-verified",G87="Waived",G87="Accepted-open"),OR(H87="",I87="")),"Closure evidence missing",IF(AND(H87&lt;&gt;"",NOT(ISNUMBER(H87))),"Closed / waived on is not a date",IF(AND(ISNUMBER(H87),ISNUMBER(INDEX('Gate events'!$F$4:$F$553,MATCH(B87,'Gate events'!$A$4:$A$553,0))),H87&lt;INDEX('Gate events'!$F$4:$F$553,MATCH(B87,'Gate events'!$A$4:$A$553,0))),"Closure date before parent event date",IF(AND(G87="Closed-verified",M87=""),"Verifier / date missing",IF(AND(N87="Yes",G87="Closed-verified",O87=""),"Monitoring condition needs AIG-OPS-02 evidence ref",IF(AND(G87="Open",F87&lt;TODAY()),"OVERDUE (derived) — review",IF(G87="Unknown","State Unknown: owner to confirm","Check against source")))))))))))))))))))</f>
        <v/>
      </c>
      <c r="K87" s="37" t="n"/>
      <c r="L87" s="37" t="n"/>
      <c r="M87" s="40" t="n"/>
      <c r="N87" s="40" t="n"/>
      <c r="O87" s="40" t="n"/>
    </row>
    <row r="88">
      <c r="A88" s="38" t="n"/>
      <c r="B88" s="38" t="n"/>
      <c r="C88" s="38" t="n"/>
      <c r="D88" s="38" t="n"/>
      <c r="E88" s="38" t="n"/>
      <c r="F88" s="39" t="n"/>
      <c r="G88" s="38" t="n"/>
      <c r="H88" s="39" t="n"/>
      <c r="I88" s="38" t="n"/>
      <c r="J88" s="22">
        <f>IF(COUNTA(A88:I88,K88:O88)=0,"",IF(OR(A88="",B88="",C88=""),"ID / parent missing",IF(COUNTIF($A$4:$A$553,A88)&gt;1,"Duplicate condition ID",IF(COUNTIF('Gate events'!$A$4:$A$553,B88)=0,"Event ID not found",IF(INDEX('Gate events'!$B$4:$B$553,MATCH(B88,'Gate events'!$A$4:$A$553,0))&lt;&gt;C88,"AIR-ID differs from event",IF(IF(INDEX('Gate events'!$P$4:$P$553,MATCH(B88,'Gate events'!$A$4:$A$553,0))="UC-ID specific",IF(OR(L88&lt;&gt;"UC-ID specific",K88=""),"Condition UC-ID required",IF(ISNUMBER(SEARCH(","&amp;SUBSTITUTE(K88," ","")&amp;",",","&amp;SUBSTITUTE(INDEX('Gate events'!$O$4:$O$553,MATCH(B88,'Gate events'!$A$4:$A$553,0))," ","")&amp;",")),"","UC-ID differs from decision")),IF(INDEX('Gate events'!$P$4:$P$553,MATCH(B88,'Gate events'!$A$4:$A$553,0))="Shared system baseline",IF(OR(L88&lt;&gt;"Shared system baseline",K88&lt;&gt;""),"Condition scope differs from decision",""),"Parent decision scope missing"))&lt;&gt;"",IF(INDEX('Gate events'!$P$4:$P$553,MATCH(B88,'Gate events'!$A$4:$A$553,0))="UC-ID specific",IF(OR(L88&lt;&gt;"UC-ID specific",K88=""),"Condition UC-ID required",IF(ISNUMBER(SEARCH(","&amp;SUBSTITUTE(K88," ","")&amp;",",","&amp;SUBSTITUTE(INDEX('Gate events'!$O$4:$O$553,MATCH(B88,'Gate events'!$A$4:$A$553,0))," ","")&amp;",")),"","UC-ID differs from decision")),IF(INDEX('Gate events'!$P$4:$P$553,MATCH(B88,'Gate events'!$A$4:$A$553,0))="Shared system baseline",IF(OR(L88&lt;&gt;"Shared system baseline",K88&lt;&gt;""),"Condition scope differs from decision",""),"Parent decision scope missing")),IF(OR(D88="",E88="",F88="",G88=""),"Condition, owner, due date or state missing",IF(NOT(ISNUMBER(F88)),"Due date is not a date",IF(OR(G88="Overdue",G88="Superseded"),"Legacy state — owner review (use the shared five states)",IF(INDEX('Gate events'!$E$4:$E$553,MATCH(B88,'Gate events'!$A$4:$A$553,0))&lt;&gt;"Decision","Parent event is not a Decision",IF(AND(INDEX('Gate events'!$G$4:$G$553,MATCH(B88,'Gate events'!$A$4:$A$553,0))&lt;&gt;"Progress with condition",INDEX('Gate events'!$G$4:$G$553,MATCH(B88,'Gate events'!$A$4:$A$553,0))&lt;&gt;"Re-authorise",INDEX('Gate events'!$G$4:$G$553,MATCH(B88,'Gate events'!$A$4:$A$553,0))&lt;&gt;"Resume"),"Parent outcome is not Progress with condition / Re-authorise / Resume",IF(AND(ISNUMBER(INDEX('Gate events'!$F$4:$F$553,MATCH(B88,'Gate events'!$A$4:$A$553,0))),F88&lt;INDEX('Gate events'!$F$4:$F$553,MATCH(B88,'Gate events'!$A$4:$A$553,0))),"Due date before parent event date",IF(AND(OR(G88="Closed-verified",G88="Waived",G88="Accepted-open"),OR(H88="",I88="")),"Closure evidence missing",IF(AND(H88&lt;&gt;"",NOT(ISNUMBER(H88))),"Closed / waived on is not a date",IF(AND(ISNUMBER(H88),ISNUMBER(INDEX('Gate events'!$F$4:$F$553,MATCH(B88,'Gate events'!$A$4:$A$553,0))),H88&lt;INDEX('Gate events'!$F$4:$F$553,MATCH(B88,'Gate events'!$A$4:$A$553,0))),"Closure date before parent event date",IF(AND(G88="Closed-verified",M88=""),"Verifier / date missing",IF(AND(N88="Yes",G88="Closed-verified",O88=""),"Monitoring condition needs AIG-OPS-02 evidence ref",IF(AND(G88="Open",F88&lt;TODAY()),"OVERDUE (derived) — review",IF(G88="Unknown","State Unknown: owner to confirm","Check against source")))))))))))))))))))</f>
        <v/>
      </c>
      <c r="K88" s="37" t="n"/>
      <c r="L88" s="37" t="n"/>
      <c r="M88" s="38" t="n"/>
      <c r="N88" s="38" t="n"/>
      <c r="O88" s="38" t="n"/>
    </row>
    <row r="89">
      <c r="A89" s="40" t="n"/>
      <c r="B89" s="40" t="n"/>
      <c r="C89" s="40" t="n"/>
      <c r="D89" s="40" t="n"/>
      <c r="E89" s="40" t="n"/>
      <c r="F89" s="41" t="n"/>
      <c r="G89" s="40" t="n"/>
      <c r="H89" s="41" t="n"/>
      <c r="I89" s="40" t="n"/>
      <c r="J89" s="24">
        <f>IF(COUNTA(A89:I89,K89:O89)=0,"",IF(OR(A89="",B89="",C89=""),"ID / parent missing",IF(COUNTIF($A$4:$A$553,A89)&gt;1,"Duplicate condition ID",IF(COUNTIF('Gate events'!$A$4:$A$553,B89)=0,"Event ID not found",IF(INDEX('Gate events'!$B$4:$B$553,MATCH(B89,'Gate events'!$A$4:$A$553,0))&lt;&gt;C89,"AIR-ID differs from event",IF(IF(INDEX('Gate events'!$P$4:$P$553,MATCH(B89,'Gate events'!$A$4:$A$553,0))="UC-ID specific",IF(OR(L89&lt;&gt;"UC-ID specific",K89=""),"Condition UC-ID required",IF(ISNUMBER(SEARCH(","&amp;SUBSTITUTE(K89," ","")&amp;",",","&amp;SUBSTITUTE(INDEX('Gate events'!$O$4:$O$553,MATCH(B89,'Gate events'!$A$4:$A$553,0))," ","")&amp;",")),"","UC-ID differs from decision")),IF(INDEX('Gate events'!$P$4:$P$553,MATCH(B89,'Gate events'!$A$4:$A$553,0))="Shared system baseline",IF(OR(L89&lt;&gt;"Shared system baseline",K89&lt;&gt;""),"Condition scope differs from decision",""),"Parent decision scope missing"))&lt;&gt;"",IF(INDEX('Gate events'!$P$4:$P$553,MATCH(B89,'Gate events'!$A$4:$A$553,0))="UC-ID specific",IF(OR(L89&lt;&gt;"UC-ID specific",K89=""),"Condition UC-ID required",IF(ISNUMBER(SEARCH(","&amp;SUBSTITUTE(K89," ","")&amp;",",","&amp;SUBSTITUTE(INDEX('Gate events'!$O$4:$O$553,MATCH(B89,'Gate events'!$A$4:$A$553,0))," ","")&amp;",")),"","UC-ID differs from decision")),IF(INDEX('Gate events'!$P$4:$P$553,MATCH(B89,'Gate events'!$A$4:$A$553,0))="Shared system baseline",IF(OR(L89&lt;&gt;"Shared system baseline",K89&lt;&gt;""),"Condition scope differs from decision",""),"Parent decision scope missing")),IF(OR(D89="",E89="",F89="",G89=""),"Condition, owner, due date or state missing",IF(NOT(ISNUMBER(F89)),"Due date is not a date",IF(OR(G89="Overdue",G89="Superseded"),"Legacy state — owner review (use the shared five states)",IF(INDEX('Gate events'!$E$4:$E$553,MATCH(B89,'Gate events'!$A$4:$A$553,0))&lt;&gt;"Decision","Parent event is not a Decision",IF(AND(INDEX('Gate events'!$G$4:$G$553,MATCH(B89,'Gate events'!$A$4:$A$553,0))&lt;&gt;"Progress with condition",INDEX('Gate events'!$G$4:$G$553,MATCH(B89,'Gate events'!$A$4:$A$553,0))&lt;&gt;"Re-authorise",INDEX('Gate events'!$G$4:$G$553,MATCH(B89,'Gate events'!$A$4:$A$553,0))&lt;&gt;"Resume"),"Parent outcome is not Progress with condition / Re-authorise / Resume",IF(AND(ISNUMBER(INDEX('Gate events'!$F$4:$F$553,MATCH(B89,'Gate events'!$A$4:$A$553,0))),F89&lt;INDEX('Gate events'!$F$4:$F$553,MATCH(B89,'Gate events'!$A$4:$A$553,0))),"Due date before parent event date",IF(AND(OR(G89="Closed-verified",G89="Waived",G89="Accepted-open"),OR(H89="",I89="")),"Closure evidence missing",IF(AND(H89&lt;&gt;"",NOT(ISNUMBER(H89))),"Closed / waived on is not a date",IF(AND(ISNUMBER(H89),ISNUMBER(INDEX('Gate events'!$F$4:$F$553,MATCH(B89,'Gate events'!$A$4:$A$553,0))),H89&lt;INDEX('Gate events'!$F$4:$F$553,MATCH(B89,'Gate events'!$A$4:$A$553,0))),"Closure date before parent event date",IF(AND(G89="Closed-verified",M89=""),"Verifier / date missing",IF(AND(N89="Yes",G89="Closed-verified",O89=""),"Monitoring condition needs AIG-OPS-02 evidence ref",IF(AND(G89="Open",F89&lt;TODAY()),"OVERDUE (derived) — review",IF(G89="Unknown","State Unknown: owner to confirm","Check against source")))))))))))))))))))</f>
        <v/>
      </c>
      <c r="K89" s="37" t="n"/>
      <c r="L89" s="37" t="n"/>
      <c r="M89" s="40" t="n"/>
      <c r="N89" s="40" t="n"/>
      <c r="O89" s="40" t="n"/>
    </row>
    <row r="90">
      <c r="A90" s="38" t="n"/>
      <c r="B90" s="38" t="n"/>
      <c r="C90" s="38" t="n"/>
      <c r="D90" s="38" t="n"/>
      <c r="E90" s="38" t="n"/>
      <c r="F90" s="39" t="n"/>
      <c r="G90" s="38" t="n"/>
      <c r="H90" s="39" t="n"/>
      <c r="I90" s="38" t="n"/>
      <c r="J90" s="22">
        <f>IF(COUNTA(A90:I90,K90:O90)=0,"",IF(OR(A90="",B90="",C90=""),"ID / parent missing",IF(COUNTIF($A$4:$A$553,A90)&gt;1,"Duplicate condition ID",IF(COUNTIF('Gate events'!$A$4:$A$553,B90)=0,"Event ID not found",IF(INDEX('Gate events'!$B$4:$B$553,MATCH(B90,'Gate events'!$A$4:$A$553,0))&lt;&gt;C90,"AIR-ID differs from event",IF(IF(INDEX('Gate events'!$P$4:$P$553,MATCH(B90,'Gate events'!$A$4:$A$553,0))="UC-ID specific",IF(OR(L90&lt;&gt;"UC-ID specific",K90=""),"Condition UC-ID required",IF(ISNUMBER(SEARCH(","&amp;SUBSTITUTE(K90," ","")&amp;",",","&amp;SUBSTITUTE(INDEX('Gate events'!$O$4:$O$553,MATCH(B90,'Gate events'!$A$4:$A$553,0))," ","")&amp;",")),"","UC-ID differs from decision")),IF(INDEX('Gate events'!$P$4:$P$553,MATCH(B90,'Gate events'!$A$4:$A$553,0))="Shared system baseline",IF(OR(L90&lt;&gt;"Shared system baseline",K90&lt;&gt;""),"Condition scope differs from decision",""),"Parent decision scope missing"))&lt;&gt;"",IF(INDEX('Gate events'!$P$4:$P$553,MATCH(B90,'Gate events'!$A$4:$A$553,0))="UC-ID specific",IF(OR(L90&lt;&gt;"UC-ID specific",K90=""),"Condition UC-ID required",IF(ISNUMBER(SEARCH(","&amp;SUBSTITUTE(K90," ","")&amp;",",","&amp;SUBSTITUTE(INDEX('Gate events'!$O$4:$O$553,MATCH(B90,'Gate events'!$A$4:$A$553,0))," ","")&amp;",")),"","UC-ID differs from decision")),IF(INDEX('Gate events'!$P$4:$P$553,MATCH(B90,'Gate events'!$A$4:$A$553,0))="Shared system baseline",IF(OR(L90&lt;&gt;"Shared system baseline",K90&lt;&gt;""),"Condition scope differs from decision",""),"Parent decision scope missing")),IF(OR(D90="",E90="",F90="",G90=""),"Condition, owner, due date or state missing",IF(NOT(ISNUMBER(F90)),"Due date is not a date",IF(OR(G90="Overdue",G90="Superseded"),"Legacy state — owner review (use the shared five states)",IF(INDEX('Gate events'!$E$4:$E$553,MATCH(B90,'Gate events'!$A$4:$A$553,0))&lt;&gt;"Decision","Parent event is not a Decision",IF(AND(INDEX('Gate events'!$G$4:$G$553,MATCH(B90,'Gate events'!$A$4:$A$553,0))&lt;&gt;"Progress with condition",INDEX('Gate events'!$G$4:$G$553,MATCH(B90,'Gate events'!$A$4:$A$553,0))&lt;&gt;"Re-authorise",INDEX('Gate events'!$G$4:$G$553,MATCH(B90,'Gate events'!$A$4:$A$553,0))&lt;&gt;"Resume"),"Parent outcome is not Progress with condition / Re-authorise / Resume",IF(AND(ISNUMBER(INDEX('Gate events'!$F$4:$F$553,MATCH(B90,'Gate events'!$A$4:$A$553,0))),F90&lt;INDEX('Gate events'!$F$4:$F$553,MATCH(B90,'Gate events'!$A$4:$A$553,0))),"Due date before parent event date",IF(AND(OR(G90="Closed-verified",G90="Waived",G90="Accepted-open"),OR(H90="",I90="")),"Closure evidence missing",IF(AND(H90&lt;&gt;"",NOT(ISNUMBER(H90))),"Closed / waived on is not a date",IF(AND(ISNUMBER(H90),ISNUMBER(INDEX('Gate events'!$F$4:$F$553,MATCH(B90,'Gate events'!$A$4:$A$553,0))),H90&lt;INDEX('Gate events'!$F$4:$F$553,MATCH(B90,'Gate events'!$A$4:$A$553,0))),"Closure date before parent event date",IF(AND(G90="Closed-verified",M90=""),"Verifier / date missing",IF(AND(N90="Yes",G90="Closed-verified",O90=""),"Monitoring condition needs AIG-OPS-02 evidence ref",IF(AND(G90="Open",F90&lt;TODAY()),"OVERDUE (derived) — review",IF(G90="Unknown","State Unknown: owner to confirm","Check against source")))))))))))))))))))</f>
        <v/>
      </c>
      <c r="K90" s="37" t="n"/>
      <c r="L90" s="37" t="n"/>
      <c r="M90" s="38" t="n"/>
      <c r="N90" s="38" t="n"/>
      <c r="O90" s="38" t="n"/>
    </row>
    <row r="91">
      <c r="A91" s="40" t="n"/>
      <c r="B91" s="40" t="n"/>
      <c r="C91" s="40" t="n"/>
      <c r="D91" s="40" t="n"/>
      <c r="E91" s="40" t="n"/>
      <c r="F91" s="41" t="n"/>
      <c r="G91" s="40" t="n"/>
      <c r="H91" s="41" t="n"/>
      <c r="I91" s="40" t="n"/>
      <c r="J91" s="24">
        <f>IF(COUNTA(A91:I91,K91:O91)=0,"",IF(OR(A91="",B91="",C91=""),"ID / parent missing",IF(COUNTIF($A$4:$A$553,A91)&gt;1,"Duplicate condition ID",IF(COUNTIF('Gate events'!$A$4:$A$553,B91)=0,"Event ID not found",IF(INDEX('Gate events'!$B$4:$B$553,MATCH(B91,'Gate events'!$A$4:$A$553,0))&lt;&gt;C91,"AIR-ID differs from event",IF(IF(INDEX('Gate events'!$P$4:$P$553,MATCH(B91,'Gate events'!$A$4:$A$553,0))="UC-ID specific",IF(OR(L91&lt;&gt;"UC-ID specific",K91=""),"Condition UC-ID required",IF(ISNUMBER(SEARCH(","&amp;SUBSTITUTE(K91," ","")&amp;",",","&amp;SUBSTITUTE(INDEX('Gate events'!$O$4:$O$553,MATCH(B91,'Gate events'!$A$4:$A$553,0))," ","")&amp;",")),"","UC-ID differs from decision")),IF(INDEX('Gate events'!$P$4:$P$553,MATCH(B91,'Gate events'!$A$4:$A$553,0))="Shared system baseline",IF(OR(L91&lt;&gt;"Shared system baseline",K91&lt;&gt;""),"Condition scope differs from decision",""),"Parent decision scope missing"))&lt;&gt;"",IF(INDEX('Gate events'!$P$4:$P$553,MATCH(B91,'Gate events'!$A$4:$A$553,0))="UC-ID specific",IF(OR(L91&lt;&gt;"UC-ID specific",K91=""),"Condition UC-ID required",IF(ISNUMBER(SEARCH(","&amp;SUBSTITUTE(K91," ","")&amp;",",","&amp;SUBSTITUTE(INDEX('Gate events'!$O$4:$O$553,MATCH(B91,'Gate events'!$A$4:$A$553,0))," ","")&amp;",")),"","UC-ID differs from decision")),IF(INDEX('Gate events'!$P$4:$P$553,MATCH(B91,'Gate events'!$A$4:$A$553,0))="Shared system baseline",IF(OR(L91&lt;&gt;"Shared system baseline",K91&lt;&gt;""),"Condition scope differs from decision",""),"Parent decision scope missing")),IF(OR(D91="",E91="",F91="",G91=""),"Condition, owner, due date or state missing",IF(NOT(ISNUMBER(F91)),"Due date is not a date",IF(OR(G91="Overdue",G91="Superseded"),"Legacy state — owner review (use the shared five states)",IF(INDEX('Gate events'!$E$4:$E$553,MATCH(B91,'Gate events'!$A$4:$A$553,0))&lt;&gt;"Decision","Parent event is not a Decision",IF(AND(INDEX('Gate events'!$G$4:$G$553,MATCH(B91,'Gate events'!$A$4:$A$553,0))&lt;&gt;"Progress with condition",INDEX('Gate events'!$G$4:$G$553,MATCH(B91,'Gate events'!$A$4:$A$553,0))&lt;&gt;"Re-authorise",INDEX('Gate events'!$G$4:$G$553,MATCH(B91,'Gate events'!$A$4:$A$553,0))&lt;&gt;"Resume"),"Parent outcome is not Progress with condition / Re-authorise / Resume",IF(AND(ISNUMBER(INDEX('Gate events'!$F$4:$F$553,MATCH(B91,'Gate events'!$A$4:$A$553,0))),F91&lt;INDEX('Gate events'!$F$4:$F$553,MATCH(B91,'Gate events'!$A$4:$A$553,0))),"Due date before parent event date",IF(AND(OR(G91="Closed-verified",G91="Waived",G91="Accepted-open"),OR(H91="",I91="")),"Closure evidence missing",IF(AND(H91&lt;&gt;"",NOT(ISNUMBER(H91))),"Closed / waived on is not a date",IF(AND(ISNUMBER(H91),ISNUMBER(INDEX('Gate events'!$F$4:$F$553,MATCH(B91,'Gate events'!$A$4:$A$553,0))),H91&lt;INDEX('Gate events'!$F$4:$F$553,MATCH(B91,'Gate events'!$A$4:$A$553,0))),"Closure date before parent event date",IF(AND(G91="Closed-verified",M91=""),"Verifier / date missing",IF(AND(N91="Yes",G91="Closed-verified",O91=""),"Monitoring condition needs AIG-OPS-02 evidence ref",IF(AND(G91="Open",F91&lt;TODAY()),"OVERDUE (derived) — review",IF(G91="Unknown","State Unknown: owner to confirm","Check against source")))))))))))))))))))</f>
        <v/>
      </c>
      <c r="K91" s="37" t="n"/>
      <c r="L91" s="37" t="n"/>
      <c r="M91" s="40" t="n"/>
      <c r="N91" s="40" t="n"/>
      <c r="O91" s="40" t="n"/>
    </row>
    <row r="92">
      <c r="A92" s="38" t="n"/>
      <c r="B92" s="38" t="n"/>
      <c r="C92" s="38" t="n"/>
      <c r="D92" s="38" t="n"/>
      <c r="E92" s="38" t="n"/>
      <c r="F92" s="39" t="n"/>
      <c r="G92" s="38" t="n"/>
      <c r="H92" s="39" t="n"/>
      <c r="I92" s="38" t="n"/>
      <c r="J92" s="22">
        <f>IF(COUNTA(A92:I92,K92:O92)=0,"",IF(OR(A92="",B92="",C92=""),"ID / parent missing",IF(COUNTIF($A$4:$A$553,A92)&gt;1,"Duplicate condition ID",IF(COUNTIF('Gate events'!$A$4:$A$553,B92)=0,"Event ID not found",IF(INDEX('Gate events'!$B$4:$B$553,MATCH(B92,'Gate events'!$A$4:$A$553,0))&lt;&gt;C92,"AIR-ID differs from event",IF(IF(INDEX('Gate events'!$P$4:$P$553,MATCH(B92,'Gate events'!$A$4:$A$553,0))="UC-ID specific",IF(OR(L92&lt;&gt;"UC-ID specific",K92=""),"Condition UC-ID required",IF(ISNUMBER(SEARCH(","&amp;SUBSTITUTE(K92," ","")&amp;",",","&amp;SUBSTITUTE(INDEX('Gate events'!$O$4:$O$553,MATCH(B92,'Gate events'!$A$4:$A$553,0))," ","")&amp;",")),"","UC-ID differs from decision")),IF(INDEX('Gate events'!$P$4:$P$553,MATCH(B92,'Gate events'!$A$4:$A$553,0))="Shared system baseline",IF(OR(L92&lt;&gt;"Shared system baseline",K92&lt;&gt;""),"Condition scope differs from decision",""),"Parent decision scope missing"))&lt;&gt;"",IF(INDEX('Gate events'!$P$4:$P$553,MATCH(B92,'Gate events'!$A$4:$A$553,0))="UC-ID specific",IF(OR(L92&lt;&gt;"UC-ID specific",K92=""),"Condition UC-ID required",IF(ISNUMBER(SEARCH(","&amp;SUBSTITUTE(K92," ","")&amp;",",","&amp;SUBSTITUTE(INDEX('Gate events'!$O$4:$O$553,MATCH(B92,'Gate events'!$A$4:$A$553,0))," ","")&amp;",")),"","UC-ID differs from decision")),IF(INDEX('Gate events'!$P$4:$P$553,MATCH(B92,'Gate events'!$A$4:$A$553,0))="Shared system baseline",IF(OR(L92&lt;&gt;"Shared system baseline",K92&lt;&gt;""),"Condition scope differs from decision",""),"Parent decision scope missing")),IF(OR(D92="",E92="",F92="",G92=""),"Condition, owner, due date or state missing",IF(NOT(ISNUMBER(F92)),"Due date is not a date",IF(OR(G92="Overdue",G92="Superseded"),"Legacy state — owner review (use the shared five states)",IF(INDEX('Gate events'!$E$4:$E$553,MATCH(B92,'Gate events'!$A$4:$A$553,0))&lt;&gt;"Decision","Parent event is not a Decision",IF(AND(INDEX('Gate events'!$G$4:$G$553,MATCH(B92,'Gate events'!$A$4:$A$553,0))&lt;&gt;"Progress with condition",INDEX('Gate events'!$G$4:$G$553,MATCH(B92,'Gate events'!$A$4:$A$553,0))&lt;&gt;"Re-authorise",INDEX('Gate events'!$G$4:$G$553,MATCH(B92,'Gate events'!$A$4:$A$553,0))&lt;&gt;"Resume"),"Parent outcome is not Progress with condition / Re-authorise / Resume",IF(AND(ISNUMBER(INDEX('Gate events'!$F$4:$F$553,MATCH(B92,'Gate events'!$A$4:$A$553,0))),F92&lt;INDEX('Gate events'!$F$4:$F$553,MATCH(B92,'Gate events'!$A$4:$A$553,0))),"Due date before parent event date",IF(AND(OR(G92="Closed-verified",G92="Waived",G92="Accepted-open"),OR(H92="",I92="")),"Closure evidence missing",IF(AND(H92&lt;&gt;"",NOT(ISNUMBER(H92))),"Closed / waived on is not a date",IF(AND(ISNUMBER(H92),ISNUMBER(INDEX('Gate events'!$F$4:$F$553,MATCH(B92,'Gate events'!$A$4:$A$553,0))),H92&lt;INDEX('Gate events'!$F$4:$F$553,MATCH(B92,'Gate events'!$A$4:$A$553,0))),"Closure date before parent event date",IF(AND(G92="Closed-verified",M92=""),"Verifier / date missing",IF(AND(N92="Yes",G92="Closed-verified",O92=""),"Monitoring condition needs AIG-OPS-02 evidence ref",IF(AND(G92="Open",F92&lt;TODAY()),"OVERDUE (derived) — review",IF(G92="Unknown","State Unknown: owner to confirm","Check against source")))))))))))))))))))</f>
        <v/>
      </c>
      <c r="K92" s="37" t="n"/>
      <c r="L92" s="37" t="n"/>
      <c r="M92" s="38" t="n"/>
      <c r="N92" s="38" t="n"/>
      <c r="O92" s="38" t="n"/>
    </row>
    <row r="93">
      <c r="A93" s="40" t="n"/>
      <c r="B93" s="40" t="n"/>
      <c r="C93" s="40" t="n"/>
      <c r="D93" s="40" t="n"/>
      <c r="E93" s="40" t="n"/>
      <c r="F93" s="41" t="n"/>
      <c r="G93" s="40" t="n"/>
      <c r="H93" s="41" t="n"/>
      <c r="I93" s="40" t="n"/>
      <c r="J93" s="24">
        <f>IF(COUNTA(A93:I93,K93:O93)=0,"",IF(OR(A93="",B93="",C93=""),"ID / parent missing",IF(COUNTIF($A$4:$A$553,A93)&gt;1,"Duplicate condition ID",IF(COUNTIF('Gate events'!$A$4:$A$553,B93)=0,"Event ID not found",IF(INDEX('Gate events'!$B$4:$B$553,MATCH(B93,'Gate events'!$A$4:$A$553,0))&lt;&gt;C93,"AIR-ID differs from event",IF(IF(INDEX('Gate events'!$P$4:$P$553,MATCH(B93,'Gate events'!$A$4:$A$553,0))="UC-ID specific",IF(OR(L93&lt;&gt;"UC-ID specific",K93=""),"Condition UC-ID required",IF(ISNUMBER(SEARCH(","&amp;SUBSTITUTE(K93," ","")&amp;",",","&amp;SUBSTITUTE(INDEX('Gate events'!$O$4:$O$553,MATCH(B93,'Gate events'!$A$4:$A$553,0))," ","")&amp;",")),"","UC-ID differs from decision")),IF(INDEX('Gate events'!$P$4:$P$553,MATCH(B93,'Gate events'!$A$4:$A$553,0))="Shared system baseline",IF(OR(L93&lt;&gt;"Shared system baseline",K93&lt;&gt;""),"Condition scope differs from decision",""),"Parent decision scope missing"))&lt;&gt;"",IF(INDEX('Gate events'!$P$4:$P$553,MATCH(B93,'Gate events'!$A$4:$A$553,0))="UC-ID specific",IF(OR(L93&lt;&gt;"UC-ID specific",K93=""),"Condition UC-ID required",IF(ISNUMBER(SEARCH(","&amp;SUBSTITUTE(K93," ","")&amp;",",","&amp;SUBSTITUTE(INDEX('Gate events'!$O$4:$O$553,MATCH(B93,'Gate events'!$A$4:$A$553,0))," ","")&amp;",")),"","UC-ID differs from decision")),IF(INDEX('Gate events'!$P$4:$P$553,MATCH(B93,'Gate events'!$A$4:$A$553,0))="Shared system baseline",IF(OR(L93&lt;&gt;"Shared system baseline",K93&lt;&gt;""),"Condition scope differs from decision",""),"Parent decision scope missing")),IF(OR(D93="",E93="",F93="",G93=""),"Condition, owner, due date or state missing",IF(NOT(ISNUMBER(F93)),"Due date is not a date",IF(OR(G93="Overdue",G93="Superseded"),"Legacy state — owner review (use the shared five states)",IF(INDEX('Gate events'!$E$4:$E$553,MATCH(B93,'Gate events'!$A$4:$A$553,0))&lt;&gt;"Decision","Parent event is not a Decision",IF(AND(INDEX('Gate events'!$G$4:$G$553,MATCH(B93,'Gate events'!$A$4:$A$553,0))&lt;&gt;"Progress with condition",INDEX('Gate events'!$G$4:$G$553,MATCH(B93,'Gate events'!$A$4:$A$553,0))&lt;&gt;"Re-authorise",INDEX('Gate events'!$G$4:$G$553,MATCH(B93,'Gate events'!$A$4:$A$553,0))&lt;&gt;"Resume"),"Parent outcome is not Progress with condition / Re-authorise / Resume",IF(AND(ISNUMBER(INDEX('Gate events'!$F$4:$F$553,MATCH(B93,'Gate events'!$A$4:$A$553,0))),F93&lt;INDEX('Gate events'!$F$4:$F$553,MATCH(B93,'Gate events'!$A$4:$A$553,0))),"Due date before parent event date",IF(AND(OR(G93="Closed-verified",G93="Waived",G93="Accepted-open"),OR(H93="",I93="")),"Closure evidence missing",IF(AND(H93&lt;&gt;"",NOT(ISNUMBER(H93))),"Closed / waived on is not a date",IF(AND(ISNUMBER(H93),ISNUMBER(INDEX('Gate events'!$F$4:$F$553,MATCH(B93,'Gate events'!$A$4:$A$553,0))),H93&lt;INDEX('Gate events'!$F$4:$F$553,MATCH(B93,'Gate events'!$A$4:$A$553,0))),"Closure date before parent event date",IF(AND(G93="Closed-verified",M93=""),"Verifier / date missing",IF(AND(N93="Yes",G93="Closed-verified",O93=""),"Monitoring condition needs AIG-OPS-02 evidence ref",IF(AND(G93="Open",F93&lt;TODAY()),"OVERDUE (derived) — review",IF(G93="Unknown","State Unknown: owner to confirm","Check against source")))))))))))))))))))</f>
        <v/>
      </c>
      <c r="K93" s="37" t="n"/>
      <c r="L93" s="37" t="n"/>
      <c r="M93" s="40" t="n"/>
      <c r="N93" s="40" t="n"/>
      <c r="O93" s="40" t="n"/>
    </row>
    <row r="94">
      <c r="A94" s="38" t="n"/>
      <c r="B94" s="38" t="n"/>
      <c r="C94" s="38" t="n"/>
      <c r="D94" s="38" t="n"/>
      <c r="E94" s="38" t="n"/>
      <c r="F94" s="39" t="n"/>
      <c r="G94" s="38" t="n"/>
      <c r="H94" s="39" t="n"/>
      <c r="I94" s="38" t="n"/>
      <c r="J94" s="22">
        <f>IF(COUNTA(A94:I94,K94:O94)=0,"",IF(OR(A94="",B94="",C94=""),"ID / parent missing",IF(COUNTIF($A$4:$A$553,A94)&gt;1,"Duplicate condition ID",IF(COUNTIF('Gate events'!$A$4:$A$553,B94)=0,"Event ID not found",IF(INDEX('Gate events'!$B$4:$B$553,MATCH(B94,'Gate events'!$A$4:$A$553,0))&lt;&gt;C94,"AIR-ID differs from event",IF(IF(INDEX('Gate events'!$P$4:$P$553,MATCH(B94,'Gate events'!$A$4:$A$553,0))="UC-ID specific",IF(OR(L94&lt;&gt;"UC-ID specific",K94=""),"Condition UC-ID required",IF(ISNUMBER(SEARCH(","&amp;SUBSTITUTE(K94," ","")&amp;",",","&amp;SUBSTITUTE(INDEX('Gate events'!$O$4:$O$553,MATCH(B94,'Gate events'!$A$4:$A$553,0))," ","")&amp;",")),"","UC-ID differs from decision")),IF(INDEX('Gate events'!$P$4:$P$553,MATCH(B94,'Gate events'!$A$4:$A$553,0))="Shared system baseline",IF(OR(L94&lt;&gt;"Shared system baseline",K94&lt;&gt;""),"Condition scope differs from decision",""),"Parent decision scope missing"))&lt;&gt;"",IF(INDEX('Gate events'!$P$4:$P$553,MATCH(B94,'Gate events'!$A$4:$A$553,0))="UC-ID specific",IF(OR(L94&lt;&gt;"UC-ID specific",K94=""),"Condition UC-ID required",IF(ISNUMBER(SEARCH(","&amp;SUBSTITUTE(K94," ","")&amp;",",","&amp;SUBSTITUTE(INDEX('Gate events'!$O$4:$O$553,MATCH(B94,'Gate events'!$A$4:$A$553,0))," ","")&amp;",")),"","UC-ID differs from decision")),IF(INDEX('Gate events'!$P$4:$P$553,MATCH(B94,'Gate events'!$A$4:$A$553,0))="Shared system baseline",IF(OR(L94&lt;&gt;"Shared system baseline",K94&lt;&gt;""),"Condition scope differs from decision",""),"Parent decision scope missing")),IF(OR(D94="",E94="",F94="",G94=""),"Condition, owner, due date or state missing",IF(NOT(ISNUMBER(F94)),"Due date is not a date",IF(OR(G94="Overdue",G94="Superseded"),"Legacy state — owner review (use the shared five states)",IF(INDEX('Gate events'!$E$4:$E$553,MATCH(B94,'Gate events'!$A$4:$A$553,0))&lt;&gt;"Decision","Parent event is not a Decision",IF(AND(INDEX('Gate events'!$G$4:$G$553,MATCH(B94,'Gate events'!$A$4:$A$553,0))&lt;&gt;"Progress with condition",INDEX('Gate events'!$G$4:$G$553,MATCH(B94,'Gate events'!$A$4:$A$553,0))&lt;&gt;"Re-authorise",INDEX('Gate events'!$G$4:$G$553,MATCH(B94,'Gate events'!$A$4:$A$553,0))&lt;&gt;"Resume"),"Parent outcome is not Progress with condition / Re-authorise / Resume",IF(AND(ISNUMBER(INDEX('Gate events'!$F$4:$F$553,MATCH(B94,'Gate events'!$A$4:$A$553,0))),F94&lt;INDEX('Gate events'!$F$4:$F$553,MATCH(B94,'Gate events'!$A$4:$A$553,0))),"Due date before parent event date",IF(AND(OR(G94="Closed-verified",G94="Waived",G94="Accepted-open"),OR(H94="",I94="")),"Closure evidence missing",IF(AND(H94&lt;&gt;"",NOT(ISNUMBER(H94))),"Closed / waived on is not a date",IF(AND(ISNUMBER(H94),ISNUMBER(INDEX('Gate events'!$F$4:$F$553,MATCH(B94,'Gate events'!$A$4:$A$553,0))),H94&lt;INDEX('Gate events'!$F$4:$F$553,MATCH(B94,'Gate events'!$A$4:$A$553,0))),"Closure date before parent event date",IF(AND(G94="Closed-verified",M94=""),"Verifier / date missing",IF(AND(N94="Yes",G94="Closed-verified",O94=""),"Monitoring condition needs AIG-OPS-02 evidence ref",IF(AND(G94="Open",F94&lt;TODAY()),"OVERDUE (derived) — review",IF(G94="Unknown","State Unknown: owner to confirm","Check against source")))))))))))))))))))</f>
        <v/>
      </c>
      <c r="K94" s="37" t="n"/>
      <c r="L94" s="37" t="n"/>
      <c r="M94" s="38" t="n"/>
      <c r="N94" s="38" t="n"/>
      <c r="O94" s="38" t="n"/>
    </row>
    <row r="95">
      <c r="A95" s="40" t="n"/>
      <c r="B95" s="40" t="n"/>
      <c r="C95" s="40" t="n"/>
      <c r="D95" s="40" t="n"/>
      <c r="E95" s="40" t="n"/>
      <c r="F95" s="41" t="n"/>
      <c r="G95" s="40" t="n"/>
      <c r="H95" s="41" t="n"/>
      <c r="I95" s="40" t="n"/>
      <c r="J95" s="24">
        <f>IF(COUNTA(A95:I95,K95:O95)=0,"",IF(OR(A95="",B95="",C95=""),"ID / parent missing",IF(COUNTIF($A$4:$A$553,A95)&gt;1,"Duplicate condition ID",IF(COUNTIF('Gate events'!$A$4:$A$553,B95)=0,"Event ID not found",IF(INDEX('Gate events'!$B$4:$B$553,MATCH(B95,'Gate events'!$A$4:$A$553,0))&lt;&gt;C95,"AIR-ID differs from event",IF(IF(INDEX('Gate events'!$P$4:$P$553,MATCH(B95,'Gate events'!$A$4:$A$553,0))="UC-ID specific",IF(OR(L95&lt;&gt;"UC-ID specific",K95=""),"Condition UC-ID required",IF(ISNUMBER(SEARCH(","&amp;SUBSTITUTE(K95," ","")&amp;",",","&amp;SUBSTITUTE(INDEX('Gate events'!$O$4:$O$553,MATCH(B95,'Gate events'!$A$4:$A$553,0))," ","")&amp;",")),"","UC-ID differs from decision")),IF(INDEX('Gate events'!$P$4:$P$553,MATCH(B95,'Gate events'!$A$4:$A$553,0))="Shared system baseline",IF(OR(L95&lt;&gt;"Shared system baseline",K95&lt;&gt;""),"Condition scope differs from decision",""),"Parent decision scope missing"))&lt;&gt;"",IF(INDEX('Gate events'!$P$4:$P$553,MATCH(B95,'Gate events'!$A$4:$A$553,0))="UC-ID specific",IF(OR(L95&lt;&gt;"UC-ID specific",K95=""),"Condition UC-ID required",IF(ISNUMBER(SEARCH(","&amp;SUBSTITUTE(K95," ","")&amp;",",","&amp;SUBSTITUTE(INDEX('Gate events'!$O$4:$O$553,MATCH(B95,'Gate events'!$A$4:$A$553,0))," ","")&amp;",")),"","UC-ID differs from decision")),IF(INDEX('Gate events'!$P$4:$P$553,MATCH(B95,'Gate events'!$A$4:$A$553,0))="Shared system baseline",IF(OR(L95&lt;&gt;"Shared system baseline",K95&lt;&gt;""),"Condition scope differs from decision",""),"Parent decision scope missing")),IF(OR(D95="",E95="",F95="",G95=""),"Condition, owner, due date or state missing",IF(NOT(ISNUMBER(F95)),"Due date is not a date",IF(OR(G95="Overdue",G95="Superseded"),"Legacy state — owner review (use the shared five states)",IF(INDEX('Gate events'!$E$4:$E$553,MATCH(B95,'Gate events'!$A$4:$A$553,0))&lt;&gt;"Decision","Parent event is not a Decision",IF(AND(INDEX('Gate events'!$G$4:$G$553,MATCH(B95,'Gate events'!$A$4:$A$553,0))&lt;&gt;"Progress with condition",INDEX('Gate events'!$G$4:$G$553,MATCH(B95,'Gate events'!$A$4:$A$553,0))&lt;&gt;"Re-authorise",INDEX('Gate events'!$G$4:$G$553,MATCH(B95,'Gate events'!$A$4:$A$553,0))&lt;&gt;"Resume"),"Parent outcome is not Progress with condition / Re-authorise / Resume",IF(AND(ISNUMBER(INDEX('Gate events'!$F$4:$F$553,MATCH(B95,'Gate events'!$A$4:$A$553,0))),F95&lt;INDEX('Gate events'!$F$4:$F$553,MATCH(B95,'Gate events'!$A$4:$A$553,0))),"Due date before parent event date",IF(AND(OR(G95="Closed-verified",G95="Waived",G95="Accepted-open"),OR(H95="",I95="")),"Closure evidence missing",IF(AND(H95&lt;&gt;"",NOT(ISNUMBER(H95))),"Closed / waived on is not a date",IF(AND(ISNUMBER(H95),ISNUMBER(INDEX('Gate events'!$F$4:$F$553,MATCH(B95,'Gate events'!$A$4:$A$553,0))),H95&lt;INDEX('Gate events'!$F$4:$F$553,MATCH(B95,'Gate events'!$A$4:$A$553,0))),"Closure date before parent event date",IF(AND(G95="Closed-verified",M95=""),"Verifier / date missing",IF(AND(N95="Yes",G95="Closed-verified",O95=""),"Monitoring condition needs AIG-OPS-02 evidence ref",IF(AND(G95="Open",F95&lt;TODAY()),"OVERDUE (derived) — review",IF(G95="Unknown","State Unknown: owner to confirm","Check against source")))))))))))))))))))</f>
        <v/>
      </c>
      <c r="K95" s="37" t="n"/>
      <c r="L95" s="37" t="n"/>
      <c r="M95" s="40" t="n"/>
      <c r="N95" s="40" t="n"/>
      <c r="O95" s="40" t="n"/>
    </row>
    <row r="96">
      <c r="A96" s="38" t="n"/>
      <c r="B96" s="38" t="n"/>
      <c r="C96" s="38" t="n"/>
      <c r="D96" s="38" t="n"/>
      <c r="E96" s="38" t="n"/>
      <c r="F96" s="39" t="n"/>
      <c r="G96" s="38" t="n"/>
      <c r="H96" s="39" t="n"/>
      <c r="I96" s="38" t="n"/>
      <c r="J96" s="22">
        <f>IF(COUNTA(A96:I96,K96:O96)=0,"",IF(OR(A96="",B96="",C96=""),"ID / parent missing",IF(COUNTIF($A$4:$A$553,A96)&gt;1,"Duplicate condition ID",IF(COUNTIF('Gate events'!$A$4:$A$553,B96)=0,"Event ID not found",IF(INDEX('Gate events'!$B$4:$B$553,MATCH(B96,'Gate events'!$A$4:$A$553,0))&lt;&gt;C96,"AIR-ID differs from event",IF(IF(INDEX('Gate events'!$P$4:$P$553,MATCH(B96,'Gate events'!$A$4:$A$553,0))="UC-ID specific",IF(OR(L96&lt;&gt;"UC-ID specific",K96=""),"Condition UC-ID required",IF(ISNUMBER(SEARCH(","&amp;SUBSTITUTE(K96," ","")&amp;",",","&amp;SUBSTITUTE(INDEX('Gate events'!$O$4:$O$553,MATCH(B96,'Gate events'!$A$4:$A$553,0))," ","")&amp;",")),"","UC-ID differs from decision")),IF(INDEX('Gate events'!$P$4:$P$553,MATCH(B96,'Gate events'!$A$4:$A$553,0))="Shared system baseline",IF(OR(L96&lt;&gt;"Shared system baseline",K96&lt;&gt;""),"Condition scope differs from decision",""),"Parent decision scope missing"))&lt;&gt;"",IF(INDEX('Gate events'!$P$4:$P$553,MATCH(B96,'Gate events'!$A$4:$A$553,0))="UC-ID specific",IF(OR(L96&lt;&gt;"UC-ID specific",K96=""),"Condition UC-ID required",IF(ISNUMBER(SEARCH(","&amp;SUBSTITUTE(K96," ","")&amp;",",","&amp;SUBSTITUTE(INDEX('Gate events'!$O$4:$O$553,MATCH(B96,'Gate events'!$A$4:$A$553,0))," ","")&amp;",")),"","UC-ID differs from decision")),IF(INDEX('Gate events'!$P$4:$P$553,MATCH(B96,'Gate events'!$A$4:$A$553,0))="Shared system baseline",IF(OR(L96&lt;&gt;"Shared system baseline",K96&lt;&gt;""),"Condition scope differs from decision",""),"Parent decision scope missing")),IF(OR(D96="",E96="",F96="",G96=""),"Condition, owner, due date or state missing",IF(NOT(ISNUMBER(F96)),"Due date is not a date",IF(OR(G96="Overdue",G96="Superseded"),"Legacy state — owner review (use the shared five states)",IF(INDEX('Gate events'!$E$4:$E$553,MATCH(B96,'Gate events'!$A$4:$A$553,0))&lt;&gt;"Decision","Parent event is not a Decision",IF(AND(INDEX('Gate events'!$G$4:$G$553,MATCH(B96,'Gate events'!$A$4:$A$553,0))&lt;&gt;"Progress with condition",INDEX('Gate events'!$G$4:$G$553,MATCH(B96,'Gate events'!$A$4:$A$553,0))&lt;&gt;"Re-authorise",INDEX('Gate events'!$G$4:$G$553,MATCH(B96,'Gate events'!$A$4:$A$553,0))&lt;&gt;"Resume"),"Parent outcome is not Progress with condition / Re-authorise / Resume",IF(AND(ISNUMBER(INDEX('Gate events'!$F$4:$F$553,MATCH(B96,'Gate events'!$A$4:$A$553,0))),F96&lt;INDEX('Gate events'!$F$4:$F$553,MATCH(B96,'Gate events'!$A$4:$A$553,0))),"Due date before parent event date",IF(AND(OR(G96="Closed-verified",G96="Waived",G96="Accepted-open"),OR(H96="",I96="")),"Closure evidence missing",IF(AND(H96&lt;&gt;"",NOT(ISNUMBER(H96))),"Closed / waived on is not a date",IF(AND(ISNUMBER(H96),ISNUMBER(INDEX('Gate events'!$F$4:$F$553,MATCH(B96,'Gate events'!$A$4:$A$553,0))),H96&lt;INDEX('Gate events'!$F$4:$F$553,MATCH(B96,'Gate events'!$A$4:$A$553,0))),"Closure date before parent event date",IF(AND(G96="Closed-verified",M96=""),"Verifier / date missing",IF(AND(N96="Yes",G96="Closed-verified",O96=""),"Monitoring condition needs AIG-OPS-02 evidence ref",IF(AND(G96="Open",F96&lt;TODAY()),"OVERDUE (derived) — review",IF(G96="Unknown","State Unknown: owner to confirm","Check against source")))))))))))))))))))</f>
        <v/>
      </c>
      <c r="K96" s="37" t="n"/>
      <c r="L96" s="37" t="n"/>
      <c r="M96" s="38" t="n"/>
      <c r="N96" s="38" t="n"/>
      <c r="O96" s="38" t="n"/>
    </row>
    <row r="97">
      <c r="A97" s="40" t="n"/>
      <c r="B97" s="40" t="n"/>
      <c r="C97" s="40" t="n"/>
      <c r="D97" s="40" t="n"/>
      <c r="E97" s="40" t="n"/>
      <c r="F97" s="41" t="n"/>
      <c r="G97" s="40" t="n"/>
      <c r="H97" s="41" t="n"/>
      <c r="I97" s="40" t="n"/>
      <c r="J97" s="24">
        <f>IF(COUNTA(A97:I97,K97:O97)=0,"",IF(OR(A97="",B97="",C97=""),"ID / parent missing",IF(COUNTIF($A$4:$A$553,A97)&gt;1,"Duplicate condition ID",IF(COUNTIF('Gate events'!$A$4:$A$553,B97)=0,"Event ID not found",IF(INDEX('Gate events'!$B$4:$B$553,MATCH(B97,'Gate events'!$A$4:$A$553,0))&lt;&gt;C97,"AIR-ID differs from event",IF(IF(INDEX('Gate events'!$P$4:$P$553,MATCH(B97,'Gate events'!$A$4:$A$553,0))="UC-ID specific",IF(OR(L97&lt;&gt;"UC-ID specific",K97=""),"Condition UC-ID required",IF(ISNUMBER(SEARCH(","&amp;SUBSTITUTE(K97," ","")&amp;",",","&amp;SUBSTITUTE(INDEX('Gate events'!$O$4:$O$553,MATCH(B97,'Gate events'!$A$4:$A$553,0))," ","")&amp;",")),"","UC-ID differs from decision")),IF(INDEX('Gate events'!$P$4:$P$553,MATCH(B97,'Gate events'!$A$4:$A$553,0))="Shared system baseline",IF(OR(L97&lt;&gt;"Shared system baseline",K97&lt;&gt;""),"Condition scope differs from decision",""),"Parent decision scope missing"))&lt;&gt;"",IF(INDEX('Gate events'!$P$4:$P$553,MATCH(B97,'Gate events'!$A$4:$A$553,0))="UC-ID specific",IF(OR(L97&lt;&gt;"UC-ID specific",K97=""),"Condition UC-ID required",IF(ISNUMBER(SEARCH(","&amp;SUBSTITUTE(K97," ","")&amp;",",","&amp;SUBSTITUTE(INDEX('Gate events'!$O$4:$O$553,MATCH(B97,'Gate events'!$A$4:$A$553,0))," ","")&amp;",")),"","UC-ID differs from decision")),IF(INDEX('Gate events'!$P$4:$P$553,MATCH(B97,'Gate events'!$A$4:$A$553,0))="Shared system baseline",IF(OR(L97&lt;&gt;"Shared system baseline",K97&lt;&gt;""),"Condition scope differs from decision",""),"Parent decision scope missing")),IF(OR(D97="",E97="",F97="",G97=""),"Condition, owner, due date or state missing",IF(NOT(ISNUMBER(F97)),"Due date is not a date",IF(OR(G97="Overdue",G97="Superseded"),"Legacy state — owner review (use the shared five states)",IF(INDEX('Gate events'!$E$4:$E$553,MATCH(B97,'Gate events'!$A$4:$A$553,0))&lt;&gt;"Decision","Parent event is not a Decision",IF(AND(INDEX('Gate events'!$G$4:$G$553,MATCH(B97,'Gate events'!$A$4:$A$553,0))&lt;&gt;"Progress with condition",INDEX('Gate events'!$G$4:$G$553,MATCH(B97,'Gate events'!$A$4:$A$553,0))&lt;&gt;"Re-authorise",INDEX('Gate events'!$G$4:$G$553,MATCH(B97,'Gate events'!$A$4:$A$553,0))&lt;&gt;"Resume"),"Parent outcome is not Progress with condition / Re-authorise / Resume",IF(AND(ISNUMBER(INDEX('Gate events'!$F$4:$F$553,MATCH(B97,'Gate events'!$A$4:$A$553,0))),F97&lt;INDEX('Gate events'!$F$4:$F$553,MATCH(B97,'Gate events'!$A$4:$A$553,0))),"Due date before parent event date",IF(AND(OR(G97="Closed-verified",G97="Waived",G97="Accepted-open"),OR(H97="",I97="")),"Closure evidence missing",IF(AND(H97&lt;&gt;"",NOT(ISNUMBER(H97))),"Closed / waived on is not a date",IF(AND(ISNUMBER(H97),ISNUMBER(INDEX('Gate events'!$F$4:$F$553,MATCH(B97,'Gate events'!$A$4:$A$553,0))),H97&lt;INDEX('Gate events'!$F$4:$F$553,MATCH(B97,'Gate events'!$A$4:$A$553,0))),"Closure date before parent event date",IF(AND(G97="Closed-verified",M97=""),"Verifier / date missing",IF(AND(N97="Yes",G97="Closed-verified",O97=""),"Monitoring condition needs AIG-OPS-02 evidence ref",IF(AND(G97="Open",F97&lt;TODAY()),"OVERDUE (derived) — review",IF(G97="Unknown","State Unknown: owner to confirm","Check against source")))))))))))))))))))</f>
        <v/>
      </c>
      <c r="K97" s="37" t="n"/>
      <c r="L97" s="37" t="n"/>
      <c r="M97" s="40" t="n"/>
      <c r="N97" s="40" t="n"/>
      <c r="O97" s="40" t="n"/>
    </row>
    <row r="98">
      <c r="A98" s="38" t="n"/>
      <c r="B98" s="38" t="n"/>
      <c r="C98" s="38" t="n"/>
      <c r="D98" s="38" t="n"/>
      <c r="E98" s="38" t="n"/>
      <c r="F98" s="39" t="n"/>
      <c r="G98" s="38" t="n"/>
      <c r="H98" s="39" t="n"/>
      <c r="I98" s="38" t="n"/>
      <c r="J98" s="22">
        <f>IF(COUNTA(A98:I98,K98:O98)=0,"",IF(OR(A98="",B98="",C98=""),"ID / parent missing",IF(COUNTIF($A$4:$A$553,A98)&gt;1,"Duplicate condition ID",IF(COUNTIF('Gate events'!$A$4:$A$553,B98)=0,"Event ID not found",IF(INDEX('Gate events'!$B$4:$B$553,MATCH(B98,'Gate events'!$A$4:$A$553,0))&lt;&gt;C98,"AIR-ID differs from event",IF(IF(INDEX('Gate events'!$P$4:$P$553,MATCH(B98,'Gate events'!$A$4:$A$553,0))="UC-ID specific",IF(OR(L98&lt;&gt;"UC-ID specific",K98=""),"Condition UC-ID required",IF(ISNUMBER(SEARCH(","&amp;SUBSTITUTE(K98," ","")&amp;",",","&amp;SUBSTITUTE(INDEX('Gate events'!$O$4:$O$553,MATCH(B98,'Gate events'!$A$4:$A$553,0))," ","")&amp;",")),"","UC-ID differs from decision")),IF(INDEX('Gate events'!$P$4:$P$553,MATCH(B98,'Gate events'!$A$4:$A$553,0))="Shared system baseline",IF(OR(L98&lt;&gt;"Shared system baseline",K98&lt;&gt;""),"Condition scope differs from decision",""),"Parent decision scope missing"))&lt;&gt;"",IF(INDEX('Gate events'!$P$4:$P$553,MATCH(B98,'Gate events'!$A$4:$A$553,0))="UC-ID specific",IF(OR(L98&lt;&gt;"UC-ID specific",K98=""),"Condition UC-ID required",IF(ISNUMBER(SEARCH(","&amp;SUBSTITUTE(K98," ","")&amp;",",","&amp;SUBSTITUTE(INDEX('Gate events'!$O$4:$O$553,MATCH(B98,'Gate events'!$A$4:$A$553,0))," ","")&amp;",")),"","UC-ID differs from decision")),IF(INDEX('Gate events'!$P$4:$P$553,MATCH(B98,'Gate events'!$A$4:$A$553,0))="Shared system baseline",IF(OR(L98&lt;&gt;"Shared system baseline",K98&lt;&gt;""),"Condition scope differs from decision",""),"Parent decision scope missing")),IF(OR(D98="",E98="",F98="",G98=""),"Condition, owner, due date or state missing",IF(NOT(ISNUMBER(F98)),"Due date is not a date",IF(OR(G98="Overdue",G98="Superseded"),"Legacy state — owner review (use the shared five states)",IF(INDEX('Gate events'!$E$4:$E$553,MATCH(B98,'Gate events'!$A$4:$A$553,0))&lt;&gt;"Decision","Parent event is not a Decision",IF(AND(INDEX('Gate events'!$G$4:$G$553,MATCH(B98,'Gate events'!$A$4:$A$553,0))&lt;&gt;"Progress with condition",INDEX('Gate events'!$G$4:$G$553,MATCH(B98,'Gate events'!$A$4:$A$553,0))&lt;&gt;"Re-authorise",INDEX('Gate events'!$G$4:$G$553,MATCH(B98,'Gate events'!$A$4:$A$553,0))&lt;&gt;"Resume"),"Parent outcome is not Progress with condition / Re-authorise / Resume",IF(AND(ISNUMBER(INDEX('Gate events'!$F$4:$F$553,MATCH(B98,'Gate events'!$A$4:$A$553,0))),F98&lt;INDEX('Gate events'!$F$4:$F$553,MATCH(B98,'Gate events'!$A$4:$A$553,0))),"Due date before parent event date",IF(AND(OR(G98="Closed-verified",G98="Waived",G98="Accepted-open"),OR(H98="",I98="")),"Closure evidence missing",IF(AND(H98&lt;&gt;"",NOT(ISNUMBER(H98))),"Closed / waived on is not a date",IF(AND(ISNUMBER(H98),ISNUMBER(INDEX('Gate events'!$F$4:$F$553,MATCH(B98,'Gate events'!$A$4:$A$553,0))),H98&lt;INDEX('Gate events'!$F$4:$F$553,MATCH(B98,'Gate events'!$A$4:$A$553,0))),"Closure date before parent event date",IF(AND(G98="Closed-verified",M98=""),"Verifier / date missing",IF(AND(N98="Yes",G98="Closed-verified",O98=""),"Monitoring condition needs AIG-OPS-02 evidence ref",IF(AND(G98="Open",F98&lt;TODAY()),"OVERDUE (derived) — review",IF(G98="Unknown","State Unknown: owner to confirm","Check against source")))))))))))))))))))</f>
        <v/>
      </c>
      <c r="K98" s="37" t="n"/>
      <c r="L98" s="37" t="n"/>
      <c r="M98" s="38" t="n"/>
      <c r="N98" s="38" t="n"/>
      <c r="O98" s="38" t="n"/>
    </row>
    <row r="99">
      <c r="A99" s="40" t="n"/>
      <c r="B99" s="40" t="n"/>
      <c r="C99" s="40" t="n"/>
      <c r="D99" s="40" t="n"/>
      <c r="E99" s="40" t="n"/>
      <c r="F99" s="41" t="n"/>
      <c r="G99" s="40" t="n"/>
      <c r="H99" s="41" t="n"/>
      <c r="I99" s="40" t="n"/>
      <c r="J99" s="24">
        <f>IF(COUNTA(A99:I99,K99:O99)=0,"",IF(OR(A99="",B99="",C99=""),"ID / parent missing",IF(COUNTIF($A$4:$A$553,A99)&gt;1,"Duplicate condition ID",IF(COUNTIF('Gate events'!$A$4:$A$553,B99)=0,"Event ID not found",IF(INDEX('Gate events'!$B$4:$B$553,MATCH(B99,'Gate events'!$A$4:$A$553,0))&lt;&gt;C99,"AIR-ID differs from event",IF(IF(INDEX('Gate events'!$P$4:$P$553,MATCH(B99,'Gate events'!$A$4:$A$553,0))="UC-ID specific",IF(OR(L99&lt;&gt;"UC-ID specific",K99=""),"Condition UC-ID required",IF(ISNUMBER(SEARCH(","&amp;SUBSTITUTE(K99," ","")&amp;",",","&amp;SUBSTITUTE(INDEX('Gate events'!$O$4:$O$553,MATCH(B99,'Gate events'!$A$4:$A$553,0))," ","")&amp;",")),"","UC-ID differs from decision")),IF(INDEX('Gate events'!$P$4:$P$553,MATCH(B99,'Gate events'!$A$4:$A$553,0))="Shared system baseline",IF(OR(L99&lt;&gt;"Shared system baseline",K99&lt;&gt;""),"Condition scope differs from decision",""),"Parent decision scope missing"))&lt;&gt;"",IF(INDEX('Gate events'!$P$4:$P$553,MATCH(B99,'Gate events'!$A$4:$A$553,0))="UC-ID specific",IF(OR(L99&lt;&gt;"UC-ID specific",K99=""),"Condition UC-ID required",IF(ISNUMBER(SEARCH(","&amp;SUBSTITUTE(K99," ","")&amp;",",","&amp;SUBSTITUTE(INDEX('Gate events'!$O$4:$O$553,MATCH(B99,'Gate events'!$A$4:$A$553,0))," ","")&amp;",")),"","UC-ID differs from decision")),IF(INDEX('Gate events'!$P$4:$P$553,MATCH(B99,'Gate events'!$A$4:$A$553,0))="Shared system baseline",IF(OR(L99&lt;&gt;"Shared system baseline",K99&lt;&gt;""),"Condition scope differs from decision",""),"Parent decision scope missing")),IF(OR(D99="",E99="",F99="",G99=""),"Condition, owner, due date or state missing",IF(NOT(ISNUMBER(F99)),"Due date is not a date",IF(OR(G99="Overdue",G99="Superseded"),"Legacy state — owner review (use the shared five states)",IF(INDEX('Gate events'!$E$4:$E$553,MATCH(B99,'Gate events'!$A$4:$A$553,0))&lt;&gt;"Decision","Parent event is not a Decision",IF(AND(INDEX('Gate events'!$G$4:$G$553,MATCH(B99,'Gate events'!$A$4:$A$553,0))&lt;&gt;"Progress with condition",INDEX('Gate events'!$G$4:$G$553,MATCH(B99,'Gate events'!$A$4:$A$553,0))&lt;&gt;"Re-authorise",INDEX('Gate events'!$G$4:$G$553,MATCH(B99,'Gate events'!$A$4:$A$553,0))&lt;&gt;"Resume"),"Parent outcome is not Progress with condition / Re-authorise / Resume",IF(AND(ISNUMBER(INDEX('Gate events'!$F$4:$F$553,MATCH(B99,'Gate events'!$A$4:$A$553,0))),F99&lt;INDEX('Gate events'!$F$4:$F$553,MATCH(B99,'Gate events'!$A$4:$A$553,0))),"Due date before parent event date",IF(AND(OR(G99="Closed-verified",G99="Waived",G99="Accepted-open"),OR(H99="",I99="")),"Closure evidence missing",IF(AND(H99&lt;&gt;"",NOT(ISNUMBER(H99))),"Closed / waived on is not a date",IF(AND(ISNUMBER(H99),ISNUMBER(INDEX('Gate events'!$F$4:$F$553,MATCH(B99,'Gate events'!$A$4:$A$553,0))),H99&lt;INDEX('Gate events'!$F$4:$F$553,MATCH(B99,'Gate events'!$A$4:$A$553,0))),"Closure date before parent event date",IF(AND(G99="Closed-verified",M99=""),"Verifier / date missing",IF(AND(N99="Yes",G99="Closed-verified",O99=""),"Monitoring condition needs AIG-OPS-02 evidence ref",IF(AND(G99="Open",F99&lt;TODAY()),"OVERDUE (derived) — review",IF(G99="Unknown","State Unknown: owner to confirm","Check against source")))))))))))))))))))</f>
        <v/>
      </c>
      <c r="K99" s="37" t="n"/>
      <c r="L99" s="37" t="n"/>
      <c r="M99" s="40" t="n"/>
      <c r="N99" s="40" t="n"/>
      <c r="O99" s="40" t="n"/>
    </row>
    <row r="100">
      <c r="A100" s="38" t="n"/>
      <c r="B100" s="38" t="n"/>
      <c r="C100" s="38" t="n"/>
      <c r="D100" s="38" t="n"/>
      <c r="E100" s="38" t="n"/>
      <c r="F100" s="39" t="n"/>
      <c r="G100" s="38" t="n"/>
      <c r="H100" s="39" t="n"/>
      <c r="I100" s="38" t="n"/>
      <c r="J100" s="22">
        <f>IF(COUNTA(A100:I100,K100:O100)=0,"",IF(OR(A100="",B100="",C100=""),"ID / parent missing",IF(COUNTIF($A$4:$A$553,A100)&gt;1,"Duplicate condition ID",IF(COUNTIF('Gate events'!$A$4:$A$553,B100)=0,"Event ID not found",IF(INDEX('Gate events'!$B$4:$B$553,MATCH(B100,'Gate events'!$A$4:$A$553,0))&lt;&gt;C100,"AIR-ID differs from event",IF(IF(INDEX('Gate events'!$P$4:$P$553,MATCH(B100,'Gate events'!$A$4:$A$553,0))="UC-ID specific",IF(OR(L100&lt;&gt;"UC-ID specific",K100=""),"Condition UC-ID required",IF(ISNUMBER(SEARCH(","&amp;SUBSTITUTE(K100," ","")&amp;",",","&amp;SUBSTITUTE(INDEX('Gate events'!$O$4:$O$553,MATCH(B100,'Gate events'!$A$4:$A$553,0))," ","")&amp;",")),"","UC-ID differs from decision")),IF(INDEX('Gate events'!$P$4:$P$553,MATCH(B100,'Gate events'!$A$4:$A$553,0))="Shared system baseline",IF(OR(L100&lt;&gt;"Shared system baseline",K100&lt;&gt;""),"Condition scope differs from decision",""),"Parent decision scope missing"))&lt;&gt;"",IF(INDEX('Gate events'!$P$4:$P$553,MATCH(B100,'Gate events'!$A$4:$A$553,0))="UC-ID specific",IF(OR(L100&lt;&gt;"UC-ID specific",K100=""),"Condition UC-ID required",IF(ISNUMBER(SEARCH(","&amp;SUBSTITUTE(K100," ","")&amp;",",","&amp;SUBSTITUTE(INDEX('Gate events'!$O$4:$O$553,MATCH(B100,'Gate events'!$A$4:$A$553,0))," ","")&amp;",")),"","UC-ID differs from decision")),IF(INDEX('Gate events'!$P$4:$P$553,MATCH(B100,'Gate events'!$A$4:$A$553,0))="Shared system baseline",IF(OR(L100&lt;&gt;"Shared system baseline",K100&lt;&gt;""),"Condition scope differs from decision",""),"Parent decision scope missing")),IF(OR(D100="",E100="",F100="",G100=""),"Condition, owner, due date or state missing",IF(NOT(ISNUMBER(F100)),"Due date is not a date",IF(OR(G100="Overdue",G100="Superseded"),"Legacy state — owner review (use the shared five states)",IF(INDEX('Gate events'!$E$4:$E$553,MATCH(B100,'Gate events'!$A$4:$A$553,0))&lt;&gt;"Decision","Parent event is not a Decision",IF(AND(INDEX('Gate events'!$G$4:$G$553,MATCH(B100,'Gate events'!$A$4:$A$553,0))&lt;&gt;"Progress with condition",INDEX('Gate events'!$G$4:$G$553,MATCH(B100,'Gate events'!$A$4:$A$553,0))&lt;&gt;"Re-authorise",INDEX('Gate events'!$G$4:$G$553,MATCH(B100,'Gate events'!$A$4:$A$553,0))&lt;&gt;"Resume"),"Parent outcome is not Progress with condition / Re-authorise / Resume",IF(AND(ISNUMBER(INDEX('Gate events'!$F$4:$F$553,MATCH(B100,'Gate events'!$A$4:$A$553,0))),F100&lt;INDEX('Gate events'!$F$4:$F$553,MATCH(B100,'Gate events'!$A$4:$A$553,0))),"Due date before parent event date",IF(AND(OR(G100="Closed-verified",G100="Waived",G100="Accepted-open"),OR(H100="",I100="")),"Closure evidence missing",IF(AND(H100&lt;&gt;"",NOT(ISNUMBER(H100))),"Closed / waived on is not a date",IF(AND(ISNUMBER(H100),ISNUMBER(INDEX('Gate events'!$F$4:$F$553,MATCH(B100,'Gate events'!$A$4:$A$553,0))),H100&lt;INDEX('Gate events'!$F$4:$F$553,MATCH(B100,'Gate events'!$A$4:$A$553,0))),"Closure date before parent event date",IF(AND(G100="Closed-verified",M100=""),"Verifier / date missing",IF(AND(N100="Yes",G100="Closed-verified",O100=""),"Monitoring condition needs AIG-OPS-02 evidence ref",IF(AND(G100="Open",F100&lt;TODAY()),"OVERDUE (derived) — review",IF(G100="Unknown","State Unknown: owner to confirm","Check against source")))))))))))))))))))</f>
        <v/>
      </c>
      <c r="K100" s="37" t="n"/>
      <c r="L100" s="37" t="n"/>
      <c r="M100" s="38" t="n"/>
      <c r="N100" s="38" t="n"/>
      <c r="O100" s="38" t="n"/>
    </row>
    <row r="101">
      <c r="A101" s="40" t="n"/>
      <c r="B101" s="40" t="n"/>
      <c r="C101" s="40" t="n"/>
      <c r="D101" s="40" t="n"/>
      <c r="E101" s="40" t="n"/>
      <c r="F101" s="41" t="n"/>
      <c r="G101" s="40" t="n"/>
      <c r="H101" s="41" t="n"/>
      <c r="I101" s="40" t="n"/>
      <c r="J101" s="24">
        <f>IF(COUNTA(A101:I101,K101:O101)=0,"",IF(OR(A101="",B101="",C101=""),"ID / parent missing",IF(COUNTIF($A$4:$A$553,A101)&gt;1,"Duplicate condition ID",IF(COUNTIF('Gate events'!$A$4:$A$553,B101)=0,"Event ID not found",IF(INDEX('Gate events'!$B$4:$B$553,MATCH(B101,'Gate events'!$A$4:$A$553,0))&lt;&gt;C101,"AIR-ID differs from event",IF(IF(INDEX('Gate events'!$P$4:$P$553,MATCH(B101,'Gate events'!$A$4:$A$553,0))="UC-ID specific",IF(OR(L101&lt;&gt;"UC-ID specific",K101=""),"Condition UC-ID required",IF(ISNUMBER(SEARCH(","&amp;SUBSTITUTE(K101," ","")&amp;",",","&amp;SUBSTITUTE(INDEX('Gate events'!$O$4:$O$553,MATCH(B101,'Gate events'!$A$4:$A$553,0))," ","")&amp;",")),"","UC-ID differs from decision")),IF(INDEX('Gate events'!$P$4:$P$553,MATCH(B101,'Gate events'!$A$4:$A$553,0))="Shared system baseline",IF(OR(L101&lt;&gt;"Shared system baseline",K101&lt;&gt;""),"Condition scope differs from decision",""),"Parent decision scope missing"))&lt;&gt;"",IF(INDEX('Gate events'!$P$4:$P$553,MATCH(B101,'Gate events'!$A$4:$A$553,0))="UC-ID specific",IF(OR(L101&lt;&gt;"UC-ID specific",K101=""),"Condition UC-ID required",IF(ISNUMBER(SEARCH(","&amp;SUBSTITUTE(K101," ","")&amp;",",","&amp;SUBSTITUTE(INDEX('Gate events'!$O$4:$O$553,MATCH(B101,'Gate events'!$A$4:$A$553,0))," ","")&amp;",")),"","UC-ID differs from decision")),IF(INDEX('Gate events'!$P$4:$P$553,MATCH(B101,'Gate events'!$A$4:$A$553,0))="Shared system baseline",IF(OR(L101&lt;&gt;"Shared system baseline",K101&lt;&gt;""),"Condition scope differs from decision",""),"Parent decision scope missing")),IF(OR(D101="",E101="",F101="",G101=""),"Condition, owner, due date or state missing",IF(NOT(ISNUMBER(F101)),"Due date is not a date",IF(OR(G101="Overdue",G101="Superseded"),"Legacy state — owner review (use the shared five states)",IF(INDEX('Gate events'!$E$4:$E$553,MATCH(B101,'Gate events'!$A$4:$A$553,0))&lt;&gt;"Decision","Parent event is not a Decision",IF(AND(INDEX('Gate events'!$G$4:$G$553,MATCH(B101,'Gate events'!$A$4:$A$553,0))&lt;&gt;"Progress with condition",INDEX('Gate events'!$G$4:$G$553,MATCH(B101,'Gate events'!$A$4:$A$553,0))&lt;&gt;"Re-authorise",INDEX('Gate events'!$G$4:$G$553,MATCH(B101,'Gate events'!$A$4:$A$553,0))&lt;&gt;"Resume"),"Parent outcome is not Progress with condition / Re-authorise / Resume",IF(AND(ISNUMBER(INDEX('Gate events'!$F$4:$F$553,MATCH(B101,'Gate events'!$A$4:$A$553,0))),F101&lt;INDEX('Gate events'!$F$4:$F$553,MATCH(B101,'Gate events'!$A$4:$A$553,0))),"Due date before parent event date",IF(AND(OR(G101="Closed-verified",G101="Waived",G101="Accepted-open"),OR(H101="",I101="")),"Closure evidence missing",IF(AND(H101&lt;&gt;"",NOT(ISNUMBER(H101))),"Closed / waived on is not a date",IF(AND(ISNUMBER(H101),ISNUMBER(INDEX('Gate events'!$F$4:$F$553,MATCH(B101,'Gate events'!$A$4:$A$553,0))),H101&lt;INDEX('Gate events'!$F$4:$F$553,MATCH(B101,'Gate events'!$A$4:$A$553,0))),"Closure date before parent event date",IF(AND(G101="Closed-verified",M101=""),"Verifier / date missing",IF(AND(N101="Yes",G101="Closed-verified",O101=""),"Monitoring condition needs AIG-OPS-02 evidence ref",IF(AND(G101="Open",F101&lt;TODAY()),"OVERDUE (derived) — review",IF(G101="Unknown","State Unknown: owner to confirm","Check against source")))))))))))))))))))</f>
        <v/>
      </c>
      <c r="K101" s="37" t="n"/>
      <c r="L101" s="37" t="n"/>
      <c r="M101" s="40" t="n"/>
      <c r="N101" s="40" t="n"/>
      <c r="O101" s="40" t="n"/>
    </row>
    <row r="102">
      <c r="A102" s="38" t="n"/>
      <c r="B102" s="38" t="n"/>
      <c r="C102" s="38" t="n"/>
      <c r="D102" s="38" t="n"/>
      <c r="E102" s="38" t="n"/>
      <c r="F102" s="39" t="n"/>
      <c r="G102" s="38" t="n"/>
      <c r="H102" s="39" t="n"/>
      <c r="I102" s="38" t="n"/>
      <c r="J102" s="22">
        <f>IF(COUNTA(A102:I102,K102:O102)=0,"",IF(OR(A102="",B102="",C102=""),"ID / parent missing",IF(COUNTIF($A$4:$A$553,A102)&gt;1,"Duplicate condition ID",IF(COUNTIF('Gate events'!$A$4:$A$553,B102)=0,"Event ID not found",IF(INDEX('Gate events'!$B$4:$B$553,MATCH(B102,'Gate events'!$A$4:$A$553,0))&lt;&gt;C102,"AIR-ID differs from event",IF(IF(INDEX('Gate events'!$P$4:$P$553,MATCH(B102,'Gate events'!$A$4:$A$553,0))="UC-ID specific",IF(OR(L102&lt;&gt;"UC-ID specific",K102=""),"Condition UC-ID required",IF(ISNUMBER(SEARCH(","&amp;SUBSTITUTE(K102," ","")&amp;",",","&amp;SUBSTITUTE(INDEX('Gate events'!$O$4:$O$553,MATCH(B102,'Gate events'!$A$4:$A$553,0))," ","")&amp;",")),"","UC-ID differs from decision")),IF(INDEX('Gate events'!$P$4:$P$553,MATCH(B102,'Gate events'!$A$4:$A$553,0))="Shared system baseline",IF(OR(L102&lt;&gt;"Shared system baseline",K102&lt;&gt;""),"Condition scope differs from decision",""),"Parent decision scope missing"))&lt;&gt;"",IF(INDEX('Gate events'!$P$4:$P$553,MATCH(B102,'Gate events'!$A$4:$A$553,0))="UC-ID specific",IF(OR(L102&lt;&gt;"UC-ID specific",K102=""),"Condition UC-ID required",IF(ISNUMBER(SEARCH(","&amp;SUBSTITUTE(K102," ","")&amp;",",","&amp;SUBSTITUTE(INDEX('Gate events'!$O$4:$O$553,MATCH(B102,'Gate events'!$A$4:$A$553,0))," ","")&amp;",")),"","UC-ID differs from decision")),IF(INDEX('Gate events'!$P$4:$P$553,MATCH(B102,'Gate events'!$A$4:$A$553,0))="Shared system baseline",IF(OR(L102&lt;&gt;"Shared system baseline",K102&lt;&gt;""),"Condition scope differs from decision",""),"Parent decision scope missing")),IF(OR(D102="",E102="",F102="",G102=""),"Condition, owner, due date or state missing",IF(NOT(ISNUMBER(F102)),"Due date is not a date",IF(OR(G102="Overdue",G102="Superseded"),"Legacy state — owner review (use the shared five states)",IF(INDEX('Gate events'!$E$4:$E$553,MATCH(B102,'Gate events'!$A$4:$A$553,0))&lt;&gt;"Decision","Parent event is not a Decision",IF(AND(INDEX('Gate events'!$G$4:$G$553,MATCH(B102,'Gate events'!$A$4:$A$553,0))&lt;&gt;"Progress with condition",INDEX('Gate events'!$G$4:$G$553,MATCH(B102,'Gate events'!$A$4:$A$553,0))&lt;&gt;"Re-authorise",INDEX('Gate events'!$G$4:$G$553,MATCH(B102,'Gate events'!$A$4:$A$553,0))&lt;&gt;"Resume"),"Parent outcome is not Progress with condition / Re-authorise / Resume",IF(AND(ISNUMBER(INDEX('Gate events'!$F$4:$F$553,MATCH(B102,'Gate events'!$A$4:$A$553,0))),F102&lt;INDEX('Gate events'!$F$4:$F$553,MATCH(B102,'Gate events'!$A$4:$A$553,0))),"Due date before parent event date",IF(AND(OR(G102="Closed-verified",G102="Waived",G102="Accepted-open"),OR(H102="",I102="")),"Closure evidence missing",IF(AND(H102&lt;&gt;"",NOT(ISNUMBER(H102))),"Closed / waived on is not a date",IF(AND(ISNUMBER(H102),ISNUMBER(INDEX('Gate events'!$F$4:$F$553,MATCH(B102,'Gate events'!$A$4:$A$553,0))),H102&lt;INDEX('Gate events'!$F$4:$F$553,MATCH(B102,'Gate events'!$A$4:$A$553,0))),"Closure date before parent event date",IF(AND(G102="Closed-verified",M102=""),"Verifier / date missing",IF(AND(N102="Yes",G102="Closed-verified",O102=""),"Monitoring condition needs AIG-OPS-02 evidence ref",IF(AND(G102="Open",F102&lt;TODAY()),"OVERDUE (derived) — review",IF(G102="Unknown","State Unknown: owner to confirm","Check against source")))))))))))))))))))</f>
        <v/>
      </c>
      <c r="K102" s="37" t="n"/>
      <c r="L102" s="37" t="n"/>
      <c r="M102" s="38" t="n"/>
      <c r="N102" s="38" t="n"/>
      <c r="O102" s="38" t="n"/>
    </row>
    <row r="103">
      <c r="A103" s="40" t="n"/>
      <c r="B103" s="40" t="n"/>
      <c r="C103" s="40" t="n"/>
      <c r="D103" s="40" t="n"/>
      <c r="E103" s="40" t="n"/>
      <c r="F103" s="41" t="n"/>
      <c r="G103" s="40" t="n"/>
      <c r="H103" s="41" t="n"/>
      <c r="I103" s="40" t="n"/>
      <c r="J103" s="24">
        <f>IF(COUNTA(A103:I103,K103:O103)=0,"",IF(OR(A103="",B103="",C103=""),"ID / parent missing",IF(COUNTIF($A$4:$A$553,A103)&gt;1,"Duplicate condition ID",IF(COUNTIF('Gate events'!$A$4:$A$553,B103)=0,"Event ID not found",IF(INDEX('Gate events'!$B$4:$B$553,MATCH(B103,'Gate events'!$A$4:$A$553,0))&lt;&gt;C103,"AIR-ID differs from event",IF(IF(INDEX('Gate events'!$P$4:$P$553,MATCH(B103,'Gate events'!$A$4:$A$553,0))="UC-ID specific",IF(OR(L103&lt;&gt;"UC-ID specific",K103=""),"Condition UC-ID required",IF(ISNUMBER(SEARCH(","&amp;SUBSTITUTE(K103," ","")&amp;",",","&amp;SUBSTITUTE(INDEX('Gate events'!$O$4:$O$553,MATCH(B103,'Gate events'!$A$4:$A$553,0))," ","")&amp;",")),"","UC-ID differs from decision")),IF(INDEX('Gate events'!$P$4:$P$553,MATCH(B103,'Gate events'!$A$4:$A$553,0))="Shared system baseline",IF(OR(L103&lt;&gt;"Shared system baseline",K103&lt;&gt;""),"Condition scope differs from decision",""),"Parent decision scope missing"))&lt;&gt;"",IF(INDEX('Gate events'!$P$4:$P$553,MATCH(B103,'Gate events'!$A$4:$A$553,0))="UC-ID specific",IF(OR(L103&lt;&gt;"UC-ID specific",K103=""),"Condition UC-ID required",IF(ISNUMBER(SEARCH(","&amp;SUBSTITUTE(K103," ","")&amp;",",","&amp;SUBSTITUTE(INDEX('Gate events'!$O$4:$O$553,MATCH(B103,'Gate events'!$A$4:$A$553,0))," ","")&amp;",")),"","UC-ID differs from decision")),IF(INDEX('Gate events'!$P$4:$P$553,MATCH(B103,'Gate events'!$A$4:$A$553,0))="Shared system baseline",IF(OR(L103&lt;&gt;"Shared system baseline",K103&lt;&gt;""),"Condition scope differs from decision",""),"Parent decision scope missing")),IF(OR(D103="",E103="",F103="",G103=""),"Condition, owner, due date or state missing",IF(NOT(ISNUMBER(F103)),"Due date is not a date",IF(OR(G103="Overdue",G103="Superseded"),"Legacy state — owner review (use the shared five states)",IF(INDEX('Gate events'!$E$4:$E$553,MATCH(B103,'Gate events'!$A$4:$A$553,0))&lt;&gt;"Decision","Parent event is not a Decision",IF(AND(INDEX('Gate events'!$G$4:$G$553,MATCH(B103,'Gate events'!$A$4:$A$553,0))&lt;&gt;"Progress with condition",INDEX('Gate events'!$G$4:$G$553,MATCH(B103,'Gate events'!$A$4:$A$553,0))&lt;&gt;"Re-authorise",INDEX('Gate events'!$G$4:$G$553,MATCH(B103,'Gate events'!$A$4:$A$553,0))&lt;&gt;"Resume"),"Parent outcome is not Progress with condition / Re-authorise / Resume",IF(AND(ISNUMBER(INDEX('Gate events'!$F$4:$F$553,MATCH(B103,'Gate events'!$A$4:$A$553,0))),F103&lt;INDEX('Gate events'!$F$4:$F$553,MATCH(B103,'Gate events'!$A$4:$A$553,0))),"Due date before parent event date",IF(AND(OR(G103="Closed-verified",G103="Waived",G103="Accepted-open"),OR(H103="",I103="")),"Closure evidence missing",IF(AND(H103&lt;&gt;"",NOT(ISNUMBER(H103))),"Closed / waived on is not a date",IF(AND(ISNUMBER(H103),ISNUMBER(INDEX('Gate events'!$F$4:$F$553,MATCH(B103,'Gate events'!$A$4:$A$553,0))),H103&lt;INDEX('Gate events'!$F$4:$F$553,MATCH(B103,'Gate events'!$A$4:$A$553,0))),"Closure date before parent event date",IF(AND(G103="Closed-verified",M103=""),"Verifier / date missing",IF(AND(N103="Yes",G103="Closed-verified",O103=""),"Monitoring condition needs AIG-OPS-02 evidence ref",IF(AND(G103="Open",F103&lt;TODAY()),"OVERDUE (derived) — review",IF(G103="Unknown","State Unknown: owner to confirm","Check against source")))))))))))))))))))</f>
        <v/>
      </c>
      <c r="K103" s="37" t="n"/>
      <c r="L103" s="37" t="n"/>
      <c r="M103" s="40" t="n"/>
      <c r="N103" s="40" t="n"/>
      <c r="O103" s="40" t="n"/>
    </row>
    <row r="104">
      <c r="A104" s="38" t="n"/>
      <c r="B104" s="38" t="n"/>
      <c r="C104" s="38" t="n"/>
      <c r="D104" s="38" t="n"/>
      <c r="E104" s="38" t="n"/>
      <c r="F104" s="39" t="n"/>
      <c r="G104" s="38" t="n"/>
      <c r="H104" s="39" t="n"/>
      <c r="I104" s="38" t="n"/>
      <c r="J104" s="22">
        <f>IF(COUNTA(A104:I104,K104:O104)=0,"",IF(OR(A104="",B104="",C104=""),"ID / parent missing",IF(COUNTIF($A$4:$A$553,A104)&gt;1,"Duplicate condition ID",IF(COUNTIF('Gate events'!$A$4:$A$553,B104)=0,"Event ID not found",IF(INDEX('Gate events'!$B$4:$B$553,MATCH(B104,'Gate events'!$A$4:$A$553,0))&lt;&gt;C104,"AIR-ID differs from event",IF(IF(INDEX('Gate events'!$P$4:$P$553,MATCH(B104,'Gate events'!$A$4:$A$553,0))="UC-ID specific",IF(OR(L104&lt;&gt;"UC-ID specific",K104=""),"Condition UC-ID required",IF(ISNUMBER(SEARCH(","&amp;SUBSTITUTE(K104," ","")&amp;",",","&amp;SUBSTITUTE(INDEX('Gate events'!$O$4:$O$553,MATCH(B104,'Gate events'!$A$4:$A$553,0))," ","")&amp;",")),"","UC-ID differs from decision")),IF(INDEX('Gate events'!$P$4:$P$553,MATCH(B104,'Gate events'!$A$4:$A$553,0))="Shared system baseline",IF(OR(L104&lt;&gt;"Shared system baseline",K104&lt;&gt;""),"Condition scope differs from decision",""),"Parent decision scope missing"))&lt;&gt;"",IF(INDEX('Gate events'!$P$4:$P$553,MATCH(B104,'Gate events'!$A$4:$A$553,0))="UC-ID specific",IF(OR(L104&lt;&gt;"UC-ID specific",K104=""),"Condition UC-ID required",IF(ISNUMBER(SEARCH(","&amp;SUBSTITUTE(K104," ","")&amp;",",","&amp;SUBSTITUTE(INDEX('Gate events'!$O$4:$O$553,MATCH(B104,'Gate events'!$A$4:$A$553,0))," ","")&amp;",")),"","UC-ID differs from decision")),IF(INDEX('Gate events'!$P$4:$P$553,MATCH(B104,'Gate events'!$A$4:$A$553,0))="Shared system baseline",IF(OR(L104&lt;&gt;"Shared system baseline",K104&lt;&gt;""),"Condition scope differs from decision",""),"Parent decision scope missing")),IF(OR(D104="",E104="",F104="",G104=""),"Condition, owner, due date or state missing",IF(NOT(ISNUMBER(F104)),"Due date is not a date",IF(OR(G104="Overdue",G104="Superseded"),"Legacy state — owner review (use the shared five states)",IF(INDEX('Gate events'!$E$4:$E$553,MATCH(B104,'Gate events'!$A$4:$A$553,0))&lt;&gt;"Decision","Parent event is not a Decision",IF(AND(INDEX('Gate events'!$G$4:$G$553,MATCH(B104,'Gate events'!$A$4:$A$553,0))&lt;&gt;"Progress with condition",INDEX('Gate events'!$G$4:$G$553,MATCH(B104,'Gate events'!$A$4:$A$553,0))&lt;&gt;"Re-authorise",INDEX('Gate events'!$G$4:$G$553,MATCH(B104,'Gate events'!$A$4:$A$553,0))&lt;&gt;"Resume"),"Parent outcome is not Progress with condition / Re-authorise / Resume",IF(AND(ISNUMBER(INDEX('Gate events'!$F$4:$F$553,MATCH(B104,'Gate events'!$A$4:$A$553,0))),F104&lt;INDEX('Gate events'!$F$4:$F$553,MATCH(B104,'Gate events'!$A$4:$A$553,0))),"Due date before parent event date",IF(AND(OR(G104="Closed-verified",G104="Waived",G104="Accepted-open"),OR(H104="",I104="")),"Closure evidence missing",IF(AND(H104&lt;&gt;"",NOT(ISNUMBER(H104))),"Closed / waived on is not a date",IF(AND(ISNUMBER(H104),ISNUMBER(INDEX('Gate events'!$F$4:$F$553,MATCH(B104,'Gate events'!$A$4:$A$553,0))),H104&lt;INDEX('Gate events'!$F$4:$F$553,MATCH(B104,'Gate events'!$A$4:$A$553,0))),"Closure date before parent event date",IF(AND(G104="Closed-verified",M104=""),"Verifier / date missing",IF(AND(N104="Yes",G104="Closed-verified",O104=""),"Monitoring condition needs AIG-OPS-02 evidence ref",IF(AND(G104="Open",F104&lt;TODAY()),"OVERDUE (derived) — review",IF(G104="Unknown","State Unknown: owner to confirm","Check against source")))))))))))))))))))</f>
        <v/>
      </c>
      <c r="K104" s="37" t="n"/>
      <c r="L104" s="37" t="n"/>
      <c r="M104" s="38" t="n"/>
      <c r="N104" s="38" t="n"/>
      <c r="O104" s="38" t="n"/>
    </row>
    <row r="105">
      <c r="A105" s="40" t="n"/>
      <c r="B105" s="40" t="n"/>
      <c r="C105" s="40" t="n"/>
      <c r="D105" s="40" t="n"/>
      <c r="E105" s="40" t="n"/>
      <c r="F105" s="41" t="n"/>
      <c r="G105" s="40" t="n"/>
      <c r="H105" s="41" t="n"/>
      <c r="I105" s="40" t="n"/>
      <c r="J105" s="24">
        <f>IF(COUNTA(A105:I105,K105:O105)=0,"",IF(OR(A105="",B105="",C105=""),"ID / parent missing",IF(COUNTIF($A$4:$A$553,A105)&gt;1,"Duplicate condition ID",IF(COUNTIF('Gate events'!$A$4:$A$553,B105)=0,"Event ID not found",IF(INDEX('Gate events'!$B$4:$B$553,MATCH(B105,'Gate events'!$A$4:$A$553,0))&lt;&gt;C105,"AIR-ID differs from event",IF(IF(INDEX('Gate events'!$P$4:$P$553,MATCH(B105,'Gate events'!$A$4:$A$553,0))="UC-ID specific",IF(OR(L105&lt;&gt;"UC-ID specific",K105=""),"Condition UC-ID required",IF(ISNUMBER(SEARCH(","&amp;SUBSTITUTE(K105," ","")&amp;",",","&amp;SUBSTITUTE(INDEX('Gate events'!$O$4:$O$553,MATCH(B105,'Gate events'!$A$4:$A$553,0))," ","")&amp;",")),"","UC-ID differs from decision")),IF(INDEX('Gate events'!$P$4:$P$553,MATCH(B105,'Gate events'!$A$4:$A$553,0))="Shared system baseline",IF(OR(L105&lt;&gt;"Shared system baseline",K105&lt;&gt;""),"Condition scope differs from decision",""),"Parent decision scope missing"))&lt;&gt;"",IF(INDEX('Gate events'!$P$4:$P$553,MATCH(B105,'Gate events'!$A$4:$A$553,0))="UC-ID specific",IF(OR(L105&lt;&gt;"UC-ID specific",K105=""),"Condition UC-ID required",IF(ISNUMBER(SEARCH(","&amp;SUBSTITUTE(K105," ","")&amp;",",","&amp;SUBSTITUTE(INDEX('Gate events'!$O$4:$O$553,MATCH(B105,'Gate events'!$A$4:$A$553,0))," ","")&amp;",")),"","UC-ID differs from decision")),IF(INDEX('Gate events'!$P$4:$P$553,MATCH(B105,'Gate events'!$A$4:$A$553,0))="Shared system baseline",IF(OR(L105&lt;&gt;"Shared system baseline",K105&lt;&gt;""),"Condition scope differs from decision",""),"Parent decision scope missing")),IF(OR(D105="",E105="",F105="",G105=""),"Condition, owner, due date or state missing",IF(NOT(ISNUMBER(F105)),"Due date is not a date",IF(OR(G105="Overdue",G105="Superseded"),"Legacy state — owner review (use the shared five states)",IF(INDEX('Gate events'!$E$4:$E$553,MATCH(B105,'Gate events'!$A$4:$A$553,0))&lt;&gt;"Decision","Parent event is not a Decision",IF(AND(INDEX('Gate events'!$G$4:$G$553,MATCH(B105,'Gate events'!$A$4:$A$553,0))&lt;&gt;"Progress with condition",INDEX('Gate events'!$G$4:$G$553,MATCH(B105,'Gate events'!$A$4:$A$553,0))&lt;&gt;"Re-authorise",INDEX('Gate events'!$G$4:$G$553,MATCH(B105,'Gate events'!$A$4:$A$553,0))&lt;&gt;"Resume"),"Parent outcome is not Progress with condition / Re-authorise / Resume",IF(AND(ISNUMBER(INDEX('Gate events'!$F$4:$F$553,MATCH(B105,'Gate events'!$A$4:$A$553,0))),F105&lt;INDEX('Gate events'!$F$4:$F$553,MATCH(B105,'Gate events'!$A$4:$A$553,0))),"Due date before parent event date",IF(AND(OR(G105="Closed-verified",G105="Waived",G105="Accepted-open"),OR(H105="",I105="")),"Closure evidence missing",IF(AND(H105&lt;&gt;"",NOT(ISNUMBER(H105))),"Closed / waived on is not a date",IF(AND(ISNUMBER(H105),ISNUMBER(INDEX('Gate events'!$F$4:$F$553,MATCH(B105,'Gate events'!$A$4:$A$553,0))),H105&lt;INDEX('Gate events'!$F$4:$F$553,MATCH(B105,'Gate events'!$A$4:$A$553,0))),"Closure date before parent event date",IF(AND(G105="Closed-verified",M105=""),"Verifier / date missing",IF(AND(N105="Yes",G105="Closed-verified",O105=""),"Monitoring condition needs AIG-OPS-02 evidence ref",IF(AND(G105="Open",F105&lt;TODAY()),"OVERDUE (derived) — review",IF(G105="Unknown","State Unknown: owner to confirm","Check against source")))))))))))))))))))</f>
        <v/>
      </c>
      <c r="K105" s="37" t="n"/>
      <c r="L105" s="37" t="n"/>
      <c r="M105" s="40" t="n"/>
      <c r="N105" s="40" t="n"/>
      <c r="O105" s="40" t="n"/>
    </row>
    <row r="106">
      <c r="A106" s="38" t="n"/>
      <c r="B106" s="38" t="n"/>
      <c r="C106" s="38" t="n"/>
      <c r="D106" s="38" t="n"/>
      <c r="E106" s="38" t="n"/>
      <c r="F106" s="39" t="n"/>
      <c r="G106" s="38" t="n"/>
      <c r="H106" s="39" t="n"/>
      <c r="I106" s="38" t="n"/>
      <c r="J106" s="22">
        <f>IF(COUNTA(A106:I106,K106:O106)=0,"",IF(OR(A106="",B106="",C106=""),"ID / parent missing",IF(COUNTIF($A$4:$A$553,A106)&gt;1,"Duplicate condition ID",IF(COUNTIF('Gate events'!$A$4:$A$553,B106)=0,"Event ID not found",IF(INDEX('Gate events'!$B$4:$B$553,MATCH(B106,'Gate events'!$A$4:$A$553,0))&lt;&gt;C106,"AIR-ID differs from event",IF(IF(INDEX('Gate events'!$P$4:$P$553,MATCH(B106,'Gate events'!$A$4:$A$553,0))="UC-ID specific",IF(OR(L106&lt;&gt;"UC-ID specific",K106=""),"Condition UC-ID required",IF(ISNUMBER(SEARCH(","&amp;SUBSTITUTE(K106," ","")&amp;",",","&amp;SUBSTITUTE(INDEX('Gate events'!$O$4:$O$553,MATCH(B106,'Gate events'!$A$4:$A$553,0))," ","")&amp;",")),"","UC-ID differs from decision")),IF(INDEX('Gate events'!$P$4:$P$553,MATCH(B106,'Gate events'!$A$4:$A$553,0))="Shared system baseline",IF(OR(L106&lt;&gt;"Shared system baseline",K106&lt;&gt;""),"Condition scope differs from decision",""),"Parent decision scope missing"))&lt;&gt;"",IF(INDEX('Gate events'!$P$4:$P$553,MATCH(B106,'Gate events'!$A$4:$A$553,0))="UC-ID specific",IF(OR(L106&lt;&gt;"UC-ID specific",K106=""),"Condition UC-ID required",IF(ISNUMBER(SEARCH(","&amp;SUBSTITUTE(K106," ","")&amp;",",","&amp;SUBSTITUTE(INDEX('Gate events'!$O$4:$O$553,MATCH(B106,'Gate events'!$A$4:$A$553,0))," ","")&amp;",")),"","UC-ID differs from decision")),IF(INDEX('Gate events'!$P$4:$P$553,MATCH(B106,'Gate events'!$A$4:$A$553,0))="Shared system baseline",IF(OR(L106&lt;&gt;"Shared system baseline",K106&lt;&gt;""),"Condition scope differs from decision",""),"Parent decision scope missing")),IF(OR(D106="",E106="",F106="",G106=""),"Condition, owner, due date or state missing",IF(NOT(ISNUMBER(F106)),"Due date is not a date",IF(OR(G106="Overdue",G106="Superseded"),"Legacy state — owner review (use the shared five states)",IF(INDEX('Gate events'!$E$4:$E$553,MATCH(B106,'Gate events'!$A$4:$A$553,0))&lt;&gt;"Decision","Parent event is not a Decision",IF(AND(INDEX('Gate events'!$G$4:$G$553,MATCH(B106,'Gate events'!$A$4:$A$553,0))&lt;&gt;"Progress with condition",INDEX('Gate events'!$G$4:$G$553,MATCH(B106,'Gate events'!$A$4:$A$553,0))&lt;&gt;"Re-authorise",INDEX('Gate events'!$G$4:$G$553,MATCH(B106,'Gate events'!$A$4:$A$553,0))&lt;&gt;"Resume"),"Parent outcome is not Progress with condition / Re-authorise / Resume",IF(AND(ISNUMBER(INDEX('Gate events'!$F$4:$F$553,MATCH(B106,'Gate events'!$A$4:$A$553,0))),F106&lt;INDEX('Gate events'!$F$4:$F$553,MATCH(B106,'Gate events'!$A$4:$A$553,0))),"Due date before parent event date",IF(AND(OR(G106="Closed-verified",G106="Waived",G106="Accepted-open"),OR(H106="",I106="")),"Closure evidence missing",IF(AND(H106&lt;&gt;"",NOT(ISNUMBER(H106))),"Closed / waived on is not a date",IF(AND(ISNUMBER(H106),ISNUMBER(INDEX('Gate events'!$F$4:$F$553,MATCH(B106,'Gate events'!$A$4:$A$553,0))),H106&lt;INDEX('Gate events'!$F$4:$F$553,MATCH(B106,'Gate events'!$A$4:$A$553,0))),"Closure date before parent event date",IF(AND(G106="Closed-verified",M106=""),"Verifier / date missing",IF(AND(N106="Yes",G106="Closed-verified",O106=""),"Monitoring condition needs AIG-OPS-02 evidence ref",IF(AND(G106="Open",F106&lt;TODAY()),"OVERDUE (derived) — review",IF(G106="Unknown","State Unknown: owner to confirm","Check against source")))))))))))))))))))</f>
        <v/>
      </c>
      <c r="K106" s="37" t="n"/>
      <c r="L106" s="37" t="n"/>
      <c r="M106" s="38" t="n"/>
      <c r="N106" s="38" t="n"/>
      <c r="O106" s="38" t="n"/>
    </row>
    <row r="107">
      <c r="A107" s="40" t="n"/>
      <c r="B107" s="40" t="n"/>
      <c r="C107" s="40" t="n"/>
      <c r="D107" s="40" t="n"/>
      <c r="E107" s="40" t="n"/>
      <c r="F107" s="41" t="n"/>
      <c r="G107" s="40" t="n"/>
      <c r="H107" s="41" t="n"/>
      <c r="I107" s="40" t="n"/>
      <c r="J107" s="24">
        <f>IF(COUNTA(A107:I107,K107:O107)=0,"",IF(OR(A107="",B107="",C107=""),"ID / parent missing",IF(COUNTIF($A$4:$A$553,A107)&gt;1,"Duplicate condition ID",IF(COUNTIF('Gate events'!$A$4:$A$553,B107)=0,"Event ID not found",IF(INDEX('Gate events'!$B$4:$B$553,MATCH(B107,'Gate events'!$A$4:$A$553,0))&lt;&gt;C107,"AIR-ID differs from event",IF(IF(INDEX('Gate events'!$P$4:$P$553,MATCH(B107,'Gate events'!$A$4:$A$553,0))="UC-ID specific",IF(OR(L107&lt;&gt;"UC-ID specific",K107=""),"Condition UC-ID required",IF(ISNUMBER(SEARCH(","&amp;SUBSTITUTE(K107," ","")&amp;",",","&amp;SUBSTITUTE(INDEX('Gate events'!$O$4:$O$553,MATCH(B107,'Gate events'!$A$4:$A$553,0))," ","")&amp;",")),"","UC-ID differs from decision")),IF(INDEX('Gate events'!$P$4:$P$553,MATCH(B107,'Gate events'!$A$4:$A$553,0))="Shared system baseline",IF(OR(L107&lt;&gt;"Shared system baseline",K107&lt;&gt;""),"Condition scope differs from decision",""),"Parent decision scope missing"))&lt;&gt;"",IF(INDEX('Gate events'!$P$4:$P$553,MATCH(B107,'Gate events'!$A$4:$A$553,0))="UC-ID specific",IF(OR(L107&lt;&gt;"UC-ID specific",K107=""),"Condition UC-ID required",IF(ISNUMBER(SEARCH(","&amp;SUBSTITUTE(K107," ","")&amp;",",","&amp;SUBSTITUTE(INDEX('Gate events'!$O$4:$O$553,MATCH(B107,'Gate events'!$A$4:$A$553,0))," ","")&amp;",")),"","UC-ID differs from decision")),IF(INDEX('Gate events'!$P$4:$P$553,MATCH(B107,'Gate events'!$A$4:$A$553,0))="Shared system baseline",IF(OR(L107&lt;&gt;"Shared system baseline",K107&lt;&gt;""),"Condition scope differs from decision",""),"Parent decision scope missing")),IF(OR(D107="",E107="",F107="",G107=""),"Condition, owner, due date or state missing",IF(NOT(ISNUMBER(F107)),"Due date is not a date",IF(OR(G107="Overdue",G107="Superseded"),"Legacy state — owner review (use the shared five states)",IF(INDEX('Gate events'!$E$4:$E$553,MATCH(B107,'Gate events'!$A$4:$A$553,0))&lt;&gt;"Decision","Parent event is not a Decision",IF(AND(INDEX('Gate events'!$G$4:$G$553,MATCH(B107,'Gate events'!$A$4:$A$553,0))&lt;&gt;"Progress with condition",INDEX('Gate events'!$G$4:$G$553,MATCH(B107,'Gate events'!$A$4:$A$553,0))&lt;&gt;"Re-authorise",INDEX('Gate events'!$G$4:$G$553,MATCH(B107,'Gate events'!$A$4:$A$553,0))&lt;&gt;"Resume"),"Parent outcome is not Progress with condition / Re-authorise / Resume",IF(AND(ISNUMBER(INDEX('Gate events'!$F$4:$F$553,MATCH(B107,'Gate events'!$A$4:$A$553,0))),F107&lt;INDEX('Gate events'!$F$4:$F$553,MATCH(B107,'Gate events'!$A$4:$A$553,0))),"Due date before parent event date",IF(AND(OR(G107="Closed-verified",G107="Waived",G107="Accepted-open"),OR(H107="",I107="")),"Closure evidence missing",IF(AND(H107&lt;&gt;"",NOT(ISNUMBER(H107))),"Closed / waived on is not a date",IF(AND(ISNUMBER(H107),ISNUMBER(INDEX('Gate events'!$F$4:$F$553,MATCH(B107,'Gate events'!$A$4:$A$553,0))),H107&lt;INDEX('Gate events'!$F$4:$F$553,MATCH(B107,'Gate events'!$A$4:$A$553,0))),"Closure date before parent event date",IF(AND(G107="Closed-verified",M107=""),"Verifier / date missing",IF(AND(N107="Yes",G107="Closed-verified",O107=""),"Monitoring condition needs AIG-OPS-02 evidence ref",IF(AND(G107="Open",F107&lt;TODAY()),"OVERDUE (derived) — review",IF(G107="Unknown","State Unknown: owner to confirm","Check against source")))))))))))))))))))</f>
        <v/>
      </c>
      <c r="K107" s="37" t="n"/>
      <c r="L107" s="37" t="n"/>
      <c r="M107" s="40" t="n"/>
      <c r="N107" s="40" t="n"/>
      <c r="O107" s="40" t="n"/>
    </row>
    <row r="108">
      <c r="A108" s="38" t="n"/>
      <c r="B108" s="38" t="n"/>
      <c r="C108" s="38" t="n"/>
      <c r="D108" s="38" t="n"/>
      <c r="E108" s="38" t="n"/>
      <c r="F108" s="39" t="n"/>
      <c r="G108" s="38" t="n"/>
      <c r="H108" s="39" t="n"/>
      <c r="I108" s="38" t="n"/>
      <c r="J108" s="22">
        <f>IF(COUNTA(A108:I108,K108:O108)=0,"",IF(OR(A108="",B108="",C108=""),"ID / parent missing",IF(COUNTIF($A$4:$A$553,A108)&gt;1,"Duplicate condition ID",IF(COUNTIF('Gate events'!$A$4:$A$553,B108)=0,"Event ID not found",IF(INDEX('Gate events'!$B$4:$B$553,MATCH(B108,'Gate events'!$A$4:$A$553,0))&lt;&gt;C108,"AIR-ID differs from event",IF(IF(INDEX('Gate events'!$P$4:$P$553,MATCH(B108,'Gate events'!$A$4:$A$553,0))="UC-ID specific",IF(OR(L108&lt;&gt;"UC-ID specific",K108=""),"Condition UC-ID required",IF(ISNUMBER(SEARCH(","&amp;SUBSTITUTE(K108," ","")&amp;",",","&amp;SUBSTITUTE(INDEX('Gate events'!$O$4:$O$553,MATCH(B108,'Gate events'!$A$4:$A$553,0))," ","")&amp;",")),"","UC-ID differs from decision")),IF(INDEX('Gate events'!$P$4:$P$553,MATCH(B108,'Gate events'!$A$4:$A$553,0))="Shared system baseline",IF(OR(L108&lt;&gt;"Shared system baseline",K108&lt;&gt;""),"Condition scope differs from decision",""),"Parent decision scope missing"))&lt;&gt;"",IF(INDEX('Gate events'!$P$4:$P$553,MATCH(B108,'Gate events'!$A$4:$A$553,0))="UC-ID specific",IF(OR(L108&lt;&gt;"UC-ID specific",K108=""),"Condition UC-ID required",IF(ISNUMBER(SEARCH(","&amp;SUBSTITUTE(K108," ","")&amp;",",","&amp;SUBSTITUTE(INDEX('Gate events'!$O$4:$O$553,MATCH(B108,'Gate events'!$A$4:$A$553,0))," ","")&amp;",")),"","UC-ID differs from decision")),IF(INDEX('Gate events'!$P$4:$P$553,MATCH(B108,'Gate events'!$A$4:$A$553,0))="Shared system baseline",IF(OR(L108&lt;&gt;"Shared system baseline",K108&lt;&gt;""),"Condition scope differs from decision",""),"Parent decision scope missing")),IF(OR(D108="",E108="",F108="",G108=""),"Condition, owner, due date or state missing",IF(NOT(ISNUMBER(F108)),"Due date is not a date",IF(OR(G108="Overdue",G108="Superseded"),"Legacy state — owner review (use the shared five states)",IF(INDEX('Gate events'!$E$4:$E$553,MATCH(B108,'Gate events'!$A$4:$A$553,0))&lt;&gt;"Decision","Parent event is not a Decision",IF(AND(INDEX('Gate events'!$G$4:$G$553,MATCH(B108,'Gate events'!$A$4:$A$553,0))&lt;&gt;"Progress with condition",INDEX('Gate events'!$G$4:$G$553,MATCH(B108,'Gate events'!$A$4:$A$553,0))&lt;&gt;"Re-authorise",INDEX('Gate events'!$G$4:$G$553,MATCH(B108,'Gate events'!$A$4:$A$553,0))&lt;&gt;"Resume"),"Parent outcome is not Progress with condition / Re-authorise / Resume",IF(AND(ISNUMBER(INDEX('Gate events'!$F$4:$F$553,MATCH(B108,'Gate events'!$A$4:$A$553,0))),F108&lt;INDEX('Gate events'!$F$4:$F$553,MATCH(B108,'Gate events'!$A$4:$A$553,0))),"Due date before parent event date",IF(AND(OR(G108="Closed-verified",G108="Waived",G108="Accepted-open"),OR(H108="",I108="")),"Closure evidence missing",IF(AND(H108&lt;&gt;"",NOT(ISNUMBER(H108))),"Closed / waived on is not a date",IF(AND(ISNUMBER(H108),ISNUMBER(INDEX('Gate events'!$F$4:$F$553,MATCH(B108,'Gate events'!$A$4:$A$553,0))),H108&lt;INDEX('Gate events'!$F$4:$F$553,MATCH(B108,'Gate events'!$A$4:$A$553,0))),"Closure date before parent event date",IF(AND(G108="Closed-verified",M108=""),"Verifier / date missing",IF(AND(N108="Yes",G108="Closed-verified",O108=""),"Monitoring condition needs AIG-OPS-02 evidence ref",IF(AND(G108="Open",F108&lt;TODAY()),"OVERDUE (derived) — review",IF(G108="Unknown","State Unknown: owner to confirm","Check against source")))))))))))))))))))</f>
        <v/>
      </c>
      <c r="K108" s="37" t="n"/>
      <c r="L108" s="37" t="n"/>
      <c r="M108" s="38" t="n"/>
      <c r="N108" s="38" t="n"/>
      <c r="O108" s="38" t="n"/>
    </row>
    <row r="109">
      <c r="A109" s="40" t="n"/>
      <c r="B109" s="40" t="n"/>
      <c r="C109" s="40" t="n"/>
      <c r="D109" s="40" t="n"/>
      <c r="E109" s="40" t="n"/>
      <c r="F109" s="41" t="n"/>
      <c r="G109" s="40" t="n"/>
      <c r="H109" s="41" t="n"/>
      <c r="I109" s="40" t="n"/>
      <c r="J109" s="24">
        <f>IF(COUNTA(A109:I109,K109:O109)=0,"",IF(OR(A109="",B109="",C109=""),"ID / parent missing",IF(COUNTIF($A$4:$A$553,A109)&gt;1,"Duplicate condition ID",IF(COUNTIF('Gate events'!$A$4:$A$553,B109)=0,"Event ID not found",IF(INDEX('Gate events'!$B$4:$B$553,MATCH(B109,'Gate events'!$A$4:$A$553,0))&lt;&gt;C109,"AIR-ID differs from event",IF(IF(INDEX('Gate events'!$P$4:$P$553,MATCH(B109,'Gate events'!$A$4:$A$553,0))="UC-ID specific",IF(OR(L109&lt;&gt;"UC-ID specific",K109=""),"Condition UC-ID required",IF(ISNUMBER(SEARCH(","&amp;SUBSTITUTE(K109," ","")&amp;",",","&amp;SUBSTITUTE(INDEX('Gate events'!$O$4:$O$553,MATCH(B109,'Gate events'!$A$4:$A$553,0))," ","")&amp;",")),"","UC-ID differs from decision")),IF(INDEX('Gate events'!$P$4:$P$553,MATCH(B109,'Gate events'!$A$4:$A$553,0))="Shared system baseline",IF(OR(L109&lt;&gt;"Shared system baseline",K109&lt;&gt;""),"Condition scope differs from decision",""),"Parent decision scope missing"))&lt;&gt;"",IF(INDEX('Gate events'!$P$4:$P$553,MATCH(B109,'Gate events'!$A$4:$A$553,0))="UC-ID specific",IF(OR(L109&lt;&gt;"UC-ID specific",K109=""),"Condition UC-ID required",IF(ISNUMBER(SEARCH(","&amp;SUBSTITUTE(K109," ","")&amp;",",","&amp;SUBSTITUTE(INDEX('Gate events'!$O$4:$O$553,MATCH(B109,'Gate events'!$A$4:$A$553,0))," ","")&amp;",")),"","UC-ID differs from decision")),IF(INDEX('Gate events'!$P$4:$P$553,MATCH(B109,'Gate events'!$A$4:$A$553,0))="Shared system baseline",IF(OR(L109&lt;&gt;"Shared system baseline",K109&lt;&gt;""),"Condition scope differs from decision",""),"Parent decision scope missing")),IF(OR(D109="",E109="",F109="",G109=""),"Condition, owner, due date or state missing",IF(NOT(ISNUMBER(F109)),"Due date is not a date",IF(OR(G109="Overdue",G109="Superseded"),"Legacy state — owner review (use the shared five states)",IF(INDEX('Gate events'!$E$4:$E$553,MATCH(B109,'Gate events'!$A$4:$A$553,0))&lt;&gt;"Decision","Parent event is not a Decision",IF(AND(INDEX('Gate events'!$G$4:$G$553,MATCH(B109,'Gate events'!$A$4:$A$553,0))&lt;&gt;"Progress with condition",INDEX('Gate events'!$G$4:$G$553,MATCH(B109,'Gate events'!$A$4:$A$553,0))&lt;&gt;"Re-authorise",INDEX('Gate events'!$G$4:$G$553,MATCH(B109,'Gate events'!$A$4:$A$553,0))&lt;&gt;"Resume"),"Parent outcome is not Progress with condition / Re-authorise / Resume",IF(AND(ISNUMBER(INDEX('Gate events'!$F$4:$F$553,MATCH(B109,'Gate events'!$A$4:$A$553,0))),F109&lt;INDEX('Gate events'!$F$4:$F$553,MATCH(B109,'Gate events'!$A$4:$A$553,0))),"Due date before parent event date",IF(AND(OR(G109="Closed-verified",G109="Waived",G109="Accepted-open"),OR(H109="",I109="")),"Closure evidence missing",IF(AND(H109&lt;&gt;"",NOT(ISNUMBER(H109))),"Closed / waived on is not a date",IF(AND(ISNUMBER(H109),ISNUMBER(INDEX('Gate events'!$F$4:$F$553,MATCH(B109,'Gate events'!$A$4:$A$553,0))),H109&lt;INDEX('Gate events'!$F$4:$F$553,MATCH(B109,'Gate events'!$A$4:$A$553,0))),"Closure date before parent event date",IF(AND(G109="Closed-verified",M109=""),"Verifier / date missing",IF(AND(N109="Yes",G109="Closed-verified",O109=""),"Monitoring condition needs AIG-OPS-02 evidence ref",IF(AND(G109="Open",F109&lt;TODAY()),"OVERDUE (derived) — review",IF(G109="Unknown","State Unknown: owner to confirm","Check against source")))))))))))))))))))</f>
        <v/>
      </c>
      <c r="K109" s="37" t="n"/>
      <c r="L109" s="37" t="n"/>
      <c r="M109" s="40" t="n"/>
      <c r="N109" s="40" t="n"/>
      <c r="O109" s="40" t="n"/>
    </row>
    <row r="110">
      <c r="A110" s="38" t="n"/>
      <c r="B110" s="38" t="n"/>
      <c r="C110" s="38" t="n"/>
      <c r="D110" s="38" t="n"/>
      <c r="E110" s="38" t="n"/>
      <c r="F110" s="39" t="n"/>
      <c r="G110" s="38" t="n"/>
      <c r="H110" s="39" t="n"/>
      <c r="I110" s="38" t="n"/>
      <c r="J110" s="22">
        <f>IF(COUNTA(A110:I110,K110:O110)=0,"",IF(OR(A110="",B110="",C110=""),"ID / parent missing",IF(COUNTIF($A$4:$A$553,A110)&gt;1,"Duplicate condition ID",IF(COUNTIF('Gate events'!$A$4:$A$553,B110)=0,"Event ID not found",IF(INDEX('Gate events'!$B$4:$B$553,MATCH(B110,'Gate events'!$A$4:$A$553,0))&lt;&gt;C110,"AIR-ID differs from event",IF(IF(INDEX('Gate events'!$P$4:$P$553,MATCH(B110,'Gate events'!$A$4:$A$553,0))="UC-ID specific",IF(OR(L110&lt;&gt;"UC-ID specific",K110=""),"Condition UC-ID required",IF(ISNUMBER(SEARCH(","&amp;SUBSTITUTE(K110," ","")&amp;",",","&amp;SUBSTITUTE(INDEX('Gate events'!$O$4:$O$553,MATCH(B110,'Gate events'!$A$4:$A$553,0))," ","")&amp;",")),"","UC-ID differs from decision")),IF(INDEX('Gate events'!$P$4:$P$553,MATCH(B110,'Gate events'!$A$4:$A$553,0))="Shared system baseline",IF(OR(L110&lt;&gt;"Shared system baseline",K110&lt;&gt;""),"Condition scope differs from decision",""),"Parent decision scope missing"))&lt;&gt;"",IF(INDEX('Gate events'!$P$4:$P$553,MATCH(B110,'Gate events'!$A$4:$A$553,0))="UC-ID specific",IF(OR(L110&lt;&gt;"UC-ID specific",K110=""),"Condition UC-ID required",IF(ISNUMBER(SEARCH(","&amp;SUBSTITUTE(K110," ","")&amp;",",","&amp;SUBSTITUTE(INDEX('Gate events'!$O$4:$O$553,MATCH(B110,'Gate events'!$A$4:$A$553,0))," ","")&amp;",")),"","UC-ID differs from decision")),IF(INDEX('Gate events'!$P$4:$P$553,MATCH(B110,'Gate events'!$A$4:$A$553,0))="Shared system baseline",IF(OR(L110&lt;&gt;"Shared system baseline",K110&lt;&gt;""),"Condition scope differs from decision",""),"Parent decision scope missing")),IF(OR(D110="",E110="",F110="",G110=""),"Condition, owner, due date or state missing",IF(NOT(ISNUMBER(F110)),"Due date is not a date",IF(OR(G110="Overdue",G110="Superseded"),"Legacy state — owner review (use the shared five states)",IF(INDEX('Gate events'!$E$4:$E$553,MATCH(B110,'Gate events'!$A$4:$A$553,0))&lt;&gt;"Decision","Parent event is not a Decision",IF(AND(INDEX('Gate events'!$G$4:$G$553,MATCH(B110,'Gate events'!$A$4:$A$553,0))&lt;&gt;"Progress with condition",INDEX('Gate events'!$G$4:$G$553,MATCH(B110,'Gate events'!$A$4:$A$553,0))&lt;&gt;"Re-authorise",INDEX('Gate events'!$G$4:$G$553,MATCH(B110,'Gate events'!$A$4:$A$553,0))&lt;&gt;"Resume"),"Parent outcome is not Progress with condition / Re-authorise / Resume",IF(AND(ISNUMBER(INDEX('Gate events'!$F$4:$F$553,MATCH(B110,'Gate events'!$A$4:$A$553,0))),F110&lt;INDEX('Gate events'!$F$4:$F$553,MATCH(B110,'Gate events'!$A$4:$A$553,0))),"Due date before parent event date",IF(AND(OR(G110="Closed-verified",G110="Waived",G110="Accepted-open"),OR(H110="",I110="")),"Closure evidence missing",IF(AND(H110&lt;&gt;"",NOT(ISNUMBER(H110))),"Closed / waived on is not a date",IF(AND(ISNUMBER(H110),ISNUMBER(INDEX('Gate events'!$F$4:$F$553,MATCH(B110,'Gate events'!$A$4:$A$553,0))),H110&lt;INDEX('Gate events'!$F$4:$F$553,MATCH(B110,'Gate events'!$A$4:$A$553,0))),"Closure date before parent event date",IF(AND(G110="Closed-verified",M110=""),"Verifier / date missing",IF(AND(N110="Yes",G110="Closed-verified",O110=""),"Monitoring condition needs AIG-OPS-02 evidence ref",IF(AND(G110="Open",F110&lt;TODAY()),"OVERDUE (derived) — review",IF(G110="Unknown","State Unknown: owner to confirm","Check against source")))))))))))))))))))</f>
        <v/>
      </c>
      <c r="K110" s="37" t="n"/>
      <c r="L110" s="37" t="n"/>
      <c r="M110" s="38" t="n"/>
      <c r="N110" s="38" t="n"/>
      <c r="O110" s="38" t="n"/>
    </row>
    <row r="111">
      <c r="A111" s="40" t="n"/>
      <c r="B111" s="40" t="n"/>
      <c r="C111" s="40" t="n"/>
      <c r="D111" s="40" t="n"/>
      <c r="E111" s="40" t="n"/>
      <c r="F111" s="41" t="n"/>
      <c r="G111" s="40" t="n"/>
      <c r="H111" s="41" t="n"/>
      <c r="I111" s="40" t="n"/>
      <c r="J111" s="24">
        <f>IF(COUNTA(A111:I111,K111:O111)=0,"",IF(OR(A111="",B111="",C111=""),"ID / parent missing",IF(COUNTIF($A$4:$A$553,A111)&gt;1,"Duplicate condition ID",IF(COUNTIF('Gate events'!$A$4:$A$553,B111)=0,"Event ID not found",IF(INDEX('Gate events'!$B$4:$B$553,MATCH(B111,'Gate events'!$A$4:$A$553,0))&lt;&gt;C111,"AIR-ID differs from event",IF(IF(INDEX('Gate events'!$P$4:$P$553,MATCH(B111,'Gate events'!$A$4:$A$553,0))="UC-ID specific",IF(OR(L111&lt;&gt;"UC-ID specific",K111=""),"Condition UC-ID required",IF(ISNUMBER(SEARCH(","&amp;SUBSTITUTE(K111," ","")&amp;",",","&amp;SUBSTITUTE(INDEX('Gate events'!$O$4:$O$553,MATCH(B111,'Gate events'!$A$4:$A$553,0))," ","")&amp;",")),"","UC-ID differs from decision")),IF(INDEX('Gate events'!$P$4:$P$553,MATCH(B111,'Gate events'!$A$4:$A$553,0))="Shared system baseline",IF(OR(L111&lt;&gt;"Shared system baseline",K111&lt;&gt;""),"Condition scope differs from decision",""),"Parent decision scope missing"))&lt;&gt;"",IF(INDEX('Gate events'!$P$4:$P$553,MATCH(B111,'Gate events'!$A$4:$A$553,0))="UC-ID specific",IF(OR(L111&lt;&gt;"UC-ID specific",K111=""),"Condition UC-ID required",IF(ISNUMBER(SEARCH(","&amp;SUBSTITUTE(K111," ","")&amp;",",","&amp;SUBSTITUTE(INDEX('Gate events'!$O$4:$O$553,MATCH(B111,'Gate events'!$A$4:$A$553,0))," ","")&amp;",")),"","UC-ID differs from decision")),IF(INDEX('Gate events'!$P$4:$P$553,MATCH(B111,'Gate events'!$A$4:$A$553,0))="Shared system baseline",IF(OR(L111&lt;&gt;"Shared system baseline",K111&lt;&gt;""),"Condition scope differs from decision",""),"Parent decision scope missing")),IF(OR(D111="",E111="",F111="",G111=""),"Condition, owner, due date or state missing",IF(NOT(ISNUMBER(F111)),"Due date is not a date",IF(OR(G111="Overdue",G111="Superseded"),"Legacy state — owner review (use the shared five states)",IF(INDEX('Gate events'!$E$4:$E$553,MATCH(B111,'Gate events'!$A$4:$A$553,0))&lt;&gt;"Decision","Parent event is not a Decision",IF(AND(INDEX('Gate events'!$G$4:$G$553,MATCH(B111,'Gate events'!$A$4:$A$553,0))&lt;&gt;"Progress with condition",INDEX('Gate events'!$G$4:$G$553,MATCH(B111,'Gate events'!$A$4:$A$553,0))&lt;&gt;"Re-authorise",INDEX('Gate events'!$G$4:$G$553,MATCH(B111,'Gate events'!$A$4:$A$553,0))&lt;&gt;"Resume"),"Parent outcome is not Progress with condition / Re-authorise / Resume",IF(AND(ISNUMBER(INDEX('Gate events'!$F$4:$F$553,MATCH(B111,'Gate events'!$A$4:$A$553,0))),F111&lt;INDEX('Gate events'!$F$4:$F$553,MATCH(B111,'Gate events'!$A$4:$A$553,0))),"Due date before parent event date",IF(AND(OR(G111="Closed-verified",G111="Waived",G111="Accepted-open"),OR(H111="",I111="")),"Closure evidence missing",IF(AND(H111&lt;&gt;"",NOT(ISNUMBER(H111))),"Closed / waived on is not a date",IF(AND(ISNUMBER(H111),ISNUMBER(INDEX('Gate events'!$F$4:$F$553,MATCH(B111,'Gate events'!$A$4:$A$553,0))),H111&lt;INDEX('Gate events'!$F$4:$F$553,MATCH(B111,'Gate events'!$A$4:$A$553,0))),"Closure date before parent event date",IF(AND(G111="Closed-verified",M111=""),"Verifier / date missing",IF(AND(N111="Yes",G111="Closed-verified",O111=""),"Monitoring condition needs AIG-OPS-02 evidence ref",IF(AND(G111="Open",F111&lt;TODAY()),"OVERDUE (derived) — review",IF(G111="Unknown","State Unknown: owner to confirm","Check against source")))))))))))))))))))</f>
        <v/>
      </c>
      <c r="K111" s="37" t="n"/>
      <c r="L111" s="37" t="n"/>
      <c r="M111" s="40" t="n"/>
      <c r="N111" s="40" t="n"/>
      <c r="O111" s="40" t="n"/>
    </row>
    <row r="112">
      <c r="A112" s="38" t="n"/>
      <c r="B112" s="38" t="n"/>
      <c r="C112" s="38" t="n"/>
      <c r="D112" s="38" t="n"/>
      <c r="E112" s="38" t="n"/>
      <c r="F112" s="39" t="n"/>
      <c r="G112" s="38" t="n"/>
      <c r="H112" s="39" t="n"/>
      <c r="I112" s="38" t="n"/>
      <c r="J112" s="22">
        <f>IF(COUNTA(A112:I112,K112:O112)=0,"",IF(OR(A112="",B112="",C112=""),"ID / parent missing",IF(COUNTIF($A$4:$A$553,A112)&gt;1,"Duplicate condition ID",IF(COUNTIF('Gate events'!$A$4:$A$553,B112)=0,"Event ID not found",IF(INDEX('Gate events'!$B$4:$B$553,MATCH(B112,'Gate events'!$A$4:$A$553,0))&lt;&gt;C112,"AIR-ID differs from event",IF(IF(INDEX('Gate events'!$P$4:$P$553,MATCH(B112,'Gate events'!$A$4:$A$553,0))="UC-ID specific",IF(OR(L112&lt;&gt;"UC-ID specific",K112=""),"Condition UC-ID required",IF(ISNUMBER(SEARCH(","&amp;SUBSTITUTE(K112," ","")&amp;",",","&amp;SUBSTITUTE(INDEX('Gate events'!$O$4:$O$553,MATCH(B112,'Gate events'!$A$4:$A$553,0))," ","")&amp;",")),"","UC-ID differs from decision")),IF(INDEX('Gate events'!$P$4:$P$553,MATCH(B112,'Gate events'!$A$4:$A$553,0))="Shared system baseline",IF(OR(L112&lt;&gt;"Shared system baseline",K112&lt;&gt;""),"Condition scope differs from decision",""),"Parent decision scope missing"))&lt;&gt;"",IF(INDEX('Gate events'!$P$4:$P$553,MATCH(B112,'Gate events'!$A$4:$A$553,0))="UC-ID specific",IF(OR(L112&lt;&gt;"UC-ID specific",K112=""),"Condition UC-ID required",IF(ISNUMBER(SEARCH(","&amp;SUBSTITUTE(K112," ","")&amp;",",","&amp;SUBSTITUTE(INDEX('Gate events'!$O$4:$O$553,MATCH(B112,'Gate events'!$A$4:$A$553,0))," ","")&amp;",")),"","UC-ID differs from decision")),IF(INDEX('Gate events'!$P$4:$P$553,MATCH(B112,'Gate events'!$A$4:$A$553,0))="Shared system baseline",IF(OR(L112&lt;&gt;"Shared system baseline",K112&lt;&gt;""),"Condition scope differs from decision",""),"Parent decision scope missing")),IF(OR(D112="",E112="",F112="",G112=""),"Condition, owner, due date or state missing",IF(NOT(ISNUMBER(F112)),"Due date is not a date",IF(OR(G112="Overdue",G112="Superseded"),"Legacy state — owner review (use the shared five states)",IF(INDEX('Gate events'!$E$4:$E$553,MATCH(B112,'Gate events'!$A$4:$A$553,0))&lt;&gt;"Decision","Parent event is not a Decision",IF(AND(INDEX('Gate events'!$G$4:$G$553,MATCH(B112,'Gate events'!$A$4:$A$553,0))&lt;&gt;"Progress with condition",INDEX('Gate events'!$G$4:$G$553,MATCH(B112,'Gate events'!$A$4:$A$553,0))&lt;&gt;"Re-authorise",INDEX('Gate events'!$G$4:$G$553,MATCH(B112,'Gate events'!$A$4:$A$553,0))&lt;&gt;"Resume"),"Parent outcome is not Progress with condition / Re-authorise / Resume",IF(AND(ISNUMBER(INDEX('Gate events'!$F$4:$F$553,MATCH(B112,'Gate events'!$A$4:$A$553,0))),F112&lt;INDEX('Gate events'!$F$4:$F$553,MATCH(B112,'Gate events'!$A$4:$A$553,0))),"Due date before parent event date",IF(AND(OR(G112="Closed-verified",G112="Waived",G112="Accepted-open"),OR(H112="",I112="")),"Closure evidence missing",IF(AND(H112&lt;&gt;"",NOT(ISNUMBER(H112))),"Closed / waived on is not a date",IF(AND(ISNUMBER(H112),ISNUMBER(INDEX('Gate events'!$F$4:$F$553,MATCH(B112,'Gate events'!$A$4:$A$553,0))),H112&lt;INDEX('Gate events'!$F$4:$F$553,MATCH(B112,'Gate events'!$A$4:$A$553,0))),"Closure date before parent event date",IF(AND(G112="Closed-verified",M112=""),"Verifier / date missing",IF(AND(N112="Yes",G112="Closed-verified",O112=""),"Monitoring condition needs AIG-OPS-02 evidence ref",IF(AND(G112="Open",F112&lt;TODAY()),"OVERDUE (derived) — review",IF(G112="Unknown","State Unknown: owner to confirm","Check against source")))))))))))))))))))</f>
        <v/>
      </c>
      <c r="K112" s="37" t="n"/>
      <c r="L112" s="37" t="n"/>
      <c r="M112" s="38" t="n"/>
      <c r="N112" s="38" t="n"/>
      <c r="O112" s="38" t="n"/>
    </row>
    <row r="113">
      <c r="A113" s="40" t="n"/>
      <c r="B113" s="40" t="n"/>
      <c r="C113" s="40" t="n"/>
      <c r="D113" s="40" t="n"/>
      <c r="E113" s="40" t="n"/>
      <c r="F113" s="41" t="n"/>
      <c r="G113" s="40" t="n"/>
      <c r="H113" s="41" t="n"/>
      <c r="I113" s="40" t="n"/>
      <c r="J113" s="24">
        <f>IF(COUNTA(A113:I113,K113:O113)=0,"",IF(OR(A113="",B113="",C113=""),"ID / parent missing",IF(COUNTIF($A$4:$A$553,A113)&gt;1,"Duplicate condition ID",IF(COUNTIF('Gate events'!$A$4:$A$553,B113)=0,"Event ID not found",IF(INDEX('Gate events'!$B$4:$B$553,MATCH(B113,'Gate events'!$A$4:$A$553,0))&lt;&gt;C113,"AIR-ID differs from event",IF(IF(INDEX('Gate events'!$P$4:$P$553,MATCH(B113,'Gate events'!$A$4:$A$553,0))="UC-ID specific",IF(OR(L113&lt;&gt;"UC-ID specific",K113=""),"Condition UC-ID required",IF(ISNUMBER(SEARCH(","&amp;SUBSTITUTE(K113," ","")&amp;",",","&amp;SUBSTITUTE(INDEX('Gate events'!$O$4:$O$553,MATCH(B113,'Gate events'!$A$4:$A$553,0))," ","")&amp;",")),"","UC-ID differs from decision")),IF(INDEX('Gate events'!$P$4:$P$553,MATCH(B113,'Gate events'!$A$4:$A$553,0))="Shared system baseline",IF(OR(L113&lt;&gt;"Shared system baseline",K113&lt;&gt;""),"Condition scope differs from decision",""),"Parent decision scope missing"))&lt;&gt;"",IF(INDEX('Gate events'!$P$4:$P$553,MATCH(B113,'Gate events'!$A$4:$A$553,0))="UC-ID specific",IF(OR(L113&lt;&gt;"UC-ID specific",K113=""),"Condition UC-ID required",IF(ISNUMBER(SEARCH(","&amp;SUBSTITUTE(K113," ","")&amp;",",","&amp;SUBSTITUTE(INDEX('Gate events'!$O$4:$O$553,MATCH(B113,'Gate events'!$A$4:$A$553,0))," ","")&amp;",")),"","UC-ID differs from decision")),IF(INDEX('Gate events'!$P$4:$P$553,MATCH(B113,'Gate events'!$A$4:$A$553,0))="Shared system baseline",IF(OR(L113&lt;&gt;"Shared system baseline",K113&lt;&gt;""),"Condition scope differs from decision",""),"Parent decision scope missing")),IF(OR(D113="",E113="",F113="",G113=""),"Condition, owner, due date or state missing",IF(NOT(ISNUMBER(F113)),"Due date is not a date",IF(OR(G113="Overdue",G113="Superseded"),"Legacy state — owner review (use the shared five states)",IF(INDEX('Gate events'!$E$4:$E$553,MATCH(B113,'Gate events'!$A$4:$A$553,0))&lt;&gt;"Decision","Parent event is not a Decision",IF(AND(INDEX('Gate events'!$G$4:$G$553,MATCH(B113,'Gate events'!$A$4:$A$553,0))&lt;&gt;"Progress with condition",INDEX('Gate events'!$G$4:$G$553,MATCH(B113,'Gate events'!$A$4:$A$553,0))&lt;&gt;"Re-authorise",INDEX('Gate events'!$G$4:$G$553,MATCH(B113,'Gate events'!$A$4:$A$553,0))&lt;&gt;"Resume"),"Parent outcome is not Progress with condition / Re-authorise / Resume",IF(AND(ISNUMBER(INDEX('Gate events'!$F$4:$F$553,MATCH(B113,'Gate events'!$A$4:$A$553,0))),F113&lt;INDEX('Gate events'!$F$4:$F$553,MATCH(B113,'Gate events'!$A$4:$A$553,0))),"Due date before parent event date",IF(AND(OR(G113="Closed-verified",G113="Waived",G113="Accepted-open"),OR(H113="",I113="")),"Closure evidence missing",IF(AND(H113&lt;&gt;"",NOT(ISNUMBER(H113))),"Closed / waived on is not a date",IF(AND(ISNUMBER(H113),ISNUMBER(INDEX('Gate events'!$F$4:$F$553,MATCH(B113,'Gate events'!$A$4:$A$553,0))),H113&lt;INDEX('Gate events'!$F$4:$F$553,MATCH(B113,'Gate events'!$A$4:$A$553,0))),"Closure date before parent event date",IF(AND(G113="Closed-verified",M113=""),"Verifier / date missing",IF(AND(N113="Yes",G113="Closed-verified",O113=""),"Monitoring condition needs AIG-OPS-02 evidence ref",IF(AND(G113="Open",F113&lt;TODAY()),"OVERDUE (derived) — review",IF(G113="Unknown","State Unknown: owner to confirm","Check against source")))))))))))))))))))</f>
        <v/>
      </c>
      <c r="K113" s="37" t="n"/>
      <c r="L113" s="37" t="n"/>
      <c r="M113" s="40" t="n"/>
      <c r="N113" s="40" t="n"/>
      <c r="O113" s="40" t="n"/>
    </row>
    <row r="114">
      <c r="A114" s="38" t="n"/>
      <c r="B114" s="38" t="n"/>
      <c r="C114" s="38" t="n"/>
      <c r="D114" s="38" t="n"/>
      <c r="E114" s="38" t="n"/>
      <c r="F114" s="39" t="n"/>
      <c r="G114" s="38" t="n"/>
      <c r="H114" s="39" t="n"/>
      <c r="I114" s="38" t="n"/>
      <c r="J114" s="22">
        <f>IF(COUNTA(A114:I114,K114:O114)=0,"",IF(OR(A114="",B114="",C114=""),"ID / parent missing",IF(COUNTIF($A$4:$A$553,A114)&gt;1,"Duplicate condition ID",IF(COUNTIF('Gate events'!$A$4:$A$553,B114)=0,"Event ID not found",IF(INDEX('Gate events'!$B$4:$B$553,MATCH(B114,'Gate events'!$A$4:$A$553,0))&lt;&gt;C114,"AIR-ID differs from event",IF(IF(INDEX('Gate events'!$P$4:$P$553,MATCH(B114,'Gate events'!$A$4:$A$553,0))="UC-ID specific",IF(OR(L114&lt;&gt;"UC-ID specific",K114=""),"Condition UC-ID required",IF(ISNUMBER(SEARCH(","&amp;SUBSTITUTE(K114," ","")&amp;",",","&amp;SUBSTITUTE(INDEX('Gate events'!$O$4:$O$553,MATCH(B114,'Gate events'!$A$4:$A$553,0))," ","")&amp;",")),"","UC-ID differs from decision")),IF(INDEX('Gate events'!$P$4:$P$553,MATCH(B114,'Gate events'!$A$4:$A$553,0))="Shared system baseline",IF(OR(L114&lt;&gt;"Shared system baseline",K114&lt;&gt;""),"Condition scope differs from decision",""),"Parent decision scope missing"))&lt;&gt;"",IF(INDEX('Gate events'!$P$4:$P$553,MATCH(B114,'Gate events'!$A$4:$A$553,0))="UC-ID specific",IF(OR(L114&lt;&gt;"UC-ID specific",K114=""),"Condition UC-ID required",IF(ISNUMBER(SEARCH(","&amp;SUBSTITUTE(K114," ","")&amp;",",","&amp;SUBSTITUTE(INDEX('Gate events'!$O$4:$O$553,MATCH(B114,'Gate events'!$A$4:$A$553,0))," ","")&amp;",")),"","UC-ID differs from decision")),IF(INDEX('Gate events'!$P$4:$P$553,MATCH(B114,'Gate events'!$A$4:$A$553,0))="Shared system baseline",IF(OR(L114&lt;&gt;"Shared system baseline",K114&lt;&gt;""),"Condition scope differs from decision",""),"Parent decision scope missing")),IF(OR(D114="",E114="",F114="",G114=""),"Condition, owner, due date or state missing",IF(NOT(ISNUMBER(F114)),"Due date is not a date",IF(OR(G114="Overdue",G114="Superseded"),"Legacy state — owner review (use the shared five states)",IF(INDEX('Gate events'!$E$4:$E$553,MATCH(B114,'Gate events'!$A$4:$A$553,0))&lt;&gt;"Decision","Parent event is not a Decision",IF(AND(INDEX('Gate events'!$G$4:$G$553,MATCH(B114,'Gate events'!$A$4:$A$553,0))&lt;&gt;"Progress with condition",INDEX('Gate events'!$G$4:$G$553,MATCH(B114,'Gate events'!$A$4:$A$553,0))&lt;&gt;"Re-authorise",INDEX('Gate events'!$G$4:$G$553,MATCH(B114,'Gate events'!$A$4:$A$553,0))&lt;&gt;"Resume"),"Parent outcome is not Progress with condition / Re-authorise / Resume",IF(AND(ISNUMBER(INDEX('Gate events'!$F$4:$F$553,MATCH(B114,'Gate events'!$A$4:$A$553,0))),F114&lt;INDEX('Gate events'!$F$4:$F$553,MATCH(B114,'Gate events'!$A$4:$A$553,0))),"Due date before parent event date",IF(AND(OR(G114="Closed-verified",G114="Waived",G114="Accepted-open"),OR(H114="",I114="")),"Closure evidence missing",IF(AND(H114&lt;&gt;"",NOT(ISNUMBER(H114))),"Closed / waived on is not a date",IF(AND(ISNUMBER(H114),ISNUMBER(INDEX('Gate events'!$F$4:$F$553,MATCH(B114,'Gate events'!$A$4:$A$553,0))),H114&lt;INDEX('Gate events'!$F$4:$F$553,MATCH(B114,'Gate events'!$A$4:$A$553,0))),"Closure date before parent event date",IF(AND(G114="Closed-verified",M114=""),"Verifier / date missing",IF(AND(N114="Yes",G114="Closed-verified",O114=""),"Monitoring condition needs AIG-OPS-02 evidence ref",IF(AND(G114="Open",F114&lt;TODAY()),"OVERDUE (derived) — review",IF(G114="Unknown","State Unknown: owner to confirm","Check against source")))))))))))))))))))</f>
        <v/>
      </c>
      <c r="K114" s="37" t="n"/>
      <c r="L114" s="37" t="n"/>
      <c r="M114" s="38" t="n"/>
      <c r="N114" s="38" t="n"/>
      <c r="O114" s="38" t="n"/>
    </row>
    <row r="115">
      <c r="A115" s="40" t="n"/>
      <c r="B115" s="40" t="n"/>
      <c r="C115" s="40" t="n"/>
      <c r="D115" s="40" t="n"/>
      <c r="E115" s="40" t="n"/>
      <c r="F115" s="41" t="n"/>
      <c r="G115" s="40" t="n"/>
      <c r="H115" s="41" t="n"/>
      <c r="I115" s="40" t="n"/>
      <c r="J115" s="24">
        <f>IF(COUNTA(A115:I115,K115:O115)=0,"",IF(OR(A115="",B115="",C115=""),"ID / parent missing",IF(COUNTIF($A$4:$A$553,A115)&gt;1,"Duplicate condition ID",IF(COUNTIF('Gate events'!$A$4:$A$553,B115)=0,"Event ID not found",IF(INDEX('Gate events'!$B$4:$B$553,MATCH(B115,'Gate events'!$A$4:$A$553,0))&lt;&gt;C115,"AIR-ID differs from event",IF(IF(INDEX('Gate events'!$P$4:$P$553,MATCH(B115,'Gate events'!$A$4:$A$553,0))="UC-ID specific",IF(OR(L115&lt;&gt;"UC-ID specific",K115=""),"Condition UC-ID required",IF(ISNUMBER(SEARCH(","&amp;SUBSTITUTE(K115," ","")&amp;",",","&amp;SUBSTITUTE(INDEX('Gate events'!$O$4:$O$553,MATCH(B115,'Gate events'!$A$4:$A$553,0))," ","")&amp;",")),"","UC-ID differs from decision")),IF(INDEX('Gate events'!$P$4:$P$553,MATCH(B115,'Gate events'!$A$4:$A$553,0))="Shared system baseline",IF(OR(L115&lt;&gt;"Shared system baseline",K115&lt;&gt;""),"Condition scope differs from decision",""),"Parent decision scope missing"))&lt;&gt;"",IF(INDEX('Gate events'!$P$4:$P$553,MATCH(B115,'Gate events'!$A$4:$A$553,0))="UC-ID specific",IF(OR(L115&lt;&gt;"UC-ID specific",K115=""),"Condition UC-ID required",IF(ISNUMBER(SEARCH(","&amp;SUBSTITUTE(K115," ","")&amp;",",","&amp;SUBSTITUTE(INDEX('Gate events'!$O$4:$O$553,MATCH(B115,'Gate events'!$A$4:$A$553,0))," ","")&amp;",")),"","UC-ID differs from decision")),IF(INDEX('Gate events'!$P$4:$P$553,MATCH(B115,'Gate events'!$A$4:$A$553,0))="Shared system baseline",IF(OR(L115&lt;&gt;"Shared system baseline",K115&lt;&gt;""),"Condition scope differs from decision",""),"Parent decision scope missing")),IF(OR(D115="",E115="",F115="",G115=""),"Condition, owner, due date or state missing",IF(NOT(ISNUMBER(F115)),"Due date is not a date",IF(OR(G115="Overdue",G115="Superseded"),"Legacy state — owner review (use the shared five states)",IF(INDEX('Gate events'!$E$4:$E$553,MATCH(B115,'Gate events'!$A$4:$A$553,0))&lt;&gt;"Decision","Parent event is not a Decision",IF(AND(INDEX('Gate events'!$G$4:$G$553,MATCH(B115,'Gate events'!$A$4:$A$553,0))&lt;&gt;"Progress with condition",INDEX('Gate events'!$G$4:$G$553,MATCH(B115,'Gate events'!$A$4:$A$553,0))&lt;&gt;"Re-authorise",INDEX('Gate events'!$G$4:$G$553,MATCH(B115,'Gate events'!$A$4:$A$553,0))&lt;&gt;"Resume"),"Parent outcome is not Progress with condition / Re-authorise / Resume",IF(AND(ISNUMBER(INDEX('Gate events'!$F$4:$F$553,MATCH(B115,'Gate events'!$A$4:$A$553,0))),F115&lt;INDEX('Gate events'!$F$4:$F$553,MATCH(B115,'Gate events'!$A$4:$A$553,0))),"Due date before parent event date",IF(AND(OR(G115="Closed-verified",G115="Waived",G115="Accepted-open"),OR(H115="",I115="")),"Closure evidence missing",IF(AND(H115&lt;&gt;"",NOT(ISNUMBER(H115))),"Closed / waived on is not a date",IF(AND(ISNUMBER(H115),ISNUMBER(INDEX('Gate events'!$F$4:$F$553,MATCH(B115,'Gate events'!$A$4:$A$553,0))),H115&lt;INDEX('Gate events'!$F$4:$F$553,MATCH(B115,'Gate events'!$A$4:$A$553,0))),"Closure date before parent event date",IF(AND(G115="Closed-verified",M115=""),"Verifier / date missing",IF(AND(N115="Yes",G115="Closed-verified",O115=""),"Monitoring condition needs AIG-OPS-02 evidence ref",IF(AND(G115="Open",F115&lt;TODAY()),"OVERDUE (derived) — review",IF(G115="Unknown","State Unknown: owner to confirm","Check against source")))))))))))))))))))</f>
        <v/>
      </c>
      <c r="K115" s="37" t="n"/>
      <c r="L115" s="37" t="n"/>
      <c r="M115" s="40" t="n"/>
      <c r="N115" s="40" t="n"/>
      <c r="O115" s="40" t="n"/>
    </row>
    <row r="116">
      <c r="A116" s="38" t="n"/>
      <c r="B116" s="38" t="n"/>
      <c r="C116" s="38" t="n"/>
      <c r="D116" s="38" t="n"/>
      <c r="E116" s="38" t="n"/>
      <c r="F116" s="39" t="n"/>
      <c r="G116" s="38" t="n"/>
      <c r="H116" s="39" t="n"/>
      <c r="I116" s="38" t="n"/>
      <c r="J116" s="22">
        <f>IF(COUNTA(A116:I116,K116:O116)=0,"",IF(OR(A116="",B116="",C116=""),"ID / parent missing",IF(COUNTIF($A$4:$A$553,A116)&gt;1,"Duplicate condition ID",IF(COUNTIF('Gate events'!$A$4:$A$553,B116)=0,"Event ID not found",IF(INDEX('Gate events'!$B$4:$B$553,MATCH(B116,'Gate events'!$A$4:$A$553,0))&lt;&gt;C116,"AIR-ID differs from event",IF(IF(INDEX('Gate events'!$P$4:$P$553,MATCH(B116,'Gate events'!$A$4:$A$553,0))="UC-ID specific",IF(OR(L116&lt;&gt;"UC-ID specific",K116=""),"Condition UC-ID required",IF(ISNUMBER(SEARCH(","&amp;SUBSTITUTE(K116," ","")&amp;",",","&amp;SUBSTITUTE(INDEX('Gate events'!$O$4:$O$553,MATCH(B116,'Gate events'!$A$4:$A$553,0))," ","")&amp;",")),"","UC-ID differs from decision")),IF(INDEX('Gate events'!$P$4:$P$553,MATCH(B116,'Gate events'!$A$4:$A$553,0))="Shared system baseline",IF(OR(L116&lt;&gt;"Shared system baseline",K116&lt;&gt;""),"Condition scope differs from decision",""),"Parent decision scope missing"))&lt;&gt;"",IF(INDEX('Gate events'!$P$4:$P$553,MATCH(B116,'Gate events'!$A$4:$A$553,0))="UC-ID specific",IF(OR(L116&lt;&gt;"UC-ID specific",K116=""),"Condition UC-ID required",IF(ISNUMBER(SEARCH(","&amp;SUBSTITUTE(K116," ","")&amp;",",","&amp;SUBSTITUTE(INDEX('Gate events'!$O$4:$O$553,MATCH(B116,'Gate events'!$A$4:$A$553,0))," ","")&amp;",")),"","UC-ID differs from decision")),IF(INDEX('Gate events'!$P$4:$P$553,MATCH(B116,'Gate events'!$A$4:$A$553,0))="Shared system baseline",IF(OR(L116&lt;&gt;"Shared system baseline",K116&lt;&gt;""),"Condition scope differs from decision",""),"Parent decision scope missing")),IF(OR(D116="",E116="",F116="",G116=""),"Condition, owner, due date or state missing",IF(NOT(ISNUMBER(F116)),"Due date is not a date",IF(OR(G116="Overdue",G116="Superseded"),"Legacy state — owner review (use the shared five states)",IF(INDEX('Gate events'!$E$4:$E$553,MATCH(B116,'Gate events'!$A$4:$A$553,0))&lt;&gt;"Decision","Parent event is not a Decision",IF(AND(INDEX('Gate events'!$G$4:$G$553,MATCH(B116,'Gate events'!$A$4:$A$553,0))&lt;&gt;"Progress with condition",INDEX('Gate events'!$G$4:$G$553,MATCH(B116,'Gate events'!$A$4:$A$553,0))&lt;&gt;"Re-authorise",INDEX('Gate events'!$G$4:$G$553,MATCH(B116,'Gate events'!$A$4:$A$553,0))&lt;&gt;"Resume"),"Parent outcome is not Progress with condition / Re-authorise / Resume",IF(AND(ISNUMBER(INDEX('Gate events'!$F$4:$F$553,MATCH(B116,'Gate events'!$A$4:$A$553,0))),F116&lt;INDEX('Gate events'!$F$4:$F$553,MATCH(B116,'Gate events'!$A$4:$A$553,0))),"Due date before parent event date",IF(AND(OR(G116="Closed-verified",G116="Waived",G116="Accepted-open"),OR(H116="",I116="")),"Closure evidence missing",IF(AND(H116&lt;&gt;"",NOT(ISNUMBER(H116))),"Closed / waived on is not a date",IF(AND(ISNUMBER(H116),ISNUMBER(INDEX('Gate events'!$F$4:$F$553,MATCH(B116,'Gate events'!$A$4:$A$553,0))),H116&lt;INDEX('Gate events'!$F$4:$F$553,MATCH(B116,'Gate events'!$A$4:$A$553,0))),"Closure date before parent event date",IF(AND(G116="Closed-verified",M116=""),"Verifier / date missing",IF(AND(N116="Yes",G116="Closed-verified",O116=""),"Monitoring condition needs AIG-OPS-02 evidence ref",IF(AND(G116="Open",F116&lt;TODAY()),"OVERDUE (derived) — review",IF(G116="Unknown","State Unknown: owner to confirm","Check against source")))))))))))))))))))</f>
        <v/>
      </c>
      <c r="K116" s="37" t="n"/>
      <c r="L116" s="37" t="n"/>
      <c r="M116" s="38" t="n"/>
      <c r="N116" s="38" t="n"/>
      <c r="O116" s="38" t="n"/>
    </row>
    <row r="117">
      <c r="A117" s="40" t="n"/>
      <c r="B117" s="40" t="n"/>
      <c r="C117" s="40" t="n"/>
      <c r="D117" s="40" t="n"/>
      <c r="E117" s="40" t="n"/>
      <c r="F117" s="41" t="n"/>
      <c r="G117" s="40" t="n"/>
      <c r="H117" s="41" t="n"/>
      <c r="I117" s="40" t="n"/>
      <c r="J117" s="24">
        <f>IF(COUNTA(A117:I117,K117:O117)=0,"",IF(OR(A117="",B117="",C117=""),"ID / parent missing",IF(COUNTIF($A$4:$A$553,A117)&gt;1,"Duplicate condition ID",IF(COUNTIF('Gate events'!$A$4:$A$553,B117)=0,"Event ID not found",IF(INDEX('Gate events'!$B$4:$B$553,MATCH(B117,'Gate events'!$A$4:$A$553,0))&lt;&gt;C117,"AIR-ID differs from event",IF(IF(INDEX('Gate events'!$P$4:$P$553,MATCH(B117,'Gate events'!$A$4:$A$553,0))="UC-ID specific",IF(OR(L117&lt;&gt;"UC-ID specific",K117=""),"Condition UC-ID required",IF(ISNUMBER(SEARCH(","&amp;SUBSTITUTE(K117," ","")&amp;",",","&amp;SUBSTITUTE(INDEX('Gate events'!$O$4:$O$553,MATCH(B117,'Gate events'!$A$4:$A$553,0))," ","")&amp;",")),"","UC-ID differs from decision")),IF(INDEX('Gate events'!$P$4:$P$553,MATCH(B117,'Gate events'!$A$4:$A$553,0))="Shared system baseline",IF(OR(L117&lt;&gt;"Shared system baseline",K117&lt;&gt;""),"Condition scope differs from decision",""),"Parent decision scope missing"))&lt;&gt;"",IF(INDEX('Gate events'!$P$4:$P$553,MATCH(B117,'Gate events'!$A$4:$A$553,0))="UC-ID specific",IF(OR(L117&lt;&gt;"UC-ID specific",K117=""),"Condition UC-ID required",IF(ISNUMBER(SEARCH(","&amp;SUBSTITUTE(K117," ","")&amp;",",","&amp;SUBSTITUTE(INDEX('Gate events'!$O$4:$O$553,MATCH(B117,'Gate events'!$A$4:$A$553,0))," ","")&amp;",")),"","UC-ID differs from decision")),IF(INDEX('Gate events'!$P$4:$P$553,MATCH(B117,'Gate events'!$A$4:$A$553,0))="Shared system baseline",IF(OR(L117&lt;&gt;"Shared system baseline",K117&lt;&gt;""),"Condition scope differs from decision",""),"Parent decision scope missing")),IF(OR(D117="",E117="",F117="",G117=""),"Condition, owner, due date or state missing",IF(NOT(ISNUMBER(F117)),"Due date is not a date",IF(OR(G117="Overdue",G117="Superseded"),"Legacy state — owner review (use the shared five states)",IF(INDEX('Gate events'!$E$4:$E$553,MATCH(B117,'Gate events'!$A$4:$A$553,0))&lt;&gt;"Decision","Parent event is not a Decision",IF(AND(INDEX('Gate events'!$G$4:$G$553,MATCH(B117,'Gate events'!$A$4:$A$553,0))&lt;&gt;"Progress with condition",INDEX('Gate events'!$G$4:$G$553,MATCH(B117,'Gate events'!$A$4:$A$553,0))&lt;&gt;"Re-authorise",INDEX('Gate events'!$G$4:$G$553,MATCH(B117,'Gate events'!$A$4:$A$553,0))&lt;&gt;"Resume"),"Parent outcome is not Progress with condition / Re-authorise / Resume",IF(AND(ISNUMBER(INDEX('Gate events'!$F$4:$F$553,MATCH(B117,'Gate events'!$A$4:$A$553,0))),F117&lt;INDEX('Gate events'!$F$4:$F$553,MATCH(B117,'Gate events'!$A$4:$A$553,0))),"Due date before parent event date",IF(AND(OR(G117="Closed-verified",G117="Waived",G117="Accepted-open"),OR(H117="",I117="")),"Closure evidence missing",IF(AND(H117&lt;&gt;"",NOT(ISNUMBER(H117))),"Closed / waived on is not a date",IF(AND(ISNUMBER(H117),ISNUMBER(INDEX('Gate events'!$F$4:$F$553,MATCH(B117,'Gate events'!$A$4:$A$553,0))),H117&lt;INDEX('Gate events'!$F$4:$F$553,MATCH(B117,'Gate events'!$A$4:$A$553,0))),"Closure date before parent event date",IF(AND(G117="Closed-verified",M117=""),"Verifier / date missing",IF(AND(N117="Yes",G117="Closed-verified",O117=""),"Monitoring condition needs AIG-OPS-02 evidence ref",IF(AND(G117="Open",F117&lt;TODAY()),"OVERDUE (derived) — review",IF(G117="Unknown","State Unknown: owner to confirm","Check against source")))))))))))))))))))</f>
        <v/>
      </c>
      <c r="K117" s="37" t="n"/>
      <c r="L117" s="37" t="n"/>
      <c r="M117" s="40" t="n"/>
      <c r="N117" s="40" t="n"/>
      <c r="O117" s="40" t="n"/>
    </row>
    <row r="118">
      <c r="A118" s="38" t="n"/>
      <c r="B118" s="38" t="n"/>
      <c r="C118" s="38" t="n"/>
      <c r="D118" s="38" t="n"/>
      <c r="E118" s="38" t="n"/>
      <c r="F118" s="39" t="n"/>
      <c r="G118" s="38" t="n"/>
      <c r="H118" s="39" t="n"/>
      <c r="I118" s="38" t="n"/>
      <c r="J118" s="22">
        <f>IF(COUNTA(A118:I118,K118:O118)=0,"",IF(OR(A118="",B118="",C118=""),"ID / parent missing",IF(COUNTIF($A$4:$A$553,A118)&gt;1,"Duplicate condition ID",IF(COUNTIF('Gate events'!$A$4:$A$553,B118)=0,"Event ID not found",IF(INDEX('Gate events'!$B$4:$B$553,MATCH(B118,'Gate events'!$A$4:$A$553,0))&lt;&gt;C118,"AIR-ID differs from event",IF(IF(INDEX('Gate events'!$P$4:$P$553,MATCH(B118,'Gate events'!$A$4:$A$553,0))="UC-ID specific",IF(OR(L118&lt;&gt;"UC-ID specific",K118=""),"Condition UC-ID required",IF(ISNUMBER(SEARCH(","&amp;SUBSTITUTE(K118," ","")&amp;",",","&amp;SUBSTITUTE(INDEX('Gate events'!$O$4:$O$553,MATCH(B118,'Gate events'!$A$4:$A$553,0))," ","")&amp;",")),"","UC-ID differs from decision")),IF(INDEX('Gate events'!$P$4:$P$553,MATCH(B118,'Gate events'!$A$4:$A$553,0))="Shared system baseline",IF(OR(L118&lt;&gt;"Shared system baseline",K118&lt;&gt;""),"Condition scope differs from decision",""),"Parent decision scope missing"))&lt;&gt;"",IF(INDEX('Gate events'!$P$4:$P$553,MATCH(B118,'Gate events'!$A$4:$A$553,0))="UC-ID specific",IF(OR(L118&lt;&gt;"UC-ID specific",K118=""),"Condition UC-ID required",IF(ISNUMBER(SEARCH(","&amp;SUBSTITUTE(K118," ","")&amp;",",","&amp;SUBSTITUTE(INDEX('Gate events'!$O$4:$O$553,MATCH(B118,'Gate events'!$A$4:$A$553,0))," ","")&amp;",")),"","UC-ID differs from decision")),IF(INDEX('Gate events'!$P$4:$P$553,MATCH(B118,'Gate events'!$A$4:$A$553,0))="Shared system baseline",IF(OR(L118&lt;&gt;"Shared system baseline",K118&lt;&gt;""),"Condition scope differs from decision",""),"Parent decision scope missing")),IF(OR(D118="",E118="",F118="",G118=""),"Condition, owner, due date or state missing",IF(NOT(ISNUMBER(F118)),"Due date is not a date",IF(OR(G118="Overdue",G118="Superseded"),"Legacy state — owner review (use the shared five states)",IF(INDEX('Gate events'!$E$4:$E$553,MATCH(B118,'Gate events'!$A$4:$A$553,0))&lt;&gt;"Decision","Parent event is not a Decision",IF(AND(INDEX('Gate events'!$G$4:$G$553,MATCH(B118,'Gate events'!$A$4:$A$553,0))&lt;&gt;"Progress with condition",INDEX('Gate events'!$G$4:$G$553,MATCH(B118,'Gate events'!$A$4:$A$553,0))&lt;&gt;"Re-authorise",INDEX('Gate events'!$G$4:$G$553,MATCH(B118,'Gate events'!$A$4:$A$553,0))&lt;&gt;"Resume"),"Parent outcome is not Progress with condition / Re-authorise / Resume",IF(AND(ISNUMBER(INDEX('Gate events'!$F$4:$F$553,MATCH(B118,'Gate events'!$A$4:$A$553,0))),F118&lt;INDEX('Gate events'!$F$4:$F$553,MATCH(B118,'Gate events'!$A$4:$A$553,0))),"Due date before parent event date",IF(AND(OR(G118="Closed-verified",G118="Waived",G118="Accepted-open"),OR(H118="",I118="")),"Closure evidence missing",IF(AND(H118&lt;&gt;"",NOT(ISNUMBER(H118))),"Closed / waived on is not a date",IF(AND(ISNUMBER(H118),ISNUMBER(INDEX('Gate events'!$F$4:$F$553,MATCH(B118,'Gate events'!$A$4:$A$553,0))),H118&lt;INDEX('Gate events'!$F$4:$F$553,MATCH(B118,'Gate events'!$A$4:$A$553,0))),"Closure date before parent event date",IF(AND(G118="Closed-verified",M118=""),"Verifier / date missing",IF(AND(N118="Yes",G118="Closed-verified",O118=""),"Monitoring condition needs AIG-OPS-02 evidence ref",IF(AND(G118="Open",F118&lt;TODAY()),"OVERDUE (derived) — review",IF(G118="Unknown","State Unknown: owner to confirm","Check against source")))))))))))))))))))</f>
        <v/>
      </c>
      <c r="K118" s="37" t="n"/>
      <c r="L118" s="37" t="n"/>
      <c r="M118" s="38" t="n"/>
      <c r="N118" s="38" t="n"/>
      <c r="O118" s="38" t="n"/>
    </row>
    <row r="119">
      <c r="A119" s="40" t="n"/>
      <c r="B119" s="40" t="n"/>
      <c r="C119" s="40" t="n"/>
      <c r="D119" s="40" t="n"/>
      <c r="E119" s="40" t="n"/>
      <c r="F119" s="41" t="n"/>
      <c r="G119" s="40" t="n"/>
      <c r="H119" s="41" t="n"/>
      <c r="I119" s="40" t="n"/>
      <c r="J119" s="24">
        <f>IF(COUNTA(A119:I119,K119:O119)=0,"",IF(OR(A119="",B119="",C119=""),"ID / parent missing",IF(COUNTIF($A$4:$A$553,A119)&gt;1,"Duplicate condition ID",IF(COUNTIF('Gate events'!$A$4:$A$553,B119)=0,"Event ID not found",IF(INDEX('Gate events'!$B$4:$B$553,MATCH(B119,'Gate events'!$A$4:$A$553,0))&lt;&gt;C119,"AIR-ID differs from event",IF(IF(INDEX('Gate events'!$P$4:$P$553,MATCH(B119,'Gate events'!$A$4:$A$553,0))="UC-ID specific",IF(OR(L119&lt;&gt;"UC-ID specific",K119=""),"Condition UC-ID required",IF(ISNUMBER(SEARCH(","&amp;SUBSTITUTE(K119," ","")&amp;",",","&amp;SUBSTITUTE(INDEX('Gate events'!$O$4:$O$553,MATCH(B119,'Gate events'!$A$4:$A$553,0))," ","")&amp;",")),"","UC-ID differs from decision")),IF(INDEX('Gate events'!$P$4:$P$553,MATCH(B119,'Gate events'!$A$4:$A$553,0))="Shared system baseline",IF(OR(L119&lt;&gt;"Shared system baseline",K119&lt;&gt;""),"Condition scope differs from decision",""),"Parent decision scope missing"))&lt;&gt;"",IF(INDEX('Gate events'!$P$4:$P$553,MATCH(B119,'Gate events'!$A$4:$A$553,0))="UC-ID specific",IF(OR(L119&lt;&gt;"UC-ID specific",K119=""),"Condition UC-ID required",IF(ISNUMBER(SEARCH(","&amp;SUBSTITUTE(K119," ","")&amp;",",","&amp;SUBSTITUTE(INDEX('Gate events'!$O$4:$O$553,MATCH(B119,'Gate events'!$A$4:$A$553,0))," ","")&amp;",")),"","UC-ID differs from decision")),IF(INDEX('Gate events'!$P$4:$P$553,MATCH(B119,'Gate events'!$A$4:$A$553,0))="Shared system baseline",IF(OR(L119&lt;&gt;"Shared system baseline",K119&lt;&gt;""),"Condition scope differs from decision",""),"Parent decision scope missing")),IF(OR(D119="",E119="",F119="",G119=""),"Condition, owner, due date or state missing",IF(NOT(ISNUMBER(F119)),"Due date is not a date",IF(OR(G119="Overdue",G119="Superseded"),"Legacy state — owner review (use the shared five states)",IF(INDEX('Gate events'!$E$4:$E$553,MATCH(B119,'Gate events'!$A$4:$A$553,0))&lt;&gt;"Decision","Parent event is not a Decision",IF(AND(INDEX('Gate events'!$G$4:$G$553,MATCH(B119,'Gate events'!$A$4:$A$553,0))&lt;&gt;"Progress with condition",INDEX('Gate events'!$G$4:$G$553,MATCH(B119,'Gate events'!$A$4:$A$553,0))&lt;&gt;"Re-authorise",INDEX('Gate events'!$G$4:$G$553,MATCH(B119,'Gate events'!$A$4:$A$553,0))&lt;&gt;"Resume"),"Parent outcome is not Progress with condition / Re-authorise / Resume",IF(AND(ISNUMBER(INDEX('Gate events'!$F$4:$F$553,MATCH(B119,'Gate events'!$A$4:$A$553,0))),F119&lt;INDEX('Gate events'!$F$4:$F$553,MATCH(B119,'Gate events'!$A$4:$A$553,0))),"Due date before parent event date",IF(AND(OR(G119="Closed-verified",G119="Waived",G119="Accepted-open"),OR(H119="",I119="")),"Closure evidence missing",IF(AND(H119&lt;&gt;"",NOT(ISNUMBER(H119))),"Closed / waived on is not a date",IF(AND(ISNUMBER(H119),ISNUMBER(INDEX('Gate events'!$F$4:$F$553,MATCH(B119,'Gate events'!$A$4:$A$553,0))),H119&lt;INDEX('Gate events'!$F$4:$F$553,MATCH(B119,'Gate events'!$A$4:$A$553,0))),"Closure date before parent event date",IF(AND(G119="Closed-verified",M119=""),"Verifier / date missing",IF(AND(N119="Yes",G119="Closed-verified",O119=""),"Monitoring condition needs AIG-OPS-02 evidence ref",IF(AND(G119="Open",F119&lt;TODAY()),"OVERDUE (derived) — review",IF(G119="Unknown","State Unknown: owner to confirm","Check against source")))))))))))))))))))</f>
        <v/>
      </c>
      <c r="K119" s="37" t="n"/>
      <c r="L119" s="37" t="n"/>
      <c r="M119" s="40" t="n"/>
      <c r="N119" s="40" t="n"/>
      <c r="O119" s="40" t="n"/>
    </row>
    <row r="120">
      <c r="A120" s="38" t="n"/>
      <c r="B120" s="38" t="n"/>
      <c r="C120" s="38" t="n"/>
      <c r="D120" s="38" t="n"/>
      <c r="E120" s="38" t="n"/>
      <c r="F120" s="39" t="n"/>
      <c r="G120" s="38" t="n"/>
      <c r="H120" s="39" t="n"/>
      <c r="I120" s="38" t="n"/>
      <c r="J120" s="22">
        <f>IF(COUNTA(A120:I120,K120:O120)=0,"",IF(OR(A120="",B120="",C120=""),"ID / parent missing",IF(COUNTIF($A$4:$A$553,A120)&gt;1,"Duplicate condition ID",IF(COUNTIF('Gate events'!$A$4:$A$553,B120)=0,"Event ID not found",IF(INDEX('Gate events'!$B$4:$B$553,MATCH(B120,'Gate events'!$A$4:$A$553,0))&lt;&gt;C120,"AIR-ID differs from event",IF(IF(INDEX('Gate events'!$P$4:$P$553,MATCH(B120,'Gate events'!$A$4:$A$553,0))="UC-ID specific",IF(OR(L120&lt;&gt;"UC-ID specific",K120=""),"Condition UC-ID required",IF(ISNUMBER(SEARCH(","&amp;SUBSTITUTE(K120," ","")&amp;",",","&amp;SUBSTITUTE(INDEX('Gate events'!$O$4:$O$553,MATCH(B120,'Gate events'!$A$4:$A$553,0))," ","")&amp;",")),"","UC-ID differs from decision")),IF(INDEX('Gate events'!$P$4:$P$553,MATCH(B120,'Gate events'!$A$4:$A$553,0))="Shared system baseline",IF(OR(L120&lt;&gt;"Shared system baseline",K120&lt;&gt;""),"Condition scope differs from decision",""),"Parent decision scope missing"))&lt;&gt;"",IF(INDEX('Gate events'!$P$4:$P$553,MATCH(B120,'Gate events'!$A$4:$A$553,0))="UC-ID specific",IF(OR(L120&lt;&gt;"UC-ID specific",K120=""),"Condition UC-ID required",IF(ISNUMBER(SEARCH(","&amp;SUBSTITUTE(K120," ","")&amp;",",","&amp;SUBSTITUTE(INDEX('Gate events'!$O$4:$O$553,MATCH(B120,'Gate events'!$A$4:$A$553,0))," ","")&amp;",")),"","UC-ID differs from decision")),IF(INDEX('Gate events'!$P$4:$P$553,MATCH(B120,'Gate events'!$A$4:$A$553,0))="Shared system baseline",IF(OR(L120&lt;&gt;"Shared system baseline",K120&lt;&gt;""),"Condition scope differs from decision",""),"Parent decision scope missing")),IF(OR(D120="",E120="",F120="",G120=""),"Condition, owner, due date or state missing",IF(NOT(ISNUMBER(F120)),"Due date is not a date",IF(OR(G120="Overdue",G120="Superseded"),"Legacy state — owner review (use the shared five states)",IF(INDEX('Gate events'!$E$4:$E$553,MATCH(B120,'Gate events'!$A$4:$A$553,0))&lt;&gt;"Decision","Parent event is not a Decision",IF(AND(INDEX('Gate events'!$G$4:$G$553,MATCH(B120,'Gate events'!$A$4:$A$553,0))&lt;&gt;"Progress with condition",INDEX('Gate events'!$G$4:$G$553,MATCH(B120,'Gate events'!$A$4:$A$553,0))&lt;&gt;"Re-authorise",INDEX('Gate events'!$G$4:$G$553,MATCH(B120,'Gate events'!$A$4:$A$553,0))&lt;&gt;"Resume"),"Parent outcome is not Progress with condition / Re-authorise / Resume",IF(AND(ISNUMBER(INDEX('Gate events'!$F$4:$F$553,MATCH(B120,'Gate events'!$A$4:$A$553,0))),F120&lt;INDEX('Gate events'!$F$4:$F$553,MATCH(B120,'Gate events'!$A$4:$A$553,0))),"Due date before parent event date",IF(AND(OR(G120="Closed-verified",G120="Waived",G120="Accepted-open"),OR(H120="",I120="")),"Closure evidence missing",IF(AND(H120&lt;&gt;"",NOT(ISNUMBER(H120))),"Closed / waived on is not a date",IF(AND(ISNUMBER(H120),ISNUMBER(INDEX('Gate events'!$F$4:$F$553,MATCH(B120,'Gate events'!$A$4:$A$553,0))),H120&lt;INDEX('Gate events'!$F$4:$F$553,MATCH(B120,'Gate events'!$A$4:$A$553,0))),"Closure date before parent event date",IF(AND(G120="Closed-verified",M120=""),"Verifier / date missing",IF(AND(N120="Yes",G120="Closed-verified",O120=""),"Monitoring condition needs AIG-OPS-02 evidence ref",IF(AND(G120="Open",F120&lt;TODAY()),"OVERDUE (derived) — review",IF(G120="Unknown","State Unknown: owner to confirm","Check against source")))))))))))))))))))</f>
        <v/>
      </c>
      <c r="K120" s="37" t="n"/>
      <c r="L120" s="37" t="n"/>
      <c r="M120" s="38" t="n"/>
      <c r="N120" s="38" t="n"/>
      <c r="O120" s="38" t="n"/>
    </row>
    <row r="121">
      <c r="A121" s="40" t="n"/>
      <c r="B121" s="40" t="n"/>
      <c r="C121" s="40" t="n"/>
      <c r="D121" s="40" t="n"/>
      <c r="E121" s="40" t="n"/>
      <c r="F121" s="41" t="n"/>
      <c r="G121" s="40" t="n"/>
      <c r="H121" s="41" t="n"/>
      <c r="I121" s="40" t="n"/>
      <c r="J121" s="24">
        <f>IF(COUNTA(A121:I121,K121:O121)=0,"",IF(OR(A121="",B121="",C121=""),"ID / parent missing",IF(COUNTIF($A$4:$A$553,A121)&gt;1,"Duplicate condition ID",IF(COUNTIF('Gate events'!$A$4:$A$553,B121)=0,"Event ID not found",IF(INDEX('Gate events'!$B$4:$B$553,MATCH(B121,'Gate events'!$A$4:$A$553,0))&lt;&gt;C121,"AIR-ID differs from event",IF(IF(INDEX('Gate events'!$P$4:$P$553,MATCH(B121,'Gate events'!$A$4:$A$553,0))="UC-ID specific",IF(OR(L121&lt;&gt;"UC-ID specific",K121=""),"Condition UC-ID required",IF(ISNUMBER(SEARCH(","&amp;SUBSTITUTE(K121," ","")&amp;",",","&amp;SUBSTITUTE(INDEX('Gate events'!$O$4:$O$553,MATCH(B121,'Gate events'!$A$4:$A$553,0))," ","")&amp;",")),"","UC-ID differs from decision")),IF(INDEX('Gate events'!$P$4:$P$553,MATCH(B121,'Gate events'!$A$4:$A$553,0))="Shared system baseline",IF(OR(L121&lt;&gt;"Shared system baseline",K121&lt;&gt;""),"Condition scope differs from decision",""),"Parent decision scope missing"))&lt;&gt;"",IF(INDEX('Gate events'!$P$4:$P$553,MATCH(B121,'Gate events'!$A$4:$A$553,0))="UC-ID specific",IF(OR(L121&lt;&gt;"UC-ID specific",K121=""),"Condition UC-ID required",IF(ISNUMBER(SEARCH(","&amp;SUBSTITUTE(K121," ","")&amp;",",","&amp;SUBSTITUTE(INDEX('Gate events'!$O$4:$O$553,MATCH(B121,'Gate events'!$A$4:$A$553,0))," ","")&amp;",")),"","UC-ID differs from decision")),IF(INDEX('Gate events'!$P$4:$P$553,MATCH(B121,'Gate events'!$A$4:$A$553,0))="Shared system baseline",IF(OR(L121&lt;&gt;"Shared system baseline",K121&lt;&gt;""),"Condition scope differs from decision",""),"Parent decision scope missing")),IF(OR(D121="",E121="",F121="",G121=""),"Condition, owner, due date or state missing",IF(NOT(ISNUMBER(F121)),"Due date is not a date",IF(OR(G121="Overdue",G121="Superseded"),"Legacy state — owner review (use the shared five states)",IF(INDEX('Gate events'!$E$4:$E$553,MATCH(B121,'Gate events'!$A$4:$A$553,0))&lt;&gt;"Decision","Parent event is not a Decision",IF(AND(INDEX('Gate events'!$G$4:$G$553,MATCH(B121,'Gate events'!$A$4:$A$553,0))&lt;&gt;"Progress with condition",INDEX('Gate events'!$G$4:$G$553,MATCH(B121,'Gate events'!$A$4:$A$553,0))&lt;&gt;"Re-authorise",INDEX('Gate events'!$G$4:$G$553,MATCH(B121,'Gate events'!$A$4:$A$553,0))&lt;&gt;"Resume"),"Parent outcome is not Progress with condition / Re-authorise / Resume",IF(AND(ISNUMBER(INDEX('Gate events'!$F$4:$F$553,MATCH(B121,'Gate events'!$A$4:$A$553,0))),F121&lt;INDEX('Gate events'!$F$4:$F$553,MATCH(B121,'Gate events'!$A$4:$A$553,0))),"Due date before parent event date",IF(AND(OR(G121="Closed-verified",G121="Waived",G121="Accepted-open"),OR(H121="",I121="")),"Closure evidence missing",IF(AND(H121&lt;&gt;"",NOT(ISNUMBER(H121))),"Closed / waived on is not a date",IF(AND(ISNUMBER(H121),ISNUMBER(INDEX('Gate events'!$F$4:$F$553,MATCH(B121,'Gate events'!$A$4:$A$553,0))),H121&lt;INDEX('Gate events'!$F$4:$F$553,MATCH(B121,'Gate events'!$A$4:$A$553,0))),"Closure date before parent event date",IF(AND(G121="Closed-verified",M121=""),"Verifier / date missing",IF(AND(N121="Yes",G121="Closed-verified",O121=""),"Monitoring condition needs AIG-OPS-02 evidence ref",IF(AND(G121="Open",F121&lt;TODAY()),"OVERDUE (derived) — review",IF(G121="Unknown","State Unknown: owner to confirm","Check against source")))))))))))))))))))</f>
        <v/>
      </c>
      <c r="K121" s="37" t="n"/>
      <c r="L121" s="37" t="n"/>
      <c r="M121" s="40" t="n"/>
      <c r="N121" s="40" t="n"/>
      <c r="O121" s="40" t="n"/>
    </row>
    <row r="122">
      <c r="A122" s="38" t="n"/>
      <c r="B122" s="38" t="n"/>
      <c r="C122" s="38" t="n"/>
      <c r="D122" s="38" t="n"/>
      <c r="E122" s="38" t="n"/>
      <c r="F122" s="39" t="n"/>
      <c r="G122" s="38" t="n"/>
      <c r="H122" s="39" t="n"/>
      <c r="I122" s="38" t="n"/>
      <c r="J122" s="22">
        <f>IF(COUNTA(A122:I122,K122:O122)=0,"",IF(OR(A122="",B122="",C122=""),"ID / parent missing",IF(COUNTIF($A$4:$A$553,A122)&gt;1,"Duplicate condition ID",IF(COUNTIF('Gate events'!$A$4:$A$553,B122)=0,"Event ID not found",IF(INDEX('Gate events'!$B$4:$B$553,MATCH(B122,'Gate events'!$A$4:$A$553,0))&lt;&gt;C122,"AIR-ID differs from event",IF(IF(INDEX('Gate events'!$P$4:$P$553,MATCH(B122,'Gate events'!$A$4:$A$553,0))="UC-ID specific",IF(OR(L122&lt;&gt;"UC-ID specific",K122=""),"Condition UC-ID required",IF(ISNUMBER(SEARCH(","&amp;SUBSTITUTE(K122," ","")&amp;",",","&amp;SUBSTITUTE(INDEX('Gate events'!$O$4:$O$553,MATCH(B122,'Gate events'!$A$4:$A$553,0))," ","")&amp;",")),"","UC-ID differs from decision")),IF(INDEX('Gate events'!$P$4:$P$553,MATCH(B122,'Gate events'!$A$4:$A$553,0))="Shared system baseline",IF(OR(L122&lt;&gt;"Shared system baseline",K122&lt;&gt;""),"Condition scope differs from decision",""),"Parent decision scope missing"))&lt;&gt;"",IF(INDEX('Gate events'!$P$4:$P$553,MATCH(B122,'Gate events'!$A$4:$A$553,0))="UC-ID specific",IF(OR(L122&lt;&gt;"UC-ID specific",K122=""),"Condition UC-ID required",IF(ISNUMBER(SEARCH(","&amp;SUBSTITUTE(K122," ","")&amp;",",","&amp;SUBSTITUTE(INDEX('Gate events'!$O$4:$O$553,MATCH(B122,'Gate events'!$A$4:$A$553,0))," ","")&amp;",")),"","UC-ID differs from decision")),IF(INDEX('Gate events'!$P$4:$P$553,MATCH(B122,'Gate events'!$A$4:$A$553,0))="Shared system baseline",IF(OR(L122&lt;&gt;"Shared system baseline",K122&lt;&gt;""),"Condition scope differs from decision",""),"Parent decision scope missing")),IF(OR(D122="",E122="",F122="",G122=""),"Condition, owner, due date or state missing",IF(NOT(ISNUMBER(F122)),"Due date is not a date",IF(OR(G122="Overdue",G122="Superseded"),"Legacy state — owner review (use the shared five states)",IF(INDEX('Gate events'!$E$4:$E$553,MATCH(B122,'Gate events'!$A$4:$A$553,0))&lt;&gt;"Decision","Parent event is not a Decision",IF(AND(INDEX('Gate events'!$G$4:$G$553,MATCH(B122,'Gate events'!$A$4:$A$553,0))&lt;&gt;"Progress with condition",INDEX('Gate events'!$G$4:$G$553,MATCH(B122,'Gate events'!$A$4:$A$553,0))&lt;&gt;"Re-authorise",INDEX('Gate events'!$G$4:$G$553,MATCH(B122,'Gate events'!$A$4:$A$553,0))&lt;&gt;"Resume"),"Parent outcome is not Progress with condition / Re-authorise / Resume",IF(AND(ISNUMBER(INDEX('Gate events'!$F$4:$F$553,MATCH(B122,'Gate events'!$A$4:$A$553,0))),F122&lt;INDEX('Gate events'!$F$4:$F$553,MATCH(B122,'Gate events'!$A$4:$A$553,0))),"Due date before parent event date",IF(AND(OR(G122="Closed-verified",G122="Waived",G122="Accepted-open"),OR(H122="",I122="")),"Closure evidence missing",IF(AND(H122&lt;&gt;"",NOT(ISNUMBER(H122))),"Closed / waived on is not a date",IF(AND(ISNUMBER(H122),ISNUMBER(INDEX('Gate events'!$F$4:$F$553,MATCH(B122,'Gate events'!$A$4:$A$553,0))),H122&lt;INDEX('Gate events'!$F$4:$F$553,MATCH(B122,'Gate events'!$A$4:$A$553,0))),"Closure date before parent event date",IF(AND(G122="Closed-verified",M122=""),"Verifier / date missing",IF(AND(N122="Yes",G122="Closed-verified",O122=""),"Monitoring condition needs AIG-OPS-02 evidence ref",IF(AND(G122="Open",F122&lt;TODAY()),"OVERDUE (derived) — review",IF(G122="Unknown","State Unknown: owner to confirm","Check against source")))))))))))))))))))</f>
        <v/>
      </c>
      <c r="K122" s="37" t="n"/>
      <c r="L122" s="37" t="n"/>
      <c r="M122" s="38" t="n"/>
      <c r="N122" s="38" t="n"/>
      <c r="O122" s="38" t="n"/>
    </row>
    <row r="123">
      <c r="A123" s="40" t="n"/>
      <c r="B123" s="40" t="n"/>
      <c r="C123" s="40" t="n"/>
      <c r="D123" s="40" t="n"/>
      <c r="E123" s="40" t="n"/>
      <c r="F123" s="41" t="n"/>
      <c r="G123" s="40" t="n"/>
      <c r="H123" s="41" t="n"/>
      <c r="I123" s="40" t="n"/>
      <c r="J123" s="24">
        <f>IF(COUNTA(A123:I123,K123:O123)=0,"",IF(OR(A123="",B123="",C123=""),"ID / parent missing",IF(COUNTIF($A$4:$A$553,A123)&gt;1,"Duplicate condition ID",IF(COUNTIF('Gate events'!$A$4:$A$553,B123)=0,"Event ID not found",IF(INDEX('Gate events'!$B$4:$B$553,MATCH(B123,'Gate events'!$A$4:$A$553,0))&lt;&gt;C123,"AIR-ID differs from event",IF(IF(INDEX('Gate events'!$P$4:$P$553,MATCH(B123,'Gate events'!$A$4:$A$553,0))="UC-ID specific",IF(OR(L123&lt;&gt;"UC-ID specific",K123=""),"Condition UC-ID required",IF(ISNUMBER(SEARCH(","&amp;SUBSTITUTE(K123," ","")&amp;",",","&amp;SUBSTITUTE(INDEX('Gate events'!$O$4:$O$553,MATCH(B123,'Gate events'!$A$4:$A$553,0))," ","")&amp;",")),"","UC-ID differs from decision")),IF(INDEX('Gate events'!$P$4:$P$553,MATCH(B123,'Gate events'!$A$4:$A$553,0))="Shared system baseline",IF(OR(L123&lt;&gt;"Shared system baseline",K123&lt;&gt;""),"Condition scope differs from decision",""),"Parent decision scope missing"))&lt;&gt;"",IF(INDEX('Gate events'!$P$4:$P$553,MATCH(B123,'Gate events'!$A$4:$A$553,0))="UC-ID specific",IF(OR(L123&lt;&gt;"UC-ID specific",K123=""),"Condition UC-ID required",IF(ISNUMBER(SEARCH(","&amp;SUBSTITUTE(K123," ","")&amp;",",","&amp;SUBSTITUTE(INDEX('Gate events'!$O$4:$O$553,MATCH(B123,'Gate events'!$A$4:$A$553,0))," ","")&amp;",")),"","UC-ID differs from decision")),IF(INDEX('Gate events'!$P$4:$P$553,MATCH(B123,'Gate events'!$A$4:$A$553,0))="Shared system baseline",IF(OR(L123&lt;&gt;"Shared system baseline",K123&lt;&gt;""),"Condition scope differs from decision",""),"Parent decision scope missing")),IF(OR(D123="",E123="",F123="",G123=""),"Condition, owner, due date or state missing",IF(NOT(ISNUMBER(F123)),"Due date is not a date",IF(OR(G123="Overdue",G123="Superseded"),"Legacy state — owner review (use the shared five states)",IF(INDEX('Gate events'!$E$4:$E$553,MATCH(B123,'Gate events'!$A$4:$A$553,0))&lt;&gt;"Decision","Parent event is not a Decision",IF(AND(INDEX('Gate events'!$G$4:$G$553,MATCH(B123,'Gate events'!$A$4:$A$553,0))&lt;&gt;"Progress with condition",INDEX('Gate events'!$G$4:$G$553,MATCH(B123,'Gate events'!$A$4:$A$553,0))&lt;&gt;"Re-authorise",INDEX('Gate events'!$G$4:$G$553,MATCH(B123,'Gate events'!$A$4:$A$553,0))&lt;&gt;"Resume"),"Parent outcome is not Progress with condition / Re-authorise / Resume",IF(AND(ISNUMBER(INDEX('Gate events'!$F$4:$F$553,MATCH(B123,'Gate events'!$A$4:$A$553,0))),F123&lt;INDEX('Gate events'!$F$4:$F$553,MATCH(B123,'Gate events'!$A$4:$A$553,0))),"Due date before parent event date",IF(AND(OR(G123="Closed-verified",G123="Waived",G123="Accepted-open"),OR(H123="",I123="")),"Closure evidence missing",IF(AND(H123&lt;&gt;"",NOT(ISNUMBER(H123))),"Closed / waived on is not a date",IF(AND(ISNUMBER(H123),ISNUMBER(INDEX('Gate events'!$F$4:$F$553,MATCH(B123,'Gate events'!$A$4:$A$553,0))),H123&lt;INDEX('Gate events'!$F$4:$F$553,MATCH(B123,'Gate events'!$A$4:$A$553,0))),"Closure date before parent event date",IF(AND(G123="Closed-verified",M123=""),"Verifier / date missing",IF(AND(N123="Yes",G123="Closed-verified",O123=""),"Monitoring condition needs AIG-OPS-02 evidence ref",IF(AND(G123="Open",F123&lt;TODAY()),"OVERDUE (derived) — review",IF(G123="Unknown","State Unknown: owner to confirm","Check against source")))))))))))))))))))</f>
        <v/>
      </c>
      <c r="K123" s="37" t="n"/>
      <c r="L123" s="37" t="n"/>
      <c r="M123" s="40" t="n"/>
      <c r="N123" s="40" t="n"/>
      <c r="O123" s="40" t="n"/>
    </row>
    <row r="124">
      <c r="A124" s="38" t="n"/>
      <c r="B124" s="38" t="n"/>
      <c r="C124" s="38" t="n"/>
      <c r="D124" s="38" t="n"/>
      <c r="E124" s="38" t="n"/>
      <c r="F124" s="39" t="n"/>
      <c r="G124" s="38" t="n"/>
      <c r="H124" s="39" t="n"/>
      <c r="I124" s="38" t="n"/>
      <c r="J124" s="22">
        <f>IF(COUNTA(A124:I124,K124:O124)=0,"",IF(OR(A124="",B124="",C124=""),"ID / parent missing",IF(COUNTIF($A$4:$A$553,A124)&gt;1,"Duplicate condition ID",IF(COUNTIF('Gate events'!$A$4:$A$553,B124)=0,"Event ID not found",IF(INDEX('Gate events'!$B$4:$B$553,MATCH(B124,'Gate events'!$A$4:$A$553,0))&lt;&gt;C124,"AIR-ID differs from event",IF(IF(INDEX('Gate events'!$P$4:$P$553,MATCH(B124,'Gate events'!$A$4:$A$553,0))="UC-ID specific",IF(OR(L124&lt;&gt;"UC-ID specific",K124=""),"Condition UC-ID required",IF(ISNUMBER(SEARCH(","&amp;SUBSTITUTE(K124," ","")&amp;",",","&amp;SUBSTITUTE(INDEX('Gate events'!$O$4:$O$553,MATCH(B124,'Gate events'!$A$4:$A$553,0))," ","")&amp;",")),"","UC-ID differs from decision")),IF(INDEX('Gate events'!$P$4:$P$553,MATCH(B124,'Gate events'!$A$4:$A$553,0))="Shared system baseline",IF(OR(L124&lt;&gt;"Shared system baseline",K124&lt;&gt;""),"Condition scope differs from decision",""),"Parent decision scope missing"))&lt;&gt;"",IF(INDEX('Gate events'!$P$4:$P$553,MATCH(B124,'Gate events'!$A$4:$A$553,0))="UC-ID specific",IF(OR(L124&lt;&gt;"UC-ID specific",K124=""),"Condition UC-ID required",IF(ISNUMBER(SEARCH(","&amp;SUBSTITUTE(K124," ","")&amp;",",","&amp;SUBSTITUTE(INDEX('Gate events'!$O$4:$O$553,MATCH(B124,'Gate events'!$A$4:$A$553,0))," ","")&amp;",")),"","UC-ID differs from decision")),IF(INDEX('Gate events'!$P$4:$P$553,MATCH(B124,'Gate events'!$A$4:$A$553,0))="Shared system baseline",IF(OR(L124&lt;&gt;"Shared system baseline",K124&lt;&gt;""),"Condition scope differs from decision",""),"Parent decision scope missing")),IF(OR(D124="",E124="",F124="",G124=""),"Condition, owner, due date or state missing",IF(NOT(ISNUMBER(F124)),"Due date is not a date",IF(OR(G124="Overdue",G124="Superseded"),"Legacy state — owner review (use the shared five states)",IF(INDEX('Gate events'!$E$4:$E$553,MATCH(B124,'Gate events'!$A$4:$A$553,0))&lt;&gt;"Decision","Parent event is not a Decision",IF(AND(INDEX('Gate events'!$G$4:$G$553,MATCH(B124,'Gate events'!$A$4:$A$553,0))&lt;&gt;"Progress with condition",INDEX('Gate events'!$G$4:$G$553,MATCH(B124,'Gate events'!$A$4:$A$553,0))&lt;&gt;"Re-authorise",INDEX('Gate events'!$G$4:$G$553,MATCH(B124,'Gate events'!$A$4:$A$553,0))&lt;&gt;"Resume"),"Parent outcome is not Progress with condition / Re-authorise / Resume",IF(AND(ISNUMBER(INDEX('Gate events'!$F$4:$F$553,MATCH(B124,'Gate events'!$A$4:$A$553,0))),F124&lt;INDEX('Gate events'!$F$4:$F$553,MATCH(B124,'Gate events'!$A$4:$A$553,0))),"Due date before parent event date",IF(AND(OR(G124="Closed-verified",G124="Waived",G124="Accepted-open"),OR(H124="",I124="")),"Closure evidence missing",IF(AND(H124&lt;&gt;"",NOT(ISNUMBER(H124))),"Closed / waived on is not a date",IF(AND(ISNUMBER(H124),ISNUMBER(INDEX('Gate events'!$F$4:$F$553,MATCH(B124,'Gate events'!$A$4:$A$553,0))),H124&lt;INDEX('Gate events'!$F$4:$F$553,MATCH(B124,'Gate events'!$A$4:$A$553,0))),"Closure date before parent event date",IF(AND(G124="Closed-verified",M124=""),"Verifier / date missing",IF(AND(N124="Yes",G124="Closed-verified",O124=""),"Monitoring condition needs AIG-OPS-02 evidence ref",IF(AND(G124="Open",F124&lt;TODAY()),"OVERDUE (derived) — review",IF(G124="Unknown","State Unknown: owner to confirm","Check against source")))))))))))))))))))</f>
        <v/>
      </c>
      <c r="K124" s="37" t="n"/>
      <c r="L124" s="37" t="n"/>
      <c r="M124" s="38" t="n"/>
      <c r="N124" s="38" t="n"/>
      <c r="O124" s="38" t="n"/>
    </row>
    <row r="125">
      <c r="A125" s="40" t="n"/>
      <c r="B125" s="40" t="n"/>
      <c r="C125" s="40" t="n"/>
      <c r="D125" s="40" t="n"/>
      <c r="E125" s="40" t="n"/>
      <c r="F125" s="41" t="n"/>
      <c r="G125" s="40" t="n"/>
      <c r="H125" s="41" t="n"/>
      <c r="I125" s="40" t="n"/>
      <c r="J125" s="24">
        <f>IF(COUNTA(A125:I125,K125:O125)=0,"",IF(OR(A125="",B125="",C125=""),"ID / parent missing",IF(COUNTIF($A$4:$A$553,A125)&gt;1,"Duplicate condition ID",IF(COUNTIF('Gate events'!$A$4:$A$553,B125)=0,"Event ID not found",IF(INDEX('Gate events'!$B$4:$B$553,MATCH(B125,'Gate events'!$A$4:$A$553,0))&lt;&gt;C125,"AIR-ID differs from event",IF(IF(INDEX('Gate events'!$P$4:$P$553,MATCH(B125,'Gate events'!$A$4:$A$553,0))="UC-ID specific",IF(OR(L125&lt;&gt;"UC-ID specific",K125=""),"Condition UC-ID required",IF(ISNUMBER(SEARCH(","&amp;SUBSTITUTE(K125," ","")&amp;",",","&amp;SUBSTITUTE(INDEX('Gate events'!$O$4:$O$553,MATCH(B125,'Gate events'!$A$4:$A$553,0))," ","")&amp;",")),"","UC-ID differs from decision")),IF(INDEX('Gate events'!$P$4:$P$553,MATCH(B125,'Gate events'!$A$4:$A$553,0))="Shared system baseline",IF(OR(L125&lt;&gt;"Shared system baseline",K125&lt;&gt;""),"Condition scope differs from decision",""),"Parent decision scope missing"))&lt;&gt;"",IF(INDEX('Gate events'!$P$4:$P$553,MATCH(B125,'Gate events'!$A$4:$A$553,0))="UC-ID specific",IF(OR(L125&lt;&gt;"UC-ID specific",K125=""),"Condition UC-ID required",IF(ISNUMBER(SEARCH(","&amp;SUBSTITUTE(K125," ","")&amp;",",","&amp;SUBSTITUTE(INDEX('Gate events'!$O$4:$O$553,MATCH(B125,'Gate events'!$A$4:$A$553,0))," ","")&amp;",")),"","UC-ID differs from decision")),IF(INDEX('Gate events'!$P$4:$P$553,MATCH(B125,'Gate events'!$A$4:$A$553,0))="Shared system baseline",IF(OR(L125&lt;&gt;"Shared system baseline",K125&lt;&gt;""),"Condition scope differs from decision",""),"Parent decision scope missing")),IF(OR(D125="",E125="",F125="",G125=""),"Condition, owner, due date or state missing",IF(NOT(ISNUMBER(F125)),"Due date is not a date",IF(OR(G125="Overdue",G125="Superseded"),"Legacy state — owner review (use the shared five states)",IF(INDEX('Gate events'!$E$4:$E$553,MATCH(B125,'Gate events'!$A$4:$A$553,0))&lt;&gt;"Decision","Parent event is not a Decision",IF(AND(INDEX('Gate events'!$G$4:$G$553,MATCH(B125,'Gate events'!$A$4:$A$553,0))&lt;&gt;"Progress with condition",INDEX('Gate events'!$G$4:$G$553,MATCH(B125,'Gate events'!$A$4:$A$553,0))&lt;&gt;"Re-authorise",INDEX('Gate events'!$G$4:$G$553,MATCH(B125,'Gate events'!$A$4:$A$553,0))&lt;&gt;"Resume"),"Parent outcome is not Progress with condition / Re-authorise / Resume",IF(AND(ISNUMBER(INDEX('Gate events'!$F$4:$F$553,MATCH(B125,'Gate events'!$A$4:$A$553,0))),F125&lt;INDEX('Gate events'!$F$4:$F$553,MATCH(B125,'Gate events'!$A$4:$A$553,0))),"Due date before parent event date",IF(AND(OR(G125="Closed-verified",G125="Waived",G125="Accepted-open"),OR(H125="",I125="")),"Closure evidence missing",IF(AND(H125&lt;&gt;"",NOT(ISNUMBER(H125))),"Closed / waived on is not a date",IF(AND(ISNUMBER(H125),ISNUMBER(INDEX('Gate events'!$F$4:$F$553,MATCH(B125,'Gate events'!$A$4:$A$553,0))),H125&lt;INDEX('Gate events'!$F$4:$F$553,MATCH(B125,'Gate events'!$A$4:$A$553,0))),"Closure date before parent event date",IF(AND(G125="Closed-verified",M125=""),"Verifier / date missing",IF(AND(N125="Yes",G125="Closed-verified",O125=""),"Monitoring condition needs AIG-OPS-02 evidence ref",IF(AND(G125="Open",F125&lt;TODAY()),"OVERDUE (derived) — review",IF(G125="Unknown","State Unknown: owner to confirm","Check against source")))))))))))))))))))</f>
        <v/>
      </c>
      <c r="K125" s="37" t="n"/>
      <c r="L125" s="37" t="n"/>
      <c r="M125" s="40" t="n"/>
      <c r="N125" s="40" t="n"/>
      <c r="O125" s="40" t="n"/>
    </row>
    <row r="126">
      <c r="A126" s="38" t="n"/>
      <c r="B126" s="38" t="n"/>
      <c r="C126" s="38" t="n"/>
      <c r="D126" s="38" t="n"/>
      <c r="E126" s="38" t="n"/>
      <c r="F126" s="39" t="n"/>
      <c r="G126" s="38" t="n"/>
      <c r="H126" s="39" t="n"/>
      <c r="I126" s="38" t="n"/>
      <c r="J126" s="22">
        <f>IF(COUNTA(A126:I126,K126:O126)=0,"",IF(OR(A126="",B126="",C126=""),"ID / parent missing",IF(COUNTIF($A$4:$A$553,A126)&gt;1,"Duplicate condition ID",IF(COUNTIF('Gate events'!$A$4:$A$553,B126)=0,"Event ID not found",IF(INDEX('Gate events'!$B$4:$B$553,MATCH(B126,'Gate events'!$A$4:$A$553,0))&lt;&gt;C126,"AIR-ID differs from event",IF(IF(INDEX('Gate events'!$P$4:$P$553,MATCH(B126,'Gate events'!$A$4:$A$553,0))="UC-ID specific",IF(OR(L126&lt;&gt;"UC-ID specific",K126=""),"Condition UC-ID required",IF(ISNUMBER(SEARCH(","&amp;SUBSTITUTE(K126," ","")&amp;",",","&amp;SUBSTITUTE(INDEX('Gate events'!$O$4:$O$553,MATCH(B126,'Gate events'!$A$4:$A$553,0))," ","")&amp;",")),"","UC-ID differs from decision")),IF(INDEX('Gate events'!$P$4:$P$553,MATCH(B126,'Gate events'!$A$4:$A$553,0))="Shared system baseline",IF(OR(L126&lt;&gt;"Shared system baseline",K126&lt;&gt;""),"Condition scope differs from decision",""),"Parent decision scope missing"))&lt;&gt;"",IF(INDEX('Gate events'!$P$4:$P$553,MATCH(B126,'Gate events'!$A$4:$A$553,0))="UC-ID specific",IF(OR(L126&lt;&gt;"UC-ID specific",K126=""),"Condition UC-ID required",IF(ISNUMBER(SEARCH(","&amp;SUBSTITUTE(K126," ","")&amp;",",","&amp;SUBSTITUTE(INDEX('Gate events'!$O$4:$O$553,MATCH(B126,'Gate events'!$A$4:$A$553,0))," ","")&amp;",")),"","UC-ID differs from decision")),IF(INDEX('Gate events'!$P$4:$P$553,MATCH(B126,'Gate events'!$A$4:$A$553,0))="Shared system baseline",IF(OR(L126&lt;&gt;"Shared system baseline",K126&lt;&gt;""),"Condition scope differs from decision",""),"Parent decision scope missing")),IF(OR(D126="",E126="",F126="",G126=""),"Condition, owner, due date or state missing",IF(NOT(ISNUMBER(F126)),"Due date is not a date",IF(OR(G126="Overdue",G126="Superseded"),"Legacy state — owner review (use the shared five states)",IF(INDEX('Gate events'!$E$4:$E$553,MATCH(B126,'Gate events'!$A$4:$A$553,0))&lt;&gt;"Decision","Parent event is not a Decision",IF(AND(INDEX('Gate events'!$G$4:$G$553,MATCH(B126,'Gate events'!$A$4:$A$553,0))&lt;&gt;"Progress with condition",INDEX('Gate events'!$G$4:$G$553,MATCH(B126,'Gate events'!$A$4:$A$553,0))&lt;&gt;"Re-authorise",INDEX('Gate events'!$G$4:$G$553,MATCH(B126,'Gate events'!$A$4:$A$553,0))&lt;&gt;"Resume"),"Parent outcome is not Progress with condition / Re-authorise / Resume",IF(AND(ISNUMBER(INDEX('Gate events'!$F$4:$F$553,MATCH(B126,'Gate events'!$A$4:$A$553,0))),F126&lt;INDEX('Gate events'!$F$4:$F$553,MATCH(B126,'Gate events'!$A$4:$A$553,0))),"Due date before parent event date",IF(AND(OR(G126="Closed-verified",G126="Waived",G126="Accepted-open"),OR(H126="",I126="")),"Closure evidence missing",IF(AND(H126&lt;&gt;"",NOT(ISNUMBER(H126))),"Closed / waived on is not a date",IF(AND(ISNUMBER(H126),ISNUMBER(INDEX('Gate events'!$F$4:$F$553,MATCH(B126,'Gate events'!$A$4:$A$553,0))),H126&lt;INDEX('Gate events'!$F$4:$F$553,MATCH(B126,'Gate events'!$A$4:$A$553,0))),"Closure date before parent event date",IF(AND(G126="Closed-verified",M126=""),"Verifier / date missing",IF(AND(N126="Yes",G126="Closed-verified",O126=""),"Monitoring condition needs AIG-OPS-02 evidence ref",IF(AND(G126="Open",F126&lt;TODAY()),"OVERDUE (derived) — review",IF(G126="Unknown","State Unknown: owner to confirm","Check against source")))))))))))))))))))</f>
        <v/>
      </c>
      <c r="K126" s="37" t="n"/>
      <c r="L126" s="37" t="n"/>
      <c r="M126" s="38" t="n"/>
      <c r="N126" s="38" t="n"/>
      <c r="O126" s="38" t="n"/>
    </row>
    <row r="127">
      <c r="A127" s="40" t="n"/>
      <c r="B127" s="40" t="n"/>
      <c r="C127" s="40" t="n"/>
      <c r="D127" s="40" t="n"/>
      <c r="E127" s="40" t="n"/>
      <c r="F127" s="41" t="n"/>
      <c r="G127" s="40" t="n"/>
      <c r="H127" s="41" t="n"/>
      <c r="I127" s="40" t="n"/>
      <c r="J127" s="24">
        <f>IF(COUNTA(A127:I127,K127:O127)=0,"",IF(OR(A127="",B127="",C127=""),"ID / parent missing",IF(COUNTIF($A$4:$A$553,A127)&gt;1,"Duplicate condition ID",IF(COUNTIF('Gate events'!$A$4:$A$553,B127)=0,"Event ID not found",IF(INDEX('Gate events'!$B$4:$B$553,MATCH(B127,'Gate events'!$A$4:$A$553,0))&lt;&gt;C127,"AIR-ID differs from event",IF(IF(INDEX('Gate events'!$P$4:$P$553,MATCH(B127,'Gate events'!$A$4:$A$553,0))="UC-ID specific",IF(OR(L127&lt;&gt;"UC-ID specific",K127=""),"Condition UC-ID required",IF(ISNUMBER(SEARCH(","&amp;SUBSTITUTE(K127," ","")&amp;",",","&amp;SUBSTITUTE(INDEX('Gate events'!$O$4:$O$553,MATCH(B127,'Gate events'!$A$4:$A$553,0))," ","")&amp;",")),"","UC-ID differs from decision")),IF(INDEX('Gate events'!$P$4:$P$553,MATCH(B127,'Gate events'!$A$4:$A$553,0))="Shared system baseline",IF(OR(L127&lt;&gt;"Shared system baseline",K127&lt;&gt;""),"Condition scope differs from decision",""),"Parent decision scope missing"))&lt;&gt;"",IF(INDEX('Gate events'!$P$4:$P$553,MATCH(B127,'Gate events'!$A$4:$A$553,0))="UC-ID specific",IF(OR(L127&lt;&gt;"UC-ID specific",K127=""),"Condition UC-ID required",IF(ISNUMBER(SEARCH(","&amp;SUBSTITUTE(K127," ","")&amp;",",","&amp;SUBSTITUTE(INDEX('Gate events'!$O$4:$O$553,MATCH(B127,'Gate events'!$A$4:$A$553,0))," ","")&amp;",")),"","UC-ID differs from decision")),IF(INDEX('Gate events'!$P$4:$P$553,MATCH(B127,'Gate events'!$A$4:$A$553,0))="Shared system baseline",IF(OR(L127&lt;&gt;"Shared system baseline",K127&lt;&gt;""),"Condition scope differs from decision",""),"Parent decision scope missing")),IF(OR(D127="",E127="",F127="",G127=""),"Condition, owner, due date or state missing",IF(NOT(ISNUMBER(F127)),"Due date is not a date",IF(OR(G127="Overdue",G127="Superseded"),"Legacy state — owner review (use the shared five states)",IF(INDEX('Gate events'!$E$4:$E$553,MATCH(B127,'Gate events'!$A$4:$A$553,0))&lt;&gt;"Decision","Parent event is not a Decision",IF(AND(INDEX('Gate events'!$G$4:$G$553,MATCH(B127,'Gate events'!$A$4:$A$553,0))&lt;&gt;"Progress with condition",INDEX('Gate events'!$G$4:$G$553,MATCH(B127,'Gate events'!$A$4:$A$553,0))&lt;&gt;"Re-authorise",INDEX('Gate events'!$G$4:$G$553,MATCH(B127,'Gate events'!$A$4:$A$553,0))&lt;&gt;"Resume"),"Parent outcome is not Progress with condition / Re-authorise / Resume",IF(AND(ISNUMBER(INDEX('Gate events'!$F$4:$F$553,MATCH(B127,'Gate events'!$A$4:$A$553,0))),F127&lt;INDEX('Gate events'!$F$4:$F$553,MATCH(B127,'Gate events'!$A$4:$A$553,0))),"Due date before parent event date",IF(AND(OR(G127="Closed-verified",G127="Waived",G127="Accepted-open"),OR(H127="",I127="")),"Closure evidence missing",IF(AND(H127&lt;&gt;"",NOT(ISNUMBER(H127))),"Closed / waived on is not a date",IF(AND(ISNUMBER(H127),ISNUMBER(INDEX('Gate events'!$F$4:$F$553,MATCH(B127,'Gate events'!$A$4:$A$553,0))),H127&lt;INDEX('Gate events'!$F$4:$F$553,MATCH(B127,'Gate events'!$A$4:$A$553,0))),"Closure date before parent event date",IF(AND(G127="Closed-verified",M127=""),"Verifier / date missing",IF(AND(N127="Yes",G127="Closed-verified",O127=""),"Monitoring condition needs AIG-OPS-02 evidence ref",IF(AND(G127="Open",F127&lt;TODAY()),"OVERDUE (derived) — review",IF(G127="Unknown","State Unknown: owner to confirm","Check against source")))))))))))))))))))</f>
        <v/>
      </c>
      <c r="K127" s="37" t="n"/>
      <c r="L127" s="37" t="n"/>
      <c r="M127" s="40" t="n"/>
      <c r="N127" s="40" t="n"/>
      <c r="O127" s="40" t="n"/>
    </row>
    <row r="128">
      <c r="A128" s="38" t="n"/>
      <c r="B128" s="38" t="n"/>
      <c r="C128" s="38" t="n"/>
      <c r="D128" s="38" t="n"/>
      <c r="E128" s="38" t="n"/>
      <c r="F128" s="39" t="n"/>
      <c r="G128" s="38" t="n"/>
      <c r="H128" s="39" t="n"/>
      <c r="I128" s="38" t="n"/>
      <c r="J128" s="22">
        <f>IF(COUNTA(A128:I128,K128:O128)=0,"",IF(OR(A128="",B128="",C128=""),"ID / parent missing",IF(COUNTIF($A$4:$A$553,A128)&gt;1,"Duplicate condition ID",IF(COUNTIF('Gate events'!$A$4:$A$553,B128)=0,"Event ID not found",IF(INDEX('Gate events'!$B$4:$B$553,MATCH(B128,'Gate events'!$A$4:$A$553,0))&lt;&gt;C128,"AIR-ID differs from event",IF(IF(INDEX('Gate events'!$P$4:$P$553,MATCH(B128,'Gate events'!$A$4:$A$553,0))="UC-ID specific",IF(OR(L128&lt;&gt;"UC-ID specific",K128=""),"Condition UC-ID required",IF(ISNUMBER(SEARCH(","&amp;SUBSTITUTE(K128," ","")&amp;",",","&amp;SUBSTITUTE(INDEX('Gate events'!$O$4:$O$553,MATCH(B128,'Gate events'!$A$4:$A$553,0))," ","")&amp;",")),"","UC-ID differs from decision")),IF(INDEX('Gate events'!$P$4:$P$553,MATCH(B128,'Gate events'!$A$4:$A$553,0))="Shared system baseline",IF(OR(L128&lt;&gt;"Shared system baseline",K128&lt;&gt;""),"Condition scope differs from decision",""),"Parent decision scope missing"))&lt;&gt;"",IF(INDEX('Gate events'!$P$4:$P$553,MATCH(B128,'Gate events'!$A$4:$A$553,0))="UC-ID specific",IF(OR(L128&lt;&gt;"UC-ID specific",K128=""),"Condition UC-ID required",IF(ISNUMBER(SEARCH(","&amp;SUBSTITUTE(K128," ","")&amp;",",","&amp;SUBSTITUTE(INDEX('Gate events'!$O$4:$O$553,MATCH(B128,'Gate events'!$A$4:$A$553,0))," ","")&amp;",")),"","UC-ID differs from decision")),IF(INDEX('Gate events'!$P$4:$P$553,MATCH(B128,'Gate events'!$A$4:$A$553,0))="Shared system baseline",IF(OR(L128&lt;&gt;"Shared system baseline",K128&lt;&gt;""),"Condition scope differs from decision",""),"Parent decision scope missing")),IF(OR(D128="",E128="",F128="",G128=""),"Condition, owner, due date or state missing",IF(NOT(ISNUMBER(F128)),"Due date is not a date",IF(OR(G128="Overdue",G128="Superseded"),"Legacy state — owner review (use the shared five states)",IF(INDEX('Gate events'!$E$4:$E$553,MATCH(B128,'Gate events'!$A$4:$A$553,0))&lt;&gt;"Decision","Parent event is not a Decision",IF(AND(INDEX('Gate events'!$G$4:$G$553,MATCH(B128,'Gate events'!$A$4:$A$553,0))&lt;&gt;"Progress with condition",INDEX('Gate events'!$G$4:$G$553,MATCH(B128,'Gate events'!$A$4:$A$553,0))&lt;&gt;"Re-authorise",INDEX('Gate events'!$G$4:$G$553,MATCH(B128,'Gate events'!$A$4:$A$553,0))&lt;&gt;"Resume"),"Parent outcome is not Progress with condition / Re-authorise / Resume",IF(AND(ISNUMBER(INDEX('Gate events'!$F$4:$F$553,MATCH(B128,'Gate events'!$A$4:$A$553,0))),F128&lt;INDEX('Gate events'!$F$4:$F$553,MATCH(B128,'Gate events'!$A$4:$A$553,0))),"Due date before parent event date",IF(AND(OR(G128="Closed-verified",G128="Waived",G128="Accepted-open"),OR(H128="",I128="")),"Closure evidence missing",IF(AND(H128&lt;&gt;"",NOT(ISNUMBER(H128))),"Closed / waived on is not a date",IF(AND(ISNUMBER(H128),ISNUMBER(INDEX('Gate events'!$F$4:$F$553,MATCH(B128,'Gate events'!$A$4:$A$553,0))),H128&lt;INDEX('Gate events'!$F$4:$F$553,MATCH(B128,'Gate events'!$A$4:$A$553,0))),"Closure date before parent event date",IF(AND(G128="Closed-verified",M128=""),"Verifier / date missing",IF(AND(N128="Yes",G128="Closed-verified",O128=""),"Monitoring condition needs AIG-OPS-02 evidence ref",IF(AND(G128="Open",F128&lt;TODAY()),"OVERDUE (derived) — review",IF(G128="Unknown","State Unknown: owner to confirm","Check against source")))))))))))))))))))</f>
        <v/>
      </c>
      <c r="K128" s="37" t="n"/>
      <c r="L128" s="37" t="n"/>
      <c r="M128" s="38" t="n"/>
      <c r="N128" s="38" t="n"/>
      <c r="O128" s="38" t="n"/>
    </row>
    <row r="129">
      <c r="A129" s="40" t="n"/>
      <c r="B129" s="40" t="n"/>
      <c r="C129" s="40" t="n"/>
      <c r="D129" s="40" t="n"/>
      <c r="E129" s="40" t="n"/>
      <c r="F129" s="41" t="n"/>
      <c r="G129" s="40" t="n"/>
      <c r="H129" s="41" t="n"/>
      <c r="I129" s="40" t="n"/>
      <c r="J129" s="24">
        <f>IF(COUNTA(A129:I129,K129:O129)=0,"",IF(OR(A129="",B129="",C129=""),"ID / parent missing",IF(COUNTIF($A$4:$A$553,A129)&gt;1,"Duplicate condition ID",IF(COUNTIF('Gate events'!$A$4:$A$553,B129)=0,"Event ID not found",IF(INDEX('Gate events'!$B$4:$B$553,MATCH(B129,'Gate events'!$A$4:$A$553,0))&lt;&gt;C129,"AIR-ID differs from event",IF(IF(INDEX('Gate events'!$P$4:$P$553,MATCH(B129,'Gate events'!$A$4:$A$553,0))="UC-ID specific",IF(OR(L129&lt;&gt;"UC-ID specific",K129=""),"Condition UC-ID required",IF(ISNUMBER(SEARCH(","&amp;SUBSTITUTE(K129," ","")&amp;",",","&amp;SUBSTITUTE(INDEX('Gate events'!$O$4:$O$553,MATCH(B129,'Gate events'!$A$4:$A$553,0))," ","")&amp;",")),"","UC-ID differs from decision")),IF(INDEX('Gate events'!$P$4:$P$553,MATCH(B129,'Gate events'!$A$4:$A$553,0))="Shared system baseline",IF(OR(L129&lt;&gt;"Shared system baseline",K129&lt;&gt;""),"Condition scope differs from decision",""),"Parent decision scope missing"))&lt;&gt;"",IF(INDEX('Gate events'!$P$4:$P$553,MATCH(B129,'Gate events'!$A$4:$A$553,0))="UC-ID specific",IF(OR(L129&lt;&gt;"UC-ID specific",K129=""),"Condition UC-ID required",IF(ISNUMBER(SEARCH(","&amp;SUBSTITUTE(K129," ","")&amp;",",","&amp;SUBSTITUTE(INDEX('Gate events'!$O$4:$O$553,MATCH(B129,'Gate events'!$A$4:$A$553,0))," ","")&amp;",")),"","UC-ID differs from decision")),IF(INDEX('Gate events'!$P$4:$P$553,MATCH(B129,'Gate events'!$A$4:$A$553,0))="Shared system baseline",IF(OR(L129&lt;&gt;"Shared system baseline",K129&lt;&gt;""),"Condition scope differs from decision",""),"Parent decision scope missing")),IF(OR(D129="",E129="",F129="",G129=""),"Condition, owner, due date or state missing",IF(NOT(ISNUMBER(F129)),"Due date is not a date",IF(OR(G129="Overdue",G129="Superseded"),"Legacy state — owner review (use the shared five states)",IF(INDEX('Gate events'!$E$4:$E$553,MATCH(B129,'Gate events'!$A$4:$A$553,0))&lt;&gt;"Decision","Parent event is not a Decision",IF(AND(INDEX('Gate events'!$G$4:$G$553,MATCH(B129,'Gate events'!$A$4:$A$553,0))&lt;&gt;"Progress with condition",INDEX('Gate events'!$G$4:$G$553,MATCH(B129,'Gate events'!$A$4:$A$553,0))&lt;&gt;"Re-authorise",INDEX('Gate events'!$G$4:$G$553,MATCH(B129,'Gate events'!$A$4:$A$553,0))&lt;&gt;"Resume"),"Parent outcome is not Progress with condition / Re-authorise / Resume",IF(AND(ISNUMBER(INDEX('Gate events'!$F$4:$F$553,MATCH(B129,'Gate events'!$A$4:$A$553,0))),F129&lt;INDEX('Gate events'!$F$4:$F$553,MATCH(B129,'Gate events'!$A$4:$A$553,0))),"Due date before parent event date",IF(AND(OR(G129="Closed-verified",G129="Waived",G129="Accepted-open"),OR(H129="",I129="")),"Closure evidence missing",IF(AND(H129&lt;&gt;"",NOT(ISNUMBER(H129))),"Closed / waived on is not a date",IF(AND(ISNUMBER(H129),ISNUMBER(INDEX('Gate events'!$F$4:$F$553,MATCH(B129,'Gate events'!$A$4:$A$553,0))),H129&lt;INDEX('Gate events'!$F$4:$F$553,MATCH(B129,'Gate events'!$A$4:$A$553,0))),"Closure date before parent event date",IF(AND(G129="Closed-verified",M129=""),"Verifier / date missing",IF(AND(N129="Yes",G129="Closed-verified",O129=""),"Monitoring condition needs AIG-OPS-02 evidence ref",IF(AND(G129="Open",F129&lt;TODAY()),"OVERDUE (derived) — review",IF(G129="Unknown","State Unknown: owner to confirm","Check against source")))))))))))))))))))</f>
        <v/>
      </c>
      <c r="K129" s="37" t="n"/>
      <c r="L129" s="37" t="n"/>
      <c r="M129" s="40" t="n"/>
      <c r="N129" s="40" t="n"/>
      <c r="O129" s="40" t="n"/>
    </row>
    <row r="130">
      <c r="A130" s="38" t="n"/>
      <c r="B130" s="38" t="n"/>
      <c r="C130" s="38" t="n"/>
      <c r="D130" s="38" t="n"/>
      <c r="E130" s="38" t="n"/>
      <c r="F130" s="39" t="n"/>
      <c r="G130" s="38" t="n"/>
      <c r="H130" s="39" t="n"/>
      <c r="I130" s="38" t="n"/>
      <c r="J130" s="22">
        <f>IF(COUNTA(A130:I130,K130:O130)=0,"",IF(OR(A130="",B130="",C130=""),"ID / parent missing",IF(COUNTIF($A$4:$A$553,A130)&gt;1,"Duplicate condition ID",IF(COUNTIF('Gate events'!$A$4:$A$553,B130)=0,"Event ID not found",IF(INDEX('Gate events'!$B$4:$B$553,MATCH(B130,'Gate events'!$A$4:$A$553,0))&lt;&gt;C130,"AIR-ID differs from event",IF(IF(INDEX('Gate events'!$P$4:$P$553,MATCH(B130,'Gate events'!$A$4:$A$553,0))="UC-ID specific",IF(OR(L130&lt;&gt;"UC-ID specific",K130=""),"Condition UC-ID required",IF(ISNUMBER(SEARCH(","&amp;SUBSTITUTE(K130," ","")&amp;",",","&amp;SUBSTITUTE(INDEX('Gate events'!$O$4:$O$553,MATCH(B130,'Gate events'!$A$4:$A$553,0))," ","")&amp;",")),"","UC-ID differs from decision")),IF(INDEX('Gate events'!$P$4:$P$553,MATCH(B130,'Gate events'!$A$4:$A$553,0))="Shared system baseline",IF(OR(L130&lt;&gt;"Shared system baseline",K130&lt;&gt;""),"Condition scope differs from decision",""),"Parent decision scope missing"))&lt;&gt;"",IF(INDEX('Gate events'!$P$4:$P$553,MATCH(B130,'Gate events'!$A$4:$A$553,0))="UC-ID specific",IF(OR(L130&lt;&gt;"UC-ID specific",K130=""),"Condition UC-ID required",IF(ISNUMBER(SEARCH(","&amp;SUBSTITUTE(K130," ","")&amp;",",","&amp;SUBSTITUTE(INDEX('Gate events'!$O$4:$O$553,MATCH(B130,'Gate events'!$A$4:$A$553,0))," ","")&amp;",")),"","UC-ID differs from decision")),IF(INDEX('Gate events'!$P$4:$P$553,MATCH(B130,'Gate events'!$A$4:$A$553,0))="Shared system baseline",IF(OR(L130&lt;&gt;"Shared system baseline",K130&lt;&gt;""),"Condition scope differs from decision",""),"Parent decision scope missing")),IF(OR(D130="",E130="",F130="",G130=""),"Condition, owner, due date or state missing",IF(NOT(ISNUMBER(F130)),"Due date is not a date",IF(OR(G130="Overdue",G130="Superseded"),"Legacy state — owner review (use the shared five states)",IF(INDEX('Gate events'!$E$4:$E$553,MATCH(B130,'Gate events'!$A$4:$A$553,0))&lt;&gt;"Decision","Parent event is not a Decision",IF(AND(INDEX('Gate events'!$G$4:$G$553,MATCH(B130,'Gate events'!$A$4:$A$553,0))&lt;&gt;"Progress with condition",INDEX('Gate events'!$G$4:$G$553,MATCH(B130,'Gate events'!$A$4:$A$553,0))&lt;&gt;"Re-authorise",INDEX('Gate events'!$G$4:$G$553,MATCH(B130,'Gate events'!$A$4:$A$553,0))&lt;&gt;"Resume"),"Parent outcome is not Progress with condition / Re-authorise / Resume",IF(AND(ISNUMBER(INDEX('Gate events'!$F$4:$F$553,MATCH(B130,'Gate events'!$A$4:$A$553,0))),F130&lt;INDEX('Gate events'!$F$4:$F$553,MATCH(B130,'Gate events'!$A$4:$A$553,0))),"Due date before parent event date",IF(AND(OR(G130="Closed-verified",G130="Waived",G130="Accepted-open"),OR(H130="",I130="")),"Closure evidence missing",IF(AND(H130&lt;&gt;"",NOT(ISNUMBER(H130))),"Closed / waived on is not a date",IF(AND(ISNUMBER(H130),ISNUMBER(INDEX('Gate events'!$F$4:$F$553,MATCH(B130,'Gate events'!$A$4:$A$553,0))),H130&lt;INDEX('Gate events'!$F$4:$F$553,MATCH(B130,'Gate events'!$A$4:$A$553,0))),"Closure date before parent event date",IF(AND(G130="Closed-verified",M130=""),"Verifier / date missing",IF(AND(N130="Yes",G130="Closed-verified",O130=""),"Monitoring condition needs AIG-OPS-02 evidence ref",IF(AND(G130="Open",F130&lt;TODAY()),"OVERDUE (derived) — review",IF(G130="Unknown","State Unknown: owner to confirm","Check against source")))))))))))))))))))</f>
        <v/>
      </c>
      <c r="K130" s="37" t="n"/>
      <c r="L130" s="37" t="n"/>
      <c r="M130" s="38" t="n"/>
      <c r="N130" s="38" t="n"/>
      <c r="O130" s="38" t="n"/>
    </row>
    <row r="131">
      <c r="A131" s="40" t="n"/>
      <c r="B131" s="40" t="n"/>
      <c r="C131" s="40" t="n"/>
      <c r="D131" s="40" t="n"/>
      <c r="E131" s="40" t="n"/>
      <c r="F131" s="41" t="n"/>
      <c r="G131" s="40" t="n"/>
      <c r="H131" s="41" t="n"/>
      <c r="I131" s="40" t="n"/>
      <c r="J131" s="24">
        <f>IF(COUNTA(A131:I131,K131:O131)=0,"",IF(OR(A131="",B131="",C131=""),"ID / parent missing",IF(COUNTIF($A$4:$A$553,A131)&gt;1,"Duplicate condition ID",IF(COUNTIF('Gate events'!$A$4:$A$553,B131)=0,"Event ID not found",IF(INDEX('Gate events'!$B$4:$B$553,MATCH(B131,'Gate events'!$A$4:$A$553,0))&lt;&gt;C131,"AIR-ID differs from event",IF(IF(INDEX('Gate events'!$P$4:$P$553,MATCH(B131,'Gate events'!$A$4:$A$553,0))="UC-ID specific",IF(OR(L131&lt;&gt;"UC-ID specific",K131=""),"Condition UC-ID required",IF(ISNUMBER(SEARCH(","&amp;SUBSTITUTE(K131," ","")&amp;",",","&amp;SUBSTITUTE(INDEX('Gate events'!$O$4:$O$553,MATCH(B131,'Gate events'!$A$4:$A$553,0))," ","")&amp;",")),"","UC-ID differs from decision")),IF(INDEX('Gate events'!$P$4:$P$553,MATCH(B131,'Gate events'!$A$4:$A$553,0))="Shared system baseline",IF(OR(L131&lt;&gt;"Shared system baseline",K131&lt;&gt;""),"Condition scope differs from decision",""),"Parent decision scope missing"))&lt;&gt;"",IF(INDEX('Gate events'!$P$4:$P$553,MATCH(B131,'Gate events'!$A$4:$A$553,0))="UC-ID specific",IF(OR(L131&lt;&gt;"UC-ID specific",K131=""),"Condition UC-ID required",IF(ISNUMBER(SEARCH(","&amp;SUBSTITUTE(K131," ","")&amp;",",","&amp;SUBSTITUTE(INDEX('Gate events'!$O$4:$O$553,MATCH(B131,'Gate events'!$A$4:$A$553,0))," ","")&amp;",")),"","UC-ID differs from decision")),IF(INDEX('Gate events'!$P$4:$P$553,MATCH(B131,'Gate events'!$A$4:$A$553,0))="Shared system baseline",IF(OR(L131&lt;&gt;"Shared system baseline",K131&lt;&gt;""),"Condition scope differs from decision",""),"Parent decision scope missing")),IF(OR(D131="",E131="",F131="",G131=""),"Condition, owner, due date or state missing",IF(NOT(ISNUMBER(F131)),"Due date is not a date",IF(OR(G131="Overdue",G131="Superseded"),"Legacy state — owner review (use the shared five states)",IF(INDEX('Gate events'!$E$4:$E$553,MATCH(B131,'Gate events'!$A$4:$A$553,0))&lt;&gt;"Decision","Parent event is not a Decision",IF(AND(INDEX('Gate events'!$G$4:$G$553,MATCH(B131,'Gate events'!$A$4:$A$553,0))&lt;&gt;"Progress with condition",INDEX('Gate events'!$G$4:$G$553,MATCH(B131,'Gate events'!$A$4:$A$553,0))&lt;&gt;"Re-authorise",INDEX('Gate events'!$G$4:$G$553,MATCH(B131,'Gate events'!$A$4:$A$553,0))&lt;&gt;"Resume"),"Parent outcome is not Progress with condition / Re-authorise / Resume",IF(AND(ISNUMBER(INDEX('Gate events'!$F$4:$F$553,MATCH(B131,'Gate events'!$A$4:$A$553,0))),F131&lt;INDEX('Gate events'!$F$4:$F$553,MATCH(B131,'Gate events'!$A$4:$A$553,0))),"Due date before parent event date",IF(AND(OR(G131="Closed-verified",G131="Waived",G131="Accepted-open"),OR(H131="",I131="")),"Closure evidence missing",IF(AND(H131&lt;&gt;"",NOT(ISNUMBER(H131))),"Closed / waived on is not a date",IF(AND(ISNUMBER(H131),ISNUMBER(INDEX('Gate events'!$F$4:$F$553,MATCH(B131,'Gate events'!$A$4:$A$553,0))),H131&lt;INDEX('Gate events'!$F$4:$F$553,MATCH(B131,'Gate events'!$A$4:$A$553,0))),"Closure date before parent event date",IF(AND(G131="Closed-verified",M131=""),"Verifier / date missing",IF(AND(N131="Yes",G131="Closed-verified",O131=""),"Monitoring condition needs AIG-OPS-02 evidence ref",IF(AND(G131="Open",F131&lt;TODAY()),"OVERDUE (derived) — review",IF(G131="Unknown","State Unknown: owner to confirm","Check against source")))))))))))))))))))</f>
        <v/>
      </c>
      <c r="K131" s="37" t="n"/>
      <c r="L131" s="37" t="n"/>
      <c r="M131" s="40" t="n"/>
      <c r="N131" s="40" t="n"/>
      <c r="O131" s="40" t="n"/>
    </row>
    <row r="132">
      <c r="A132" s="38" t="n"/>
      <c r="B132" s="38" t="n"/>
      <c r="C132" s="38" t="n"/>
      <c r="D132" s="38" t="n"/>
      <c r="E132" s="38" t="n"/>
      <c r="F132" s="39" t="n"/>
      <c r="G132" s="38" t="n"/>
      <c r="H132" s="39" t="n"/>
      <c r="I132" s="38" t="n"/>
      <c r="J132" s="22">
        <f>IF(COUNTA(A132:I132,K132:O132)=0,"",IF(OR(A132="",B132="",C132=""),"ID / parent missing",IF(COUNTIF($A$4:$A$553,A132)&gt;1,"Duplicate condition ID",IF(COUNTIF('Gate events'!$A$4:$A$553,B132)=0,"Event ID not found",IF(INDEX('Gate events'!$B$4:$B$553,MATCH(B132,'Gate events'!$A$4:$A$553,0))&lt;&gt;C132,"AIR-ID differs from event",IF(IF(INDEX('Gate events'!$P$4:$P$553,MATCH(B132,'Gate events'!$A$4:$A$553,0))="UC-ID specific",IF(OR(L132&lt;&gt;"UC-ID specific",K132=""),"Condition UC-ID required",IF(ISNUMBER(SEARCH(","&amp;SUBSTITUTE(K132," ","")&amp;",",","&amp;SUBSTITUTE(INDEX('Gate events'!$O$4:$O$553,MATCH(B132,'Gate events'!$A$4:$A$553,0))," ","")&amp;",")),"","UC-ID differs from decision")),IF(INDEX('Gate events'!$P$4:$P$553,MATCH(B132,'Gate events'!$A$4:$A$553,0))="Shared system baseline",IF(OR(L132&lt;&gt;"Shared system baseline",K132&lt;&gt;""),"Condition scope differs from decision",""),"Parent decision scope missing"))&lt;&gt;"",IF(INDEX('Gate events'!$P$4:$P$553,MATCH(B132,'Gate events'!$A$4:$A$553,0))="UC-ID specific",IF(OR(L132&lt;&gt;"UC-ID specific",K132=""),"Condition UC-ID required",IF(ISNUMBER(SEARCH(","&amp;SUBSTITUTE(K132," ","")&amp;",",","&amp;SUBSTITUTE(INDEX('Gate events'!$O$4:$O$553,MATCH(B132,'Gate events'!$A$4:$A$553,0))," ","")&amp;",")),"","UC-ID differs from decision")),IF(INDEX('Gate events'!$P$4:$P$553,MATCH(B132,'Gate events'!$A$4:$A$553,0))="Shared system baseline",IF(OR(L132&lt;&gt;"Shared system baseline",K132&lt;&gt;""),"Condition scope differs from decision",""),"Parent decision scope missing")),IF(OR(D132="",E132="",F132="",G132=""),"Condition, owner, due date or state missing",IF(NOT(ISNUMBER(F132)),"Due date is not a date",IF(OR(G132="Overdue",G132="Superseded"),"Legacy state — owner review (use the shared five states)",IF(INDEX('Gate events'!$E$4:$E$553,MATCH(B132,'Gate events'!$A$4:$A$553,0))&lt;&gt;"Decision","Parent event is not a Decision",IF(AND(INDEX('Gate events'!$G$4:$G$553,MATCH(B132,'Gate events'!$A$4:$A$553,0))&lt;&gt;"Progress with condition",INDEX('Gate events'!$G$4:$G$553,MATCH(B132,'Gate events'!$A$4:$A$553,0))&lt;&gt;"Re-authorise",INDEX('Gate events'!$G$4:$G$553,MATCH(B132,'Gate events'!$A$4:$A$553,0))&lt;&gt;"Resume"),"Parent outcome is not Progress with condition / Re-authorise / Resume",IF(AND(ISNUMBER(INDEX('Gate events'!$F$4:$F$553,MATCH(B132,'Gate events'!$A$4:$A$553,0))),F132&lt;INDEX('Gate events'!$F$4:$F$553,MATCH(B132,'Gate events'!$A$4:$A$553,0))),"Due date before parent event date",IF(AND(OR(G132="Closed-verified",G132="Waived",G132="Accepted-open"),OR(H132="",I132="")),"Closure evidence missing",IF(AND(H132&lt;&gt;"",NOT(ISNUMBER(H132))),"Closed / waived on is not a date",IF(AND(ISNUMBER(H132),ISNUMBER(INDEX('Gate events'!$F$4:$F$553,MATCH(B132,'Gate events'!$A$4:$A$553,0))),H132&lt;INDEX('Gate events'!$F$4:$F$553,MATCH(B132,'Gate events'!$A$4:$A$553,0))),"Closure date before parent event date",IF(AND(G132="Closed-verified",M132=""),"Verifier / date missing",IF(AND(N132="Yes",G132="Closed-verified",O132=""),"Monitoring condition needs AIG-OPS-02 evidence ref",IF(AND(G132="Open",F132&lt;TODAY()),"OVERDUE (derived) — review",IF(G132="Unknown","State Unknown: owner to confirm","Check against source")))))))))))))))))))</f>
        <v/>
      </c>
      <c r="K132" s="37" t="n"/>
      <c r="L132" s="37" t="n"/>
      <c r="M132" s="38" t="n"/>
      <c r="N132" s="38" t="n"/>
      <c r="O132" s="38" t="n"/>
    </row>
    <row r="133">
      <c r="A133" s="40" t="n"/>
      <c r="B133" s="40" t="n"/>
      <c r="C133" s="40" t="n"/>
      <c r="D133" s="40" t="n"/>
      <c r="E133" s="40" t="n"/>
      <c r="F133" s="41" t="n"/>
      <c r="G133" s="40" t="n"/>
      <c r="H133" s="41" t="n"/>
      <c r="I133" s="40" t="n"/>
      <c r="J133" s="24">
        <f>IF(COUNTA(A133:I133,K133:O133)=0,"",IF(OR(A133="",B133="",C133=""),"ID / parent missing",IF(COUNTIF($A$4:$A$553,A133)&gt;1,"Duplicate condition ID",IF(COUNTIF('Gate events'!$A$4:$A$553,B133)=0,"Event ID not found",IF(INDEX('Gate events'!$B$4:$B$553,MATCH(B133,'Gate events'!$A$4:$A$553,0))&lt;&gt;C133,"AIR-ID differs from event",IF(IF(INDEX('Gate events'!$P$4:$P$553,MATCH(B133,'Gate events'!$A$4:$A$553,0))="UC-ID specific",IF(OR(L133&lt;&gt;"UC-ID specific",K133=""),"Condition UC-ID required",IF(ISNUMBER(SEARCH(","&amp;SUBSTITUTE(K133," ","")&amp;",",","&amp;SUBSTITUTE(INDEX('Gate events'!$O$4:$O$553,MATCH(B133,'Gate events'!$A$4:$A$553,0))," ","")&amp;",")),"","UC-ID differs from decision")),IF(INDEX('Gate events'!$P$4:$P$553,MATCH(B133,'Gate events'!$A$4:$A$553,0))="Shared system baseline",IF(OR(L133&lt;&gt;"Shared system baseline",K133&lt;&gt;""),"Condition scope differs from decision",""),"Parent decision scope missing"))&lt;&gt;"",IF(INDEX('Gate events'!$P$4:$P$553,MATCH(B133,'Gate events'!$A$4:$A$553,0))="UC-ID specific",IF(OR(L133&lt;&gt;"UC-ID specific",K133=""),"Condition UC-ID required",IF(ISNUMBER(SEARCH(","&amp;SUBSTITUTE(K133," ","")&amp;",",","&amp;SUBSTITUTE(INDEX('Gate events'!$O$4:$O$553,MATCH(B133,'Gate events'!$A$4:$A$553,0))," ","")&amp;",")),"","UC-ID differs from decision")),IF(INDEX('Gate events'!$P$4:$P$553,MATCH(B133,'Gate events'!$A$4:$A$553,0))="Shared system baseline",IF(OR(L133&lt;&gt;"Shared system baseline",K133&lt;&gt;""),"Condition scope differs from decision",""),"Parent decision scope missing")),IF(OR(D133="",E133="",F133="",G133=""),"Condition, owner, due date or state missing",IF(NOT(ISNUMBER(F133)),"Due date is not a date",IF(OR(G133="Overdue",G133="Superseded"),"Legacy state — owner review (use the shared five states)",IF(INDEX('Gate events'!$E$4:$E$553,MATCH(B133,'Gate events'!$A$4:$A$553,0))&lt;&gt;"Decision","Parent event is not a Decision",IF(AND(INDEX('Gate events'!$G$4:$G$553,MATCH(B133,'Gate events'!$A$4:$A$553,0))&lt;&gt;"Progress with condition",INDEX('Gate events'!$G$4:$G$553,MATCH(B133,'Gate events'!$A$4:$A$553,0))&lt;&gt;"Re-authorise",INDEX('Gate events'!$G$4:$G$553,MATCH(B133,'Gate events'!$A$4:$A$553,0))&lt;&gt;"Resume"),"Parent outcome is not Progress with condition / Re-authorise / Resume",IF(AND(ISNUMBER(INDEX('Gate events'!$F$4:$F$553,MATCH(B133,'Gate events'!$A$4:$A$553,0))),F133&lt;INDEX('Gate events'!$F$4:$F$553,MATCH(B133,'Gate events'!$A$4:$A$553,0))),"Due date before parent event date",IF(AND(OR(G133="Closed-verified",G133="Waived",G133="Accepted-open"),OR(H133="",I133="")),"Closure evidence missing",IF(AND(H133&lt;&gt;"",NOT(ISNUMBER(H133))),"Closed / waived on is not a date",IF(AND(ISNUMBER(H133),ISNUMBER(INDEX('Gate events'!$F$4:$F$553,MATCH(B133,'Gate events'!$A$4:$A$553,0))),H133&lt;INDEX('Gate events'!$F$4:$F$553,MATCH(B133,'Gate events'!$A$4:$A$553,0))),"Closure date before parent event date",IF(AND(G133="Closed-verified",M133=""),"Verifier / date missing",IF(AND(N133="Yes",G133="Closed-verified",O133=""),"Monitoring condition needs AIG-OPS-02 evidence ref",IF(AND(G133="Open",F133&lt;TODAY()),"OVERDUE (derived) — review",IF(G133="Unknown","State Unknown: owner to confirm","Check against source")))))))))))))))))))</f>
        <v/>
      </c>
      <c r="K133" s="37" t="n"/>
      <c r="L133" s="37" t="n"/>
      <c r="M133" s="40" t="n"/>
      <c r="N133" s="40" t="n"/>
      <c r="O133" s="40" t="n"/>
    </row>
    <row r="134">
      <c r="A134" s="38" t="n"/>
      <c r="B134" s="38" t="n"/>
      <c r="C134" s="38" t="n"/>
      <c r="D134" s="38" t="n"/>
      <c r="E134" s="38" t="n"/>
      <c r="F134" s="39" t="n"/>
      <c r="G134" s="38" t="n"/>
      <c r="H134" s="39" t="n"/>
      <c r="I134" s="38" t="n"/>
      <c r="J134" s="22">
        <f>IF(COUNTA(A134:I134,K134:O134)=0,"",IF(OR(A134="",B134="",C134=""),"ID / parent missing",IF(COUNTIF($A$4:$A$553,A134)&gt;1,"Duplicate condition ID",IF(COUNTIF('Gate events'!$A$4:$A$553,B134)=0,"Event ID not found",IF(INDEX('Gate events'!$B$4:$B$553,MATCH(B134,'Gate events'!$A$4:$A$553,0))&lt;&gt;C134,"AIR-ID differs from event",IF(IF(INDEX('Gate events'!$P$4:$P$553,MATCH(B134,'Gate events'!$A$4:$A$553,0))="UC-ID specific",IF(OR(L134&lt;&gt;"UC-ID specific",K134=""),"Condition UC-ID required",IF(ISNUMBER(SEARCH(","&amp;SUBSTITUTE(K134," ","")&amp;",",","&amp;SUBSTITUTE(INDEX('Gate events'!$O$4:$O$553,MATCH(B134,'Gate events'!$A$4:$A$553,0))," ","")&amp;",")),"","UC-ID differs from decision")),IF(INDEX('Gate events'!$P$4:$P$553,MATCH(B134,'Gate events'!$A$4:$A$553,0))="Shared system baseline",IF(OR(L134&lt;&gt;"Shared system baseline",K134&lt;&gt;""),"Condition scope differs from decision",""),"Parent decision scope missing"))&lt;&gt;"",IF(INDEX('Gate events'!$P$4:$P$553,MATCH(B134,'Gate events'!$A$4:$A$553,0))="UC-ID specific",IF(OR(L134&lt;&gt;"UC-ID specific",K134=""),"Condition UC-ID required",IF(ISNUMBER(SEARCH(","&amp;SUBSTITUTE(K134," ","")&amp;",",","&amp;SUBSTITUTE(INDEX('Gate events'!$O$4:$O$553,MATCH(B134,'Gate events'!$A$4:$A$553,0))," ","")&amp;",")),"","UC-ID differs from decision")),IF(INDEX('Gate events'!$P$4:$P$553,MATCH(B134,'Gate events'!$A$4:$A$553,0))="Shared system baseline",IF(OR(L134&lt;&gt;"Shared system baseline",K134&lt;&gt;""),"Condition scope differs from decision",""),"Parent decision scope missing")),IF(OR(D134="",E134="",F134="",G134=""),"Condition, owner, due date or state missing",IF(NOT(ISNUMBER(F134)),"Due date is not a date",IF(OR(G134="Overdue",G134="Superseded"),"Legacy state — owner review (use the shared five states)",IF(INDEX('Gate events'!$E$4:$E$553,MATCH(B134,'Gate events'!$A$4:$A$553,0))&lt;&gt;"Decision","Parent event is not a Decision",IF(AND(INDEX('Gate events'!$G$4:$G$553,MATCH(B134,'Gate events'!$A$4:$A$553,0))&lt;&gt;"Progress with condition",INDEX('Gate events'!$G$4:$G$553,MATCH(B134,'Gate events'!$A$4:$A$553,0))&lt;&gt;"Re-authorise",INDEX('Gate events'!$G$4:$G$553,MATCH(B134,'Gate events'!$A$4:$A$553,0))&lt;&gt;"Resume"),"Parent outcome is not Progress with condition / Re-authorise / Resume",IF(AND(ISNUMBER(INDEX('Gate events'!$F$4:$F$553,MATCH(B134,'Gate events'!$A$4:$A$553,0))),F134&lt;INDEX('Gate events'!$F$4:$F$553,MATCH(B134,'Gate events'!$A$4:$A$553,0))),"Due date before parent event date",IF(AND(OR(G134="Closed-verified",G134="Waived",G134="Accepted-open"),OR(H134="",I134="")),"Closure evidence missing",IF(AND(H134&lt;&gt;"",NOT(ISNUMBER(H134))),"Closed / waived on is not a date",IF(AND(ISNUMBER(H134),ISNUMBER(INDEX('Gate events'!$F$4:$F$553,MATCH(B134,'Gate events'!$A$4:$A$553,0))),H134&lt;INDEX('Gate events'!$F$4:$F$553,MATCH(B134,'Gate events'!$A$4:$A$553,0))),"Closure date before parent event date",IF(AND(G134="Closed-verified",M134=""),"Verifier / date missing",IF(AND(N134="Yes",G134="Closed-verified",O134=""),"Monitoring condition needs AIG-OPS-02 evidence ref",IF(AND(G134="Open",F134&lt;TODAY()),"OVERDUE (derived) — review",IF(G134="Unknown","State Unknown: owner to confirm","Check against source")))))))))))))))))))</f>
        <v/>
      </c>
      <c r="K134" s="37" t="n"/>
      <c r="L134" s="37" t="n"/>
      <c r="M134" s="38" t="n"/>
      <c r="N134" s="38" t="n"/>
      <c r="O134" s="38" t="n"/>
    </row>
    <row r="135">
      <c r="A135" s="40" t="n"/>
      <c r="B135" s="40" t="n"/>
      <c r="C135" s="40" t="n"/>
      <c r="D135" s="40" t="n"/>
      <c r="E135" s="40" t="n"/>
      <c r="F135" s="41" t="n"/>
      <c r="G135" s="40" t="n"/>
      <c r="H135" s="41" t="n"/>
      <c r="I135" s="40" t="n"/>
      <c r="J135" s="24">
        <f>IF(COUNTA(A135:I135,K135:O135)=0,"",IF(OR(A135="",B135="",C135=""),"ID / parent missing",IF(COUNTIF($A$4:$A$553,A135)&gt;1,"Duplicate condition ID",IF(COUNTIF('Gate events'!$A$4:$A$553,B135)=0,"Event ID not found",IF(INDEX('Gate events'!$B$4:$B$553,MATCH(B135,'Gate events'!$A$4:$A$553,0))&lt;&gt;C135,"AIR-ID differs from event",IF(IF(INDEX('Gate events'!$P$4:$P$553,MATCH(B135,'Gate events'!$A$4:$A$553,0))="UC-ID specific",IF(OR(L135&lt;&gt;"UC-ID specific",K135=""),"Condition UC-ID required",IF(ISNUMBER(SEARCH(","&amp;SUBSTITUTE(K135," ","")&amp;",",","&amp;SUBSTITUTE(INDEX('Gate events'!$O$4:$O$553,MATCH(B135,'Gate events'!$A$4:$A$553,0))," ","")&amp;",")),"","UC-ID differs from decision")),IF(INDEX('Gate events'!$P$4:$P$553,MATCH(B135,'Gate events'!$A$4:$A$553,0))="Shared system baseline",IF(OR(L135&lt;&gt;"Shared system baseline",K135&lt;&gt;""),"Condition scope differs from decision",""),"Parent decision scope missing"))&lt;&gt;"",IF(INDEX('Gate events'!$P$4:$P$553,MATCH(B135,'Gate events'!$A$4:$A$553,0))="UC-ID specific",IF(OR(L135&lt;&gt;"UC-ID specific",K135=""),"Condition UC-ID required",IF(ISNUMBER(SEARCH(","&amp;SUBSTITUTE(K135," ","")&amp;",",","&amp;SUBSTITUTE(INDEX('Gate events'!$O$4:$O$553,MATCH(B135,'Gate events'!$A$4:$A$553,0))," ","")&amp;",")),"","UC-ID differs from decision")),IF(INDEX('Gate events'!$P$4:$P$553,MATCH(B135,'Gate events'!$A$4:$A$553,0))="Shared system baseline",IF(OR(L135&lt;&gt;"Shared system baseline",K135&lt;&gt;""),"Condition scope differs from decision",""),"Parent decision scope missing")),IF(OR(D135="",E135="",F135="",G135=""),"Condition, owner, due date or state missing",IF(NOT(ISNUMBER(F135)),"Due date is not a date",IF(OR(G135="Overdue",G135="Superseded"),"Legacy state — owner review (use the shared five states)",IF(INDEX('Gate events'!$E$4:$E$553,MATCH(B135,'Gate events'!$A$4:$A$553,0))&lt;&gt;"Decision","Parent event is not a Decision",IF(AND(INDEX('Gate events'!$G$4:$G$553,MATCH(B135,'Gate events'!$A$4:$A$553,0))&lt;&gt;"Progress with condition",INDEX('Gate events'!$G$4:$G$553,MATCH(B135,'Gate events'!$A$4:$A$553,0))&lt;&gt;"Re-authorise",INDEX('Gate events'!$G$4:$G$553,MATCH(B135,'Gate events'!$A$4:$A$553,0))&lt;&gt;"Resume"),"Parent outcome is not Progress with condition / Re-authorise / Resume",IF(AND(ISNUMBER(INDEX('Gate events'!$F$4:$F$553,MATCH(B135,'Gate events'!$A$4:$A$553,0))),F135&lt;INDEX('Gate events'!$F$4:$F$553,MATCH(B135,'Gate events'!$A$4:$A$553,0))),"Due date before parent event date",IF(AND(OR(G135="Closed-verified",G135="Waived",G135="Accepted-open"),OR(H135="",I135="")),"Closure evidence missing",IF(AND(H135&lt;&gt;"",NOT(ISNUMBER(H135))),"Closed / waived on is not a date",IF(AND(ISNUMBER(H135),ISNUMBER(INDEX('Gate events'!$F$4:$F$553,MATCH(B135,'Gate events'!$A$4:$A$553,0))),H135&lt;INDEX('Gate events'!$F$4:$F$553,MATCH(B135,'Gate events'!$A$4:$A$553,0))),"Closure date before parent event date",IF(AND(G135="Closed-verified",M135=""),"Verifier / date missing",IF(AND(N135="Yes",G135="Closed-verified",O135=""),"Monitoring condition needs AIG-OPS-02 evidence ref",IF(AND(G135="Open",F135&lt;TODAY()),"OVERDUE (derived) — review",IF(G135="Unknown","State Unknown: owner to confirm","Check against source")))))))))))))))))))</f>
        <v/>
      </c>
      <c r="K135" s="37" t="n"/>
      <c r="L135" s="37" t="n"/>
      <c r="M135" s="40" t="n"/>
      <c r="N135" s="40" t="n"/>
      <c r="O135" s="40" t="n"/>
    </row>
    <row r="136">
      <c r="A136" s="38" t="n"/>
      <c r="B136" s="38" t="n"/>
      <c r="C136" s="38" t="n"/>
      <c r="D136" s="38" t="n"/>
      <c r="E136" s="38" t="n"/>
      <c r="F136" s="39" t="n"/>
      <c r="G136" s="38" t="n"/>
      <c r="H136" s="39" t="n"/>
      <c r="I136" s="38" t="n"/>
      <c r="J136" s="22">
        <f>IF(COUNTA(A136:I136,K136:O136)=0,"",IF(OR(A136="",B136="",C136=""),"ID / parent missing",IF(COUNTIF($A$4:$A$553,A136)&gt;1,"Duplicate condition ID",IF(COUNTIF('Gate events'!$A$4:$A$553,B136)=0,"Event ID not found",IF(INDEX('Gate events'!$B$4:$B$553,MATCH(B136,'Gate events'!$A$4:$A$553,0))&lt;&gt;C136,"AIR-ID differs from event",IF(IF(INDEX('Gate events'!$P$4:$P$553,MATCH(B136,'Gate events'!$A$4:$A$553,0))="UC-ID specific",IF(OR(L136&lt;&gt;"UC-ID specific",K136=""),"Condition UC-ID required",IF(ISNUMBER(SEARCH(","&amp;SUBSTITUTE(K136," ","")&amp;",",","&amp;SUBSTITUTE(INDEX('Gate events'!$O$4:$O$553,MATCH(B136,'Gate events'!$A$4:$A$553,0))," ","")&amp;",")),"","UC-ID differs from decision")),IF(INDEX('Gate events'!$P$4:$P$553,MATCH(B136,'Gate events'!$A$4:$A$553,0))="Shared system baseline",IF(OR(L136&lt;&gt;"Shared system baseline",K136&lt;&gt;""),"Condition scope differs from decision",""),"Parent decision scope missing"))&lt;&gt;"",IF(INDEX('Gate events'!$P$4:$P$553,MATCH(B136,'Gate events'!$A$4:$A$553,0))="UC-ID specific",IF(OR(L136&lt;&gt;"UC-ID specific",K136=""),"Condition UC-ID required",IF(ISNUMBER(SEARCH(","&amp;SUBSTITUTE(K136," ","")&amp;",",","&amp;SUBSTITUTE(INDEX('Gate events'!$O$4:$O$553,MATCH(B136,'Gate events'!$A$4:$A$553,0))," ","")&amp;",")),"","UC-ID differs from decision")),IF(INDEX('Gate events'!$P$4:$P$553,MATCH(B136,'Gate events'!$A$4:$A$553,0))="Shared system baseline",IF(OR(L136&lt;&gt;"Shared system baseline",K136&lt;&gt;""),"Condition scope differs from decision",""),"Parent decision scope missing")),IF(OR(D136="",E136="",F136="",G136=""),"Condition, owner, due date or state missing",IF(NOT(ISNUMBER(F136)),"Due date is not a date",IF(OR(G136="Overdue",G136="Superseded"),"Legacy state — owner review (use the shared five states)",IF(INDEX('Gate events'!$E$4:$E$553,MATCH(B136,'Gate events'!$A$4:$A$553,0))&lt;&gt;"Decision","Parent event is not a Decision",IF(AND(INDEX('Gate events'!$G$4:$G$553,MATCH(B136,'Gate events'!$A$4:$A$553,0))&lt;&gt;"Progress with condition",INDEX('Gate events'!$G$4:$G$553,MATCH(B136,'Gate events'!$A$4:$A$553,0))&lt;&gt;"Re-authorise",INDEX('Gate events'!$G$4:$G$553,MATCH(B136,'Gate events'!$A$4:$A$553,0))&lt;&gt;"Resume"),"Parent outcome is not Progress with condition / Re-authorise / Resume",IF(AND(ISNUMBER(INDEX('Gate events'!$F$4:$F$553,MATCH(B136,'Gate events'!$A$4:$A$553,0))),F136&lt;INDEX('Gate events'!$F$4:$F$553,MATCH(B136,'Gate events'!$A$4:$A$553,0))),"Due date before parent event date",IF(AND(OR(G136="Closed-verified",G136="Waived",G136="Accepted-open"),OR(H136="",I136="")),"Closure evidence missing",IF(AND(H136&lt;&gt;"",NOT(ISNUMBER(H136))),"Closed / waived on is not a date",IF(AND(ISNUMBER(H136),ISNUMBER(INDEX('Gate events'!$F$4:$F$553,MATCH(B136,'Gate events'!$A$4:$A$553,0))),H136&lt;INDEX('Gate events'!$F$4:$F$553,MATCH(B136,'Gate events'!$A$4:$A$553,0))),"Closure date before parent event date",IF(AND(G136="Closed-verified",M136=""),"Verifier / date missing",IF(AND(N136="Yes",G136="Closed-verified",O136=""),"Monitoring condition needs AIG-OPS-02 evidence ref",IF(AND(G136="Open",F136&lt;TODAY()),"OVERDUE (derived) — review",IF(G136="Unknown","State Unknown: owner to confirm","Check against source")))))))))))))))))))</f>
        <v/>
      </c>
      <c r="K136" s="37" t="n"/>
      <c r="L136" s="37" t="n"/>
      <c r="M136" s="38" t="n"/>
      <c r="N136" s="38" t="n"/>
      <c r="O136" s="38" t="n"/>
    </row>
    <row r="137">
      <c r="A137" s="40" t="n"/>
      <c r="B137" s="40" t="n"/>
      <c r="C137" s="40" t="n"/>
      <c r="D137" s="40" t="n"/>
      <c r="E137" s="40" t="n"/>
      <c r="F137" s="41" t="n"/>
      <c r="G137" s="40" t="n"/>
      <c r="H137" s="41" t="n"/>
      <c r="I137" s="40" t="n"/>
      <c r="J137" s="24">
        <f>IF(COUNTA(A137:I137,K137:O137)=0,"",IF(OR(A137="",B137="",C137=""),"ID / parent missing",IF(COUNTIF($A$4:$A$553,A137)&gt;1,"Duplicate condition ID",IF(COUNTIF('Gate events'!$A$4:$A$553,B137)=0,"Event ID not found",IF(INDEX('Gate events'!$B$4:$B$553,MATCH(B137,'Gate events'!$A$4:$A$553,0))&lt;&gt;C137,"AIR-ID differs from event",IF(IF(INDEX('Gate events'!$P$4:$P$553,MATCH(B137,'Gate events'!$A$4:$A$553,0))="UC-ID specific",IF(OR(L137&lt;&gt;"UC-ID specific",K137=""),"Condition UC-ID required",IF(ISNUMBER(SEARCH(","&amp;SUBSTITUTE(K137," ","")&amp;",",","&amp;SUBSTITUTE(INDEX('Gate events'!$O$4:$O$553,MATCH(B137,'Gate events'!$A$4:$A$553,0))," ","")&amp;",")),"","UC-ID differs from decision")),IF(INDEX('Gate events'!$P$4:$P$553,MATCH(B137,'Gate events'!$A$4:$A$553,0))="Shared system baseline",IF(OR(L137&lt;&gt;"Shared system baseline",K137&lt;&gt;""),"Condition scope differs from decision",""),"Parent decision scope missing"))&lt;&gt;"",IF(INDEX('Gate events'!$P$4:$P$553,MATCH(B137,'Gate events'!$A$4:$A$553,0))="UC-ID specific",IF(OR(L137&lt;&gt;"UC-ID specific",K137=""),"Condition UC-ID required",IF(ISNUMBER(SEARCH(","&amp;SUBSTITUTE(K137," ","")&amp;",",","&amp;SUBSTITUTE(INDEX('Gate events'!$O$4:$O$553,MATCH(B137,'Gate events'!$A$4:$A$553,0))," ","")&amp;",")),"","UC-ID differs from decision")),IF(INDEX('Gate events'!$P$4:$P$553,MATCH(B137,'Gate events'!$A$4:$A$553,0))="Shared system baseline",IF(OR(L137&lt;&gt;"Shared system baseline",K137&lt;&gt;""),"Condition scope differs from decision",""),"Parent decision scope missing")),IF(OR(D137="",E137="",F137="",G137=""),"Condition, owner, due date or state missing",IF(NOT(ISNUMBER(F137)),"Due date is not a date",IF(OR(G137="Overdue",G137="Superseded"),"Legacy state — owner review (use the shared five states)",IF(INDEX('Gate events'!$E$4:$E$553,MATCH(B137,'Gate events'!$A$4:$A$553,0))&lt;&gt;"Decision","Parent event is not a Decision",IF(AND(INDEX('Gate events'!$G$4:$G$553,MATCH(B137,'Gate events'!$A$4:$A$553,0))&lt;&gt;"Progress with condition",INDEX('Gate events'!$G$4:$G$553,MATCH(B137,'Gate events'!$A$4:$A$553,0))&lt;&gt;"Re-authorise",INDEX('Gate events'!$G$4:$G$553,MATCH(B137,'Gate events'!$A$4:$A$553,0))&lt;&gt;"Resume"),"Parent outcome is not Progress with condition / Re-authorise / Resume",IF(AND(ISNUMBER(INDEX('Gate events'!$F$4:$F$553,MATCH(B137,'Gate events'!$A$4:$A$553,0))),F137&lt;INDEX('Gate events'!$F$4:$F$553,MATCH(B137,'Gate events'!$A$4:$A$553,0))),"Due date before parent event date",IF(AND(OR(G137="Closed-verified",G137="Waived",G137="Accepted-open"),OR(H137="",I137="")),"Closure evidence missing",IF(AND(H137&lt;&gt;"",NOT(ISNUMBER(H137))),"Closed / waived on is not a date",IF(AND(ISNUMBER(H137),ISNUMBER(INDEX('Gate events'!$F$4:$F$553,MATCH(B137,'Gate events'!$A$4:$A$553,0))),H137&lt;INDEX('Gate events'!$F$4:$F$553,MATCH(B137,'Gate events'!$A$4:$A$553,0))),"Closure date before parent event date",IF(AND(G137="Closed-verified",M137=""),"Verifier / date missing",IF(AND(N137="Yes",G137="Closed-verified",O137=""),"Monitoring condition needs AIG-OPS-02 evidence ref",IF(AND(G137="Open",F137&lt;TODAY()),"OVERDUE (derived) — review",IF(G137="Unknown","State Unknown: owner to confirm","Check against source")))))))))))))))))))</f>
        <v/>
      </c>
      <c r="K137" s="37" t="n"/>
      <c r="L137" s="37" t="n"/>
      <c r="M137" s="40" t="n"/>
      <c r="N137" s="40" t="n"/>
      <c r="O137" s="40" t="n"/>
    </row>
    <row r="138">
      <c r="A138" s="38" t="n"/>
      <c r="B138" s="38" t="n"/>
      <c r="C138" s="38" t="n"/>
      <c r="D138" s="38" t="n"/>
      <c r="E138" s="38" t="n"/>
      <c r="F138" s="39" t="n"/>
      <c r="G138" s="38" t="n"/>
      <c r="H138" s="39" t="n"/>
      <c r="I138" s="38" t="n"/>
      <c r="J138" s="22">
        <f>IF(COUNTA(A138:I138,K138:O138)=0,"",IF(OR(A138="",B138="",C138=""),"ID / parent missing",IF(COUNTIF($A$4:$A$553,A138)&gt;1,"Duplicate condition ID",IF(COUNTIF('Gate events'!$A$4:$A$553,B138)=0,"Event ID not found",IF(INDEX('Gate events'!$B$4:$B$553,MATCH(B138,'Gate events'!$A$4:$A$553,0))&lt;&gt;C138,"AIR-ID differs from event",IF(IF(INDEX('Gate events'!$P$4:$P$553,MATCH(B138,'Gate events'!$A$4:$A$553,0))="UC-ID specific",IF(OR(L138&lt;&gt;"UC-ID specific",K138=""),"Condition UC-ID required",IF(ISNUMBER(SEARCH(","&amp;SUBSTITUTE(K138," ","")&amp;",",","&amp;SUBSTITUTE(INDEX('Gate events'!$O$4:$O$553,MATCH(B138,'Gate events'!$A$4:$A$553,0))," ","")&amp;",")),"","UC-ID differs from decision")),IF(INDEX('Gate events'!$P$4:$P$553,MATCH(B138,'Gate events'!$A$4:$A$553,0))="Shared system baseline",IF(OR(L138&lt;&gt;"Shared system baseline",K138&lt;&gt;""),"Condition scope differs from decision",""),"Parent decision scope missing"))&lt;&gt;"",IF(INDEX('Gate events'!$P$4:$P$553,MATCH(B138,'Gate events'!$A$4:$A$553,0))="UC-ID specific",IF(OR(L138&lt;&gt;"UC-ID specific",K138=""),"Condition UC-ID required",IF(ISNUMBER(SEARCH(","&amp;SUBSTITUTE(K138," ","")&amp;",",","&amp;SUBSTITUTE(INDEX('Gate events'!$O$4:$O$553,MATCH(B138,'Gate events'!$A$4:$A$553,0))," ","")&amp;",")),"","UC-ID differs from decision")),IF(INDEX('Gate events'!$P$4:$P$553,MATCH(B138,'Gate events'!$A$4:$A$553,0))="Shared system baseline",IF(OR(L138&lt;&gt;"Shared system baseline",K138&lt;&gt;""),"Condition scope differs from decision",""),"Parent decision scope missing")),IF(OR(D138="",E138="",F138="",G138=""),"Condition, owner, due date or state missing",IF(NOT(ISNUMBER(F138)),"Due date is not a date",IF(OR(G138="Overdue",G138="Superseded"),"Legacy state — owner review (use the shared five states)",IF(INDEX('Gate events'!$E$4:$E$553,MATCH(B138,'Gate events'!$A$4:$A$553,0))&lt;&gt;"Decision","Parent event is not a Decision",IF(AND(INDEX('Gate events'!$G$4:$G$553,MATCH(B138,'Gate events'!$A$4:$A$553,0))&lt;&gt;"Progress with condition",INDEX('Gate events'!$G$4:$G$553,MATCH(B138,'Gate events'!$A$4:$A$553,0))&lt;&gt;"Re-authorise",INDEX('Gate events'!$G$4:$G$553,MATCH(B138,'Gate events'!$A$4:$A$553,0))&lt;&gt;"Resume"),"Parent outcome is not Progress with condition / Re-authorise / Resume",IF(AND(ISNUMBER(INDEX('Gate events'!$F$4:$F$553,MATCH(B138,'Gate events'!$A$4:$A$553,0))),F138&lt;INDEX('Gate events'!$F$4:$F$553,MATCH(B138,'Gate events'!$A$4:$A$553,0))),"Due date before parent event date",IF(AND(OR(G138="Closed-verified",G138="Waived",G138="Accepted-open"),OR(H138="",I138="")),"Closure evidence missing",IF(AND(H138&lt;&gt;"",NOT(ISNUMBER(H138))),"Closed / waived on is not a date",IF(AND(ISNUMBER(H138),ISNUMBER(INDEX('Gate events'!$F$4:$F$553,MATCH(B138,'Gate events'!$A$4:$A$553,0))),H138&lt;INDEX('Gate events'!$F$4:$F$553,MATCH(B138,'Gate events'!$A$4:$A$553,0))),"Closure date before parent event date",IF(AND(G138="Closed-verified",M138=""),"Verifier / date missing",IF(AND(N138="Yes",G138="Closed-verified",O138=""),"Monitoring condition needs AIG-OPS-02 evidence ref",IF(AND(G138="Open",F138&lt;TODAY()),"OVERDUE (derived) — review",IF(G138="Unknown","State Unknown: owner to confirm","Check against source")))))))))))))))))))</f>
        <v/>
      </c>
      <c r="K138" s="37" t="n"/>
      <c r="L138" s="37" t="n"/>
      <c r="M138" s="38" t="n"/>
      <c r="N138" s="38" t="n"/>
      <c r="O138" s="38" t="n"/>
    </row>
    <row r="139">
      <c r="A139" s="40" t="n"/>
      <c r="B139" s="40" t="n"/>
      <c r="C139" s="40" t="n"/>
      <c r="D139" s="40" t="n"/>
      <c r="E139" s="40" t="n"/>
      <c r="F139" s="41" t="n"/>
      <c r="G139" s="40" t="n"/>
      <c r="H139" s="41" t="n"/>
      <c r="I139" s="40" t="n"/>
      <c r="J139" s="24">
        <f>IF(COUNTA(A139:I139,K139:O139)=0,"",IF(OR(A139="",B139="",C139=""),"ID / parent missing",IF(COUNTIF($A$4:$A$553,A139)&gt;1,"Duplicate condition ID",IF(COUNTIF('Gate events'!$A$4:$A$553,B139)=0,"Event ID not found",IF(INDEX('Gate events'!$B$4:$B$553,MATCH(B139,'Gate events'!$A$4:$A$553,0))&lt;&gt;C139,"AIR-ID differs from event",IF(IF(INDEX('Gate events'!$P$4:$P$553,MATCH(B139,'Gate events'!$A$4:$A$553,0))="UC-ID specific",IF(OR(L139&lt;&gt;"UC-ID specific",K139=""),"Condition UC-ID required",IF(ISNUMBER(SEARCH(","&amp;SUBSTITUTE(K139," ","")&amp;",",","&amp;SUBSTITUTE(INDEX('Gate events'!$O$4:$O$553,MATCH(B139,'Gate events'!$A$4:$A$553,0))," ","")&amp;",")),"","UC-ID differs from decision")),IF(INDEX('Gate events'!$P$4:$P$553,MATCH(B139,'Gate events'!$A$4:$A$553,0))="Shared system baseline",IF(OR(L139&lt;&gt;"Shared system baseline",K139&lt;&gt;""),"Condition scope differs from decision",""),"Parent decision scope missing"))&lt;&gt;"",IF(INDEX('Gate events'!$P$4:$P$553,MATCH(B139,'Gate events'!$A$4:$A$553,0))="UC-ID specific",IF(OR(L139&lt;&gt;"UC-ID specific",K139=""),"Condition UC-ID required",IF(ISNUMBER(SEARCH(","&amp;SUBSTITUTE(K139," ","")&amp;",",","&amp;SUBSTITUTE(INDEX('Gate events'!$O$4:$O$553,MATCH(B139,'Gate events'!$A$4:$A$553,0))," ","")&amp;",")),"","UC-ID differs from decision")),IF(INDEX('Gate events'!$P$4:$P$553,MATCH(B139,'Gate events'!$A$4:$A$553,0))="Shared system baseline",IF(OR(L139&lt;&gt;"Shared system baseline",K139&lt;&gt;""),"Condition scope differs from decision",""),"Parent decision scope missing")),IF(OR(D139="",E139="",F139="",G139=""),"Condition, owner, due date or state missing",IF(NOT(ISNUMBER(F139)),"Due date is not a date",IF(OR(G139="Overdue",G139="Superseded"),"Legacy state — owner review (use the shared five states)",IF(INDEX('Gate events'!$E$4:$E$553,MATCH(B139,'Gate events'!$A$4:$A$553,0))&lt;&gt;"Decision","Parent event is not a Decision",IF(AND(INDEX('Gate events'!$G$4:$G$553,MATCH(B139,'Gate events'!$A$4:$A$553,0))&lt;&gt;"Progress with condition",INDEX('Gate events'!$G$4:$G$553,MATCH(B139,'Gate events'!$A$4:$A$553,0))&lt;&gt;"Re-authorise",INDEX('Gate events'!$G$4:$G$553,MATCH(B139,'Gate events'!$A$4:$A$553,0))&lt;&gt;"Resume"),"Parent outcome is not Progress with condition / Re-authorise / Resume",IF(AND(ISNUMBER(INDEX('Gate events'!$F$4:$F$553,MATCH(B139,'Gate events'!$A$4:$A$553,0))),F139&lt;INDEX('Gate events'!$F$4:$F$553,MATCH(B139,'Gate events'!$A$4:$A$553,0))),"Due date before parent event date",IF(AND(OR(G139="Closed-verified",G139="Waived",G139="Accepted-open"),OR(H139="",I139="")),"Closure evidence missing",IF(AND(H139&lt;&gt;"",NOT(ISNUMBER(H139))),"Closed / waived on is not a date",IF(AND(ISNUMBER(H139),ISNUMBER(INDEX('Gate events'!$F$4:$F$553,MATCH(B139,'Gate events'!$A$4:$A$553,0))),H139&lt;INDEX('Gate events'!$F$4:$F$553,MATCH(B139,'Gate events'!$A$4:$A$553,0))),"Closure date before parent event date",IF(AND(G139="Closed-verified",M139=""),"Verifier / date missing",IF(AND(N139="Yes",G139="Closed-verified",O139=""),"Monitoring condition needs AIG-OPS-02 evidence ref",IF(AND(G139="Open",F139&lt;TODAY()),"OVERDUE (derived) — review",IF(G139="Unknown","State Unknown: owner to confirm","Check against source")))))))))))))))))))</f>
        <v/>
      </c>
      <c r="K139" s="37" t="n"/>
      <c r="L139" s="37" t="n"/>
      <c r="M139" s="40" t="n"/>
      <c r="N139" s="40" t="n"/>
      <c r="O139" s="40" t="n"/>
    </row>
    <row r="140">
      <c r="A140" s="38" t="n"/>
      <c r="B140" s="38" t="n"/>
      <c r="C140" s="38" t="n"/>
      <c r="D140" s="38" t="n"/>
      <c r="E140" s="38" t="n"/>
      <c r="F140" s="39" t="n"/>
      <c r="G140" s="38" t="n"/>
      <c r="H140" s="39" t="n"/>
      <c r="I140" s="38" t="n"/>
      <c r="J140" s="22">
        <f>IF(COUNTA(A140:I140,K140:O140)=0,"",IF(OR(A140="",B140="",C140=""),"ID / parent missing",IF(COUNTIF($A$4:$A$553,A140)&gt;1,"Duplicate condition ID",IF(COUNTIF('Gate events'!$A$4:$A$553,B140)=0,"Event ID not found",IF(INDEX('Gate events'!$B$4:$B$553,MATCH(B140,'Gate events'!$A$4:$A$553,0))&lt;&gt;C140,"AIR-ID differs from event",IF(IF(INDEX('Gate events'!$P$4:$P$553,MATCH(B140,'Gate events'!$A$4:$A$553,0))="UC-ID specific",IF(OR(L140&lt;&gt;"UC-ID specific",K140=""),"Condition UC-ID required",IF(ISNUMBER(SEARCH(","&amp;SUBSTITUTE(K140," ","")&amp;",",","&amp;SUBSTITUTE(INDEX('Gate events'!$O$4:$O$553,MATCH(B140,'Gate events'!$A$4:$A$553,0))," ","")&amp;",")),"","UC-ID differs from decision")),IF(INDEX('Gate events'!$P$4:$P$553,MATCH(B140,'Gate events'!$A$4:$A$553,0))="Shared system baseline",IF(OR(L140&lt;&gt;"Shared system baseline",K140&lt;&gt;""),"Condition scope differs from decision",""),"Parent decision scope missing"))&lt;&gt;"",IF(INDEX('Gate events'!$P$4:$P$553,MATCH(B140,'Gate events'!$A$4:$A$553,0))="UC-ID specific",IF(OR(L140&lt;&gt;"UC-ID specific",K140=""),"Condition UC-ID required",IF(ISNUMBER(SEARCH(","&amp;SUBSTITUTE(K140," ","")&amp;",",","&amp;SUBSTITUTE(INDEX('Gate events'!$O$4:$O$553,MATCH(B140,'Gate events'!$A$4:$A$553,0))," ","")&amp;",")),"","UC-ID differs from decision")),IF(INDEX('Gate events'!$P$4:$P$553,MATCH(B140,'Gate events'!$A$4:$A$553,0))="Shared system baseline",IF(OR(L140&lt;&gt;"Shared system baseline",K140&lt;&gt;""),"Condition scope differs from decision",""),"Parent decision scope missing")),IF(OR(D140="",E140="",F140="",G140=""),"Condition, owner, due date or state missing",IF(NOT(ISNUMBER(F140)),"Due date is not a date",IF(OR(G140="Overdue",G140="Superseded"),"Legacy state — owner review (use the shared five states)",IF(INDEX('Gate events'!$E$4:$E$553,MATCH(B140,'Gate events'!$A$4:$A$553,0))&lt;&gt;"Decision","Parent event is not a Decision",IF(AND(INDEX('Gate events'!$G$4:$G$553,MATCH(B140,'Gate events'!$A$4:$A$553,0))&lt;&gt;"Progress with condition",INDEX('Gate events'!$G$4:$G$553,MATCH(B140,'Gate events'!$A$4:$A$553,0))&lt;&gt;"Re-authorise",INDEX('Gate events'!$G$4:$G$553,MATCH(B140,'Gate events'!$A$4:$A$553,0))&lt;&gt;"Resume"),"Parent outcome is not Progress with condition / Re-authorise / Resume",IF(AND(ISNUMBER(INDEX('Gate events'!$F$4:$F$553,MATCH(B140,'Gate events'!$A$4:$A$553,0))),F140&lt;INDEX('Gate events'!$F$4:$F$553,MATCH(B140,'Gate events'!$A$4:$A$553,0))),"Due date before parent event date",IF(AND(OR(G140="Closed-verified",G140="Waived",G140="Accepted-open"),OR(H140="",I140="")),"Closure evidence missing",IF(AND(H140&lt;&gt;"",NOT(ISNUMBER(H140))),"Closed / waived on is not a date",IF(AND(ISNUMBER(H140),ISNUMBER(INDEX('Gate events'!$F$4:$F$553,MATCH(B140,'Gate events'!$A$4:$A$553,0))),H140&lt;INDEX('Gate events'!$F$4:$F$553,MATCH(B140,'Gate events'!$A$4:$A$553,0))),"Closure date before parent event date",IF(AND(G140="Closed-verified",M140=""),"Verifier / date missing",IF(AND(N140="Yes",G140="Closed-verified",O140=""),"Monitoring condition needs AIG-OPS-02 evidence ref",IF(AND(G140="Open",F140&lt;TODAY()),"OVERDUE (derived) — review",IF(G140="Unknown","State Unknown: owner to confirm","Check against source")))))))))))))))))))</f>
        <v/>
      </c>
      <c r="K140" s="37" t="n"/>
      <c r="L140" s="37" t="n"/>
      <c r="M140" s="38" t="n"/>
      <c r="N140" s="38" t="n"/>
      <c r="O140" s="38" t="n"/>
    </row>
    <row r="141">
      <c r="A141" s="40" t="n"/>
      <c r="B141" s="40" t="n"/>
      <c r="C141" s="40" t="n"/>
      <c r="D141" s="40" t="n"/>
      <c r="E141" s="40" t="n"/>
      <c r="F141" s="41" t="n"/>
      <c r="G141" s="40" t="n"/>
      <c r="H141" s="41" t="n"/>
      <c r="I141" s="40" t="n"/>
      <c r="J141" s="24">
        <f>IF(COUNTA(A141:I141,K141:O141)=0,"",IF(OR(A141="",B141="",C141=""),"ID / parent missing",IF(COUNTIF($A$4:$A$553,A141)&gt;1,"Duplicate condition ID",IF(COUNTIF('Gate events'!$A$4:$A$553,B141)=0,"Event ID not found",IF(INDEX('Gate events'!$B$4:$B$553,MATCH(B141,'Gate events'!$A$4:$A$553,0))&lt;&gt;C141,"AIR-ID differs from event",IF(IF(INDEX('Gate events'!$P$4:$P$553,MATCH(B141,'Gate events'!$A$4:$A$553,0))="UC-ID specific",IF(OR(L141&lt;&gt;"UC-ID specific",K141=""),"Condition UC-ID required",IF(ISNUMBER(SEARCH(","&amp;SUBSTITUTE(K141," ","")&amp;",",","&amp;SUBSTITUTE(INDEX('Gate events'!$O$4:$O$553,MATCH(B141,'Gate events'!$A$4:$A$553,0))," ","")&amp;",")),"","UC-ID differs from decision")),IF(INDEX('Gate events'!$P$4:$P$553,MATCH(B141,'Gate events'!$A$4:$A$553,0))="Shared system baseline",IF(OR(L141&lt;&gt;"Shared system baseline",K141&lt;&gt;""),"Condition scope differs from decision",""),"Parent decision scope missing"))&lt;&gt;"",IF(INDEX('Gate events'!$P$4:$P$553,MATCH(B141,'Gate events'!$A$4:$A$553,0))="UC-ID specific",IF(OR(L141&lt;&gt;"UC-ID specific",K141=""),"Condition UC-ID required",IF(ISNUMBER(SEARCH(","&amp;SUBSTITUTE(K141," ","")&amp;",",","&amp;SUBSTITUTE(INDEX('Gate events'!$O$4:$O$553,MATCH(B141,'Gate events'!$A$4:$A$553,0))," ","")&amp;",")),"","UC-ID differs from decision")),IF(INDEX('Gate events'!$P$4:$P$553,MATCH(B141,'Gate events'!$A$4:$A$553,0))="Shared system baseline",IF(OR(L141&lt;&gt;"Shared system baseline",K141&lt;&gt;""),"Condition scope differs from decision",""),"Parent decision scope missing")),IF(OR(D141="",E141="",F141="",G141=""),"Condition, owner, due date or state missing",IF(NOT(ISNUMBER(F141)),"Due date is not a date",IF(OR(G141="Overdue",G141="Superseded"),"Legacy state — owner review (use the shared five states)",IF(INDEX('Gate events'!$E$4:$E$553,MATCH(B141,'Gate events'!$A$4:$A$553,0))&lt;&gt;"Decision","Parent event is not a Decision",IF(AND(INDEX('Gate events'!$G$4:$G$553,MATCH(B141,'Gate events'!$A$4:$A$553,0))&lt;&gt;"Progress with condition",INDEX('Gate events'!$G$4:$G$553,MATCH(B141,'Gate events'!$A$4:$A$553,0))&lt;&gt;"Re-authorise",INDEX('Gate events'!$G$4:$G$553,MATCH(B141,'Gate events'!$A$4:$A$553,0))&lt;&gt;"Resume"),"Parent outcome is not Progress with condition / Re-authorise / Resume",IF(AND(ISNUMBER(INDEX('Gate events'!$F$4:$F$553,MATCH(B141,'Gate events'!$A$4:$A$553,0))),F141&lt;INDEX('Gate events'!$F$4:$F$553,MATCH(B141,'Gate events'!$A$4:$A$553,0))),"Due date before parent event date",IF(AND(OR(G141="Closed-verified",G141="Waived",G141="Accepted-open"),OR(H141="",I141="")),"Closure evidence missing",IF(AND(H141&lt;&gt;"",NOT(ISNUMBER(H141))),"Closed / waived on is not a date",IF(AND(ISNUMBER(H141),ISNUMBER(INDEX('Gate events'!$F$4:$F$553,MATCH(B141,'Gate events'!$A$4:$A$553,0))),H141&lt;INDEX('Gate events'!$F$4:$F$553,MATCH(B141,'Gate events'!$A$4:$A$553,0))),"Closure date before parent event date",IF(AND(G141="Closed-verified",M141=""),"Verifier / date missing",IF(AND(N141="Yes",G141="Closed-verified",O141=""),"Monitoring condition needs AIG-OPS-02 evidence ref",IF(AND(G141="Open",F141&lt;TODAY()),"OVERDUE (derived) — review",IF(G141="Unknown","State Unknown: owner to confirm","Check against source")))))))))))))))))))</f>
        <v/>
      </c>
      <c r="K141" s="37" t="n"/>
      <c r="L141" s="37" t="n"/>
      <c r="M141" s="40" t="n"/>
      <c r="N141" s="40" t="n"/>
      <c r="O141" s="40" t="n"/>
    </row>
    <row r="142">
      <c r="A142" s="38" t="n"/>
      <c r="B142" s="38" t="n"/>
      <c r="C142" s="38" t="n"/>
      <c r="D142" s="38" t="n"/>
      <c r="E142" s="38" t="n"/>
      <c r="F142" s="39" t="n"/>
      <c r="G142" s="38" t="n"/>
      <c r="H142" s="39" t="n"/>
      <c r="I142" s="38" t="n"/>
      <c r="J142" s="22">
        <f>IF(COUNTA(A142:I142,K142:O142)=0,"",IF(OR(A142="",B142="",C142=""),"ID / parent missing",IF(COUNTIF($A$4:$A$553,A142)&gt;1,"Duplicate condition ID",IF(COUNTIF('Gate events'!$A$4:$A$553,B142)=0,"Event ID not found",IF(INDEX('Gate events'!$B$4:$B$553,MATCH(B142,'Gate events'!$A$4:$A$553,0))&lt;&gt;C142,"AIR-ID differs from event",IF(IF(INDEX('Gate events'!$P$4:$P$553,MATCH(B142,'Gate events'!$A$4:$A$553,0))="UC-ID specific",IF(OR(L142&lt;&gt;"UC-ID specific",K142=""),"Condition UC-ID required",IF(ISNUMBER(SEARCH(","&amp;SUBSTITUTE(K142," ","")&amp;",",","&amp;SUBSTITUTE(INDEX('Gate events'!$O$4:$O$553,MATCH(B142,'Gate events'!$A$4:$A$553,0))," ","")&amp;",")),"","UC-ID differs from decision")),IF(INDEX('Gate events'!$P$4:$P$553,MATCH(B142,'Gate events'!$A$4:$A$553,0))="Shared system baseline",IF(OR(L142&lt;&gt;"Shared system baseline",K142&lt;&gt;""),"Condition scope differs from decision",""),"Parent decision scope missing"))&lt;&gt;"",IF(INDEX('Gate events'!$P$4:$P$553,MATCH(B142,'Gate events'!$A$4:$A$553,0))="UC-ID specific",IF(OR(L142&lt;&gt;"UC-ID specific",K142=""),"Condition UC-ID required",IF(ISNUMBER(SEARCH(","&amp;SUBSTITUTE(K142," ","")&amp;",",","&amp;SUBSTITUTE(INDEX('Gate events'!$O$4:$O$553,MATCH(B142,'Gate events'!$A$4:$A$553,0))," ","")&amp;",")),"","UC-ID differs from decision")),IF(INDEX('Gate events'!$P$4:$P$553,MATCH(B142,'Gate events'!$A$4:$A$553,0))="Shared system baseline",IF(OR(L142&lt;&gt;"Shared system baseline",K142&lt;&gt;""),"Condition scope differs from decision",""),"Parent decision scope missing")),IF(OR(D142="",E142="",F142="",G142=""),"Condition, owner, due date or state missing",IF(NOT(ISNUMBER(F142)),"Due date is not a date",IF(OR(G142="Overdue",G142="Superseded"),"Legacy state — owner review (use the shared five states)",IF(INDEX('Gate events'!$E$4:$E$553,MATCH(B142,'Gate events'!$A$4:$A$553,0))&lt;&gt;"Decision","Parent event is not a Decision",IF(AND(INDEX('Gate events'!$G$4:$G$553,MATCH(B142,'Gate events'!$A$4:$A$553,0))&lt;&gt;"Progress with condition",INDEX('Gate events'!$G$4:$G$553,MATCH(B142,'Gate events'!$A$4:$A$553,0))&lt;&gt;"Re-authorise",INDEX('Gate events'!$G$4:$G$553,MATCH(B142,'Gate events'!$A$4:$A$553,0))&lt;&gt;"Resume"),"Parent outcome is not Progress with condition / Re-authorise / Resume",IF(AND(ISNUMBER(INDEX('Gate events'!$F$4:$F$553,MATCH(B142,'Gate events'!$A$4:$A$553,0))),F142&lt;INDEX('Gate events'!$F$4:$F$553,MATCH(B142,'Gate events'!$A$4:$A$553,0))),"Due date before parent event date",IF(AND(OR(G142="Closed-verified",G142="Waived",G142="Accepted-open"),OR(H142="",I142="")),"Closure evidence missing",IF(AND(H142&lt;&gt;"",NOT(ISNUMBER(H142))),"Closed / waived on is not a date",IF(AND(ISNUMBER(H142),ISNUMBER(INDEX('Gate events'!$F$4:$F$553,MATCH(B142,'Gate events'!$A$4:$A$553,0))),H142&lt;INDEX('Gate events'!$F$4:$F$553,MATCH(B142,'Gate events'!$A$4:$A$553,0))),"Closure date before parent event date",IF(AND(G142="Closed-verified",M142=""),"Verifier / date missing",IF(AND(N142="Yes",G142="Closed-verified",O142=""),"Monitoring condition needs AIG-OPS-02 evidence ref",IF(AND(G142="Open",F142&lt;TODAY()),"OVERDUE (derived) — review",IF(G142="Unknown","State Unknown: owner to confirm","Check against source")))))))))))))))))))</f>
        <v/>
      </c>
      <c r="K142" s="37" t="n"/>
      <c r="L142" s="37" t="n"/>
      <c r="M142" s="38" t="n"/>
      <c r="N142" s="38" t="n"/>
      <c r="O142" s="38" t="n"/>
    </row>
    <row r="143">
      <c r="A143" s="40" t="n"/>
      <c r="B143" s="40" t="n"/>
      <c r="C143" s="40" t="n"/>
      <c r="D143" s="40" t="n"/>
      <c r="E143" s="40" t="n"/>
      <c r="F143" s="41" t="n"/>
      <c r="G143" s="40" t="n"/>
      <c r="H143" s="41" t="n"/>
      <c r="I143" s="40" t="n"/>
      <c r="J143" s="24">
        <f>IF(COUNTA(A143:I143,K143:O143)=0,"",IF(OR(A143="",B143="",C143=""),"ID / parent missing",IF(COUNTIF($A$4:$A$553,A143)&gt;1,"Duplicate condition ID",IF(COUNTIF('Gate events'!$A$4:$A$553,B143)=0,"Event ID not found",IF(INDEX('Gate events'!$B$4:$B$553,MATCH(B143,'Gate events'!$A$4:$A$553,0))&lt;&gt;C143,"AIR-ID differs from event",IF(IF(INDEX('Gate events'!$P$4:$P$553,MATCH(B143,'Gate events'!$A$4:$A$553,0))="UC-ID specific",IF(OR(L143&lt;&gt;"UC-ID specific",K143=""),"Condition UC-ID required",IF(ISNUMBER(SEARCH(","&amp;SUBSTITUTE(K143," ","")&amp;",",","&amp;SUBSTITUTE(INDEX('Gate events'!$O$4:$O$553,MATCH(B143,'Gate events'!$A$4:$A$553,0))," ","")&amp;",")),"","UC-ID differs from decision")),IF(INDEX('Gate events'!$P$4:$P$553,MATCH(B143,'Gate events'!$A$4:$A$553,0))="Shared system baseline",IF(OR(L143&lt;&gt;"Shared system baseline",K143&lt;&gt;""),"Condition scope differs from decision",""),"Parent decision scope missing"))&lt;&gt;"",IF(INDEX('Gate events'!$P$4:$P$553,MATCH(B143,'Gate events'!$A$4:$A$553,0))="UC-ID specific",IF(OR(L143&lt;&gt;"UC-ID specific",K143=""),"Condition UC-ID required",IF(ISNUMBER(SEARCH(","&amp;SUBSTITUTE(K143," ","")&amp;",",","&amp;SUBSTITUTE(INDEX('Gate events'!$O$4:$O$553,MATCH(B143,'Gate events'!$A$4:$A$553,0))," ","")&amp;",")),"","UC-ID differs from decision")),IF(INDEX('Gate events'!$P$4:$P$553,MATCH(B143,'Gate events'!$A$4:$A$553,0))="Shared system baseline",IF(OR(L143&lt;&gt;"Shared system baseline",K143&lt;&gt;""),"Condition scope differs from decision",""),"Parent decision scope missing")),IF(OR(D143="",E143="",F143="",G143=""),"Condition, owner, due date or state missing",IF(NOT(ISNUMBER(F143)),"Due date is not a date",IF(OR(G143="Overdue",G143="Superseded"),"Legacy state — owner review (use the shared five states)",IF(INDEX('Gate events'!$E$4:$E$553,MATCH(B143,'Gate events'!$A$4:$A$553,0))&lt;&gt;"Decision","Parent event is not a Decision",IF(AND(INDEX('Gate events'!$G$4:$G$553,MATCH(B143,'Gate events'!$A$4:$A$553,0))&lt;&gt;"Progress with condition",INDEX('Gate events'!$G$4:$G$553,MATCH(B143,'Gate events'!$A$4:$A$553,0))&lt;&gt;"Re-authorise",INDEX('Gate events'!$G$4:$G$553,MATCH(B143,'Gate events'!$A$4:$A$553,0))&lt;&gt;"Resume"),"Parent outcome is not Progress with condition / Re-authorise / Resume",IF(AND(ISNUMBER(INDEX('Gate events'!$F$4:$F$553,MATCH(B143,'Gate events'!$A$4:$A$553,0))),F143&lt;INDEX('Gate events'!$F$4:$F$553,MATCH(B143,'Gate events'!$A$4:$A$553,0))),"Due date before parent event date",IF(AND(OR(G143="Closed-verified",G143="Waived",G143="Accepted-open"),OR(H143="",I143="")),"Closure evidence missing",IF(AND(H143&lt;&gt;"",NOT(ISNUMBER(H143))),"Closed / waived on is not a date",IF(AND(ISNUMBER(H143),ISNUMBER(INDEX('Gate events'!$F$4:$F$553,MATCH(B143,'Gate events'!$A$4:$A$553,0))),H143&lt;INDEX('Gate events'!$F$4:$F$553,MATCH(B143,'Gate events'!$A$4:$A$553,0))),"Closure date before parent event date",IF(AND(G143="Closed-verified",M143=""),"Verifier / date missing",IF(AND(N143="Yes",G143="Closed-verified",O143=""),"Monitoring condition needs AIG-OPS-02 evidence ref",IF(AND(G143="Open",F143&lt;TODAY()),"OVERDUE (derived) — review",IF(G143="Unknown","State Unknown: owner to confirm","Check against source")))))))))))))))))))</f>
        <v/>
      </c>
      <c r="K143" s="37" t="n"/>
      <c r="L143" s="37" t="n"/>
      <c r="M143" s="40" t="n"/>
      <c r="N143" s="40" t="n"/>
      <c r="O143" s="40" t="n"/>
    </row>
    <row r="144">
      <c r="A144" s="38" t="n"/>
      <c r="B144" s="38" t="n"/>
      <c r="C144" s="38" t="n"/>
      <c r="D144" s="38" t="n"/>
      <c r="E144" s="38" t="n"/>
      <c r="F144" s="39" t="n"/>
      <c r="G144" s="38" t="n"/>
      <c r="H144" s="39" t="n"/>
      <c r="I144" s="38" t="n"/>
      <c r="J144" s="22">
        <f>IF(COUNTA(A144:I144,K144:O144)=0,"",IF(OR(A144="",B144="",C144=""),"ID / parent missing",IF(COUNTIF($A$4:$A$553,A144)&gt;1,"Duplicate condition ID",IF(COUNTIF('Gate events'!$A$4:$A$553,B144)=0,"Event ID not found",IF(INDEX('Gate events'!$B$4:$B$553,MATCH(B144,'Gate events'!$A$4:$A$553,0))&lt;&gt;C144,"AIR-ID differs from event",IF(IF(INDEX('Gate events'!$P$4:$P$553,MATCH(B144,'Gate events'!$A$4:$A$553,0))="UC-ID specific",IF(OR(L144&lt;&gt;"UC-ID specific",K144=""),"Condition UC-ID required",IF(ISNUMBER(SEARCH(","&amp;SUBSTITUTE(K144," ","")&amp;",",","&amp;SUBSTITUTE(INDEX('Gate events'!$O$4:$O$553,MATCH(B144,'Gate events'!$A$4:$A$553,0))," ","")&amp;",")),"","UC-ID differs from decision")),IF(INDEX('Gate events'!$P$4:$P$553,MATCH(B144,'Gate events'!$A$4:$A$553,0))="Shared system baseline",IF(OR(L144&lt;&gt;"Shared system baseline",K144&lt;&gt;""),"Condition scope differs from decision",""),"Parent decision scope missing"))&lt;&gt;"",IF(INDEX('Gate events'!$P$4:$P$553,MATCH(B144,'Gate events'!$A$4:$A$553,0))="UC-ID specific",IF(OR(L144&lt;&gt;"UC-ID specific",K144=""),"Condition UC-ID required",IF(ISNUMBER(SEARCH(","&amp;SUBSTITUTE(K144," ","")&amp;",",","&amp;SUBSTITUTE(INDEX('Gate events'!$O$4:$O$553,MATCH(B144,'Gate events'!$A$4:$A$553,0))," ","")&amp;",")),"","UC-ID differs from decision")),IF(INDEX('Gate events'!$P$4:$P$553,MATCH(B144,'Gate events'!$A$4:$A$553,0))="Shared system baseline",IF(OR(L144&lt;&gt;"Shared system baseline",K144&lt;&gt;""),"Condition scope differs from decision",""),"Parent decision scope missing")),IF(OR(D144="",E144="",F144="",G144=""),"Condition, owner, due date or state missing",IF(NOT(ISNUMBER(F144)),"Due date is not a date",IF(OR(G144="Overdue",G144="Superseded"),"Legacy state — owner review (use the shared five states)",IF(INDEX('Gate events'!$E$4:$E$553,MATCH(B144,'Gate events'!$A$4:$A$553,0))&lt;&gt;"Decision","Parent event is not a Decision",IF(AND(INDEX('Gate events'!$G$4:$G$553,MATCH(B144,'Gate events'!$A$4:$A$553,0))&lt;&gt;"Progress with condition",INDEX('Gate events'!$G$4:$G$553,MATCH(B144,'Gate events'!$A$4:$A$553,0))&lt;&gt;"Re-authorise",INDEX('Gate events'!$G$4:$G$553,MATCH(B144,'Gate events'!$A$4:$A$553,0))&lt;&gt;"Resume"),"Parent outcome is not Progress with condition / Re-authorise / Resume",IF(AND(ISNUMBER(INDEX('Gate events'!$F$4:$F$553,MATCH(B144,'Gate events'!$A$4:$A$553,0))),F144&lt;INDEX('Gate events'!$F$4:$F$553,MATCH(B144,'Gate events'!$A$4:$A$553,0))),"Due date before parent event date",IF(AND(OR(G144="Closed-verified",G144="Waived",G144="Accepted-open"),OR(H144="",I144="")),"Closure evidence missing",IF(AND(H144&lt;&gt;"",NOT(ISNUMBER(H144))),"Closed / waived on is not a date",IF(AND(ISNUMBER(H144),ISNUMBER(INDEX('Gate events'!$F$4:$F$553,MATCH(B144,'Gate events'!$A$4:$A$553,0))),H144&lt;INDEX('Gate events'!$F$4:$F$553,MATCH(B144,'Gate events'!$A$4:$A$553,0))),"Closure date before parent event date",IF(AND(G144="Closed-verified",M144=""),"Verifier / date missing",IF(AND(N144="Yes",G144="Closed-verified",O144=""),"Monitoring condition needs AIG-OPS-02 evidence ref",IF(AND(G144="Open",F144&lt;TODAY()),"OVERDUE (derived) — review",IF(G144="Unknown","State Unknown: owner to confirm","Check against source")))))))))))))))))))</f>
        <v/>
      </c>
      <c r="K144" s="37" t="n"/>
      <c r="L144" s="37" t="n"/>
      <c r="M144" s="38" t="n"/>
      <c r="N144" s="38" t="n"/>
      <c r="O144" s="38" t="n"/>
    </row>
    <row r="145">
      <c r="A145" s="40" t="n"/>
      <c r="B145" s="40" t="n"/>
      <c r="C145" s="40" t="n"/>
      <c r="D145" s="40" t="n"/>
      <c r="E145" s="40" t="n"/>
      <c r="F145" s="41" t="n"/>
      <c r="G145" s="40" t="n"/>
      <c r="H145" s="41" t="n"/>
      <c r="I145" s="40" t="n"/>
      <c r="J145" s="24">
        <f>IF(COUNTA(A145:I145,K145:O145)=0,"",IF(OR(A145="",B145="",C145=""),"ID / parent missing",IF(COUNTIF($A$4:$A$553,A145)&gt;1,"Duplicate condition ID",IF(COUNTIF('Gate events'!$A$4:$A$553,B145)=0,"Event ID not found",IF(INDEX('Gate events'!$B$4:$B$553,MATCH(B145,'Gate events'!$A$4:$A$553,0))&lt;&gt;C145,"AIR-ID differs from event",IF(IF(INDEX('Gate events'!$P$4:$P$553,MATCH(B145,'Gate events'!$A$4:$A$553,0))="UC-ID specific",IF(OR(L145&lt;&gt;"UC-ID specific",K145=""),"Condition UC-ID required",IF(ISNUMBER(SEARCH(","&amp;SUBSTITUTE(K145," ","")&amp;",",","&amp;SUBSTITUTE(INDEX('Gate events'!$O$4:$O$553,MATCH(B145,'Gate events'!$A$4:$A$553,0))," ","")&amp;",")),"","UC-ID differs from decision")),IF(INDEX('Gate events'!$P$4:$P$553,MATCH(B145,'Gate events'!$A$4:$A$553,0))="Shared system baseline",IF(OR(L145&lt;&gt;"Shared system baseline",K145&lt;&gt;""),"Condition scope differs from decision",""),"Parent decision scope missing"))&lt;&gt;"",IF(INDEX('Gate events'!$P$4:$P$553,MATCH(B145,'Gate events'!$A$4:$A$553,0))="UC-ID specific",IF(OR(L145&lt;&gt;"UC-ID specific",K145=""),"Condition UC-ID required",IF(ISNUMBER(SEARCH(","&amp;SUBSTITUTE(K145," ","")&amp;",",","&amp;SUBSTITUTE(INDEX('Gate events'!$O$4:$O$553,MATCH(B145,'Gate events'!$A$4:$A$553,0))," ","")&amp;",")),"","UC-ID differs from decision")),IF(INDEX('Gate events'!$P$4:$P$553,MATCH(B145,'Gate events'!$A$4:$A$553,0))="Shared system baseline",IF(OR(L145&lt;&gt;"Shared system baseline",K145&lt;&gt;""),"Condition scope differs from decision",""),"Parent decision scope missing")),IF(OR(D145="",E145="",F145="",G145=""),"Condition, owner, due date or state missing",IF(NOT(ISNUMBER(F145)),"Due date is not a date",IF(OR(G145="Overdue",G145="Superseded"),"Legacy state — owner review (use the shared five states)",IF(INDEX('Gate events'!$E$4:$E$553,MATCH(B145,'Gate events'!$A$4:$A$553,0))&lt;&gt;"Decision","Parent event is not a Decision",IF(AND(INDEX('Gate events'!$G$4:$G$553,MATCH(B145,'Gate events'!$A$4:$A$553,0))&lt;&gt;"Progress with condition",INDEX('Gate events'!$G$4:$G$553,MATCH(B145,'Gate events'!$A$4:$A$553,0))&lt;&gt;"Re-authorise",INDEX('Gate events'!$G$4:$G$553,MATCH(B145,'Gate events'!$A$4:$A$553,0))&lt;&gt;"Resume"),"Parent outcome is not Progress with condition / Re-authorise / Resume",IF(AND(ISNUMBER(INDEX('Gate events'!$F$4:$F$553,MATCH(B145,'Gate events'!$A$4:$A$553,0))),F145&lt;INDEX('Gate events'!$F$4:$F$553,MATCH(B145,'Gate events'!$A$4:$A$553,0))),"Due date before parent event date",IF(AND(OR(G145="Closed-verified",G145="Waived",G145="Accepted-open"),OR(H145="",I145="")),"Closure evidence missing",IF(AND(H145&lt;&gt;"",NOT(ISNUMBER(H145))),"Closed / waived on is not a date",IF(AND(ISNUMBER(H145),ISNUMBER(INDEX('Gate events'!$F$4:$F$553,MATCH(B145,'Gate events'!$A$4:$A$553,0))),H145&lt;INDEX('Gate events'!$F$4:$F$553,MATCH(B145,'Gate events'!$A$4:$A$553,0))),"Closure date before parent event date",IF(AND(G145="Closed-verified",M145=""),"Verifier / date missing",IF(AND(N145="Yes",G145="Closed-verified",O145=""),"Monitoring condition needs AIG-OPS-02 evidence ref",IF(AND(G145="Open",F145&lt;TODAY()),"OVERDUE (derived) — review",IF(G145="Unknown","State Unknown: owner to confirm","Check against source")))))))))))))))))))</f>
        <v/>
      </c>
      <c r="K145" s="37" t="n"/>
      <c r="L145" s="37" t="n"/>
      <c r="M145" s="40" t="n"/>
      <c r="N145" s="40" t="n"/>
      <c r="O145" s="40" t="n"/>
    </row>
    <row r="146">
      <c r="A146" s="38" t="n"/>
      <c r="B146" s="38" t="n"/>
      <c r="C146" s="38" t="n"/>
      <c r="D146" s="38" t="n"/>
      <c r="E146" s="38" t="n"/>
      <c r="F146" s="39" t="n"/>
      <c r="G146" s="38" t="n"/>
      <c r="H146" s="39" t="n"/>
      <c r="I146" s="38" t="n"/>
      <c r="J146" s="22">
        <f>IF(COUNTA(A146:I146,K146:O146)=0,"",IF(OR(A146="",B146="",C146=""),"ID / parent missing",IF(COUNTIF($A$4:$A$553,A146)&gt;1,"Duplicate condition ID",IF(COUNTIF('Gate events'!$A$4:$A$553,B146)=0,"Event ID not found",IF(INDEX('Gate events'!$B$4:$B$553,MATCH(B146,'Gate events'!$A$4:$A$553,0))&lt;&gt;C146,"AIR-ID differs from event",IF(IF(INDEX('Gate events'!$P$4:$P$553,MATCH(B146,'Gate events'!$A$4:$A$553,0))="UC-ID specific",IF(OR(L146&lt;&gt;"UC-ID specific",K146=""),"Condition UC-ID required",IF(ISNUMBER(SEARCH(","&amp;SUBSTITUTE(K146," ","")&amp;",",","&amp;SUBSTITUTE(INDEX('Gate events'!$O$4:$O$553,MATCH(B146,'Gate events'!$A$4:$A$553,0))," ","")&amp;",")),"","UC-ID differs from decision")),IF(INDEX('Gate events'!$P$4:$P$553,MATCH(B146,'Gate events'!$A$4:$A$553,0))="Shared system baseline",IF(OR(L146&lt;&gt;"Shared system baseline",K146&lt;&gt;""),"Condition scope differs from decision",""),"Parent decision scope missing"))&lt;&gt;"",IF(INDEX('Gate events'!$P$4:$P$553,MATCH(B146,'Gate events'!$A$4:$A$553,0))="UC-ID specific",IF(OR(L146&lt;&gt;"UC-ID specific",K146=""),"Condition UC-ID required",IF(ISNUMBER(SEARCH(","&amp;SUBSTITUTE(K146," ","")&amp;",",","&amp;SUBSTITUTE(INDEX('Gate events'!$O$4:$O$553,MATCH(B146,'Gate events'!$A$4:$A$553,0))," ","")&amp;",")),"","UC-ID differs from decision")),IF(INDEX('Gate events'!$P$4:$P$553,MATCH(B146,'Gate events'!$A$4:$A$553,0))="Shared system baseline",IF(OR(L146&lt;&gt;"Shared system baseline",K146&lt;&gt;""),"Condition scope differs from decision",""),"Parent decision scope missing")),IF(OR(D146="",E146="",F146="",G146=""),"Condition, owner, due date or state missing",IF(NOT(ISNUMBER(F146)),"Due date is not a date",IF(OR(G146="Overdue",G146="Superseded"),"Legacy state — owner review (use the shared five states)",IF(INDEX('Gate events'!$E$4:$E$553,MATCH(B146,'Gate events'!$A$4:$A$553,0))&lt;&gt;"Decision","Parent event is not a Decision",IF(AND(INDEX('Gate events'!$G$4:$G$553,MATCH(B146,'Gate events'!$A$4:$A$553,0))&lt;&gt;"Progress with condition",INDEX('Gate events'!$G$4:$G$553,MATCH(B146,'Gate events'!$A$4:$A$553,0))&lt;&gt;"Re-authorise",INDEX('Gate events'!$G$4:$G$553,MATCH(B146,'Gate events'!$A$4:$A$553,0))&lt;&gt;"Resume"),"Parent outcome is not Progress with condition / Re-authorise / Resume",IF(AND(ISNUMBER(INDEX('Gate events'!$F$4:$F$553,MATCH(B146,'Gate events'!$A$4:$A$553,0))),F146&lt;INDEX('Gate events'!$F$4:$F$553,MATCH(B146,'Gate events'!$A$4:$A$553,0))),"Due date before parent event date",IF(AND(OR(G146="Closed-verified",G146="Waived",G146="Accepted-open"),OR(H146="",I146="")),"Closure evidence missing",IF(AND(H146&lt;&gt;"",NOT(ISNUMBER(H146))),"Closed / waived on is not a date",IF(AND(ISNUMBER(H146),ISNUMBER(INDEX('Gate events'!$F$4:$F$553,MATCH(B146,'Gate events'!$A$4:$A$553,0))),H146&lt;INDEX('Gate events'!$F$4:$F$553,MATCH(B146,'Gate events'!$A$4:$A$553,0))),"Closure date before parent event date",IF(AND(G146="Closed-verified",M146=""),"Verifier / date missing",IF(AND(N146="Yes",G146="Closed-verified",O146=""),"Monitoring condition needs AIG-OPS-02 evidence ref",IF(AND(G146="Open",F146&lt;TODAY()),"OVERDUE (derived) — review",IF(G146="Unknown","State Unknown: owner to confirm","Check against source")))))))))))))))))))</f>
        <v/>
      </c>
      <c r="K146" s="37" t="n"/>
      <c r="L146" s="37" t="n"/>
      <c r="M146" s="38" t="n"/>
      <c r="N146" s="38" t="n"/>
      <c r="O146" s="38" t="n"/>
    </row>
    <row r="147">
      <c r="A147" s="40" t="n"/>
      <c r="B147" s="40" t="n"/>
      <c r="C147" s="40" t="n"/>
      <c r="D147" s="40" t="n"/>
      <c r="E147" s="40" t="n"/>
      <c r="F147" s="41" t="n"/>
      <c r="G147" s="40" t="n"/>
      <c r="H147" s="41" t="n"/>
      <c r="I147" s="40" t="n"/>
      <c r="J147" s="24">
        <f>IF(COUNTA(A147:I147,K147:O147)=0,"",IF(OR(A147="",B147="",C147=""),"ID / parent missing",IF(COUNTIF($A$4:$A$553,A147)&gt;1,"Duplicate condition ID",IF(COUNTIF('Gate events'!$A$4:$A$553,B147)=0,"Event ID not found",IF(INDEX('Gate events'!$B$4:$B$553,MATCH(B147,'Gate events'!$A$4:$A$553,0))&lt;&gt;C147,"AIR-ID differs from event",IF(IF(INDEX('Gate events'!$P$4:$P$553,MATCH(B147,'Gate events'!$A$4:$A$553,0))="UC-ID specific",IF(OR(L147&lt;&gt;"UC-ID specific",K147=""),"Condition UC-ID required",IF(ISNUMBER(SEARCH(","&amp;SUBSTITUTE(K147," ","")&amp;",",","&amp;SUBSTITUTE(INDEX('Gate events'!$O$4:$O$553,MATCH(B147,'Gate events'!$A$4:$A$553,0))," ","")&amp;",")),"","UC-ID differs from decision")),IF(INDEX('Gate events'!$P$4:$P$553,MATCH(B147,'Gate events'!$A$4:$A$553,0))="Shared system baseline",IF(OR(L147&lt;&gt;"Shared system baseline",K147&lt;&gt;""),"Condition scope differs from decision",""),"Parent decision scope missing"))&lt;&gt;"",IF(INDEX('Gate events'!$P$4:$P$553,MATCH(B147,'Gate events'!$A$4:$A$553,0))="UC-ID specific",IF(OR(L147&lt;&gt;"UC-ID specific",K147=""),"Condition UC-ID required",IF(ISNUMBER(SEARCH(","&amp;SUBSTITUTE(K147," ","")&amp;",",","&amp;SUBSTITUTE(INDEX('Gate events'!$O$4:$O$553,MATCH(B147,'Gate events'!$A$4:$A$553,0))," ","")&amp;",")),"","UC-ID differs from decision")),IF(INDEX('Gate events'!$P$4:$P$553,MATCH(B147,'Gate events'!$A$4:$A$553,0))="Shared system baseline",IF(OR(L147&lt;&gt;"Shared system baseline",K147&lt;&gt;""),"Condition scope differs from decision",""),"Parent decision scope missing")),IF(OR(D147="",E147="",F147="",G147=""),"Condition, owner, due date or state missing",IF(NOT(ISNUMBER(F147)),"Due date is not a date",IF(OR(G147="Overdue",G147="Superseded"),"Legacy state — owner review (use the shared five states)",IF(INDEX('Gate events'!$E$4:$E$553,MATCH(B147,'Gate events'!$A$4:$A$553,0))&lt;&gt;"Decision","Parent event is not a Decision",IF(AND(INDEX('Gate events'!$G$4:$G$553,MATCH(B147,'Gate events'!$A$4:$A$553,0))&lt;&gt;"Progress with condition",INDEX('Gate events'!$G$4:$G$553,MATCH(B147,'Gate events'!$A$4:$A$553,0))&lt;&gt;"Re-authorise",INDEX('Gate events'!$G$4:$G$553,MATCH(B147,'Gate events'!$A$4:$A$553,0))&lt;&gt;"Resume"),"Parent outcome is not Progress with condition / Re-authorise / Resume",IF(AND(ISNUMBER(INDEX('Gate events'!$F$4:$F$553,MATCH(B147,'Gate events'!$A$4:$A$553,0))),F147&lt;INDEX('Gate events'!$F$4:$F$553,MATCH(B147,'Gate events'!$A$4:$A$553,0))),"Due date before parent event date",IF(AND(OR(G147="Closed-verified",G147="Waived",G147="Accepted-open"),OR(H147="",I147="")),"Closure evidence missing",IF(AND(H147&lt;&gt;"",NOT(ISNUMBER(H147))),"Closed / waived on is not a date",IF(AND(ISNUMBER(H147),ISNUMBER(INDEX('Gate events'!$F$4:$F$553,MATCH(B147,'Gate events'!$A$4:$A$553,0))),H147&lt;INDEX('Gate events'!$F$4:$F$553,MATCH(B147,'Gate events'!$A$4:$A$553,0))),"Closure date before parent event date",IF(AND(G147="Closed-verified",M147=""),"Verifier / date missing",IF(AND(N147="Yes",G147="Closed-verified",O147=""),"Monitoring condition needs AIG-OPS-02 evidence ref",IF(AND(G147="Open",F147&lt;TODAY()),"OVERDUE (derived) — review",IF(G147="Unknown","State Unknown: owner to confirm","Check against source")))))))))))))))))))</f>
        <v/>
      </c>
      <c r="K147" s="37" t="n"/>
      <c r="L147" s="37" t="n"/>
      <c r="M147" s="40" t="n"/>
      <c r="N147" s="40" t="n"/>
      <c r="O147" s="40" t="n"/>
    </row>
    <row r="148">
      <c r="A148" s="38" t="n"/>
      <c r="B148" s="38" t="n"/>
      <c r="C148" s="38" t="n"/>
      <c r="D148" s="38" t="n"/>
      <c r="E148" s="38" t="n"/>
      <c r="F148" s="39" t="n"/>
      <c r="G148" s="38" t="n"/>
      <c r="H148" s="39" t="n"/>
      <c r="I148" s="38" t="n"/>
      <c r="J148" s="22">
        <f>IF(COUNTA(A148:I148,K148:O148)=0,"",IF(OR(A148="",B148="",C148=""),"ID / parent missing",IF(COUNTIF($A$4:$A$553,A148)&gt;1,"Duplicate condition ID",IF(COUNTIF('Gate events'!$A$4:$A$553,B148)=0,"Event ID not found",IF(INDEX('Gate events'!$B$4:$B$553,MATCH(B148,'Gate events'!$A$4:$A$553,0))&lt;&gt;C148,"AIR-ID differs from event",IF(IF(INDEX('Gate events'!$P$4:$P$553,MATCH(B148,'Gate events'!$A$4:$A$553,0))="UC-ID specific",IF(OR(L148&lt;&gt;"UC-ID specific",K148=""),"Condition UC-ID required",IF(ISNUMBER(SEARCH(","&amp;SUBSTITUTE(K148," ","")&amp;",",","&amp;SUBSTITUTE(INDEX('Gate events'!$O$4:$O$553,MATCH(B148,'Gate events'!$A$4:$A$553,0))," ","")&amp;",")),"","UC-ID differs from decision")),IF(INDEX('Gate events'!$P$4:$P$553,MATCH(B148,'Gate events'!$A$4:$A$553,0))="Shared system baseline",IF(OR(L148&lt;&gt;"Shared system baseline",K148&lt;&gt;""),"Condition scope differs from decision",""),"Parent decision scope missing"))&lt;&gt;"",IF(INDEX('Gate events'!$P$4:$P$553,MATCH(B148,'Gate events'!$A$4:$A$553,0))="UC-ID specific",IF(OR(L148&lt;&gt;"UC-ID specific",K148=""),"Condition UC-ID required",IF(ISNUMBER(SEARCH(","&amp;SUBSTITUTE(K148," ","")&amp;",",","&amp;SUBSTITUTE(INDEX('Gate events'!$O$4:$O$553,MATCH(B148,'Gate events'!$A$4:$A$553,0))," ","")&amp;",")),"","UC-ID differs from decision")),IF(INDEX('Gate events'!$P$4:$P$553,MATCH(B148,'Gate events'!$A$4:$A$553,0))="Shared system baseline",IF(OR(L148&lt;&gt;"Shared system baseline",K148&lt;&gt;""),"Condition scope differs from decision",""),"Parent decision scope missing")),IF(OR(D148="",E148="",F148="",G148=""),"Condition, owner, due date or state missing",IF(NOT(ISNUMBER(F148)),"Due date is not a date",IF(OR(G148="Overdue",G148="Superseded"),"Legacy state — owner review (use the shared five states)",IF(INDEX('Gate events'!$E$4:$E$553,MATCH(B148,'Gate events'!$A$4:$A$553,0))&lt;&gt;"Decision","Parent event is not a Decision",IF(AND(INDEX('Gate events'!$G$4:$G$553,MATCH(B148,'Gate events'!$A$4:$A$553,0))&lt;&gt;"Progress with condition",INDEX('Gate events'!$G$4:$G$553,MATCH(B148,'Gate events'!$A$4:$A$553,0))&lt;&gt;"Re-authorise",INDEX('Gate events'!$G$4:$G$553,MATCH(B148,'Gate events'!$A$4:$A$553,0))&lt;&gt;"Resume"),"Parent outcome is not Progress with condition / Re-authorise / Resume",IF(AND(ISNUMBER(INDEX('Gate events'!$F$4:$F$553,MATCH(B148,'Gate events'!$A$4:$A$553,0))),F148&lt;INDEX('Gate events'!$F$4:$F$553,MATCH(B148,'Gate events'!$A$4:$A$553,0))),"Due date before parent event date",IF(AND(OR(G148="Closed-verified",G148="Waived",G148="Accepted-open"),OR(H148="",I148="")),"Closure evidence missing",IF(AND(H148&lt;&gt;"",NOT(ISNUMBER(H148))),"Closed / waived on is not a date",IF(AND(ISNUMBER(H148),ISNUMBER(INDEX('Gate events'!$F$4:$F$553,MATCH(B148,'Gate events'!$A$4:$A$553,0))),H148&lt;INDEX('Gate events'!$F$4:$F$553,MATCH(B148,'Gate events'!$A$4:$A$553,0))),"Closure date before parent event date",IF(AND(G148="Closed-verified",M148=""),"Verifier / date missing",IF(AND(N148="Yes",G148="Closed-verified",O148=""),"Monitoring condition needs AIG-OPS-02 evidence ref",IF(AND(G148="Open",F148&lt;TODAY()),"OVERDUE (derived) — review",IF(G148="Unknown","State Unknown: owner to confirm","Check against source")))))))))))))))))))</f>
        <v/>
      </c>
      <c r="K148" s="37" t="n"/>
      <c r="L148" s="37" t="n"/>
      <c r="M148" s="38" t="n"/>
      <c r="N148" s="38" t="n"/>
      <c r="O148" s="38" t="n"/>
    </row>
    <row r="149">
      <c r="A149" s="40" t="n"/>
      <c r="B149" s="40" t="n"/>
      <c r="C149" s="40" t="n"/>
      <c r="D149" s="40" t="n"/>
      <c r="E149" s="40" t="n"/>
      <c r="F149" s="41" t="n"/>
      <c r="G149" s="40" t="n"/>
      <c r="H149" s="41" t="n"/>
      <c r="I149" s="40" t="n"/>
      <c r="J149" s="24">
        <f>IF(COUNTA(A149:I149,K149:O149)=0,"",IF(OR(A149="",B149="",C149=""),"ID / parent missing",IF(COUNTIF($A$4:$A$553,A149)&gt;1,"Duplicate condition ID",IF(COUNTIF('Gate events'!$A$4:$A$553,B149)=0,"Event ID not found",IF(INDEX('Gate events'!$B$4:$B$553,MATCH(B149,'Gate events'!$A$4:$A$553,0))&lt;&gt;C149,"AIR-ID differs from event",IF(IF(INDEX('Gate events'!$P$4:$P$553,MATCH(B149,'Gate events'!$A$4:$A$553,0))="UC-ID specific",IF(OR(L149&lt;&gt;"UC-ID specific",K149=""),"Condition UC-ID required",IF(ISNUMBER(SEARCH(","&amp;SUBSTITUTE(K149," ","")&amp;",",","&amp;SUBSTITUTE(INDEX('Gate events'!$O$4:$O$553,MATCH(B149,'Gate events'!$A$4:$A$553,0))," ","")&amp;",")),"","UC-ID differs from decision")),IF(INDEX('Gate events'!$P$4:$P$553,MATCH(B149,'Gate events'!$A$4:$A$553,0))="Shared system baseline",IF(OR(L149&lt;&gt;"Shared system baseline",K149&lt;&gt;""),"Condition scope differs from decision",""),"Parent decision scope missing"))&lt;&gt;"",IF(INDEX('Gate events'!$P$4:$P$553,MATCH(B149,'Gate events'!$A$4:$A$553,0))="UC-ID specific",IF(OR(L149&lt;&gt;"UC-ID specific",K149=""),"Condition UC-ID required",IF(ISNUMBER(SEARCH(","&amp;SUBSTITUTE(K149," ","")&amp;",",","&amp;SUBSTITUTE(INDEX('Gate events'!$O$4:$O$553,MATCH(B149,'Gate events'!$A$4:$A$553,0))," ","")&amp;",")),"","UC-ID differs from decision")),IF(INDEX('Gate events'!$P$4:$P$553,MATCH(B149,'Gate events'!$A$4:$A$553,0))="Shared system baseline",IF(OR(L149&lt;&gt;"Shared system baseline",K149&lt;&gt;""),"Condition scope differs from decision",""),"Parent decision scope missing")),IF(OR(D149="",E149="",F149="",G149=""),"Condition, owner, due date or state missing",IF(NOT(ISNUMBER(F149)),"Due date is not a date",IF(OR(G149="Overdue",G149="Superseded"),"Legacy state — owner review (use the shared five states)",IF(INDEX('Gate events'!$E$4:$E$553,MATCH(B149,'Gate events'!$A$4:$A$553,0))&lt;&gt;"Decision","Parent event is not a Decision",IF(AND(INDEX('Gate events'!$G$4:$G$553,MATCH(B149,'Gate events'!$A$4:$A$553,0))&lt;&gt;"Progress with condition",INDEX('Gate events'!$G$4:$G$553,MATCH(B149,'Gate events'!$A$4:$A$553,0))&lt;&gt;"Re-authorise",INDEX('Gate events'!$G$4:$G$553,MATCH(B149,'Gate events'!$A$4:$A$553,0))&lt;&gt;"Resume"),"Parent outcome is not Progress with condition / Re-authorise / Resume",IF(AND(ISNUMBER(INDEX('Gate events'!$F$4:$F$553,MATCH(B149,'Gate events'!$A$4:$A$553,0))),F149&lt;INDEX('Gate events'!$F$4:$F$553,MATCH(B149,'Gate events'!$A$4:$A$553,0))),"Due date before parent event date",IF(AND(OR(G149="Closed-verified",G149="Waived",G149="Accepted-open"),OR(H149="",I149="")),"Closure evidence missing",IF(AND(H149&lt;&gt;"",NOT(ISNUMBER(H149))),"Closed / waived on is not a date",IF(AND(ISNUMBER(H149),ISNUMBER(INDEX('Gate events'!$F$4:$F$553,MATCH(B149,'Gate events'!$A$4:$A$553,0))),H149&lt;INDEX('Gate events'!$F$4:$F$553,MATCH(B149,'Gate events'!$A$4:$A$553,0))),"Closure date before parent event date",IF(AND(G149="Closed-verified",M149=""),"Verifier / date missing",IF(AND(N149="Yes",G149="Closed-verified",O149=""),"Monitoring condition needs AIG-OPS-02 evidence ref",IF(AND(G149="Open",F149&lt;TODAY()),"OVERDUE (derived) — review",IF(G149="Unknown","State Unknown: owner to confirm","Check against source")))))))))))))))))))</f>
        <v/>
      </c>
      <c r="K149" s="37" t="n"/>
      <c r="L149" s="37" t="n"/>
      <c r="M149" s="40" t="n"/>
      <c r="N149" s="40" t="n"/>
      <c r="O149" s="40" t="n"/>
    </row>
    <row r="150">
      <c r="A150" s="38" t="n"/>
      <c r="B150" s="38" t="n"/>
      <c r="C150" s="38" t="n"/>
      <c r="D150" s="38" t="n"/>
      <c r="E150" s="38" t="n"/>
      <c r="F150" s="39" t="n"/>
      <c r="G150" s="38" t="n"/>
      <c r="H150" s="39" t="n"/>
      <c r="I150" s="38" t="n"/>
      <c r="J150" s="22">
        <f>IF(COUNTA(A150:I150,K150:O150)=0,"",IF(OR(A150="",B150="",C150=""),"ID / parent missing",IF(COUNTIF($A$4:$A$553,A150)&gt;1,"Duplicate condition ID",IF(COUNTIF('Gate events'!$A$4:$A$553,B150)=0,"Event ID not found",IF(INDEX('Gate events'!$B$4:$B$553,MATCH(B150,'Gate events'!$A$4:$A$553,0))&lt;&gt;C150,"AIR-ID differs from event",IF(IF(INDEX('Gate events'!$P$4:$P$553,MATCH(B150,'Gate events'!$A$4:$A$553,0))="UC-ID specific",IF(OR(L150&lt;&gt;"UC-ID specific",K150=""),"Condition UC-ID required",IF(ISNUMBER(SEARCH(","&amp;SUBSTITUTE(K150," ","")&amp;",",","&amp;SUBSTITUTE(INDEX('Gate events'!$O$4:$O$553,MATCH(B150,'Gate events'!$A$4:$A$553,0))," ","")&amp;",")),"","UC-ID differs from decision")),IF(INDEX('Gate events'!$P$4:$P$553,MATCH(B150,'Gate events'!$A$4:$A$553,0))="Shared system baseline",IF(OR(L150&lt;&gt;"Shared system baseline",K150&lt;&gt;""),"Condition scope differs from decision",""),"Parent decision scope missing"))&lt;&gt;"",IF(INDEX('Gate events'!$P$4:$P$553,MATCH(B150,'Gate events'!$A$4:$A$553,0))="UC-ID specific",IF(OR(L150&lt;&gt;"UC-ID specific",K150=""),"Condition UC-ID required",IF(ISNUMBER(SEARCH(","&amp;SUBSTITUTE(K150," ","")&amp;",",","&amp;SUBSTITUTE(INDEX('Gate events'!$O$4:$O$553,MATCH(B150,'Gate events'!$A$4:$A$553,0))," ","")&amp;",")),"","UC-ID differs from decision")),IF(INDEX('Gate events'!$P$4:$P$553,MATCH(B150,'Gate events'!$A$4:$A$553,0))="Shared system baseline",IF(OR(L150&lt;&gt;"Shared system baseline",K150&lt;&gt;""),"Condition scope differs from decision",""),"Parent decision scope missing")),IF(OR(D150="",E150="",F150="",G150=""),"Condition, owner, due date or state missing",IF(NOT(ISNUMBER(F150)),"Due date is not a date",IF(OR(G150="Overdue",G150="Superseded"),"Legacy state — owner review (use the shared five states)",IF(INDEX('Gate events'!$E$4:$E$553,MATCH(B150,'Gate events'!$A$4:$A$553,0))&lt;&gt;"Decision","Parent event is not a Decision",IF(AND(INDEX('Gate events'!$G$4:$G$553,MATCH(B150,'Gate events'!$A$4:$A$553,0))&lt;&gt;"Progress with condition",INDEX('Gate events'!$G$4:$G$553,MATCH(B150,'Gate events'!$A$4:$A$553,0))&lt;&gt;"Re-authorise",INDEX('Gate events'!$G$4:$G$553,MATCH(B150,'Gate events'!$A$4:$A$553,0))&lt;&gt;"Resume"),"Parent outcome is not Progress with condition / Re-authorise / Resume",IF(AND(ISNUMBER(INDEX('Gate events'!$F$4:$F$553,MATCH(B150,'Gate events'!$A$4:$A$553,0))),F150&lt;INDEX('Gate events'!$F$4:$F$553,MATCH(B150,'Gate events'!$A$4:$A$553,0))),"Due date before parent event date",IF(AND(OR(G150="Closed-verified",G150="Waived",G150="Accepted-open"),OR(H150="",I150="")),"Closure evidence missing",IF(AND(H150&lt;&gt;"",NOT(ISNUMBER(H150))),"Closed / waived on is not a date",IF(AND(ISNUMBER(H150),ISNUMBER(INDEX('Gate events'!$F$4:$F$553,MATCH(B150,'Gate events'!$A$4:$A$553,0))),H150&lt;INDEX('Gate events'!$F$4:$F$553,MATCH(B150,'Gate events'!$A$4:$A$553,0))),"Closure date before parent event date",IF(AND(G150="Closed-verified",M150=""),"Verifier / date missing",IF(AND(N150="Yes",G150="Closed-verified",O150=""),"Monitoring condition needs AIG-OPS-02 evidence ref",IF(AND(G150="Open",F150&lt;TODAY()),"OVERDUE (derived) — review",IF(G150="Unknown","State Unknown: owner to confirm","Check against source")))))))))))))))))))</f>
        <v/>
      </c>
      <c r="K150" s="37" t="n"/>
      <c r="L150" s="37" t="n"/>
      <c r="M150" s="38" t="n"/>
      <c r="N150" s="38" t="n"/>
      <c r="O150" s="38" t="n"/>
    </row>
    <row r="151">
      <c r="A151" s="40" t="n"/>
      <c r="B151" s="40" t="n"/>
      <c r="C151" s="40" t="n"/>
      <c r="D151" s="40" t="n"/>
      <c r="E151" s="40" t="n"/>
      <c r="F151" s="41" t="n"/>
      <c r="G151" s="40" t="n"/>
      <c r="H151" s="41" t="n"/>
      <c r="I151" s="40" t="n"/>
      <c r="J151" s="24">
        <f>IF(COUNTA(A151:I151,K151:O151)=0,"",IF(OR(A151="",B151="",C151=""),"ID / parent missing",IF(COUNTIF($A$4:$A$553,A151)&gt;1,"Duplicate condition ID",IF(COUNTIF('Gate events'!$A$4:$A$553,B151)=0,"Event ID not found",IF(INDEX('Gate events'!$B$4:$B$553,MATCH(B151,'Gate events'!$A$4:$A$553,0))&lt;&gt;C151,"AIR-ID differs from event",IF(IF(INDEX('Gate events'!$P$4:$P$553,MATCH(B151,'Gate events'!$A$4:$A$553,0))="UC-ID specific",IF(OR(L151&lt;&gt;"UC-ID specific",K151=""),"Condition UC-ID required",IF(ISNUMBER(SEARCH(","&amp;SUBSTITUTE(K151," ","")&amp;",",","&amp;SUBSTITUTE(INDEX('Gate events'!$O$4:$O$553,MATCH(B151,'Gate events'!$A$4:$A$553,0))," ","")&amp;",")),"","UC-ID differs from decision")),IF(INDEX('Gate events'!$P$4:$P$553,MATCH(B151,'Gate events'!$A$4:$A$553,0))="Shared system baseline",IF(OR(L151&lt;&gt;"Shared system baseline",K151&lt;&gt;""),"Condition scope differs from decision",""),"Parent decision scope missing"))&lt;&gt;"",IF(INDEX('Gate events'!$P$4:$P$553,MATCH(B151,'Gate events'!$A$4:$A$553,0))="UC-ID specific",IF(OR(L151&lt;&gt;"UC-ID specific",K151=""),"Condition UC-ID required",IF(ISNUMBER(SEARCH(","&amp;SUBSTITUTE(K151," ","")&amp;",",","&amp;SUBSTITUTE(INDEX('Gate events'!$O$4:$O$553,MATCH(B151,'Gate events'!$A$4:$A$553,0))," ","")&amp;",")),"","UC-ID differs from decision")),IF(INDEX('Gate events'!$P$4:$P$553,MATCH(B151,'Gate events'!$A$4:$A$553,0))="Shared system baseline",IF(OR(L151&lt;&gt;"Shared system baseline",K151&lt;&gt;""),"Condition scope differs from decision",""),"Parent decision scope missing")),IF(OR(D151="",E151="",F151="",G151=""),"Condition, owner, due date or state missing",IF(NOT(ISNUMBER(F151)),"Due date is not a date",IF(OR(G151="Overdue",G151="Superseded"),"Legacy state — owner review (use the shared five states)",IF(INDEX('Gate events'!$E$4:$E$553,MATCH(B151,'Gate events'!$A$4:$A$553,0))&lt;&gt;"Decision","Parent event is not a Decision",IF(AND(INDEX('Gate events'!$G$4:$G$553,MATCH(B151,'Gate events'!$A$4:$A$553,0))&lt;&gt;"Progress with condition",INDEX('Gate events'!$G$4:$G$553,MATCH(B151,'Gate events'!$A$4:$A$553,0))&lt;&gt;"Re-authorise",INDEX('Gate events'!$G$4:$G$553,MATCH(B151,'Gate events'!$A$4:$A$553,0))&lt;&gt;"Resume"),"Parent outcome is not Progress with condition / Re-authorise / Resume",IF(AND(ISNUMBER(INDEX('Gate events'!$F$4:$F$553,MATCH(B151,'Gate events'!$A$4:$A$553,0))),F151&lt;INDEX('Gate events'!$F$4:$F$553,MATCH(B151,'Gate events'!$A$4:$A$553,0))),"Due date before parent event date",IF(AND(OR(G151="Closed-verified",G151="Waived",G151="Accepted-open"),OR(H151="",I151="")),"Closure evidence missing",IF(AND(H151&lt;&gt;"",NOT(ISNUMBER(H151))),"Closed / waived on is not a date",IF(AND(ISNUMBER(H151),ISNUMBER(INDEX('Gate events'!$F$4:$F$553,MATCH(B151,'Gate events'!$A$4:$A$553,0))),H151&lt;INDEX('Gate events'!$F$4:$F$553,MATCH(B151,'Gate events'!$A$4:$A$553,0))),"Closure date before parent event date",IF(AND(G151="Closed-verified",M151=""),"Verifier / date missing",IF(AND(N151="Yes",G151="Closed-verified",O151=""),"Monitoring condition needs AIG-OPS-02 evidence ref",IF(AND(G151="Open",F151&lt;TODAY()),"OVERDUE (derived) — review",IF(G151="Unknown","State Unknown: owner to confirm","Check against source")))))))))))))))))))</f>
        <v/>
      </c>
      <c r="K151" s="37" t="n"/>
      <c r="L151" s="37" t="n"/>
      <c r="M151" s="40" t="n"/>
      <c r="N151" s="40" t="n"/>
      <c r="O151" s="40" t="n"/>
    </row>
    <row r="152">
      <c r="A152" s="38" t="n"/>
      <c r="B152" s="38" t="n"/>
      <c r="C152" s="38" t="n"/>
      <c r="D152" s="38" t="n"/>
      <c r="E152" s="38" t="n"/>
      <c r="F152" s="39" t="n"/>
      <c r="G152" s="38" t="n"/>
      <c r="H152" s="39" t="n"/>
      <c r="I152" s="38" t="n"/>
      <c r="J152" s="22">
        <f>IF(COUNTA(A152:I152,K152:O152)=0,"",IF(OR(A152="",B152="",C152=""),"ID / parent missing",IF(COUNTIF($A$4:$A$553,A152)&gt;1,"Duplicate condition ID",IF(COUNTIF('Gate events'!$A$4:$A$553,B152)=0,"Event ID not found",IF(INDEX('Gate events'!$B$4:$B$553,MATCH(B152,'Gate events'!$A$4:$A$553,0))&lt;&gt;C152,"AIR-ID differs from event",IF(IF(INDEX('Gate events'!$P$4:$P$553,MATCH(B152,'Gate events'!$A$4:$A$553,0))="UC-ID specific",IF(OR(L152&lt;&gt;"UC-ID specific",K152=""),"Condition UC-ID required",IF(ISNUMBER(SEARCH(","&amp;SUBSTITUTE(K152," ","")&amp;",",","&amp;SUBSTITUTE(INDEX('Gate events'!$O$4:$O$553,MATCH(B152,'Gate events'!$A$4:$A$553,0))," ","")&amp;",")),"","UC-ID differs from decision")),IF(INDEX('Gate events'!$P$4:$P$553,MATCH(B152,'Gate events'!$A$4:$A$553,0))="Shared system baseline",IF(OR(L152&lt;&gt;"Shared system baseline",K152&lt;&gt;""),"Condition scope differs from decision",""),"Parent decision scope missing"))&lt;&gt;"",IF(INDEX('Gate events'!$P$4:$P$553,MATCH(B152,'Gate events'!$A$4:$A$553,0))="UC-ID specific",IF(OR(L152&lt;&gt;"UC-ID specific",K152=""),"Condition UC-ID required",IF(ISNUMBER(SEARCH(","&amp;SUBSTITUTE(K152," ","")&amp;",",","&amp;SUBSTITUTE(INDEX('Gate events'!$O$4:$O$553,MATCH(B152,'Gate events'!$A$4:$A$553,0))," ","")&amp;",")),"","UC-ID differs from decision")),IF(INDEX('Gate events'!$P$4:$P$553,MATCH(B152,'Gate events'!$A$4:$A$553,0))="Shared system baseline",IF(OR(L152&lt;&gt;"Shared system baseline",K152&lt;&gt;""),"Condition scope differs from decision",""),"Parent decision scope missing")),IF(OR(D152="",E152="",F152="",G152=""),"Condition, owner, due date or state missing",IF(NOT(ISNUMBER(F152)),"Due date is not a date",IF(OR(G152="Overdue",G152="Superseded"),"Legacy state — owner review (use the shared five states)",IF(INDEX('Gate events'!$E$4:$E$553,MATCH(B152,'Gate events'!$A$4:$A$553,0))&lt;&gt;"Decision","Parent event is not a Decision",IF(AND(INDEX('Gate events'!$G$4:$G$553,MATCH(B152,'Gate events'!$A$4:$A$553,0))&lt;&gt;"Progress with condition",INDEX('Gate events'!$G$4:$G$553,MATCH(B152,'Gate events'!$A$4:$A$553,0))&lt;&gt;"Re-authorise",INDEX('Gate events'!$G$4:$G$553,MATCH(B152,'Gate events'!$A$4:$A$553,0))&lt;&gt;"Resume"),"Parent outcome is not Progress with condition / Re-authorise / Resume",IF(AND(ISNUMBER(INDEX('Gate events'!$F$4:$F$553,MATCH(B152,'Gate events'!$A$4:$A$553,0))),F152&lt;INDEX('Gate events'!$F$4:$F$553,MATCH(B152,'Gate events'!$A$4:$A$553,0))),"Due date before parent event date",IF(AND(OR(G152="Closed-verified",G152="Waived",G152="Accepted-open"),OR(H152="",I152="")),"Closure evidence missing",IF(AND(H152&lt;&gt;"",NOT(ISNUMBER(H152))),"Closed / waived on is not a date",IF(AND(ISNUMBER(H152),ISNUMBER(INDEX('Gate events'!$F$4:$F$553,MATCH(B152,'Gate events'!$A$4:$A$553,0))),H152&lt;INDEX('Gate events'!$F$4:$F$553,MATCH(B152,'Gate events'!$A$4:$A$553,0))),"Closure date before parent event date",IF(AND(G152="Closed-verified",M152=""),"Verifier / date missing",IF(AND(N152="Yes",G152="Closed-verified",O152=""),"Monitoring condition needs AIG-OPS-02 evidence ref",IF(AND(G152="Open",F152&lt;TODAY()),"OVERDUE (derived) — review",IF(G152="Unknown","State Unknown: owner to confirm","Check against source")))))))))))))))))))</f>
        <v/>
      </c>
      <c r="K152" s="37" t="n"/>
      <c r="L152" s="37" t="n"/>
      <c r="M152" s="38" t="n"/>
      <c r="N152" s="38" t="n"/>
      <c r="O152" s="38" t="n"/>
    </row>
    <row r="153">
      <c r="A153" s="40" t="n"/>
      <c r="B153" s="40" t="n"/>
      <c r="C153" s="40" t="n"/>
      <c r="D153" s="40" t="n"/>
      <c r="E153" s="40" t="n"/>
      <c r="F153" s="41" t="n"/>
      <c r="G153" s="40" t="n"/>
      <c r="H153" s="41" t="n"/>
      <c r="I153" s="40" t="n"/>
      <c r="J153" s="24">
        <f>IF(COUNTA(A153:I153,K153:O153)=0,"",IF(OR(A153="",B153="",C153=""),"ID / parent missing",IF(COUNTIF($A$4:$A$553,A153)&gt;1,"Duplicate condition ID",IF(COUNTIF('Gate events'!$A$4:$A$553,B153)=0,"Event ID not found",IF(INDEX('Gate events'!$B$4:$B$553,MATCH(B153,'Gate events'!$A$4:$A$553,0))&lt;&gt;C153,"AIR-ID differs from event",IF(IF(INDEX('Gate events'!$P$4:$P$553,MATCH(B153,'Gate events'!$A$4:$A$553,0))="UC-ID specific",IF(OR(L153&lt;&gt;"UC-ID specific",K153=""),"Condition UC-ID required",IF(ISNUMBER(SEARCH(","&amp;SUBSTITUTE(K153," ","")&amp;",",","&amp;SUBSTITUTE(INDEX('Gate events'!$O$4:$O$553,MATCH(B153,'Gate events'!$A$4:$A$553,0))," ","")&amp;",")),"","UC-ID differs from decision")),IF(INDEX('Gate events'!$P$4:$P$553,MATCH(B153,'Gate events'!$A$4:$A$553,0))="Shared system baseline",IF(OR(L153&lt;&gt;"Shared system baseline",K153&lt;&gt;""),"Condition scope differs from decision",""),"Parent decision scope missing"))&lt;&gt;"",IF(INDEX('Gate events'!$P$4:$P$553,MATCH(B153,'Gate events'!$A$4:$A$553,0))="UC-ID specific",IF(OR(L153&lt;&gt;"UC-ID specific",K153=""),"Condition UC-ID required",IF(ISNUMBER(SEARCH(","&amp;SUBSTITUTE(K153," ","")&amp;",",","&amp;SUBSTITUTE(INDEX('Gate events'!$O$4:$O$553,MATCH(B153,'Gate events'!$A$4:$A$553,0))," ","")&amp;",")),"","UC-ID differs from decision")),IF(INDEX('Gate events'!$P$4:$P$553,MATCH(B153,'Gate events'!$A$4:$A$553,0))="Shared system baseline",IF(OR(L153&lt;&gt;"Shared system baseline",K153&lt;&gt;""),"Condition scope differs from decision",""),"Parent decision scope missing")),IF(OR(D153="",E153="",F153="",G153=""),"Condition, owner, due date or state missing",IF(NOT(ISNUMBER(F153)),"Due date is not a date",IF(OR(G153="Overdue",G153="Superseded"),"Legacy state — owner review (use the shared five states)",IF(INDEX('Gate events'!$E$4:$E$553,MATCH(B153,'Gate events'!$A$4:$A$553,0))&lt;&gt;"Decision","Parent event is not a Decision",IF(AND(INDEX('Gate events'!$G$4:$G$553,MATCH(B153,'Gate events'!$A$4:$A$553,0))&lt;&gt;"Progress with condition",INDEX('Gate events'!$G$4:$G$553,MATCH(B153,'Gate events'!$A$4:$A$553,0))&lt;&gt;"Re-authorise",INDEX('Gate events'!$G$4:$G$553,MATCH(B153,'Gate events'!$A$4:$A$553,0))&lt;&gt;"Resume"),"Parent outcome is not Progress with condition / Re-authorise / Resume",IF(AND(ISNUMBER(INDEX('Gate events'!$F$4:$F$553,MATCH(B153,'Gate events'!$A$4:$A$553,0))),F153&lt;INDEX('Gate events'!$F$4:$F$553,MATCH(B153,'Gate events'!$A$4:$A$553,0))),"Due date before parent event date",IF(AND(OR(G153="Closed-verified",G153="Waived",G153="Accepted-open"),OR(H153="",I153="")),"Closure evidence missing",IF(AND(H153&lt;&gt;"",NOT(ISNUMBER(H153))),"Closed / waived on is not a date",IF(AND(ISNUMBER(H153),ISNUMBER(INDEX('Gate events'!$F$4:$F$553,MATCH(B153,'Gate events'!$A$4:$A$553,0))),H153&lt;INDEX('Gate events'!$F$4:$F$553,MATCH(B153,'Gate events'!$A$4:$A$553,0))),"Closure date before parent event date",IF(AND(G153="Closed-verified",M153=""),"Verifier / date missing",IF(AND(N153="Yes",G153="Closed-verified",O153=""),"Monitoring condition needs AIG-OPS-02 evidence ref",IF(AND(G153="Open",F153&lt;TODAY()),"OVERDUE (derived) — review",IF(G153="Unknown","State Unknown: owner to confirm","Check against source")))))))))))))))))))</f>
        <v/>
      </c>
      <c r="K153" s="37" t="n"/>
      <c r="L153" s="37" t="n"/>
      <c r="M153" s="40" t="n"/>
      <c r="N153" s="40" t="n"/>
      <c r="O153" s="40" t="n"/>
    </row>
    <row r="154">
      <c r="A154" s="38" t="n"/>
      <c r="B154" s="38" t="n"/>
      <c r="C154" s="38" t="n"/>
      <c r="D154" s="38" t="n"/>
      <c r="E154" s="38" t="n"/>
      <c r="F154" s="39" t="n"/>
      <c r="G154" s="38" t="n"/>
      <c r="H154" s="39" t="n"/>
      <c r="I154" s="38" t="n"/>
      <c r="J154" s="22">
        <f>IF(COUNTA(A154:I154,K154:O154)=0,"",IF(OR(A154="",B154="",C154=""),"ID / parent missing",IF(COUNTIF($A$4:$A$553,A154)&gt;1,"Duplicate condition ID",IF(COUNTIF('Gate events'!$A$4:$A$553,B154)=0,"Event ID not found",IF(INDEX('Gate events'!$B$4:$B$553,MATCH(B154,'Gate events'!$A$4:$A$553,0))&lt;&gt;C154,"AIR-ID differs from event",IF(IF(INDEX('Gate events'!$P$4:$P$553,MATCH(B154,'Gate events'!$A$4:$A$553,0))="UC-ID specific",IF(OR(L154&lt;&gt;"UC-ID specific",K154=""),"Condition UC-ID required",IF(ISNUMBER(SEARCH(","&amp;SUBSTITUTE(K154," ","")&amp;",",","&amp;SUBSTITUTE(INDEX('Gate events'!$O$4:$O$553,MATCH(B154,'Gate events'!$A$4:$A$553,0))," ","")&amp;",")),"","UC-ID differs from decision")),IF(INDEX('Gate events'!$P$4:$P$553,MATCH(B154,'Gate events'!$A$4:$A$553,0))="Shared system baseline",IF(OR(L154&lt;&gt;"Shared system baseline",K154&lt;&gt;""),"Condition scope differs from decision",""),"Parent decision scope missing"))&lt;&gt;"",IF(INDEX('Gate events'!$P$4:$P$553,MATCH(B154,'Gate events'!$A$4:$A$553,0))="UC-ID specific",IF(OR(L154&lt;&gt;"UC-ID specific",K154=""),"Condition UC-ID required",IF(ISNUMBER(SEARCH(","&amp;SUBSTITUTE(K154," ","")&amp;",",","&amp;SUBSTITUTE(INDEX('Gate events'!$O$4:$O$553,MATCH(B154,'Gate events'!$A$4:$A$553,0))," ","")&amp;",")),"","UC-ID differs from decision")),IF(INDEX('Gate events'!$P$4:$P$553,MATCH(B154,'Gate events'!$A$4:$A$553,0))="Shared system baseline",IF(OR(L154&lt;&gt;"Shared system baseline",K154&lt;&gt;""),"Condition scope differs from decision",""),"Parent decision scope missing")),IF(OR(D154="",E154="",F154="",G154=""),"Condition, owner, due date or state missing",IF(NOT(ISNUMBER(F154)),"Due date is not a date",IF(OR(G154="Overdue",G154="Superseded"),"Legacy state — owner review (use the shared five states)",IF(INDEX('Gate events'!$E$4:$E$553,MATCH(B154,'Gate events'!$A$4:$A$553,0))&lt;&gt;"Decision","Parent event is not a Decision",IF(AND(INDEX('Gate events'!$G$4:$G$553,MATCH(B154,'Gate events'!$A$4:$A$553,0))&lt;&gt;"Progress with condition",INDEX('Gate events'!$G$4:$G$553,MATCH(B154,'Gate events'!$A$4:$A$553,0))&lt;&gt;"Re-authorise",INDEX('Gate events'!$G$4:$G$553,MATCH(B154,'Gate events'!$A$4:$A$553,0))&lt;&gt;"Resume"),"Parent outcome is not Progress with condition / Re-authorise / Resume",IF(AND(ISNUMBER(INDEX('Gate events'!$F$4:$F$553,MATCH(B154,'Gate events'!$A$4:$A$553,0))),F154&lt;INDEX('Gate events'!$F$4:$F$553,MATCH(B154,'Gate events'!$A$4:$A$553,0))),"Due date before parent event date",IF(AND(OR(G154="Closed-verified",G154="Waived",G154="Accepted-open"),OR(H154="",I154="")),"Closure evidence missing",IF(AND(H154&lt;&gt;"",NOT(ISNUMBER(H154))),"Closed / waived on is not a date",IF(AND(ISNUMBER(H154),ISNUMBER(INDEX('Gate events'!$F$4:$F$553,MATCH(B154,'Gate events'!$A$4:$A$553,0))),H154&lt;INDEX('Gate events'!$F$4:$F$553,MATCH(B154,'Gate events'!$A$4:$A$553,0))),"Closure date before parent event date",IF(AND(G154="Closed-verified",M154=""),"Verifier / date missing",IF(AND(N154="Yes",G154="Closed-verified",O154=""),"Monitoring condition needs AIG-OPS-02 evidence ref",IF(AND(G154="Open",F154&lt;TODAY()),"OVERDUE (derived) — review",IF(G154="Unknown","State Unknown: owner to confirm","Check against source")))))))))))))))))))</f>
        <v/>
      </c>
      <c r="K154" s="37" t="n"/>
      <c r="L154" s="37" t="n"/>
      <c r="M154" s="38" t="n"/>
      <c r="N154" s="38" t="n"/>
      <c r="O154" s="38" t="n"/>
    </row>
    <row r="155">
      <c r="A155" s="40" t="n"/>
      <c r="B155" s="40" t="n"/>
      <c r="C155" s="40" t="n"/>
      <c r="D155" s="40" t="n"/>
      <c r="E155" s="40" t="n"/>
      <c r="F155" s="41" t="n"/>
      <c r="G155" s="40" t="n"/>
      <c r="H155" s="41" t="n"/>
      <c r="I155" s="40" t="n"/>
      <c r="J155" s="24">
        <f>IF(COUNTA(A155:I155,K155:O155)=0,"",IF(OR(A155="",B155="",C155=""),"ID / parent missing",IF(COUNTIF($A$4:$A$553,A155)&gt;1,"Duplicate condition ID",IF(COUNTIF('Gate events'!$A$4:$A$553,B155)=0,"Event ID not found",IF(INDEX('Gate events'!$B$4:$B$553,MATCH(B155,'Gate events'!$A$4:$A$553,0))&lt;&gt;C155,"AIR-ID differs from event",IF(IF(INDEX('Gate events'!$P$4:$P$553,MATCH(B155,'Gate events'!$A$4:$A$553,0))="UC-ID specific",IF(OR(L155&lt;&gt;"UC-ID specific",K155=""),"Condition UC-ID required",IF(ISNUMBER(SEARCH(","&amp;SUBSTITUTE(K155," ","")&amp;",",","&amp;SUBSTITUTE(INDEX('Gate events'!$O$4:$O$553,MATCH(B155,'Gate events'!$A$4:$A$553,0))," ","")&amp;",")),"","UC-ID differs from decision")),IF(INDEX('Gate events'!$P$4:$P$553,MATCH(B155,'Gate events'!$A$4:$A$553,0))="Shared system baseline",IF(OR(L155&lt;&gt;"Shared system baseline",K155&lt;&gt;""),"Condition scope differs from decision",""),"Parent decision scope missing"))&lt;&gt;"",IF(INDEX('Gate events'!$P$4:$P$553,MATCH(B155,'Gate events'!$A$4:$A$553,0))="UC-ID specific",IF(OR(L155&lt;&gt;"UC-ID specific",K155=""),"Condition UC-ID required",IF(ISNUMBER(SEARCH(","&amp;SUBSTITUTE(K155," ","")&amp;",",","&amp;SUBSTITUTE(INDEX('Gate events'!$O$4:$O$553,MATCH(B155,'Gate events'!$A$4:$A$553,0))," ","")&amp;",")),"","UC-ID differs from decision")),IF(INDEX('Gate events'!$P$4:$P$553,MATCH(B155,'Gate events'!$A$4:$A$553,0))="Shared system baseline",IF(OR(L155&lt;&gt;"Shared system baseline",K155&lt;&gt;""),"Condition scope differs from decision",""),"Parent decision scope missing")),IF(OR(D155="",E155="",F155="",G155=""),"Condition, owner, due date or state missing",IF(NOT(ISNUMBER(F155)),"Due date is not a date",IF(OR(G155="Overdue",G155="Superseded"),"Legacy state — owner review (use the shared five states)",IF(INDEX('Gate events'!$E$4:$E$553,MATCH(B155,'Gate events'!$A$4:$A$553,0))&lt;&gt;"Decision","Parent event is not a Decision",IF(AND(INDEX('Gate events'!$G$4:$G$553,MATCH(B155,'Gate events'!$A$4:$A$553,0))&lt;&gt;"Progress with condition",INDEX('Gate events'!$G$4:$G$553,MATCH(B155,'Gate events'!$A$4:$A$553,0))&lt;&gt;"Re-authorise",INDEX('Gate events'!$G$4:$G$553,MATCH(B155,'Gate events'!$A$4:$A$553,0))&lt;&gt;"Resume"),"Parent outcome is not Progress with condition / Re-authorise / Resume",IF(AND(ISNUMBER(INDEX('Gate events'!$F$4:$F$553,MATCH(B155,'Gate events'!$A$4:$A$553,0))),F155&lt;INDEX('Gate events'!$F$4:$F$553,MATCH(B155,'Gate events'!$A$4:$A$553,0))),"Due date before parent event date",IF(AND(OR(G155="Closed-verified",G155="Waived",G155="Accepted-open"),OR(H155="",I155="")),"Closure evidence missing",IF(AND(H155&lt;&gt;"",NOT(ISNUMBER(H155))),"Closed / waived on is not a date",IF(AND(ISNUMBER(H155),ISNUMBER(INDEX('Gate events'!$F$4:$F$553,MATCH(B155,'Gate events'!$A$4:$A$553,0))),H155&lt;INDEX('Gate events'!$F$4:$F$553,MATCH(B155,'Gate events'!$A$4:$A$553,0))),"Closure date before parent event date",IF(AND(G155="Closed-verified",M155=""),"Verifier / date missing",IF(AND(N155="Yes",G155="Closed-verified",O155=""),"Monitoring condition needs AIG-OPS-02 evidence ref",IF(AND(G155="Open",F155&lt;TODAY()),"OVERDUE (derived) — review",IF(G155="Unknown","State Unknown: owner to confirm","Check against source")))))))))))))))))))</f>
        <v/>
      </c>
      <c r="K155" s="37" t="n"/>
      <c r="L155" s="37" t="n"/>
      <c r="M155" s="40" t="n"/>
      <c r="N155" s="40" t="n"/>
      <c r="O155" s="40" t="n"/>
    </row>
    <row r="156">
      <c r="A156" s="38" t="n"/>
      <c r="B156" s="38" t="n"/>
      <c r="C156" s="38" t="n"/>
      <c r="D156" s="38" t="n"/>
      <c r="E156" s="38" t="n"/>
      <c r="F156" s="39" t="n"/>
      <c r="G156" s="38" t="n"/>
      <c r="H156" s="39" t="n"/>
      <c r="I156" s="38" t="n"/>
      <c r="J156" s="22">
        <f>IF(COUNTA(A156:I156,K156:O156)=0,"",IF(OR(A156="",B156="",C156=""),"ID / parent missing",IF(COUNTIF($A$4:$A$553,A156)&gt;1,"Duplicate condition ID",IF(COUNTIF('Gate events'!$A$4:$A$553,B156)=0,"Event ID not found",IF(INDEX('Gate events'!$B$4:$B$553,MATCH(B156,'Gate events'!$A$4:$A$553,0))&lt;&gt;C156,"AIR-ID differs from event",IF(IF(INDEX('Gate events'!$P$4:$P$553,MATCH(B156,'Gate events'!$A$4:$A$553,0))="UC-ID specific",IF(OR(L156&lt;&gt;"UC-ID specific",K156=""),"Condition UC-ID required",IF(ISNUMBER(SEARCH(","&amp;SUBSTITUTE(K156," ","")&amp;",",","&amp;SUBSTITUTE(INDEX('Gate events'!$O$4:$O$553,MATCH(B156,'Gate events'!$A$4:$A$553,0))," ","")&amp;",")),"","UC-ID differs from decision")),IF(INDEX('Gate events'!$P$4:$P$553,MATCH(B156,'Gate events'!$A$4:$A$553,0))="Shared system baseline",IF(OR(L156&lt;&gt;"Shared system baseline",K156&lt;&gt;""),"Condition scope differs from decision",""),"Parent decision scope missing"))&lt;&gt;"",IF(INDEX('Gate events'!$P$4:$P$553,MATCH(B156,'Gate events'!$A$4:$A$553,0))="UC-ID specific",IF(OR(L156&lt;&gt;"UC-ID specific",K156=""),"Condition UC-ID required",IF(ISNUMBER(SEARCH(","&amp;SUBSTITUTE(K156," ","")&amp;",",","&amp;SUBSTITUTE(INDEX('Gate events'!$O$4:$O$553,MATCH(B156,'Gate events'!$A$4:$A$553,0))," ","")&amp;",")),"","UC-ID differs from decision")),IF(INDEX('Gate events'!$P$4:$P$553,MATCH(B156,'Gate events'!$A$4:$A$553,0))="Shared system baseline",IF(OR(L156&lt;&gt;"Shared system baseline",K156&lt;&gt;""),"Condition scope differs from decision",""),"Parent decision scope missing")),IF(OR(D156="",E156="",F156="",G156=""),"Condition, owner, due date or state missing",IF(NOT(ISNUMBER(F156)),"Due date is not a date",IF(OR(G156="Overdue",G156="Superseded"),"Legacy state — owner review (use the shared five states)",IF(INDEX('Gate events'!$E$4:$E$553,MATCH(B156,'Gate events'!$A$4:$A$553,0))&lt;&gt;"Decision","Parent event is not a Decision",IF(AND(INDEX('Gate events'!$G$4:$G$553,MATCH(B156,'Gate events'!$A$4:$A$553,0))&lt;&gt;"Progress with condition",INDEX('Gate events'!$G$4:$G$553,MATCH(B156,'Gate events'!$A$4:$A$553,0))&lt;&gt;"Re-authorise",INDEX('Gate events'!$G$4:$G$553,MATCH(B156,'Gate events'!$A$4:$A$553,0))&lt;&gt;"Resume"),"Parent outcome is not Progress with condition / Re-authorise / Resume",IF(AND(ISNUMBER(INDEX('Gate events'!$F$4:$F$553,MATCH(B156,'Gate events'!$A$4:$A$553,0))),F156&lt;INDEX('Gate events'!$F$4:$F$553,MATCH(B156,'Gate events'!$A$4:$A$553,0))),"Due date before parent event date",IF(AND(OR(G156="Closed-verified",G156="Waived",G156="Accepted-open"),OR(H156="",I156="")),"Closure evidence missing",IF(AND(H156&lt;&gt;"",NOT(ISNUMBER(H156))),"Closed / waived on is not a date",IF(AND(ISNUMBER(H156),ISNUMBER(INDEX('Gate events'!$F$4:$F$553,MATCH(B156,'Gate events'!$A$4:$A$553,0))),H156&lt;INDEX('Gate events'!$F$4:$F$553,MATCH(B156,'Gate events'!$A$4:$A$553,0))),"Closure date before parent event date",IF(AND(G156="Closed-verified",M156=""),"Verifier / date missing",IF(AND(N156="Yes",G156="Closed-verified",O156=""),"Monitoring condition needs AIG-OPS-02 evidence ref",IF(AND(G156="Open",F156&lt;TODAY()),"OVERDUE (derived) — review",IF(G156="Unknown","State Unknown: owner to confirm","Check against source")))))))))))))))))))</f>
        <v/>
      </c>
      <c r="K156" s="37" t="n"/>
      <c r="L156" s="37" t="n"/>
      <c r="M156" s="38" t="n"/>
      <c r="N156" s="38" t="n"/>
      <c r="O156" s="38" t="n"/>
    </row>
    <row r="157">
      <c r="A157" s="40" t="n"/>
      <c r="B157" s="40" t="n"/>
      <c r="C157" s="40" t="n"/>
      <c r="D157" s="40" t="n"/>
      <c r="E157" s="40" t="n"/>
      <c r="F157" s="41" t="n"/>
      <c r="G157" s="40" t="n"/>
      <c r="H157" s="41" t="n"/>
      <c r="I157" s="40" t="n"/>
      <c r="J157" s="24">
        <f>IF(COUNTA(A157:I157,K157:O157)=0,"",IF(OR(A157="",B157="",C157=""),"ID / parent missing",IF(COUNTIF($A$4:$A$553,A157)&gt;1,"Duplicate condition ID",IF(COUNTIF('Gate events'!$A$4:$A$553,B157)=0,"Event ID not found",IF(INDEX('Gate events'!$B$4:$B$553,MATCH(B157,'Gate events'!$A$4:$A$553,0))&lt;&gt;C157,"AIR-ID differs from event",IF(IF(INDEX('Gate events'!$P$4:$P$553,MATCH(B157,'Gate events'!$A$4:$A$553,0))="UC-ID specific",IF(OR(L157&lt;&gt;"UC-ID specific",K157=""),"Condition UC-ID required",IF(ISNUMBER(SEARCH(","&amp;SUBSTITUTE(K157," ","")&amp;",",","&amp;SUBSTITUTE(INDEX('Gate events'!$O$4:$O$553,MATCH(B157,'Gate events'!$A$4:$A$553,0))," ","")&amp;",")),"","UC-ID differs from decision")),IF(INDEX('Gate events'!$P$4:$P$553,MATCH(B157,'Gate events'!$A$4:$A$553,0))="Shared system baseline",IF(OR(L157&lt;&gt;"Shared system baseline",K157&lt;&gt;""),"Condition scope differs from decision",""),"Parent decision scope missing"))&lt;&gt;"",IF(INDEX('Gate events'!$P$4:$P$553,MATCH(B157,'Gate events'!$A$4:$A$553,0))="UC-ID specific",IF(OR(L157&lt;&gt;"UC-ID specific",K157=""),"Condition UC-ID required",IF(ISNUMBER(SEARCH(","&amp;SUBSTITUTE(K157," ","")&amp;",",","&amp;SUBSTITUTE(INDEX('Gate events'!$O$4:$O$553,MATCH(B157,'Gate events'!$A$4:$A$553,0))," ","")&amp;",")),"","UC-ID differs from decision")),IF(INDEX('Gate events'!$P$4:$P$553,MATCH(B157,'Gate events'!$A$4:$A$553,0))="Shared system baseline",IF(OR(L157&lt;&gt;"Shared system baseline",K157&lt;&gt;""),"Condition scope differs from decision",""),"Parent decision scope missing")),IF(OR(D157="",E157="",F157="",G157=""),"Condition, owner, due date or state missing",IF(NOT(ISNUMBER(F157)),"Due date is not a date",IF(OR(G157="Overdue",G157="Superseded"),"Legacy state — owner review (use the shared five states)",IF(INDEX('Gate events'!$E$4:$E$553,MATCH(B157,'Gate events'!$A$4:$A$553,0))&lt;&gt;"Decision","Parent event is not a Decision",IF(AND(INDEX('Gate events'!$G$4:$G$553,MATCH(B157,'Gate events'!$A$4:$A$553,0))&lt;&gt;"Progress with condition",INDEX('Gate events'!$G$4:$G$553,MATCH(B157,'Gate events'!$A$4:$A$553,0))&lt;&gt;"Re-authorise",INDEX('Gate events'!$G$4:$G$553,MATCH(B157,'Gate events'!$A$4:$A$553,0))&lt;&gt;"Resume"),"Parent outcome is not Progress with condition / Re-authorise / Resume",IF(AND(ISNUMBER(INDEX('Gate events'!$F$4:$F$553,MATCH(B157,'Gate events'!$A$4:$A$553,0))),F157&lt;INDEX('Gate events'!$F$4:$F$553,MATCH(B157,'Gate events'!$A$4:$A$553,0))),"Due date before parent event date",IF(AND(OR(G157="Closed-verified",G157="Waived",G157="Accepted-open"),OR(H157="",I157="")),"Closure evidence missing",IF(AND(H157&lt;&gt;"",NOT(ISNUMBER(H157))),"Closed / waived on is not a date",IF(AND(ISNUMBER(H157),ISNUMBER(INDEX('Gate events'!$F$4:$F$553,MATCH(B157,'Gate events'!$A$4:$A$553,0))),H157&lt;INDEX('Gate events'!$F$4:$F$553,MATCH(B157,'Gate events'!$A$4:$A$553,0))),"Closure date before parent event date",IF(AND(G157="Closed-verified",M157=""),"Verifier / date missing",IF(AND(N157="Yes",G157="Closed-verified",O157=""),"Monitoring condition needs AIG-OPS-02 evidence ref",IF(AND(G157="Open",F157&lt;TODAY()),"OVERDUE (derived) — review",IF(G157="Unknown","State Unknown: owner to confirm","Check against source")))))))))))))))))))</f>
        <v/>
      </c>
      <c r="K157" s="37" t="n"/>
      <c r="L157" s="37" t="n"/>
      <c r="M157" s="40" t="n"/>
      <c r="N157" s="40" t="n"/>
      <c r="O157" s="40" t="n"/>
    </row>
    <row r="158">
      <c r="A158" s="38" t="n"/>
      <c r="B158" s="38" t="n"/>
      <c r="C158" s="38" t="n"/>
      <c r="D158" s="38" t="n"/>
      <c r="E158" s="38" t="n"/>
      <c r="F158" s="39" t="n"/>
      <c r="G158" s="38" t="n"/>
      <c r="H158" s="39" t="n"/>
      <c r="I158" s="38" t="n"/>
      <c r="J158" s="22">
        <f>IF(COUNTA(A158:I158,K158:O158)=0,"",IF(OR(A158="",B158="",C158=""),"ID / parent missing",IF(COUNTIF($A$4:$A$553,A158)&gt;1,"Duplicate condition ID",IF(COUNTIF('Gate events'!$A$4:$A$553,B158)=0,"Event ID not found",IF(INDEX('Gate events'!$B$4:$B$553,MATCH(B158,'Gate events'!$A$4:$A$553,0))&lt;&gt;C158,"AIR-ID differs from event",IF(IF(INDEX('Gate events'!$P$4:$P$553,MATCH(B158,'Gate events'!$A$4:$A$553,0))="UC-ID specific",IF(OR(L158&lt;&gt;"UC-ID specific",K158=""),"Condition UC-ID required",IF(ISNUMBER(SEARCH(","&amp;SUBSTITUTE(K158," ","")&amp;",",","&amp;SUBSTITUTE(INDEX('Gate events'!$O$4:$O$553,MATCH(B158,'Gate events'!$A$4:$A$553,0))," ","")&amp;",")),"","UC-ID differs from decision")),IF(INDEX('Gate events'!$P$4:$P$553,MATCH(B158,'Gate events'!$A$4:$A$553,0))="Shared system baseline",IF(OR(L158&lt;&gt;"Shared system baseline",K158&lt;&gt;""),"Condition scope differs from decision",""),"Parent decision scope missing"))&lt;&gt;"",IF(INDEX('Gate events'!$P$4:$P$553,MATCH(B158,'Gate events'!$A$4:$A$553,0))="UC-ID specific",IF(OR(L158&lt;&gt;"UC-ID specific",K158=""),"Condition UC-ID required",IF(ISNUMBER(SEARCH(","&amp;SUBSTITUTE(K158," ","")&amp;",",","&amp;SUBSTITUTE(INDEX('Gate events'!$O$4:$O$553,MATCH(B158,'Gate events'!$A$4:$A$553,0))," ","")&amp;",")),"","UC-ID differs from decision")),IF(INDEX('Gate events'!$P$4:$P$553,MATCH(B158,'Gate events'!$A$4:$A$553,0))="Shared system baseline",IF(OR(L158&lt;&gt;"Shared system baseline",K158&lt;&gt;""),"Condition scope differs from decision",""),"Parent decision scope missing")),IF(OR(D158="",E158="",F158="",G158=""),"Condition, owner, due date or state missing",IF(NOT(ISNUMBER(F158)),"Due date is not a date",IF(OR(G158="Overdue",G158="Superseded"),"Legacy state — owner review (use the shared five states)",IF(INDEX('Gate events'!$E$4:$E$553,MATCH(B158,'Gate events'!$A$4:$A$553,0))&lt;&gt;"Decision","Parent event is not a Decision",IF(AND(INDEX('Gate events'!$G$4:$G$553,MATCH(B158,'Gate events'!$A$4:$A$553,0))&lt;&gt;"Progress with condition",INDEX('Gate events'!$G$4:$G$553,MATCH(B158,'Gate events'!$A$4:$A$553,0))&lt;&gt;"Re-authorise",INDEX('Gate events'!$G$4:$G$553,MATCH(B158,'Gate events'!$A$4:$A$553,0))&lt;&gt;"Resume"),"Parent outcome is not Progress with condition / Re-authorise / Resume",IF(AND(ISNUMBER(INDEX('Gate events'!$F$4:$F$553,MATCH(B158,'Gate events'!$A$4:$A$553,0))),F158&lt;INDEX('Gate events'!$F$4:$F$553,MATCH(B158,'Gate events'!$A$4:$A$553,0))),"Due date before parent event date",IF(AND(OR(G158="Closed-verified",G158="Waived",G158="Accepted-open"),OR(H158="",I158="")),"Closure evidence missing",IF(AND(H158&lt;&gt;"",NOT(ISNUMBER(H158))),"Closed / waived on is not a date",IF(AND(ISNUMBER(H158),ISNUMBER(INDEX('Gate events'!$F$4:$F$553,MATCH(B158,'Gate events'!$A$4:$A$553,0))),H158&lt;INDEX('Gate events'!$F$4:$F$553,MATCH(B158,'Gate events'!$A$4:$A$553,0))),"Closure date before parent event date",IF(AND(G158="Closed-verified",M158=""),"Verifier / date missing",IF(AND(N158="Yes",G158="Closed-verified",O158=""),"Monitoring condition needs AIG-OPS-02 evidence ref",IF(AND(G158="Open",F158&lt;TODAY()),"OVERDUE (derived) — review",IF(G158="Unknown","State Unknown: owner to confirm","Check against source")))))))))))))))))))</f>
        <v/>
      </c>
      <c r="K158" s="37" t="n"/>
      <c r="L158" s="37" t="n"/>
      <c r="M158" s="38" t="n"/>
      <c r="N158" s="38" t="n"/>
      <c r="O158" s="38" t="n"/>
    </row>
    <row r="159">
      <c r="A159" s="40" t="n"/>
      <c r="B159" s="40" t="n"/>
      <c r="C159" s="40" t="n"/>
      <c r="D159" s="40" t="n"/>
      <c r="E159" s="40" t="n"/>
      <c r="F159" s="41" t="n"/>
      <c r="G159" s="40" t="n"/>
      <c r="H159" s="41" t="n"/>
      <c r="I159" s="40" t="n"/>
      <c r="J159" s="24">
        <f>IF(COUNTA(A159:I159,K159:O159)=0,"",IF(OR(A159="",B159="",C159=""),"ID / parent missing",IF(COUNTIF($A$4:$A$553,A159)&gt;1,"Duplicate condition ID",IF(COUNTIF('Gate events'!$A$4:$A$553,B159)=0,"Event ID not found",IF(INDEX('Gate events'!$B$4:$B$553,MATCH(B159,'Gate events'!$A$4:$A$553,0))&lt;&gt;C159,"AIR-ID differs from event",IF(IF(INDEX('Gate events'!$P$4:$P$553,MATCH(B159,'Gate events'!$A$4:$A$553,0))="UC-ID specific",IF(OR(L159&lt;&gt;"UC-ID specific",K159=""),"Condition UC-ID required",IF(ISNUMBER(SEARCH(","&amp;SUBSTITUTE(K159," ","")&amp;",",","&amp;SUBSTITUTE(INDEX('Gate events'!$O$4:$O$553,MATCH(B159,'Gate events'!$A$4:$A$553,0))," ","")&amp;",")),"","UC-ID differs from decision")),IF(INDEX('Gate events'!$P$4:$P$553,MATCH(B159,'Gate events'!$A$4:$A$553,0))="Shared system baseline",IF(OR(L159&lt;&gt;"Shared system baseline",K159&lt;&gt;""),"Condition scope differs from decision",""),"Parent decision scope missing"))&lt;&gt;"",IF(INDEX('Gate events'!$P$4:$P$553,MATCH(B159,'Gate events'!$A$4:$A$553,0))="UC-ID specific",IF(OR(L159&lt;&gt;"UC-ID specific",K159=""),"Condition UC-ID required",IF(ISNUMBER(SEARCH(","&amp;SUBSTITUTE(K159," ","")&amp;",",","&amp;SUBSTITUTE(INDEX('Gate events'!$O$4:$O$553,MATCH(B159,'Gate events'!$A$4:$A$553,0))," ","")&amp;",")),"","UC-ID differs from decision")),IF(INDEX('Gate events'!$P$4:$P$553,MATCH(B159,'Gate events'!$A$4:$A$553,0))="Shared system baseline",IF(OR(L159&lt;&gt;"Shared system baseline",K159&lt;&gt;""),"Condition scope differs from decision",""),"Parent decision scope missing")),IF(OR(D159="",E159="",F159="",G159=""),"Condition, owner, due date or state missing",IF(NOT(ISNUMBER(F159)),"Due date is not a date",IF(OR(G159="Overdue",G159="Superseded"),"Legacy state — owner review (use the shared five states)",IF(INDEX('Gate events'!$E$4:$E$553,MATCH(B159,'Gate events'!$A$4:$A$553,0))&lt;&gt;"Decision","Parent event is not a Decision",IF(AND(INDEX('Gate events'!$G$4:$G$553,MATCH(B159,'Gate events'!$A$4:$A$553,0))&lt;&gt;"Progress with condition",INDEX('Gate events'!$G$4:$G$553,MATCH(B159,'Gate events'!$A$4:$A$553,0))&lt;&gt;"Re-authorise",INDEX('Gate events'!$G$4:$G$553,MATCH(B159,'Gate events'!$A$4:$A$553,0))&lt;&gt;"Resume"),"Parent outcome is not Progress with condition / Re-authorise / Resume",IF(AND(ISNUMBER(INDEX('Gate events'!$F$4:$F$553,MATCH(B159,'Gate events'!$A$4:$A$553,0))),F159&lt;INDEX('Gate events'!$F$4:$F$553,MATCH(B159,'Gate events'!$A$4:$A$553,0))),"Due date before parent event date",IF(AND(OR(G159="Closed-verified",G159="Waived",G159="Accepted-open"),OR(H159="",I159="")),"Closure evidence missing",IF(AND(H159&lt;&gt;"",NOT(ISNUMBER(H159))),"Closed / waived on is not a date",IF(AND(ISNUMBER(H159),ISNUMBER(INDEX('Gate events'!$F$4:$F$553,MATCH(B159,'Gate events'!$A$4:$A$553,0))),H159&lt;INDEX('Gate events'!$F$4:$F$553,MATCH(B159,'Gate events'!$A$4:$A$553,0))),"Closure date before parent event date",IF(AND(G159="Closed-verified",M159=""),"Verifier / date missing",IF(AND(N159="Yes",G159="Closed-verified",O159=""),"Monitoring condition needs AIG-OPS-02 evidence ref",IF(AND(G159="Open",F159&lt;TODAY()),"OVERDUE (derived) — review",IF(G159="Unknown","State Unknown: owner to confirm","Check against source")))))))))))))))))))</f>
        <v/>
      </c>
      <c r="K159" s="37" t="n"/>
      <c r="L159" s="37" t="n"/>
      <c r="M159" s="40" t="n"/>
      <c r="N159" s="40" t="n"/>
      <c r="O159" s="40" t="n"/>
    </row>
    <row r="160">
      <c r="A160" s="38" t="n"/>
      <c r="B160" s="38" t="n"/>
      <c r="C160" s="38" t="n"/>
      <c r="D160" s="38" t="n"/>
      <c r="E160" s="38" t="n"/>
      <c r="F160" s="39" t="n"/>
      <c r="G160" s="38" t="n"/>
      <c r="H160" s="39" t="n"/>
      <c r="I160" s="38" t="n"/>
      <c r="J160" s="22">
        <f>IF(COUNTA(A160:I160,K160:O160)=0,"",IF(OR(A160="",B160="",C160=""),"ID / parent missing",IF(COUNTIF($A$4:$A$553,A160)&gt;1,"Duplicate condition ID",IF(COUNTIF('Gate events'!$A$4:$A$553,B160)=0,"Event ID not found",IF(INDEX('Gate events'!$B$4:$B$553,MATCH(B160,'Gate events'!$A$4:$A$553,0))&lt;&gt;C160,"AIR-ID differs from event",IF(IF(INDEX('Gate events'!$P$4:$P$553,MATCH(B160,'Gate events'!$A$4:$A$553,0))="UC-ID specific",IF(OR(L160&lt;&gt;"UC-ID specific",K160=""),"Condition UC-ID required",IF(ISNUMBER(SEARCH(","&amp;SUBSTITUTE(K160," ","")&amp;",",","&amp;SUBSTITUTE(INDEX('Gate events'!$O$4:$O$553,MATCH(B160,'Gate events'!$A$4:$A$553,0))," ","")&amp;",")),"","UC-ID differs from decision")),IF(INDEX('Gate events'!$P$4:$P$553,MATCH(B160,'Gate events'!$A$4:$A$553,0))="Shared system baseline",IF(OR(L160&lt;&gt;"Shared system baseline",K160&lt;&gt;""),"Condition scope differs from decision",""),"Parent decision scope missing"))&lt;&gt;"",IF(INDEX('Gate events'!$P$4:$P$553,MATCH(B160,'Gate events'!$A$4:$A$553,0))="UC-ID specific",IF(OR(L160&lt;&gt;"UC-ID specific",K160=""),"Condition UC-ID required",IF(ISNUMBER(SEARCH(","&amp;SUBSTITUTE(K160," ","")&amp;",",","&amp;SUBSTITUTE(INDEX('Gate events'!$O$4:$O$553,MATCH(B160,'Gate events'!$A$4:$A$553,0))," ","")&amp;",")),"","UC-ID differs from decision")),IF(INDEX('Gate events'!$P$4:$P$553,MATCH(B160,'Gate events'!$A$4:$A$553,0))="Shared system baseline",IF(OR(L160&lt;&gt;"Shared system baseline",K160&lt;&gt;""),"Condition scope differs from decision",""),"Parent decision scope missing")),IF(OR(D160="",E160="",F160="",G160=""),"Condition, owner, due date or state missing",IF(NOT(ISNUMBER(F160)),"Due date is not a date",IF(OR(G160="Overdue",G160="Superseded"),"Legacy state — owner review (use the shared five states)",IF(INDEX('Gate events'!$E$4:$E$553,MATCH(B160,'Gate events'!$A$4:$A$553,0))&lt;&gt;"Decision","Parent event is not a Decision",IF(AND(INDEX('Gate events'!$G$4:$G$553,MATCH(B160,'Gate events'!$A$4:$A$553,0))&lt;&gt;"Progress with condition",INDEX('Gate events'!$G$4:$G$553,MATCH(B160,'Gate events'!$A$4:$A$553,0))&lt;&gt;"Re-authorise",INDEX('Gate events'!$G$4:$G$553,MATCH(B160,'Gate events'!$A$4:$A$553,0))&lt;&gt;"Resume"),"Parent outcome is not Progress with condition / Re-authorise / Resume",IF(AND(ISNUMBER(INDEX('Gate events'!$F$4:$F$553,MATCH(B160,'Gate events'!$A$4:$A$553,0))),F160&lt;INDEX('Gate events'!$F$4:$F$553,MATCH(B160,'Gate events'!$A$4:$A$553,0))),"Due date before parent event date",IF(AND(OR(G160="Closed-verified",G160="Waived",G160="Accepted-open"),OR(H160="",I160="")),"Closure evidence missing",IF(AND(H160&lt;&gt;"",NOT(ISNUMBER(H160))),"Closed / waived on is not a date",IF(AND(ISNUMBER(H160),ISNUMBER(INDEX('Gate events'!$F$4:$F$553,MATCH(B160,'Gate events'!$A$4:$A$553,0))),H160&lt;INDEX('Gate events'!$F$4:$F$553,MATCH(B160,'Gate events'!$A$4:$A$553,0))),"Closure date before parent event date",IF(AND(G160="Closed-verified",M160=""),"Verifier / date missing",IF(AND(N160="Yes",G160="Closed-verified",O160=""),"Monitoring condition needs AIG-OPS-02 evidence ref",IF(AND(G160="Open",F160&lt;TODAY()),"OVERDUE (derived) — review",IF(G160="Unknown","State Unknown: owner to confirm","Check against source")))))))))))))))))))</f>
        <v/>
      </c>
      <c r="K160" s="37" t="n"/>
      <c r="L160" s="37" t="n"/>
      <c r="M160" s="38" t="n"/>
      <c r="N160" s="38" t="n"/>
      <c r="O160" s="38" t="n"/>
    </row>
    <row r="161">
      <c r="A161" s="40" t="n"/>
      <c r="B161" s="40" t="n"/>
      <c r="C161" s="40" t="n"/>
      <c r="D161" s="40" t="n"/>
      <c r="E161" s="40" t="n"/>
      <c r="F161" s="41" t="n"/>
      <c r="G161" s="40" t="n"/>
      <c r="H161" s="41" t="n"/>
      <c r="I161" s="40" t="n"/>
      <c r="J161" s="24">
        <f>IF(COUNTA(A161:I161,K161:O161)=0,"",IF(OR(A161="",B161="",C161=""),"ID / parent missing",IF(COUNTIF($A$4:$A$553,A161)&gt;1,"Duplicate condition ID",IF(COUNTIF('Gate events'!$A$4:$A$553,B161)=0,"Event ID not found",IF(INDEX('Gate events'!$B$4:$B$553,MATCH(B161,'Gate events'!$A$4:$A$553,0))&lt;&gt;C161,"AIR-ID differs from event",IF(IF(INDEX('Gate events'!$P$4:$P$553,MATCH(B161,'Gate events'!$A$4:$A$553,0))="UC-ID specific",IF(OR(L161&lt;&gt;"UC-ID specific",K161=""),"Condition UC-ID required",IF(ISNUMBER(SEARCH(","&amp;SUBSTITUTE(K161," ","")&amp;",",","&amp;SUBSTITUTE(INDEX('Gate events'!$O$4:$O$553,MATCH(B161,'Gate events'!$A$4:$A$553,0))," ","")&amp;",")),"","UC-ID differs from decision")),IF(INDEX('Gate events'!$P$4:$P$553,MATCH(B161,'Gate events'!$A$4:$A$553,0))="Shared system baseline",IF(OR(L161&lt;&gt;"Shared system baseline",K161&lt;&gt;""),"Condition scope differs from decision",""),"Parent decision scope missing"))&lt;&gt;"",IF(INDEX('Gate events'!$P$4:$P$553,MATCH(B161,'Gate events'!$A$4:$A$553,0))="UC-ID specific",IF(OR(L161&lt;&gt;"UC-ID specific",K161=""),"Condition UC-ID required",IF(ISNUMBER(SEARCH(","&amp;SUBSTITUTE(K161," ","")&amp;",",","&amp;SUBSTITUTE(INDEX('Gate events'!$O$4:$O$553,MATCH(B161,'Gate events'!$A$4:$A$553,0))," ","")&amp;",")),"","UC-ID differs from decision")),IF(INDEX('Gate events'!$P$4:$P$553,MATCH(B161,'Gate events'!$A$4:$A$553,0))="Shared system baseline",IF(OR(L161&lt;&gt;"Shared system baseline",K161&lt;&gt;""),"Condition scope differs from decision",""),"Parent decision scope missing")),IF(OR(D161="",E161="",F161="",G161=""),"Condition, owner, due date or state missing",IF(NOT(ISNUMBER(F161)),"Due date is not a date",IF(OR(G161="Overdue",G161="Superseded"),"Legacy state — owner review (use the shared five states)",IF(INDEX('Gate events'!$E$4:$E$553,MATCH(B161,'Gate events'!$A$4:$A$553,0))&lt;&gt;"Decision","Parent event is not a Decision",IF(AND(INDEX('Gate events'!$G$4:$G$553,MATCH(B161,'Gate events'!$A$4:$A$553,0))&lt;&gt;"Progress with condition",INDEX('Gate events'!$G$4:$G$553,MATCH(B161,'Gate events'!$A$4:$A$553,0))&lt;&gt;"Re-authorise",INDEX('Gate events'!$G$4:$G$553,MATCH(B161,'Gate events'!$A$4:$A$553,0))&lt;&gt;"Resume"),"Parent outcome is not Progress with condition / Re-authorise / Resume",IF(AND(ISNUMBER(INDEX('Gate events'!$F$4:$F$553,MATCH(B161,'Gate events'!$A$4:$A$553,0))),F161&lt;INDEX('Gate events'!$F$4:$F$553,MATCH(B161,'Gate events'!$A$4:$A$553,0))),"Due date before parent event date",IF(AND(OR(G161="Closed-verified",G161="Waived",G161="Accepted-open"),OR(H161="",I161="")),"Closure evidence missing",IF(AND(H161&lt;&gt;"",NOT(ISNUMBER(H161))),"Closed / waived on is not a date",IF(AND(ISNUMBER(H161),ISNUMBER(INDEX('Gate events'!$F$4:$F$553,MATCH(B161,'Gate events'!$A$4:$A$553,0))),H161&lt;INDEX('Gate events'!$F$4:$F$553,MATCH(B161,'Gate events'!$A$4:$A$553,0))),"Closure date before parent event date",IF(AND(G161="Closed-verified",M161=""),"Verifier / date missing",IF(AND(N161="Yes",G161="Closed-verified",O161=""),"Monitoring condition needs AIG-OPS-02 evidence ref",IF(AND(G161="Open",F161&lt;TODAY()),"OVERDUE (derived) — review",IF(G161="Unknown","State Unknown: owner to confirm","Check against source")))))))))))))))))))</f>
        <v/>
      </c>
      <c r="K161" s="37" t="n"/>
      <c r="L161" s="37" t="n"/>
      <c r="M161" s="40" t="n"/>
      <c r="N161" s="40" t="n"/>
      <c r="O161" s="40" t="n"/>
    </row>
    <row r="162">
      <c r="A162" s="38" t="n"/>
      <c r="B162" s="38" t="n"/>
      <c r="C162" s="38" t="n"/>
      <c r="D162" s="38" t="n"/>
      <c r="E162" s="38" t="n"/>
      <c r="F162" s="39" t="n"/>
      <c r="G162" s="38" t="n"/>
      <c r="H162" s="39" t="n"/>
      <c r="I162" s="38" t="n"/>
      <c r="J162" s="22">
        <f>IF(COUNTA(A162:I162,K162:O162)=0,"",IF(OR(A162="",B162="",C162=""),"ID / parent missing",IF(COUNTIF($A$4:$A$553,A162)&gt;1,"Duplicate condition ID",IF(COUNTIF('Gate events'!$A$4:$A$553,B162)=0,"Event ID not found",IF(INDEX('Gate events'!$B$4:$B$553,MATCH(B162,'Gate events'!$A$4:$A$553,0))&lt;&gt;C162,"AIR-ID differs from event",IF(IF(INDEX('Gate events'!$P$4:$P$553,MATCH(B162,'Gate events'!$A$4:$A$553,0))="UC-ID specific",IF(OR(L162&lt;&gt;"UC-ID specific",K162=""),"Condition UC-ID required",IF(ISNUMBER(SEARCH(","&amp;SUBSTITUTE(K162," ","")&amp;",",","&amp;SUBSTITUTE(INDEX('Gate events'!$O$4:$O$553,MATCH(B162,'Gate events'!$A$4:$A$553,0))," ","")&amp;",")),"","UC-ID differs from decision")),IF(INDEX('Gate events'!$P$4:$P$553,MATCH(B162,'Gate events'!$A$4:$A$553,0))="Shared system baseline",IF(OR(L162&lt;&gt;"Shared system baseline",K162&lt;&gt;""),"Condition scope differs from decision",""),"Parent decision scope missing"))&lt;&gt;"",IF(INDEX('Gate events'!$P$4:$P$553,MATCH(B162,'Gate events'!$A$4:$A$553,0))="UC-ID specific",IF(OR(L162&lt;&gt;"UC-ID specific",K162=""),"Condition UC-ID required",IF(ISNUMBER(SEARCH(","&amp;SUBSTITUTE(K162," ","")&amp;",",","&amp;SUBSTITUTE(INDEX('Gate events'!$O$4:$O$553,MATCH(B162,'Gate events'!$A$4:$A$553,0))," ","")&amp;",")),"","UC-ID differs from decision")),IF(INDEX('Gate events'!$P$4:$P$553,MATCH(B162,'Gate events'!$A$4:$A$553,0))="Shared system baseline",IF(OR(L162&lt;&gt;"Shared system baseline",K162&lt;&gt;""),"Condition scope differs from decision",""),"Parent decision scope missing")),IF(OR(D162="",E162="",F162="",G162=""),"Condition, owner, due date or state missing",IF(NOT(ISNUMBER(F162)),"Due date is not a date",IF(OR(G162="Overdue",G162="Superseded"),"Legacy state — owner review (use the shared five states)",IF(INDEX('Gate events'!$E$4:$E$553,MATCH(B162,'Gate events'!$A$4:$A$553,0))&lt;&gt;"Decision","Parent event is not a Decision",IF(AND(INDEX('Gate events'!$G$4:$G$553,MATCH(B162,'Gate events'!$A$4:$A$553,0))&lt;&gt;"Progress with condition",INDEX('Gate events'!$G$4:$G$553,MATCH(B162,'Gate events'!$A$4:$A$553,0))&lt;&gt;"Re-authorise",INDEX('Gate events'!$G$4:$G$553,MATCH(B162,'Gate events'!$A$4:$A$553,0))&lt;&gt;"Resume"),"Parent outcome is not Progress with condition / Re-authorise / Resume",IF(AND(ISNUMBER(INDEX('Gate events'!$F$4:$F$553,MATCH(B162,'Gate events'!$A$4:$A$553,0))),F162&lt;INDEX('Gate events'!$F$4:$F$553,MATCH(B162,'Gate events'!$A$4:$A$553,0))),"Due date before parent event date",IF(AND(OR(G162="Closed-verified",G162="Waived",G162="Accepted-open"),OR(H162="",I162="")),"Closure evidence missing",IF(AND(H162&lt;&gt;"",NOT(ISNUMBER(H162))),"Closed / waived on is not a date",IF(AND(ISNUMBER(H162),ISNUMBER(INDEX('Gate events'!$F$4:$F$553,MATCH(B162,'Gate events'!$A$4:$A$553,0))),H162&lt;INDEX('Gate events'!$F$4:$F$553,MATCH(B162,'Gate events'!$A$4:$A$553,0))),"Closure date before parent event date",IF(AND(G162="Closed-verified",M162=""),"Verifier / date missing",IF(AND(N162="Yes",G162="Closed-verified",O162=""),"Monitoring condition needs AIG-OPS-02 evidence ref",IF(AND(G162="Open",F162&lt;TODAY()),"OVERDUE (derived) — review",IF(G162="Unknown","State Unknown: owner to confirm","Check against source")))))))))))))))))))</f>
        <v/>
      </c>
      <c r="K162" s="37" t="n"/>
      <c r="L162" s="37" t="n"/>
      <c r="M162" s="38" t="n"/>
      <c r="N162" s="38" t="n"/>
      <c r="O162" s="38" t="n"/>
    </row>
    <row r="163">
      <c r="A163" s="40" t="n"/>
      <c r="B163" s="40" t="n"/>
      <c r="C163" s="40" t="n"/>
      <c r="D163" s="40" t="n"/>
      <c r="E163" s="40" t="n"/>
      <c r="F163" s="41" t="n"/>
      <c r="G163" s="40" t="n"/>
      <c r="H163" s="41" t="n"/>
      <c r="I163" s="40" t="n"/>
      <c r="J163" s="24">
        <f>IF(COUNTA(A163:I163,K163:O163)=0,"",IF(OR(A163="",B163="",C163=""),"ID / parent missing",IF(COUNTIF($A$4:$A$553,A163)&gt;1,"Duplicate condition ID",IF(COUNTIF('Gate events'!$A$4:$A$553,B163)=0,"Event ID not found",IF(INDEX('Gate events'!$B$4:$B$553,MATCH(B163,'Gate events'!$A$4:$A$553,0))&lt;&gt;C163,"AIR-ID differs from event",IF(IF(INDEX('Gate events'!$P$4:$P$553,MATCH(B163,'Gate events'!$A$4:$A$553,0))="UC-ID specific",IF(OR(L163&lt;&gt;"UC-ID specific",K163=""),"Condition UC-ID required",IF(ISNUMBER(SEARCH(","&amp;SUBSTITUTE(K163," ","")&amp;",",","&amp;SUBSTITUTE(INDEX('Gate events'!$O$4:$O$553,MATCH(B163,'Gate events'!$A$4:$A$553,0))," ","")&amp;",")),"","UC-ID differs from decision")),IF(INDEX('Gate events'!$P$4:$P$553,MATCH(B163,'Gate events'!$A$4:$A$553,0))="Shared system baseline",IF(OR(L163&lt;&gt;"Shared system baseline",K163&lt;&gt;""),"Condition scope differs from decision",""),"Parent decision scope missing"))&lt;&gt;"",IF(INDEX('Gate events'!$P$4:$P$553,MATCH(B163,'Gate events'!$A$4:$A$553,0))="UC-ID specific",IF(OR(L163&lt;&gt;"UC-ID specific",K163=""),"Condition UC-ID required",IF(ISNUMBER(SEARCH(","&amp;SUBSTITUTE(K163," ","")&amp;",",","&amp;SUBSTITUTE(INDEX('Gate events'!$O$4:$O$553,MATCH(B163,'Gate events'!$A$4:$A$553,0))," ","")&amp;",")),"","UC-ID differs from decision")),IF(INDEX('Gate events'!$P$4:$P$553,MATCH(B163,'Gate events'!$A$4:$A$553,0))="Shared system baseline",IF(OR(L163&lt;&gt;"Shared system baseline",K163&lt;&gt;""),"Condition scope differs from decision",""),"Parent decision scope missing")),IF(OR(D163="",E163="",F163="",G163=""),"Condition, owner, due date or state missing",IF(NOT(ISNUMBER(F163)),"Due date is not a date",IF(OR(G163="Overdue",G163="Superseded"),"Legacy state — owner review (use the shared five states)",IF(INDEX('Gate events'!$E$4:$E$553,MATCH(B163,'Gate events'!$A$4:$A$553,0))&lt;&gt;"Decision","Parent event is not a Decision",IF(AND(INDEX('Gate events'!$G$4:$G$553,MATCH(B163,'Gate events'!$A$4:$A$553,0))&lt;&gt;"Progress with condition",INDEX('Gate events'!$G$4:$G$553,MATCH(B163,'Gate events'!$A$4:$A$553,0))&lt;&gt;"Re-authorise",INDEX('Gate events'!$G$4:$G$553,MATCH(B163,'Gate events'!$A$4:$A$553,0))&lt;&gt;"Resume"),"Parent outcome is not Progress with condition / Re-authorise / Resume",IF(AND(ISNUMBER(INDEX('Gate events'!$F$4:$F$553,MATCH(B163,'Gate events'!$A$4:$A$553,0))),F163&lt;INDEX('Gate events'!$F$4:$F$553,MATCH(B163,'Gate events'!$A$4:$A$553,0))),"Due date before parent event date",IF(AND(OR(G163="Closed-verified",G163="Waived",G163="Accepted-open"),OR(H163="",I163="")),"Closure evidence missing",IF(AND(H163&lt;&gt;"",NOT(ISNUMBER(H163))),"Closed / waived on is not a date",IF(AND(ISNUMBER(H163),ISNUMBER(INDEX('Gate events'!$F$4:$F$553,MATCH(B163,'Gate events'!$A$4:$A$553,0))),H163&lt;INDEX('Gate events'!$F$4:$F$553,MATCH(B163,'Gate events'!$A$4:$A$553,0))),"Closure date before parent event date",IF(AND(G163="Closed-verified",M163=""),"Verifier / date missing",IF(AND(N163="Yes",G163="Closed-verified",O163=""),"Monitoring condition needs AIG-OPS-02 evidence ref",IF(AND(G163="Open",F163&lt;TODAY()),"OVERDUE (derived) — review",IF(G163="Unknown","State Unknown: owner to confirm","Check against source")))))))))))))))))))</f>
        <v/>
      </c>
      <c r="K163" s="37" t="n"/>
      <c r="L163" s="37" t="n"/>
      <c r="M163" s="40" t="n"/>
      <c r="N163" s="40" t="n"/>
      <c r="O163" s="40" t="n"/>
    </row>
    <row r="164">
      <c r="A164" s="38" t="n"/>
      <c r="B164" s="38" t="n"/>
      <c r="C164" s="38" t="n"/>
      <c r="D164" s="38" t="n"/>
      <c r="E164" s="38" t="n"/>
      <c r="F164" s="39" t="n"/>
      <c r="G164" s="38" t="n"/>
      <c r="H164" s="39" t="n"/>
      <c r="I164" s="38" t="n"/>
      <c r="J164" s="22">
        <f>IF(COUNTA(A164:I164,K164:O164)=0,"",IF(OR(A164="",B164="",C164=""),"ID / parent missing",IF(COUNTIF($A$4:$A$553,A164)&gt;1,"Duplicate condition ID",IF(COUNTIF('Gate events'!$A$4:$A$553,B164)=0,"Event ID not found",IF(INDEX('Gate events'!$B$4:$B$553,MATCH(B164,'Gate events'!$A$4:$A$553,0))&lt;&gt;C164,"AIR-ID differs from event",IF(IF(INDEX('Gate events'!$P$4:$P$553,MATCH(B164,'Gate events'!$A$4:$A$553,0))="UC-ID specific",IF(OR(L164&lt;&gt;"UC-ID specific",K164=""),"Condition UC-ID required",IF(ISNUMBER(SEARCH(","&amp;SUBSTITUTE(K164," ","")&amp;",",","&amp;SUBSTITUTE(INDEX('Gate events'!$O$4:$O$553,MATCH(B164,'Gate events'!$A$4:$A$553,0))," ","")&amp;",")),"","UC-ID differs from decision")),IF(INDEX('Gate events'!$P$4:$P$553,MATCH(B164,'Gate events'!$A$4:$A$553,0))="Shared system baseline",IF(OR(L164&lt;&gt;"Shared system baseline",K164&lt;&gt;""),"Condition scope differs from decision",""),"Parent decision scope missing"))&lt;&gt;"",IF(INDEX('Gate events'!$P$4:$P$553,MATCH(B164,'Gate events'!$A$4:$A$553,0))="UC-ID specific",IF(OR(L164&lt;&gt;"UC-ID specific",K164=""),"Condition UC-ID required",IF(ISNUMBER(SEARCH(","&amp;SUBSTITUTE(K164," ","")&amp;",",","&amp;SUBSTITUTE(INDEX('Gate events'!$O$4:$O$553,MATCH(B164,'Gate events'!$A$4:$A$553,0))," ","")&amp;",")),"","UC-ID differs from decision")),IF(INDEX('Gate events'!$P$4:$P$553,MATCH(B164,'Gate events'!$A$4:$A$553,0))="Shared system baseline",IF(OR(L164&lt;&gt;"Shared system baseline",K164&lt;&gt;""),"Condition scope differs from decision",""),"Parent decision scope missing")),IF(OR(D164="",E164="",F164="",G164=""),"Condition, owner, due date or state missing",IF(NOT(ISNUMBER(F164)),"Due date is not a date",IF(OR(G164="Overdue",G164="Superseded"),"Legacy state — owner review (use the shared five states)",IF(INDEX('Gate events'!$E$4:$E$553,MATCH(B164,'Gate events'!$A$4:$A$553,0))&lt;&gt;"Decision","Parent event is not a Decision",IF(AND(INDEX('Gate events'!$G$4:$G$553,MATCH(B164,'Gate events'!$A$4:$A$553,0))&lt;&gt;"Progress with condition",INDEX('Gate events'!$G$4:$G$553,MATCH(B164,'Gate events'!$A$4:$A$553,0))&lt;&gt;"Re-authorise",INDEX('Gate events'!$G$4:$G$553,MATCH(B164,'Gate events'!$A$4:$A$553,0))&lt;&gt;"Resume"),"Parent outcome is not Progress with condition / Re-authorise / Resume",IF(AND(ISNUMBER(INDEX('Gate events'!$F$4:$F$553,MATCH(B164,'Gate events'!$A$4:$A$553,0))),F164&lt;INDEX('Gate events'!$F$4:$F$553,MATCH(B164,'Gate events'!$A$4:$A$553,0))),"Due date before parent event date",IF(AND(OR(G164="Closed-verified",G164="Waived",G164="Accepted-open"),OR(H164="",I164="")),"Closure evidence missing",IF(AND(H164&lt;&gt;"",NOT(ISNUMBER(H164))),"Closed / waived on is not a date",IF(AND(ISNUMBER(H164),ISNUMBER(INDEX('Gate events'!$F$4:$F$553,MATCH(B164,'Gate events'!$A$4:$A$553,0))),H164&lt;INDEX('Gate events'!$F$4:$F$553,MATCH(B164,'Gate events'!$A$4:$A$553,0))),"Closure date before parent event date",IF(AND(G164="Closed-verified",M164=""),"Verifier / date missing",IF(AND(N164="Yes",G164="Closed-verified",O164=""),"Monitoring condition needs AIG-OPS-02 evidence ref",IF(AND(G164="Open",F164&lt;TODAY()),"OVERDUE (derived) — review",IF(G164="Unknown","State Unknown: owner to confirm","Check against source")))))))))))))))))))</f>
        <v/>
      </c>
      <c r="K164" s="37" t="n"/>
      <c r="L164" s="37" t="n"/>
      <c r="M164" s="38" t="n"/>
      <c r="N164" s="38" t="n"/>
      <c r="O164" s="38" t="n"/>
    </row>
    <row r="165">
      <c r="A165" s="40" t="n"/>
      <c r="B165" s="40" t="n"/>
      <c r="C165" s="40" t="n"/>
      <c r="D165" s="40" t="n"/>
      <c r="E165" s="40" t="n"/>
      <c r="F165" s="41" t="n"/>
      <c r="G165" s="40" t="n"/>
      <c r="H165" s="41" t="n"/>
      <c r="I165" s="40" t="n"/>
      <c r="J165" s="24">
        <f>IF(COUNTA(A165:I165,K165:O165)=0,"",IF(OR(A165="",B165="",C165=""),"ID / parent missing",IF(COUNTIF($A$4:$A$553,A165)&gt;1,"Duplicate condition ID",IF(COUNTIF('Gate events'!$A$4:$A$553,B165)=0,"Event ID not found",IF(INDEX('Gate events'!$B$4:$B$553,MATCH(B165,'Gate events'!$A$4:$A$553,0))&lt;&gt;C165,"AIR-ID differs from event",IF(IF(INDEX('Gate events'!$P$4:$P$553,MATCH(B165,'Gate events'!$A$4:$A$553,0))="UC-ID specific",IF(OR(L165&lt;&gt;"UC-ID specific",K165=""),"Condition UC-ID required",IF(ISNUMBER(SEARCH(","&amp;SUBSTITUTE(K165," ","")&amp;",",","&amp;SUBSTITUTE(INDEX('Gate events'!$O$4:$O$553,MATCH(B165,'Gate events'!$A$4:$A$553,0))," ","")&amp;",")),"","UC-ID differs from decision")),IF(INDEX('Gate events'!$P$4:$P$553,MATCH(B165,'Gate events'!$A$4:$A$553,0))="Shared system baseline",IF(OR(L165&lt;&gt;"Shared system baseline",K165&lt;&gt;""),"Condition scope differs from decision",""),"Parent decision scope missing"))&lt;&gt;"",IF(INDEX('Gate events'!$P$4:$P$553,MATCH(B165,'Gate events'!$A$4:$A$553,0))="UC-ID specific",IF(OR(L165&lt;&gt;"UC-ID specific",K165=""),"Condition UC-ID required",IF(ISNUMBER(SEARCH(","&amp;SUBSTITUTE(K165," ","")&amp;",",","&amp;SUBSTITUTE(INDEX('Gate events'!$O$4:$O$553,MATCH(B165,'Gate events'!$A$4:$A$553,0))," ","")&amp;",")),"","UC-ID differs from decision")),IF(INDEX('Gate events'!$P$4:$P$553,MATCH(B165,'Gate events'!$A$4:$A$553,0))="Shared system baseline",IF(OR(L165&lt;&gt;"Shared system baseline",K165&lt;&gt;""),"Condition scope differs from decision",""),"Parent decision scope missing")),IF(OR(D165="",E165="",F165="",G165=""),"Condition, owner, due date or state missing",IF(NOT(ISNUMBER(F165)),"Due date is not a date",IF(OR(G165="Overdue",G165="Superseded"),"Legacy state — owner review (use the shared five states)",IF(INDEX('Gate events'!$E$4:$E$553,MATCH(B165,'Gate events'!$A$4:$A$553,0))&lt;&gt;"Decision","Parent event is not a Decision",IF(AND(INDEX('Gate events'!$G$4:$G$553,MATCH(B165,'Gate events'!$A$4:$A$553,0))&lt;&gt;"Progress with condition",INDEX('Gate events'!$G$4:$G$553,MATCH(B165,'Gate events'!$A$4:$A$553,0))&lt;&gt;"Re-authorise",INDEX('Gate events'!$G$4:$G$553,MATCH(B165,'Gate events'!$A$4:$A$553,0))&lt;&gt;"Resume"),"Parent outcome is not Progress with condition / Re-authorise / Resume",IF(AND(ISNUMBER(INDEX('Gate events'!$F$4:$F$553,MATCH(B165,'Gate events'!$A$4:$A$553,0))),F165&lt;INDEX('Gate events'!$F$4:$F$553,MATCH(B165,'Gate events'!$A$4:$A$553,0))),"Due date before parent event date",IF(AND(OR(G165="Closed-verified",G165="Waived",G165="Accepted-open"),OR(H165="",I165="")),"Closure evidence missing",IF(AND(H165&lt;&gt;"",NOT(ISNUMBER(H165))),"Closed / waived on is not a date",IF(AND(ISNUMBER(H165),ISNUMBER(INDEX('Gate events'!$F$4:$F$553,MATCH(B165,'Gate events'!$A$4:$A$553,0))),H165&lt;INDEX('Gate events'!$F$4:$F$553,MATCH(B165,'Gate events'!$A$4:$A$553,0))),"Closure date before parent event date",IF(AND(G165="Closed-verified",M165=""),"Verifier / date missing",IF(AND(N165="Yes",G165="Closed-verified",O165=""),"Monitoring condition needs AIG-OPS-02 evidence ref",IF(AND(G165="Open",F165&lt;TODAY()),"OVERDUE (derived) — review",IF(G165="Unknown","State Unknown: owner to confirm","Check against source")))))))))))))))))))</f>
        <v/>
      </c>
      <c r="K165" s="37" t="n"/>
      <c r="L165" s="37" t="n"/>
      <c r="M165" s="40" t="n"/>
      <c r="N165" s="40" t="n"/>
      <c r="O165" s="40" t="n"/>
    </row>
    <row r="166">
      <c r="A166" s="38" t="n"/>
      <c r="B166" s="38" t="n"/>
      <c r="C166" s="38" t="n"/>
      <c r="D166" s="38" t="n"/>
      <c r="E166" s="38" t="n"/>
      <c r="F166" s="39" t="n"/>
      <c r="G166" s="38" t="n"/>
      <c r="H166" s="39" t="n"/>
      <c r="I166" s="38" t="n"/>
      <c r="J166" s="22">
        <f>IF(COUNTA(A166:I166,K166:O166)=0,"",IF(OR(A166="",B166="",C166=""),"ID / parent missing",IF(COUNTIF($A$4:$A$553,A166)&gt;1,"Duplicate condition ID",IF(COUNTIF('Gate events'!$A$4:$A$553,B166)=0,"Event ID not found",IF(INDEX('Gate events'!$B$4:$B$553,MATCH(B166,'Gate events'!$A$4:$A$553,0))&lt;&gt;C166,"AIR-ID differs from event",IF(IF(INDEX('Gate events'!$P$4:$P$553,MATCH(B166,'Gate events'!$A$4:$A$553,0))="UC-ID specific",IF(OR(L166&lt;&gt;"UC-ID specific",K166=""),"Condition UC-ID required",IF(ISNUMBER(SEARCH(","&amp;SUBSTITUTE(K166," ","")&amp;",",","&amp;SUBSTITUTE(INDEX('Gate events'!$O$4:$O$553,MATCH(B166,'Gate events'!$A$4:$A$553,0))," ","")&amp;",")),"","UC-ID differs from decision")),IF(INDEX('Gate events'!$P$4:$P$553,MATCH(B166,'Gate events'!$A$4:$A$553,0))="Shared system baseline",IF(OR(L166&lt;&gt;"Shared system baseline",K166&lt;&gt;""),"Condition scope differs from decision",""),"Parent decision scope missing"))&lt;&gt;"",IF(INDEX('Gate events'!$P$4:$P$553,MATCH(B166,'Gate events'!$A$4:$A$553,0))="UC-ID specific",IF(OR(L166&lt;&gt;"UC-ID specific",K166=""),"Condition UC-ID required",IF(ISNUMBER(SEARCH(","&amp;SUBSTITUTE(K166," ","")&amp;",",","&amp;SUBSTITUTE(INDEX('Gate events'!$O$4:$O$553,MATCH(B166,'Gate events'!$A$4:$A$553,0))," ","")&amp;",")),"","UC-ID differs from decision")),IF(INDEX('Gate events'!$P$4:$P$553,MATCH(B166,'Gate events'!$A$4:$A$553,0))="Shared system baseline",IF(OR(L166&lt;&gt;"Shared system baseline",K166&lt;&gt;""),"Condition scope differs from decision",""),"Parent decision scope missing")),IF(OR(D166="",E166="",F166="",G166=""),"Condition, owner, due date or state missing",IF(NOT(ISNUMBER(F166)),"Due date is not a date",IF(OR(G166="Overdue",G166="Superseded"),"Legacy state — owner review (use the shared five states)",IF(INDEX('Gate events'!$E$4:$E$553,MATCH(B166,'Gate events'!$A$4:$A$553,0))&lt;&gt;"Decision","Parent event is not a Decision",IF(AND(INDEX('Gate events'!$G$4:$G$553,MATCH(B166,'Gate events'!$A$4:$A$553,0))&lt;&gt;"Progress with condition",INDEX('Gate events'!$G$4:$G$553,MATCH(B166,'Gate events'!$A$4:$A$553,0))&lt;&gt;"Re-authorise",INDEX('Gate events'!$G$4:$G$553,MATCH(B166,'Gate events'!$A$4:$A$553,0))&lt;&gt;"Resume"),"Parent outcome is not Progress with condition / Re-authorise / Resume",IF(AND(ISNUMBER(INDEX('Gate events'!$F$4:$F$553,MATCH(B166,'Gate events'!$A$4:$A$553,0))),F166&lt;INDEX('Gate events'!$F$4:$F$553,MATCH(B166,'Gate events'!$A$4:$A$553,0))),"Due date before parent event date",IF(AND(OR(G166="Closed-verified",G166="Waived",G166="Accepted-open"),OR(H166="",I166="")),"Closure evidence missing",IF(AND(H166&lt;&gt;"",NOT(ISNUMBER(H166))),"Closed / waived on is not a date",IF(AND(ISNUMBER(H166),ISNUMBER(INDEX('Gate events'!$F$4:$F$553,MATCH(B166,'Gate events'!$A$4:$A$553,0))),H166&lt;INDEX('Gate events'!$F$4:$F$553,MATCH(B166,'Gate events'!$A$4:$A$553,0))),"Closure date before parent event date",IF(AND(G166="Closed-verified",M166=""),"Verifier / date missing",IF(AND(N166="Yes",G166="Closed-verified",O166=""),"Monitoring condition needs AIG-OPS-02 evidence ref",IF(AND(G166="Open",F166&lt;TODAY()),"OVERDUE (derived) — review",IF(G166="Unknown","State Unknown: owner to confirm","Check against source")))))))))))))))))))</f>
        <v/>
      </c>
      <c r="K166" s="37" t="n"/>
      <c r="L166" s="37" t="n"/>
      <c r="M166" s="38" t="n"/>
      <c r="N166" s="38" t="n"/>
      <c r="O166" s="38" t="n"/>
    </row>
    <row r="167">
      <c r="A167" s="40" t="n"/>
      <c r="B167" s="40" t="n"/>
      <c r="C167" s="40" t="n"/>
      <c r="D167" s="40" t="n"/>
      <c r="E167" s="40" t="n"/>
      <c r="F167" s="41" t="n"/>
      <c r="G167" s="40" t="n"/>
      <c r="H167" s="41" t="n"/>
      <c r="I167" s="40" t="n"/>
      <c r="J167" s="24">
        <f>IF(COUNTA(A167:I167,K167:O167)=0,"",IF(OR(A167="",B167="",C167=""),"ID / parent missing",IF(COUNTIF($A$4:$A$553,A167)&gt;1,"Duplicate condition ID",IF(COUNTIF('Gate events'!$A$4:$A$553,B167)=0,"Event ID not found",IF(INDEX('Gate events'!$B$4:$B$553,MATCH(B167,'Gate events'!$A$4:$A$553,0))&lt;&gt;C167,"AIR-ID differs from event",IF(IF(INDEX('Gate events'!$P$4:$P$553,MATCH(B167,'Gate events'!$A$4:$A$553,0))="UC-ID specific",IF(OR(L167&lt;&gt;"UC-ID specific",K167=""),"Condition UC-ID required",IF(ISNUMBER(SEARCH(","&amp;SUBSTITUTE(K167," ","")&amp;",",","&amp;SUBSTITUTE(INDEX('Gate events'!$O$4:$O$553,MATCH(B167,'Gate events'!$A$4:$A$553,0))," ","")&amp;",")),"","UC-ID differs from decision")),IF(INDEX('Gate events'!$P$4:$P$553,MATCH(B167,'Gate events'!$A$4:$A$553,0))="Shared system baseline",IF(OR(L167&lt;&gt;"Shared system baseline",K167&lt;&gt;""),"Condition scope differs from decision",""),"Parent decision scope missing"))&lt;&gt;"",IF(INDEX('Gate events'!$P$4:$P$553,MATCH(B167,'Gate events'!$A$4:$A$553,0))="UC-ID specific",IF(OR(L167&lt;&gt;"UC-ID specific",K167=""),"Condition UC-ID required",IF(ISNUMBER(SEARCH(","&amp;SUBSTITUTE(K167," ","")&amp;",",","&amp;SUBSTITUTE(INDEX('Gate events'!$O$4:$O$553,MATCH(B167,'Gate events'!$A$4:$A$553,0))," ","")&amp;",")),"","UC-ID differs from decision")),IF(INDEX('Gate events'!$P$4:$P$553,MATCH(B167,'Gate events'!$A$4:$A$553,0))="Shared system baseline",IF(OR(L167&lt;&gt;"Shared system baseline",K167&lt;&gt;""),"Condition scope differs from decision",""),"Parent decision scope missing")),IF(OR(D167="",E167="",F167="",G167=""),"Condition, owner, due date or state missing",IF(NOT(ISNUMBER(F167)),"Due date is not a date",IF(OR(G167="Overdue",G167="Superseded"),"Legacy state — owner review (use the shared five states)",IF(INDEX('Gate events'!$E$4:$E$553,MATCH(B167,'Gate events'!$A$4:$A$553,0))&lt;&gt;"Decision","Parent event is not a Decision",IF(AND(INDEX('Gate events'!$G$4:$G$553,MATCH(B167,'Gate events'!$A$4:$A$553,0))&lt;&gt;"Progress with condition",INDEX('Gate events'!$G$4:$G$553,MATCH(B167,'Gate events'!$A$4:$A$553,0))&lt;&gt;"Re-authorise",INDEX('Gate events'!$G$4:$G$553,MATCH(B167,'Gate events'!$A$4:$A$553,0))&lt;&gt;"Resume"),"Parent outcome is not Progress with condition / Re-authorise / Resume",IF(AND(ISNUMBER(INDEX('Gate events'!$F$4:$F$553,MATCH(B167,'Gate events'!$A$4:$A$553,0))),F167&lt;INDEX('Gate events'!$F$4:$F$553,MATCH(B167,'Gate events'!$A$4:$A$553,0))),"Due date before parent event date",IF(AND(OR(G167="Closed-verified",G167="Waived",G167="Accepted-open"),OR(H167="",I167="")),"Closure evidence missing",IF(AND(H167&lt;&gt;"",NOT(ISNUMBER(H167))),"Closed / waived on is not a date",IF(AND(ISNUMBER(H167),ISNUMBER(INDEX('Gate events'!$F$4:$F$553,MATCH(B167,'Gate events'!$A$4:$A$553,0))),H167&lt;INDEX('Gate events'!$F$4:$F$553,MATCH(B167,'Gate events'!$A$4:$A$553,0))),"Closure date before parent event date",IF(AND(G167="Closed-verified",M167=""),"Verifier / date missing",IF(AND(N167="Yes",G167="Closed-verified",O167=""),"Monitoring condition needs AIG-OPS-02 evidence ref",IF(AND(G167="Open",F167&lt;TODAY()),"OVERDUE (derived) — review",IF(G167="Unknown","State Unknown: owner to confirm","Check against source")))))))))))))))))))</f>
        <v/>
      </c>
      <c r="K167" s="37" t="n"/>
      <c r="L167" s="37" t="n"/>
      <c r="M167" s="40" t="n"/>
      <c r="N167" s="40" t="n"/>
      <c r="O167" s="40" t="n"/>
    </row>
    <row r="168">
      <c r="A168" s="38" t="n"/>
      <c r="B168" s="38" t="n"/>
      <c r="C168" s="38" t="n"/>
      <c r="D168" s="38" t="n"/>
      <c r="E168" s="38" t="n"/>
      <c r="F168" s="39" t="n"/>
      <c r="G168" s="38" t="n"/>
      <c r="H168" s="39" t="n"/>
      <c r="I168" s="38" t="n"/>
      <c r="J168" s="22">
        <f>IF(COUNTA(A168:I168,K168:O168)=0,"",IF(OR(A168="",B168="",C168=""),"ID / parent missing",IF(COUNTIF($A$4:$A$553,A168)&gt;1,"Duplicate condition ID",IF(COUNTIF('Gate events'!$A$4:$A$553,B168)=0,"Event ID not found",IF(INDEX('Gate events'!$B$4:$B$553,MATCH(B168,'Gate events'!$A$4:$A$553,0))&lt;&gt;C168,"AIR-ID differs from event",IF(IF(INDEX('Gate events'!$P$4:$P$553,MATCH(B168,'Gate events'!$A$4:$A$553,0))="UC-ID specific",IF(OR(L168&lt;&gt;"UC-ID specific",K168=""),"Condition UC-ID required",IF(ISNUMBER(SEARCH(","&amp;SUBSTITUTE(K168," ","")&amp;",",","&amp;SUBSTITUTE(INDEX('Gate events'!$O$4:$O$553,MATCH(B168,'Gate events'!$A$4:$A$553,0))," ","")&amp;",")),"","UC-ID differs from decision")),IF(INDEX('Gate events'!$P$4:$P$553,MATCH(B168,'Gate events'!$A$4:$A$553,0))="Shared system baseline",IF(OR(L168&lt;&gt;"Shared system baseline",K168&lt;&gt;""),"Condition scope differs from decision",""),"Parent decision scope missing"))&lt;&gt;"",IF(INDEX('Gate events'!$P$4:$P$553,MATCH(B168,'Gate events'!$A$4:$A$553,0))="UC-ID specific",IF(OR(L168&lt;&gt;"UC-ID specific",K168=""),"Condition UC-ID required",IF(ISNUMBER(SEARCH(","&amp;SUBSTITUTE(K168," ","")&amp;",",","&amp;SUBSTITUTE(INDEX('Gate events'!$O$4:$O$553,MATCH(B168,'Gate events'!$A$4:$A$553,0))," ","")&amp;",")),"","UC-ID differs from decision")),IF(INDEX('Gate events'!$P$4:$P$553,MATCH(B168,'Gate events'!$A$4:$A$553,0))="Shared system baseline",IF(OR(L168&lt;&gt;"Shared system baseline",K168&lt;&gt;""),"Condition scope differs from decision",""),"Parent decision scope missing")),IF(OR(D168="",E168="",F168="",G168=""),"Condition, owner, due date or state missing",IF(NOT(ISNUMBER(F168)),"Due date is not a date",IF(OR(G168="Overdue",G168="Superseded"),"Legacy state — owner review (use the shared five states)",IF(INDEX('Gate events'!$E$4:$E$553,MATCH(B168,'Gate events'!$A$4:$A$553,0))&lt;&gt;"Decision","Parent event is not a Decision",IF(AND(INDEX('Gate events'!$G$4:$G$553,MATCH(B168,'Gate events'!$A$4:$A$553,0))&lt;&gt;"Progress with condition",INDEX('Gate events'!$G$4:$G$553,MATCH(B168,'Gate events'!$A$4:$A$553,0))&lt;&gt;"Re-authorise",INDEX('Gate events'!$G$4:$G$553,MATCH(B168,'Gate events'!$A$4:$A$553,0))&lt;&gt;"Resume"),"Parent outcome is not Progress with condition / Re-authorise / Resume",IF(AND(ISNUMBER(INDEX('Gate events'!$F$4:$F$553,MATCH(B168,'Gate events'!$A$4:$A$553,0))),F168&lt;INDEX('Gate events'!$F$4:$F$553,MATCH(B168,'Gate events'!$A$4:$A$553,0))),"Due date before parent event date",IF(AND(OR(G168="Closed-verified",G168="Waived",G168="Accepted-open"),OR(H168="",I168="")),"Closure evidence missing",IF(AND(H168&lt;&gt;"",NOT(ISNUMBER(H168))),"Closed / waived on is not a date",IF(AND(ISNUMBER(H168),ISNUMBER(INDEX('Gate events'!$F$4:$F$553,MATCH(B168,'Gate events'!$A$4:$A$553,0))),H168&lt;INDEX('Gate events'!$F$4:$F$553,MATCH(B168,'Gate events'!$A$4:$A$553,0))),"Closure date before parent event date",IF(AND(G168="Closed-verified",M168=""),"Verifier / date missing",IF(AND(N168="Yes",G168="Closed-verified",O168=""),"Monitoring condition needs AIG-OPS-02 evidence ref",IF(AND(G168="Open",F168&lt;TODAY()),"OVERDUE (derived) — review",IF(G168="Unknown","State Unknown: owner to confirm","Check against source")))))))))))))))))))</f>
        <v/>
      </c>
      <c r="K168" s="37" t="n"/>
      <c r="L168" s="37" t="n"/>
      <c r="M168" s="38" t="n"/>
      <c r="N168" s="38" t="n"/>
      <c r="O168" s="38" t="n"/>
    </row>
    <row r="169">
      <c r="A169" s="40" t="n"/>
      <c r="B169" s="40" t="n"/>
      <c r="C169" s="40" t="n"/>
      <c r="D169" s="40" t="n"/>
      <c r="E169" s="40" t="n"/>
      <c r="F169" s="41" t="n"/>
      <c r="G169" s="40" t="n"/>
      <c r="H169" s="41" t="n"/>
      <c r="I169" s="40" t="n"/>
      <c r="J169" s="24">
        <f>IF(COUNTA(A169:I169,K169:O169)=0,"",IF(OR(A169="",B169="",C169=""),"ID / parent missing",IF(COUNTIF($A$4:$A$553,A169)&gt;1,"Duplicate condition ID",IF(COUNTIF('Gate events'!$A$4:$A$553,B169)=0,"Event ID not found",IF(INDEX('Gate events'!$B$4:$B$553,MATCH(B169,'Gate events'!$A$4:$A$553,0))&lt;&gt;C169,"AIR-ID differs from event",IF(IF(INDEX('Gate events'!$P$4:$P$553,MATCH(B169,'Gate events'!$A$4:$A$553,0))="UC-ID specific",IF(OR(L169&lt;&gt;"UC-ID specific",K169=""),"Condition UC-ID required",IF(ISNUMBER(SEARCH(","&amp;SUBSTITUTE(K169," ","")&amp;",",","&amp;SUBSTITUTE(INDEX('Gate events'!$O$4:$O$553,MATCH(B169,'Gate events'!$A$4:$A$553,0))," ","")&amp;",")),"","UC-ID differs from decision")),IF(INDEX('Gate events'!$P$4:$P$553,MATCH(B169,'Gate events'!$A$4:$A$553,0))="Shared system baseline",IF(OR(L169&lt;&gt;"Shared system baseline",K169&lt;&gt;""),"Condition scope differs from decision",""),"Parent decision scope missing"))&lt;&gt;"",IF(INDEX('Gate events'!$P$4:$P$553,MATCH(B169,'Gate events'!$A$4:$A$553,0))="UC-ID specific",IF(OR(L169&lt;&gt;"UC-ID specific",K169=""),"Condition UC-ID required",IF(ISNUMBER(SEARCH(","&amp;SUBSTITUTE(K169," ","")&amp;",",","&amp;SUBSTITUTE(INDEX('Gate events'!$O$4:$O$553,MATCH(B169,'Gate events'!$A$4:$A$553,0))," ","")&amp;",")),"","UC-ID differs from decision")),IF(INDEX('Gate events'!$P$4:$P$553,MATCH(B169,'Gate events'!$A$4:$A$553,0))="Shared system baseline",IF(OR(L169&lt;&gt;"Shared system baseline",K169&lt;&gt;""),"Condition scope differs from decision",""),"Parent decision scope missing")),IF(OR(D169="",E169="",F169="",G169=""),"Condition, owner, due date or state missing",IF(NOT(ISNUMBER(F169)),"Due date is not a date",IF(OR(G169="Overdue",G169="Superseded"),"Legacy state — owner review (use the shared five states)",IF(INDEX('Gate events'!$E$4:$E$553,MATCH(B169,'Gate events'!$A$4:$A$553,0))&lt;&gt;"Decision","Parent event is not a Decision",IF(AND(INDEX('Gate events'!$G$4:$G$553,MATCH(B169,'Gate events'!$A$4:$A$553,0))&lt;&gt;"Progress with condition",INDEX('Gate events'!$G$4:$G$553,MATCH(B169,'Gate events'!$A$4:$A$553,0))&lt;&gt;"Re-authorise",INDEX('Gate events'!$G$4:$G$553,MATCH(B169,'Gate events'!$A$4:$A$553,0))&lt;&gt;"Resume"),"Parent outcome is not Progress with condition / Re-authorise / Resume",IF(AND(ISNUMBER(INDEX('Gate events'!$F$4:$F$553,MATCH(B169,'Gate events'!$A$4:$A$553,0))),F169&lt;INDEX('Gate events'!$F$4:$F$553,MATCH(B169,'Gate events'!$A$4:$A$553,0))),"Due date before parent event date",IF(AND(OR(G169="Closed-verified",G169="Waived",G169="Accepted-open"),OR(H169="",I169="")),"Closure evidence missing",IF(AND(H169&lt;&gt;"",NOT(ISNUMBER(H169))),"Closed / waived on is not a date",IF(AND(ISNUMBER(H169),ISNUMBER(INDEX('Gate events'!$F$4:$F$553,MATCH(B169,'Gate events'!$A$4:$A$553,0))),H169&lt;INDEX('Gate events'!$F$4:$F$553,MATCH(B169,'Gate events'!$A$4:$A$553,0))),"Closure date before parent event date",IF(AND(G169="Closed-verified",M169=""),"Verifier / date missing",IF(AND(N169="Yes",G169="Closed-verified",O169=""),"Monitoring condition needs AIG-OPS-02 evidence ref",IF(AND(G169="Open",F169&lt;TODAY()),"OVERDUE (derived) — review",IF(G169="Unknown","State Unknown: owner to confirm","Check against source")))))))))))))))))))</f>
        <v/>
      </c>
      <c r="K169" s="37" t="n"/>
      <c r="L169" s="37" t="n"/>
      <c r="M169" s="40" t="n"/>
      <c r="N169" s="40" t="n"/>
      <c r="O169" s="40" t="n"/>
    </row>
    <row r="170">
      <c r="A170" s="38" t="n"/>
      <c r="B170" s="38" t="n"/>
      <c r="C170" s="38" t="n"/>
      <c r="D170" s="38" t="n"/>
      <c r="E170" s="38" t="n"/>
      <c r="F170" s="39" t="n"/>
      <c r="G170" s="38" t="n"/>
      <c r="H170" s="39" t="n"/>
      <c r="I170" s="38" t="n"/>
      <c r="J170" s="22">
        <f>IF(COUNTA(A170:I170,K170:O170)=0,"",IF(OR(A170="",B170="",C170=""),"ID / parent missing",IF(COUNTIF($A$4:$A$553,A170)&gt;1,"Duplicate condition ID",IF(COUNTIF('Gate events'!$A$4:$A$553,B170)=0,"Event ID not found",IF(INDEX('Gate events'!$B$4:$B$553,MATCH(B170,'Gate events'!$A$4:$A$553,0))&lt;&gt;C170,"AIR-ID differs from event",IF(IF(INDEX('Gate events'!$P$4:$P$553,MATCH(B170,'Gate events'!$A$4:$A$553,0))="UC-ID specific",IF(OR(L170&lt;&gt;"UC-ID specific",K170=""),"Condition UC-ID required",IF(ISNUMBER(SEARCH(","&amp;SUBSTITUTE(K170," ","")&amp;",",","&amp;SUBSTITUTE(INDEX('Gate events'!$O$4:$O$553,MATCH(B170,'Gate events'!$A$4:$A$553,0))," ","")&amp;",")),"","UC-ID differs from decision")),IF(INDEX('Gate events'!$P$4:$P$553,MATCH(B170,'Gate events'!$A$4:$A$553,0))="Shared system baseline",IF(OR(L170&lt;&gt;"Shared system baseline",K170&lt;&gt;""),"Condition scope differs from decision",""),"Parent decision scope missing"))&lt;&gt;"",IF(INDEX('Gate events'!$P$4:$P$553,MATCH(B170,'Gate events'!$A$4:$A$553,0))="UC-ID specific",IF(OR(L170&lt;&gt;"UC-ID specific",K170=""),"Condition UC-ID required",IF(ISNUMBER(SEARCH(","&amp;SUBSTITUTE(K170," ","")&amp;",",","&amp;SUBSTITUTE(INDEX('Gate events'!$O$4:$O$553,MATCH(B170,'Gate events'!$A$4:$A$553,0))," ","")&amp;",")),"","UC-ID differs from decision")),IF(INDEX('Gate events'!$P$4:$P$553,MATCH(B170,'Gate events'!$A$4:$A$553,0))="Shared system baseline",IF(OR(L170&lt;&gt;"Shared system baseline",K170&lt;&gt;""),"Condition scope differs from decision",""),"Parent decision scope missing")),IF(OR(D170="",E170="",F170="",G170=""),"Condition, owner, due date or state missing",IF(NOT(ISNUMBER(F170)),"Due date is not a date",IF(OR(G170="Overdue",G170="Superseded"),"Legacy state — owner review (use the shared five states)",IF(INDEX('Gate events'!$E$4:$E$553,MATCH(B170,'Gate events'!$A$4:$A$553,0))&lt;&gt;"Decision","Parent event is not a Decision",IF(AND(INDEX('Gate events'!$G$4:$G$553,MATCH(B170,'Gate events'!$A$4:$A$553,0))&lt;&gt;"Progress with condition",INDEX('Gate events'!$G$4:$G$553,MATCH(B170,'Gate events'!$A$4:$A$553,0))&lt;&gt;"Re-authorise",INDEX('Gate events'!$G$4:$G$553,MATCH(B170,'Gate events'!$A$4:$A$553,0))&lt;&gt;"Resume"),"Parent outcome is not Progress with condition / Re-authorise / Resume",IF(AND(ISNUMBER(INDEX('Gate events'!$F$4:$F$553,MATCH(B170,'Gate events'!$A$4:$A$553,0))),F170&lt;INDEX('Gate events'!$F$4:$F$553,MATCH(B170,'Gate events'!$A$4:$A$553,0))),"Due date before parent event date",IF(AND(OR(G170="Closed-verified",G170="Waived",G170="Accepted-open"),OR(H170="",I170="")),"Closure evidence missing",IF(AND(H170&lt;&gt;"",NOT(ISNUMBER(H170))),"Closed / waived on is not a date",IF(AND(ISNUMBER(H170),ISNUMBER(INDEX('Gate events'!$F$4:$F$553,MATCH(B170,'Gate events'!$A$4:$A$553,0))),H170&lt;INDEX('Gate events'!$F$4:$F$553,MATCH(B170,'Gate events'!$A$4:$A$553,0))),"Closure date before parent event date",IF(AND(G170="Closed-verified",M170=""),"Verifier / date missing",IF(AND(N170="Yes",G170="Closed-verified",O170=""),"Monitoring condition needs AIG-OPS-02 evidence ref",IF(AND(G170="Open",F170&lt;TODAY()),"OVERDUE (derived) — review",IF(G170="Unknown","State Unknown: owner to confirm","Check against source")))))))))))))))))))</f>
        <v/>
      </c>
      <c r="K170" s="37" t="n"/>
      <c r="L170" s="37" t="n"/>
      <c r="M170" s="38" t="n"/>
      <c r="N170" s="38" t="n"/>
      <c r="O170" s="38" t="n"/>
    </row>
    <row r="171">
      <c r="A171" s="40" t="n"/>
      <c r="B171" s="40" t="n"/>
      <c r="C171" s="40" t="n"/>
      <c r="D171" s="40" t="n"/>
      <c r="E171" s="40" t="n"/>
      <c r="F171" s="41" t="n"/>
      <c r="G171" s="40" t="n"/>
      <c r="H171" s="41" t="n"/>
      <c r="I171" s="40" t="n"/>
      <c r="J171" s="24">
        <f>IF(COUNTA(A171:I171,K171:O171)=0,"",IF(OR(A171="",B171="",C171=""),"ID / parent missing",IF(COUNTIF($A$4:$A$553,A171)&gt;1,"Duplicate condition ID",IF(COUNTIF('Gate events'!$A$4:$A$553,B171)=0,"Event ID not found",IF(INDEX('Gate events'!$B$4:$B$553,MATCH(B171,'Gate events'!$A$4:$A$553,0))&lt;&gt;C171,"AIR-ID differs from event",IF(IF(INDEX('Gate events'!$P$4:$P$553,MATCH(B171,'Gate events'!$A$4:$A$553,0))="UC-ID specific",IF(OR(L171&lt;&gt;"UC-ID specific",K171=""),"Condition UC-ID required",IF(ISNUMBER(SEARCH(","&amp;SUBSTITUTE(K171," ","")&amp;",",","&amp;SUBSTITUTE(INDEX('Gate events'!$O$4:$O$553,MATCH(B171,'Gate events'!$A$4:$A$553,0))," ","")&amp;",")),"","UC-ID differs from decision")),IF(INDEX('Gate events'!$P$4:$P$553,MATCH(B171,'Gate events'!$A$4:$A$553,0))="Shared system baseline",IF(OR(L171&lt;&gt;"Shared system baseline",K171&lt;&gt;""),"Condition scope differs from decision",""),"Parent decision scope missing"))&lt;&gt;"",IF(INDEX('Gate events'!$P$4:$P$553,MATCH(B171,'Gate events'!$A$4:$A$553,0))="UC-ID specific",IF(OR(L171&lt;&gt;"UC-ID specific",K171=""),"Condition UC-ID required",IF(ISNUMBER(SEARCH(","&amp;SUBSTITUTE(K171," ","")&amp;",",","&amp;SUBSTITUTE(INDEX('Gate events'!$O$4:$O$553,MATCH(B171,'Gate events'!$A$4:$A$553,0))," ","")&amp;",")),"","UC-ID differs from decision")),IF(INDEX('Gate events'!$P$4:$P$553,MATCH(B171,'Gate events'!$A$4:$A$553,0))="Shared system baseline",IF(OR(L171&lt;&gt;"Shared system baseline",K171&lt;&gt;""),"Condition scope differs from decision",""),"Parent decision scope missing")),IF(OR(D171="",E171="",F171="",G171=""),"Condition, owner, due date or state missing",IF(NOT(ISNUMBER(F171)),"Due date is not a date",IF(OR(G171="Overdue",G171="Superseded"),"Legacy state — owner review (use the shared five states)",IF(INDEX('Gate events'!$E$4:$E$553,MATCH(B171,'Gate events'!$A$4:$A$553,0))&lt;&gt;"Decision","Parent event is not a Decision",IF(AND(INDEX('Gate events'!$G$4:$G$553,MATCH(B171,'Gate events'!$A$4:$A$553,0))&lt;&gt;"Progress with condition",INDEX('Gate events'!$G$4:$G$553,MATCH(B171,'Gate events'!$A$4:$A$553,0))&lt;&gt;"Re-authorise",INDEX('Gate events'!$G$4:$G$553,MATCH(B171,'Gate events'!$A$4:$A$553,0))&lt;&gt;"Resume"),"Parent outcome is not Progress with condition / Re-authorise / Resume",IF(AND(ISNUMBER(INDEX('Gate events'!$F$4:$F$553,MATCH(B171,'Gate events'!$A$4:$A$553,0))),F171&lt;INDEX('Gate events'!$F$4:$F$553,MATCH(B171,'Gate events'!$A$4:$A$553,0))),"Due date before parent event date",IF(AND(OR(G171="Closed-verified",G171="Waived",G171="Accepted-open"),OR(H171="",I171="")),"Closure evidence missing",IF(AND(H171&lt;&gt;"",NOT(ISNUMBER(H171))),"Closed / waived on is not a date",IF(AND(ISNUMBER(H171),ISNUMBER(INDEX('Gate events'!$F$4:$F$553,MATCH(B171,'Gate events'!$A$4:$A$553,0))),H171&lt;INDEX('Gate events'!$F$4:$F$553,MATCH(B171,'Gate events'!$A$4:$A$553,0))),"Closure date before parent event date",IF(AND(G171="Closed-verified",M171=""),"Verifier / date missing",IF(AND(N171="Yes",G171="Closed-verified",O171=""),"Monitoring condition needs AIG-OPS-02 evidence ref",IF(AND(G171="Open",F171&lt;TODAY()),"OVERDUE (derived) — review",IF(G171="Unknown","State Unknown: owner to confirm","Check against source")))))))))))))))))))</f>
        <v/>
      </c>
      <c r="K171" s="37" t="n"/>
      <c r="L171" s="37" t="n"/>
      <c r="M171" s="40" t="n"/>
      <c r="N171" s="40" t="n"/>
      <c r="O171" s="40" t="n"/>
    </row>
    <row r="172">
      <c r="A172" s="38" t="n"/>
      <c r="B172" s="38" t="n"/>
      <c r="C172" s="38" t="n"/>
      <c r="D172" s="38" t="n"/>
      <c r="E172" s="38" t="n"/>
      <c r="F172" s="39" t="n"/>
      <c r="G172" s="38" t="n"/>
      <c r="H172" s="39" t="n"/>
      <c r="I172" s="38" t="n"/>
      <c r="J172" s="22">
        <f>IF(COUNTA(A172:I172,K172:O172)=0,"",IF(OR(A172="",B172="",C172=""),"ID / parent missing",IF(COUNTIF($A$4:$A$553,A172)&gt;1,"Duplicate condition ID",IF(COUNTIF('Gate events'!$A$4:$A$553,B172)=0,"Event ID not found",IF(INDEX('Gate events'!$B$4:$B$553,MATCH(B172,'Gate events'!$A$4:$A$553,0))&lt;&gt;C172,"AIR-ID differs from event",IF(IF(INDEX('Gate events'!$P$4:$P$553,MATCH(B172,'Gate events'!$A$4:$A$553,0))="UC-ID specific",IF(OR(L172&lt;&gt;"UC-ID specific",K172=""),"Condition UC-ID required",IF(ISNUMBER(SEARCH(","&amp;SUBSTITUTE(K172," ","")&amp;",",","&amp;SUBSTITUTE(INDEX('Gate events'!$O$4:$O$553,MATCH(B172,'Gate events'!$A$4:$A$553,0))," ","")&amp;",")),"","UC-ID differs from decision")),IF(INDEX('Gate events'!$P$4:$P$553,MATCH(B172,'Gate events'!$A$4:$A$553,0))="Shared system baseline",IF(OR(L172&lt;&gt;"Shared system baseline",K172&lt;&gt;""),"Condition scope differs from decision",""),"Parent decision scope missing"))&lt;&gt;"",IF(INDEX('Gate events'!$P$4:$P$553,MATCH(B172,'Gate events'!$A$4:$A$553,0))="UC-ID specific",IF(OR(L172&lt;&gt;"UC-ID specific",K172=""),"Condition UC-ID required",IF(ISNUMBER(SEARCH(","&amp;SUBSTITUTE(K172," ","")&amp;",",","&amp;SUBSTITUTE(INDEX('Gate events'!$O$4:$O$553,MATCH(B172,'Gate events'!$A$4:$A$553,0))," ","")&amp;",")),"","UC-ID differs from decision")),IF(INDEX('Gate events'!$P$4:$P$553,MATCH(B172,'Gate events'!$A$4:$A$553,0))="Shared system baseline",IF(OR(L172&lt;&gt;"Shared system baseline",K172&lt;&gt;""),"Condition scope differs from decision",""),"Parent decision scope missing")),IF(OR(D172="",E172="",F172="",G172=""),"Condition, owner, due date or state missing",IF(NOT(ISNUMBER(F172)),"Due date is not a date",IF(OR(G172="Overdue",G172="Superseded"),"Legacy state — owner review (use the shared five states)",IF(INDEX('Gate events'!$E$4:$E$553,MATCH(B172,'Gate events'!$A$4:$A$553,0))&lt;&gt;"Decision","Parent event is not a Decision",IF(AND(INDEX('Gate events'!$G$4:$G$553,MATCH(B172,'Gate events'!$A$4:$A$553,0))&lt;&gt;"Progress with condition",INDEX('Gate events'!$G$4:$G$553,MATCH(B172,'Gate events'!$A$4:$A$553,0))&lt;&gt;"Re-authorise",INDEX('Gate events'!$G$4:$G$553,MATCH(B172,'Gate events'!$A$4:$A$553,0))&lt;&gt;"Resume"),"Parent outcome is not Progress with condition / Re-authorise / Resume",IF(AND(ISNUMBER(INDEX('Gate events'!$F$4:$F$553,MATCH(B172,'Gate events'!$A$4:$A$553,0))),F172&lt;INDEX('Gate events'!$F$4:$F$553,MATCH(B172,'Gate events'!$A$4:$A$553,0))),"Due date before parent event date",IF(AND(OR(G172="Closed-verified",G172="Waived",G172="Accepted-open"),OR(H172="",I172="")),"Closure evidence missing",IF(AND(H172&lt;&gt;"",NOT(ISNUMBER(H172))),"Closed / waived on is not a date",IF(AND(ISNUMBER(H172),ISNUMBER(INDEX('Gate events'!$F$4:$F$553,MATCH(B172,'Gate events'!$A$4:$A$553,0))),H172&lt;INDEX('Gate events'!$F$4:$F$553,MATCH(B172,'Gate events'!$A$4:$A$553,0))),"Closure date before parent event date",IF(AND(G172="Closed-verified",M172=""),"Verifier / date missing",IF(AND(N172="Yes",G172="Closed-verified",O172=""),"Monitoring condition needs AIG-OPS-02 evidence ref",IF(AND(G172="Open",F172&lt;TODAY()),"OVERDUE (derived) — review",IF(G172="Unknown","State Unknown: owner to confirm","Check against source")))))))))))))))))))</f>
        <v/>
      </c>
      <c r="K172" s="37" t="n"/>
      <c r="L172" s="37" t="n"/>
      <c r="M172" s="38" t="n"/>
      <c r="N172" s="38" t="n"/>
      <c r="O172" s="38" t="n"/>
    </row>
    <row r="173">
      <c r="A173" s="40" t="n"/>
      <c r="B173" s="40" t="n"/>
      <c r="C173" s="40" t="n"/>
      <c r="D173" s="40" t="n"/>
      <c r="E173" s="40" t="n"/>
      <c r="F173" s="41" t="n"/>
      <c r="G173" s="40" t="n"/>
      <c r="H173" s="41" t="n"/>
      <c r="I173" s="40" t="n"/>
      <c r="J173" s="24">
        <f>IF(COUNTA(A173:I173,K173:O173)=0,"",IF(OR(A173="",B173="",C173=""),"ID / parent missing",IF(COUNTIF($A$4:$A$553,A173)&gt;1,"Duplicate condition ID",IF(COUNTIF('Gate events'!$A$4:$A$553,B173)=0,"Event ID not found",IF(INDEX('Gate events'!$B$4:$B$553,MATCH(B173,'Gate events'!$A$4:$A$553,0))&lt;&gt;C173,"AIR-ID differs from event",IF(IF(INDEX('Gate events'!$P$4:$P$553,MATCH(B173,'Gate events'!$A$4:$A$553,0))="UC-ID specific",IF(OR(L173&lt;&gt;"UC-ID specific",K173=""),"Condition UC-ID required",IF(ISNUMBER(SEARCH(","&amp;SUBSTITUTE(K173," ","")&amp;",",","&amp;SUBSTITUTE(INDEX('Gate events'!$O$4:$O$553,MATCH(B173,'Gate events'!$A$4:$A$553,0))," ","")&amp;",")),"","UC-ID differs from decision")),IF(INDEX('Gate events'!$P$4:$P$553,MATCH(B173,'Gate events'!$A$4:$A$553,0))="Shared system baseline",IF(OR(L173&lt;&gt;"Shared system baseline",K173&lt;&gt;""),"Condition scope differs from decision",""),"Parent decision scope missing"))&lt;&gt;"",IF(INDEX('Gate events'!$P$4:$P$553,MATCH(B173,'Gate events'!$A$4:$A$553,0))="UC-ID specific",IF(OR(L173&lt;&gt;"UC-ID specific",K173=""),"Condition UC-ID required",IF(ISNUMBER(SEARCH(","&amp;SUBSTITUTE(K173," ","")&amp;",",","&amp;SUBSTITUTE(INDEX('Gate events'!$O$4:$O$553,MATCH(B173,'Gate events'!$A$4:$A$553,0))," ","")&amp;",")),"","UC-ID differs from decision")),IF(INDEX('Gate events'!$P$4:$P$553,MATCH(B173,'Gate events'!$A$4:$A$553,0))="Shared system baseline",IF(OR(L173&lt;&gt;"Shared system baseline",K173&lt;&gt;""),"Condition scope differs from decision",""),"Parent decision scope missing")),IF(OR(D173="",E173="",F173="",G173=""),"Condition, owner, due date or state missing",IF(NOT(ISNUMBER(F173)),"Due date is not a date",IF(OR(G173="Overdue",G173="Superseded"),"Legacy state — owner review (use the shared five states)",IF(INDEX('Gate events'!$E$4:$E$553,MATCH(B173,'Gate events'!$A$4:$A$553,0))&lt;&gt;"Decision","Parent event is not a Decision",IF(AND(INDEX('Gate events'!$G$4:$G$553,MATCH(B173,'Gate events'!$A$4:$A$553,0))&lt;&gt;"Progress with condition",INDEX('Gate events'!$G$4:$G$553,MATCH(B173,'Gate events'!$A$4:$A$553,0))&lt;&gt;"Re-authorise",INDEX('Gate events'!$G$4:$G$553,MATCH(B173,'Gate events'!$A$4:$A$553,0))&lt;&gt;"Resume"),"Parent outcome is not Progress with condition / Re-authorise / Resume",IF(AND(ISNUMBER(INDEX('Gate events'!$F$4:$F$553,MATCH(B173,'Gate events'!$A$4:$A$553,0))),F173&lt;INDEX('Gate events'!$F$4:$F$553,MATCH(B173,'Gate events'!$A$4:$A$553,0))),"Due date before parent event date",IF(AND(OR(G173="Closed-verified",G173="Waived",G173="Accepted-open"),OR(H173="",I173="")),"Closure evidence missing",IF(AND(H173&lt;&gt;"",NOT(ISNUMBER(H173))),"Closed / waived on is not a date",IF(AND(ISNUMBER(H173),ISNUMBER(INDEX('Gate events'!$F$4:$F$553,MATCH(B173,'Gate events'!$A$4:$A$553,0))),H173&lt;INDEX('Gate events'!$F$4:$F$553,MATCH(B173,'Gate events'!$A$4:$A$553,0))),"Closure date before parent event date",IF(AND(G173="Closed-verified",M173=""),"Verifier / date missing",IF(AND(N173="Yes",G173="Closed-verified",O173=""),"Monitoring condition needs AIG-OPS-02 evidence ref",IF(AND(G173="Open",F173&lt;TODAY()),"OVERDUE (derived) — review",IF(G173="Unknown","State Unknown: owner to confirm","Check against source")))))))))))))))))))</f>
        <v/>
      </c>
      <c r="K173" s="37" t="n"/>
      <c r="L173" s="37" t="n"/>
      <c r="M173" s="40" t="n"/>
      <c r="N173" s="40" t="n"/>
      <c r="O173" s="40" t="n"/>
    </row>
    <row r="174">
      <c r="A174" s="38" t="n"/>
      <c r="B174" s="38" t="n"/>
      <c r="C174" s="38" t="n"/>
      <c r="D174" s="38" t="n"/>
      <c r="E174" s="38" t="n"/>
      <c r="F174" s="39" t="n"/>
      <c r="G174" s="38" t="n"/>
      <c r="H174" s="39" t="n"/>
      <c r="I174" s="38" t="n"/>
      <c r="J174" s="22">
        <f>IF(COUNTA(A174:I174,K174:O174)=0,"",IF(OR(A174="",B174="",C174=""),"ID / parent missing",IF(COUNTIF($A$4:$A$553,A174)&gt;1,"Duplicate condition ID",IF(COUNTIF('Gate events'!$A$4:$A$553,B174)=0,"Event ID not found",IF(INDEX('Gate events'!$B$4:$B$553,MATCH(B174,'Gate events'!$A$4:$A$553,0))&lt;&gt;C174,"AIR-ID differs from event",IF(IF(INDEX('Gate events'!$P$4:$P$553,MATCH(B174,'Gate events'!$A$4:$A$553,0))="UC-ID specific",IF(OR(L174&lt;&gt;"UC-ID specific",K174=""),"Condition UC-ID required",IF(ISNUMBER(SEARCH(","&amp;SUBSTITUTE(K174," ","")&amp;",",","&amp;SUBSTITUTE(INDEX('Gate events'!$O$4:$O$553,MATCH(B174,'Gate events'!$A$4:$A$553,0))," ","")&amp;",")),"","UC-ID differs from decision")),IF(INDEX('Gate events'!$P$4:$P$553,MATCH(B174,'Gate events'!$A$4:$A$553,0))="Shared system baseline",IF(OR(L174&lt;&gt;"Shared system baseline",K174&lt;&gt;""),"Condition scope differs from decision",""),"Parent decision scope missing"))&lt;&gt;"",IF(INDEX('Gate events'!$P$4:$P$553,MATCH(B174,'Gate events'!$A$4:$A$553,0))="UC-ID specific",IF(OR(L174&lt;&gt;"UC-ID specific",K174=""),"Condition UC-ID required",IF(ISNUMBER(SEARCH(","&amp;SUBSTITUTE(K174," ","")&amp;",",","&amp;SUBSTITUTE(INDEX('Gate events'!$O$4:$O$553,MATCH(B174,'Gate events'!$A$4:$A$553,0))," ","")&amp;",")),"","UC-ID differs from decision")),IF(INDEX('Gate events'!$P$4:$P$553,MATCH(B174,'Gate events'!$A$4:$A$553,0))="Shared system baseline",IF(OR(L174&lt;&gt;"Shared system baseline",K174&lt;&gt;""),"Condition scope differs from decision",""),"Parent decision scope missing")),IF(OR(D174="",E174="",F174="",G174=""),"Condition, owner, due date or state missing",IF(NOT(ISNUMBER(F174)),"Due date is not a date",IF(OR(G174="Overdue",G174="Superseded"),"Legacy state — owner review (use the shared five states)",IF(INDEX('Gate events'!$E$4:$E$553,MATCH(B174,'Gate events'!$A$4:$A$553,0))&lt;&gt;"Decision","Parent event is not a Decision",IF(AND(INDEX('Gate events'!$G$4:$G$553,MATCH(B174,'Gate events'!$A$4:$A$553,0))&lt;&gt;"Progress with condition",INDEX('Gate events'!$G$4:$G$553,MATCH(B174,'Gate events'!$A$4:$A$553,0))&lt;&gt;"Re-authorise",INDEX('Gate events'!$G$4:$G$553,MATCH(B174,'Gate events'!$A$4:$A$553,0))&lt;&gt;"Resume"),"Parent outcome is not Progress with condition / Re-authorise / Resume",IF(AND(ISNUMBER(INDEX('Gate events'!$F$4:$F$553,MATCH(B174,'Gate events'!$A$4:$A$553,0))),F174&lt;INDEX('Gate events'!$F$4:$F$553,MATCH(B174,'Gate events'!$A$4:$A$553,0))),"Due date before parent event date",IF(AND(OR(G174="Closed-verified",G174="Waived",G174="Accepted-open"),OR(H174="",I174="")),"Closure evidence missing",IF(AND(H174&lt;&gt;"",NOT(ISNUMBER(H174))),"Closed / waived on is not a date",IF(AND(ISNUMBER(H174),ISNUMBER(INDEX('Gate events'!$F$4:$F$553,MATCH(B174,'Gate events'!$A$4:$A$553,0))),H174&lt;INDEX('Gate events'!$F$4:$F$553,MATCH(B174,'Gate events'!$A$4:$A$553,0))),"Closure date before parent event date",IF(AND(G174="Closed-verified",M174=""),"Verifier / date missing",IF(AND(N174="Yes",G174="Closed-verified",O174=""),"Monitoring condition needs AIG-OPS-02 evidence ref",IF(AND(G174="Open",F174&lt;TODAY()),"OVERDUE (derived) — review",IF(G174="Unknown","State Unknown: owner to confirm","Check against source")))))))))))))))))))</f>
        <v/>
      </c>
      <c r="K174" s="37" t="n"/>
      <c r="L174" s="37" t="n"/>
      <c r="M174" s="38" t="n"/>
      <c r="N174" s="38" t="n"/>
      <c r="O174" s="38" t="n"/>
    </row>
    <row r="175">
      <c r="A175" s="40" t="n"/>
      <c r="B175" s="40" t="n"/>
      <c r="C175" s="40" t="n"/>
      <c r="D175" s="40" t="n"/>
      <c r="E175" s="40" t="n"/>
      <c r="F175" s="41" t="n"/>
      <c r="G175" s="40" t="n"/>
      <c r="H175" s="41" t="n"/>
      <c r="I175" s="40" t="n"/>
      <c r="J175" s="24">
        <f>IF(COUNTA(A175:I175,K175:O175)=0,"",IF(OR(A175="",B175="",C175=""),"ID / parent missing",IF(COUNTIF($A$4:$A$553,A175)&gt;1,"Duplicate condition ID",IF(COUNTIF('Gate events'!$A$4:$A$553,B175)=0,"Event ID not found",IF(INDEX('Gate events'!$B$4:$B$553,MATCH(B175,'Gate events'!$A$4:$A$553,0))&lt;&gt;C175,"AIR-ID differs from event",IF(IF(INDEX('Gate events'!$P$4:$P$553,MATCH(B175,'Gate events'!$A$4:$A$553,0))="UC-ID specific",IF(OR(L175&lt;&gt;"UC-ID specific",K175=""),"Condition UC-ID required",IF(ISNUMBER(SEARCH(","&amp;SUBSTITUTE(K175," ","")&amp;",",","&amp;SUBSTITUTE(INDEX('Gate events'!$O$4:$O$553,MATCH(B175,'Gate events'!$A$4:$A$553,0))," ","")&amp;",")),"","UC-ID differs from decision")),IF(INDEX('Gate events'!$P$4:$P$553,MATCH(B175,'Gate events'!$A$4:$A$553,0))="Shared system baseline",IF(OR(L175&lt;&gt;"Shared system baseline",K175&lt;&gt;""),"Condition scope differs from decision",""),"Parent decision scope missing"))&lt;&gt;"",IF(INDEX('Gate events'!$P$4:$P$553,MATCH(B175,'Gate events'!$A$4:$A$553,0))="UC-ID specific",IF(OR(L175&lt;&gt;"UC-ID specific",K175=""),"Condition UC-ID required",IF(ISNUMBER(SEARCH(","&amp;SUBSTITUTE(K175," ","")&amp;",",","&amp;SUBSTITUTE(INDEX('Gate events'!$O$4:$O$553,MATCH(B175,'Gate events'!$A$4:$A$553,0))," ","")&amp;",")),"","UC-ID differs from decision")),IF(INDEX('Gate events'!$P$4:$P$553,MATCH(B175,'Gate events'!$A$4:$A$553,0))="Shared system baseline",IF(OR(L175&lt;&gt;"Shared system baseline",K175&lt;&gt;""),"Condition scope differs from decision",""),"Parent decision scope missing")),IF(OR(D175="",E175="",F175="",G175=""),"Condition, owner, due date or state missing",IF(NOT(ISNUMBER(F175)),"Due date is not a date",IF(OR(G175="Overdue",G175="Superseded"),"Legacy state — owner review (use the shared five states)",IF(INDEX('Gate events'!$E$4:$E$553,MATCH(B175,'Gate events'!$A$4:$A$553,0))&lt;&gt;"Decision","Parent event is not a Decision",IF(AND(INDEX('Gate events'!$G$4:$G$553,MATCH(B175,'Gate events'!$A$4:$A$553,0))&lt;&gt;"Progress with condition",INDEX('Gate events'!$G$4:$G$553,MATCH(B175,'Gate events'!$A$4:$A$553,0))&lt;&gt;"Re-authorise",INDEX('Gate events'!$G$4:$G$553,MATCH(B175,'Gate events'!$A$4:$A$553,0))&lt;&gt;"Resume"),"Parent outcome is not Progress with condition / Re-authorise / Resume",IF(AND(ISNUMBER(INDEX('Gate events'!$F$4:$F$553,MATCH(B175,'Gate events'!$A$4:$A$553,0))),F175&lt;INDEX('Gate events'!$F$4:$F$553,MATCH(B175,'Gate events'!$A$4:$A$553,0))),"Due date before parent event date",IF(AND(OR(G175="Closed-verified",G175="Waived",G175="Accepted-open"),OR(H175="",I175="")),"Closure evidence missing",IF(AND(H175&lt;&gt;"",NOT(ISNUMBER(H175))),"Closed / waived on is not a date",IF(AND(ISNUMBER(H175),ISNUMBER(INDEX('Gate events'!$F$4:$F$553,MATCH(B175,'Gate events'!$A$4:$A$553,0))),H175&lt;INDEX('Gate events'!$F$4:$F$553,MATCH(B175,'Gate events'!$A$4:$A$553,0))),"Closure date before parent event date",IF(AND(G175="Closed-verified",M175=""),"Verifier / date missing",IF(AND(N175="Yes",G175="Closed-verified",O175=""),"Monitoring condition needs AIG-OPS-02 evidence ref",IF(AND(G175="Open",F175&lt;TODAY()),"OVERDUE (derived) — review",IF(G175="Unknown","State Unknown: owner to confirm","Check against source")))))))))))))))))))</f>
        <v/>
      </c>
      <c r="K175" s="37" t="n"/>
      <c r="L175" s="37" t="n"/>
      <c r="M175" s="40" t="n"/>
      <c r="N175" s="40" t="n"/>
      <c r="O175" s="40" t="n"/>
    </row>
    <row r="176">
      <c r="A176" s="38" t="n"/>
      <c r="B176" s="38" t="n"/>
      <c r="C176" s="38" t="n"/>
      <c r="D176" s="38" t="n"/>
      <c r="E176" s="38" t="n"/>
      <c r="F176" s="39" t="n"/>
      <c r="G176" s="38" t="n"/>
      <c r="H176" s="39" t="n"/>
      <c r="I176" s="38" t="n"/>
      <c r="J176" s="22">
        <f>IF(COUNTA(A176:I176,K176:O176)=0,"",IF(OR(A176="",B176="",C176=""),"ID / parent missing",IF(COUNTIF($A$4:$A$553,A176)&gt;1,"Duplicate condition ID",IF(COUNTIF('Gate events'!$A$4:$A$553,B176)=0,"Event ID not found",IF(INDEX('Gate events'!$B$4:$B$553,MATCH(B176,'Gate events'!$A$4:$A$553,0))&lt;&gt;C176,"AIR-ID differs from event",IF(IF(INDEX('Gate events'!$P$4:$P$553,MATCH(B176,'Gate events'!$A$4:$A$553,0))="UC-ID specific",IF(OR(L176&lt;&gt;"UC-ID specific",K176=""),"Condition UC-ID required",IF(ISNUMBER(SEARCH(","&amp;SUBSTITUTE(K176," ","")&amp;",",","&amp;SUBSTITUTE(INDEX('Gate events'!$O$4:$O$553,MATCH(B176,'Gate events'!$A$4:$A$553,0))," ","")&amp;",")),"","UC-ID differs from decision")),IF(INDEX('Gate events'!$P$4:$P$553,MATCH(B176,'Gate events'!$A$4:$A$553,0))="Shared system baseline",IF(OR(L176&lt;&gt;"Shared system baseline",K176&lt;&gt;""),"Condition scope differs from decision",""),"Parent decision scope missing"))&lt;&gt;"",IF(INDEX('Gate events'!$P$4:$P$553,MATCH(B176,'Gate events'!$A$4:$A$553,0))="UC-ID specific",IF(OR(L176&lt;&gt;"UC-ID specific",K176=""),"Condition UC-ID required",IF(ISNUMBER(SEARCH(","&amp;SUBSTITUTE(K176," ","")&amp;",",","&amp;SUBSTITUTE(INDEX('Gate events'!$O$4:$O$553,MATCH(B176,'Gate events'!$A$4:$A$553,0))," ","")&amp;",")),"","UC-ID differs from decision")),IF(INDEX('Gate events'!$P$4:$P$553,MATCH(B176,'Gate events'!$A$4:$A$553,0))="Shared system baseline",IF(OR(L176&lt;&gt;"Shared system baseline",K176&lt;&gt;""),"Condition scope differs from decision",""),"Parent decision scope missing")),IF(OR(D176="",E176="",F176="",G176=""),"Condition, owner, due date or state missing",IF(NOT(ISNUMBER(F176)),"Due date is not a date",IF(OR(G176="Overdue",G176="Superseded"),"Legacy state — owner review (use the shared five states)",IF(INDEX('Gate events'!$E$4:$E$553,MATCH(B176,'Gate events'!$A$4:$A$553,0))&lt;&gt;"Decision","Parent event is not a Decision",IF(AND(INDEX('Gate events'!$G$4:$G$553,MATCH(B176,'Gate events'!$A$4:$A$553,0))&lt;&gt;"Progress with condition",INDEX('Gate events'!$G$4:$G$553,MATCH(B176,'Gate events'!$A$4:$A$553,0))&lt;&gt;"Re-authorise",INDEX('Gate events'!$G$4:$G$553,MATCH(B176,'Gate events'!$A$4:$A$553,0))&lt;&gt;"Resume"),"Parent outcome is not Progress with condition / Re-authorise / Resume",IF(AND(ISNUMBER(INDEX('Gate events'!$F$4:$F$553,MATCH(B176,'Gate events'!$A$4:$A$553,0))),F176&lt;INDEX('Gate events'!$F$4:$F$553,MATCH(B176,'Gate events'!$A$4:$A$553,0))),"Due date before parent event date",IF(AND(OR(G176="Closed-verified",G176="Waived",G176="Accepted-open"),OR(H176="",I176="")),"Closure evidence missing",IF(AND(H176&lt;&gt;"",NOT(ISNUMBER(H176))),"Closed / waived on is not a date",IF(AND(ISNUMBER(H176),ISNUMBER(INDEX('Gate events'!$F$4:$F$553,MATCH(B176,'Gate events'!$A$4:$A$553,0))),H176&lt;INDEX('Gate events'!$F$4:$F$553,MATCH(B176,'Gate events'!$A$4:$A$553,0))),"Closure date before parent event date",IF(AND(G176="Closed-verified",M176=""),"Verifier / date missing",IF(AND(N176="Yes",G176="Closed-verified",O176=""),"Monitoring condition needs AIG-OPS-02 evidence ref",IF(AND(G176="Open",F176&lt;TODAY()),"OVERDUE (derived) — review",IF(G176="Unknown","State Unknown: owner to confirm","Check against source")))))))))))))))))))</f>
        <v/>
      </c>
      <c r="K176" s="37" t="n"/>
      <c r="L176" s="37" t="n"/>
      <c r="M176" s="38" t="n"/>
      <c r="N176" s="38" t="n"/>
      <c r="O176" s="38" t="n"/>
    </row>
    <row r="177">
      <c r="A177" s="40" t="n"/>
      <c r="B177" s="40" t="n"/>
      <c r="C177" s="40" t="n"/>
      <c r="D177" s="40" t="n"/>
      <c r="E177" s="40" t="n"/>
      <c r="F177" s="41" t="n"/>
      <c r="G177" s="40" t="n"/>
      <c r="H177" s="41" t="n"/>
      <c r="I177" s="40" t="n"/>
      <c r="J177" s="24">
        <f>IF(COUNTA(A177:I177,K177:O177)=0,"",IF(OR(A177="",B177="",C177=""),"ID / parent missing",IF(COUNTIF($A$4:$A$553,A177)&gt;1,"Duplicate condition ID",IF(COUNTIF('Gate events'!$A$4:$A$553,B177)=0,"Event ID not found",IF(INDEX('Gate events'!$B$4:$B$553,MATCH(B177,'Gate events'!$A$4:$A$553,0))&lt;&gt;C177,"AIR-ID differs from event",IF(IF(INDEX('Gate events'!$P$4:$P$553,MATCH(B177,'Gate events'!$A$4:$A$553,0))="UC-ID specific",IF(OR(L177&lt;&gt;"UC-ID specific",K177=""),"Condition UC-ID required",IF(ISNUMBER(SEARCH(","&amp;SUBSTITUTE(K177," ","")&amp;",",","&amp;SUBSTITUTE(INDEX('Gate events'!$O$4:$O$553,MATCH(B177,'Gate events'!$A$4:$A$553,0))," ","")&amp;",")),"","UC-ID differs from decision")),IF(INDEX('Gate events'!$P$4:$P$553,MATCH(B177,'Gate events'!$A$4:$A$553,0))="Shared system baseline",IF(OR(L177&lt;&gt;"Shared system baseline",K177&lt;&gt;""),"Condition scope differs from decision",""),"Parent decision scope missing"))&lt;&gt;"",IF(INDEX('Gate events'!$P$4:$P$553,MATCH(B177,'Gate events'!$A$4:$A$553,0))="UC-ID specific",IF(OR(L177&lt;&gt;"UC-ID specific",K177=""),"Condition UC-ID required",IF(ISNUMBER(SEARCH(","&amp;SUBSTITUTE(K177," ","")&amp;",",","&amp;SUBSTITUTE(INDEX('Gate events'!$O$4:$O$553,MATCH(B177,'Gate events'!$A$4:$A$553,0))," ","")&amp;",")),"","UC-ID differs from decision")),IF(INDEX('Gate events'!$P$4:$P$553,MATCH(B177,'Gate events'!$A$4:$A$553,0))="Shared system baseline",IF(OR(L177&lt;&gt;"Shared system baseline",K177&lt;&gt;""),"Condition scope differs from decision",""),"Parent decision scope missing")),IF(OR(D177="",E177="",F177="",G177=""),"Condition, owner, due date or state missing",IF(NOT(ISNUMBER(F177)),"Due date is not a date",IF(OR(G177="Overdue",G177="Superseded"),"Legacy state — owner review (use the shared five states)",IF(INDEX('Gate events'!$E$4:$E$553,MATCH(B177,'Gate events'!$A$4:$A$553,0))&lt;&gt;"Decision","Parent event is not a Decision",IF(AND(INDEX('Gate events'!$G$4:$G$553,MATCH(B177,'Gate events'!$A$4:$A$553,0))&lt;&gt;"Progress with condition",INDEX('Gate events'!$G$4:$G$553,MATCH(B177,'Gate events'!$A$4:$A$553,0))&lt;&gt;"Re-authorise",INDEX('Gate events'!$G$4:$G$553,MATCH(B177,'Gate events'!$A$4:$A$553,0))&lt;&gt;"Resume"),"Parent outcome is not Progress with condition / Re-authorise / Resume",IF(AND(ISNUMBER(INDEX('Gate events'!$F$4:$F$553,MATCH(B177,'Gate events'!$A$4:$A$553,0))),F177&lt;INDEX('Gate events'!$F$4:$F$553,MATCH(B177,'Gate events'!$A$4:$A$553,0))),"Due date before parent event date",IF(AND(OR(G177="Closed-verified",G177="Waived",G177="Accepted-open"),OR(H177="",I177="")),"Closure evidence missing",IF(AND(H177&lt;&gt;"",NOT(ISNUMBER(H177))),"Closed / waived on is not a date",IF(AND(ISNUMBER(H177),ISNUMBER(INDEX('Gate events'!$F$4:$F$553,MATCH(B177,'Gate events'!$A$4:$A$553,0))),H177&lt;INDEX('Gate events'!$F$4:$F$553,MATCH(B177,'Gate events'!$A$4:$A$553,0))),"Closure date before parent event date",IF(AND(G177="Closed-verified",M177=""),"Verifier / date missing",IF(AND(N177="Yes",G177="Closed-verified",O177=""),"Monitoring condition needs AIG-OPS-02 evidence ref",IF(AND(G177="Open",F177&lt;TODAY()),"OVERDUE (derived) — review",IF(G177="Unknown","State Unknown: owner to confirm","Check against source")))))))))))))))))))</f>
        <v/>
      </c>
      <c r="K177" s="37" t="n"/>
      <c r="L177" s="37" t="n"/>
      <c r="M177" s="40" t="n"/>
      <c r="N177" s="40" t="n"/>
      <c r="O177" s="40" t="n"/>
    </row>
    <row r="178">
      <c r="A178" s="38" t="n"/>
      <c r="B178" s="38" t="n"/>
      <c r="C178" s="38" t="n"/>
      <c r="D178" s="38" t="n"/>
      <c r="E178" s="38" t="n"/>
      <c r="F178" s="39" t="n"/>
      <c r="G178" s="38" t="n"/>
      <c r="H178" s="39" t="n"/>
      <c r="I178" s="38" t="n"/>
      <c r="J178" s="22">
        <f>IF(COUNTA(A178:I178,K178:O178)=0,"",IF(OR(A178="",B178="",C178=""),"ID / parent missing",IF(COUNTIF($A$4:$A$553,A178)&gt;1,"Duplicate condition ID",IF(COUNTIF('Gate events'!$A$4:$A$553,B178)=0,"Event ID not found",IF(INDEX('Gate events'!$B$4:$B$553,MATCH(B178,'Gate events'!$A$4:$A$553,0))&lt;&gt;C178,"AIR-ID differs from event",IF(IF(INDEX('Gate events'!$P$4:$P$553,MATCH(B178,'Gate events'!$A$4:$A$553,0))="UC-ID specific",IF(OR(L178&lt;&gt;"UC-ID specific",K178=""),"Condition UC-ID required",IF(ISNUMBER(SEARCH(","&amp;SUBSTITUTE(K178," ","")&amp;",",","&amp;SUBSTITUTE(INDEX('Gate events'!$O$4:$O$553,MATCH(B178,'Gate events'!$A$4:$A$553,0))," ","")&amp;",")),"","UC-ID differs from decision")),IF(INDEX('Gate events'!$P$4:$P$553,MATCH(B178,'Gate events'!$A$4:$A$553,0))="Shared system baseline",IF(OR(L178&lt;&gt;"Shared system baseline",K178&lt;&gt;""),"Condition scope differs from decision",""),"Parent decision scope missing"))&lt;&gt;"",IF(INDEX('Gate events'!$P$4:$P$553,MATCH(B178,'Gate events'!$A$4:$A$553,0))="UC-ID specific",IF(OR(L178&lt;&gt;"UC-ID specific",K178=""),"Condition UC-ID required",IF(ISNUMBER(SEARCH(","&amp;SUBSTITUTE(K178," ","")&amp;",",","&amp;SUBSTITUTE(INDEX('Gate events'!$O$4:$O$553,MATCH(B178,'Gate events'!$A$4:$A$553,0))," ","")&amp;",")),"","UC-ID differs from decision")),IF(INDEX('Gate events'!$P$4:$P$553,MATCH(B178,'Gate events'!$A$4:$A$553,0))="Shared system baseline",IF(OR(L178&lt;&gt;"Shared system baseline",K178&lt;&gt;""),"Condition scope differs from decision",""),"Parent decision scope missing")),IF(OR(D178="",E178="",F178="",G178=""),"Condition, owner, due date or state missing",IF(NOT(ISNUMBER(F178)),"Due date is not a date",IF(OR(G178="Overdue",G178="Superseded"),"Legacy state — owner review (use the shared five states)",IF(INDEX('Gate events'!$E$4:$E$553,MATCH(B178,'Gate events'!$A$4:$A$553,0))&lt;&gt;"Decision","Parent event is not a Decision",IF(AND(INDEX('Gate events'!$G$4:$G$553,MATCH(B178,'Gate events'!$A$4:$A$553,0))&lt;&gt;"Progress with condition",INDEX('Gate events'!$G$4:$G$553,MATCH(B178,'Gate events'!$A$4:$A$553,0))&lt;&gt;"Re-authorise",INDEX('Gate events'!$G$4:$G$553,MATCH(B178,'Gate events'!$A$4:$A$553,0))&lt;&gt;"Resume"),"Parent outcome is not Progress with condition / Re-authorise / Resume",IF(AND(ISNUMBER(INDEX('Gate events'!$F$4:$F$553,MATCH(B178,'Gate events'!$A$4:$A$553,0))),F178&lt;INDEX('Gate events'!$F$4:$F$553,MATCH(B178,'Gate events'!$A$4:$A$553,0))),"Due date before parent event date",IF(AND(OR(G178="Closed-verified",G178="Waived",G178="Accepted-open"),OR(H178="",I178="")),"Closure evidence missing",IF(AND(H178&lt;&gt;"",NOT(ISNUMBER(H178))),"Closed / waived on is not a date",IF(AND(ISNUMBER(H178),ISNUMBER(INDEX('Gate events'!$F$4:$F$553,MATCH(B178,'Gate events'!$A$4:$A$553,0))),H178&lt;INDEX('Gate events'!$F$4:$F$553,MATCH(B178,'Gate events'!$A$4:$A$553,0))),"Closure date before parent event date",IF(AND(G178="Closed-verified",M178=""),"Verifier / date missing",IF(AND(N178="Yes",G178="Closed-verified",O178=""),"Monitoring condition needs AIG-OPS-02 evidence ref",IF(AND(G178="Open",F178&lt;TODAY()),"OVERDUE (derived) — review",IF(G178="Unknown","State Unknown: owner to confirm","Check against source")))))))))))))))))))</f>
        <v/>
      </c>
      <c r="K178" s="37" t="n"/>
      <c r="L178" s="37" t="n"/>
      <c r="M178" s="38" t="n"/>
      <c r="N178" s="38" t="n"/>
      <c r="O178" s="38" t="n"/>
    </row>
    <row r="179">
      <c r="A179" s="40" t="n"/>
      <c r="B179" s="40" t="n"/>
      <c r="C179" s="40" t="n"/>
      <c r="D179" s="40" t="n"/>
      <c r="E179" s="40" t="n"/>
      <c r="F179" s="41" t="n"/>
      <c r="G179" s="40" t="n"/>
      <c r="H179" s="41" t="n"/>
      <c r="I179" s="40" t="n"/>
      <c r="J179" s="24">
        <f>IF(COUNTA(A179:I179,K179:O179)=0,"",IF(OR(A179="",B179="",C179=""),"ID / parent missing",IF(COUNTIF($A$4:$A$553,A179)&gt;1,"Duplicate condition ID",IF(COUNTIF('Gate events'!$A$4:$A$553,B179)=0,"Event ID not found",IF(INDEX('Gate events'!$B$4:$B$553,MATCH(B179,'Gate events'!$A$4:$A$553,0))&lt;&gt;C179,"AIR-ID differs from event",IF(IF(INDEX('Gate events'!$P$4:$P$553,MATCH(B179,'Gate events'!$A$4:$A$553,0))="UC-ID specific",IF(OR(L179&lt;&gt;"UC-ID specific",K179=""),"Condition UC-ID required",IF(ISNUMBER(SEARCH(","&amp;SUBSTITUTE(K179," ","")&amp;",",","&amp;SUBSTITUTE(INDEX('Gate events'!$O$4:$O$553,MATCH(B179,'Gate events'!$A$4:$A$553,0))," ","")&amp;",")),"","UC-ID differs from decision")),IF(INDEX('Gate events'!$P$4:$P$553,MATCH(B179,'Gate events'!$A$4:$A$553,0))="Shared system baseline",IF(OR(L179&lt;&gt;"Shared system baseline",K179&lt;&gt;""),"Condition scope differs from decision",""),"Parent decision scope missing"))&lt;&gt;"",IF(INDEX('Gate events'!$P$4:$P$553,MATCH(B179,'Gate events'!$A$4:$A$553,0))="UC-ID specific",IF(OR(L179&lt;&gt;"UC-ID specific",K179=""),"Condition UC-ID required",IF(ISNUMBER(SEARCH(","&amp;SUBSTITUTE(K179," ","")&amp;",",","&amp;SUBSTITUTE(INDEX('Gate events'!$O$4:$O$553,MATCH(B179,'Gate events'!$A$4:$A$553,0))," ","")&amp;",")),"","UC-ID differs from decision")),IF(INDEX('Gate events'!$P$4:$P$553,MATCH(B179,'Gate events'!$A$4:$A$553,0))="Shared system baseline",IF(OR(L179&lt;&gt;"Shared system baseline",K179&lt;&gt;""),"Condition scope differs from decision",""),"Parent decision scope missing")),IF(OR(D179="",E179="",F179="",G179=""),"Condition, owner, due date or state missing",IF(NOT(ISNUMBER(F179)),"Due date is not a date",IF(OR(G179="Overdue",G179="Superseded"),"Legacy state — owner review (use the shared five states)",IF(INDEX('Gate events'!$E$4:$E$553,MATCH(B179,'Gate events'!$A$4:$A$553,0))&lt;&gt;"Decision","Parent event is not a Decision",IF(AND(INDEX('Gate events'!$G$4:$G$553,MATCH(B179,'Gate events'!$A$4:$A$553,0))&lt;&gt;"Progress with condition",INDEX('Gate events'!$G$4:$G$553,MATCH(B179,'Gate events'!$A$4:$A$553,0))&lt;&gt;"Re-authorise",INDEX('Gate events'!$G$4:$G$553,MATCH(B179,'Gate events'!$A$4:$A$553,0))&lt;&gt;"Resume"),"Parent outcome is not Progress with condition / Re-authorise / Resume",IF(AND(ISNUMBER(INDEX('Gate events'!$F$4:$F$553,MATCH(B179,'Gate events'!$A$4:$A$553,0))),F179&lt;INDEX('Gate events'!$F$4:$F$553,MATCH(B179,'Gate events'!$A$4:$A$553,0))),"Due date before parent event date",IF(AND(OR(G179="Closed-verified",G179="Waived",G179="Accepted-open"),OR(H179="",I179="")),"Closure evidence missing",IF(AND(H179&lt;&gt;"",NOT(ISNUMBER(H179))),"Closed / waived on is not a date",IF(AND(ISNUMBER(H179),ISNUMBER(INDEX('Gate events'!$F$4:$F$553,MATCH(B179,'Gate events'!$A$4:$A$553,0))),H179&lt;INDEX('Gate events'!$F$4:$F$553,MATCH(B179,'Gate events'!$A$4:$A$553,0))),"Closure date before parent event date",IF(AND(G179="Closed-verified",M179=""),"Verifier / date missing",IF(AND(N179="Yes",G179="Closed-verified",O179=""),"Monitoring condition needs AIG-OPS-02 evidence ref",IF(AND(G179="Open",F179&lt;TODAY()),"OVERDUE (derived) — review",IF(G179="Unknown","State Unknown: owner to confirm","Check against source")))))))))))))))))))</f>
        <v/>
      </c>
      <c r="K179" s="37" t="n"/>
      <c r="L179" s="37" t="n"/>
      <c r="M179" s="40" t="n"/>
      <c r="N179" s="40" t="n"/>
      <c r="O179" s="40" t="n"/>
    </row>
    <row r="180">
      <c r="A180" s="38" t="n"/>
      <c r="B180" s="38" t="n"/>
      <c r="C180" s="38" t="n"/>
      <c r="D180" s="38" t="n"/>
      <c r="E180" s="38" t="n"/>
      <c r="F180" s="39" t="n"/>
      <c r="G180" s="38" t="n"/>
      <c r="H180" s="39" t="n"/>
      <c r="I180" s="38" t="n"/>
      <c r="J180" s="22">
        <f>IF(COUNTA(A180:I180,K180:O180)=0,"",IF(OR(A180="",B180="",C180=""),"ID / parent missing",IF(COUNTIF($A$4:$A$553,A180)&gt;1,"Duplicate condition ID",IF(COUNTIF('Gate events'!$A$4:$A$553,B180)=0,"Event ID not found",IF(INDEX('Gate events'!$B$4:$B$553,MATCH(B180,'Gate events'!$A$4:$A$553,0))&lt;&gt;C180,"AIR-ID differs from event",IF(IF(INDEX('Gate events'!$P$4:$P$553,MATCH(B180,'Gate events'!$A$4:$A$553,0))="UC-ID specific",IF(OR(L180&lt;&gt;"UC-ID specific",K180=""),"Condition UC-ID required",IF(ISNUMBER(SEARCH(","&amp;SUBSTITUTE(K180," ","")&amp;",",","&amp;SUBSTITUTE(INDEX('Gate events'!$O$4:$O$553,MATCH(B180,'Gate events'!$A$4:$A$553,0))," ","")&amp;",")),"","UC-ID differs from decision")),IF(INDEX('Gate events'!$P$4:$P$553,MATCH(B180,'Gate events'!$A$4:$A$553,0))="Shared system baseline",IF(OR(L180&lt;&gt;"Shared system baseline",K180&lt;&gt;""),"Condition scope differs from decision",""),"Parent decision scope missing"))&lt;&gt;"",IF(INDEX('Gate events'!$P$4:$P$553,MATCH(B180,'Gate events'!$A$4:$A$553,0))="UC-ID specific",IF(OR(L180&lt;&gt;"UC-ID specific",K180=""),"Condition UC-ID required",IF(ISNUMBER(SEARCH(","&amp;SUBSTITUTE(K180," ","")&amp;",",","&amp;SUBSTITUTE(INDEX('Gate events'!$O$4:$O$553,MATCH(B180,'Gate events'!$A$4:$A$553,0))," ","")&amp;",")),"","UC-ID differs from decision")),IF(INDEX('Gate events'!$P$4:$P$553,MATCH(B180,'Gate events'!$A$4:$A$553,0))="Shared system baseline",IF(OR(L180&lt;&gt;"Shared system baseline",K180&lt;&gt;""),"Condition scope differs from decision",""),"Parent decision scope missing")),IF(OR(D180="",E180="",F180="",G180=""),"Condition, owner, due date or state missing",IF(NOT(ISNUMBER(F180)),"Due date is not a date",IF(OR(G180="Overdue",G180="Superseded"),"Legacy state — owner review (use the shared five states)",IF(INDEX('Gate events'!$E$4:$E$553,MATCH(B180,'Gate events'!$A$4:$A$553,0))&lt;&gt;"Decision","Parent event is not a Decision",IF(AND(INDEX('Gate events'!$G$4:$G$553,MATCH(B180,'Gate events'!$A$4:$A$553,0))&lt;&gt;"Progress with condition",INDEX('Gate events'!$G$4:$G$553,MATCH(B180,'Gate events'!$A$4:$A$553,0))&lt;&gt;"Re-authorise",INDEX('Gate events'!$G$4:$G$553,MATCH(B180,'Gate events'!$A$4:$A$553,0))&lt;&gt;"Resume"),"Parent outcome is not Progress with condition / Re-authorise / Resume",IF(AND(ISNUMBER(INDEX('Gate events'!$F$4:$F$553,MATCH(B180,'Gate events'!$A$4:$A$553,0))),F180&lt;INDEX('Gate events'!$F$4:$F$553,MATCH(B180,'Gate events'!$A$4:$A$553,0))),"Due date before parent event date",IF(AND(OR(G180="Closed-verified",G180="Waived",G180="Accepted-open"),OR(H180="",I180="")),"Closure evidence missing",IF(AND(H180&lt;&gt;"",NOT(ISNUMBER(H180))),"Closed / waived on is not a date",IF(AND(ISNUMBER(H180),ISNUMBER(INDEX('Gate events'!$F$4:$F$553,MATCH(B180,'Gate events'!$A$4:$A$553,0))),H180&lt;INDEX('Gate events'!$F$4:$F$553,MATCH(B180,'Gate events'!$A$4:$A$553,0))),"Closure date before parent event date",IF(AND(G180="Closed-verified",M180=""),"Verifier / date missing",IF(AND(N180="Yes",G180="Closed-verified",O180=""),"Monitoring condition needs AIG-OPS-02 evidence ref",IF(AND(G180="Open",F180&lt;TODAY()),"OVERDUE (derived) — review",IF(G180="Unknown","State Unknown: owner to confirm","Check against source")))))))))))))))))))</f>
        <v/>
      </c>
      <c r="K180" s="37" t="n"/>
      <c r="L180" s="37" t="n"/>
      <c r="M180" s="38" t="n"/>
      <c r="N180" s="38" t="n"/>
      <c r="O180" s="38" t="n"/>
    </row>
    <row r="181">
      <c r="A181" s="40" t="n"/>
      <c r="B181" s="40" t="n"/>
      <c r="C181" s="40" t="n"/>
      <c r="D181" s="40" t="n"/>
      <c r="E181" s="40" t="n"/>
      <c r="F181" s="41" t="n"/>
      <c r="G181" s="40" t="n"/>
      <c r="H181" s="41" t="n"/>
      <c r="I181" s="40" t="n"/>
      <c r="J181" s="24">
        <f>IF(COUNTA(A181:I181,K181:O181)=0,"",IF(OR(A181="",B181="",C181=""),"ID / parent missing",IF(COUNTIF($A$4:$A$553,A181)&gt;1,"Duplicate condition ID",IF(COUNTIF('Gate events'!$A$4:$A$553,B181)=0,"Event ID not found",IF(INDEX('Gate events'!$B$4:$B$553,MATCH(B181,'Gate events'!$A$4:$A$553,0))&lt;&gt;C181,"AIR-ID differs from event",IF(IF(INDEX('Gate events'!$P$4:$P$553,MATCH(B181,'Gate events'!$A$4:$A$553,0))="UC-ID specific",IF(OR(L181&lt;&gt;"UC-ID specific",K181=""),"Condition UC-ID required",IF(ISNUMBER(SEARCH(","&amp;SUBSTITUTE(K181," ","")&amp;",",","&amp;SUBSTITUTE(INDEX('Gate events'!$O$4:$O$553,MATCH(B181,'Gate events'!$A$4:$A$553,0))," ","")&amp;",")),"","UC-ID differs from decision")),IF(INDEX('Gate events'!$P$4:$P$553,MATCH(B181,'Gate events'!$A$4:$A$553,0))="Shared system baseline",IF(OR(L181&lt;&gt;"Shared system baseline",K181&lt;&gt;""),"Condition scope differs from decision",""),"Parent decision scope missing"))&lt;&gt;"",IF(INDEX('Gate events'!$P$4:$P$553,MATCH(B181,'Gate events'!$A$4:$A$553,0))="UC-ID specific",IF(OR(L181&lt;&gt;"UC-ID specific",K181=""),"Condition UC-ID required",IF(ISNUMBER(SEARCH(","&amp;SUBSTITUTE(K181," ","")&amp;",",","&amp;SUBSTITUTE(INDEX('Gate events'!$O$4:$O$553,MATCH(B181,'Gate events'!$A$4:$A$553,0))," ","")&amp;",")),"","UC-ID differs from decision")),IF(INDEX('Gate events'!$P$4:$P$553,MATCH(B181,'Gate events'!$A$4:$A$553,0))="Shared system baseline",IF(OR(L181&lt;&gt;"Shared system baseline",K181&lt;&gt;""),"Condition scope differs from decision",""),"Parent decision scope missing")),IF(OR(D181="",E181="",F181="",G181=""),"Condition, owner, due date or state missing",IF(NOT(ISNUMBER(F181)),"Due date is not a date",IF(OR(G181="Overdue",G181="Superseded"),"Legacy state — owner review (use the shared five states)",IF(INDEX('Gate events'!$E$4:$E$553,MATCH(B181,'Gate events'!$A$4:$A$553,0))&lt;&gt;"Decision","Parent event is not a Decision",IF(AND(INDEX('Gate events'!$G$4:$G$553,MATCH(B181,'Gate events'!$A$4:$A$553,0))&lt;&gt;"Progress with condition",INDEX('Gate events'!$G$4:$G$553,MATCH(B181,'Gate events'!$A$4:$A$553,0))&lt;&gt;"Re-authorise",INDEX('Gate events'!$G$4:$G$553,MATCH(B181,'Gate events'!$A$4:$A$553,0))&lt;&gt;"Resume"),"Parent outcome is not Progress with condition / Re-authorise / Resume",IF(AND(ISNUMBER(INDEX('Gate events'!$F$4:$F$553,MATCH(B181,'Gate events'!$A$4:$A$553,0))),F181&lt;INDEX('Gate events'!$F$4:$F$553,MATCH(B181,'Gate events'!$A$4:$A$553,0))),"Due date before parent event date",IF(AND(OR(G181="Closed-verified",G181="Waived",G181="Accepted-open"),OR(H181="",I181="")),"Closure evidence missing",IF(AND(H181&lt;&gt;"",NOT(ISNUMBER(H181))),"Closed / waived on is not a date",IF(AND(ISNUMBER(H181),ISNUMBER(INDEX('Gate events'!$F$4:$F$553,MATCH(B181,'Gate events'!$A$4:$A$553,0))),H181&lt;INDEX('Gate events'!$F$4:$F$553,MATCH(B181,'Gate events'!$A$4:$A$553,0))),"Closure date before parent event date",IF(AND(G181="Closed-verified",M181=""),"Verifier / date missing",IF(AND(N181="Yes",G181="Closed-verified",O181=""),"Monitoring condition needs AIG-OPS-02 evidence ref",IF(AND(G181="Open",F181&lt;TODAY()),"OVERDUE (derived) — review",IF(G181="Unknown","State Unknown: owner to confirm","Check against source")))))))))))))))))))</f>
        <v/>
      </c>
      <c r="K181" s="37" t="n"/>
      <c r="L181" s="37" t="n"/>
      <c r="M181" s="40" t="n"/>
      <c r="N181" s="40" t="n"/>
      <c r="O181" s="40" t="n"/>
    </row>
    <row r="182">
      <c r="A182" s="38" t="n"/>
      <c r="B182" s="38" t="n"/>
      <c r="C182" s="38" t="n"/>
      <c r="D182" s="38" t="n"/>
      <c r="E182" s="38" t="n"/>
      <c r="F182" s="39" t="n"/>
      <c r="G182" s="38" t="n"/>
      <c r="H182" s="39" t="n"/>
      <c r="I182" s="38" t="n"/>
      <c r="J182" s="22">
        <f>IF(COUNTA(A182:I182,K182:O182)=0,"",IF(OR(A182="",B182="",C182=""),"ID / parent missing",IF(COUNTIF($A$4:$A$553,A182)&gt;1,"Duplicate condition ID",IF(COUNTIF('Gate events'!$A$4:$A$553,B182)=0,"Event ID not found",IF(INDEX('Gate events'!$B$4:$B$553,MATCH(B182,'Gate events'!$A$4:$A$553,0))&lt;&gt;C182,"AIR-ID differs from event",IF(IF(INDEX('Gate events'!$P$4:$P$553,MATCH(B182,'Gate events'!$A$4:$A$553,0))="UC-ID specific",IF(OR(L182&lt;&gt;"UC-ID specific",K182=""),"Condition UC-ID required",IF(ISNUMBER(SEARCH(","&amp;SUBSTITUTE(K182," ","")&amp;",",","&amp;SUBSTITUTE(INDEX('Gate events'!$O$4:$O$553,MATCH(B182,'Gate events'!$A$4:$A$553,0))," ","")&amp;",")),"","UC-ID differs from decision")),IF(INDEX('Gate events'!$P$4:$P$553,MATCH(B182,'Gate events'!$A$4:$A$553,0))="Shared system baseline",IF(OR(L182&lt;&gt;"Shared system baseline",K182&lt;&gt;""),"Condition scope differs from decision",""),"Parent decision scope missing"))&lt;&gt;"",IF(INDEX('Gate events'!$P$4:$P$553,MATCH(B182,'Gate events'!$A$4:$A$553,0))="UC-ID specific",IF(OR(L182&lt;&gt;"UC-ID specific",K182=""),"Condition UC-ID required",IF(ISNUMBER(SEARCH(","&amp;SUBSTITUTE(K182," ","")&amp;",",","&amp;SUBSTITUTE(INDEX('Gate events'!$O$4:$O$553,MATCH(B182,'Gate events'!$A$4:$A$553,0))," ","")&amp;",")),"","UC-ID differs from decision")),IF(INDEX('Gate events'!$P$4:$P$553,MATCH(B182,'Gate events'!$A$4:$A$553,0))="Shared system baseline",IF(OR(L182&lt;&gt;"Shared system baseline",K182&lt;&gt;""),"Condition scope differs from decision",""),"Parent decision scope missing")),IF(OR(D182="",E182="",F182="",G182=""),"Condition, owner, due date or state missing",IF(NOT(ISNUMBER(F182)),"Due date is not a date",IF(OR(G182="Overdue",G182="Superseded"),"Legacy state — owner review (use the shared five states)",IF(INDEX('Gate events'!$E$4:$E$553,MATCH(B182,'Gate events'!$A$4:$A$553,0))&lt;&gt;"Decision","Parent event is not a Decision",IF(AND(INDEX('Gate events'!$G$4:$G$553,MATCH(B182,'Gate events'!$A$4:$A$553,0))&lt;&gt;"Progress with condition",INDEX('Gate events'!$G$4:$G$553,MATCH(B182,'Gate events'!$A$4:$A$553,0))&lt;&gt;"Re-authorise",INDEX('Gate events'!$G$4:$G$553,MATCH(B182,'Gate events'!$A$4:$A$553,0))&lt;&gt;"Resume"),"Parent outcome is not Progress with condition / Re-authorise / Resume",IF(AND(ISNUMBER(INDEX('Gate events'!$F$4:$F$553,MATCH(B182,'Gate events'!$A$4:$A$553,0))),F182&lt;INDEX('Gate events'!$F$4:$F$553,MATCH(B182,'Gate events'!$A$4:$A$553,0))),"Due date before parent event date",IF(AND(OR(G182="Closed-verified",G182="Waived",G182="Accepted-open"),OR(H182="",I182="")),"Closure evidence missing",IF(AND(H182&lt;&gt;"",NOT(ISNUMBER(H182))),"Closed / waived on is not a date",IF(AND(ISNUMBER(H182),ISNUMBER(INDEX('Gate events'!$F$4:$F$553,MATCH(B182,'Gate events'!$A$4:$A$553,0))),H182&lt;INDEX('Gate events'!$F$4:$F$553,MATCH(B182,'Gate events'!$A$4:$A$553,0))),"Closure date before parent event date",IF(AND(G182="Closed-verified",M182=""),"Verifier / date missing",IF(AND(N182="Yes",G182="Closed-verified",O182=""),"Monitoring condition needs AIG-OPS-02 evidence ref",IF(AND(G182="Open",F182&lt;TODAY()),"OVERDUE (derived) — review",IF(G182="Unknown","State Unknown: owner to confirm","Check against source")))))))))))))))))))</f>
        <v/>
      </c>
      <c r="K182" s="37" t="n"/>
      <c r="L182" s="37" t="n"/>
      <c r="M182" s="38" t="n"/>
      <c r="N182" s="38" t="n"/>
      <c r="O182" s="38" t="n"/>
    </row>
    <row r="183">
      <c r="A183" s="40" t="n"/>
      <c r="B183" s="40" t="n"/>
      <c r="C183" s="40" t="n"/>
      <c r="D183" s="40" t="n"/>
      <c r="E183" s="40" t="n"/>
      <c r="F183" s="41" t="n"/>
      <c r="G183" s="40" t="n"/>
      <c r="H183" s="41" t="n"/>
      <c r="I183" s="40" t="n"/>
      <c r="J183" s="24">
        <f>IF(COUNTA(A183:I183,K183:O183)=0,"",IF(OR(A183="",B183="",C183=""),"ID / parent missing",IF(COUNTIF($A$4:$A$553,A183)&gt;1,"Duplicate condition ID",IF(COUNTIF('Gate events'!$A$4:$A$553,B183)=0,"Event ID not found",IF(INDEX('Gate events'!$B$4:$B$553,MATCH(B183,'Gate events'!$A$4:$A$553,0))&lt;&gt;C183,"AIR-ID differs from event",IF(IF(INDEX('Gate events'!$P$4:$P$553,MATCH(B183,'Gate events'!$A$4:$A$553,0))="UC-ID specific",IF(OR(L183&lt;&gt;"UC-ID specific",K183=""),"Condition UC-ID required",IF(ISNUMBER(SEARCH(","&amp;SUBSTITUTE(K183," ","")&amp;",",","&amp;SUBSTITUTE(INDEX('Gate events'!$O$4:$O$553,MATCH(B183,'Gate events'!$A$4:$A$553,0))," ","")&amp;",")),"","UC-ID differs from decision")),IF(INDEX('Gate events'!$P$4:$P$553,MATCH(B183,'Gate events'!$A$4:$A$553,0))="Shared system baseline",IF(OR(L183&lt;&gt;"Shared system baseline",K183&lt;&gt;""),"Condition scope differs from decision",""),"Parent decision scope missing"))&lt;&gt;"",IF(INDEX('Gate events'!$P$4:$P$553,MATCH(B183,'Gate events'!$A$4:$A$553,0))="UC-ID specific",IF(OR(L183&lt;&gt;"UC-ID specific",K183=""),"Condition UC-ID required",IF(ISNUMBER(SEARCH(","&amp;SUBSTITUTE(K183," ","")&amp;",",","&amp;SUBSTITUTE(INDEX('Gate events'!$O$4:$O$553,MATCH(B183,'Gate events'!$A$4:$A$553,0))," ","")&amp;",")),"","UC-ID differs from decision")),IF(INDEX('Gate events'!$P$4:$P$553,MATCH(B183,'Gate events'!$A$4:$A$553,0))="Shared system baseline",IF(OR(L183&lt;&gt;"Shared system baseline",K183&lt;&gt;""),"Condition scope differs from decision",""),"Parent decision scope missing")),IF(OR(D183="",E183="",F183="",G183=""),"Condition, owner, due date or state missing",IF(NOT(ISNUMBER(F183)),"Due date is not a date",IF(OR(G183="Overdue",G183="Superseded"),"Legacy state — owner review (use the shared five states)",IF(INDEX('Gate events'!$E$4:$E$553,MATCH(B183,'Gate events'!$A$4:$A$553,0))&lt;&gt;"Decision","Parent event is not a Decision",IF(AND(INDEX('Gate events'!$G$4:$G$553,MATCH(B183,'Gate events'!$A$4:$A$553,0))&lt;&gt;"Progress with condition",INDEX('Gate events'!$G$4:$G$553,MATCH(B183,'Gate events'!$A$4:$A$553,0))&lt;&gt;"Re-authorise",INDEX('Gate events'!$G$4:$G$553,MATCH(B183,'Gate events'!$A$4:$A$553,0))&lt;&gt;"Resume"),"Parent outcome is not Progress with condition / Re-authorise / Resume",IF(AND(ISNUMBER(INDEX('Gate events'!$F$4:$F$553,MATCH(B183,'Gate events'!$A$4:$A$553,0))),F183&lt;INDEX('Gate events'!$F$4:$F$553,MATCH(B183,'Gate events'!$A$4:$A$553,0))),"Due date before parent event date",IF(AND(OR(G183="Closed-verified",G183="Waived",G183="Accepted-open"),OR(H183="",I183="")),"Closure evidence missing",IF(AND(H183&lt;&gt;"",NOT(ISNUMBER(H183))),"Closed / waived on is not a date",IF(AND(ISNUMBER(H183),ISNUMBER(INDEX('Gate events'!$F$4:$F$553,MATCH(B183,'Gate events'!$A$4:$A$553,0))),H183&lt;INDEX('Gate events'!$F$4:$F$553,MATCH(B183,'Gate events'!$A$4:$A$553,0))),"Closure date before parent event date",IF(AND(G183="Closed-verified",M183=""),"Verifier / date missing",IF(AND(N183="Yes",G183="Closed-verified",O183=""),"Monitoring condition needs AIG-OPS-02 evidence ref",IF(AND(G183="Open",F183&lt;TODAY()),"OVERDUE (derived) — review",IF(G183="Unknown","State Unknown: owner to confirm","Check against source")))))))))))))))))))</f>
        <v/>
      </c>
      <c r="K183" s="37" t="n"/>
      <c r="L183" s="37" t="n"/>
      <c r="M183" s="40" t="n"/>
      <c r="N183" s="40" t="n"/>
      <c r="O183" s="40" t="n"/>
    </row>
    <row r="184">
      <c r="A184" s="38" t="n"/>
      <c r="B184" s="38" t="n"/>
      <c r="C184" s="38" t="n"/>
      <c r="D184" s="38" t="n"/>
      <c r="E184" s="38" t="n"/>
      <c r="F184" s="39" t="n"/>
      <c r="G184" s="38" t="n"/>
      <c r="H184" s="39" t="n"/>
      <c r="I184" s="38" t="n"/>
      <c r="J184" s="22">
        <f>IF(COUNTA(A184:I184,K184:O184)=0,"",IF(OR(A184="",B184="",C184=""),"ID / parent missing",IF(COUNTIF($A$4:$A$553,A184)&gt;1,"Duplicate condition ID",IF(COUNTIF('Gate events'!$A$4:$A$553,B184)=0,"Event ID not found",IF(INDEX('Gate events'!$B$4:$B$553,MATCH(B184,'Gate events'!$A$4:$A$553,0))&lt;&gt;C184,"AIR-ID differs from event",IF(IF(INDEX('Gate events'!$P$4:$P$553,MATCH(B184,'Gate events'!$A$4:$A$553,0))="UC-ID specific",IF(OR(L184&lt;&gt;"UC-ID specific",K184=""),"Condition UC-ID required",IF(ISNUMBER(SEARCH(","&amp;SUBSTITUTE(K184," ","")&amp;",",","&amp;SUBSTITUTE(INDEX('Gate events'!$O$4:$O$553,MATCH(B184,'Gate events'!$A$4:$A$553,0))," ","")&amp;",")),"","UC-ID differs from decision")),IF(INDEX('Gate events'!$P$4:$P$553,MATCH(B184,'Gate events'!$A$4:$A$553,0))="Shared system baseline",IF(OR(L184&lt;&gt;"Shared system baseline",K184&lt;&gt;""),"Condition scope differs from decision",""),"Parent decision scope missing"))&lt;&gt;"",IF(INDEX('Gate events'!$P$4:$P$553,MATCH(B184,'Gate events'!$A$4:$A$553,0))="UC-ID specific",IF(OR(L184&lt;&gt;"UC-ID specific",K184=""),"Condition UC-ID required",IF(ISNUMBER(SEARCH(","&amp;SUBSTITUTE(K184," ","")&amp;",",","&amp;SUBSTITUTE(INDEX('Gate events'!$O$4:$O$553,MATCH(B184,'Gate events'!$A$4:$A$553,0))," ","")&amp;",")),"","UC-ID differs from decision")),IF(INDEX('Gate events'!$P$4:$P$553,MATCH(B184,'Gate events'!$A$4:$A$553,0))="Shared system baseline",IF(OR(L184&lt;&gt;"Shared system baseline",K184&lt;&gt;""),"Condition scope differs from decision",""),"Parent decision scope missing")),IF(OR(D184="",E184="",F184="",G184=""),"Condition, owner, due date or state missing",IF(NOT(ISNUMBER(F184)),"Due date is not a date",IF(OR(G184="Overdue",G184="Superseded"),"Legacy state — owner review (use the shared five states)",IF(INDEX('Gate events'!$E$4:$E$553,MATCH(B184,'Gate events'!$A$4:$A$553,0))&lt;&gt;"Decision","Parent event is not a Decision",IF(AND(INDEX('Gate events'!$G$4:$G$553,MATCH(B184,'Gate events'!$A$4:$A$553,0))&lt;&gt;"Progress with condition",INDEX('Gate events'!$G$4:$G$553,MATCH(B184,'Gate events'!$A$4:$A$553,0))&lt;&gt;"Re-authorise",INDEX('Gate events'!$G$4:$G$553,MATCH(B184,'Gate events'!$A$4:$A$553,0))&lt;&gt;"Resume"),"Parent outcome is not Progress with condition / Re-authorise / Resume",IF(AND(ISNUMBER(INDEX('Gate events'!$F$4:$F$553,MATCH(B184,'Gate events'!$A$4:$A$553,0))),F184&lt;INDEX('Gate events'!$F$4:$F$553,MATCH(B184,'Gate events'!$A$4:$A$553,0))),"Due date before parent event date",IF(AND(OR(G184="Closed-verified",G184="Waived",G184="Accepted-open"),OR(H184="",I184="")),"Closure evidence missing",IF(AND(H184&lt;&gt;"",NOT(ISNUMBER(H184))),"Closed / waived on is not a date",IF(AND(ISNUMBER(H184),ISNUMBER(INDEX('Gate events'!$F$4:$F$553,MATCH(B184,'Gate events'!$A$4:$A$553,0))),H184&lt;INDEX('Gate events'!$F$4:$F$553,MATCH(B184,'Gate events'!$A$4:$A$553,0))),"Closure date before parent event date",IF(AND(G184="Closed-verified",M184=""),"Verifier / date missing",IF(AND(N184="Yes",G184="Closed-verified",O184=""),"Monitoring condition needs AIG-OPS-02 evidence ref",IF(AND(G184="Open",F184&lt;TODAY()),"OVERDUE (derived) — review",IF(G184="Unknown","State Unknown: owner to confirm","Check against source")))))))))))))))))))</f>
        <v/>
      </c>
      <c r="K184" s="37" t="n"/>
      <c r="L184" s="37" t="n"/>
      <c r="M184" s="38" t="n"/>
      <c r="N184" s="38" t="n"/>
      <c r="O184" s="38" t="n"/>
    </row>
    <row r="185">
      <c r="A185" s="40" t="n"/>
      <c r="B185" s="40" t="n"/>
      <c r="C185" s="40" t="n"/>
      <c r="D185" s="40" t="n"/>
      <c r="E185" s="40" t="n"/>
      <c r="F185" s="41" t="n"/>
      <c r="G185" s="40" t="n"/>
      <c r="H185" s="41" t="n"/>
      <c r="I185" s="40" t="n"/>
      <c r="J185" s="24">
        <f>IF(COUNTA(A185:I185,K185:O185)=0,"",IF(OR(A185="",B185="",C185=""),"ID / parent missing",IF(COUNTIF($A$4:$A$553,A185)&gt;1,"Duplicate condition ID",IF(COUNTIF('Gate events'!$A$4:$A$553,B185)=0,"Event ID not found",IF(INDEX('Gate events'!$B$4:$B$553,MATCH(B185,'Gate events'!$A$4:$A$553,0))&lt;&gt;C185,"AIR-ID differs from event",IF(IF(INDEX('Gate events'!$P$4:$P$553,MATCH(B185,'Gate events'!$A$4:$A$553,0))="UC-ID specific",IF(OR(L185&lt;&gt;"UC-ID specific",K185=""),"Condition UC-ID required",IF(ISNUMBER(SEARCH(","&amp;SUBSTITUTE(K185," ","")&amp;",",","&amp;SUBSTITUTE(INDEX('Gate events'!$O$4:$O$553,MATCH(B185,'Gate events'!$A$4:$A$553,0))," ","")&amp;",")),"","UC-ID differs from decision")),IF(INDEX('Gate events'!$P$4:$P$553,MATCH(B185,'Gate events'!$A$4:$A$553,0))="Shared system baseline",IF(OR(L185&lt;&gt;"Shared system baseline",K185&lt;&gt;""),"Condition scope differs from decision",""),"Parent decision scope missing"))&lt;&gt;"",IF(INDEX('Gate events'!$P$4:$P$553,MATCH(B185,'Gate events'!$A$4:$A$553,0))="UC-ID specific",IF(OR(L185&lt;&gt;"UC-ID specific",K185=""),"Condition UC-ID required",IF(ISNUMBER(SEARCH(","&amp;SUBSTITUTE(K185," ","")&amp;",",","&amp;SUBSTITUTE(INDEX('Gate events'!$O$4:$O$553,MATCH(B185,'Gate events'!$A$4:$A$553,0))," ","")&amp;",")),"","UC-ID differs from decision")),IF(INDEX('Gate events'!$P$4:$P$553,MATCH(B185,'Gate events'!$A$4:$A$553,0))="Shared system baseline",IF(OR(L185&lt;&gt;"Shared system baseline",K185&lt;&gt;""),"Condition scope differs from decision",""),"Parent decision scope missing")),IF(OR(D185="",E185="",F185="",G185=""),"Condition, owner, due date or state missing",IF(NOT(ISNUMBER(F185)),"Due date is not a date",IF(OR(G185="Overdue",G185="Superseded"),"Legacy state — owner review (use the shared five states)",IF(INDEX('Gate events'!$E$4:$E$553,MATCH(B185,'Gate events'!$A$4:$A$553,0))&lt;&gt;"Decision","Parent event is not a Decision",IF(AND(INDEX('Gate events'!$G$4:$G$553,MATCH(B185,'Gate events'!$A$4:$A$553,0))&lt;&gt;"Progress with condition",INDEX('Gate events'!$G$4:$G$553,MATCH(B185,'Gate events'!$A$4:$A$553,0))&lt;&gt;"Re-authorise",INDEX('Gate events'!$G$4:$G$553,MATCH(B185,'Gate events'!$A$4:$A$553,0))&lt;&gt;"Resume"),"Parent outcome is not Progress with condition / Re-authorise / Resume",IF(AND(ISNUMBER(INDEX('Gate events'!$F$4:$F$553,MATCH(B185,'Gate events'!$A$4:$A$553,0))),F185&lt;INDEX('Gate events'!$F$4:$F$553,MATCH(B185,'Gate events'!$A$4:$A$553,0))),"Due date before parent event date",IF(AND(OR(G185="Closed-verified",G185="Waived",G185="Accepted-open"),OR(H185="",I185="")),"Closure evidence missing",IF(AND(H185&lt;&gt;"",NOT(ISNUMBER(H185))),"Closed / waived on is not a date",IF(AND(ISNUMBER(H185),ISNUMBER(INDEX('Gate events'!$F$4:$F$553,MATCH(B185,'Gate events'!$A$4:$A$553,0))),H185&lt;INDEX('Gate events'!$F$4:$F$553,MATCH(B185,'Gate events'!$A$4:$A$553,0))),"Closure date before parent event date",IF(AND(G185="Closed-verified",M185=""),"Verifier / date missing",IF(AND(N185="Yes",G185="Closed-verified",O185=""),"Monitoring condition needs AIG-OPS-02 evidence ref",IF(AND(G185="Open",F185&lt;TODAY()),"OVERDUE (derived) — review",IF(G185="Unknown","State Unknown: owner to confirm","Check against source")))))))))))))))))))</f>
        <v/>
      </c>
      <c r="K185" s="37" t="n"/>
      <c r="L185" s="37" t="n"/>
      <c r="M185" s="40" t="n"/>
      <c r="N185" s="40" t="n"/>
      <c r="O185" s="40" t="n"/>
    </row>
    <row r="186">
      <c r="A186" s="38" t="n"/>
      <c r="B186" s="38" t="n"/>
      <c r="C186" s="38" t="n"/>
      <c r="D186" s="38" t="n"/>
      <c r="E186" s="38" t="n"/>
      <c r="F186" s="39" t="n"/>
      <c r="G186" s="38" t="n"/>
      <c r="H186" s="39" t="n"/>
      <c r="I186" s="38" t="n"/>
      <c r="J186" s="22">
        <f>IF(COUNTA(A186:I186,K186:O186)=0,"",IF(OR(A186="",B186="",C186=""),"ID / parent missing",IF(COUNTIF($A$4:$A$553,A186)&gt;1,"Duplicate condition ID",IF(COUNTIF('Gate events'!$A$4:$A$553,B186)=0,"Event ID not found",IF(INDEX('Gate events'!$B$4:$B$553,MATCH(B186,'Gate events'!$A$4:$A$553,0))&lt;&gt;C186,"AIR-ID differs from event",IF(IF(INDEX('Gate events'!$P$4:$P$553,MATCH(B186,'Gate events'!$A$4:$A$553,0))="UC-ID specific",IF(OR(L186&lt;&gt;"UC-ID specific",K186=""),"Condition UC-ID required",IF(ISNUMBER(SEARCH(","&amp;SUBSTITUTE(K186," ","")&amp;",",","&amp;SUBSTITUTE(INDEX('Gate events'!$O$4:$O$553,MATCH(B186,'Gate events'!$A$4:$A$553,0))," ","")&amp;",")),"","UC-ID differs from decision")),IF(INDEX('Gate events'!$P$4:$P$553,MATCH(B186,'Gate events'!$A$4:$A$553,0))="Shared system baseline",IF(OR(L186&lt;&gt;"Shared system baseline",K186&lt;&gt;""),"Condition scope differs from decision",""),"Parent decision scope missing"))&lt;&gt;"",IF(INDEX('Gate events'!$P$4:$P$553,MATCH(B186,'Gate events'!$A$4:$A$553,0))="UC-ID specific",IF(OR(L186&lt;&gt;"UC-ID specific",K186=""),"Condition UC-ID required",IF(ISNUMBER(SEARCH(","&amp;SUBSTITUTE(K186," ","")&amp;",",","&amp;SUBSTITUTE(INDEX('Gate events'!$O$4:$O$553,MATCH(B186,'Gate events'!$A$4:$A$553,0))," ","")&amp;",")),"","UC-ID differs from decision")),IF(INDEX('Gate events'!$P$4:$P$553,MATCH(B186,'Gate events'!$A$4:$A$553,0))="Shared system baseline",IF(OR(L186&lt;&gt;"Shared system baseline",K186&lt;&gt;""),"Condition scope differs from decision",""),"Parent decision scope missing")),IF(OR(D186="",E186="",F186="",G186=""),"Condition, owner, due date or state missing",IF(NOT(ISNUMBER(F186)),"Due date is not a date",IF(OR(G186="Overdue",G186="Superseded"),"Legacy state — owner review (use the shared five states)",IF(INDEX('Gate events'!$E$4:$E$553,MATCH(B186,'Gate events'!$A$4:$A$553,0))&lt;&gt;"Decision","Parent event is not a Decision",IF(AND(INDEX('Gate events'!$G$4:$G$553,MATCH(B186,'Gate events'!$A$4:$A$553,0))&lt;&gt;"Progress with condition",INDEX('Gate events'!$G$4:$G$553,MATCH(B186,'Gate events'!$A$4:$A$553,0))&lt;&gt;"Re-authorise",INDEX('Gate events'!$G$4:$G$553,MATCH(B186,'Gate events'!$A$4:$A$553,0))&lt;&gt;"Resume"),"Parent outcome is not Progress with condition / Re-authorise / Resume",IF(AND(ISNUMBER(INDEX('Gate events'!$F$4:$F$553,MATCH(B186,'Gate events'!$A$4:$A$553,0))),F186&lt;INDEX('Gate events'!$F$4:$F$553,MATCH(B186,'Gate events'!$A$4:$A$553,0))),"Due date before parent event date",IF(AND(OR(G186="Closed-verified",G186="Waived",G186="Accepted-open"),OR(H186="",I186="")),"Closure evidence missing",IF(AND(H186&lt;&gt;"",NOT(ISNUMBER(H186))),"Closed / waived on is not a date",IF(AND(ISNUMBER(H186),ISNUMBER(INDEX('Gate events'!$F$4:$F$553,MATCH(B186,'Gate events'!$A$4:$A$553,0))),H186&lt;INDEX('Gate events'!$F$4:$F$553,MATCH(B186,'Gate events'!$A$4:$A$553,0))),"Closure date before parent event date",IF(AND(G186="Closed-verified",M186=""),"Verifier / date missing",IF(AND(N186="Yes",G186="Closed-verified",O186=""),"Monitoring condition needs AIG-OPS-02 evidence ref",IF(AND(G186="Open",F186&lt;TODAY()),"OVERDUE (derived) — review",IF(G186="Unknown","State Unknown: owner to confirm","Check against source")))))))))))))))))))</f>
        <v/>
      </c>
      <c r="K186" s="37" t="n"/>
      <c r="L186" s="37" t="n"/>
      <c r="M186" s="38" t="n"/>
      <c r="N186" s="38" t="n"/>
      <c r="O186" s="38" t="n"/>
    </row>
    <row r="187">
      <c r="A187" s="40" t="n"/>
      <c r="B187" s="40" t="n"/>
      <c r="C187" s="40" t="n"/>
      <c r="D187" s="40" t="n"/>
      <c r="E187" s="40" t="n"/>
      <c r="F187" s="41" t="n"/>
      <c r="G187" s="40" t="n"/>
      <c r="H187" s="41" t="n"/>
      <c r="I187" s="40" t="n"/>
      <c r="J187" s="24">
        <f>IF(COUNTA(A187:I187,K187:O187)=0,"",IF(OR(A187="",B187="",C187=""),"ID / parent missing",IF(COUNTIF($A$4:$A$553,A187)&gt;1,"Duplicate condition ID",IF(COUNTIF('Gate events'!$A$4:$A$553,B187)=0,"Event ID not found",IF(INDEX('Gate events'!$B$4:$B$553,MATCH(B187,'Gate events'!$A$4:$A$553,0))&lt;&gt;C187,"AIR-ID differs from event",IF(IF(INDEX('Gate events'!$P$4:$P$553,MATCH(B187,'Gate events'!$A$4:$A$553,0))="UC-ID specific",IF(OR(L187&lt;&gt;"UC-ID specific",K187=""),"Condition UC-ID required",IF(ISNUMBER(SEARCH(","&amp;SUBSTITUTE(K187," ","")&amp;",",","&amp;SUBSTITUTE(INDEX('Gate events'!$O$4:$O$553,MATCH(B187,'Gate events'!$A$4:$A$553,0))," ","")&amp;",")),"","UC-ID differs from decision")),IF(INDEX('Gate events'!$P$4:$P$553,MATCH(B187,'Gate events'!$A$4:$A$553,0))="Shared system baseline",IF(OR(L187&lt;&gt;"Shared system baseline",K187&lt;&gt;""),"Condition scope differs from decision",""),"Parent decision scope missing"))&lt;&gt;"",IF(INDEX('Gate events'!$P$4:$P$553,MATCH(B187,'Gate events'!$A$4:$A$553,0))="UC-ID specific",IF(OR(L187&lt;&gt;"UC-ID specific",K187=""),"Condition UC-ID required",IF(ISNUMBER(SEARCH(","&amp;SUBSTITUTE(K187," ","")&amp;",",","&amp;SUBSTITUTE(INDEX('Gate events'!$O$4:$O$553,MATCH(B187,'Gate events'!$A$4:$A$553,0))," ","")&amp;",")),"","UC-ID differs from decision")),IF(INDEX('Gate events'!$P$4:$P$553,MATCH(B187,'Gate events'!$A$4:$A$553,0))="Shared system baseline",IF(OR(L187&lt;&gt;"Shared system baseline",K187&lt;&gt;""),"Condition scope differs from decision",""),"Parent decision scope missing")),IF(OR(D187="",E187="",F187="",G187=""),"Condition, owner, due date or state missing",IF(NOT(ISNUMBER(F187)),"Due date is not a date",IF(OR(G187="Overdue",G187="Superseded"),"Legacy state — owner review (use the shared five states)",IF(INDEX('Gate events'!$E$4:$E$553,MATCH(B187,'Gate events'!$A$4:$A$553,0))&lt;&gt;"Decision","Parent event is not a Decision",IF(AND(INDEX('Gate events'!$G$4:$G$553,MATCH(B187,'Gate events'!$A$4:$A$553,0))&lt;&gt;"Progress with condition",INDEX('Gate events'!$G$4:$G$553,MATCH(B187,'Gate events'!$A$4:$A$553,0))&lt;&gt;"Re-authorise",INDEX('Gate events'!$G$4:$G$553,MATCH(B187,'Gate events'!$A$4:$A$553,0))&lt;&gt;"Resume"),"Parent outcome is not Progress with condition / Re-authorise / Resume",IF(AND(ISNUMBER(INDEX('Gate events'!$F$4:$F$553,MATCH(B187,'Gate events'!$A$4:$A$553,0))),F187&lt;INDEX('Gate events'!$F$4:$F$553,MATCH(B187,'Gate events'!$A$4:$A$553,0))),"Due date before parent event date",IF(AND(OR(G187="Closed-verified",G187="Waived",G187="Accepted-open"),OR(H187="",I187="")),"Closure evidence missing",IF(AND(H187&lt;&gt;"",NOT(ISNUMBER(H187))),"Closed / waived on is not a date",IF(AND(ISNUMBER(H187),ISNUMBER(INDEX('Gate events'!$F$4:$F$553,MATCH(B187,'Gate events'!$A$4:$A$553,0))),H187&lt;INDEX('Gate events'!$F$4:$F$553,MATCH(B187,'Gate events'!$A$4:$A$553,0))),"Closure date before parent event date",IF(AND(G187="Closed-verified",M187=""),"Verifier / date missing",IF(AND(N187="Yes",G187="Closed-verified",O187=""),"Monitoring condition needs AIG-OPS-02 evidence ref",IF(AND(G187="Open",F187&lt;TODAY()),"OVERDUE (derived) — review",IF(G187="Unknown","State Unknown: owner to confirm","Check against source")))))))))))))))))))</f>
        <v/>
      </c>
      <c r="K187" s="37" t="n"/>
      <c r="L187" s="37" t="n"/>
      <c r="M187" s="40" t="n"/>
      <c r="N187" s="40" t="n"/>
      <c r="O187" s="40" t="n"/>
    </row>
    <row r="188">
      <c r="A188" s="38" t="n"/>
      <c r="B188" s="38" t="n"/>
      <c r="C188" s="38" t="n"/>
      <c r="D188" s="38" t="n"/>
      <c r="E188" s="38" t="n"/>
      <c r="F188" s="39" t="n"/>
      <c r="G188" s="38" t="n"/>
      <c r="H188" s="39" t="n"/>
      <c r="I188" s="38" t="n"/>
      <c r="J188" s="22">
        <f>IF(COUNTA(A188:I188,K188:O188)=0,"",IF(OR(A188="",B188="",C188=""),"ID / parent missing",IF(COUNTIF($A$4:$A$553,A188)&gt;1,"Duplicate condition ID",IF(COUNTIF('Gate events'!$A$4:$A$553,B188)=0,"Event ID not found",IF(INDEX('Gate events'!$B$4:$B$553,MATCH(B188,'Gate events'!$A$4:$A$553,0))&lt;&gt;C188,"AIR-ID differs from event",IF(IF(INDEX('Gate events'!$P$4:$P$553,MATCH(B188,'Gate events'!$A$4:$A$553,0))="UC-ID specific",IF(OR(L188&lt;&gt;"UC-ID specific",K188=""),"Condition UC-ID required",IF(ISNUMBER(SEARCH(","&amp;SUBSTITUTE(K188," ","")&amp;",",","&amp;SUBSTITUTE(INDEX('Gate events'!$O$4:$O$553,MATCH(B188,'Gate events'!$A$4:$A$553,0))," ","")&amp;",")),"","UC-ID differs from decision")),IF(INDEX('Gate events'!$P$4:$P$553,MATCH(B188,'Gate events'!$A$4:$A$553,0))="Shared system baseline",IF(OR(L188&lt;&gt;"Shared system baseline",K188&lt;&gt;""),"Condition scope differs from decision",""),"Parent decision scope missing"))&lt;&gt;"",IF(INDEX('Gate events'!$P$4:$P$553,MATCH(B188,'Gate events'!$A$4:$A$553,0))="UC-ID specific",IF(OR(L188&lt;&gt;"UC-ID specific",K188=""),"Condition UC-ID required",IF(ISNUMBER(SEARCH(","&amp;SUBSTITUTE(K188," ","")&amp;",",","&amp;SUBSTITUTE(INDEX('Gate events'!$O$4:$O$553,MATCH(B188,'Gate events'!$A$4:$A$553,0))," ","")&amp;",")),"","UC-ID differs from decision")),IF(INDEX('Gate events'!$P$4:$P$553,MATCH(B188,'Gate events'!$A$4:$A$553,0))="Shared system baseline",IF(OR(L188&lt;&gt;"Shared system baseline",K188&lt;&gt;""),"Condition scope differs from decision",""),"Parent decision scope missing")),IF(OR(D188="",E188="",F188="",G188=""),"Condition, owner, due date or state missing",IF(NOT(ISNUMBER(F188)),"Due date is not a date",IF(OR(G188="Overdue",G188="Superseded"),"Legacy state — owner review (use the shared five states)",IF(INDEX('Gate events'!$E$4:$E$553,MATCH(B188,'Gate events'!$A$4:$A$553,0))&lt;&gt;"Decision","Parent event is not a Decision",IF(AND(INDEX('Gate events'!$G$4:$G$553,MATCH(B188,'Gate events'!$A$4:$A$553,0))&lt;&gt;"Progress with condition",INDEX('Gate events'!$G$4:$G$553,MATCH(B188,'Gate events'!$A$4:$A$553,0))&lt;&gt;"Re-authorise",INDEX('Gate events'!$G$4:$G$553,MATCH(B188,'Gate events'!$A$4:$A$553,0))&lt;&gt;"Resume"),"Parent outcome is not Progress with condition / Re-authorise / Resume",IF(AND(ISNUMBER(INDEX('Gate events'!$F$4:$F$553,MATCH(B188,'Gate events'!$A$4:$A$553,0))),F188&lt;INDEX('Gate events'!$F$4:$F$553,MATCH(B188,'Gate events'!$A$4:$A$553,0))),"Due date before parent event date",IF(AND(OR(G188="Closed-verified",G188="Waived",G188="Accepted-open"),OR(H188="",I188="")),"Closure evidence missing",IF(AND(H188&lt;&gt;"",NOT(ISNUMBER(H188))),"Closed / waived on is not a date",IF(AND(ISNUMBER(H188),ISNUMBER(INDEX('Gate events'!$F$4:$F$553,MATCH(B188,'Gate events'!$A$4:$A$553,0))),H188&lt;INDEX('Gate events'!$F$4:$F$553,MATCH(B188,'Gate events'!$A$4:$A$553,0))),"Closure date before parent event date",IF(AND(G188="Closed-verified",M188=""),"Verifier / date missing",IF(AND(N188="Yes",G188="Closed-verified",O188=""),"Monitoring condition needs AIG-OPS-02 evidence ref",IF(AND(G188="Open",F188&lt;TODAY()),"OVERDUE (derived) — review",IF(G188="Unknown","State Unknown: owner to confirm","Check against source")))))))))))))))))))</f>
        <v/>
      </c>
      <c r="K188" s="37" t="n"/>
      <c r="L188" s="37" t="n"/>
      <c r="M188" s="38" t="n"/>
      <c r="N188" s="38" t="n"/>
      <c r="O188" s="38" t="n"/>
    </row>
    <row r="189">
      <c r="A189" s="40" t="n"/>
      <c r="B189" s="40" t="n"/>
      <c r="C189" s="40" t="n"/>
      <c r="D189" s="40" t="n"/>
      <c r="E189" s="40" t="n"/>
      <c r="F189" s="41" t="n"/>
      <c r="G189" s="40" t="n"/>
      <c r="H189" s="41" t="n"/>
      <c r="I189" s="40" t="n"/>
      <c r="J189" s="24">
        <f>IF(COUNTA(A189:I189,K189:O189)=0,"",IF(OR(A189="",B189="",C189=""),"ID / parent missing",IF(COUNTIF($A$4:$A$553,A189)&gt;1,"Duplicate condition ID",IF(COUNTIF('Gate events'!$A$4:$A$553,B189)=0,"Event ID not found",IF(INDEX('Gate events'!$B$4:$B$553,MATCH(B189,'Gate events'!$A$4:$A$553,0))&lt;&gt;C189,"AIR-ID differs from event",IF(IF(INDEX('Gate events'!$P$4:$P$553,MATCH(B189,'Gate events'!$A$4:$A$553,0))="UC-ID specific",IF(OR(L189&lt;&gt;"UC-ID specific",K189=""),"Condition UC-ID required",IF(ISNUMBER(SEARCH(","&amp;SUBSTITUTE(K189," ","")&amp;",",","&amp;SUBSTITUTE(INDEX('Gate events'!$O$4:$O$553,MATCH(B189,'Gate events'!$A$4:$A$553,0))," ","")&amp;",")),"","UC-ID differs from decision")),IF(INDEX('Gate events'!$P$4:$P$553,MATCH(B189,'Gate events'!$A$4:$A$553,0))="Shared system baseline",IF(OR(L189&lt;&gt;"Shared system baseline",K189&lt;&gt;""),"Condition scope differs from decision",""),"Parent decision scope missing"))&lt;&gt;"",IF(INDEX('Gate events'!$P$4:$P$553,MATCH(B189,'Gate events'!$A$4:$A$553,0))="UC-ID specific",IF(OR(L189&lt;&gt;"UC-ID specific",K189=""),"Condition UC-ID required",IF(ISNUMBER(SEARCH(","&amp;SUBSTITUTE(K189," ","")&amp;",",","&amp;SUBSTITUTE(INDEX('Gate events'!$O$4:$O$553,MATCH(B189,'Gate events'!$A$4:$A$553,0))," ","")&amp;",")),"","UC-ID differs from decision")),IF(INDEX('Gate events'!$P$4:$P$553,MATCH(B189,'Gate events'!$A$4:$A$553,0))="Shared system baseline",IF(OR(L189&lt;&gt;"Shared system baseline",K189&lt;&gt;""),"Condition scope differs from decision",""),"Parent decision scope missing")),IF(OR(D189="",E189="",F189="",G189=""),"Condition, owner, due date or state missing",IF(NOT(ISNUMBER(F189)),"Due date is not a date",IF(OR(G189="Overdue",G189="Superseded"),"Legacy state — owner review (use the shared five states)",IF(INDEX('Gate events'!$E$4:$E$553,MATCH(B189,'Gate events'!$A$4:$A$553,0))&lt;&gt;"Decision","Parent event is not a Decision",IF(AND(INDEX('Gate events'!$G$4:$G$553,MATCH(B189,'Gate events'!$A$4:$A$553,0))&lt;&gt;"Progress with condition",INDEX('Gate events'!$G$4:$G$553,MATCH(B189,'Gate events'!$A$4:$A$553,0))&lt;&gt;"Re-authorise",INDEX('Gate events'!$G$4:$G$553,MATCH(B189,'Gate events'!$A$4:$A$553,0))&lt;&gt;"Resume"),"Parent outcome is not Progress with condition / Re-authorise / Resume",IF(AND(ISNUMBER(INDEX('Gate events'!$F$4:$F$553,MATCH(B189,'Gate events'!$A$4:$A$553,0))),F189&lt;INDEX('Gate events'!$F$4:$F$553,MATCH(B189,'Gate events'!$A$4:$A$553,0))),"Due date before parent event date",IF(AND(OR(G189="Closed-verified",G189="Waived",G189="Accepted-open"),OR(H189="",I189="")),"Closure evidence missing",IF(AND(H189&lt;&gt;"",NOT(ISNUMBER(H189))),"Closed / waived on is not a date",IF(AND(ISNUMBER(H189),ISNUMBER(INDEX('Gate events'!$F$4:$F$553,MATCH(B189,'Gate events'!$A$4:$A$553,0))),H189&lt;INDEX('Gate events'!$F$4:$F$553,MATCH(B189,'Gate events'!$A$4:$A$553,0))),"Closure date before parent event date",IF(AND(G189="Closed-verified",M189=""),"Verifier / date missing",IF(AND(N189="Yes",G189="Closed-verified",O189=""),"Monitoring condition needs AIG-OPS-02 evidence ref",IF(AND(G189="Open",F189&lt;TODAY()),"OVERDUE (derived) — review",IF(G189="Unknown","State Unknown: owner to confirm","Check against source")))))))))))))))))))</f>
        <v/>
      </c>
      <c r="K189" s="37" t="n"/>
      <c r="L189" s="37" t="n"/>
      <c r="M189" s="40" t="n"/>
      <c r="N189" s="40" t="n"/>
      <c r="O189" s="40" t="n"/>
    </row>
    <row r="190">
      <c r="A190" s="38" t="n"/>
      <c r="B190" s="38" t="n"/>
      <c r="C190" s="38" t="n"/>
      <c r="D190" s="38" t="n"/>
      <c r="E190" s="38" t="n"/>
      <c r="F190" s="39" t="n"/>
      <c r="G190" s="38" t="n"/>
      <c r="H190" s="39" t="n"/>
      <c r="I190" s="38" t="n"/>
      <c r="J190" s="22">
        <f>IF(COUNTA(A190:I190,K190:O190)=0,"",IF(OR(A190="",B190="",C190=""),"ID / parent missing",IF(COUNTIF($A$4:$A$553,A190)&gt;1,"Duplicate condition ID",IF(COUNTIF('Gate events'!$A$4:$A$553,B190)=0,"Event ID not found",IF(INDEX('Gate events'!$B$4:$B$553,MATCH(B190,'Gate events'!$A$4:$A$553,0))&lt;&gt;C190,"AIR-ID differs from event",IF(IF(INDEX('Gate events'!$P$4:$P$553,MATCH(B190,'Gate events'!$A$4:$A$553,0))="UC-ID specific",IF(OR(L190&lt;&gt;"UC-ID specific",K190=""),"Condition UC-ID required",IF(ISNUMBER(SEARCH(","&amp;SUBSTITUTE(K190," ","")&amp;",",","&amp;SUBSTITUTE(INDEX('Gate events'!$O$4:$O$553,MATCH(B190,'Gate events'!$A$4:$A$553,0))," ","")&amp;",")),"","UC-ID differs from decision")),IF(INDEX('Gate events'!$P$4:$P$553,MATCH(B190,'Gate events'!$A$4:$A$553,0))="Shared system baseline",IF(OR(L190&lt;&gt;"Shared system baseline",K190&lt;&gt;""),"Condition scope differs from decision",""),"Parent decision scope missing"))&lt;&gt;"",IF(INDEX('Gate events'!$P$4:$P$553,MATCH(B190,'Gate events'!$A$4:$A$553,0))="UC-ID specific",IF(OR(L190&lt;&gt;"UC-ID specific",K190=""),"Condition UC-ID required",IF(ISNUMBER(SEARCH(","&amp;SUBSTITUTE(K190," ","")&amp;",",","&amp;SUBSTITUTE(INDEX('Gate events'!$O$4:$O$553,MATCH(B190,'Gate events'!$A$4:$A$553,0))," ","")&amp;",")),"","UC-ID differs from decision")),IF(INDEX('Gate events'!$P$4:$P$553,MATCH(B190,'Gate events'!$A$4:$A$553,0))="Shared system baseline",IF(OR(L190&lt;&gt;"Shared system baseline",K190&lt;&gt;""),"Condition scope differs from decision",""),"Parent decision scope missing")),IF(OR(D190="",E190="",F190="",G190=""),"Condition, owner, due date or state missing",IF(NOT(ISNUMBER(F190)),"Due date is not a date",IF(OR(G190="Overdue",G190="Superseded"),"Legacy state — owner review (use the shared five states)",IF(INDEX('Gate events'!$E$4:$E$553,MATCH(B190,'Gate events'!$A$4:$A$553,0))&lt;&gt;"Decision","Parent event is not a Decision",IF(AND(INDEX('Gate events'!$G$4:$G$553,MATCH(B190,'Gate events'!$A$4:$A$553,0))&lt;&gt;"Progress with condition",INDEX('Gate events'!$G$4:$G$553,MATCH(B190,'Gate events'!$A$4:$A$553,0))&lt;&gt;"Re-authorise",INDEX('Gate events'!$G$4:$G$553,MATCH(B190,'Gate events'!$A$4:$A$553,0))&lt;&gt;"Resume"),"Parent outcome is not Progress with condition / Re-authorise / Resume",IF(AND(ISNUMBER(INDEX('Gate events'!$F$4:$F$553,MATCH(B190,'Gate events'!$A$4:$A$553,0))),F190&lt;INDEX('Gate events'!$F$4:$F$553,MATCH(B190,'Gate events'!$A$4:$A$553,0))),"Due date before parent event date",IF(AND(OR(G190="Closed-verified",G190="Waived",G190="Accepted-open"),OR(H190="",I190="")),"Closure evidence missing",IF(AND(H190&lt;&gt;"",NOT(ISNUMBER(H190))),"Closed / waived on is not a date",IF(AND(ISNUMBER(H190),ISNUMBER(INDEX('Gate events'!$F$4:$F$553,MATCH(B190,'Gate events'!$A$4:$A$553,0))),H190&lt;INDEX('Gate events'!$F$4:$F$553,MATCH(B190,'Gate events'!$A$4:$A$553,0))),"Closure date before parent event date",IF(AND(G190="Closed-verified",M190=""),"Verifier / date missing",IF(AND(N190="Yes",G190="Closed-verified",O190=""),"Monitoring condition needs AIG-OPS-02 evidence ref",IF(AND(G190="Open",F190&lt;TODAY()),"OVERDUE (derived) — review",IF(G190="Unknown","State Unknown: owner to confirm","Check against source")))))))))))))))))))</f>
        <v/>
      </c>
      <c r="K190" s="37" t="n"/>
      <c r="L190" s="37" t="n"/>
      <c r="M190" s="38" t="n"/>
      <c r="N190" s="38" t="n"/>
      <c r="O190" s="38" t="n"/>
    </row>
    <row r="191">
      <c r="A191" s="40" t="n"/>
      <c r="B191" s="40" t="n"/>
      <c r="C191" s="40" t="n"/>
      <c r="D191" s="40" t="n"/>
      <c r="E191" s="40" t="n"/>
      <c r="F191" s="41" t="n"/>
      <c r="G191" s="40" t="n"/>
      <c r="H191" s="41" t="n"/>
      <c r="I191" s="40" t="n"/>
      <c r="J191" s="24">
        <f>IF(COUNTA(A191:I191,K191:O191)=0,"",IF(OR(A191="",B191="",C191=""),"ID / parent missing",IF(COUNTIF($A$4:$A$553,A191)&gt;1,"Duplicate condition ID",IF(COUNTIF('Gate events'!$A$4:$A$553,B191)=0,"Event ID not found",IF(INDEX('Gate events'!$B$4:$B$553,MATCH(B191,'Gate events'!$A$4:$A$553,0))&lt;&gt;C191,"AIR-ID differs from event",IF(IF(INDEX('Gate events'!$P$4:$P$553,MATCH(B191,'Gate events'!$A$4:$A$553,0))="UC-ID specific",IF(OR(L191&lt;&gt;"UC-ID specific",K191=""),"Condition UC-ID required",IF(ISNUMBER(SEARCH(","&amp;SUBSTITUTE(K191," ","")&amp;",",","&amp;SUBSTITUTE(INDEX('Gate events'!$O$4:$O$553,MATCH(B191,'Gate events'!$A$4:$A$553,0))," ","")&amp;",")),"","UC-ID differs from decision")),IF(INDEX('Gate events'!$P$4:$P$553,MATCH(B191,'Gate events'!$A$4:$A$553,0))="Shared system baseline",IF(OR(L191&lt;&gt;"Shared system baseline",K191&lt;&gt;""),"Condition scope differs from decision",""),"Parent decision scope missing"))&lt;&gt;"",IF(INDEX('Gate events'!$P$4:$P$553,MATCH(B191,'Gate events'!$A$4:$A$553,0))="UC-ID specific",IF(OR(L191&lt;&gt;"UC-ID specific",K191=""),"Condition UC-ID required",IF(ISNUMBER(SEARCH(","&amp;SUBSTITUTE(K191," ","")&amp;",",","&amp;SUBSTITUTE(INDEX('Gate events'!$O$4:$O$553,MATCH(B191,'Gate events'!$A$4:$A$553,0))," ","")&amp;",")),"","UC-ID differs from decision")),IF(INDEX('Gate events'!$P$4:$P$553,MATCH(B191,'Gate events'!$A$4:$A$553,0))="Shared system baseline",IF(OR(L191&lt;&gt;"Shared system baseline",K191&lt;&gt;""),"Condition scope differs from decision",""),"Parent decision scope missing")),IF(OR(D191="",E191="",F191="",G191=""),"Condition, owner, due date or state missing",IF(NOT(ISNUMBER(F191)),"Due date is not a date",IF(OR(G191="Overdue",G191="Superseded"),"Legacy state — owner review (use the shared five states)",IF(INDEX('Gate events'!$E$4:$E$553,MATCH(B191,'Gate events'!$A$4:$A$553,0))&lt;&gt;"Decision","Parent event is not a Decision",IF(AND(INDEX('Gate events'!$G$4:$G$553,MATCH(B191,'Gate events'!$A$4:$A$553,0))&lt;&gt;"Progress with condition",INDEX('Gate events'!$G$4:$G$553,MATCH(B191,'Gate events'!$A$4:$A$553,0))&lt;&gt;"Re-authorise",INDEX('Gate events'!$G$4:$G$553,MATCH(B191,'Gate events'!$A$4:$A$553,0))&lt;&gt;"Resume"),"Parent outcome is not Progress with condition / Re-authorise / Resume",IF(AND(ISNUMBER(INDEX('Gate events'!$F$4:$F$553,MATCH(B191,'Gate events'!$A$4:$A$553,0))),F191&lt;INDEX('Gate events'!$F$4:$F$553,MATCH(B191,'Gate events'!$A$4:$A$553,0))),"Due date before parent event date",IF(AND(OR(G191="Closed-verified",G191="Waived",G191="Accepted-open"),OR(H191="",I191="")),"Closure evidence missing",IF(AND(H191&lt;&gt;"",NOT(ISNUMBER(H191))),"Closed / waived on is not a date",IF(AND(ISNUMBER(H191),ISNUMBER(INDEX('Gate events'!$F$4:$F$553,MATCH(B191,'Gate events'!$A$4:$A$553,0))),H191&lt;INDEX('Gate events'!$F$4:$F$553,MATCH(B191,'Gate events'!$A$4:$A$553,0))),"Closure date before parent event date",IF(AND(G191="Closed-verified",M191=""),"Verifier / date missing",IF(AND(N191="Yes",G191="Closed-verified",O191=""),"Monitoring condition needs AIG-OPS-02 evidence ref",IF(AND(G191="Open",F191&lt;TODAY()),"OVERDUE (derived) — review",IF(G191="Unknown","State Unknown: owner to confirm","Check against source")))))))))))))))))))</f>
        <v/>
      </c>
      <c r="K191" s="37" t="n"/>
      <c r="L191" s="37" t="n"/>
      <c r="M191" s="40" t="n"/>
      <c r="N191" s="40" t="n"/>
      <c r="O191" s="40" t="n"/>
    </row>
    <row r="192">
      <c r="A192" s="38" t="n"/>
      <c r="B192" s="38" t="n"/>
      <c r="C192" s="38" t="n"/>
      <c r="D192" s="38" t="n"/>
      <c r="E192" s="38" t="n"/>
      <c r="F192" s="39" t="n"/>
      <c r="G192" s="38" t="n"/>
      <c r="H192" s="39" t="n"/>
      <c r="I192" s="38" t="n"/>
      <c r="J192" s="22">
        <f>IF(COUNTA(A192:I192,K192:O192)=0,"",IF(OR(A192="",B192="",C192=""),"ID / parent missing",IF(COUNTIF($A$4:$A$553,A192)&gt;1,"Duplicate condition ID",IF(COUNTIF('Gate events'!$A$4:$A$553,B192)=0,"Event ID not found",IF(INDEX('Gate events'!$B$4:$B$553,MATCH(B192,'Gate events'!$A$4:$A$553,0))&lt;&gt;C192,"AIR-ID differs from event",IF(IF(INDEX('Gate events'!$P$4:$P$553,MATCH(B192,'Gate events'!$A$4:$A$553,0))="UC-ID specific",IF(OR(L192&lt;&gt;"UC-ID specific",K192=""),"Condition UC-ID required",IF(ISNUMBER(SEARCH(","&amp;SUBSTITUTE(K192," ","")&amp;",",","&amp;SUBSTITUTE(INDEX('Gate events'!$O$4:$O$553,MATCH(B192,'Gate events'!$A$4:$A$553,0))," ","")&amp;",")),"","UC-ID differs from decision")),IF(INDEX('Gate events'!$P$4:$P$553,MATCH(B192,'Gate events'!$A$4:$A$553,0))="Shared system baseline",IF(OR(L192&lt;&gt;"Shared system baseline",K192&lt;&gt;""),"Condition scope differs from decision",""),"Parent decision scope missing"))&lt;&gt;"",IF(INDEX('Gate events'!$P$4:$P$553,MATCH(B192,'Gate events'!$A$4:$A$553,0))="UC-ID specific",IF(OR(L192&lt;&gt;"UC-ID specific",K192=""),"Condition UC-ID required",IF(ISNUMBER(SEARCH(","&amp;SUBSTITUTE(K192," ","")&amp;",",","&amp;SUBSTITUTE(INDEX('Gate events'!$O$4:$O$553,MATCH(B192,'Gate events'!$A$4:$A$553,0))," ","")&amp;",")),"","UC-ID differs from decision")),IF(INDEX('Gate events'!$P$4:$P$553,MATCH(B192,'Gate events'!$A$4:$A$553,0))="Shared system baseline",IF(OR(L192&lt;&gt;"Shared system baseline",K192&lt;&gt;""),"Condition scope differs from decision",""),"Parent decision scope missing")),IF(OR(D192="",E192="",F192="",G192=""),"Condition, owner, due date or state missing",IF(NOT(ISNUMBER(F192)),"Due date is not a date",IF(OR(G192="Overdue",G192="Superseded"),"Legacy state — owner review (use the shared five states)",IF(INDEX('Gate events'!$E$4:$E$553,MATCH(B192,'Gate events'!$A$4:$A$553,0))&lt;&gt;"Decision","Parent event is not a Decision",IF(AND(INDEX('Gate events'!$G$4:$G$553,MATCH(B192,'Gate events'!$A$4:$A$553,0))&lt;&gt;"Progress with condition",INDEX('Gate events'!$G$4:$G$553,MATCH(B192,'Gate events'!$A$4:$A$553,0))&lt;&gt;"Re-authorise",INDEX('Gate events'!$G$4:$G$553,MATCH(B192,'Gate events'!$A$4:$A$553,0))&lt;&gt;"Resume"),"Parent outcome is not Progress with condition / Re-authorise / Resume",IF(AND(ISNUMBER(INDEX('Gate events'!$F$4:$F$553,MATCH(B192,'Gate events'!$A$4:$A$553,0))),F192&lt;INDEX('Gate events'!$F$4:$F$553,MATCH(B192,'Gate events'!$A$4:$A$553,0))),"Due date before parent event date",IF(AND(OR(G192="Closed-verified",G192="Waived",G192="Accepted-open"),OR(H192="",I192="")),"Closure evidence missing",IF(AND(H192&lt;&gt;"",NOT(ISNUMBER(H192))),"Closed / waived on is not a date",IF(AND(ISNUMBER(H192),ISNUMBER(INDEX('Gate events'!$F$4:$F$553,MATCH(B192,'Gate events'!$A$4:$A$553,0))),H192&lt;INDEX('Gate events'!$F$4:$F$553,MATCH(B192,'Gate events'!$A$4:$A$553,0))),"Closure date before parent event date",IF(AND(G192="Closed-verified",M192=""),"Verifier / date missing",IF(AND(N192="Yes",G192="Closed-verified",O192=""),"Monitoring condition needs AIG-OPS-02 evidence ref",IF(AND(G192="Open",F192&lt;TODAY()),"OVERDUE (derived) — review",IF(G192="Unknown","State Unknown: owner to confirm","Check against source")))))))))))))))))))</f>
        <v/>
      </c>
      <c r="K192" s="37" t="n"/>
      <c r="L192" s="37" t="n"/>
      <c r="M192" s="38" t="n"/>
      <c r="N192" s="38" t="n"/>
      <c r="O192" s="38" t="n"/>
    </row>
    <row r="193">
      <c r="A193" s="40" t="n"/>
      <c r="B193" s="40" t="n"/>
      <c r="C193" s="40" t="n"/>
      <c r="D193" s="40" t="n"/>
      <c r="E193" s="40" t="n"/>
      <c r="F193" s="41" t="n"/>
      <c r="G193" s="40" t="n"/>
      <c r="H193" s="41" t="n"/>
      <c r="I193" s="40" t="n"/>
      <c r="J193" s="24">
        <f>IF(COUNTA(A193:I193,K193:O193)=0,"",IF(OR(A193="",B193="",C193=""),"ID / parent missing",IF(COUNTIF($A$4:$A$553,A193)&gt;1,"Duplicate condition ID",IF(COUNTIF('Gate events'!$A$4:$A$553,B193)=0,"Event ID not found",IF(INDEX('Gate events'!$B$4:$B$553,MATCH(B193,'Gate events'!$A$4:$A$553,0))&lt;&gt;C193,"AIR-ID differs from event",IF(IF(INDEX('Gate events'!$P$4:$P$553,MATCH(B193,'Gate events'!$A$4:$A$553,0))="UC-ID specific",IF(OR(L193&lt;&gt;"UC-ID specific",K193=""),"Condition UC-ID required",IF(ISNUMBER(SEARCH(","&amp;SUBSTITUTE(K193," ","")&amp;",",","&amp;SUBSTITUTE(INDEX('Gate events'!$O$4:$O$553,MATCH(B193,'Gate events'!$A$4:$A$553,0))," ","")&amp;",")),"","UC-ID differs from decision")),IF(INDEX('Gate events'!$P$4:$P$553,MATCH(B193,'Gate events'!$A$4:$A$553,0))="Shared system baseline",IF(OR(L193&lt;&gt;"Shared system baseline",K193&lt;&gt;""),"Condition scope differs from decision",""),"Parent decision scope missing"))&lt;&gt;"",IF(INDEX('Gate events'!$P$4:$P$553,MATCH(B193,'Gate events'!$A$4:$A$553,0))="UC-ID specific",IF(OR(L193&lt;&gt;"UC-ID specific",K193=""),"Condition UC-ID required",IF(ISNUMBER(SEARCH(","&amp;SUBSTITUTE(K193," ","")&amp;",",","&amp;SUBSTITUTE(INDEX('Gate events'!$O$4:$O$553,MATCH(B193,'Gate events'!$A$4:$A$553,0))," ","")&amp;",")),"","UC-ID differs from decision")),IF(INDEX('Gate events'!$P$4:$P$553,MATCH(B193,'Gate events'!$A$4:$A$553,0))="Shared system baseline",IF(OR(L193&lt;&gt;"Shared system baseline",K193&lt;&gt;""),"Condition scope differs from decision",""),"Parent decision scope missing")),IF(OR(D193="",E193="",F193="",G193=""),"Condition, owner, due date or state missing",IF(NOT(ISNUMBER(F193)),"Due date is not a date",IF(OR(G193="Overdue",G193="Superseded"),"Legacy state — owner review (use the shared five states)",IF(INDEX('Gate events'!$E$4:$E$553,MATCH(B193,'Gate events'!$A$4:$A$553,0))&lt;&gt;"Decision","Parent event is not a Decision",IF(AND(INDEX('Gate events'!$G$4:$G$553,MATCH(B193,'Gate events'!$A$4:$A$553,0))&lt;&gt;"Progress with condition",INDEX('Gate events'!$G$4:$G$553,MATCH(B193,'Gate events'!$A$4:$A$553,0))&lt;&gt;"Re-authorise",INDEX('Gate events'!$G$4:$G$553,MATCH(B193,'Gate events'!$A$4:$A$553,0))&lt;&gt;"Resume"),"Parent outcome is not Progress with condition / Re-authorise / Resume",IF(AND(ISNUMBER(INDEX('Gate events'!$F$4:$F$553,MATCH(B193,'Gate events'!$A$4:$A$553,0))),F193&lt;INDEX('Gate events'!$F$4:$F$553,MATCH(B193,'Gate events'!$A$4:$A$553,0))),"Due date before parent event date",IF(AND(OR(G193="Closed-verified",G193="Waived",G193="Accepted-open"),OR(H193="",I193="")),"Closure evidence missing",IF(AND(H193&lt;&gt;"",NOT(ISNUMBER(H193))),"Closed / waived on is not a date",IF(AND(ISNUMBER(H193),ISNUMBER(INDEX('Gate events'!$F$4:$F$553,MATCH(B193,'Gate events'!$A$4:$A$553,0))),H193&lt;INDEX('Gate events'!$F$4:$F$553,MATCH(B193,'Gate events'!$A$4:$A$553,0))),"Closure date before parent event date",IF(AND(G193="Closed-verified",M193=""),"Verifier / date missing",IF(AND(N193="Yes",G193="Closed-verified",O193=""),"Monitoring condition needs AIG-OPS-02 evidence ref",IF(AND(G193="Open",F193&lt;TODAY()),"OVERDUE (derived) — review",IF(G193="Unknown","State Unknown: owner to confirm","Check against source")))))))))))))))))))</f>
        <v/>
      </c>
      <c r="K193" s="37" t="n"/>
      <c r="L193" s="37" t="n"/>
      <c r="M193" s="40" t="n"/>
      <c r="N193" s="40" t="n"/>
      <c r="O193" s="40" t="n"/>
    </row>
    <row r="194">
      <c r="A194" s="38" t="n"/>
      <c r="B194" s="38" t="n"/>
      <c r="C194" s="38" t="n"/>
      <c r="D194" s="38" t="n"/>
      <c r="E194" s="38" t="n"/>
      <c r="F194" s="39" t="n"/>
      <c r="G194" s="38" t="n"/>
      <c r="H194" s="39" t="n"/>
      <c r="I194" s="38" t="n"/>
      <c r="J194" s="22">
        <f>IF(COUNTA(A194:I194,K194:O194)=0,"",IF(OR(A194="",B194="",C194=""),"ID / parent missing",IF(COUNTIF($A$4:$A$553,A194)&gt;1,"Duplicate condition ID",IF(COUNTIF('Gate events'!$A$4:$A$553,B194)=0,"Event ID not found",IF(INDEX('Gate events'!$B$4:$B$553,MATCH(B194,'Gate events'!$A$4:$A$553,0))&lt;&gt;C194,"AIR-ID differs from event",IF(IF(INDEX('Gate events'!$P$4:$P$553,MATCH(B194,'Gate events'!$A$4:$A$553,0))="UC-ID specific",IF(OR(L194&lt;&gt;"UC-ID specific",K194=""),"Condition UC-ID required",IF(ISNUMBER(SEARCH(","&amp;SUBSTITUTE(K194," ","")&amp;",",","&amp;SUBSTITUTE(INDEX('Gate events'!$O$4:$O$553,MATCH(B194,'Gate events'!$A$4:$A$553,0))," ","")&amp;",")),"","UC-ID differs from decision")),IF(INDEX('Gate events'!$P$4:$P$553,MATCH(B194,'Gate events'!$A$4:$A$553,0))="Shared system baseline",IF(OR(L194&lt;&gt;"Shared system baseline",K194&lt;&gt;""),"Condition scope differs from decision",""),"Parent decision scope missing"))&lt;&gt;"",IF(INDEX('Gate events'!$P$4:$P$553,MATCH(B194,'Gate events'!$A$4:$A$553,0))="UC-ID specific",IF(OR(L194&lt;&gt;"UC-ID specific",K194=""),"Condition UC-ID required",IF(ISNUMBER(SEARCH(","&amp;SUBSTITUTE(K194," ","")&amp;",",","&amp;SUBSTITUTE(INDEX('Gate events'!$O$4:$O$553,MATCH(B194,'Gate events'!$A$4:$A$553,0))," ","")&amp;",")),"","UC-ID differs from decision")),IF(INDEX('Gate events'!$P$4:$P$553,MATCH(B194,'Gate events'!$A$4:$A$553,0))="Shared system baseline",IF(OR(L194&lt;&gt;"Shared system baseline",K194&lt;&gt;""),"Condition scope differs from decision",""),"Parent decision scope missing")),IF(OR(D194="",E194="",F194="",G194=""),"Condition, owner, due date or state missing",IF(NOT(ISNUMBER(F194)),"Due date is not a date",IF(OR(G194="Overdue",G194="Superseded"),"Legacy state — owner review (use the shared five states)",IF(INDEX('Gate events'!$E$4:$E$553,MATCH(B194,'Gate events'!$A$4:$A$553,0))&lt;&gt;"Decision","Parent event is not a Decision",IF(AND(INDEX('Gate events'!$G$4:$G$553,MATCH(B194,'Gate events'!$A$4:$A$553,0))&lt;&gt;"Progress with condition",INDEX('Gate events'!$G$4:$G$553,MATCH(B194,'Gate events'!$A$4:$A$553,0))&lt;&gt;"Re-authorise",INDEX('Gate events'!$G$4:$G$553,MATCH(B194,'Gate events'!$A$4:$A$553,0))&lt;&gt;"Resume"),"Parent outcome is not Progress with condition / Re-authorise / Resume",IF(AND(ISNUMBER(INDEX('Gate events'!$F$4:$F$553,MATCH(B194,'Gate events'!$A$4:$A$553,0))),F194&lt;INDEX('Gate events'!$F$4:$F$553,MATCH(B194,'Gate events'!$A$4:$A$553,0))),"Due date before parent event date",IF(AND(OR(G194="Closed-verified",G194="Waived",G194="Accepted-open"),OR(H194="",I194="")),"Closure evidence missing",IF(AND(H194&lt;&gt;"",NOT(ISNUMBER(H194))),"Closed / waived on is not a date",IF(AND(ISNUMBER(H194),ISNUMBER(INDEX('Gate events'!$F$4:$F$553,MATCH(B194,'Gate events'!$A$4:$A$553,0))),H194&lt;INDEX('Gate events'!$F$4:$F$553,MATCH(B194,'Gate events'!$A$4:$A$553,0))),"Closure date before parent event date",IF(AND(G194="Closed-verified",M194=""),"Verifier / date missing",IF(AND(N194="Yes",G194="Closed-verified",O194=""),"Monitoring condition needs AIG-OPS-02 evidence ref",IF(AND(G194="Open",F194&lt;TODAY()),"OVERDUE (derived) — review",IF(G194="Unknown","State Unknown: owner to confirm","Check against source")))))))))))))))))))</f>
        <v/>
      </c>
      <c r="K194" s="37" t="n"/>
      <c r="L194" s="37" t="n"/>
      <c r="M194" s="38" t="n"/>
      <c r="N194" s="38" t="n"/>
      <c r="O194" s="38" t="n"/>
    </row>
    <row r="195">
      <c r="A195" s="40" t="n"/>
      <c r="B195" s="40" t="n"/>
      <c r="C195" s="40" t="n"/>
      <c r="D195" s="40" t="n"/>
      <c r="E195" s="40" t="n"/>
      <c r="F195" s="41" t="n"/>
      <c r="G195" s="40" t="n"/>
      <c r="H195" s="41" t="n"/>
      <c r="I195" s="40" t="n"/>
      <c r="J195" s="24">
        <f>IF(COUNTA(A195:I195,K195:O195)=0,"",IF(OR(A195="",B195="",C195=""),"ID / parent missing",IF(COUNTIF($A$4:$A$553,A195)&gt;1,"Duplicate condition ID",IF(COUNTIF('Gate events'!$A$4:$A$553,B195)=0,"Event ID not found",IF(INDEX('Gate events'!$B$4:$B$553,MATCH(B195,'Gate events'!$A$4:$A$553,0))&lt;&gt;C195,"AIR-ID differs from event",IF(IF(INDEX('Gate events'!$P$4:$P$553,MATCH(B195,'Gate events'!$A$4:$A$553,0))="UC-ID specific",IF(OR(L195&lt;&gt;"UC-ID specific",K195=""),"Condition UC-ID required",IF(ISNUMBER(SEARCH(","&amp;SUBSTITUTE(K195," ","")&amp;",",","&amp;SUBSTITUTE(INDEX('Gate events'!$O$4:$O$553,MATCH(B195,'Gate events'!$A$4:$A$553,0))," ","")&amp;",")),"","UC-ID differs from decision")),IF(INDEX('Gate events'!$P$4:$P$553,MATCH(B195,'Gate events'!$A$4:$A$553,0))="Shared system baseline",IF(OR(L195&lt;&gt;"Shared system baseline",K195&lt;&gt;""),"Condition scope differs from decision",""),"Parent decision scope missing"))&lt;&gt;"",IF(INDEX('Gate events'!$P$4:$P$553,MATCH(B195,'Gate events'!$A$4:$A$553,0))="UC-ID specific",IF(OR(L195&lt;&gt;"UC-ID specific",K195=""),"Condition UC-ID required",IF(ISNUMBER(SEARCH(","&amp;SUBSTITUTE(K195," ","")&amp;",",","&amp;SUBSTITUTE(INDEX('Gate events'!$O$4:$O$553,MATCH(B195,'Gate events'!$A$4:$A$553,0))," ","")&amp;",")),"","UC-ID differs from decision")),IF(INDEX('Gate events'!$P$4:$P$553,MATCH(B195,'Gate events'!$A$4:$A$553,0))="Shared system baseline",IF(OR(L195&lt;&gt;"Shared system baseline",K195&lt;&gt;""),"Condition scope differs from decision",""),"Parent decision scope missing")),IF(OR(D195="",E195="",F195="",G195=""),"Condition, owner, due date or state missing",IF(NOT(ISNUMBER(F195)),"Due date is not a date",IF(OR(G195="Overdue",G195="Superseded"),"Legacy state — owner review (use the shared five states)",IF(INDEX('Gate events'!$E$4:$E$553,MATCH(B195,'Gate events'!$A$4:$A$553,0))&lt;&gt;"Decision","Parent event is not a Decision",IF(AND(INDEX('Gate events'!$G$4:$G$553,MATCH(B195,'Gate events'!$A$4:$A$553,0))&lt;&gt;"Progress with condition",INDEX('Gate events'!$G$4:$G$553,MATCH(B195,'Gate events'!$A$4:$A$553,0))&lt;&gt;"Re-authorise",INDEX('Gate events'!$G$4:$G$553,MATCH(B195,'Gate events'!$A$4:$A$553,0))&lt;&gt;"Resume"),"Parent outcome is not Progress with condition / Re-authorise / Resume",IF(AND(ISNUMBER(INDEX('Gate events'!$F$4:$F$553,MATCH(B195,'Gate events'!$A$4:$A$553,0))),F195&lt;INDEX('Gate events'!$F$4:$F$553,MATCH(B195,'Gate events'!$A$4:$A$553,0))),"Due date before parent event date",IF(AND(OR(G195="Closed-verified",G195="Waived",G195="Accepted-open"),OR(H195="",I195="")),"Closure evidence missing",IF(AND(H195&lt;&gt;"",NOT(ISNUMBER(H195))),"Closed / waived on is not a date",IF(AND(ISNUMBER(H195),ISNUMBER(INDEX('Gate events'!$F$4:$F$553,MATCH(B195,'Gate events'!$A$4:$A$553,0))),H195&lt;INDEX('Gate events'!$F$4:$F$553,MATCH(B195,'Gate events'!$A$4:$A$553,0))),"Closure date before parent event date",IF(AND(G195="Closed-verified",M195=""),"Verifier / date missing",IF(AND(N195="Yes",G195="Closed-verified",O195=""),"Monitoring condition needs AIG-OPS-02 evidence ref",IF(AND(G195="Open",F195&lt;TODAY()),"OVERDUE (derived) — review",IF(G195="Unknown","State Unknown: owner to confirm","Check against source")))))))))))))))))))</f>
        <v/>
      </c>
      <c r="K195" s="37" t="n"/>
      <c r="L195" s="37" t="n"/>
      <c r="M195" s="40" t="n"/>
      <c r="N195" s="40" t="n"/>
      <c r="O195" s="40" t="n"/>
    </row>
    <row r="196">
      <c r="A196" s="38" t="n"/>
      <c r="B196" s="38" t="n"/>
      <c r="C196" s="38" t="n"/>
      <c r="D196" s="38" t="n"/>
      <c r="E196" s="38" t="n"/>
      <c r="F196" s="39" t="n"/>
      <c r="G196" s="38" t="n"/>
      <c r="H196" s="39" t="n"/>
      <c r="I196" s="38" t="n"/>
      <c r="J196" s="22">
        <f>IF(COUNTA(A196:I196,K196:O196)=0,"",IF(OR(A196="",B196="",C196=""),"ID / parent missing",IF(COUNTIF($A$4:$A$553,A196)&gt;1,"Duplicate condition ID",IF(COUNTIF('Gate events'!$A$4:$A$553,B196)=0,"Event ID not found",IF(INDEX('Gate events'!$B$4:$B$553,MATCH(B196,'Gate events'!$A$4:$A$553,0))&lt;&gt;C196,"AIR-ID differs from event",IF(IF(INDEX('Gate events'!$P$4:$P$553,MATCH(B196,'Gate events'!$A$4:$A$553,0))="UC-ID specific",IF(OR(L196&lt;&gt;"UC-ID specific",K196=""),"Condition UC-ID required",IF(ISNUMBER(SEARCH(","&amp;SUBSTITUTE(K196," ","")&amp;",",","&amp;SUBSTITUTE(INDEX('Gate events'!$O$4:$O$553,MATCH(B196,'Gate events'!$A$4:$A$553,0))," ","")&amp;",")),"","UC-ID differs from decision")),IF(INDEX('Gate events'!$P$4:$P$553,MATCH(B196,'Gate events'!$A$4:$A$553,0))="Shared system baseline",IF(OR(L196&lt;&gt;"Shared system baseline",K196&lt;&gt;""),"Condition scope differs from decision",""),"Parent decision scope missing"))&lt;&gt;"",IF(INDEX('Gate events'!$P$4:$P$553,MATCH(B196,'Gate events'!$A$4:$A$553,0))="UC-ID specific",IF(OR(L196&lt;&gt;"UC-ID specific",K196=""),"Condition UC-ID required",IF(ISNUMBER(SEARCH(","&amp;SUBSTITUTE(K196," ","")&amp;",",","&amp;SUBSTITUTE(INDEX('Gate events'!$O$4:$O$553,MATCH(B196,'Gate events'!$A$4:$A$553,0))," ","")&amp;",")),"","UC-ID differs from decision")),IF(INDEX('Gate events'!$P$4:$P$553,MATCH(B196,'Gate events'!$A$4:$A$553,0))="Shared system baseline",IF(OR(L196&lt;&gt;"Shared system baseline",K196&lt;&gt;""),"Condition scope differs from decision",""),"Parent decision scope missing")),IF(OR(D196="",E196="",F196="",G196=""),"Condition, owner, due date or state missing",IF(NOT(ISNUMBER(F196)),"Due date is not a date",IF(OR(G196="Overdue",G196="Superseded"),"Legacy state — owner review (use the shared five states)",IF(INDEX('Gate events'!$E$4:$E$553,MATCH(B196,'Gate events'!$A$4:$A$553,0))&lt;&gt;"Decision","Parent event is not a Decision",IF(AND(INDEX('Gate events'!$G$4:$G$553,MATCH(B196,'Gate events'!$A$4:$A$553,0))&lt;&gt;"Progress with condition",INDEX('Gate events'!$G$4:$G$553,MATCH(B196,'Gate events'!$A$4:$A$553,0))&lt;&gt;"Re-authorise",INDEX('Gate events'!$G$4:$G$553,MATCH(B196,'Gate events'!$A$4:$A$553,0))&lt;&gt;"Resume"),"Parent outcome is not Progress with condition / Re-authorise / Resume",IF(AND(ISNUMBER(INDEX('Gate events'!$F$4:$F$553,MATCH(B196,'Gate events'!$A$4:$A$553,0))),F196&lt;INDEX('Gate events'!$F$4:$F$553,MATCH(B196,'Gate events'!$A$4:$A$553,0))),"Due date before parent event date",IF(AND(OR(G196="Closed-verified",G196="Waived",G196="Accepted-open"),OR(H196="",I196="")),"Closure evidence missing",IF(AND(H196&lt;&gt;"",NOT(ISNUMBER(H196))),"Closed / waived on is not a date",IF(AND(ISNUMBER(H196),ISNUMBER(INDEX('Gate events'!$F$4:$F$553,MATCH(B196,'Gate events'!$A$4:$A$553,0))),H196&lt;INDEX('Gate events'!$F$4:$F$553,MATCH(B196,'Gate events'!$A$4:$A$553,0))),"Closure date before parent event date",IF(AND(G196="Closed-verified",M196=""),"Verifier / date missing",IF(AND(N196="Yes",G196="Closed-verified",O196=""),"Monitoring condition needs AIG-OPS-02 evidence ref",IF(AND(G196="Open",F196&lt;TODAY()),"OVERDUE (derived) — review",IF(G196="Unknown","State Unknown: owner to confirm","Check against source")))))))))))))))))))</f>
        <v/>
      </c>
      <c r="K196" s="37" t="n"/>
      <c r="L196" s="37" t="n"/>
      <c r="M196" s="38" t="n"/>
      <c r="N196" s="38" t="n"/>
      <c r="O196" s="38" t="n"/>
    </row>
    <row r="197">
      <c r="A197" s="40" t="n"/>
      <c r="B197" s="40" t="n"/>
      <c r="C197" s="40" t="n"/>
      <c r="D197" s="40" t="n"/>
      <c r="E197" s="40" t="n"/>
      <c r="F197" s="41" t="n"/>
      <c r="G197" s="40" t="n"/>
      <c r="H197" s="41" t="n"/>
      <c r="I197" s="40" t="n"/>
      <c r="J197" s="24">
        <f>IF(COUNTA(A197:I197,K197:O197)=0,"",IF(OR(A197="",B197="",C197=""),"ID / parent missing",IF(COUNTIF($A$4:$A$553,A197)&gt;1,"Duplicate condition ID",IF(COUNTIF('Gate events'!$A$4:$A$553,B197)=0,"Event ID not found",IF(INDEX('Gate events'!$B$4:$B$553,MATCH(B197,'Gate events'!$A$4:$A$553,0))&lt;&gt;C197,"AIR-ID differs from event",IF(IF(INDEX('Gate events'!$P$4:$P$553,MATCH(B197,'Gate events'!$A$4:$A$553,0))="UC-ID specific",IF(OR(L197&lt;&gt;"UC-ID specific",K197=""),"Condition UC-ID required",IF(ISNUMBER(SEARCH(","&amp;SUBSTITUTE(K197," ","")&amp;",",","&amp;SUBSTITUTE(INDEX('Gate events'!$O$4:$O$553,MATCH(B197,'Gate events'!$A$4:$A$553,0))," ","")&amp;",")),"","UC-ID differs from decision")),IF(INDEX('Gate events'!$P$4:$P$553,MATCH(B197,'Gate events'!$A$4:$A$553,0))="Shared system baseline",IF(OR(L197&lt;&gt;"Shared system baseline",K197&lt;&gt;""),"Condition scope differs from decision",""),"Parent decision scope missing"))&lt;&gt;"",IF(INDEX('Gate events'!$P$4:$P$553,MATCH(B197,'Gate events'!$A$4:$A$553,0))="UC-ID specific",IF(OR(L197&lt;&gt;"UC-ID specific",K197=""),"Condition UC-ID required",IF(ISNUMBER(SEARCH(","&amp;SUBSTITUTE(K197," ","")&amp;",",","&amp;SUBSTITUTE(INDEX('Gate events'!$O$4:$O$553,MATCH(B197,'Gate events'!$A$4:$A$553,0))," ","")&amp;",")),"","UC-ID differs from decision")),IF(INDEX('Gate events'!$P$4:$P$553,MATCH(B197,'Gate events'!$A$4:$A$553,0))="Shared system baseline",IF(OR(L197&lt;&gt;"Shared system baseline",K197&lt;&gt;""),"Condition scope differs from decision",""),"Parent decision scope missing")),IF(OR(D197="",E197="",F197="",G197=""),"Condition, owner, due date or state missing",IF(NOT(ISNUMBER(F197)),"Due date is not a date",IF(OR(G197="Overdue",G197="Superseded"),"Legacy state — owner review (use the shared five states)",IF(INDEX('Gate events'!$E$4:$E$553,MATCH(B197,'Gate events'!$A$4:$A$553,0))&lt;&gt;"Decision","Parent event is not a Decision",IF(AND(INDEX('Gate events'!$G$4:$G$553,MATCH(B197,'Gate events'!$A$4:$A$553,0))&lt;&gt;"Progress with condition",INDEX('Gate events'!$G$4:$G$553,MATCH(B197,'Gate events'!$A$4:$A$553,0))&lt;&gt;"Re-authorise",INDEX('Gate events'!$G$4:$G$553,MATCH(B197,'Gate events'!$A$4:$A$553,0))&lt;&gt;"Resume"),"Parent outcome is not Progress with condition / Re-authorise / Resume",IF(AND(ISNUMBER(INDEX('Gate events'!$F$4:$F$553,MATCH(B197,'Gate events'!$A$4:$A$553,0))),F197&lt;INDEX('Gate events'!$F$4:$F$553,MATCH(B197,'Gate events'!$A$4:$A$553,0))),"Due date before parent event date",IF(AND(OR(G197="Closed-verified",G197="Waived",G197="Accepted-open"),OR(H197="",I197="")),"Closure evidence missing",IF(AND(H197&lt;&gt;"",NOT(ISNUMBER(H197))),"Closed / waived on is not a date",IF(AND(ISNUMBER(H197),ISNUMBER(INDEX('Gate events'!$F$4:$F$553,MATCH(B197,'Gate events'!$A$4:$A$553,0))),H197&lt;INDEX('Gate events'!$F$4:$F$553,MATCH(B197,'Gate events'!$A$4:$A$553,0))),"Closure date before parent event date",IF(AND(G197="Closed-verified",M197=""),"Verifier / date missing",IF(AND(N197="Yes",G197="Closed-verified",O197=""),"Monitoring condition needs AIG-OPS-02 evidence ref",IF(AND(G197="Open",F197&lt;TODAY()),"OVERDUE (derived) — review",IF(G197="Unknown","State Unknown: owner to confirm","Check against source")))))))))))))))))))</f>
        <v/>
      </c>
      <c r="K197" s="37" t="n"/>
      <c r="L197" s="37" t="n"/>
      <c r="M197" s="40" t="n"/>
      <c r="N197" s="40" t="n"/>
      <c r="O197" s="40" t="n"/>
    </row>
    <row r="198">
      <c r="A198" s="38" t="n"/>
      <c r="B198" s="38" t="n"/>
      <c r="C198" s="38" t="n"/>
      <c r="D198" s="38" t="n"/>
      <c r="E198" s="38" t="n"/>
      <c r="F198" s="39" t="n"/>
      <c r="G198" s="38" t="n"/>
      <c r="H198" s="39" t="n"/>
      <c r="I198" s="38" t="n"/>
      <c r="J198" s="22">
        <f>IF(COUNTA(A198:I198,K198:O198)=0,"",IF(OR(A198="",B198="",C198=""),"ID / parent missing",IF(COUNTIF($A$4:$A$553,A198)&gt;1,"Duplicate condition ID",IF(COUNTIF('Gate events'!$A$4:$A$553,B198)=0,"Event ID not found",IF(INDEX('Gate events'!$B$4:$B$553,MATCH(B198,'Gate events'!$A$4:$A$553,0))&lt;&gt;C198,"AIR-ID differs from event",IF(IF(INDEX('Gate events'!$P$4:$P$553,MATCH(B198,'Gate events'!$A$4:$A$553,0))="UC-ID specific",IF(OR(L198&lt;&gt;"UC-ID specific",K198=""),"Condition UC-ID required",IF(ISNUMBER(SEARCH(","&amp;SUBSTITUTE(K198," ","")&amp;",",","&amp;SUBSTITUTE(INDEX('Gate events'!$O$4:$O$553,MATCH(B198,'Gate events'!$A$4:$A$553,0))," ","")&amp;",")),"","UC-ID differs from decision")),IF(INDEX('Gate events'!$P$4:$P$553,MATCH(B198,'Gate events'!$A$4:$A$553,0))="Shared system baseline",IF(OR(L198&lt;&gt;"Shared system baseline",K198&lt;&gt;""),"Condition scope differs from decision",""),"Parent decision scope missing"))&lt;&gt;"",IF(INDEX('Gate events'!$P$4:$P$553,MATCH(B198,'Gate events'!$A$4:$A$553,0))="UC-ID specific",IF(OR(L198&lt;&gt;"UC-ID specific",K198=""),"Condition UC-ID required",IF(ISNUMBER(SEARCH(","&amp;SUBSTITUTE(K198," ","")&amp;",",","&amp;SUBSTITUTE(INDEX('Gate events'!$O$4:$O$553,MATCH(B198,'Gate events'!$A$4:$A$553,0))," ","")&amp;",")),"","UC-ID differs from decision")),IF(INDEX('Gate events'!$P$4:$P$553,MATCH(B198,'Gate events'!$A$4:$A$553,0))="Shared system baseline",IF(OR(L198&lt;&gt;"Shared system baseline",K198&lt;&gt;""),"Condition scope differs from decision",""),"Parent decision scope missing")),IF(OR(D198="",E198="",F198="",G198=""),"Condition, owner, due date or state missing",IF(NOT(ISNUMBER(F198)),"Due date is not a date",IF(OR(G198="Overdue",G198="Superseded"),"Legacy state — owner review (use the shared five states)",IF(INDEX('Gate events'!$E$4:$E$553,MATCH(B198,'Gate events'!$A$4:$A$553,0))&lt;&gt;"Decision","Parent event is not a Decision",IF(AND(INDEX('Gate events'!$G$4:$G$553,MATCH(B198,'Gate events'!$A$4:$A$553,0))&lt;&gt;"Progress with condition",INDEX('Gate events'!$G$4:$G$553,MATCH(B198,'Gate events'!$A$4:$A$553,0))&lt;&gt;"Re-authorise",INDEX('Gate events'!$G$4:$G$553,MATCH(B198,'Gate events'!$A$4:$A$553,0))&lt;&gt;"Resume"),"Parent outcome is not Progress with condition / Re-authorise / Resume",IF(AND(ISNUMBER(INDEX('Gate events'!$F$4:$F$553,MATCH(B198,'Gate events'!$A$4:$A$553,0))),F198&lt;INDEX('Gate events'!$F$4:$F$553,MATCH(B198,'Gate events'!$A$4:$A$553,0))),"Due date before parent event date",IF(AND(OR(G198="Closed-verified",G198="Waived",G198="Accepted-open"),OR(H198="",I198="")),"Closure evidence missing",IF(AND(H198&lt;&gt;"",NOT(ISNUMBER(H198))),"Closed / waived on is not a date",IF(AND(ISNUMBER(H198),ISNUMBER(INDEX('Gate events'!$F$4:$F$553,MATCH(B198,'Gate events'!$A$4:$A$553,0))),H198&lt;INDEX('Gate events'!$F$4:$F$553,MATCH(B198,'Gate events'!$A$4:$A$553,0))),"Closure date before parent event date",IF(AND(G198="Closed-verified",M198=""),"Verifier / date missing",IF(AND(N198="Yes",G198="Closed-verified",O198=""),"Monitoring condition needs AIG-OPS-02 evidence ref",IF(AND(G198="Open",F198&lt;TODAY()),"OVERDUE (derived) — review",IF(G198="Unknown","State Unknown: owner to confirm","Check against source")))))))))))))))))))</f>
        <v/>
      </c>
      <c r="K198" s="37" t="n"/>
      <c r="L198" s="37" t="n"/>
      <c r="M198" s="38" t="n"/>
      <c r="N198" s="38" t="n"/>
      <c r="O198" s="38" t="n"/>
    </row>
    <row r="199">
      <c r="A199" s="40" t="n"/>
      <c r="B199" s="40" t="n"/>
      <c r="C199" s="40" t="n"/>
      <c r="D199" s="40" t="n"/>
      <c r="E199" s="40" t="n"/>
      <c r="F199" s="41" t="n"/>
      <c r="G199" s="40" t="n"/>
      <c r="H199" s="41" t="n"/>
      <c r="I199" s="40" t="n"/>
      <c r="J199" s="24">
        <f>IF(COUNTA(A199:I199,K199:O199)=0,"",IF(OR(A199="",B199="",C199=""),"ID / parent missing",IF(COUNTIF($A$4:$A$553,A199)&gt;1,"Duplicate condition ID",IF(COUNTIF('Gate events'!$A$4:$A$553,B199)=0,"Event ID not found",IF(INDEX('Gate events'!$B$4:$B$553,MATCH(B199,'Gate events'!$A$4:$A$553,0))&lt;&gt;C199,"AIR-ID differs from event",IF(IF(INDEX('Gate events'!$P$4:$P$553,MATCH(B199,'Gate events'!$A$4:$A$553,0))="UC-ID specific",IF(OR(L199&lt;&gt;"UC-ID specific",K199=""),"Condition UC-ID required",IF(ISNUMBER(SEARCH(","&amp;SUBSTITUTE(K199," ","")&amp;",",","&amp;SUBSTITUTE(INDEX('Gate events'!$O$4:$O$553,MATCH(B199,'Gate events'!$A$4:$A$553,0))," ","")&amp;",")),"","UC-ID differs from decision")),IF(INDEX('Gate events'!$P$4:$P$553,MATCH(B199,'Gate events'!$A$4:$A$553,0))="Shared system baseline",IF(OR(L199&lt;&gt;"Shared system baseline",K199&lt;&gt;""),"Condition scope differs from decision",""),"Parent decision scope missing"))&lt;&gt;"",IF(INDEX('Gate events'!$P$4:$P$553,MATCH(B199,'Gate events'!$A$4:$A$553,0))="UC-ID specific",IF(OR(L199&lt;&gt;"UC-ID specific",K199=""),"Condition UC-ID required",IF(ISNUMBER(SEARCH(","&amp;SUBSTITUTE(K199," ","")&amp;",",","&amp;SUBSTITUTE(INDEX('Gate events'!$O$4:$O$553,MATCH(B199,'Gate events'!$A$4:$A$553,0))," ","")&amp;",")),"","UC-ID differs from decision")),IF(INDEX('Gate events'!$P$4:$P$553,MATCH(B199,'Gate events'!$A$4:$A$553,0))="Shared system baseline",IF(OR(L199&lt;&gt;"Shared system baseline",K199&lt;&gt;""),"Condition scope differs from decision",""),"Parent decision scope missing")),IF(OR(D199="",E199="",F199="",G199=""),"Condition, owner, due date or state missing",IF(NOT(ISNUMBER(F199)),"Due date is not a date",IF(OR(G199="Overdue",G199="Superseded"),"Legacy state — owner review (use the shared five states)",IF(INDEX('Gate events'!$E$4:$E$553,MATCH(B199,'Gate events'!$A$4:$A$553,0))&lt;&gt;"Decision","Parent event is not a Decision",IF(AND(INDEX('Gate events'!$G$4:$G$553,MATCH(B199,'Gate events'!$A$4:$A$553,0))&lt;&gt;"Progress with condition",INDEX('Gate events'!$G$4:$G$553,MATCH(B199,'Gate events'!$A$4:$A$553,0))&lt;&gt;"Re-authorise",INDEX('Gate events'!$G$4:$G$553,MATCH(B199,'Gate events'!$A$4:$A$553,0))&lt;&gt;"Resume"),"Parent outcome is not Progress with condition / Re-authorise / Resume",IF(AND(ISNUMBER(INDEX('Gate events'!$F$4:$F$553,MATCH(B199,'Gate events'!$A$4:$A$553,0))),F199&lt;INDEX('Gate events'!$F$4:$F$553,MATCH(B199,'Gate events'!$A$4:$A$553,0))),"Due date before parent event date",IF(AND(OR(G199="Closed-verified",G199="Waived",G199="Accepted-open"),OR(H199="",I199="")),"Closure evidence missing",IF(AND(H199&lt;&gt;"",NOT(ISNUMBER(H199))),"Closed / waived on is not a date",IF(AND(ISNUMBER(H199),ISNUMBER(INDEX('Gate events'!$F$4:$F$553,MATCH(B199,'Gate events'!$A$4:$A$553,0))),H199&lt;INDEX('Gate events'!$F$4:$F$553,MATCH(B199,'Gate events'!$A$4:$A$553,0))),"Closure date before parent event date",IF(AND(G199="Closed-verified",M199=""),"Verifier / date missing",IF(AND(N199="Yes",G199="Closed-verified",O199=""),"Monitoring condition needs AIG-OPS-02 evidence ref",IF(AND(G199="Open",F199&lt;TODAY()),"OVERDUE (derived) — review",IF(G199="Unknown","State Unknown: owner to confirm","Check against source")))))))))))))))))))</f>
        <v/>
      </c>
      <c r="K199" s="37" t="n"/>
      <c r="L199" s="37" t="n"/>
      <c r="M199" s="40" t="n"/>
      <c r="N199" s="40" t="n"/>
      <c r="O199" s="40" t="n"/>
    </row>
    <row r="200">
      <c r="A200" s="38" t="n"/>
      <c r="B200" s="38" t="n"/>
      <c r="C200" s="38" t="n"/>
      <c r="D200" s="38" t="n"/>
      <c r="E200" s="38" t="n"/>
      <c r="F200" s="39" t="n"/>
      <c r="G200" s="38" t="n"/>
      <c r="H200" s="39" t="n"/>
      <c r="I200" s="38" t="n"/>
      <c r="J200" s="22">
        <f>IF(COUNTA(A200:I200,K200:O200)=0,"",IF(OR(A200="",B200="",C200=""),"ID / parent missing",IF(COUNTIF($A$4:$A$553,A200)&gt;1,"Duplicate condition ID",IF(COUNTIF('Gate events'!$A$4:$A$553,B200)=0,"Event ID not found",IF(INDEX('Gate events'!$B$4:$B$553,MATCH(B200,'Gate events'!$A$4:$A$553,0))&lt;&gt;C200,"AIR-ID differs from event",IF(IF(INDEX('Gate events'!$P$4:$P$553,MATCH(B200,'Gate events'!$A$4:$A$553,0))="UC-ID specific",IF(OR(L200&lt;&gt;"UC-ID specific",K200=""),"Condition UC-ID required",IF(ISNUMBER(SEARCH(","&amp;SUBSTITUTE(K200," ","")&amp;",",","&amp;SUBSTITUTE(INDEX('Gate events'!$O$4:$O$553,MATCH(B200,'Gate events'!$A$4:$A$553,0))," ","")&amp;",")),"","UC-ID differs from decision")),IF(INDEX('Gate events'!$P$4:$P$553,MATCH(B200,'Gate events'!$A$4:$A$553,0))="Shared system baseline",IF(OR(L200&lt;&gt;"Shared system baseline",K200&lt;&gt;""),"Condition scope differs from decision",""),"Parent decision scope missing"))&lt;&gt;"",IF(INDEX('Gate events'!$P$4:$P$553,MATCH(B200,'Gate events'!$A$4:$A$553,0))="UC-ID specific",IF(OR(L200&lt;&gt;"UC-ID specific",K200=""),"Condition UC-ID required",IF(ISNUMBER(SEARCH(","&amp;SUBSTITUTE(K200," ","")&amp;",",","&amp;SUBSTITUTE(INDEX('Gate events'!$O$4:$O$553,MATCH(B200,'Gate events'!$A$4:$A$553,0))," ","")&amp;",")),"","UC-ID differs from decision")),IF(INDEX('Gate events'!$P$4:$P$553,MATCH(B200,'Gate events'!$A$4:$A$553,0))="Shared system baseline",IF(OR(L200&lt;&gt;"Shared system baseline",K200&lt;&gt;""),"Condition scope differs from decision",""),"Parent decision scope missing")),IF(OR(D200="",E200="",F200="",G200=""),"Condition, owner, due date or state missing",IF(NOT(ISNUMBER(F200)),"Due date is not a date",IF(OR(G200="Overdue",G200="Superseded"),"Legacy state — owner review (use the shared five states)",IF(INDEX('Gate events'!$E$4:$E$553,MATCH(B200,'Gate events'!$A$4:$A$553,0))&lt;&gt;"Decision","Parent event is not a Decision",IF(AND(INDEX('Gate events'!$G$4:$G$553,MATCH(B200,'Gate events'!$A$4:$A$553,0))&lt;&gt;"Progress with condition",INDEX('Gate events'!$G$4:$G$553,MATCH(B200,'Gate events'!$A$4:$A$553,0))&lt;&gt;"Re-authorise",INDEX('Gate events'!$G$4:$G$553,MATCH(B200,'Gate events'!$A$4:$A$553,0))&lt;&gt;"Resume"),"Parent outcome is not Progress with condition / Re-authorise / Resume",IF(AND(ISNUMBER(INDEX('Gate events'!$F$4:$F$553,MATCH(B200,'Gate events'!$A$4:$A$553,0))),F200&lt;INDEX('Gate events'!$F$4:$F$553,MATCH(B200,'Gate events'!$A$4:$A$553,0))),"Due date before parent event date",IF(AND(OR(G200="Closed-verified",G200="Waived",G200="Accepted-open"),OR(H200="",I200="")),"Closure evidence missing",IF(AND(H200&lt;&gt;"",NOT(ISNUMBER(H200))),"Closed / waived on is not a date",IF(AND(ISNUMBER(H200),ISNUMBER(INDEX('Gate events'!$F$4:$F$553,MATCH(B200,'Gate events'!$A$4:$A$553,0))),H200&lt;INDEX('Gate events'!$F$4:$F$553,MATCH(B200,'Gate events'!$A$4:$A$553,0))),"Closure date before parent event date",IF(AND(G200="Closed-verified",M200=""),"Verifier / date missing",IF(AND(N200="Yes",G200="Closed-verified",O200=""),"Monitoring condition needs AIG-OPS-02 evidence ref",IF(AND(G200="Open",F200&lt;TODAY()),"OVERDUE (derived) — review",IF(G200="Unknown","State Unknown: owner to confirm","Check against source")))))))))))))))))))</f>
        <v/>
      </c>
      <c r="K200" s="37" t="n"/>
      <c r="L200" s="37" t="n"/>
      <c r="M200" s="38" t="n"/>
      <c r="N200" s="38" t="n"/>
      <c r="O200" s="38" t="n"/>
    </row>
    <row r="201">
      <c r="A201" s="40" t="n"/>
      <c r="B201" s="40" t="n"/>
      <c r="C201" s="40" t="n"/>
      <c r="D201" s="40" t="n"/>
      <c r="E201" s="40" t="n"/>
      <c r="F201" s="41" t="n"/>
      <c r="G201" s="40" t="n"/>
      <c r="H201" s="41" t="n"/>
      <c r="I201" s="40" t="n"/>
      <c r="J201" s="24">
        <f>IF(COUNTA(A201:I201,K201:O201)=0,"",IF(OR(A201="",B201="",C201=""),"ID / parent missing",IF(COUNTIF($A$4:$A$553,A201)&gt;1,"Duplicate condition ID",IF(COUNTIF('Gate events'!$A$4:$A$553,B201)=0,"Event ID not found",IF(INDEX('Gate events'!$B$4:$B$553,MATCH(B201,'Gate events'!$A$4:$A$553,0))&lt;&gt;C201,"AIR-ID differs from event",IF(IF(INDEX('Gate events'!$P$4:$P$553,MATCH(B201,'Gate events'!$A$4:$A$553,0))="UC-ID specific",IF(OR(L201&lt;&gt;"UC-ID specific",K201=""),"Condition UC-ID required",IF(ISNUMBER(SEARCH(","&amp;SUBSTITUTE(K201," ","")&amp;",",","&amp;SUBSTITUTE(INDEX('Gate events'!$O$4:$O$553,MATCH(B201,'Gate events'!$A$4:$A$553,0))," ","")&amp;",")),"","UC-ID differs from decision")),IF(INDEX('Gate events'!$P$4:$P$553,MATCH(B201,'Gate events'!$A$4:$A$553,0))="Shared system baseline",IF(OR(L201&lt;&gt;"Shared system baseline",K201&lt;&gt;""),"Condition scope differs from decision",""),"Parent decision scope missing"))&lt;&gt;"",IF(INDEX('Gate events'!$P$4:$P$553,MATCH(B201,'Gate events'!$A$4:$A$553,0))="UC-ID specific",IF(OR(L201&lt;&gt;"UC-ID specific",K201=""),"Condition UC-ID required",IF(ISNUMBER(SEARCH(","&amp;SUBSTITUTE(K201," ","")&amp;",",","&amp;SUBSTITUTE(INDEX('Gate events'!$O$4:$O$553,MATCH(B201,'Gate events'!$A$4:$A$553,0))," ","")&amp;",")),"","UC-ID differs from decision")),IF(INDEX('Gate events'!$P$4:$P$553,MATCH(B201,'Gate events'!$A$4:$A$553,0))="Shared system baseline",IF(OR(L201&lt;&gt;"Shared system baseline",K201&lt;&gt;""),"Condition scope differs from decision",""),"Parent decision scope missing")),IF(OR(D201="",E201="",F201="",G201=""),"Condition, owner, due date or state missing",IF(NOT(ISNUMBER(F201)),"Due date is not a date",IF(OR(G201="Overdue",G201="Superseded"),"Legacy state — owner review (use the shared five states)",IF(INDEX('Gate events'!$E$4:$E$553,MATCH(B201,'Gate events'!$A$4:$A$553,0))&lt;&gt;"Decision","Parent event is not a Decision",IF(AND(INDEX('Gate events'!$G$4:$G$553,MATCH(B201,'Gate events'!$A$4:$A$553,0))&lt;&gt;"Progress with condition",INDEX('Gate events'!$G$4:$G$553,MATCH(B201,'Gate events'!$A$4:$A$553,0))&lt;&gt;"Re-authorise",INDEX('Gate events'!$G$4:$G$553,MATCH(B201,'Gate events'!$A$4:$A$553,0))&lt;&gt;"Resume"),"Parent outcome is not Progress with condition / Re-authorise / Resume",IF(AND(ISNUMBER(INDEX('Gate events'!$F$4:$F$553,MATCH(B201,'Gate events'!$A$4:$A$553,0))),F201&lt;INDEX('Gate events'!$F$4:$F$553,MATCH(B201,'Gate events'!$A$4:$A$553,0))),"Due date before parent event date",IF(AND(OR(G201="Closed-verified",G201="Waived",G201="Accepted-open"),OR(H201="",I201="")),"Closure evidence missing",IF(AND(H201&lt;&gt;"",NOT(ISNUMBER(H201))),"Closed / waived on is not a date",IF(AND(ISNUMBER(H201),ISNUMBER(INDEX('Gate events'!$F$4:$F$553,MATCH(B201,'Gate events'!$A$4:$A$553,0))),H201&lt;INDEX('Gate events'!$F$4:$F$553,MATCH(B201,'Gate events'!$A$4:$A$553,0))),"Closure date before parent event date",IF(AND(G201="Closed-verified",M201=""),"Verifier / date missing",IF(AND(N201="Yes",G201="Closed-verified",O201=""),"Monitoring condition needs AIG-OPS-02 evidence ref",IF(AND(G201="Open",F201&lt;TODAY()),"OVERDUE (derived) — review",IF(G201="Unknown","State Unknown: owner to confirm","Check against source")))))))))))))))))))</f>
        <v/>
      </c>
      <c r="K201" s="37" t="n"/>
      <c r="L201" s="37" t="n"/>
      <c r="M201" s="40" t="n"/>
      <c r="N201" s="40" t="n"/>
      <c r="O201" s="40" t="n"/>
    </row>
    <row r="202">
      <c r="A202" s="38" t="n"/>
      <c r="B202" s="38" t="n"/>
      <c r="C202" s="38" t="n"/>
      <c r="D202" s="38" t="n"/>
      <c r="E202" s="38" t="n"/>
      <c r="F202" s="39" t="n"/>
      <c r="G202" s="38" t="n"/>
      <c r="H202" s="39" t="n"/>
      <c r="I202" s="38" t="n"/>
      <c r="J202" s="22">
        <f>IF(COUNTA(A202:I202,K202:O202)=0,"",IF(OR(A202="",B202="",C202=""),"ID / parent missing",IF(COUNTIF($A$4:$A$553,A202)&gt;1,"Duplicate condition ID",IF(COUNTIF('Gate events'!$A$4:$A$553,B202)=0,"Event ID not found",IF(INDEX('Gate events'!$B$4:$B$553,MATCH(B202,'Gate events'!$A$4:$A$553,0))&lt;&gt;C202,"AIR-ID differs from event",IF(IF(INDEX('Gate events'!$P$4:$P$553,MATCH(B202,'Gate events'!$A$4:$A$553,0))="UC-ID specific",IF(OR(L202&lt;&gt;"UC-ID specific",K202=""),"Condition UC-ID required",IF(ISNUMBER(SEARCH(","&amp;SUBSTITUTE(K202," ","")&amp;",",","&amp;SUBSTITUTE(INDEX('Gate events'!$O$4:$O$553,MATCH(B202,'Gate events'!$A$4:$A$553,0))," ","")&amp;",")),"","UC-ID differs from decision")),IF(INDEX('Gate events'!$P$4:$P$553,MATCH(B202,'Gate events'!$A$4:$A$553,0))="Shared system baseline",IF(OR(L202&lt;&gt;"Shared system baseline",K202&lt;&gt;""),"Condition scope differs from decision",""),"Parent decision scope missing"))&lt;&gt;"",IF(INDEX('Gate events'!$P$4:$P$553,MATCH(B202,'Gate events'!$A$4:$A$553,0))="UC-ID specific",IF(OR(L202&lt;&gt;"UC-ID specific",K202=""),"Condition UC-ID required",IF(ISNUMBER(SEARCH(","&amp;SUBSTITUTE(K202," ","")&amp;",",","&amp;SUBSTITUTE(INDEX('Gate events'!$O$4:$O$553,MATCH(B202,'Gate events'!$A$4:$A$553,0))," ","")&amp;",")),"","UC-ID differs from decision")),IF(INDEX('Gate events'!$P$4:$P$553,MATCH(B202,'Gate events'!$A$4:$A$553,0))="Shared system baseline",IF(OR(L202&lt;&gt;"Shared system baseline",K202&lt;&gt;""),"Condition scope differs from decision",""),"Parent decision scope missing")),IF(OR(D202="",E202="",F202="",G202=""),"Condition, owner, due date or state missing",IF(NOT(ISNUMBER(F202)),"Due date is not a date",IF(OR(G202="Overdue",G202="Superseded"),"Legacy state — owner review (use the shared five states)",IF(INDEX('Gate events'!$E$4:$E$553,MATCH(B202,'Gate events'!$A$4:$A$553,0))&lt;&gt;"Decision","Parent event is not a Decision",IF(AND(INDEX('Gate events'!$G$4:$G$553,MATCH(B202,'Gate events'!$A$4:$A$553,0))&lt;&gt;"Progress with condition",INDEX('Gate events'!$G$4:$G$553,MATCH(B202,'Gate events'!$A$4:$A$553,0))&lt;&gt;"Re-authorise",INDEX('Gate events'!$G$4:$G$553,MATCH(B202,'Gate events'!$A$4:$A$553,0))&lt;&gt;"Resume"),"Parent outcome is not Progress with condition / Re-authorise / Resume",IF(AND(ISNUMBER(INDEX('Gate events'!$F$4:$F$553,MATCH(B202,'Gate events'!$A$4:$A$553,0))),F202&lt;INDEX('Gate events'!$F$4:$F$553,MATCH(B202,'Gate events'!$A$4:$A$553,0))),"Due date before parent event date",IF(AND(OR(G202="Closed-verified",G202="Waived",G202="Accepted-open"),OR(H202="",I202="")),"Closure evidence missing",IF(AND(H202&lt;&gt;"",NOT(ISNUMBER(H202))),"Closed / waived on is not a date",IF(AND(ISNUMBER(H202),ISNUMBER(INDEX('Gate events'!$F$4:$F$553,MATCH(B202,'Gate events'!$A$4:$A$553,0))),H202&lt;INDEX('Gate events'!$F$4:$F$553,MATCH(B202,'Gate events'!$A$4:$A$553,0))),"Closure date before parent event date",IF(AND(G202="Closed-verified",M202=""),"Verifier / date missing",IF(AND(N202="Yes",G202="Closed-verified",O202=""),"Monitoring condition needs AIG-OPS-02 evidence ref",IF(AND(G202="Open",F202&lt;TODAY()),"OVERDUE (derived) — review",IF(G202="Unknown","State Unknown: owner to confirm","Check against source")))))))))))))))))))</f>
        <v/>
      </c>
      <c r="K202" s="37" t="n"/>
      <c r="L202" s="37" t="n"/>
      <c r="M202" s="38" t="n"/>
      <c r="N202" s="38" t="n"/>
      <c r="O202" s="38" t="n"/>
    </row>
    <row r="203">
      <c r="A203" s="40" t="n"/>
      <c r="B203" s="40" t="n"/>
      <c r="C203" s="40" t="n"/>
      <c r="D203" s="40" t="n"/>
      <c r="E203" s="40" t="n"/>
      <c r="F203" s="41" t="n"/>
      <c r="G203" s="40" t="n"/>
      <c r="H203" s="41" t="n"/>
      <c r="I203" s="40" t="n"/>
      <c r="J203" s="24">
        <f>IF(COUNTA(A203:I203,K203:O203)=0,"",IF(OR(A203="",B203="",C203=""),"ID / parent missing",IF(COUNTIF($A$4:$A$553,A203)&gt;1,"Duplicate condition ID",IF(COUNTIF('Gate events'!$A$4:$A$553,B203)=0,"Event ID not found",IF(INDEX('Gate events'!$B$4:$B$553,MATCH(B203,'Gate events'!$A$4:$A$553,0))&lt;&gt;C203,"AIR-ID differs from event",IF(IF(INDEX('Gate events'!$P$4:$P$553,MATCH(B203,'Gate events'!$A$4:$A$553,0))="UC-ID specific",IF(OR(L203&lt;&gt;"UC-ID specific",K203=""),"Condition UC-ID required",IF(ISNUMBER(SEARCH(","&amp;SUBSTITUTE(K203," ","")&amp;",",","&amp;SUBSTITUTE(INDEX('Gate events'!$O$4:$O$553,MATCH(B203,'Gate events'!$A$4:$A$553,0))," ","")&amp;",")),"","UC-ID differs from decision")),IF(INDEX('Gate events'!$P$4:$P$553,MATCH(B203,'Gate events'!$A$4:$A$553,0))="Shared system baseline",IF(OR(L203&lt;&gt;"Shared system baseline",K203&lt;&gt;""),"Condition scope differs from decision",""),"Parent decision scope missing"))&lt;&gt;"",IF(INDEX('Gate events'!$P$4:$P$553,MATCH(B203,'Gate events'!$A$4:$A$553,0))="UC-ID specific",IF(OR(L203&lt;&gt;"UC-ID specific",K203=""),"Condition UC-ID required",IF(ISNUMBER(SEARCH(","&amp;SUBSTITUTE(K203," ","")&amp;",",","&amp;SUBSTITUTE(INDEX('Gate events'!$O$4:$O$553,MATCH(B203,'Gate events'!$A$4:$A$553,0))," ","")&amp;",")),"","UC-ID differs from decision")),IF(INDEX('Gate events'!$P$4:$P$553,MATCH(B203,'Gate events'!$A$4:$A$553,0))="Shared system baseline",IF(OR(L203&lt;&gt;"Shared system baseline",K203&lt;&gt;""),"Condition scope differs from decision",""),"Parent decision scope missing")),IF(OR(D203="",E203="",F203="",G203=""),"Condition, owner, due date or state missing",IF(NOT(ISNUMBER(F203)),"Due date is not a date",IF(OR(G203="Overdue",G203="Superseded"),"Legacy state — owner review (use the shared five states)",IF(INDEX('Gate events'!$E$4:$E$553,MATCH(B203,'Gate events'!$A$4:$A$553,0))&lt;&gt;"Decision","Parent event is not a Decision",IF(AND(INDEX('Gate events'!$G$4:$G$553,MATCH(B203,'Gate events'!$A$4:$A$553,0))&lt;&gt;"Progress with condition",INDEX('Gate events'!$G$4:$G$553,MATCH(B203,'Gate events'!$A$4:$A$553,0))&lt;&gt;"Re-authorise",INDEX('Gate events'!$G$4:$G$553,MATCH(B203,'Gate events'!$A$4:$A$553,0))&lt;&gt;"Resume"),"Parent outcome is not Progress with condition / Re-authorise / Resume",IF(AND(ISNUMBER(INDEX('Gate events'!$F$4:$F$553,MATCH(B203,'Gate events'!$A$4:$A$553,0))),F203&lt;INDEX('Gate events'!$F$4:$F$553,MATCH(B203,'Gate events'!$A$4:$A$553,0))),"Due date before parent event date",IF(AND(OR(G203="Closed-verified",G203="Waived",G203="Accepted-open"),OR(H203="",I203="")),"Closure evidence missing",IF(AND(H203&lt;&gt;"",NOT(ISNUMBER(H203))),"Closed / waived on is not a date",IF(AND(ISNUMBER(H203),ISNUMBER(INDEX('Gate events'!$F$4:$F$553,MATCH(B203,'Gate events'!$A$4:$A$553,0))),H203&lt;INDEX('Gate events'!$F$4:$F$553,MATCH(B203,'Gate events'!$A$4:$A$553,0))),"Closure date before parent event date",IF(AND(G203="Closed-verified",M203=""),"Verifier / date missing",IF(AND(N203="Yes",G203="Closed-verified",O203=""),"Monitoring condition needs AIG-OPS-02 evidence ref",IF(AND(G203="Open",F203&lt;TODAY()),"OVERDUE (derived) — review",IF(G203="Unknown","State Unknown: owner to confirm","Check against source")))))))))))))))))))</f>
        <v/>
      </c>
      <c r="K203" s="37" t="n"/>
      <c r="L203" s="37" t="n"/>
      <c r="M203" s="40" t="n"/>
      <c r="N203" s="40" t="n"/>
      <c r="O203" s="40" t="n"/>
    </row>
    <row r="204">
      <c r="A204" s="38" t="n"/>
      <c r="B204" s="38" t="n"/>
      <c r="C204" s="38" t="n"/>
      <c r="D204" s="38" t="n"/>
      <c r="E204" s="38" t="n"/>
      <c r="F204" s="39" t="n"/>
      <c r="G204" s="38" t="n"/>
      <c r="H204" s="39" t="n"/>
      <c r="I204" s="38" t="n"/>
      <c r="J204" s="22">
        <f>IF(COUNTA(A204:I204,K204:O204)=0,"",IF(OR(A204="",B204="",C204=""),"ID / parent missing",IF(COUNTIF($A$4:$A$553,A204)&gt;1,"Duplicate condition ID",IF(COUNTIF('Gate events'!$A$4:$A$553,B204)=0,"Event ID not found",IF(INDEX('Gate events'!$B$4:$B$553,MATCH(B204,'Gate events'!$A$4:$A$553,0))&lt;&gt;C204,"AIR-ID differs from event",IF(IF(INDEX('Gate events'!$P$4:$P$553,MATCH(B204,'Gate events'!$A$4:$A$553,0))="UC-ID specific",IF(OR(L204&lt;&gt;"UC-ID specific",K204=""),"Condition UC-ID required",IF(ISNUMBER(SEARCH(","&amp;SUBSTITUTE(K204," ","")&amp;",",","&amp;SUBSTITUTE(INDEX('Gate events'!$O$4:$O$553,MATCH(B204,'Gate events'!$A$4:$A$553,0))," ","")&amp;",")),"","UC-ID differs from decision")),IF(INDEX('Gate events'!$P$4:$P$553,MATCH(B204,'Gate events'!$A$4:$A$553,0))="Shared system baseline",IF(OR(L204&lt;&gt;"Shared system baseline",K204&lt;&gt;""),"Condition scope differs from decision",""),"Parent decision scope missing"))&lt;&gt;"",IF(INDEX('Gate events'!$P$4:$P$553,MATCH(B204,'Gate events'!$A$4:$A$553,0))="UC-ID specific",IF(OR(L204&lt;&gt;"UC-ID specific",K204=""),"Condition UC-ID required",IF(ISNUMBER(SEARCH(","&amp;SUBSTITUTE(K204," ","")&amp;",",","&amp;SUBSTITUTE(INDEX('Gate events'!$O$4:$O$553,MATCH(B204,'Gate events'!$A$4:$A$553,0))," ","")&amp;",")),"","UC-ID differs from decision")),IF(INDEX('Gate events'!$P$4:$P$553,MATCH(B204,'Gate events'!$A$4:$A$553,0))="Shared system baseline",IF(OR(L204&lt;&gt;"Shared system baseline",K204&lt;&gt;""),"Condition scope differs from decision",""),"Parent decision scope missing")),IF(OR(D204="",E204="",F204="",G204=""),"Condition, owner, due date or state missing",IF(NOT(ISNUMBER(F204)),"Due date is not a date",IF(OR(G204="Overdue",G204="Superseded"),"Legacy state — owner review (use the shared five states)",IF(INDEX('Gate events'!$E$4:$E$553,MATCH(B204,'Gate events'!$A$4:$A$553,0))&lt;&gt;"Decision","Parent event is not a Decision",IF(AND(INDEX('Gate events'!$G$4:$G$553,MATCH(B204,'Gate events'!$A$4:$A$553,0))&lt;&gt;"Progress with condition",INDEX('Gate events'!$G$4:$G$553,MATCH(B204,'Gate events'!$A$4:$A$553,0))&lt;&gt;"Re-authorise",INDEX('Gate events'!$G$4:$G$553,MATCH(B204,'Gate events'!$A$4:$A$553,0))&lt;&gt;"Resume"),"Parent outcome is not Progress with condition / Re-authorise / Resume",IF(AND(ISNUMBER(INDEX('Gate events'!$F$4:$F$553,MATCH(B204,'Gate events'!$A$4:$A$553,0))),F204&lt;INDEX('Gate events'!$F$4:$F$553,MATCH(B204,'Gate events'!$A$4:$A$553,0))),"Due date before parent event date",IF(AND(OR(G204="Closed-verified",G204="Waived",G204="Accepted-open"),OR(H204="",I204="")),"Closure evidence missing",IF(AND(H204&lt;&gt;"",NOT(ISNUMBER(H204))),"Closed / waived on is not a date",IF(AND(ISNUMBER(H204),ISNUMBER(INDEX('Gate events'!$F$4:$F$553,MATCH(B204,'Gate events'!$A$4:$A$553,0))),H204&lt;INDEX('Gate events'!$F$4:$F$553,MATCH(B204,'Gate events'!$A$4:$A$553,0))),"Closure date before parent event date",IF(AND(G204="Closed-verified",M204=""),"Verifier / date missing",IF(AND(N204="Yes",G204="Closed-verified",O204=""),"Monitoring condition needs AIG-OPS-02 evidence ref",IF(AND(G204="Open",F204&lt;TODAY()),"OVERDUE (derived) — review",IF(G204="Unknown","State Unknown: owner to confirm","Check against source")))))))))))))))))))</f>
        <v/>
      </c>
      <c r="K204" s="37" t="n"/>
      <c r="L204" s="37" t="n"/>
      <c r="M204" s="38" t="n"/>
      <c r="N204" s="38" t="n"/>
      <c r="O204" s="38" t="n"/>
    </row>
    <row r="205">
      <c r="A205" s="40" t="n"/>
      <c r="B205" s="40" t="n"/>
      <c r="C205" s="40" t="n"/>
      <c r="D205" s="40" t="n"/>
      <c r="E205" s="40" t="n"/>
      <c r="F205" s="41" t="n"/>
      <c r="G205" s="40" t="n"/>
      <c r="H205" s="41" t="n"/>
      <c r="I205" s="40" t="n"/>
      <c r="J205" s="24">
        <f>IF(COUNTA(A205:I205,K205:O205)=0,"",IF(OR(A205="",B205="",C205=""),"ID / parent missing",IF(COUNTIF($A$4:$A$553,A205)&gt;1,"Duplicate condition ID",IF(COUNTIF('Gate events'!$A$4:$A$553,B205)=0,"Event ID not found",IF(INDEX('Gate events'!$B$4:$B$553,MATCH(B205,'Gate events'!$A$4:$A$553,0))&lt;&gt;C205,"AIR-ID differs from event",IF(IF(INDEX('Gate events'!$P$4:$P$553,MATCH(B205,'Gate events'!$A$4:$A$553,0))="UC-ID specific",IF(OR(L205&lt;&gt;"UC-ID specific",K205=""),"Condition UC-ID required",IF(ISNUMBER(SEARCH(","&amp;SUBSTITUTE(K205," ","")&amp;",",","&amp;SUBSTITUTE(INDEX('Gate events'!$O$4:$O$553,MATCH(B205,'Gate events'!$A$4:$A$553,0))," ","")&amp;",")),"","UC-ID differs from decision")),IF(INDEX('Gate events'!$P$4:$P$553,MATCH(B205,'Gate events'!$A$4:$A$553,0))="Shared system baseline",IF(OR(L205&lt;&gt;"Shared system baseline",K205&lt;&gt;""),"Condition scope differs from decision",""),"Parent decision scope missing"))&lt;&gt;"",IF(INDEX('Gate events'!$P$4:$P$553,MATCH(B205,'Gate events'!$A$4:$A$553,0))="UC-ID specific",IF(OR(L205&lt;&gt;"UC-ID specific",K205=""),"Condition UC-ID required",IF(ISNUMBER(SEARCH(","&amp;SUBSTITUTE(K205," ","")&amp;",",","&amp;SUBSTITUTE(INDEX('Gate events'!$O$4:$O$553,MATCH(B205,'Gate events'!$A$4:$A$553,0))," ","")&amp;",")),"","UC-ID differs from decision")),IF(INDEX('Gate events'!$P$4:$P$553,MATCH(B205,'Gate events'!$A$4:$A$553,0))="Shared system baseline",IF(OR(L205&lt;&gt;"Shared system baseline",K205&lt;&gt;""),"Condition scope differs from decision",""),"Parent decision scope missing")),IF(OR(D205="",E205="",F205="",G205=""),"Condition, owner, due date or state missing",IF(NOT(ISNUMBER(F205)),"Due date is not a date",IF(OR(G205="Overdue",G205="Superseded"),"Legacy state — owner review (use the shared five states)",IF(INDEX('Gate events'!$E$4:$E$553,MATCH(B205,'Gate events'!$A$4:$A$553,0))&lt;&gt;"Decision","Parent event is not a Decision",IF(AND(INDEX('Gate events'!$G$4:$G$553,MATCH(B205,'Gate events'!$A$4:$A$553,0))&lt;&gt;"Progress with condition",INDEX('Gate events'!$G$4:$G$553,MATCH(B205,'Gate events'!$A$4:$A$553,0))&lt;&gt;"Re-authorise",INDEX('Gate events'!$G$4:$G$553,MATCH(B205,'Gate events'!$A$4:$A$553,0))&lt;&gt;"Resume"),"Parent outcome is not Progress with condition / Re-authorise / Resume",IF(AND(ISNUMBER(INDEX('Gate events'!$F$4:$F$553,MATCH(B205,'Gate events'!$A$4:$A$553,0))),F205&lt;INDEX('Gate events'!$F$4:$F$553,MATCH(B205,'Gate events'!$A$4:$A$553,0))),"Due date before parent event date",IF(AND(OR(G205="Closed-verified",G205="Waived",G205="Accepted-open"),OR(H205="",I205="")),"Closure evidence missing",IF(AND(H205&lt;&gt;"",NOT(ISNUMBER(H205))),"Closed / waived on is not a date",IF(AND(ISNUMBER(H205),ISNUMBER(INDEX('Gate events'!$F$4:$F$553,MATCH(B205,'Gate events'!$A$4:$A$553,0))),H205&lt;INDEX('Gate events'!$F$4:$F$553,MATCH(B205,'Gate events'!$A$4:$A$553,0))),"Closure date before parent event date",IF(AND(G205="Closed-verified",M205=""),"Verifier / date missing",IF(AND(N205="Yes",G205="Closed-verified",O205=""),"Monitoring condition needs AIG-OPS-02 evidence ref",IF(AND(G205="Open",F205&lt;TODAY()),"OVERDUE (derived) — review",IF(G205="Unknown","State Unknown: owner to confirm","Check against source")))))))))))))))))))</f>
        <v/>
      </c>
      <c r="K205" s="37" t="n"/>
      <c r="L205" s="37" t="n"/>
      <c r="M205" s="40" t="n"/>
      <c r="N205" s="40" t="n"/>
      <c r="O205" s="40" t="n"/>
    </row>
    <row r="206">
      <c r="A206" s="38" t="n"/>
      <c r="B206" s="38" t="n"/>
      <c r="C206" s="38" t="n"/>
      <c r="D206" s="38" t="n"/>
      <c r="E206" s="38" t="n"/>
      <c r="F206" s="39" t="n"/>
      <c r="G206" s="38" t="n"/>
      <c r="H206" s="39" t="n"/>
      <c r="I206" s="38" t="n"/>
      <c r="J206" s="22">
        <f>IF(COUNTA(A206:I206,K206:O206)=0,"",IF(OR(A206="",B206="",C206=""),"ID / parent missing",IF(COUNTIF($A$4:$A$553,A206)&gt;1,"Duplicate condition ID",IF(COUNTIF('Gate events'!$A$4:$A$553,B206)=0,"Event ID not found",IF(INDEX('Gate events'!$B$4:$B$553,MATCH(B206,'Gate events'!$A$4:$A$553,0))&lt;&gt;C206,"AIR-ID differs from event",IF(IF(INDEX('Gate events'!$P$4:$P$553,MATCH(B206,'Gate events'!$A$4:$A$553,0))="UC-ID specific",IF(OR(L206&lt;&gt;"UC-ID specific",K206=""),"Condition UC-ID required",IF(ISNUMBER(SEARCH(","&amp;SUBSTITUTE(K206," ","")&amp;",",","&amp;SUBSTITUTE(INDEX('Gate events'!$O$4:$O$553,MATCH(B206,'Gate events'!$A$4:$A$553,0))," ","")&amp;",")),"","UC-ID differs from decision")),IF(INDEX('Gate events'!$P$4:$P$553,MATCH(B206,'Gate events'!$A$4:$A$553,0))="Shared system baseline",IF(OR(L206&lt;&gt;"Shared system baseline",K206&lt;&gt;""),"Condition scope differs from decision",""),"Parent decision scope missing"))&lt;&gt;"",IF(INDEX('Gate events'!$P$4:$P$553,MATCH(B206,'Gate events'!$A$4:$A$553,0))="UC-ID specific",IF(OR(L206&lt;&gt;"UC-ID specific",K206=""),"Condition UC-ID required",IF(ISNUMBER(SEARCH(","&amp;SUBSTITUTE(K206," ","")&amp;",",","&amp;SUBSTITUTE(INDEX('Gate events'!$O$4:$O$553,MATCH(B206,'Gate events'!$A$4:$A$553,0))," ","")&amp;",")),"","UC-ID differs from decision")),IF(INDEX('Gate events'!$P$4:$P$553,MATCH(B206,'Gate events'!$A$4:$A$553,0))="Shared system baseline",IF(OR(L206&lt;&gt;"Shared system baseline",K206&lt;&gt;""),"Condition scope differs from decision",""),"Parent decision scope missing")),IF(OR(D206="",E206="",F206="",G206=""),"Condition, owner, due date or state missing",IF(NOT(ISNUMBER(F206)),"Due date is not a date",IF(OR(G206="Overdue",G206="Superseded"),"Legacy state — owner review (use the shared five states)",IF(INDEX('Gate events'!$E$4:$E$553,MATCH(B206,'Gate events'!$A$4:$A$553,0))&lt;&gt;"Decision","Parent event is not a Decision",IF(AND(INDEX('Gate events'!$G$4:$G$553,MATCH(B206,'Gate events'!$A$4:$A$553,0))&lt;&gt;"Progress with condition",INDEX('Gate events'!$G$4:$G$553,MATCH(B206,'Gate events'!$A$4:$A$553,0))&lt;&gt;"Re-authorise",INDEX('Gate events'!$G$4:$G$553,MATCH(B206,'Gate events'!$A$4:$A$553,0))&lt;&gt;"Resume"),"Parent outcome is not Progress with condition / Re-authorise / Resume",IF(AND(ISNUMBER(INDEX('Gate events'!$F$4:$F$553,MATCH(B206,'Gate events'!$A$4:$A$553,0))),F206&lt;INDEX('Gate events'!$F$4:$F$553,MATCH(B206,'Gate events'!$A$4:$A$553,0))),"Due date before parent event date",IF(AND(OR(G206="Closed-verified",G206="Waived",G206="Accepted-open"),OR(H206="",I206="")),"Closure evidence missing",IF(AND(H206&lt;&gt;"",NOT(ISNUMBER(H206))),"Closed / waived on is not a date",IF(AND(ISNUMBER(H206),ISNUMBER(INDEX('Gate events'!$F$4:$F$553,MATCH(B206,'Gate events'!$A$4:$A$553,0))),H206&lt;INDEX('Gate events'!$F$4:$F$553,MATCH(B206,'Gate events'!$A$4:$A$553,0))),"Closure date before parent event date",IF(AND(G206="Closed-verified",M206=""),"Verifier / date missing",IF(AND(N206="Yes",G206="Closed-verified",O206=""),"Monitoring condition needs AIG-OPS-02 evidence ref",IF(AND(G206="Open",F206&lt;TODAY()),"OVERDUE (derived) — review",IF(G206="Unknown","State Unknown: owner to confirm","Check against source")))))))))))))))))))</f>
        <v/>
      </c>
      <c r="K206" s="37" t="n"/>
      <c r="L206" s="37" t="n"/>
      <c r="M206" s="38" t="n"/>
      <c r="N206" s="38" t="n"/>
      <c r="O206" s="38" t="n"/>
    </row>
    <row r="207">
      <c r="A207" s="40" t="n"/>
      <c r="B207" s="40" t="n"/>
      <c r="C207" s="40" t="n"/>
      <c r="D207" s="40" t="n"/>
      <c r="E207" s="40" t="n"/>
      <c r="F207" s="41" t="n"/>
      <c r="G207" s="40" t="n"/>
      <c r="H207" s="41" t="n"/>
      <c r="I207" s="40" t="n"/>
      <c r="J207" s="24">
        <f>IF(COUNTA(A207:I207,K207:O207)=0,"",IF(OR(A207="",B207="",C207=""),"ID / parent missing",IF(COUNTIF($A$4:$A$553,A207)&gt;1,"Duplicate condition ID",IF(COUNTIF('Gate events'!$A$4:$A$553,B207)=0,"Event ID not found",IF(INDEX('Gate events'!$B$4:$B$553,MATCH(B207,'Gate events'!$A$4:$A$553,0))&lt;&gt;C207,"AIR-ID differs from event",IF(IF(INDEX('Gate events'!$P$4:$P$553,MATCH(B207,'Gate events'!$A$4:$A$553,0))="UC-ID specific",IF(OR(L207&lt;&gt;"UC-ID specific",K207=""),"Condition UC-ID required",IF(ISNUMBER(SEARCH(","&amp;SUBSTITUTE(K207," ","")&amp;",",","&amp;SUBSTITUTE(INDEX('Gate events'!$O$4:$O$553,MATCH(B207,'Gate events'!$A$4:$A$553,0))," ","")&amp;",")),"","UC-ID differs from decision")),IF(INDEX('Gate events'!$P$4:$P$553,MATCH(B207,'Gate events'!$A$4:$A$553,0))="Shared system baseline",IF(OR(L207&lt;&gt;"Shared system baseline",K207&lt;&gt;""),"Condition scope differs from decision",""),"Parent decision scope missing"))&lt;&gt;"",IF(INDEX('Gate events'!$P$4:$P$553,MATCH(B207,'Gate events'!$A$4:$A$553,0))="UC-ID specific",IF(OR(L207&lt;&gt;"UC-ID specific",K207=""),"Condition UC-ID required",IF(ISNUMBER(SEARCH(","&amp;SUBSTITUTE(K207," ","")&amp;",",","&amp;SUBSTITUTE(INDEX('Gate events'!$O$4:$O$553,MATCH(B207,'Gate events'!$A$4:$A$553,0))," ","")&amp;",")),"","UC-ID differs from decision")),IF(INDEX('Gate events'!$P$4:$P$553,MATCH(B207,'Gate events'!$A$4:$A$553,0))="Shared system baseline",IF(OR(L207&lt;&gt;"Shared system baseline",K207&lt;&gt;""),"Condition scope differs from decision",""),"Parent decision scope missing")),IF(OR(D207="",E207="",F207="",G207=""),"Condition, owner, due date or state missing",IF(NOT(ISNUMBER(F207)),"Due date is not a date",IF(OR(G207="Overdue",G207="Superseded"),"Legacy state — owner review (use the shared five states)",IF(INDEX('Gate events'!$E$4:$E$553,MATCH(B207,'Gate events'!$A$4:$A$553,0))&lt;&gt;"Decision","Parent event is not a Decision",IF(AND(INDEX('Gate events'!$G$4:$G$553,MATCH(B207,'Gate events'!$A$4:$A$553,0))&lt;&gt;"Progress with condition",INDEX('Gate events'!$G$4:$G$553,MATCH(B207,'Gate events'!$A$4:$A$553,0))&lt;&gt;"Re-authorise",INDEX('Gate events'!$G$4:$G$553,MATCH(B207,'Gate events'!$A$4:$A$553,0))&lt;&gt;"Resume"),"Parent outcome is not Progress with condition / Re-authorise / Resume",IF(AND(ISNUMBER(INDEX('Gate events'!$F$4:$F$553,MATCH(B207,'Gate events'!$A$4:$A$553,0))),F207&lt;INDEX('Gate events'!$F$4:$F$553,MATCH(B207,'Gate events'!$A$4:$A$553,0))),"Due date before parent event date",IF(AND(OR(G207="Closed-verified",G207="Waived",G207="Accepted-open"),OR(H207="",I207="")),"Closure evidence missing",IF(AND(H207&lt;&gt;"",NOT(ISNUMBER(H207))),"Closed / waived on is not a date",IF(AND(ISNUMBER(H207),ISNUMBER(INDEX('Gate events'!$F$4:$F$553,MATCH(B207,'Gate events'!$A$4:$A$553,0))),H207&lt;INDEX('Gate events'!$F$4:$F$553,MATCH(B207,'Gate events'!$A$4:$A$553,0))),"Closure date before parent event date",IF(AND(G207="Closed-verified",M207=""),"Verifier / date missing",IF(AND(N207="Yes",G207="Closed-verified",O207=""),"Monitoring condition needs AIG-OPS-02 evidence ref",IF(AND(G207="Open",F207&lt;TODAY()),"OVERDUE (derived) — review",IF(G207="Unknown","State Unknown: owner to confirm","Check against source")))))))))))))))))))</f>
        <v/>
      </c>
      <c r="K207" s="37" t="n"/>
      <c r="L207" s="37" t="n"/>
      <c r="M207" s="40" t="n"/>
      <c r="N207" s="40" t="n"/>
      <c r="O207" s="40" t="n"/>
    </row>
    <row r="208">
      <c r="A208" s="38" t="n"/>
      <c r="B208" s="38" t="n"/>
      <c r="C208" s="38" t="n"/>
      <c r="D208" s="38" t="n"/>
      <c r="E208" s="38" t="n"/>
      <c r="F208" s="39" t="n"/>
      <c r="G208" s="38" t="n"/>
      <c r="H208" s="39" t="n"/>
      <c r="I208" s="38" t="n"/>
      <c r="J208" s="22">
        <f>IF(COUNTA(A208:I208,K208:O208)=0,"",IF(OR(A208="",B208="",C208=""),"ID / parent missing",IF(COUNTIF($A$4:$A$553,A208)&gt;1,"Duplicate condition ID",IF(COUNTIF('Gate events'!$A$4:$A$553,B208)=0,"Event ID not found",IF(INDEX('Gate events'!$B$4:$B$553,MATCH(B208,'Gate events'!$A$4:$A$553,0))&lt;&gt;C208,"AIR-ID differs from event",IF(IF(INDEX('Gate events'!$P$4:$P$553,MATCH(B208,'Gate events'!$A$4:$A$553,0))="UC-ID specific",IF(OR(L208&lt;&gt;"UC-ID specific",K208=""),"Condition UC-ID required",IF(ISNUMBER(SEARCH(","&amp;SUBSTITUTE(K208," ","")&amp;",",","&amp;SUBSTITUTE(INDEX('Gate events'!$O$4:$O$553,MATCH(B208,'Gate events'!$A$4:$A$553,0))," ","")&amp;",")),"","UC-ID differs from decision")),IF(INDEX('Gate events'!$P$4:$P$553,MATCH(B208,'Gate events'!$A$4:$A$553,0))="Shared system baseline",IF(OR(L208&lt;&gt;"Shared system baseline",K208&lt;&gt;""),"Condition scope differs from decision",""),"Parent decision scope missing"))&lt;&gt;"",IF(INDEX('Gate events'!$P$4:$P$553,MATCH(B208,'Gate events'!$A$4:$A$553,0))="UC-ID specific",IF(OR(L208&lt;&gt;"UC-ID specific",K208=""),"Condition UC-ID required",IF(ISNUMBER(SEARCH(","&amp;SUBSTITUTE(K208," ","")&amp;",",","&amp;SUBSTITUTE(INDEX('Gate events'!$O$4:$O$553,MATCH(B208,'Gate events'!$A$4:$A$553,0))," ","")&amp;",")),"","UC-ID differs from decision")),IF(INDEX('Gate events'!$P$4:$P$553,MATCH(B208,'Gate events'!$A$4:$A$553,0))="Shared system baseline",IF(OR(L208&lt;&gt;"Shared system baseline",K208&lt;&gt;""),"Condition scope differs from decision",""),"Parent decision scope missing")),IF(OR(D208="",E208="",F208="",G208=""),"Condition, owner, due date or state missing",IF(NOT(ISNUMBER(F208)),"Due date is not a date",IF(OR(G208="Overdue",G208="Superseded"),"Legacy state — owner review (use the shared five states)",IF(INDEX('Gate events'!$E$4:$E$553,MATCH(B208,'Gate events'!$A$4:$A$553,0))&lt;&gt;"Decision","Parent event is not a Decision",IF(AND(INDEX('Gate events'!$G$4:$G$553,MATCH(B208,'Gate events'!$A$4:$A$553,0))&lt;&gt;"Progress with condition",INDEX('Gate events'!$G$4:$G$553,MATCH(B208,'Gate events'!$A$4:$A$553,0))&lt;&gt;"Re-authorise",INDEX('Gate events'!$G$4:$G$553,MATCH(B208,'Gate events'!$A$4:$A$553,0))&lt;&gt;"Resume"),"Parent outcome is not Progress with condition / Re-authorise / Resume",IF(AND(ISNUMBER(INDEX('Gate events'!$F$4:$F$553,MATCH(B208,'Gate events'!$A$4:$A$553,0))),F208&lt;INDEX('Gate events'!$F$4:$F$553,MATCH(B208,'Gate events'!$A$4:$A$553,0))),"Due date before parent event date",IF(AND(OR(G208="Closed-verified",G208="Waived",G208="Accepted-open"),OR(H208="",I208="")),"Closure evidence missing",IF(AND(H208&lt;&gt;"",NOT(ISNUMBER(H208))),"Closed / waived on is not a date",IF(AND(ISNUMBER(H208),ISNUMBER(INDEX('Gate events'!$F$4:$F$553,MATCH(B208,'Gate events'!$A$4:$A$553,0))),H208&lt;INDEX('Gate events'!$F$4:$F$553,MATCH(B208,'Gate events'!$A$4:$A$553,0))),"Closure date before parent event date",IF(AND(G208="Closed-verified",M208=""),"Verifier / date missing",IF(AND(N208="Yes",G208="Closed-verified",O208=""),"Monitoring condition needs AIG-OPS-02 evidence ref",IF(AND(G208="Open",F208&lt;TODAY()),"OVERDUE (derived) — review",IF(G208="Unknown","State Unknown: owner to confirm","Check against source")))))))))))))))))))</f>
        <v/>
      </c>
      <c r="K208" s="37" t="n"/>
      <c r="L208" s="37" t="n"/>
      <c r="M208" s="38" t="n"/>
      <c r="N208" s="38" t="n"/>
      <c r="O208" s="38" t="n"/>
    </row>
    <row r="209">
      <c r="A209" s="40" t="n"/>
      <c r="B209" s="40" t="n"/>
      <c r="C209" s="40" t="n"/>
      <c r="D209" s="40" t="n"/>
      <c r="E209" s="40" t="n"/>
      <c r="F209" s="41" t="n"/>
      <c r="G209" s="40" t="n"/>
      <c r="H209" s="41" t="n"/>
      <c r="I209" s="40" t="n"/>
      <c r="J209" s="24">
        <f>IF(COUNTA(A209:I209,K209:O209)=0,"",IF(OR(A209="",B209="",C209=""),"ID / parent missing",IF(COUNTIF($A$4:$A$553,A209)&gt;1,"Duplicate condition ID",IF(COUNTIF('Gate events'!$A$4:$A$553,B209)=0,"Event ID not found",IF(INDEX('Gate events'!$B$4:$B$553,MATCH(B209,'Gate events'!$A$4:$A$553,0))&lt;&gt;C209,"AIR-ID differs from event",IF(IF(INDEX('Gate events'!$P$4:$P$553,MATCH(B209,'Gate events'!$A$4:$A$553,0))="UC-ID specific",IF(OR(L209&lt;&gt;"UC-ID specific",K209=""),"Condition UC-ID required",IF(ISNUMBER(SEARCH(","&amp;SUBSTITUTE(K209," ","")&amp;",",","&amp;SUBSTITUTE(INDEX('Gate events'!$O$4:$O$553,MATCH(B209,'Gate events'!$A$4:$A$553,0))," ","")&amp;",")),"","UC-ID differs from decision")),IF(INDEX('Gate events'!$P$4:$P$553,MATCH(B209,'Gate events'!$A$4:$A$553,0))="Shared system baseline",IF(OR(L209&lt;&gt;"Shared system baseline",K209&lt;&gt;""),"Condition scope differs from decision",""),"Parent decision scope missing"))&lt;&gt;"",IF(INDEX('Gate events'!$P$4:$P$553,MATCH(B209,'Gate events'!$A$4:$A$553,0))="UC-ID specific",IF(OR(L209&lt;&gt;"UC-ID specific",K209=""),"Condition UC-ID required",IF(ISNUMBER(SEARCH(","&amp;SUBSTITUTE(K209," ","")&amp;",",","&amp;SUBSTITUTE(INDEX('Gate events'!$O$4:$O$553,MATCH(B209,'Gate events'!$A$4:$A$553,0))," ","")&amp;",")),"","UC-ID differs from decision")),IF(INDEX('Gate events'!$P$4:$P$553,MATCH(B209,'Gate events'!$A$4:$A$553,0))="Shared system baseline",IF(OR(L209&lt;&gt;"Shared system baseline",K209&lt;&gt;""),"Condition scope differs from decision",""),"Parent decision scope missing")),IF(OR(D209="",E209="",F209="",G209=""),"Condition, owner, due date or state missing",IF(NOT(ISNUMBER(F209)),"Due date is not a date",IF(OR(G209="Overdue",G209="Superseded"),"Legacy state — owner review (use the shared five states)",IF(INDEX('Gate events'!$E$4:$E$553,MATCH(B209,'Gate events'!$A$4:$A$553,0))&lt;&gt;"Decision","Parent event is not a Decision",IF(AND(INDEX('Gate events'!$G$4:$G$553,MATCH(B209,'Gate events'!$A$4:$A$553,0))&lt;&gt;"Progress with condition",INDEX('Gate events'!$G$4:$G$553,MATCH(B209,'Gate events'!$A$4:$A$553,0))&lt;&gt;"Re-authorise",INDEX('Gate events'!$G$4:$G$553,MATCH(B209,'Gate events'!$A$4:$A$553,0))&lt;&gt;"Resume"),"Parent outcome is not Progress with condition / Re-authorise / Resume",IF(AND(ISNUMBER(INDEX('Gate events'!$F$4:$F$553,MATCH(B209,'Gate events'!$A$4:$A$553,0))),F209&lt;INDEX('Gate events'!$F$4:$F$553,MATCH(B209,'Gate events'!$A$4:$A$553,0))),"Due date before parent event date",IF(AND(OR(G209="Closed-verified",G209="Waived",G209="Accepted-open"),OR(H209="",I209="")),"Closure evidence missing",IF(AND(H209&lt;&gt;"",NOT(ISNUMBER(H209))),"Closed / waived on is not a date",IF(AND(ISNUMBER(H209),ISNUMBER(INDEX('Gate events'!$F$4:$F$553,MATCH(B209,'Gate events'!$A$4:$A$553,0))),H209&lt;INDEX('Gate events'!$F$4:$F$553,MATCH(B209,'Gate events'!$A$4:$A$553,0))),"Closure date before parent event date",IF(AND(G209="Closed-verified",M209=""),"Verifier / date missing",IF(AND(N209="Yes",G209="Closed-verified",O209=""),"Monitoring condition needs AIG-OPS-02 evidence ref",IF(AND(G209="Open",F209&lt;TODAY()),"OVERDUE (derived) — review",IF(G209="Unknown","State Unknown: owner to confirm","Check against source")))))))))))))))))))</f>
        <v/>
      </c>
      <c r="K209" s="37" t="n"/>
      <c r="L209" s="37" t="n"/>
      <c r="M209" s="40" t="n"/>
      <c r="N209" s="40" t="n"/>
      <c r="O209" s="40" t="n"/>
    </row>
    <row r="210">
      <c r="A210" s="38" t="n"/>
      <c r="B210" s="38" t="n"/>
      <c r="C210" s="38" t="n"/>
      <c r="D210" s="38" t="n"/>
      <c r="E210" s="38" t="n"/>
      <c r="F210" s="39" t="n"/>
      <c r="G210" s="38" t="n"/>
      <c r="H210" s="39" t="n"/>
      <c r="I210" s="38" t="n"/>
      <c r="J210" s="22">
        <f>IF(COUNTA(A210:I210,K210:O210)=0,"",IF(OR(A210="",B210="",C210=""),"ID / parent missing",IF(COUNTIF($A$4:$A$553,A210)&gt;1,"Duplicate condition ID",IF(COUNTIF('Gate events'!$A$4:$A$553,B210)=0,"Event ID not found",IF(INDEX('Gate events'!$B$4:$B$553,MATCH(B210,'Gate events'!$A$4:$A$553,0))&lt;&gt;C210,"AIR-ID differs from event",IF(IF(INDEX('Gate events'!$P$4:$P$553,MATCH(B210,'Gate events'!$A$4:$A$553,0))="UC-ID specific",IF(OR(L210&lt;&gt;"UC-ID specific",K210=""),"Condition UC-ID required",IF(ISNUMBER(SEARCH(","&amp;SUBSTITUTE(K210," ","")&amp;",",","&amp;SUBSTITUTE(INDEX('Gate events'!$O$4:$O$553,MATCH(B210,'Gate events'!$A$4:$A$553,0))," ","")&amp;",")),"","UC-ID differs from decision")),IF(INDEX('Gate events'!$P$4:$P$553,MATCH(B210,'Gate events'!$A$4:$A$553,0))="Shared system baseline",IF(OR(L210&lt;&gt;"Shared system baseline",K210&lt;&gt;""),"Condition scope differs from decision",""),"Parent decision scope missing"))&lt;&gt;"",IF(INDEX('Gate events'!$P$4:$P$553,MATCH(B210,'Gate events'!$A$4:$A$553,0))="UC-ID specific",IF(OR(L210&lt;&gt;"UC-ID specific",K210=""),"Condition UC-ID required",IF(ISNUMBER(SEARCH(","&amp;SUBSTITUTE(K210," ","")&amp;",",","&amp;SUBSTITUTE(INDEX('Gate events'!$O$4:$O$553,MATCH(B210,'Gate events'!$A$4:$A$553,0))," ","")&amp;",")),"","UC-ID differs from decision")),IF(INDEX('Gate events'!$P$4:$P$553,MATCH(B210,'Gate events'!$A$4:$A$553,0))="Shared system baseline",IF(OR(L210&lt;&gt;"Shared system baseline",K210&lt;&gt;""),"Condition scope differs from decision",""),"Parent decision scope missing")),IF(OR(D210="",E210="",F210="",G210=""),"Condition, owner, due date or state missing",IF(NOT(ISNUMBER(F210)),"Due date is not a date",IF(OR(G210="Overdue",G210="Superseded"),"Legacy state — owner review (use the shared five states)",IF(INDEX('Gate events'!$E$4:$E$553,MATCH(B210,'Gate events'!$A$4:$A$553,0))&lt;&gt;"Decision","Parent event is not a Decision",IF(AND(INDEX('Gate events'!$G$4:$G$553,MATCH(B210,'Gate events'!$A$4:$A$553,0))&lt;&gt;"Progress with condition",INDEX('Gate events'!$G$4:$G$553,MATCH(B210,'Gate events'!$A$4:$A$553,0))&lt;&gt;"Re-authorise",INDEX('Gate events'!$G$4:$G$553,MATCH(B210,'Gate events'!$A$4:$A$553,0))&lt;&gt;"Resume"),"Parent outcome is not Progress with condition / Re-authorise / Resume",IF(AND(ISNUMBER(INDEX('Gate events'!$F$4:$F$553,MATCH(B210,'Gate events'!$A$4:$A$553,0))),F210&lt;INDEX('Gate events'!$F$4:$F$553,MATCH(B210,'Gate events'!$A$4:$A$553,0))),"Due date before parent event date",IF(AND(OR(G210="Closed-verified",G210="Waived",G210="Accepted-open"),OR(H210="",I210="")),"Closure evidence missing",IF(AND(H210&lt;&gt;"",NOT(ISNUMBER(H210))),"Closed / waived on is not a date",IF(AND(ISNUMBER(H210),ISNUMBER(INDEX('Gate events'!$F$4:$F$553,MATCH(B210,'Gate events'!$A$4:$A$553,0))),H210&lt;INDEX('Gate events'!$F$4:$F$553,MATCH(B210,'Gate events'!$A$4:$A$553,0))),"Closure date before parent event date",IF(AND(G210="Closed-verified",M210=""),"Verifier / date missing",IF(AND(N210="Yes",G210="Closed-verified",O210=""),"Monitoring condition needs AIG-OPS-02 evidence ref",IF(AND(G210="Open",F210&lt;TODAY()),"OVERDUE (derived) — review",IF(G210="Unknown","State Unknown: owner to confirm","Check against source")))))))))))))))))))</f>
        <v/>
      </c>
      <c r="K210" s="37" t="n"/>
      <c r="L210" s="37" t="n"/>
      <c r="M210" s="38" t="n"/>
      <c r="N210" s="38" t="n"/>
      <c r="O210" s="38" t="n"/>
    </row>
    <row r="211">
      <c r="A211" s="40" t="n"/>
      <c r="B211" s="40" t="n"/>
      <c r="C211" s="40" t="n"/>
      <c r="D211" s="40" t="n"/>
      <c r="E211" s="40" t="n"/>
      <c r="F211" s="41" t="n"/>
      <c r="G211" s="40" t="n"/>
      <c r="H211" s="41" t="n"/>
      <c r="I211" s="40" t="n"/>
      <c r="J211" s="24">
        <f>IF(COUNTA(A211:I211,K211:O211)=0,"",IF(OR(A211="",B211="",C211=""),"ID / parent missing",IF(COUNTIF($A$4:$A$553,A211)&gt;1,"Duplicate condition ID",IF(COUNTIF('Gate events'!$A$4:$A$553,B211)=0,"Event ID not found",IF(INDEX('Gate events'!$B$4:$B$553,MATCH(B211,'Gate events'!$A$4:$A$553,0))&lt;&gt;C211,"AIR-ID differs from event",IF(IF(INDEX('Gate events'!$P$4:$P$553,MATCH(B211,'Gate events'!$A$4:$A$553,0))="UC-ID specific",IF(OR(L211&lt;&gt;"UC-ID specific",K211=""),"Condition UC-ID required",IF(ISNUMBER(SEARCH(","&amp;SUBSTITUTE(K211," ","")&amp;",",","&amp;SUBSTITUTE(INDEX('Gate events'!$O$4:$O$553,MATCH(B211,'Gate events'!$A$4:$A$553,0))," ","")&amp;",")),"","UC-ID differs from decision")),IF(INDEX('Gate events'!$P$4:$P$553,MATCH(B211,'Gate events'!$A$4:$A$553,0))="Shared system baseline",IF(OR(L211&lt;&gt;"Shared system baseline",K211&lt;&gt;""),"Condition scope differs from decision",""),"Parent decision scope missing"))&lt;&gt;"",IF(INDEX('Gate events'!$P$4:$P$553,MATCH(B211,'Gate events'!$A$4:$A$553,0))="UC-ID specific",IF(OR(L211&lt;&gt;"UC-ID specific",K211=""),"Condition UC-ID required",IF(ISNUMBER(SEARCH(","&amp;SUBSTITUTE(K211," ","")&amp;",",","&amp;SUBSTITUTE(INDEX('Gate events'!$O$4:$O$553,MATCH(B211,'Gate events'!$A$4:$A$553,0))," ","")&amp;",")),"","UC-ID differs from decision")),IF(INDEX('Gate events'!$P$4:$P$553,MATCH(B211,'Gate events'!$A$4:$A$553,0))="Shared system baseline",IF(OR(L211&lt;&gt;"Shared system baseline",K211&lt;&gt;""),"Condition scope differs from decision",""),"Parent decision scope missing")),IF(OR(D211="",E211="",F211="",G211=""),"Condition, owner, due date or state missing",IF(NOT(ISNUMBER(F211)),"Due date is not a date",IF(OR(G211="Overdue",G211="Superseded"),"Legacy state — owner review (use the shared five states)",IF(INDEX('Gate events'!$E$4:$E$553,MATCH(B211,'Gate events'!$A$4:$A$553,0))&lt;&gt;"Decision","Parent event is not a Decision",IF(AND(INDEX('Gate events'!$G$4:$G$553,MATCH(B211,'Gate events'!$A$4:$A$553,0))&lt;&gt;"Progress with condition",INDEX('Gate events'!$G$4:$G$553,MATCH(B211,'Gate events'!$A$4:$A$553,0))&lt;&gt;"Re-authorise",INDEX('Gate events'!$G$4:$G$553,MATCH(B211,'Gate events'!$A$4:$A$553,0))&lt;&gt;"Resume"),"Parent outcome is not Progress with condition / Re-authorise / Resume",IF(AND(ISNUMBER(INDEX('Gate events'!$F$4:$F$553,MATCH(B211,'Gate events'!$A$4:$A$553,0))),F211&lt;INDEX('Gate events'!$F$4:$F$553,MATCH(B211,'Gate events'!$A$4:$A$553,0))),"Due date before parent event date",IF(AND(OR(G211="Closed-verified",G211="Waived",G211="Accepted-open"),OR(H211="",I211="")),"Closure evidence missing",IF(AND(H211&lt;&gt;"",NOT(ISNUMBER(H211))),"Closed / waived on is not a date",IF(AND(ISNUMBER(H211),ISNUMBER(INDEX('Gate events'!$F$4:$F$553,MATCH(B211,'Gate events'!$A$4:$A$553,0))),H211&lt;INDEX('Gate events'!$F$4:$F$553,MATCH(B211,'Gate events'!$A$4:$A$553,0))),"Closure date before parent event date",IF(AND(G211="Closed-verified",M211=""),"Verifier / date missing",IF(AND(N211="Yes",G211="Closed-verified",O211=""),"Monitoring condition needs AIG-OPS-02 evidence ref",IF(AND(G211="Open",F211&lt;TODAY()),"OVERDUE (derived) — review",IF(G211="Unknown","State Unknown: owner to confirm","Check against source")))))))))))))))))))</f>
        <v/>
      </c>
      <c r="K211" s="37" t="n"/>
      <c r="L211" s="37" t="n"/>
      <c r="M211" s="40" t="n"/>
      <c r="N211" s="40" t="n"/>
      <c r="O211" s="40" t="n"/>
    </row>
    <row r="212">
      <c r="A212" s="38" t="n"/>
      <c r="B212" s="38" t="n"/>
      <c r="C212" s="38" t="n"/>
      <c r="D212" s="38" t="n"/>
      <c r="E212" s="38" t="n"/>
      <c r="F212" s="39" t="n"/>
      <c r="G212" s="38" t="n"/>
      <c r="H212" s="39" t="n"/>
      <c r="I212" s="38" t="n"/>
      <c r="J212" s="22">
        <f>IF(COUNTA(A212:I212,K212:O212)=0,"",IF(OR(A212="",B212="",C212=""),"ID / parent missing",IF(COUNTIF($A$4:$A$553,A212)&gt;1,"Duplicate condition ID",IF(COUNTIF('Gate events'!$A$4:$A$553,B212)=0,"Event ID not found",IF(INDEX('Gate events'!$B$4:$B$553,MATCH(B212,'Gate events'!$A$4:$A$553,0))&lt;&gt;C212,"AIR-ID differs from event",IF(IF(INDEX('Gate events'!$P$4:$P$553,MATCH(B212,'Gate events'!$A$4:$A$553,0))="UC-ID specific",IF(OR(L212&lt;&gt;"UC-ID specific",K212=""),"Condition UC-ID required",IF(ISNUMBER(SEARCH(","&amp;SUBSTITUTE(K212," ","")&amp;",",","&amp;SUBSTITUTE(INDEX('Gate events'!$O$4:$O$553,MATCH(B212,'Gate events'!$A$4:$A$553,0))," ","")&amp;",")),"","UC-ID differs from decision")),IF(INDEX('Gate events'!$P$4:$P$553,MATCH(B212,'Gate events'!$A$4:$A$553,0))="Shared system baseline",IF(OR(L212&lt;&gt;"Shared system baseline",K212&lt;&gt;""),"Condition scope differs from decision",""),"Parent decision scope missing"))&lt;&gt;"",IF(INDEX('Gate events'!$P$4:$P$553,MATCH(B212,'Gate events'!$A$4:$A$553,0))="UC-ID specific",IF(OR(L212&lt;&gt;"UC-ID specific",K212=""),"Condition UC-ID required",IF(ISNUMBER(SEARCH(","&amp;SUBSTITUTE(K212," ","")&amp;",",","&amp;SUBSTITUTE(INDEX('Gate events'!$O$4:$O$553,MATCH(B212,'Gate events'!$A$4:$A$553,0))," ","")&amp;",")),"","UC-ID differs from decision")),IF(INDEX('Gate events'!$P$4:$P$553,MATCH(B212,'Gate events'!$A$4:$A$553,0))="Shared system baseline",IF(OR(L212&lt;&gt;"Shared system baseline",K212&lt;&gt;""),"Condition scope differs from decision",""),"Parent decision scope missing")),IF(OR(D212="",E212="",F212="",G212=""),"Condition, owner, due date or state missing",IF(NOT(ISNUMBER(F212)),"Due date is not a date",IF(OR(G212="Overdue",G212="Superseded"),"Legacy state — owner review (use the shared five states)",IF(INDEX('Gate events'!$E$4:$E$553,MATCH(B212,'Gate events'!$A$4:$A$553,0))&lt;&gt;"Decision","Parent event is not a Decision",IF(AND(INDEX('Gate events'!$G$4:$G$553,MATCH(B212,'Gate events'!$A$4:$A$553,0))&lt;&gt;"Progress with condition",INDEX('Gate events'!$G$4:$G$553,MATCH(B212,'Gate events'!$A$4:$A$553,0))&lt;&gt;"Re-authorise",INDEX('Gate events'!$G$4:$G$553,MATCH(B212,'Gate events'!$A$4:$A$553,0))&lt;&gt;"Resume"),"Parent outcome is not Progress with condition / Re-authorise / Resume",IF(AND(ISNUMBER(INDEX('Gate events'!$F$4:$F$553,MATCH(B212,'Gate events'!$A$4:$A$553,0))),F212&lt;INDEX('Gate events'!$F$4:$F$553,MATCH(B212,'Gate events'!$A$4:$A$553,0))),"Due date before parent event date",IF(AND(OR(G212="Closed-verified",G212="Waived",G212="Accepted-open"),OR(H212="",I212="")),"Closure evidence missing",IF(AND(H212&lt;&gt;"",NOT(ISNUMBER(H212))),"Closed / waived on is not a date",IF(AND(ISNUMBER(H212),ISNUMBER(INDEX('Gate events'!$F$4:$F$553,MATCH(B212,'Gate events'!$A$4:$A$553,0))),H212&lt;INDEX('Gate events'!$F$4:$F$553,MATCH(B212,'Gate events'!$A$4:$A$553,0))),"Closure date before parent event date",IF(AND(G212="Closed-verified",M212=""),"Verifier / date missing",IF(AND(N212="Yes",G212="Closed-verified",O212=""),"Monitoring condition needs AIG-OPS-02 evidence ref",IF(AND(G212="Open",F212&lt;TODAY()),"OVERDUE (derived) — review",IF(G212="Unknown","State Unknown: owner to confirm","Check against source")))))))))))))))))))</f>
        <v/>
      </c>
      <c r="K212" s="37" t="n"/>
      <c r="L212" s="37" t="n"/>
      <c r="M212" s="38" t="n"/>
      <c r="N212" s="38" t="n"/>
      <c r="O212" s="38" t="n"/>
    </row>
    <row r="213">
      <c r="A213" s="40" t="n"/>
      <c r="B213" s="40" t="n"/>
      <c r="C213" s="40" t="n"/>
      <c r="D213" s="40" t="n"/>
      <c r="E213" s="40" t="n"/>
      <c r="F213" s="41" t="n"/>
      <c r="G213" s="40" t="n"/>
      <c r="H213" s="41" t="n"/>
      <c r="I213" s="40" t="n"/>
      <c r="J213" s="24">
        <f>IF(COUNTA(A213:I213,K213:O213)=0,"",IF(OR(A213="",B213="",C213=""),"ID / parent missing",IF(COUNTIF($A$4:$A$553,A213)&gt;1,"Duplicate condition ID",IF(COUNTIF('Gate events'!$A$4:$A$553,B213)=0,"Event ID not found",IF(INDEX('Gate events'!$B$4:$B$553,MATCH(B213,'Gate events'!$A$4:$A$553,0))&lt;&gt;C213,"AIR-ID differs from event",IF(IF(INDEX('Gate events'!$P$4:$P$553,MATCH(B213,'Gate events'!$A$4:$A$553,0))="UC-ID specific",IF(OR(L213&lt;&gt;"UC-ID specific",K213=""),"Condition UC-ID required",IF(ISNUMBER(SEARCH(","&amp;SUBSTITUTE(K213," ","")&amp;",",","&amp;SUBSTITUTE(INDEX('Gate events'!$O$4:$O$553,MATCH(B213,'Gate events'!$A$4:$A$553,0))," ","")&amp;",")),"","UC-ID differs from decision")),IF(INDEX('Gate events'!$P$4:$P$553,MATCH(B213,'Gate events'!$A$4:$A$553,0))="Shared system baseline",IF(OR(L213&lt;&gt;"Shared system baseline",K213&lt;&gt;""),"Condition scope differs from decision",""),"Parent decision scope missing"))&lt;&gt;"",IF(INDEX('Gate events'!$P$4:$P$553,MATCH(B213,'Gate events'!$A$4:$A$553,0))="UC-ID specific",IF(OR(L213&lt;&gt;"UC-ID specific",K213=""),"Condition UC-ID required",IF(ISNUMBER(SEARCH(","&amp;SUBSTITUTE(K213," ","")&amp;",",","&amp;SUBSTITUTE(INDEX('Gate events'!$O$4:$O$553,MATCH(B213,'Gate events'!$A$4:$A$553,0))," ","")&amp;",")),"","UC-ID differs from decision")),IF(INDEX('Gate events'!$P$4:$P$553,MATCH(B213,'Gate events'!$A$4:$A$553,0))="Shared system baseline",IF(OR(L213&lt;&gt;"Shared system baseline",K213&lt;&gt;""),"Condition scope differs from decision",""),"Parent decision scope missing")),IF(OR(D213="",E213="",F213="",G213=""),"Condition, owner, due date or state missing",IF(NOT(ISNUMBER(F213)),"Due date is not a date",IF(OR(G213="Overdue",G213="Superseded"),"Legacy state — owner review (use the shared five states)",IF(INDEX('Gate events'!$E$4:$E$553,MATCH(B213,'Gate events'!$A$4:$A$553,0))&lt;&gt;"Decision","Parent event is not a Decision",IF(AND(INDEX('Gate events'!$G$4:$G$553,MATCH(B213,'Gate events'!$A$4:$A$553,0))&lt;&gt;"Progress with condition",INDEX('Gate events'!$G$4:$G$553,MATCH(B213,'Gate events'!$A$4:$A$553,0))&lt;&gt;"Re-authorise",INDEX('Gate events'!$G$4:$G$553,MATCH(B213,'Gate events'!$A$4:$A$553,0))&lt;&gt;"Resume"),"Parent outcome is not Progress with condition / Re-authorise / Resume",IF(AND(ISNUMBER(INDEX('Gate events'!$F$4:$F$553,MATCH(B213,'Gate events'!$A$4:$A$553,0))),F213&lt;INDEX('Gate events'!$F$4:$F$553,MATCH(B213,'Gate events'!$A$4:$A$553,0))),"Due date before parent event date",IF(AND(OR(G213="Closed-verified",G213="Waived",G213="Accepted-open"),OR(H213="",I213="")),"Closure evidence missing",IF(AND(H213&lt;&gt;"",NOT(ISNUMBER(H213))),"Closed / waived on is not a date",IF(AND(ISNUMBER(H213),ISNUMBER(INDEX('Gate events'!$F$4:$F$553,MATCH(B213,'Gate events'!$A$4:$A$553,0))),H213&lt;INDEX('Gate events'!$F$4:$F$553,MATCH(B213,'Gate events'!$A$4:$A$553,0))),"Closure date before parent event date",IF(AND(G213="Closed-verified",M213=""),"Verifier / date missing",IF(AND(N213="Yes",G213="Closed-verified",O213=""),"Monitoring condition needs AIG-OPS-02 evidence ref",IF(AND(G213="Open",F213&lt;TODAY()),"OVERDUE (derived) — review",IF(G213="Unknown","State Unknown: owner to confirm","Check against source")))))))))))))))))))</f>
        <v/>
      </c>
      <c r="K213" s="37" t="n"/>
      <c r="L213" s="37" t="n"/>
      <c r="M213" s="40" t="n"/>
      <c r="N213" s="40" t="n"/>
      <c r="O213" s="40" t="n"/>
    </row>
    <row r="214">
      <c r="A214" s="38" t="n"/>
      <c r="B214" s="38" t="n"/>
      <c r="C214" s="38" t="n"/>
      <c r="D214" s="38" t="n"/>
      <c r="E214" s="38" t="n"/>
      <c r="F214" s="39" t="n"/>
      <c r="G214" s="38" t="n"/>
      <c r="H214" s="39" t="n"/>
      <c r="I214" s="38" t="n"/>
      <c r="J214" s="22">
        <f>IF(COUNTA(A214:I214,K214:O214)=0,"",IF(OR(A214="",B214="",C214=""),"ID / parent missing",IF(COUNTIF($A$4:$A$553,A214)&gt;1,"Duplicate condition ID",IF(COUNTIF('Gate events'!$A$4:$A$553,B214)=0,"Event ID not found",IF(INDEX('Gate events'!$B$4:$B$553,MATCH(B214,'Gate events'!$A$4:$A$553,0))&lt;&gt;C214,"AIR-ID differs from event",IF(IF(INDEX('Gate events'!$P$4:$P$553,MATCH(B214,'Gate events'!$A$4:$A$553,0))="UC-ID specific",IF(OR(L214&lt;&gt;"UC-ID specific",K214=""),"Condition UC-ID required",IF(ISNUMBER(SEARCH(","&amp;SUBSTITUTE(K214," ","")&amp;",",","&amp;SUBSTITUTE(INDEX('Gate events'!$O$4:$O$553,MATCH(B214,'Gate events'!$A$4:$A$553,0))," ","")&amp;",")),"","UC-ID differs from decision")),IF(INDEX('Gate events'!$P$4:$P$553,MATCH(B214,'Gate events'!$A$4:$A$553,0))="Shared system baseline",IF(OR(L214&lt;&gt;"Shared system baseline",K214&lt;&gt;""),"Condition scope differs from decision",""),"Parent decision scope missing"))&lt;&gt;"",IF(INDEX('Gate events'!$P$4:$P$553,MATCH(B214,'Gate events'!$A$4:$A$553,0))="UC-ID specific",IF(OR(L214&lt;&gt;"UC-ID specific",K214=""),"Condition UC-ID required",IF(ISNUMBER(SEARCH(","&amp;SUBSTITUTE(K214," ","")&amp;",",","&amp;SUBSTITUTE(INDEX('Gate events'!$O$4:$O$553,MATCH(B214,'Gate events'!$A$4:$A$553,0))," ","")&amp;",")),"","UC-ID differs from decision")),IF(INDEX('Gate events'!$P$4:$P$553,MATCH(B214,'Gate events'!$A$4:$A$553,0))="Shared system baseline",IF(OR(L214&lt;&gt;"Shared system baseline",K214&lt;&gt;""),"Condition scope differs from decision",""),"Parent decision scope missing")),IF(OR(D214="",E214="",F214="",G214=""),"Condition, owner, due date or state missing",IF(NOT(ISNUMBER(F214)),"Due date is not a date",IF(OR(G214="Overdue",G214="Superseded"),"Legacy state — owner review (use the shared five states)",IF(INDEX('Gate events'!$E$4:$E$553,MATCH(B214,'Gate events'!$A$4:$A$553,0))&lt;&gt;"Decision","Parent event is not a Decision",IF(AND(INDEX('Gate events'!$G$4:$G$553,MATCH(B214,'Gate events'!$A$4:$A$553,0))&lt;&gt;"Progress with condition",INDEX('Gate events'!$G$4:$G$553,MATCH(B214,'Gate events'!$A$4:$A$553,0))&lt;&gt;"Re-authorise",INDEX('Gate events'!$G$4:$G$553,MATCH(B214,'Gate events'!$A$4:$A$553,0))&lt;&gt;"Resume"),"Parent outcome is not Progress with condition / Re-authorise / Resume",IF(AND(ISNUMBER(INDEX('Gate events'!$F$4:$F$553,MATCH(B214,'Gate events'!$A$4:$A$553,0))),F214&lt;INDEX('Gate events'!$F$4:$F$553,MATCH(B214,'Gate events'!$A$4:$A$553,0))),"Due date before parent event date",IF(AND(OR(G214="Closed-verified",G214="Waived",G214="Accepted-open"),OR(H214="",I214="")),"Closure evidence missing",IF(AND(H214&lt;&gt;"",NOT(ISNUMBER(H214))),"Closed / waived on is not a date",IF(AND(ISNUMBER(H214),ISNUMBER(INDEX('Gate events'!$F$4:$F$553,MATCH(B214,'Gate events'!$A$4:$A$553,0))),H214&lt;INDEX('Gate events'!$F$4:$F$553,MATCH(B214,'Gate events'!$A$4:$A$553,0))),"Closure date before parent event date",IF(AND(G214="Closed-verified",M214=""),"Verifier / date missing",IF(AND(N214="Yes",G214="Closed-verified",O214=""),"Monitoring condition needs AIG-OPS-02 evidence ref",IF(AND(G214="Open",F214&lt;TODAY()),"OVERDUE (derived) — review",IF(G214="Unknown","State Unknown: owner to confirm","Check against source")))))))))))))))))))</f>
        <v/>
      </c>
      <c r="K214" s="37" t="n"/>
      <c r="L214" s="37" t="n"/>
      <c r="M214" s="38" t="n"/>
      <c r="N214" s="38" t="n"/>
      <c r="O214" s="38" t="n"/>
    </row>
    <row r="215">
      <c r="A215" s="40" t="n"/>
      <c r="B215" s="40" t="n"/>
      <c r="C215" s="40" t="n"/>
      <c r="D215" s="40" t="n"/>
      <c r="E215" s="40" t="n"/>
      <c r="F215" s="41" t="n"/>
      <c r="G215" s="40" t="n"/>
      <c r="H215" s="41" t="n"/>
      <c r="I215" s="40" t="n"/>
      <c r="J215" s="24">
        <f>IF(COUNTA(A215:I215,K215:O215)=0,"",IF(OR(A215="",B215="",C215=""),"ID / parent missing",IF(COUNTIF($A$4:$A$553,A215)&gt;1,"Duplicate condition ID",IF(COUNTIF('Gate events'!$A$4:$A$553,B215)=0,"Event ID not found",IF(INDEX('Gate events'!$B$4:$B$553,MATCH(B215,'Gate events'!$A$4:$A$553,0))&lt;&gt;C215,"AIR-ID differs from event",IF(IF(INDEX('Gate events'!$P$4:$P$553,MATCH(B215,'Gate events'!$A$4:$A$553,0))="UC-ID specific",IF(OR(L215&lt;&gt;"UC-ID specific",K215=""),"Condition UC-ID required",IF(ISNUMBER(SEARCH(","&amp;SUBSTITUTE(K215," ","")&amp;",",","&amp;SUBSTITUTE(INDEX('Gate events'!$O$4:$O$553,MATCH(B215,'Gate events'!$A$4:$A$553,0))," ","")&amp;",")),"","UC-ID differs from decision")),IF(INDEX('Gate events'!$P$4:$P$553,MATCH(B215,'Gate events'!$A$4:$A$553,0))="Shared system baseline",IF(OR(L215&lt;&gt;"Shared system baseline",K215&lt;&gt;""),"Condition scope differs from decision",""),"Parent decision scope missing"))&lt;&gt;"",IF(INDEX('Gate events'!$P$4:$P$553,MATCH(B215,'Gate events'!$A$4:$A$553,0))="UC-ID specific",IF(OR(L215&lt;&gt;"UC-ID specific",K215=""),"Condition UC-ID required",IF(ISNUMBER(SEARCH(","&amp;SUBSTITUTE(K215," ","")&amp;",",","&amp;SUBSTITUTE(INDEX('Gate events'!$O$4:$O$553,MATCH(B215,'Gate events'!$A$4:$A$553,0))," ","")&amp;",")),"","UC-ID differs from decision")),IF(INDEX('Gate events'!$P$4:$P$553,MATCH(B215,'Gate events'!$A$4:$A$553,0))="Shared system baseline",IF(OR(L215&lt;&gt;"Shared system baseline",K215&lt;&gt;""),"Condition scope differs from decision",""),"Parent decision scope missing")),IF(OR(D215="",E215="",F215="",G215=""),"Condition, owner, due date or state missing",IF(NOT(ISNUMBER(F215)),"Due date is not a date",IF(OR(G215="Overdue",G215="Superseded"),"Legacy state — owner review (use the shared five states)",IF(INDEX('Gate events'!$E$4:$E$553,MATCH(B215,'Gate events'!$A$4:$A$553,0))&lt;&gt;"Decision","Parent event is not a Decision",IF(AND(INDEX('Gate events'!$G$4:$G$553,MATCH(B215,'Gate events'!$A$4:$A$553,0))&lt;&gt;"Progress with condition",INDEX('Gate events'!$G$4:$G$553,MATCH(B215,'Gate events'!$A$4:$A$553,0))&lt;&gt;"Re-authorise",INDEX('Gate events'!$G$4:$G$553,MATCH(B215,'Gate events'!$A$4:$A$553,0))&lt;&gt;"Resume"),"Parent outcome is not Progress with condition / Re-authorise / Resume",IF(AND(ISNUMBER(INDEX('Gate events'!$F$4:$F$553,MATCH(B215,'Gate events'!$A$4:$A$553,0))),F215&lt;INDEX('Gate events'!$F$4:$F$553,MATCH(B215,'Gate events'!$A$4:$A$553,0))),"Due date before parent event date",IF(AND(OR(G215="Closed-verified",G215="Waived",G215="Accepted-open"),OR(H215="",I215="")),"Closure evidence missing",IF(AND(H215&lt;&gt;"",NOT(ISNUMBER(H215))),"Closed / waived on is not a date",IF(AND(ISNUMBER(H215),ISNUMBER(INDEX('Gate events'!$F$4:$F$553,MATCH(B215,'Gate events'!$A$4:$A$553,0))),H215&lt;INDEX('Gate events'!$F$4:$F$553,MATCH(B215,'Gate events'!$A$4:$A$553,0))),"Closure date before parent event date",IF(AND(G215="Closed-verified",M215=""),"Verifier / date missing",IF(AND(N215="Yes",G215="Closed-verified",O215=""),"Monitoring condition needs AIG-OPS-02 evidence ref",IF(AND(G215="Open",F215&lt;TODAY()),"OVERDUE (derived) — review",IF(G215="Unknown","State Unknown: owner to confirm","Check against source")))))))))))))))))))</f>
        <v/>
      </c>
      <c r="K215" s="37" t="n"/>
      <c r="L215" s="37" t="n"/>
      <c r="M215" s="40" t="n"/>
      <c r="N215" s="40" t="n"/>
      <c r="O215" s="40" t="n"/>
    </row>
    <row r="216">
      <c r="A216" s="38" t="n"/>
      <c r="B216" s="38" t="n"/>
      <c r="C216" s="38" t="n"/>
      <c r="D216" s="38" t="n"/>
      <c r="E216" s="38" t="n"/>
      <c r="F216" s="39" t="n"/>
      <c r="G216" s="38" t="n"/>
      <c r="H216" s="39" t="n"/>
      <c r="I216" s="38" t="n"/>
      <c r="J216" s="22">
        <f>IF(COUNTA(A216:I216,K216:O216)=0,"",IF(OR(A216="",B216="",C216=""),"ID / parent missing",IF(COUNTIF($A$4:$A$553,A216)&gt;1,"Duplicate condition ID",IF(COUNTIF('Gate events'!$A$4:$A$553,B216)=0,"Event ID not found",IF(INDEX('Gate events'!$B$4:$B$553,MATCH(B216,'Gate events'!$A$4:$A$553,0))&lt;&gt;C216,"AIR-ID differs from event",IF(IF(INDEX('Gate events'!$P$4:$P$553,MATCH(B216,'Gate events'!$A$4:$A$553,0))="UC-ID specific",IF(OR(L216&lt;&gt;"UC-ID specific",K216=""),"Condition UC-ID required",IF(ISNUMBER(SEARCH(","&amp;SUBSTITUTE(K216," ","")&amp;",",","&amp;SUBSTITUTE(INDEX('Gate events'!$O$4:$O$553,MATCH(B216,'Gate events'!$A$4:$A$553,0))," ","")&amp;",")),"","UC-ID differs from decision")),IF(INDEX('Gate events'!$P$4:$P$553,MATCH(B216,'Gate events'!$A$4:$A$553,0))="Shared system baseline",IF(OR(L216&lt;&gt;"Shared system baseline",K216&lt;&gt;""),"Condition scope differs from decision",""),"Parent decision scope missing"))&lt;&gt;"",IF(INDEX('Gate events'!$P$4:$P$553,MATCH(B216,'Gate events'!$A$4:$A$553,0))="UC-ID specific",IF(OR(L216&lt;&gt;"UC-ID specific",K216=""),"Condition UC-ID required",IF(ISNUMBER(SEARCH(","&amp;SUBSTITUTE(K216," ","")&amp;",",","&amp;SUBSTITUTE(INDEX('Gate events'!$O$4:$O$553,MATCH(B216,'Gate events'!$A$4:$A$553,0))," ","")&amp;",")),"","UC-ID differs from decision")),IF(INDEX('Gate events'!$P$4:$P$553,MATCH(B216,'Gate events'!$A$4:$A$553,0))="Shared system baseline",IF(OR(L216&lt;&gt;"Shared system baseline",K216&lt;&gt;""),"Condition scope differs from decision",""),"Parent decision scope missing")),IF(OR(D216="",E216="",F216="",G216=""),"Condition, owner, due date or state missing",IF(NOT(ISNUMBER(F216)),"Due date is not a date",IF(OR(G216="Overdue",G216="Superseded"),"Legacy state — owner review (use the shared five states)",IF(INDEX('Gate events'!$E$4:$E$553,MATCH(B216,'Gate events'!$A$4:$A$553,0))&lt;&gt;"Decision","Parent event is not a Decision",IF(AND(INDEX('Gate events'!$G$4:$G$553,MATCH(B216,'Gate events'!$A$4:$A$553,0))&lt;&gt;"Progress with condition",INDEX('Gate events'!$G$4:$G$553,MATCH(B216,'Gate events'!$A$4:$A$553,0))&lt;&gt;"Re-authorise",INDEX('Gate events'!$G$4:$G$553,MATCH(B216,'Gate events'!$A$4:$A$553,0))&lt;&gt;"Resume"),"Parent outcome is not Progress with condition / Re-authorise / Resume",IF(AND(ISNUMBER(INDEX('Gate events'!$F$4:$F$553,MATCH(B216,'Gate events'!$A$4:$A$553,0))),F216&lt;INDEX('Gate events'!$F$4:$F$553,MATCH(B216,'Gate events'!$A$4:$A$553,0))),"Due date before parent event date",IF(AND(OR(G216="Closed-verified",G216="Waived",G216="Accepted-open"),OR(H216="",I216="")),"Closure evidence missing",IF(AND(H216&lt;&gt;"",NOT(ISNUMBER(H216))),"Closed / waived on is not a date",IF(AND(ISNUMBER(H216),ISNUMBER(INDEX('Gate events'!$F$4:$F$553,MATCH(B216,'Gate events'!$A$4:$A$553,0))),H216&lt;INDEX('Gate events'!$F$4:$F$553,MATCH(B216,'Gate events'!$A$4:$A$553,0))),"Closure date before parent event date",IF(AND(G216="Closed-verified",M216=""),"Verifier / date missing",IF(AND(N216="Yes",G216="Closed-verified",O216=""),"Monitoring condition needs AIG-OPS-02 evidence ref",IF(AND(G216="Open",F216&lt;TODAY()),"OVERDUE (derived) — review",IF(G216="Unknown","State Unknown: owner to confirm","Check against source")))))))))))))))))))</f>
        <v/>
      </c>
      <c r="K216" s="37" t="n"/>
      <c r="L216" s="37" t="n"/>
      <c r="M216" s="38" t="n"/>
      <c r="N216" s="38" t="n"/>
      <c r="O216" s="38" t="n"/>
    </row>
    <row r="217">
      <c r="A217" s="40" t="n"/>
      <c r="B217" s="40" t="n"/>
      <c r="C217" s="40" t="n"/>
      <c r="D217" s="40" t="n"/>
      <c r="E217" s="40" t="n"/>
      <c r="F217" s="41" t="n"/>
      <c r="G217" s="40" t="n"/>
      <c r="H217" s="41" t="n"/>
      <c r="I217" s="40" t="n"/>
      <c r="J217" s="24">
        <f>IF(COUNTA(A217:I217,K217:O217)=0,"",IF(OR(A217="",B217="",C217=""),"ID / parent missing",IF(COUNTIF($A$4:$A$553,A217)&gt;1,"Duplicate condition ID",IF(COUNTIF('Gate events'!$A$4:$A$553,B217)=0,"Event ID not found",IF(INDEX('Gate events'!$B$4:$B$553,MATCH(B217,'Gate events'!$A$4:$A$553,0))&lt;&gt;C217,"AIR-ID differs from event",IF(IF(INDEX('Gate events'!$P$4:$P$553,MATCH(B217,'Gate events'!$A$4:$A$553,0))="UC-ID specific",IF(OR(L217&lt;&gt;"UC-ID specific",K217=""),"Condition UC-ID required",IF(ISNUMBER(SEARCH(","&amp;SUBSTITUTE(K217," ","")&amp;",",","&amp;SUBSTITUTE(INDEX('Gate events'!$O$4:$O$553,MATCH(B217,'Gate events'!$A$4:$A$553,0))," ","")&amp;",")),"","UC-ID differs from decision")),IF(INDEX('Gate events'!$P$4:$P$553,MATCH(B217,'Gate events'!$A$4:$A$553,0))="Shared system baseline",IF(OR(L217&lt;&gt;"Shared system baseline",K217&lt;&gt;""),"Condition scope differs from decision",""),"Parent decision scope missing"))&lt;&gt;"",IF(INDEX('Gate events'!$P$4:$P$553,MATCH(B217,'Gate events'!$A$4:$A$553,0))="UC-ID specific",IF(OR(L217&lt;&gt;"UC-ID specific",K217=""),"Condition UC-ID required",IF(ISNUMBER(SEARCH(","&amp;SUBSTITUTE(K217," ","")&amp;",",","&amp;SUBSTITUTE(INDEX('Gate events'!$O$4:$O$553,MATCH(B217,'Gate events'!$A$4:$A$553,0))," ","")&amp;",")),"","UC-ID differs from decision")),IF(INDEX('Gate events'!$P$4:$P$553,MATCH(B217,'Gate events'!$A$4:$A$553,0))="Shared system baseline",IF(OR(L217&lt;&gt;"Shared system baseline",K217&lt;&gt;""),"Condition scope differs from decision",""),"Parent decision scope missing")),IF(OR(D217="",E217="",F217="",G217=""),"Condition, owner, due date or state missing",IF(NOT(ISNUMBER(F217)),"Due date is not a date",IF(OR(G217="Overdue",G217="Superseded"),"Legacy state — owner review (use the shared five states)",IF(INDEX('Gate events'!$E$4:$E$553,MATCH(B217,'Gate events'!$A$4:$A$553,0))&lt;&gt;"Decision","Parent event is not a Decision",IF(AND(INDEX('Gate events'!$G$4:$G$553,MATCH(B217,'Gate events'!$A$4:$A$553,0))&lt;&gt;"Progress with condition",INDEX('Gate events'!$G$4:$G$553,MATCH(B217,'Gate events'!$A$4:$A$553,0))&lt;&gt;"Re-authorise",INDEX('Gate events'!$G$4:$G$553,MATCH(B217,'Gate events'!$A$4:$A$553,0))&lt;&gt;"Resume"),"Parent outcome is not Progress with condition / Re-authorise / Resume",IF(AND(ISNUMBER(INDEX('Gate events'!$F$4:$F$553,MATCH(B217,'Gate events'!$A$4:$A$553,0))),F217&lt;INDEX('Gate events'!$F$4:$F$553,MATCH(B217,'Gate events'!$A$4:$A$553,0))),"Due date before parent event date",IF(AND(OR(G217="Closed-verified",G217="Waived",G217="Accepted-open"),OR(H217="",I217="")),"Closure evidence missing",IF(AND(H217&lt;&gt;"",NOT(ISNUMBER(H217))),"Closed / waived on is not a date",IF(AND(ISNUMBER(H217),ISNUMBER(INDEX('Gate events'!$F$4:$F$553,MATCH(B217,'Gate events'!$A$4:$A$553,0))),H217&lt;INDEX('Gate events'!$F$4:$F$553,MATCH(B217,'Gate events'!$A$4:$A$553,0))),"Closure date before parent event date",IF(AND(G217="Closed-verified",M217=""),"Verifier / date missing",IF(AND(N217="Yes",G217="Closed-verified",O217=""),"Monitoring condition needs AIG-OPS-02 evidence ref",IF(AND(G217="Open",F217&lt;TODAY()),"OVERDUE (derived) — review",IF(G217="Unknown","State Unknown: owner to confirm","Check against source")))))))))))))))))))</f>
        <v/>
      </c>
      <c r="K217" s="37" t="n"/>
      <c r="L217" s="37" t="n"/>
      <c r="M217" s="40" t="n"/>
      <c r="N217" s="40" t="n"/>
      <c r="O217" s="40" t="n"/>
    </row>
    <row r="218">
      <c r="A218" s="38" t="n"/>
      <c r="B218" s="38" t="n"/>
      <c r="C218" s="38" t="n"/>
      <c r="D218" s="38" t="n"/>
      <c r="E218" s="38" t="n"/>
      <c r="F218" s="39" t="n"/>
      <c r="G218" s="38" t="n"/>
      <c r="H218" s="39" t="n"/>
      <c r="I218" s="38" t="n"/>
      <c r="J218" s="22">
        <f>IF(COUNTA(A218:I218,K218:O218)=0,"",IF(OR(A218="",B218="",C218=""),"ID / parent missing",IF(COUNTIF($A$4:$A$553,A218)&gt;1,"Duplicate condition ID",IF(COUNTIF('Gate events'!$A$4:$A$553,B218)=0,"Event ID not found",IF(INDEX('Gate events'!$B$4:$B$553,MATCH(B218,'Gate events'!$A$4:$A$553,0))&lt;&gt;C218,"AIR-ID differs from event",IF(IF(INDEX('Gate events'!$P$4:$P$553,MATCH(B218,'Gate events'!$A$4:$A$553,0))="UC-ID specific",IF(OR(L218&lt;&gt;"UC-ID specific",K218=""),"Condition UC-ID required",IF(ISNUMBER(SEARCH(","&amp;SUBSTITUTE(K218," ","")&amp;",",","&amp;SUBSTITUTE(INDEX('Gate events'!$O$4:$O$553,MATCH(B218,'Gate events'!$A$4:$A$553,0))," ","")&amp;",")),"","UC-ID differs from decision")),IF(INDEX('Gate events'!$P$4:$P$553,MATCH(B218,'Gate events'!$A$4:$A$553,0))="Shared system baseline",IF(OR(L218&lt;&gt;"Shared system baseline",K218&lt;&gt;""),"Condition scope differs from decision",""),"Parent decision scope missing"))&lt;&gt;"",IF(INDEX('Gate events'!$P$4:$P$553,MATCH(B218,'Gate events'!$A$4:$A$553,0))="UC-ID specific",IF(OR(L218&lt;&gt;"UC-ID specific",K218=""),"Condition UC-ID required",IF(ISNUMBER(SEARCH(","&amp;SUBSTITUTE(K218," ","")&amp;",",","&amp;SUBSTITUTE(INDEX('Gate events'!$O$4:$O$553,MATCH(B218,'Gate events'!$A$4:$A$553,0))," ","")&amp;",")),"","UC-ID differs from decision")),IF(INDEX('Gate events'!$P$4:$P$553,MATCH(B218,'Gate events'!$A$4:$A$553,0))="Shared system baseline",IF(OR(L218&lt;&gt;"Shared system baseline",K218&lt;&gt;""),"Condition scope differs from decision",""),"Parent decision scope missing")),IF(OR(D218="",E218="",F218="",G218=""),"Condition, owner, due date or state missing",IF(NOT(ISNUMBER(F218)),"Due date is not a date",IF(OR(G218="Overdue",G218="Superseded"),"Legacy state — owner review (use the shared five states)",IF(INDEX('Gate events'!$E$4:$E$553,MATCH(B218,'Gate events'!$A$4:$A$553,0))&lt;&gt;"Decision","Parent event is not a Decision",IF(AND(INDEX('Gate events'!$G$4:$G$553,MATCH(B218,'Gate events'!$A$4:$A$553,0))&lt;&gt;"Progress with condition",INDEX('Gate events'!$G$4:$G$553,MATCH(B218,'Gate events'!$A$4:$A$553,0))&lt;&gt;"Re-authorise",INDEX('Gate events'!$G$4:$G$553,MATCH(B218,'Gate events'!$A$4:$A$553,0))&lt;&gt;"Resume"),"Parent outcome is not Progress with condition / Re-authorise / Resume",IF(AND(ISNUMBER(INDEX('Gate events'!$F$4:$F$553,MATCH(B218,'Gate events'!$A$4:$A$553,0))),F218&lt;INDEX('Gate events'!$F$4:$F$553,MATCH(B218,'Gate events'!$A$4:$A$553,0))),"Due date before parent event date",IF(AND(OR(G218="Closed-verified",G218="Waived",G218="Accepted-open"),OR(H218="",I218="")),"Closure evidence missing",IF(AND(H218&lt;&gt;"",NOT(ISNUMBER(H218))),"Closed / waived on is not a date",IF(AND(ISNUMBER(H218),ISNUMBER(INDEX('Gate events'!$F$4:$F$553,MATCH(B218,'Gate events'!$A$4:$A$553,0))),H218&lt;INDEX('Gate events'!$F$4:$F$553,MATCH(B218,'Gate events'!$A$4:$A$553,0))),"Closure date before parent event date",IF(AND(G218="Closed-verified",M218=""),"Verifier / date missing",IF(AND(N218="Yes",G218="Closed-verified",O218=""),"Monitoring condition needs AIG-OPS-02 evidence ref",IF(AND(G218="Open",F218&lt;TODAY()),"OVERDUE (derived) — review",IF(G218="Unknown","State Unknown: owner to confirm","Check against source")))))))))))))))))))</f>
        <v/>
      </c>
      <c r="K218" s="37" t="n"/>
      <c r="L218" s="37" t="n"/>
      <c r="M218" s="38" t="n"/>
      <c r="N218" s="38" t="n"/>
      <c r="O218" s="38" t="n"/>
    </row>
    <row r="219">
      <c r="A219" s="40" t="n"/>
      <c r="B219" s="40" t="n"/>
      <c r="C219" s="40" t="n"/>
      <c r="D219" s="40" t="n"/>
      <c r="E219" s="40" t="n"/>
      <c r="F219" s="41" t="n"/>
      <c r="G219" s="40" t="n"/>
      <c r="H219" s="41" t="n"/>
      <c r="I219" s="40" t="n"/>
      <c r="J219" s="24">
        <f>IF(COUNTA(A219:I219,K219:O219)=0,"",IF(OR(A219="",B219="",C219=""),"ID / parent missing",IF(COUNTIF($A$4:$A$553,A219)&gt;1,"Duplicate condition ID",IF(COUNTIF('Gate events'!$A$4:$A$553,B219)=0,"Event ID not found",IF(INDEX('Gate events'!$B$4:$B$553,MATCH(B219,'Gate events'!$A$4:$A$553,0))&lt;&gt;C219,"AIR-ID differs from event",IF(IF(INDEX('Gate events'!$P$4:$P$553,MATCH(B219,'Gate events'!$A$4:$A$553,0))="UC-ID specific",IF(OR(L219&lt;&gt;"UC-ID specific",K219=""),"Condition UC-ID required",IF(ISNUMBER(SEARCH(","&amp;SUBSTITUTE(K219," ","")&amp;",",","&amp;SUBSTITUTE(INDEX('Gate events'!$O$4:$O$553,MATCH(B219,'Gate events'!$A$4:$A$553,0))," ","")&amp;",")),"","UC-ID differs from decision")),IF(INDEX('Gate events'!$P$4:$P$553,MATCH(B219,'Gate events'!$A$4:$A$553,0))="Shared system baseline",IF(OR(L219&lt;&gt;"Shared system baseline",K219&lt;&gt;""),"Condition scope differs from decision",""),"Parent decision scope missing"))&lt;&gt;"",IF(INDEX('Gate events'!$P$4:$P$553,MATCH(B219,'Gate events'!$A$4:$A$553,0))="UC-ID specific",IF(OR(L219&lt;&gt;"UC-ID specific",K219=""),"Condition UC-ID required",IF(ISNUMBER(SEARCH(","&amp;SUBSTITUTE(K219," ","")&amp;",",","&amp;SUBSTITUTE(INDEX('Gate events'!$O$4:$O$553,MATCH(B219,'Gate events'!$A$4:$A$553,0))," ","")&amp;",")),"","UC-ID differs from decision")),IF(INDEX('Gate events'!$P$4:$P$553,MATCH(B219,'Gate events'!$A$4:$A$553,0))="Shared system baseline",IF(OR(L219&lt;&gt;"Shared system baseline",K219&lt;&gt;""),"Condition scope differs from decision",""),"Parent decision scope missing")),IF(OR(D219="",E219="",F219="",G219=""),"Condition, owner, due date or state missing",IF(NOT(ISNUMBER(F219)),"Due date is not a date",IF(OR(G219="Overdue",G219="Superseded"),"Legacy state — owner review (use the shared five states)",IF(INDEX('Gate events'!$E$4:$E$553,MATCH(B219,'Gate events'!$A$4:$A$553,0))&lt;&gt;"Decision","Parent event is not a Decision",IF(AND(INDEX('Gate events'!$G$4:$G$553,MATCH(B219,'Gate events'!$A$4:$A$553,0))&lt;&gt;"Progress with condition",INDEX('Gate events'!$G$4:$G$553,MATCH(B219,'Gate events'!$A$4:$A$553,0))&lt;&gt;"Re-authorise",INDEX('Gate events'!$G$4:$G$553,MATCH(B219,'Gate events'!$A$4:$A$553,0))&lt;&gt;"Resume"),"Parent outcome is not Progress with condition / Re-authorise / Resume",IF(AND(ISNUMBER(INDEX('Gate events'!$F$4:$F$553,MATCH(B219,'Gate events'!$A$4:$A$553,0))),F219&lt;INDEX('Gate events'!$F$4:$F$553,MATCH(B219,'Gate events'!$A$4:$A$553,0))),"Due date before parent event date",IF(AND(OR(G219="Closed-verified",G219="Waived",G219="Accepted-open"),OR(H219="",I219="")),"Closure evidence missing",IF(AND(H219&lt;&gt;"",NOT(ISNUMBER(H219))),"Closed / waived on is not a date",IF(AND(ISNUMBER(H219),ISNUMBER(INDEX('Gate events'!$F$4:$F$553,MATCH(B219,'Gate events'!$A$4:$A$553,0))),H219&lt;INDEX('Gate events'!$F$4:$F$553,MATCH(B219,'Gate events'!$A$4:$A$553,0))),"Closure date before parent event date",IF(AND(G219="Closed-verified",M219=""),"Verifier / date missing",IF(AND(N219="Yes",G219="Closed-verified",O219=""),"Monitoring condition needs AIG-OPS-02 evidence ref",IF(AND(G219="Open",F219&lt;TODAY()),"OVERDUE (derived) — review",IF(G219="Unknown","State Unknown: owner to confirm","Check against source")))))))))))))))))))</f>
        <v/>
      </c>
      <c r="K219" s="37" t="n"/>
      <c r="L219" s="37" t="n"/>
      <c r="M219" s="40" t="n"/>
      <c r="N219" s="40" t="n"/>
      <c r="O219" s="40" t="n"/>
    </row>
    <row r="220">
      <c r="A220" s="38" t="n"/>
      <c r="B220" s="38" t="n"/>
      <c r="C220" s="38" t="n"/>
      <c r="D220" s="38" t="n"/>
      <c r="E220" s="38" t="n"/>
      <c r="F220" s="39" t="n"/>
      <c r="G220" s="38" t="n"/>
      <c r="H220" s="39" t="n"/>
      <c r="I220" s="38" t="n"/>
      <c r="J220" s="22">
        <f>IF(COUNTA(A220:I220,K220:O220)=0,"",IF(OR(A220="",B220="",C220=""),"ID / parent missing",IF(COUNTIF($A$4:$A$553,A220)&gt;1,"Duplicate condition ID",IF(COUNTIF('Gate events'!$A$4:$A$553,B220)=0,"Event ID not found",IF(INDEX('Gate events'!$B$4:$B$553,MATCH(B220,'Gate events'!$A$4:$A$553,0))&lt;&gt;C220,"AIR-ID differs from event",IF(IF(INDEX('Gate events'!$P$4:$P$553,MATCH(B220,'Gate events'!$A$4:$A$553,0))="UC-ID specific",IF(OR(L220&lt;&gt;"UC-ID specific",K220=""),"Condition UC-ID required",IF(ISNUMBER(SEARCH(","&amp;SUBSTITUTE(K220," ","")&amp;",",","&amp;SUBSTITUTE(INDEX('Gate events'!$O$4:$O$553,MATCH(B220,'Gate events'!$A$4:$A$553,0))," ","")&amp;",")),"","UC-ID differs from decision")),IF(INDEX('Gate events'!$P$4:$P$553,MATCH(B220,'Gate events'!$A$4:$A$553,0))="Shared system baseline",IF(OR(L220&lt;&gt;"Shared system baseline",K220&lt;&gt;""),"Condition scope differs from decision",""),"Parent decision scope missing"))&lt;&gt;"",IF(INDEX('Gate events'!$P$4:$P$553,MATCH(B220,'Gate events'!$A$4:$A$553,0))="UC-ID specific",IF(OR(L220&lt;&gt;"UC-ID specific",K220=""),"Condition UC-ID required",IF(ISNUMBER(SEARCH(","&amp;SUBSTITUTE(K220," ","")&amp;",",","&amp;SUBSTITUTE(INDEX('Gate events'!$O$4:$O$553,MATCH(B220,'Gate events'!$A$4:$A$553,0))," ","")&amp;",")),"","UC-ID differs from decision")),IF(INDEX('Gate events'!$P$4:$P$553,MATCH(B220,'Gate events'!$A$4:$A$553,0))="Shared system baseline",IF(OR(L220&lt;&gt;"Shared system baseline",K220&lt;&gt;""),"Condition scope differs from decision",""),"Parent decision scope missing")),IF(OR(D220="",E220="",F220="",G220=""),"Condition, owner, due date or state missing",IF(NOT(ISNUMBER(F220)),"Due date is not a date",IF(OR(G220="Overdue",G220="Superseded"),"Legacy state — owner review (use the shared five states)",IF(INDEX('Gate events'!$E$4:$E$553,MATCH(B220,'Gate events'!$A$4:$A$553,0))&lt;&gt;"Decision","Parent event is not a Decision",IF(AND(INDEX('Gate events'!$G$4:$G$553,MATCH(B220,'Gate events'!$A$4:$A$553,0))&lt;&gt;"Progress with condition",INDEX('Gate events'!$G$4:$G$553,MATCH(B220,'Gate events'!$A$4:$A$553,0))&lt;&gt;"Re-authorise",INDEX('Gate events'!$G$4:$G$553,MATCH(B220,'Gate events'!$A$4:$A$553,0))&lt;&gt;"Resume"),"Parent outcome is not Progress with condition / Re-authorise / Resume",IF(AND(ISNUMBER(INDEX('Gate events'!$F$4:$F$553,MATCH(B220,'Gate events'!$A$4:$A$553,0))),F220&lt;INDEX('Gate events'!$F$4:$F$553,MATCH(B220,'Gate events'!$A$4:$A$553,0))),"Due date before parent event date",IF(AND(OR(G220="Closed-verified",G220="Waived",G220="Accepted-open"),OR(H220="",I220="")),"Closure evidence missing",IF(AND(H220&lt;&gt;"",NOT(ISNUMBER(H220))),"Closed / waived on is not a date",IF(AND(ISNUMBER(H220),ISNUMBER(INDEX('Gate events'!$F$4:$F$553,MATCH(B220,'Gate events'!$A$4:$A$553,0))),H220&lt;INDEX('Gate events'!$F$4:$F$553,MATCH(B220,'Gate events'!$A$4:$A$553,0))),"Closure date before parent event date",IF(AND(G220="Closed-verified",M220=""),"Verifier / date missing",IF(AND(N220="Yes",G220="Closed-verified",O220=""),"Monitoring condition needs AIG-OPS-02 evidence ref",IF(AND(G220="Open",F220&lt;TODAY()),"OVERDUE (derived) — review",IF(G220="Unknown","State Unknown: owner to confirm","Check against source")))))))))))))))))))</f>
        <v/>
      </c>
      <c r="K220" s="37" t="n"/>
      <c r="L220" s="37" t="n"/>
      <c r="M220" s="38" t="n"/>
      <c r="N220" s="38" t="n"/>
      <c r="O220" s="38" t="n"/>
    </row>
    <row r="221">
      <c r="A221" s="40" t="n"/>
      <c r="B221" s="40" t="n"/>
      <c r="C221" s="40" t="n"/>
      <c r="D221" s="40" t="n"/>
      <c r="E221" s="40" t="n"/>
      <c r="F221" s="41" t="n"/>
      <c r="G221" s="40" t="n"/>
      <c r="H221" s="41" t="n"/>
      <c r="I221" s="40" t="n"/>
      <c r="J221" s="24">
        <f>IF(COUNTA(A221:I221,K221:O221)=0,"",IF(OR(A221="",B221="",C221=""),"ID / parent missing",IF(COUNTIF($A$4:$A$553,A221)&gt;1,"Duplicate condition ID",IF(COUNTIF('Gate events'!$A$4:$A$553,B221)=0,"Event ID not found",IF(INDEX('Gate events'!$B$4:$B$553,MATCH(B221,'Gate events'!$A$4:$A$553,0))&lt;&gt;C221,"AIR-ID differs from event",IF(IF(INDEX('Gate events'!$P$4:$P$553,MATCH(B221,'Gate events'!$A$4:$A$553,0))="UC-ID specific",IF(OR(L221&lt;&gt;"UC-ID specific",K221=""),"Condition UC-ID required",IF(ISNUMBER(SEARCH(","&amp;SUBSTITUTE(K221," ","")&amp;",",","&amp;SUBSTITUTE(INDEX('Gate events'!$O$4:$O$553,MATCH(B221,'Gate events'!$A$4:$A$553,0))," ","")&amp;",")),"","UC-ID differs from decision")),IF(INDEX('Gate events'!$P$4:$P$553,MATCH(B221,'Gate events'!$A$4:$A$553,0))="Shared system baseline",IF(OR(L221&lt;&gt;"Shared system baseline",K221&lt;&gt;""),"Condition scope differs from decision",""),"Parent decision scope missing"))&lt;&gt;"",IF(INDEX('Gate events'!$P$4:$P$553,MATCH(B221,'Gate events'!$A$4:$A$553,0))="UC-ID specific",IF(OR(L221&lt;&gt;"UC-ID specific",K221=""),"Condition UC-ID required",IF(ISNUMBER(SEARCH(","&amp;SUBSTITUTE(K221," ","")&amp;",",","&amp;SUBSTITUTE(INDEX('Gate events'!$O$4:$O$553,MATCH(B221,'Gate events'!$A$4:$A$553,0))," ","")&amp;",")),"","UC-ID differs from decision")),IF(INDEX('Gate events'!$P$4:$P$553,MATCH(B221,'Gate events'!$A$4:$A$553,0))="Shared system baseline",IF(OR(L221&lt;&gt;"Shared system baseline",K221&lt;&gt;""),"Condition scope differs from decision",""),"Parent decision scope missing")),IF(OR(D221="",E221="",F221="",G221=""),"Condition, owner, due date or state missing",IF(NOT(ISNUMBER(F221)),"Due date is not a date",IF(OR(G221="Overdue",G221="Superseded"),"Legacy state — owner review (use the shared five states)",IF(INDEX('Gate events'!$E$4:$E$553,MATCH(B221,'Gate events'!$A$4:$A$553,0))&lt;&gt;"Decision","Parent event is not a Decision",IF(AND(INDEX('Gate events'!$G$4:$G$553,MATCH(B221,'Gate events'!$A$4:$A$553,0))&lt;&gt;"Progress with condition",INDEX('Gate events'!$G$4:$G$553,MATCH(B221,'Gate events'!$A$4:$A$553,0))&lt;&gt;"Re-authorise",INDEX('Gate events'!$G$4:$G$553,MATCH(B221,'Gate events'!$A$4:$A$553,0))&lt;&gt;"Resume"),"Parent outcome is not Progress with condition / Re-authorise / Resume",IF(AND(ISNUMBER(INDEX('Gate events'!$F$4:$F$553,MATCH(B221,'Gate events'!$A$4:$A$553,0))),F221&lt;INDEX('Gate events'!$F$4:$F$553,MATCH(B221,'Gate events'!$A$4:$A$553,0))),"Due date before parent event date",IF(AND(OR(G221="Closed-verified",G221="Waived",G221="Accepted-open"),OR(H221="",I221="")),"Closure evidence missing",IF(AND(H221&lt;&gt;"",NOT(ISNUMBER(H221))),"Closed / waived on is not a date",IF(AND(ISNUMBER(H221),ISNUMBER(INDEX('Gate events'!$F$4:$F$553,MATCH(B221,'Gate events'!$A$4:$A$553,0))),H221&lt;INDEX('Gate events'!$F$4:$F$553,MATCH(B221,'Gate events'!$A$4:$A$553,0))),"Closure date before parent event date",IF(AND(G221="Closed-verified",M221=""),"Verifier / date missing",IF(AND(N221="Yes",G221="Closed-verified",O221=""),"Monitoring condition needs AIG-OPS-02 evidence ref",IF(AND(G221="Open",F221&lt;TODAY()),"OVERDUE (derived) — review",IF(G221="Unknown","State Unknown: owner to confirm","Check against source")))))))))))))))))))</f>
        <v/>
      </c>
      <c r="K221" s="37" t="n"/>
      <c r="L221" s="37" t="n"/>
      <c r="M221" s="40" t="n"/>
      <c r="N221" s="40" t="n"/>
      <c r="O221" s="40" t="n"/>
    </row>
    <row r="222">
      <c r="A222" s="38" t="n"/>
      <c r="B222" s="38" t="n"/>
      <c r="C222" s="38" t="n"/>
      <c r="D222" s="38" t="n"/>
      <c r="E222" s="38" t="n"/>
      <c r="F222" s="39" t="n"/>
      <c r="G222" s="38" t="n"/>
      <c r="H222" s="39" t="n"/>
      <c r="I222" s="38" t="n"/>
      <c r="J222" s="22">
        <f>IF(COUNTA(A222:I222,K222:O222)=0,"",IF(OR(A222="",B222="",C222=""),"ID / parent missing",IF(COUNTIF($A$4:$A$553,A222)&gt;1,"Duplicate condition ID",IF(COUNTIF('Gate events'!$A$4:$A$553,B222)=0,"Event ID not found",IF(INDEX('Gate events'!$B$4:$B$553,MATCH(B222,'Gate events'!$A$4:$A$553,0))&lt;&gt;C222,"AIR-ID differs from event",IF(IF(INDEX('Gate events'!$P$4:$P$553,MATCH(B222,'Gate events'!$A$4:$A$553,0))="UC-ID specific",IF(OR(L222&lt;&gt;"UC-ID specific",K222=""),"Condition UC-ID required",IF(ISNUMBER(SEARCH(","&amp;SUBSTITUTE(K222," ","")&amp;",",","&amp;SUBSTITUTE(INDEX('Gate events'!$O$4:$O$553,MATCH(B222,'Gate events'!$A$4:$A$553,0))," ","")&amp;",")),"","UC-ID differs from decision")),IF(INDEX('Gate events'!$P$4:$P$553,MATCH(B222,'Gate events'!$A$4:$A$553,0))="Shared system baseline",IF(OR(L222&lt;&gt;"Shared system baseline",K222&lt;&gt;""),"Condition scope differs from decision",""),"Parent decision scope missing"))&lt;&gt;"",IF(INDEX('Gate events'!$P$4:$P$553,MATCH(B222,'Gate events'!$A$4:$A$553,0))="UC-ID specific",IF(OR(L222&lt;&gt;"UC-ID specific",K222=""),"Condition UC-ID required",IF(ISNUMBER(SEARCH(","&amp;SUBSTITUTE(K222," ","")&amp;",",","&amp;SUBSTITUTE(INDEX('Gate events'!$O$4:$O$553,MATCH(B222,'Gate events'!$A$4:$A$553,0))," ","")&amp;",")),"","UC-ID differs from decision")),IF(INDEX('Gate events'!$P$4:$P$553,MATCH(B222,'Gate events'!$A$4:$A$553,0))="Shared system baseline",IF(OR(L222&lt;&gt;"Shared system baseline",K222&lt;&gt;""),"Condition scope differs from decision",""),"Parent decision scope missing")),IF(OR(D222="",E222="",F222="",G222=""),"Condition, owner, due date or state missing",IF(NOT(ISNUMBER(F222)),"Due date is not a date",IF(OR(G222="Overdue",G222="Superseded"),"Legacy state — owner review (use the shared five states)",IF(INDEX('Gate events'!$E$4:$E$553,MATCH(B222,'Gate events'!$A$4:$A$553,0))&lt;&gt;"Decision","Parent event is not a Decision",IF(AND(INDEX('Gate events'!$G$4:$G$553,MATCH(B222,'Gate events'!$A$4:$A$553,0))&lt;&gt;"Progress with condition",INDEX('Gate events'!$G$4:$G$553,MATCH(B222,'Gate events'!$A$4:$A$553,0))&lt;&gt;"Re-authorise",INDEX('Gate events'!$G$4:$G$553,MATCH(B222,'Gate events'!$A$4:$A$553,0))&lt;&gt;"Resume"),"Parent outcome is not Progress with condition / Re-authorise / Resume",IF(AND(ISNUMBER(INDEX('Gate events'!$F$4:$F$553,MATCH(B222,'Gate events'!$A$4:$A$553,0))),F222&lt;INDEX('Gate events'!$F$4:$F$553,MATCH(B222,'Gate events'!$A$4:$A$553,0))),"Due date before parent event date",IF(AND(OR(G222="Closed-verified",G222="Waived",G222="Accepted-open"),OR(H222="",I222="")),"Closure evidence missing",IF(AND(H222&lt;&gt;"",NOT(ISNUMBER(H222))),"Closed / waived on is not a date",IF(AND(ISNUMBER(H222),ISNUMBER(INDEX('Gate events'!$F$4:$F$553,MATCH(B222,'Gate events'!$A$4:$A$553,0))),H222&lt;INDEX('Gate events'!$F$4:$F$553,MATCH(B222,'Gate events'!$A$4:$A$553,0))),"Closure date before parent event date",IF(AND(G222="Closed-verified",M222=""),"Verifier / date missing",IF(AND(N222="Yes",G222="Closed-verified",O222=""),"Monitoring condition needs AIG-OPS-02 evidence ref",IF(AND(G222="Open",F222&lt;TODAY()),"OVERDUE (derived) — review",IF(G222="Unknown","State Unknown: owner to confirm","Check against source")))))))))))))))))))</f>
        <v/>
      </c>
      <c r="K222" s="37" t="n"/>
      <c r="L222" s="37" t="n"/>
      <c r="M222" s="38" t="n"/>
      <c r="N222" s="38" t="n"/>
      <c r="O222" s="38" t="n"/>
    </row>
    <row r="223">
      <c r="A223" s="40" t="n"/>
      <c r="B223" s="40" t="n"/>
      <c r="C223" s="40" t="n"/>
      <c r="D223" s="40" t="n"/>
      <c r="E223" s="40" t="n"/>
      <c r="F223" s="41" t="n"/>
      <c r="G223" s="40" t="n"/>
      <c r="H223" s="41" t="n"/>
      <c r="I223" s="40" t="n"/>
      <c r="J223" s="24">
        <f>IF(COUNTA(A223:I223,K223:O223)=0,"",IF(OR(A223="",B223="",C223=""),"ID / parent missing",IF(COUNTIF($A$4:$A$553,A223)&gt;1,"Duplicate condition ID",IF(COUNTIF('Gate events'!$A$4:$A$553,B223)=0,"Event ID not found",IF(INDEX('Gate events'!$B$4:$B$553,MATCH(B223,'Gate events'!$A$4:$A$553,0))&lt;&gt;C223,"AIR-ID differs from event",IF(IF(INDEX('Gate events'!$P$4:$P$553,MATCH(B223,'Gate events'!$A$4:$A$553,0))="UC-ID specific",IF(OR(L223&lt;&gt;"UC-ID specific",K223=""),"Condition UC-ID required",IF(ISNUMBER(SEARCH(","&amp;SUBSTITUTE(K223," ","")&amp;",",","&amp;SUBSTITUTE(INDEX('Gate events'!$O$4:$O$553,MATCH(B223,'Gate events'!$A$4:$A$553,0))," ","")&amp;",")),"","UC-ID differs from decision")),IF(INDEX('Gate events'!$P$4:$P$553,MATCH(B223,'Gate events'!$A$4:$A$553,0))="Shared system baseline",IF(OR(L223&lt;&gt;"Shared system baseline",K223&lt;&gt;""),"Condition scope differs from decision",""),"Parent decision scope missing"))&lt;&gt;"",IF(INDEX('Gate events'!$P$4:$P$553,MATCH(B223,'Gate events'!$A$4:$A$553,0))="UC-ID specific",IF(OR(L223&lt;&gt;"UC-ID specific",K223=""),"Condition UC-ID required",IF(ISNUMBER(SEARCH(","&amp;SUBSTITUTE(K223," ","")&amp;",",","&amp;SUBSTITUTE(INDEX('Gate events'!$O$4:$O$553,MATCH(B223,'Gate events'!$A$4:$A$553,0))," ","")&amp;",")),"","UC-ID differs from decision")),IF(INDEX('Gate events'!$P$4:$P$553,MATCH(B223,'Gate events'!$A$4:$A$553,0))="Shared system baseline",IF(OR(L223&lt;&gt;"Shared system baseline",K223&lt;&gt;""),"Condition scope differs from decision",""),"Parent decision scope missing")),IF(OR(D223="",E223="",F223="",G223=""),"Condition, owner, due date or state missing",IF(NOT(ISNUMBER(F223)),"Due date is not a date",IF(OR(G223="Overdue",G223="Superseded"),"Legacy state — owner review (use the shared five states)",IF(INDEX('Gate events'!$E$4:$E$553,MATCH(B223,'Gate events'!$A$4:$A$553,0))&lt;&gt;"Decision","Parent event is not a Decision",IF(AND(INDEX('Gate events'!$G$4:$G$553,MATCH(B223,'Gate events'!$A$4:$A$553,0))&lt;&gt;"Progress with condition",INDEX('Gate events'!$G$4:$G$553,MATCH(B223,'Gate events'!$A$4:$A$553,0))&lt;&gt;"Re-authorise",INDEX('Gate events'!$G$4:$G$553,MATCH(B223,'Gate events'!$A$4:$A$553,0))&lt;&gt;"Resume"),"Parent outcome is not Progress with condition / Re-authorise / Resume",IF(AND(ISNUMBER(INDEX('Gate events'!$F$4:$F$553,MATCH(B223,'Gate events'!$A$4:$A$553,0))),F223&lt;INDEX('Gate events'!$F$4:$F$553,MATCH(B223,'Gate events'!$A$4:$A$553,0))),"Due date before parent event date",IF(AND(OR(G223="Closed-verified",G223="Waived",G223="Accepted-open"),OR(H223="",I223="")),"Closure evidence missing",IF(AND(H223&lt;&gt;"",NOT(ISNUMBER(H223))),"Closed / waived on is not a date",IF(AND(ISNUMBER(H223),ISNUMBER(INDEX('Gate events'!$F$4:$F$553,MATCH(B223,'Gate events'!$A$4:$A$553,0))),H223&lt;INDEX('Gate events'!$F$4:$F$553,MATCH(B223,'Gate events'!$A$4:$A$553,0))),"Closure date before parent event date",IF(AND(G223="Closed-verified",M223=""),"Verifier / date missing",IF(AND(N223="Yes",G223="Closed-verified",O223=""),"Monitoring condition needs AIG-OPS-02 evidence ref",IF(AND(G223="Open",F223&lt;TODAY()),"OVERDUE (derived) — review",IF(G223="Unknown","State Unknown: owner to confirm","Check against source")))))))))))))))))))</f>
        <v/>
      </c>
      <c r="K223" s="37" t="n"/>
      <c r="L223" s="37" t="n"/>
      <c r="M223" s="40" t="n"/>
      <c r="N223" s="40" t="n"/>
      <c r="O223" s="40" t="n"/>
    </row>
    <row r="224">
      <c r="A224" s="38" t="n"/>
      <c r="B224" s="38" t="n"/>
      <c r="C224" s="38" t="n"/>
      <c r="D224" s="38" t="n"/>
      <c r="E224" s="38" t="n"/>
      <c r="F224" s="39" t="n"/>
      <c r="G224" s="38" t="n"/>
      <c r="H224" s="39" t="n"/>
      <c r="I224" s="38" t="n"/>
      <c r="J224" s="22">
        <f>IF(COUNTA(A224:I224,K224:O224)=0,"",IF(OR(A224="",B224="",C224=""),"ID / parent missing",IF(COUNTIF($A$4:$A$553,A224)&gt;1,"Duplicate condition ID",IF(COUNTIF('Gate events'!$A$4:$A$553,B224)=0,"Event ID not found",IF(INDEX('Gate events'!$B$4:$B$553,MATCH(B224,'Gate events'!$A$4:$A$553,0))&lt;&gt;C224,"AIR-ID differs from event",IF(IF(INDEX('Gate events'!$P$4:$P$553,MATCH(B224,'Gate events'!$A$4:$A$553,0))="UC-ID specific",IF(OR(L224&lt;&gt;"UC-ID specific",K224=""),"Condition UC-ID required",IF(ISNUMBER(SEARCH(","&amp;SUBSTITUTE(K224," ","")&amp;",",","&amp;SUBSTITUTE(INDEX('Gate events'!$O$4:$O$553,MATCH(B224,'Gate events'!$A$4:$A$553,0))," ","")&amp;",")),"","UC-ID differs from decision")),IF(INDEX('Gate events'!$P$4:$P$553,MATCH(B224,'Gate events'!$A$4:$A$553,0))="Shared system baseline",IF(OR(L224&lt;&gt;"Shared system baseline",K224&lt;&gt;""),"Condition scope differs from decision",""),"Parent decision scope missing"))&lt;&gt;"",IF(INDEX('Gate events'!$P$4:$P$553,MATCH(B224,'Gate events'!$A$4:$A$553,0))="UC-ID specific",IF(OR(L224&lt;&gt;"UC-ID specific",K224=""),"Condition UC-ID required",IF(ISNUMBER(SEARCH(","&amp;SUBSTITUTE(K224," ","")&amp;",",","&amp;SUBSTITUTE(INDEX('Gate events'!$O$4:$O$553,MATCH(B224,'Gate events'!$A$4:$A$553,0))," ","")&amp;",")),"","UC-ID differs from decision")),IF(INDEX('Gate events'!$P$4:$P$553,MATCH(B224,'Gate events'!$A$4:$A$553,0))="Shared system baseline",IF(OR(L224&lt;&gt;"Shared system baseline",K224&lt;&gt;""),"Condition scope differs from decision",""),"Parent decision scope missing")),IF(OR(D224="",E224="",F224="",G224=""),"Condition, owner, due date or state missing",IF(NOT(ISNUMBER(F224)),"Due date is not a date",IF(OR(G224="Overdue",G224="Superseded"),"Legacy state — owner review (use the shared five states)",IF(INDEX('Gate events'!$E$4:$E$553,MATCH(B224,'Gate events'!$A$4:$A$553,0))&lt;&gt;"Decision","Parent event is not a Decision",IF(AND(INDEX('Gate events'!$G$4:$G$553,MATCH(B224,'Gate events'!$A$4:$A$553,0))&lt;&gt;"Progress with condition",INDEX('Gate events'!$G$4:$G$553,MATCH(B224,'Gate events'!$A$4:$A$553,0))&lt;&gt;"Re-authorise",INDEX('Gate events'!$G$4:$G$553,MATCH(B224,'Gate events'!$A$4:$A$553,0))&lt;&gt;"Resume"),"Parent outcome is not Progress with condition / Re-authorise / Resume",IF(AND(ISNUMBER(INDEX('Gate events'!$F$4:$F$553,MATCH(B224,'Gate events'!$A$4:$A$553,0))),F224&lt;INDEX('Gate events'!$F$4:$F$553,MATCH(B224,'Gate events'!$A$4:$A$553,0))),"Due date before parent event date",IF(AND(OR(G224="Closed-verified",G224="Waived",G224="Accepted-open"),OR(H224="",I224="")),"Closure evidence missing",IF(AND(H224&lt;&gt;"",NOT(ISNUMBER(H224))),"Closed / waived on is not a date",IF(AND(ISNUMBER(H224),ISNUMBER(INDEX('Gate events'!$F$4:$F$553,MATCH(B224,'Gate events'!$A$4:$A$553,0))),H224&lt;INDEX('Gate events'!$F$4:$F$553,MATCH(B224,'Gate events'!$A$4:$A$553,0))),"Closure date before parent event date",IF(AND(G224="Closed-verified",M224=""),"Verifier / date missing",IF(AND(N224="Yes",G224="Closed-verified",O224=""),"Monitoring condition needs AIG-OPS-02 evidence ref",IF(AND(G224="Open",F224&lt;TODAY()),"OVERDUE (derived) — review",IF(G224="Unknown","State Unknown: owner to confirm","Check against source")))))))))))))))))))</f>
        <v/>
      </c>
      <c r="K224" s="37" t="n"/>
      <c r="L224" s="37" t="n"/>
      <c r="M224" s="38" t="n"/>
      <c r="N224" s="38" t="n"/>
      <c r="O224" s="38" t="n"/>
    </row>
    <row r="225">
      <c r="A225" s="40" t="n"/>
      <c r="B225" s="40" t="n"/>
      <c r="C225" s="40" t="n"/>
      <c r="D225" s="40" t="n"/>
      <c r="E225" s="40" t="n"/>
      <c r="F225" s="41" t="n"/>
      <c r="G225" s="40" t="n"/>
      <c r="H225" s="41" t="n"/>
      <c r="I225" s="40" t="n"/>
      <c r="J225" s="24">
        <f>IF(COUNTA(A225:I225,K225:O225)=0,"",IF(OR(A225="",B225="",C225=""),"ID / parent missing",IF(COUNTIF($A$4:$A$553,A225)&gt;1,"Duplicate condition ID",IF(COUNTIF('Gate events'!$A$4:$A$553,B225)=0,"Event ID not found",IF(INDEX('Gate events'!$B$4:$B$553,MATCH(B225,'Gate events'!$A$4:$A$553,0))&lt;&gt;C225,"AIR-ID differs from event",IF(IF(INDEX('Gate events'!$P$4:$P$553,MATCH(B225,'Gate events'!$A$4:$A$553,0))="UC-ID specific",IF(OR(L225&lt;&gt;"UC-ID specific",K225=""),"Condition UC-ID required",IF(ISNUMBER(SEARCH(","&amp;SUBSTITUTE(K225," ","")&amp;",",","&amp;SUBSTITUTE(INDEX('Gate events'!$O$4:$O$553,MATCH(B225,'Gate events'!$A$4:$A$553,0))," ","")&amp;",")),"","UC-ID differs from decision")),IF(INDEX('Gate events'!$P$4:$P$553,MATCH(B225,'Gate events'!$A$4:$A$553,0))="Shared system baseline",IF(OR(L225&lt;&gt;"Shared system baseline",K225&lt;&gt;""),"Condition scope differs from decision",""),"Parent decision scope missing"))&lt;&gt;"",IF(INDEX('Gate events'!$P$4:$P$553,MATCH(B225,'Gate events'!$A$4:$A$553,0))="UC-ID specific",IF(OR(L225&lt;&gt;"UC-ID specific",K225=""),"Condition UC-ID required",IF(ISNUMBER(SEARCH(","&amp;SUBSTITUTE(K225," ","")&amp;",",","&amp;SUBSTITUTE(INDEX('Gate events'!$O$4:$O$553,MATCH(B225,'Gate events'!$A$4:$A$553,0))," ","")&amp;",")),"","UC-ID differs from decision")),IF(INDEX('Gate events'!$P$4:$P$553,MATCH(B225,'Gate events'!$A$4:$A$553,0))="Shared system baseline",IF(OR(L225&lt;&gt;"Shared system baseline",K225&lt;&gt;""),"Condition scope differs from decision",""),"Parent decision scope missing")),IF(OR(D225="",E225="",F225="",G225=""),"Condition, owner, due date or state missing",IF(NOT(ISNUMBER(F225)),"Due date is not a date",IF(OR(G225="Overdue",G225="Superseded"),"Legacy state — owner review (use the shared five states)",IF(INDEX('Gate events'!$E$4:$E$553,MATCH(B225,'Gate events'!$A$4:$A$553,0))&lt;&gt;"Decision","Parent event is not a Decision",IF(AND(INDEX('Gate events'!$G$4:$G$553,MATCH(B225,'Gate events'!$A$4:$A$553,0))&lt;&gt;"Progress with condition",INDEX('Gate events'!$G$4:$G$553,MATCH(B225,'Gate events'!$A$4:$A$553,0))&lt;&gt;"Re-authorise",INDEX('Gate events'!$G$4:$G$553,MATCH(B225,'Gate events'!$A$4:$A$553,0))&lt;&gt;"Resume"),"Parent outcome is not Progress with condition / Re-authorise / Resume",IF(AND(ISNUMBER(INDEX('Gate events'!$F$4:$F$553,MATCH(B225,'Gate events'!$A$4:$A$553,0))),F225&lt;INDEX('Gate events'!$F$4:$F$553,MATCH(B225,'Gate events'!$A$4:$A$553,0))),"Due date before parent event date",IF(AND(OR(G225="Closed-verified",G225="Waived",G225="Accepted-open"),OR(H225="",I225="")),"Closure evidence missing",IF(AND(H225&lt;&gt;"",NOT(ISNUMBER(H225))),"Closed / waived on is not a date",IF(AND(ISNUMBER(H225),ISNUMBER(INDEX('Gate events'!$F$4:$F$553,MATCH(B225,'Gate events'!$A$4:$A$553,0))),H225&lt;INDEX('Gate events'!$F$4:$F$553,MATCH(B225,'Gate events'!$A$4:$A$553,0))),"Closure date before parent event date",IF(AND(G225="Closed-verified",M225=""),"Verifier / date missing",IF(AND(N225="Yes",G225="Closed-verified",O225=""),"Monitoring condition needs AIG-OPS-02 evidence ref",IF(AND(G225="Open",F225&lt;TODAY()),"OVERDUE (derived) — review",IF(G225="Unknown","State Unknown: owner to confirm","Check against source")))))))))))))))))))</f>
        <v/>
      </c>
      <c r="K225" s="37" t="n"/>
      <c r="L225" s="37" t="n"/>
      <c r="M225" s="40" t="n"/>
      <c r="N225" s="40" t="n"/>
      <c r="O225" s="40" t="n"/>
    </row>
    <row r="226">
      <c r="A226" s="38" t="n"/>
      <c r="B226" s="38" t="n"/>
      <c r="C226" s="38" t="n"/>
      <c r="D226" s="38" t="n"/>
      <c r="E226" s="38" t="n"/>
      <c r="F226" s="39" t="n"/>
      <c r="G226" s="38" t="n"/>
      <c r="H226" s="39" t="n"/>
      <c r="I226" s="38" t="n"/>
      <c r="J226" s="22">
        <f>IF(COUNTA(A226:I226,K226:O226)=0,"",IF(OR(A226="",B226="",C226=""),"ID / parent missing",IF(COUNTIF($A$4:$A$553,A226)&gt;1,"Duplicate condition ID",IF(COUNTIF('Gate events'!$A$4:$A$553,B226)=0,"Event ID not found",IF(INDEX('Gate events'!$B$4:$B$553,MATCH(B226,'Gate events'!$A$4:$A$553,0))&lt;&gt;C226,"AIR-ID differs from event",IF(IF(INDEX('Gate events'!$P$4:$P$553,MATCH(B226,'Gate events'!$A$4:$A$553,0))="UC-ID specific",IF(OR(L226&lt;&gt;"UC-ID specific",K226=""),"Condition UC-ID required",IF(ISNUMBER(SEARCH(","&amp;SUBSTITUTE(K226," ","")&amp;",",","&amp;SUBSTITUTE(INDEX('Gate events'!$O$4:$O$553,MATCH(B226,'Gate events'!$A$4:$A$553,0))," ","")&amp;",")),"","UC-ID differs from decision")),IF(INDEX('Gate events'!$P$4:$P$553,MATCH(B226,'Gate events'!$A$4:$A$553,0))="Shared system baseline",IF(OR(L226&lt;&gt;"Shared system baseline",K226&lt;&gt;""),"Condition scope differs from decision",""),"Parent decision scope missing"))&lt;&gt;"",IF(INDEX('Gate events'!$P$4:$P$553,MATCH(B226,'Gate events'!$A$4:$A$553,0))="UC-ID specific",IF(OR(L226&lt;&gt;"UC-ID specific",K226=""),"Condition UC-ID required",IF(ISNUMBER(SEARCH(","&amp;SUBSTITUTE(K226," ","")&amp;",",","&amp;SUBSTITUTE(INDEX('Gate events'!$O$4:$O$553,MATCH(B226,'Gate events'!$A$4:$A$553,0))," ","")&amp;",")),"","UC-ID differs from decision")),IF(INDEX('Gate events'!$P$4:$P$553,MATCH(B226,'Gate events'!$A$4:$A$553,0))="Shared system baseline",IF(OR(L226&lt;&gt;"Shared system baseline",K226&lt;&gt;""),"Condition scope differs from decision",""),"Parent decision scope missing")),IF(OR(D226="",E226="",F226="",G226=""),"Condition, owner, due date or state missing",IF(NOT(ISNUMBER(F226)),"Due date is not a date",IF(OR(G226="Overdue",G226="Superseded"),"Legacy state — owner review (use the shared five states)",IF(INDEX('Gate events'!$E$4:$E$553,MATCH(B226,'Gate events'!$A$4:$A$553,0))&lt;&gt;"Decision","Parent event is not a Decision",IF(AND(INDEX('Gate events'!$G$4:$G$553,MATCH(B226,'Gate events'!$A$4:$A$553,0))&lt;&gt;"Progress with condition",INDEX('Gate events'!$G$4:$G$553,MATCH(B226,'Gate events'!$A$4:$A$553,0))&lt;&gt;"Re-authorise",INDEX('Gate events'!$G$4:$G$553,MATCH(B226,'Gate events'!$A$4:$A$553,0))&lt;&gt;"Resume"),"Parent outcome is not Progress with condition / Re-authorise / Resume",IF(AND(ISNUMBER(INDEX('Gate events'!$F$4:$F$553,MATCH(B226,'Gate events'!$A$4:$A$553,0))),F226&lt;INDEX('Gate events'!$F$4:$F$553,MATCH(B226,'Gate events'!$A$4:$A$553,0))),"Due date before parent event date",IF(AND(OR(G226="Closed-verified",G226="Waived",G226="Accepted-open"),OR(H226="",I226="")),"Closure evidence missing",IF(AND(H226&lt;&gt;"",NOT(ISNUMBER(H226))),"Closed / waived on is not a date",IF(AND(ISNUMBER(H226),ISNUMBER(INDEX('Gate events'!$F$4:$F$553,MATCH(B226,'Gate events'!$A$4:$A$553,0))),H226&lt;INDEX('Gate events'!$F$4:$F$553,MATCH(B226,'Gate events'!$A$4:$A$553,0))),"Closure date before parent event date",IF(AND(G226="Closed-verified",M226=""),"Verifier / date missing",IF(AND(N226="Yes",G226="Closed-verified",O226=""),"Monitoring condition needs AIG-OPS-02 evidence ref",IF(AND(G226="Open",F226&lt;TODAY()),"OVERDUE (derived) — review",IF(G226="Unknown","State Unknown: owner to confirm","Check against source")))))))))))))))))))</f>
        <v/>
      </c>
      <c r="K226" s="37" t="n"/>
      <c r="L226" s="37" t="n"/>
      <c r="M226" s="38" t="n"/>
      <c r="N226" s="38" t="n"/>
      <c r="O226" s="38" t="n"/>
    </row>
    <row r="227">
      <c r="A227" s="40" t="n"/>
      <c r="B227" s="40" t="n"/>
      <c r="C227" s="40" t="n"/>
      <c r="D227" s="40" t="n"/>
      <c r="E227" s="40" t="n"/>
      <c r="F227" s="41" t="n"/>
      <c r="G227" s="40" t="n"/>
      <c r="H227" s="41" t="n"/>
      <c r="I227" s="40" t="n"/>
      <c r="J227" s="24">
        <f>IF(COUNTA(A227:I227,K227:O227)=0,"",IF(OR(A227="",B227="",C227=""),"ID / parent missing",IF(COUNTIF($A$4:$A$553,A227)&gt;1,"Duplicate condition ID",IF(COUNTIF('Gate events'!$A$4:$A$553,B227)=0,"Event ID not found",IF(INDEX('Gate events'!$B$4:$B$553,MATCH(B227,'Gate events'!$A$4:$A$553,0))&lt;&gt;C227,"AIR-ID differs from event",IF(IF(INDEX('Gate events'!$P$4:$P$553,MATCH(B227,'Gate events'!$A$4:$A$553,0))="UC-ID specific",IF(OR(L227&lt;&gt;"UC-ID specific",K227=""),"Condition UC-ID required",IF(ISNUMBER(SEARCH(","&amp;SUBSTITUTE(K227," ","")&amp;",",","&amp;SUBSTITUTE(INDEX('Gate events'!$O$4:$O$553,MATCH(B227,'Gate events'!$A$4:$A$553,0))," ","")&amp;",")),"","UC-ID differs from decision")),IF(INDEX('Gate events'!$P$4:$P$553,MATCH(B227,'Gate events'!$A$4:$A$553,0))="Shared system baseline",IF(OR(L227&lt;&gt;"Shared system baseline",K227&lt;&gt;""),"Condition scope differs from decision",""),"Parent decision scope missing"))&lt;&gt;"",IF(INDEX('Gate events'!$P$4:$P$553,MATCH(B227,'Gate events'!$A$4:$A$553,0))="UC-ID specific",IF(OR(L227&lt;&gt;"UC-ID specific",K227=""),"Condition UC-ID required",IF(ISNUMBER(SEARCH(","&amp;SUBSTITUTE(K227," ","")&amp;",",","&amp;SUBSTITUTE(INDEX('Gate events'!$O$4:$O$553,MATCH(B227,'Gate events'!$A$4:$A$553,0))," ","")&amp;",")),"","UC-ID differs from decision")),IF(INDEX('Gate events'!$P$4:$P$553,MATCH(B227,'Gate events'!$A$4:$A$553,0))="Shared system baseline",IF(OR(L227&lt;&gt;"Shared system baseline",K227&lt;&gt;""),"Condition scope differs from decision",""),"Parent decision scope missing")),IF(OR(D227="",E227="",F227="",G227=""),"Condition, owner, due date or state missing",IF(NOT(ISNUMBER(F227)),"Due date is not a date",IF(OR(G227="Overdue",G227="Superseded"),"Legacy state — owner review (use the shared five states)",IF(INDEX('Gate events'!$E$4:$E$553,MATCH(B227,'Gate events'!$A$4:$A$553,0))&lt;&gt;"Decision","Parent event is not a Decision",IF(AND(INDEX('Gate events'!$G$4:$G$553,MATCH(B227,'Gate events'!$A$4:$A$553,0))&lt;&gt;"Progress with condition",INDEX('Gate events'!$G$4:$G$553,MATCH(B227,'Gate events'!$A$4:$A$553,0))&lt;&gt;"Re-authorise",INDEX('Gate events'!$G$4:$G$553,MATCH(B227,'Gate events'!$A$4:$A$553,0))&lt;&gt;"Resume"),"Parent outcome is not Progress with condition / Re-authorise / Resume",IF(AND(ISNUMBER(INDEX('Gate events'!$F$4:$F$553,MATCH(B227,'Gate events'!$A$4:$A$553,0))),F227&lt;INDEX('Gate events'!$F$4:$F$553,MATCH(B227,'Gate events'!$A$4:$A$553,0))),"Due date before parent event date",IF(AND(OR(G227="Closed-verified",G227="Waived",G227="Accepted-open"),OR(H227="",I227="")),"Closure evidence missing",IF(AND(H227&lt;&gt;"",NOT(ISNUMBER(H227))),"Closed / waived on is not a date",IF(AND(ISNUMBER(H227),ISNUMBER(INDEX('Gate events'!$F$4:$F$553,MATCH(B227,'Gate events'!$A$4:$A$553,0))),H227&lt;INDEX('Gate events'!$F$4:$F$553,MATCH(B227,'Gate events'!$A$4:$A$553,0))),"Closure date before parent event date",IF(AND(G227="Closed-verified",M227=""),"Verifier / date missing",IF(AND(N227="Yes",G227="Closed-verified",O227=""),"Monitoring condition needs AIG-OPS-02 evidence ref",IF(AND(G227="Open",F227&lt;TODAY()),"OVERDUE (derived) — review",IF(G227="Unknown","State Unknown: owner to confirm","Check against source")))))))))))))))))))</f>
        <v/>
      </c>
      <c r="K227" s="37" t="n"/>
      <c r="L227" s="37" t="n"/>
      <c r="M227" s="40" t="n"/>
      <c r="N227" s="40" t="n"/>
      <c r="O227" s="40" t="n"/>
    </row>
    <row r="228">
      <c r="A228" s="38" t="n"/>
      <c r="B228" s="38" t="n"/>
      <c r="C228" s="38" t="n"/>
      <c r="D228" s="38" t="n"/>
      <c r="E228" s="38" t="n"/>
      <c r="F228" s="39" t="n"/>
      <c r="G228" s="38" t="n"/>
      <c r="H228" s="39" t="n"/>
      <c r="I228" s="38" t="n"/>
      <c r="J228" s="22">
        <f>IF(COUNTA(A228:I228,K228:O228)=0,"",IF(OR(A228="",B228="",C228=""),"ID / parent missing",IF(COUNTIF($A$4:$A$553,A228)&gt;1,"Duplicate condition ID",IF(COUNTIF('Gate events'!$A$4:$A$553,B228)=0,"Event ID not found",IF(INDEX('Gate events'!$B$4:$B$553,MATCH(B228,'Gate events'!$A$4:$A$553,0))&lt;&gt;C228,"AIR-ID differs from event",IF(IF(INDEX('Gate events'!$P$4:$P$553,MATCH(B228,'Gate events'!$A$4:$A$553,0))="UC-ID specific",IF(OR(L228&lt;&gt;"UC-ID specific",K228=""),"Condition UC-ID required",IF(ISNUMBER(SEARCH(","&amp;SUBSTITUTE(K228," ","")&amp;",",","&amp;SUBSTITUTE(INDEX('Gate events'!$O$4:$O$553,MATCH(B228,'Gate events'!$A$4:$A$553,0))," ","")&amp;",")),"","UC-ID differs from decision")),IF(INDEX('Gate events'!$P$4:$P$553,MATCH(B228,'Gate events'!$A$4:$A$553,0))="Shared system baseline",IF(OR(L228&lt;&gt;"Shared system baseline",K228&lt;&gt;""),"Condition scope differs from decision",""),"Parent decision scope missing"))&lt;&gt;"",IF(INDEX('Gate events'!$P$4:$P$553,MATCH(B228,'Gate events'!$A$4:$A$553,0))="UC-ID specific",IF(OR(L228&lt;&gt;"UC-ID specific",K228=""),"Condition UC-ID required",IF(ISNUMBER(SEARCH(","&amp;SUBSTITUTE(K228," ","")&amp;",",","&amp;SUBSTITUTE(INDEX('Gate events'!$O$4:$O$553,MATCH(B228,'Gate events'!$A$4:$A$553,0))," ","")&amp;",")),"","UC-ID differs from decision")),IF(INDEX('Gate events'!$P$4:$P$553,MATCH(B228,'Gate events'!$A$4:$A$553,0))="Shared system baseline",IF(OR(L228&lt;&gt;"Shared system baseline",K228&lt;&gt;""),"Condition scope differs from decision",""),"Parent decision scope missing")),IF(OR(D228="",E228="",F228="",G228=""),"Condition, owner, due date or state missing",IF(NOT(ISNUMBER(F228)),"Due date is not a date",IF(OR(G228="Overdue",G228="Superseded"),"Legacy state — owner review (use the shared five states)",IF(INDEX('Gate events'!$E$4:$E$553,MATCH(B228,'Gate events'!$A$4:$A$553,0))&lt;&gt;"Decision","Parent event is not a Decision",IF(AND(INDEX('Gate events'!$G$4:$G$553,MATCH(B228,'Gate events'!$A$4:$A$553,0))&lt;&gt;"Progress with condition",INDEX('Gate events'!$G$4:$G$553,MATCH(B228,'Gate events'!$A$4:$A$553,0))&lt;&gt;"Re-authorise",INDEX('Gate events'!$G$4:$G$553,MATCH(B228,'Gate events'!$A$4:$A$553,0))&lt;&gt;"Resume"),"Parent outcome is not Progress with condition / Re-authorise / Resume",IF(AND(ISNUMBER(INDEX('Gate events'!$F$4:$F$553,MATCH(B228,'Gate events'!$A$4:$A$553,0))),F228&lt;INDEX('Gate events'!$F$4:$F$553,MATCH(B228,'Gate events'!$A$4:$A$553,0))),"Due date before parent event date",IF(AND(OR(G228="Closed-verified",G228="Waived",G228="Accepted-open"),OR(H228="",I228="")),"Closure evidence missing",IF(AND(H228&lt;&gt;"",NOT(ISNUMBER(H228))),"Closed / waived on is not a date",IF(AND(ISNUMBER(H228),ISNUMBER(INDEX('Gate events'!$F$4:$F$553,MATCH(B228,'Gate events'!$A$4:$A$553,0))),H228&lt;INDEX('Gate events'!$F$4:$F$553,MATCH(B228,'Gate events'!$A$4:$A$553,0))),"Closure date before parent event date",IF(AND(G228="Closed-verified",M228=""),"Verifier / date missing",IF(AND(N228="Yes",G228="Closed-verified",O228=""),"Monitoring condition needs AIG-OPS-02 evidence ref",IF(AND(G228="Open",F228&lt;TODAY()),"OVERDUE (derived) — review",IF(G228="Unknown","State Unknown: owner to confirm","Check against source")))))))))))))))))))</f>
        <v/>
      </c>
      <c r="K228" s="37" t="n"/>
      <c r="L228" s="37" t="n"/>
      <c r="M228" s="38" t="n"/>
      <c r="N228" s="38" t="n"/>
      <c r="O228" s="38" t="n"/>
    </row>
    <row r="229">
      <c r="A229" s="40" t="n"/>
      <c r="B229" s="40" t="n"/>
      <c r="C229" s="40" t="n"/>
      <c r="D229" s="40" t="n"/>
      <c r="E229" s="40" t="n"/>
      <c r="F229" s="41" t="n"/>
      <c r="G229" s="40" t="n"/>
      <c r="H229" s="41" t="n"/>
      <c r="I229" s="40" t="n"/>
      <c r="J229" s="24">
        <f>IF(COUNTA(A229:I229,K229:O229)=0,"",IF(OR(A229="",B229="",C229=""),"ID / parent missing",IF(COUNTIF($A$4:$A$553,A229)&gt;1,"Duplicate condition ID",IF(COUNTIF('Gate events'!$A$4:$A$553,B229)=0,"Event ID not found",IF(INDEX('Gate events'!$B$4:$B$553,MATCH(B229,'Gate events'!$A$4:$A$553,0))&lt;&gt;C229,"AIR-ID differs from event",IF(IF(INDEX('Gate events'!$P$4:$P$553,MATCH(B229,'Gate events'!$A$4:$A$553,0))="UC-ID specific",IF(OR(L229&lt;&gt;"UC-ID specific",K229=""),"Condition UC-ID required",IF(ISNUMBER(SEARCH(","&amp;SUBSTITUTE(K229," ","")&amp;",",","&amp;SUBSTITUTE(INDEX('Gate events'!$O$4:$O$553,MATCH(B229,'Gate events'!$A$4:$A$553,0))," ","")&amp;",")),"","UC-ID differs from decision")),IF(INDEX('Gate events'!$P$4:$P$553,MATCH(B229,'Gate events'!$A$4:$A$553,0))="Shared system baseline",IF(OR(L229&lt;&gt;"Shared system baseline",K229&lt;&gt;""),"Condition scope differs from decision",""),"Parent decision scope missing"))&lt;&gt;"",IF(INDEX('Gate events'!$P$4:$P$553,MATCH(B229,'Gate events'!$A$4:$A$553,0))="UC-ID specific",IF(OR(L229&lt;&gt;"UC-ID specific",K229=""),"Condition UC-ID required",IF(ISNUMBER(SEARCH(","&amp;SUBSTITUTE(K229," ","")&amp;",",","&amp;SUBSTITUTE(INDEX('Gate events'!$O$4:$O$553,MATCH(B229,'Gate events'!$A$4:$A$553,0))," ","")&amp;",")),"","UC-ID differs from decision")),IF(INDEX('Gate events'!$P$4:$P$553,MATCH(B229,'Gate events'!$A$4:$A$553,0))="Shared system baseline",IF(OR(L229&lt;&gt;"Shared system baseline",K229&lt;&gt;""),"Condition scope differs from decision",""),"Parent decision scope missing")),IF(OR(D229="",E229="",F229="",G229=""),"Condition, owner, due date or state missing",IF(NOT(ISNUMBER(F229)),"Due date is not a date",IF(OR(G229="Overdue",G229="Superseded"),"Legacy state — owner review (use the shared five states)",IF(INDEX('Gate events'!$E$4:$E$553,MATCH(B229,'Gate events'!$A$4:$A$553,0))&lt;&gt;"Decision","Parent event is not a Decision",IF(AND(INDEX('Gate events'!$G$4:$G$553,MATCH(B229,'Gate events'!$A$4:$A$553,0))&lt;&gt;"Progress with condition",INDEX('Gate events'!$G$4:$G$553,MATCH(B229,'Gate events'!$A$4:$A$553,0))&lt;&gt;"Re-authorise",INDEX('Gate events'!$G$4:$G$553,MATCH(B229,'Gate events'!$A$4:$A$553,0))&lt;&gt;"Resume"),"Parent outcome is not Progress with condition / Re-authorise / Resume",IF(AND(ISNUMBER(INDEX('Gate events'!$F$4:$F$553,MATCH(B229,'Gate events'!$A$4:$A$553,0))),F229&lt;INDEX('Gate events'!$F$4:$F$553,MATCH(B229,'Gate events'!$A$4:$A$553,0))),"Due date before parent event date",IF(AND(OR(G229="Closed-verified",G229="Waived",G229="Accepted-open"),OR(H229="",I229="")),"Closure evidence missing",IF(AND(H229&lt;&gt;"",NOT(ISNUMBER(H229))),"Closed / waived on is not a date",IF(AND(ISNUMBER(H229),ISNUMBER(INDEX('Gate events'!$F$4:$F$553,MATCH(B229,'Gate events'!$A$4:$A$553,0))),H229&lt;INDEX('Gate events'!$F$4:$F$553,MATCH(B229,'Gate events'!$A$4:$A$553,0))),"Closure date before parent event date",IF(AND(G229="Closed-verified",M229=""),"Verifier / date missing",IF(AND(N229="Yes",G229="Closed-verified",O229=""),"Monitoring condition needs AIG-OPS-02 evidence ref",IF(AND(G229="Open",F229&lt;TODAY()),"OVERDUE (derived) — review",IF(G229="Unknown","State Unknown: owner to confirm","Check against source")))))))))))))))))))</f>
        <v/>
      </c>
      <c r="K229" s="37" t="n"/>
      <c r="L229" s="37" t="n"/>
      <c r="M229" s="40" t="n"/>
      <c r="N229" s="40" t="n"/>
      <c r="O229" s="40" t="n"/>
    </row>
    <row r="230">
      <c r="A230" s="38" t="n"/>
      <c r="B230" s="38" t="n"/>
      <c r="C230" s="38" t="n"/>
      <c r="D230" s="38" t="n"/>
      <c r="E230" s="38" t="n"/>
      <c r="F230" s="39" t="n"/>
      <c r="G230" s="38" t="n"/>
      <c r="H230" s="39" t="n"/>
      <c r="I230" s="38" t="n"/>
      <c r="J230" s="22">
        <f>IF(COUNTA(A230:I230,K230:O230)=0,"",IF(OR(A230="",B230="",C230=""),"ID / parent missing",IF(COUNTIF($A$4:$A$553,A230)&gt;1,"Duplicate condition ID",IF(COUNTIF('Gate events'!$A$4:$A$553,B230)=0,"Event ID not found",IF(INDEX('Gate events'!$B$4:$B$553,MATCH(B230,'Gate events'!$A$4:$A$553,0))&lt;&gt;C230,"AIR-ID differs from event",IF(IF(INDEX('Gate events'!$P$4:$P$553,MATCH(B230,'Gate events'!$A$4:$A$553,0))="UC-ID specific",IF(OR(L230&lt;&gt;"UC-ID specific",K230=""),"Condition UC-ID required",IF(ISNUMBER(SEARCH(","&amp;SUBSTITUTE(K230," ","")&amp;",",","&amp;SUBSTITUTE(INDEX('Gate events'!$O$4:$O$553,MATCH(B230,'Gate events'!$A$4:$A$553,0))," ","")&amp;",")),"","UC-ID differs from decision")),IF(INDEX('Gate events'!$P$4:$P$553,MATCH(B230,'Gate events'!$A$4:$A$553,0))="Shared system baseline",IF(OR(L230&lt;&gt;"Shared system baseline",K230&lt;&gt;""),"Condition scope differs from decision",""),"Parent decision scope missing"))&lt;&gt;"",IF(INDEX('Gate events'!$P$4:$P$553,MATCH(B230,'Gate events'!$A$4:$A$553,0))="UC-ID specific",IF(OR(L230&lt;&gt;"UC-ID specific",K230=""),"Condition UC-ID required",IF(ISNUMBER(SEARCH(","&amp;SUBSTITUTE(K230," ","")&amp;",",","&amp;SUBSTITUTE(INDEX('Gate events'!$O$4:$O$553,MATCH(B230,'Gate events'!$A$4:$A$553,0))," ","")&amp;",")),"","UC-ID differs from decision")),IF(INDEX('Gate events'!$P$4:$P$553,MATCH(B230,'Gate events'!$A$4:$A$553,0))="Shared system baseline",IF(OR(L230&lt;&gt;"Shared system baseline",K230&lt;&gt;""),"Condition scope differs from decision",""),"Parent decision scope missing")),IF(OR(D230="",E230="",F230="",G230=""),"Condition, owner, due date or state missing",IF(NOT(ISNUMBER(F230)),"Due date is not a date",IF(OR(G230="Overdue",G230="Superseded"),"Legacy state — owner review (use the shared five states)",IF(INDEX('Gate events'!$E$4:$E$553,MATCH(B230,'Gate events'!$A$4:$A$553,0))&lt;&gt;"Decision","Parent event is not a Decision",IF(AND(INDEX('Gate events'!$G$4:$G$553,MATCH(B230,'Gate events'!$A$4:$A$553,0))&lt;&gt;"Progress with condition",INDEX('Gate events'!$G$4:$G$553,MATCH(B230,'Gate events'!$A$4:$A$553,0))&lt;&gt;"Re-authorise",INDEX('Gate events'!$G$4:$G$553,MATCH(B230,'Gate events'!$A$4:$A$553,0))&lt;&gt;"Resume"),"Parent outcome is not Progress with condition / Re-authorise / Resume",IF(AND(ISNUMBER(INDEX('Gate events'!$F$4:$F$553,MATCH(B230,'Gate events'!$A$4:$A$553,0))),F230&lt;INDEX('Gate events'!$F$4:$F$553,MATCH(B230,'Gate events'!$A$4:$A$553,0))),"Due date before parent event date",IF(AND(OR(G230="Closed-verified",G230="Waived",G230="Accepted-open"),OR(H230="",I230="")),"Closure evidence missing",IF(AND(H230&lt;&gt;"",NOT(ISNUMBER(H230))),"Closed / waived on is not a date",IF(AND(ISNUMBER(H230),ISNUMBER(INDEX('Gate events'!$F$4:$F$553,MATCH(B230,'Gate events'!$A$4:$A$553,0))),H230&lt;INDEX('Gate events'!$F$4:$F$553,MATCH(B230,'Gate events'!$A$4:$A$553,0))),"Closure date before parent event date",IF(AND(G230="Closed-verified",M230=""),"Verifier / date missing",IF(AND(N230="Yes",G230="Closed-verified",O230=""),"Monitoring condition needs AIG-OPS-02 evidence ref",IF(AND(G230="Open",F230&lt;TODAY()),"OVERDUE (derived) — review",IF(G230="Unknown","State Unknown: owner to confirm","Check against source")))))))))))))))))))</f>
        <v/>
      </c>
      <c r="K230" s="37" t="n"/>
      <c r="L230" s="37" t="n"/>
      <c r="M230" s="38" t="n"/>
      <c r="N230" s="38" t="n"/>
      <c r="O230" s="38" t="n"/>
    </row>
    <row r="231">
      <c r="A231" s="40" t="n"/>
      <c r="B231" s="40" t="n"/>
      <c r="C231" s="40" t="n"/>
      <c r="D231" s="40" t="n"/>
      <c r="E231" s="40" t="n"/>
      <c r="F231" s="41" t="n"/>
      <c r="G231" s="40" t="n"/>
      <c r="H231" s="41" t="n"/>
      <c r="I231" s="40" t="n"/>
      <c r="J231" s="24">
        <f>IF(COUNTA(A231:I231,K231:O231)=0,"",IF(OR(A231="",B231="",C231=""),"ID / parent missing",IF(COUNTIF($A$4:$A$553,A231)&gt;1,"Duplicate condition ID",IF(COUNTIF('Gate events'!$A$4:$A$553,B231)=0,"Event ID not found",IF(INDEX('Gate events'!$B$4:$B$553,MATCH(B231,'Gate events'!$A$4:$A$553,0))&lt;&gt;C231,"AIR-ID differs from event",IF(IF(INDEX('Gate events'!$P$4:$P$553,MATCH(B231,'Gate events'!$A$4:$A$553,0))="UC-ID specific",IF(OR(L231&lt;&gt;"UC-ID specific",K231=""),"Condition UC-ID required",IF(ISNUMBER(SEARCH(","&amp;SUBSTITUTE(K231," ","")&amp;",",","&amp;SUBSTITUTE(INDEX('Gate events'!$O$4:$O$553,MATCH(B231,'Gate events'!$A$4:$A$553,0))," ","")&amp;",")),"","UC-ID differs from decision")),IF(INDEX('Gate events'!$P$4:$P$553,MATCH(B231,'Gate events'!$A$4:$A$553,0))="Shared system baseline",IF(OR(L231&lt;&gt;"Shared system baseline",K231&lt;&gt;""),"Condition scope differs from decision",""),"Parent decision scope missing"))&lt;&gt;"",IF(INDEX('Gate events'!$P$4:$P$553,MATCH(B231,'Gate events'!$A$4:$A$553,0))="UC-ID specific",IF(OR(L231&lt;&gt;"UC-ID specific",K231=""),"Condition UC-ID required",IF(ISNUMBER(SEARCH(","&amp;SUBSTITUTE(K231," ","")&amp;",",","&amp;SUBSTITUTE(INDEX('Gate events'!$O$4:$O$553,MATCH(B231,'Gate events'!$A$4:$A$553,0))," ","")&amp;",")),"","UC-ID differs from decision")),IF(INDEX('Gate events'!$P$4:$P$553,MATCH(B231,'Gate events'!$A$4:$A$553,0))="Shared system baseline",IF(OR(L231&lt;&gt;"Shared system baseline",K231&lt;&gt;""),"Condition scope differs from decision",""),"Parent decision scope missing")),IF(OR(D231="",E231="",F231="",G231=""),"Condition, owner, due date or state missing",IF(NOT(ISNUMBER(F231)),"Due date is not a date",IF(OR(G231="Overdue",G231="Superseded"),"Legacy state — owner review (use the shared five states)",IF(INDEX('Gate events'!$E$4:$E$553,MATCH(B231,'Gate events'!$A$4:$A$553,0))&lt;&gt;"Decision","Parent event is not a Decision",IF(AND(INDEX('Gate events'!$G$4:$G$553,MATCH(B231,'Gate events'!$A$4:$A$553,0))&lt;&gt;"Progress with condition",INDEX('Gate events'!$G$4:$G$553,MATCH(B231,'Gate events'!$A$4:$A$553,0))&lt;&gt;"Re-authorise",INDEX('Gate events'!$G$4:$G$553,MATCH(B231,'Gate events'!$A$4:$A$553,0))&lt;&gt;"Resume"),"Parent outcome is not Progress with condition / Re-authorise / Resume",IF(AND(ISNUMBER(INDEX('Gate events'!$F$4:$F$553,MATCH(B231,'Gate events'!$A$4:$A$553,0))),F231&lt;INDEX('Gate events'!$F$4:$F$553,MATCH(B231,'Gate events'!$A$4:$A$553,0))),"Due date before parent event date",IF(AND(OR(G231="Closed-verified",G231="Waived",G231="Accepted-open"),OR(H231="",I231="")),"Closure evidence missing",IF(AND(H231&lt;&gt;"",NOT(ISNUMBER(H231))),"Closed / waived on is not a date",IF(AND(ISNUMBER(H231),ISNUMBER(INDEX('Gate events'!$F$4:$F$553,MATCH(B231,'Gate events'!$A$4:$A$553,0))),H231&lt;INDEX('Gate events'!$F$4:$F$553,MATCH(B231,'Gate events'!$A$4:$A$553,0))),"Closure date before parent event date",IF(AND(G231="Closed-verified",M231=""),"Verifier / date missing",IF(AND(N231="Yes",G231="Closed-verified",O231=""),"Monitoring condition needs AIG-OPS-02 evidence ref",IF(AND(G231="Open",F231&lt;TODAY()),"OVERDUE (derived) — review",IF(G231="Unknown","State Unknown: owner to confirm","Check against source")))))))))))))))))))</f>
        <v/>
      </c>
      <c r="K231" s="37" t="n"/>
      <c r="L231" s="37" t="n"/>
      <c r="M231" s="40" t="n"/>
      <c r="N231" s="40" t="n"/>
      <c r="O231" s="40" t="n"/>
    </row>
    <row r="232">
      <c r="A232" s="38" t="n"/>
      <c r="B232" s="38" t="n"/>
      <c r="C232" s="38" t="n"/>
      <c r="D232" s="38" t="n"/>
      <c r="E232" s="38" t="n"/>
      <c r="F232" s="39" t="n"/>
      <c r="G232" s="38" t="n"/>
      <c r="H232" s="39" t="n"/>
      <c r="I232" s="38" t="n"/>
      <c r="J232" s="22">
        <f>IF(COUNTA(A232:I232,K232:O232)=0,"",IF(OR(A232="",B232="",C232=""),"ID / parent missing",IF(COUNTIF($A$4:$A$553,A232)&gt;1,"Duplicate condition ID",IF(COUNTIF('Gate events'!$A$4:$A$553,B232)=0,"Event ID not found",IF(INDEX('Gate events'!$B$4:$B$553,MATCH(B232,'Gate events'!$A$4:$A$553,0))&lt;&gt;C232,"AIR-ID differs from event",IF(IF(INDEX('Gate events'!$P$4:$P$553,MATCH(B232,'Gate events'!$A$4:$A$553,0))="UC-ID specific",IF(OR(L232&lt;&gt;"UC-ID specific",K232=""),"Condition UC-ID required",IF(ISNUMBER(SEARCH(","&amp;SUBSTITUTE(K232," ","")&amp;",",","&amp;SUBSTITUTE(INDEX('Gate events'!$O$4:$O$553,MATCH(B232,'Gate events'!$A$4:$A$553,0))," ","")&amp;",")),"","UC-ID differs from decision")),IF(INDEX('Gate events'!$P$4:$P$553,MATCH(B232,'Gate events'!$A$4:$A$553,0))="Shared system baseline",IF(OR(L232&lt;&gt;"Shared system baseline",K232&lt;&gt;""),"Condition scope differs from decision",""),"Parent decision scope missing"))&lt;&gt;"",IF(INDEX('Gate events'!$P$4:$P$553,MATCH(B232,'Gate events'!$A$4:$A$553,0))="UC-ID specific",IF(OR(L232&lt;&gt;"UC-ID specific",K232=""),"Condition UC-ID required",IF(ISNUMBER(SEARCH(","&amp;SUBSTITUTE(K232," ","")&amp;",",","&amp;SUBSTITUTE(INDEX('Gate events'!$O$4:$O$553,MATCH(B232,'Gate events'!$A$4:$A$553,0))," ","")&amp;",")),"","UC-ID differs from decision")),IF(INDEX('Gate events'!$P$4:$P$553,MATCH(B232,'Gate events'!$A$4:$A$553,0))="Shared system baseline",IF(OR(L232&lt;&gt;"Shared system baseline",K232&lt;&gt;""),"Condition scope differs from decision",""),"Parent decision scope missing")),IF(OR(D232="",E232="",F232="",G232=""),"Condition, owner, due date or state missing",IF(NOT(ISNUMBER(F232)),"Due date is not a date",IF(OR(G232="Overdue",G232="Superseded"),"Legacy state — owner review (use the shared five states)",IF(INDEX('Gate events'!$E$4:$E$553,MATCH(B232,'Gate events'!$A$4:$A$553,0))&lt;&gt;"Decision","Parent event is not a Decision",IF(AND(INDEX('Gate events'!$G$4:$G$553,MATCH(B232,'Gate events'!$A$4:$A$553,0))&lt;&gt;"Progress with condition",INDEX('Gate events'!$G$4:$G$553,MATCH(B232,'Gate events'!$A$4:$A$553,0))&lt;&gt;"Re-authorise",INDEX('Gate events'!$G$4:$G$553,MATCH(B232,'Gate events'!$A$4:$A$553,0))&lt;&gt;"Resume"),"Parent outcome is not Progress with condition / Re-authorise / Resume",IF(AND(ISNUMBER(INDEX('Gate events'!$F$4:$F$553,MATCH(B232,'Gate events'!$A$4:$A$553,0))),F232&lt;INDEX('Gate events'!$F$4:$F$553,MATCH(B232,'Gate events'!$A$4:$A$553,0))),"Due date before parent event date",IF(AND(OR(G232="Closed-verified",G232="Waived",G232="Accepted-open"),OR(H232="",I232="")),"Closure evidence missing",IF(AND(H232&lt;&gt;"",NOT(ISNUMBER(H232))),"Closed / waived on is not a date",IF(AND(ISNUMBER(H232),ISNUMBER(INDEX('Gate events'!$F$4:$F$553,MATCH(B232,'Gate events'!$A$4:$A$553,0))),H232&lt;INDEX('Gate events'!$F$4:$F$553,MATCH(B232,'Gate events'!$A$4:$A$553,0))),"Closure date before parent event date",IF(AND(G232="Closed-verified",M232=""),"Verifier / date missing",IF(AND(N232="Yes",G232="Closed-verified",O232=""),"Monitoring condition needs AIG-OPS-02 evidence ref",IF(AND(G232="Open",F232&lt;TODAY()),"OVERDUE (derived) — review",IF(G232="Unknown","State Unknown: owner to confirm","Check against source")))))))))))))))))))</f>
        <v/>
      </c>
      <c r="K232" s="37" t="n"/>
      <c r="L232" s="37" t="n"/>
      <c r="M232" s="38" t="n"/>
      <c r="N232" s="38" t="n"/>
      <c r="O232" s="38" t="n"/>
    </row>
    <row r="233">
      <c r="A233" s="40" t="n"/>
      <c r="B233" s="40" t="n"/>
      <c r="C233" s="40" t="n"/>
      <c r="D233" s="40" t="n"/>
      <c r="E233" s="40" t="n"/>
      <c r="F233" s="41" t="n"/>
      <c r="G233" s="40" t="n"/>
      <c r="H233" s="41" t="n"/>
      <c r="I233" s="40" t="n"/>
      <c r="J233" s="24">
        <f>IF(COUNTA(A233:I233,K233:O233)=0,"",IF(OR(A233="",B233="",C233=""),"ID / parent missing",IF(COUNTIF($A$4:$A$553,A233)&gt;1,"Duplicate condition ID",IF(COUNTIF('Gate events'!$A$4:$A$553,B233)=0,"Event ID not found",IF(INDEX('Gate events'!$B$4:$B$553,MATCH(B233,'Gate events'!$A$4:$A$553,0))&lt;&gt;C233,"AIR-ID differs from event",IF(IF(INDEX('Gate events'!$P$4:$P$553,MATCH(B233,'Gate events'!$A$4:$A$553,0))="UC-ID specific",IF(OR(L233&lt;&gt;"UC-ID specific",K233=""),"Condition UC-ID required",IF(ISNUMBER(SEARCH(","&amp;SUBSTITUTE(K233," ","")&amp;",",","&amp;SUBSTITUTE(INDEX('Gate events'!$O$4:$O$553,MATCH(B233,'Gate events'!$A$4:$A$553,0))," ","")&amp;",")),"","UC-ID differs from decision")),IF(INDEX('Gate events'!$P$4:$P$553,MATCH(B233,'Gate events'!$A$4:$A$553,0))="Shared system baseline",IF(OR(L233&lt;&gt;"Shared system baseline",K233&lt;&gt;""),"Condition scope differs from decision",""),"Parent decision scope missing"))&lt;&gt;"",IF(INDEX('Gate events'!$P$4:$P$553,MATCH(B233,'Gate events'!$A$4:$A$553,0))="UC-ID specific",IF(OR(L233&lt;&gt;"UC-ID specific",K233=""),"Condition UC-ID required",IF(ISNUMBER(SEARCH(","&amp;SUBSTITUTE(K233," ","")&amp;",",","&amp;SUBSTITUTE(INDEX('Gate events'!$O$4:$O$553,MATCH(B233,'Gate events'!$A$4:$A$553,0))," ","")&amp;",")),"","UC-ID differs from decision")),IF(INDEX('Gate events'!$P$4:$P$553,MATCH(B233,'Gate events'!$A$4:$A$553,0))="Shared system baseline",IF(OR(L233&lt;&gt;"Shared system baseline",K233&lt;&gt;""),"Condition scope differs from decision",""),"Parent decision scope missing")),IF(OR(D233="",E233="",F233="",G233=""),"Condition, owner, due date or state missing",IF(NOT(ISNUMBER(F233)),"Due date is not a date",IF(OR(G233="Overdue",G233="Superseded"),"Legacy state — owner review (use the shared five states)",IF(INDEX('Gate events'!$E$4:$E$553,MATCH(B233,'Gate events'!$A$4:$A$553,0))&lt;&gt;"Decision","Parent event is not a Decision",IF(AND(INDEX('Gate events'!$G$4:$G$553,MATCH(B233,'Gate events'!$A$4:$A$553,0))&lt;&gt;"Progress with condition",INDEX('Gate events'!$G$4:$G$553,MATCH(B233,'Gate events'!$A$4:$A$553,0))&lt;&gt;"Re-authorise",INDEX('Gate events'!$G$4:$G$553,MATCH(B233,'Gate events'!$A$4:$A$553,0))&lt;&gt;"Resume"),"Parent outcome is not Progress with condition / Re-authorise / Resume",IF(AND(ISNUMBER(INDEX('Gate events'!$F$4:$F$553,MATCH(B233,'Gate events'!$A$4:$A$553,0))),F233&lt;INDEX('Gate events'!$F$4:$F$553,MATCH(B233,'Gate events'!$A$4:$A$553,0))),"Due date before parent event date",IF(AND(OR(G233="Closed-verified",G233="Waived",G233="Accepted-open"),OR(H233="",I233="")),"Closure evidence missing",IF(AND(H233&lt;&gt;"",NOT(ISNUMBER(H233))),"Closed / waived on is not a date",IF(AND(ISNUMBER(H233),ISNUMBER(INDEX('Gate events'!$F$4:$F$553,MATCH(B233,'Gate events'!$A$4:$A$553,0))),H233&lt;INDEX('Gate events'!$F$4:$F$553,MATCH(B233,'Gate events'!$A$4:$A$553,0))),"Closure date before parent event date",IF(AND(G233="Closed-verified",M233=""),"Verifier / date missing",IF(AND(N233="Yes",G233="Closed-verified",O233=""),"Monitoring condition needs AIG-OPS-02 evidence ref",IF(AND(G233="Open",F233&lt;TODAY()),"OVERDUE (derived) — review",IF(G233="Unknown","State Unknown: owner to confirm","Check against source")))))))))))))))))))</f>
        <v/>
      </c>
      <c r="K233" s="37" t="n"/>
      <c r="L233" s="37" t="n"/>
      <c r="M233" s="40" t="n"/>
      <c r="N233" s="40" t="n"/>
      <c r="O233" s="40" t="n"/>
    </row>
    <row r="234">
      <c r="A234" s="38" t="n"/>
      <c r="B234" s="38" t="n"/>
      <c r="C234" s="38" t="n"/>
      <c r="D234" s="38" t="n"/>
      <c r="E234" s="38" t="n"/>
      <c r="F234" s="39" t="n"/>
      <c r="G234" s="38" t="n"/>
      <c r="H234" s="39" t="n"/>
      <c r="I234" s="38" t="n"/>
      <c r="J234" s="22">
        <f>IF(COUNTA(A234:I234,K234:O234)=0,"",IF(OR(A234="",B234="",C234=""),"ID / parent missing",IF(COUNTIF($A$4:$A$553,A234)&gt;1,"Duplicate condition ID",IF(COUNTIF('Gate events'!$A$4:$A$553,B234)=0,"Event ID not found",IF(INDEX('Gate events'!$B$4:$B$553,MATCH(B234,'Gate events'!$A$4:$A$553,0))&lt;&gt;C234,"AIR-ID differs from event",IF(IF(INDEX('Gate events'!$P$4:$P$553,MATCH(B234,'Gate events'!$A$4:$A$553,0))="UC-ID specific",IF(OR(L234&lt;&gt;"UC-ID specific",K234=""),"Condition UC-ID required",IF(ISNUMBER(SEARCH(","&amp;SUBSTITUTE(K234," ","")&amp;",",","&amp;SUBSTITUTE(INDEX('Gate events'!$O$4:$O$553,MATCH(B234,'Gate events'!$A$4:$A$553,0))," ","")&amp;",")),"","UC-ID differs from decision")),IF(INDEX('Gate events'!$P$4:$P$553,MATCH(B234,'Gate events'!$A$4:$A$553,0))="Shared system baseline",IF(OR(L234&lt;&gt;"Shared system baseline",K234&lt;&gt;""),"Condition scope differs from decision",""),"Parent decision scope missing"))&lt;&gt;"",IF(INDEX('Gate events'!$P$4:$P$553,MATCH(B234,'Gate events'!$A$4:$A$553,0))="UC-ID specific",IF(OR(L234&lt;&gt;"UC-ID specific",K234=""),"Condition UC-ID required",IF(ISNUMBER(SEARCH(","&amp;SUBSTITUTE(K234," ","")&amp;",",","&amp;SUBSTITUTE(INDEX('Gate events'!$O$4:$O$553,MATCH(B234,'Gate events'!$A$4:$A$553,0))," ","")&amp;",")),"","UC-ID differs from decision")),IF(INDEX('Gate events'!$P$4:$P$553,MATCH(B234,'Gate events'!$A$4:$A$553,0))="Shared system baseline",IF(OR(L234&lt;&gt;"Shared system baseline",K234&lt;&gt;""),"Condition scope differs from decision",""),"Parent decision scope missing")),IF(OR(D234="",E234="",F234="",G234=""),"Condition, owner, due date or state missing",IF(NOT(ISNUMBER(F234)),"Due date is not a date",IF(OR(G234="Overdue",G234="Superseded"),"Legacy state — owner review (use the shared five states)",IF(INDEX('Gate events'!$E$4:$E$553,MATCH(B234,'Gate events'!$A$4:$A$553,0))&lt;&gt;"Decision","Parent event is not a Decision",IF(AND(INDEX('Gate events'!$G$4:$G$553,MATCH(B234,'Gate events'!$A$4:$A$553,0))&lt;&gt;"Progress with condition",INDEX('Gate events'!$G$4:$G$553,MATCH(B234,'Gate events'!$A$4:$A$553,0))&lt;&gt;"Re-authorise",INDEX('Gate events'!$G$4:$G$553,MATCH(B234,'Gate events'!$A$4:$A$553,0))&lt;&gt;"Resume"),"Parent outcome is not Progress with condition / Re-authorise / Resume",IF(AND(ISNUMBER(INDEX('Gate events'!$F$4:$F$553,MATCH(B234,'Gate events'!$A$4:$A$553,0))),F234&lt;INDEX('Gate events'!$F$4:$F$553,MATCH(B234,'Gate events'!$A$4:$A$553,0))),"Due date before parent event date",IF(AND(OR(G234="Closed-verified",G234="Waived",G234="Accepted-open"),OR(H234="",I234="")),"Closure evidence missing",IF(AND(H234&lt;&gt;"",NOT(ISNUMBER(H234))),"Closed / waived on is not a date",IF(AND(ISNUMBER(H234),ISNUMBER(INDEX('Gate events'!$F$4:$F$553,MATCH(B234,'Gate events'!$A$4:$A$553,0))),H234&lt;INDEX('Gate events'!$F$4:$F$553,MATCH(B234,'Gate events'!$A$4:$A$553,0))),"Closure date before parent event date",IF(AND(G234="Closed-verified",M234=""),"Verifier / date missing",IF(AND(N234="Yes",G234="Closed-verified",O234=""),"Monitoring condition needs AIG-OPS-02 evidence ref",IF(AND(G234="Open",F234&lt;TODAY()),"OVERDUE (derived) — review",IF(G234="Unknown","State Unknown: owner to confirm","Check against source")))))))))))))))))))</f>
        <v/>
      </c>
      <c r="K234" s="37" t="n"/>
      <c r="L234" s="37" t="n"/>
      <c r="M234" s="38" t="n"/>
      <c r="N234" s="38" t="n"/>
      <c r="O234" s="38" t="n"/>
    </row>
    <row r="235">
      <c r="A235" s="40" t="n"/>
      <c r="B235" s="40" t="n"/>
      <c r="C235" s="40" t="n"/>
      <c r="D235" s="40" t="n"/>
      <c r="E235" s="40" t="n"/>
      <c r="F235" s="41" t="n"/>
      <c r="G235" s="40" t="n"/>
      <c r="H235" s="41" t="n"/>
      <c r="I235" s="40" t="n"/>
      <c r="J235" s="24">
        <f>IF(COUNTA(A235:I235,K235:O235)=0,"",IF(OR(A235="",B235="",C235=""),"ID / parent missing",IF(COUNTIF($A$4:$A$553,A235)&gt;1,"Duplicate condition ID",IF(COUNTIF('Gate events'!$A$4:$A$553,B235)=0,"Event ID not found",IF(INDEX('Gate events'!$B$4:$B$553,MATCH(B235,'Gate events'!$A$4:$A$553,0))&lt;&gt;C235,"AIR-ID differs from event",IF(IF(INDEX('Gate events'!$P$4:$P$553,MATCH(B235,'Gate events'!$A$4:$A$553,0))="UC-ID specific",IF(OR(L235&lt;&gt;"UC-ID specific",K235=""),"Condition UC-ID required",IF(ISNUMBER(SEARCH(","&amp;SUBSTITUTE(K235," ","")&amp;",",","&amp;SUBSTITUTE(INDEX('Gate events'!$O$4:$O$553,MATCH(B235,'Gate events'!$A$4:$A$553,0))," ","")&amp;",")),"","UC-ID differs from decision")),IF(INDEX('Gate events'!$P$4:$P$553,MATCH(B235,'Gate events'!$A$4:$A$553,0))="Shared system baseline",IF(OR(L235&lt;&gt;"Shared system baseline",K235&lt;&gt;""),"Condition scope differs from decision",""),"Parent decision scope missing"))&lt;&gt;"",IF(INDEX('Gate events'!$P$4:$P$553,MATCH(B235,'Gate events'!$A$4:$A$553,0))="UC-ID specific",IF(OR(L235&lt;&gt;"UC-ID specific",K235=""),"Condition UC-ID required",IF(ISNUMBER(SEARCH(","&amp;SUBSTITUTE(K235," ","")&amp;",",","&amp;SUBSTITUTE(INDEX('Gate events'!$O$4:$O$553,MATCH(B235,'Gate events'!$A$4:$A$553,0))," ","")&amp;",")),"","UC-ID differs from decision")),IF(INDEX('Gate events'!$P$4:$P$553,MATCH(B235,'Gate events'!$A$4:$A$553,0))="Shared system baseline",IF(OR(L235&lt;&gt;"Shared system baseline",K235&lt;&gt;""),"Condition scope differs from decision",""),"Parent decision scope missing")),IF(OR(D235="",E235="",F235="",G235=""),"Condition, owner, due date or state missing",IF(NOT(ISNUMBER(F235)),"Due date is not a date",IF(OR(G235="Overdue",G235="Superseded"),"Legacy state — owner review (use the shared five states)",IF(INDEX('Gate events'!$E$4:$E$553,MATCH(B235,'Gate events'!$A$4:$A$553,0))&lt;&gt;"Decision","Parent event is not a Decision",IF(AND(INDEX('Gate events'!$G$4:$G$553,MATCH(B235,'Gate events'!$A$4:$A$553,0))&lt;&gt;"Progress with condition",INDEX('Gate events'!$G$4:$G$553,MATCH(B235,'Gate events'!$A$4:$A$553,0))&lt;&gt;"Re-authorise",INDEX('Gate events'!$G$4:$G$553,MATCH(B235,'Gate events'!$A$4:$A$553,0))&lt;&gt;"Resume"),"Parent outcome is not Progress with condition / Re-authorise / Resume",IF(AND(ISNUMBER(INDEX('Gate events'!$F$4:$F$553,MATCH(B235,'Gate events'!$A$4:$A$553,0))),F235&lt;INDEX('Gate events'!$F$4:$F$553,MATCH(B235,'Gate events'!$A$4:$A$553,0))),"Due date before parent event date",IF(AND(OR(G235="Closed-verified",G235="Waived",G235="Accepted-open"),OR(H235="",I235="")),"Closure evidence missing",IF(AND(H235&lt;&gt;"",NOT(ISNUMBER(H235))),"Closed / waived on is not a date",IF(AND(ISNUMBER(H235),ISNUMBER(INDEX('Gate events'!$F$4:$F$553,MATCH(B235,'Gate events'!$A$4:$A$553,0))),H235&lt;INDEX('Gate events'!$F$4:$F$553,MATCH(B235,'Gate events'!$A$4:$A$553,0))),"Closure date before parent event date",IF(AND(G235="Closed-verified",M235=""),"Verifier / date missing",IF(AND(N235="Yes",G235="Closed-verified",O235=""),"Monitoring condition needs AIG-OPS-02 evidence ref",IF(AND(G235="Open",F235&lt;TODAY()),"OVERDUE (derived) — review",IF(G235="Unknown","State Unknown: owner to confirm","Check against source")))))))))))))))))))</f>
        <v/>
      </c>
      <c r="K235" s="37" t="n"/>
      <c r="L235" s="37" t="n"/>
      <c r="M235" s="40" t="n"/>
      <c r="N235" s="40" t="n"/>
      <c r="O235" s="40" t="n"/>
    </row>
    <row r="236">
      <c r="A236" s="38" t="n"/>
      <c r="B236" s="38" t="n"/>
      <c r="C236" s="38" t="n"/>
      <c r="D236" s="38" t="n"/>
      <c r="E236" s="38" t="n"/>
      <c r="F236" s="39" t="n"/>
      <c r="G236" s="38" t="n"/>
      <c r="H236" s="39" t="n"/>
      <c r="I236" s="38" t="n"/>
      <c r="J236" s="22">
        <f>IF(COUNTA(A236:I236,K236:O236)=0,"",IF(OR(A236="",B236="",C236=""),"ID / parent missing",IF(COUNTIF($A$4:$A$553,A236)&gt;1,"Duplicate condition ID",IF(COUNTIF('Gate events'!$A$4:$A$553,B236)=0,"Event ID not found",IF(INDEX('Gate events'!$B$4:$B$553,MATCH(B236,'Gate events'!$A$4:$A$553,0))&lt;&gt;C236,"AIR-ID differs from event",IF(IF(INDEX('Gate events'!$P$4:$P$553,MATCH(B236,'Gate events'!$A$4:$A$553,0))="UC-ID specific",IF(OR(L236&lt;&gt;"UC-ID specific",K236=""),"Condition UC-ID required",IF(ISNUMBER(SEARCH(","&amp;SUBSTITUTE(K236," ","")&amp;",",","&amp;SUBSTITUTE(INDEX('Gate events'!$O$4:$O$553,MATCH(B236,'Gate events'!$A$4:$A$553,0))," ","")&amp;",")),"","UC-ID differs from decision")),IF(INDEX('Gate events'!$P$4:$P$553,MATCH(B236,'Gate events'!$A$4:$A$553,0))="Shared system baseline",IF(OR(L236&lt;&gt;"Shared system baseline",K236&lt;&gt;""),"Condition scope differs from decision",""),"Parent decision scope missing"))&lt;&gt;"",IF(INDEX('Gate events'!$P$4:$P$553,MATCH(B236,'Gate events'!$A$4:$A$553,0))="UC-ID specific",IF(OR(L236&lt;&gt;"UC-ID specific",K236=""),"Condition UC-ID required",IF(ISNUMBER(SEARCH(","&amp;SUBSTITUTE(K236," ","")&amp;",",","&amp;SUBSTITUTE(INDEX('Gate events'!$O$4:$O$553,MATCH(B236,'Gate events'!$A$4:$A$553,0))," ","")&amp;",")),"","UC-ID differs from decision")),IF(INDEX('Gate events'!$P$4:$P$553,MATCH(B236,'Gate events'!$A$4:$A$553,0))="Shared system baseline",IF(OR(L236&lt;&gt;"Shared system baseline",K236&lt;&gt;""),"Condition scope differs from decision",""),"Parent decision scope missing")),IF(OR(D236="",E236="",F236="",G236=""),"Condition, owner, due date or state missing",IF(NOT(ISNUMBER(F236)),"Due date is not a date",IF(OR(G236="Overdue",G236="Superseded"),"Legacy state — owner review (use the shared five states)",IF(INDEX('Gate events'!$E$4:$E$553,MATCH(B236,'Gate events'!$A$4:$A$553,0))&lt;&gt;"Decision","Parent event is not a Decision",IF(AND(INDEX('Gate events'!$G$4:$G$553,MATCH(B236,'Gate events'!$A$4:$A$553,0))&lt;&gt;"Progress with condition",INDEX('Gate events'!$G$4:$G$553,MATCH(B236,'Gate events'!$A$4:$A$553,0))&lt;&gt;"Re-authorise",INDEX('Gate events'!$G$4:$G$553,MATCH(B236,'Gate events'!$A$4:$A$553,0))&lt;&gt;"Resume"),"Parent outcome is not Progress with condition / Re-authorise / Resume",IF(AND(ISNUMBER(INDEX('Gate events'!$F$4:$F$553,MATCH(B236,'Gate events'!$A$4:$A$553,0))),F236&lt;INDEX('Gate events'!$F$4:$F$553,MATCH(B236,'Gate events'!$A$4:$A$553,0))),"Due date before parent event date",IF(AND(OR(G236="Closed-verified",G236="Waived",G236="Accepted-open"),OR(H236="",I236="")),"Closure evidence missing",IF(AND(H236&lt;&gt;"",NOT(ISNUMBER(H236))),"Closed / waived on is not a date",IF(AND(ISNUMBER(H236),ISNUMBER(INDEX('Gate events'!$F$4:$F$553,MATCH(B236,'Gate events'!$A$4:$A$553,0))),H236&lt;INDEX('Gate events'!$F$4:$F$553,MATCH(B236,'Gate events'!$A$4:$A$553,0))),"Closure date before parent event date",IF(AND(G236="Closed-verified",M236=""),"Verifier / date missing",IF(AND(N236="Yes",G236="Closed-verified",O236=""),"Monitoring condition needs AIG-OPS-02 evidence ref",IF(AND(G236="Open",F236&lt;TODAY()),"OVERDUE (derived) — review",IF(G236="Unknown","State Unknown: owner to confirm","Check against source")))))))))))))))))))</f>
        <v/>
      </c>
      <c r="K236" s="37" t="n"/>
      <c r="L236" s="37" t="n"/>
      <c r="M236" s="38" t="n"/>
      <c r="N236" s="38" t="n"/>
      <c r="O236" s="38" t="n"/>
    </row>
    <row r="237">
      <c r="A237" s="40" t="n"/>
      <c r="B237" s="40" t="n"/>
      <c r="C237" s="40" t="n"/>
      <c r="D237" s="40" t="n"/>
      <c r="E237" s="40" t="n"/>
      <c r="F237" s="41" t="n"/>
      <c r="G237" s="40" t="n"/>
      <c r="H237" s="41" t="n"/>
      <c r="I237" s="40" t="n"/>
      <c r="J237" s="24">
        <f>IF(COUNTA(A237:I237,K237:O237)=0,"",IF(OR(A237="",B237="",C237=""),"ID / parent missing",IF(COUNTIF($A$4:$A$553,A237)&gt;1,"Duplicate condition ID",IF(COUNTIF('Gate events'!$A$4:$A$553,B237)=0,"Event ID not found",IF(INDEX('Gate events'!$B$4:$B$553,MATCH(B237,'Gate events'!$A$4:$A$553,0))&lt;&gt;C237,"AIR-ID differs from event",IF(IF(INDEX('Gate events'!$P$4:$P$553,MATCH(B237,'Gate events'!$A$4:$A$553,0))="UC-ID specific",IF(OR(L237&lt;&gt;"UC-ID specific",K237=""),"Condition UC-ID required",IF(ISNUMBER(SEARCH(","&amp;SUBSTITUTE(K237," ","")&amp;",",","&amp;SUBSTITUTE(INDEX('Gate events'!$O$4:$O$553,MATCH(B237,'Gate events'!$A$4:$A$553,0))," ","")&amp;",")),"","UC-ID differs from decision")),IF(INDEX('Gate events'!$P$4:$P$553,MATCH(B237,'Gate events'!$A$4:$A$553,0))="Shared system baseline",IF(OR(L237&lt;&gt;"Shared system baseline",K237&lt;&gt;""),"Condition scope differs from decision",""),"Parent decision scope missing"))&lt;&gt;"",IF(INDEX('Gate events'!$P$4:$P$553,MATCH(B237,'Gate events'!$A$4:$A$553,0))="UC-ID specific",IF(OR(L237&lt;&gt;"UC-ID specific",K237=""),"Condition UC-ID required",IF(ISNUMBER(SEARCH(","&amp;SUBSTITUTE(K237," ","")&amp;",",","&amp;SUBSTITUTE(INDEX('Gate events'!$O$4:$O$553,MATCH(B237,'Gate events'!$A$4:$A$553,0))," ","")&amp;",")),"","UC-ID differs from decision")),IF(INDEX('Gate events'!$P$4:$P$553,MATCH(B237,'Gate events'!$A$4:$A$553,0))="Shared system baseline",IF(OR(L237&lt;&gt;"Shared system baseline",K237&lt;&gt;""),"Condition scope differs from decision",""),"Parent decision scope missing")),IF(OR(D237="",E237="",F237="",G237=""),"Condition, owner, due date or state missing",IF(NOT(ISNUMBER(F237)),"Due date is not a date",IF(OR(G237="Overdue",G237="Superseded"),"Legacy state — owner review (use the shared five states)",IF(INDEX('Gate events'!$E$4:$E$553,MATCH(B237,'Gate events'!$A$4:$A$553,0))&lt;&gt;"Decision","Parent event is not a Decision",IF(AND(INDEX('Gate events'!$G$4:$G$553,MATCH(B237,'Gate events'!$A$4:$A$553,0))&lt;&gt;"Progress with condition",INDEX('Gate events'!$G$4:$G$553,MATCH(B237,'Gate events'!$A$4:$A$553,0))&lt;&gt;"Re-authorise",INDEX('Gate events'!$G$4:$G$553,MATCH(B237,'Gate events'!$A$4:$A$553,0))&lt;&gt;"Resume"),"Parent outcome is not Progress with condition / Re-authorise / Resume",IF(AND(ISNUMBER(INDEX('Gate events'!$F$4:$F$553,MATCH(B237,'Gate events'!$A$4:$A$553,0))),F237&lt;INDEX('Gate events'!$F$4:$F$553,MATCH(B237,'Gate events'!$A$4:$A$553,0))),"Due date before parent event date",IF(AND(OR(G237="Closed-verified",G237="Waived",G237="Accepted-open"),OR(H237="",I237="")),"Closure evidence missing",IF(AND(H237&lt;&gt;"",NOT(ISNUMBER(H237))),"Closed / waived on is not a date",IF(AND(ISNUMBER(H237),ISNUMBER(INDEX('Gate events'!$F$4:$F$553,MATCH(B237,'Gate events'!$A$4:$A$553,0))),H237&lt;INDEX('Gate events'!$F$4:$F$553,MATCH(B237,'Gate events'!$A$4:$A$553,0))),"Closure date before parent event date",IF(AND(G237="Closed-verified",M237=""),"Verifier / date missing",IF(AND(N237="Yes",G237="Closed-verified",O237=""),"Monitoring condition needs AIG-OPS-02 evidence ref",IF(AND(G237="Open",F237&lt;TODAY()),"OVERDUE (derived) — review",IF(G237="Unknown","State Unknown: owner to confirm","Check against source")))))))))))))))))))</f>
        <v/>
      </c>
      <c r="K237" s="37" t="n"/>
      <c r="L237" s="37" t="n"/>
      <c r="M237" s="40" t="n"/>
      <c r="N237" s="40" t="n"/>
      <c r="O237" s="40" t="n"/>
    </row>
    <row r="238">
      <c r="A238" s="38" t="n"/>
      <c r="B238" s="38" t="n"/>
      <c r="C238" s="38" t="n"/>
      <c r="D238" s="38" t="n"/>
      <c r="E238" s="38" t="n"/>
      <c r="F238" s="39" t="n"/>
      <c r="G238" s="38" t="n"/>
      <c r="H238" s="39" t="n"/>
      <c r="I238" s="38" t="n"/>
      <c r="J238" s="22">
        <f>IF(COUNTA(A238:I238,K238:O238)=0,"",IF(OR(A238="",B238="",C238=""),"ID / parent missing",IF(COUNTIF($A$4:$A$553,A238)&gt;1,"Duplicate condition ID",IF(COUNTIF('Gate events'!$A$4:$A$553,B238)=0,"Event ID not found",IF(INDEX('Gate events'!$B$4:$B$553,MATCH(B238,'Gate events'!$A$4:$A$553,0))&lt;&gt;C238,"AIR-ID differs from event",IF(IF(INDEX('Gate events'!$P$4:$P$553,MATCH(B238,'Gate events'!$A$4:$A$553,0))="UC-ID specific",IF(OR(L238&lt;&gt;"UC-ID specific",K238=""),"Condition UC-ID required",IF(ISNUMBER(SEARCH(","&amp;SUBSTITUTE(K238," ","")&amp;",",","&amp;SUBSTITUTE(INDEX('Gate events'!$O$4:$O$553,MATCH(B238,'Gate events'!$A$4:$A$553,0))," ","")&amp;",")),"","UC-ID differs from decision")),IF(INDEX('Gate events'!$P$4:$P$553,MATCH(B238,'Gate events'!$A$4:$A$553,0))="Shared system baseline",IF(OR(L238&lt;&gt;"Shared system baseline",K238&lt;&gt;""),"Condition scope differs from decision",""),"Parent decision scope missing"))&lt;&gt;"",IF(INDEX('Gate events'!$P$4:$P$553,MATCH(B238,'Gate events'!$A$4:$A$553,0))="UC-ID specific",IF(OR(L238&lt;&gt;"UC-ID specific",K238=""),"Condition UC-ID required",IF(ISNUMBER(SEARCH(","&amp;SUBSTITUTE(K238," ","")&amp;",",","&amp;SUBSTITUTE(INDEX('Gate events'!$O$4:$O$553,MATCH(B238,'Gate events'!$A$4:$A$553,0))," ","")&amp;",")),"","UC-ID differs from decision")),IF(INDEX('Gate events'!$P$4:$P$553,MATCH(B238,'Gate events'!$A$4:$A$553,0))="Shared system baseline",IF(OR(L238&lt;&gt;"Shared system baseline",K238&lt;&gt;""),"Condition scope differs from decision",""),"Parent decision scope missing")),IF(OR(D238="",E238="",F238="",G238=""),"Condition, owner, due date or state missing",IF(NOT(ISNUMBER(F238)),"Due date is not a date",IF(OR(G238="Overdue",G238="Superseded"),"Legacy state — owner review (use the shared five states)",IF(INDEX('Gate events'!$E$4:$E$553,MATCH(B238,'Gate events'!$A$4:$A$553,0))&lt;&gt;"Decision","Parent event is not a Decision",IF(AND(INDEX('Gate events'!$G$4:$G$553,MATCH(B238,'Gate events'!$A$4:$A$553,0))&lt;&gt;"Progress with condition",INDEX('Gate events'!$G$4:$G$553,MATCH(B238,'Gate events'!$A$4:$A$553,0))&lt;&gt;"Re-authorise",INDEX('Gate events'!$G$4:$G$553,MATCH(B238,'Gate events'!$A$4:$A$553,0))&lt;&gt;"Resume"),"Parent outcome is not Progress with condition / Re-authorise / Resume",IF(AND(ISNUMBER(INDEX('Gate events'!$F$4:$F$553,MATCH(B238,'Gate events'!$A$4:$A$553,0))),F238&lt;INDEX('Gate events'!$F$4:$F$553,MATCH(B238,'Gate events'!$A$4:$A$553,0))),"Due date before parent event date",IF(AND(OR(G238="Closed-verified",G238="Waived",G238="Accepted-open"),OR(H238="",I238="")),"Closure evidence missing",IF(AND(H238&lt;&gt;"",NOT(ISNUMBER(H238))),"Closed / waived on is not a date",IF(AND(ISNUMBER(H238),ISNUMBER(INDEX('Gate events'!$F$4:$F$553,MATCH(B238,'Gate events'!$A$4:$A$553,0))),H238&lt;INDEX('Gate events'!$F$4:$F$553,MATCH(B238,'Gate events'!$A$4:$A$553,0))),"Closure date before parent event date",IF(AND(G238="Closed-verified",M238=""),"Verifier / date missing",IF(AND(N238="Yes",G238="Closed-verified",O238=""),"Monitoring condition needs AIG-OPS-02 evidence ref",IF(AND(G238="Open",F238&lt;TODAY()),"OVERDUE (derived) — review",IF(G238="Unknown","State Unknown: owner to confirm","Check against source")))))))))))))))))))</f>
        <v/>
      </c>
      <c r="K238" s="37" t="n"/>
      <c r="L238" s="37" t="n"/>
      <c r="M238" s="38" t="n"/>
      <c r="N238" s="38" t="n"/>
      <c r="O238" s="38" t="n"/>
    </row>
    <row r="239">
      <c r="A239" s="40" t="n"/>
      <c r="B239" s="40" t="n"/>
      <c r="C239" s="40" t="n"/>
      <c r="D239" s="40" t="n"/>
      <c r="E239" s="40" t="n"/>
      <c r="F239" s="41" t="n"/>
      <c r="G239" s="40" t="n"/>
      <c r="H239" s="41" t="n"/>
      <c r="I239" s="40" t="n"/>
      <c r="J239" s="24">
        <f>IF(COUNTA(A239:I239,K239:O239)=0,"",IF(OR(A239="",B239="",C239=""),"ID / parent missing",IF(COUNTIF($A$4:$A$553,A239)&gt;1,"Duplicate condition ID",IF(COUNTIF('Gate events'!$A$4:$A$553,B239)=0,"Event ID not found",IF(INDEX('Gate events'!$B$4:$B$553,MATCH(B239,'Gate events'!$A$4:$A$553,0))&lt;&gt;C239,"AIR-ID differs from event",IF(IF(INDEX('Gate events'!$P$4:$P$553,MATCH(B239,'Gate events'!$A$4:$A$553,0))="UC-ID specific",IF(OR(L239&lt;&gt;"UC-ID specific",K239=""),"Condition UC-ID required",IF(ISNUMBER(SEARCH(","&amp;SUBSTITUTE(K239," ","")&amp;",",","&amp;SUBSTITUTE(INDEX('Gate events'!$O$4:$O$553,MATCH(B239,'Gate events'!$A$4:$A$553,0))," ","")&amp;",")),"","UC-ID differs from decision")),IF(INDEX('Gate events'!$P$4:$P$553,MATCH(B239,'Gate events'!$A$4:$A$553,0))="Shared system baseline",IF(OR(L239&lt;&gt;"Shared system baseline",K239&lt;&gt;""),"Condition scope differs from decision",""),"Parent decision scope missing"))&lt;&gt;"",IF(INDEX('Gate events'!$P$4:$P$553,MATCH(B239,'Gate events'!$A$4:$A$553,0))="UC-ID specific",IF(OR(L239&lt;&gt;"UC-ID specific",K239=""),"Condition UC-ID required",IF(ISNUMBER(SEARCH(","&amp;SUBSTITUTE(K239," ","")&amp;",",","&amp;SUBSTITUTE(INDEX('Gate events'!$O$4:$O$553,MATCH(B239,'Gate events'!$A$4:$A$553,0))," ","")&amp;",")),"","UC-ID differs from decision")),IF(INDEX('Gate events'!$P$4:$P$553,MATCH(B239,'Gate events'!$A$4:$A$553,0))="Shared system baseline",IF(OR(L239&lt;&gt;"Shared system baseline",K239&lt;&gt;""),"Condition scope differs from decision",""),"Parent decision scope missing")),IF(OR(D239="",E239="",F239="",G239=""),"Condition, owner, due date or state missing",IF(NOT(ISNUMBER(F239)),"Due date is not a date",IF(OR(G239="Overdue",G239="Superseded"),"Legacy state — owner review (use the shared five states)",IF(INDEX('Gate events'!$E$4:$E$553,MATCH(B239,'Gate events'!$A$4:$A$553,0))&lt;&gt;"Decision","Parent event is not a Decision",IF(AND(INDEX('Gate events'!$G$4:$G$553,MATCH(B239,'Gate events'!$A$4:$A$553,0))&lt;&gt;"Progress with condition",INDEX('Gate events'!$G$4:$G$553,MATCH(B239,'Gate events'!$A$4:$A$553,0))&lt;&gt;"Re-authorise",INDEX('Gate events'!$G$4:$G$553,MATCH(B239,'Gate events'!$A$4:$A$553,0))&lt;&gt;"Resume"),"Parent outcome is not Progress with condition / Re-authorise / Resume",IF(AND(ISNUMBER(INDEX('Gate events'!$F$4:$F$553,MATCH(B239,'Gate events'!$A$4:$A$553,0))),F239&lt;INDEX('Gate events'!$F$4:$F$553,MATCH(B239,'Gate events'!$A$4:$A$553,0))),"Due date before parent event date",IF(AND(OR(G239="Closed-verified",G239="Waived",G239="Accepted-open"),OR(H239="",I239="")),"Closure evidence missing",IF(AND(H239&lt;&gt;"",NOT(ISNUMBER(H239))),"Closed / waived on is not a date",IF(AND(ISNUMBER(H239),ISNUMBER(INDEX('Gate events'!$F$4:$F$553,MATCH(B239,'Gate events'!$A$4:$A$553,0))),H239&lt;INDEX('Gate events'!$F$4:$F$553,MATCH(B239,'Gate events'!$A$4:$A$553,0))),"Closure date before parent event date",IF(AND(G239="Closed-verified",M239=""),"Verifier / date missing",IF(AND(N239="Yes",G239="Closed-verified",O239=""),"Monitoring condition needs AIG-OPS-02 evidence ref",IF(AND(G239="Open",F239&lt;TODAY()),"OVERDUE (derived) — review",IF(G239="Unknown","State Unknown: owner to confirm","Check against source")))))))))))))))))))</f>
        <v/>
      </c>
      <c r="K239" s="37" t="n"/>
      <c r="L239" s="37" t="n"/>
      <c r="M239" s="40" t="n"/>
      <c r="N239" s="40" t="n"/>
      <c r="O239" s="40" t="n"/>
    </row>
    <row r="240">
      <c r="A240" s="38" t="n"/>
      <c r="B240" s="38" t="n"/>
      <c r="C240" s="38" t="n"/>
      <c r="D240" s="38" t="n"/>
      <c r="E240" s="38" t="n"/>
      <c r="F240" s="39" t="n"/>
      <c r="G240" s="38" t="n"/>
      <c r="H240" s="39" t="n"/>
      <c r="I240" s="38" t="n"/>
      <c r="J240" s="22">
        <f>IF(COUNTA(A240:I240,K240:O240)=0,"",IF(OR(A240="",B240="",C240=""),"ID / parent missing",IF(COUNTIF($A$4:$A$553,A240)&gt;1,"Duplicate condition ID",IF(COUNTIF('Gate events'!$A$4:$A$553,B240)=0,"Event ID not found",IF(INDEX('Gate events'!$B$4:$B$553,MATCH(B240,'Gate events'!$A$4:$A$553,0))&lt;&gt;C240,"AIR-ID differs from event",IF(IF(INDEX('Gate events'!$P$4:$P$553,MATCH(B240,'Gate events'!$A$4:$A$553,0))="UC-ID specific",IF(OR(L240&lt;&gt;"UC-ID specific",K240=""),"Condition UC-ID required",IF(ISNUMBER(SEARCH(","&amp;SUBSTITUTE(K240," ","")&amp;",",","&amp;SUBSTITUTE(INDEX('Gate events'!$O$4:$O$553,MATCH(B240,'Gate events'!$A$4:$A$553,0))," ","")&amp;",")),"","UC-ID differs from decision")),IF(INDEX('Gate events'!$P$4:$P$553,MATCH(B240,'Gate events'!$A$4:$A$553,0))="Shared system baseline",IF(OR(L240&lt;&gt;"Shared system baseline",K240&lt;&gt;""),"Condition scope differs from decision",""),"Parent decision scope missing"))&lt;&gt;"",IF(INDEX('Gate events'!$P$4:$P$553,MATCH(B240,'Gate events'!$A$4:$A$553,0))="UC-ID specific",IF(OR(L240&lt;&gt;"UC-ID specific",K240=""),"Condition UC-ID required",IF(ISNUMBER(SEARCH(","&amp;SUBSTITUTE(K240," ","")&amp;",",","&amp;SUBSTITUTE(INDEX('Gate events'!$O$4:$O$553,MATCH(B240,'Gate events'!$A$4:$A$553,0))," ","")&amp;",")),"","UC-ID differs from decision")),IF(INDEX('Gate events'!$P$4:$P$553,MATCH(B240,'Gate events'!$A$4:$A$553,0))="Shared system baseline",IF(OR(L240&lt;&gt;"Shared system baseline",K240&lt;&gt;""),"Condition scope differs from decision",""),"Parent decision scope missing")),IF(OR(D240="",E240="",F240="",G240=""),"Condition, owner, due date or state missing",IF(NOT(ISNUMBER(F240)),"Due date is not a date",IF(OR(G240="Overdue",G240="Superseded"),"Legacy state — owner review (use the shared five states)",IF(INDEX('Gate events'!$E$4:$E$553,MATCH(B240,'Gate events'!$A$4:$A$553,0))&lt;&gt;"Decision","Parent event is not a Decision",IF(AND(INDEX('Gate events'!$G$4:$G$553,MATCH(B240,'Gate events'!$A$4:$A$553,0))&lt;&gt;"Progress with condition",INDEX('Gate events'!$G$4:$G$553,MATCH(B240,'Gate events'!$A$4:$A$553,0))&lt;&gt;"Re-authorise",INDEX('Gate events'!$G$4:$G$553,MATCH(B240,'Gate events'!$A$4:$A$553,0))&lt;&gt;"Resume"),"Parent outcome is not Progress with condition / Re-authorise / Resume",IF(AND(ISNUMBER(INDEX('Gate events'!$F$4:$F$553,MATCH(B240,'Gate events'!$A$4:$A$553,0))),F240&lt;INDEX('Gate events'!$F$4:$F$553,MATCH(B240,'Gate events'!$A$4:$A$553,0))),"Due date before parent event date",IF(AND(OR(G240="Closed-verified",G240="Waived",G240="Accepted-open"),OR(H240="",I240="")),"Closure evidence missing",IF(AND(H240&lt;&gt;"",NOT(ISNUMBER(H240))),"Closed / waived on is not a date",IF(AND(ISNUMBER(H240),ISNUMBER(INDEX('Gate events'!$F$4:$F$553,MATCH(B240,'Gate events'!$A$4:$A$553,0))),H240&lt;INDEX('Gate events'!$F$4:$F$553,MATCH(B240,'Gate events'!$A$4:$A$553,0))),"Closure date before parent event date",IF(AND(G240="Closed-verified",M240=""),"Verifier / date missing",IF(AND(N240="Yes",G240="Closed-verified",O240=""),"Monitoring condition needs AIG-OPS-02 evidence ref",IF(AND(G240="Open",F240&lt;TODAY()),"OVERDUE (derived) — review",IF(G240="Unknown","State Unknown: owner to confirm","Check against source")))))))))))))))))))</f>
        <v/>
      </c>
      <c r="K240" s="37" t="n"/>
      <c r="L240" s="37" t="n"/>
      <c r="M240" s="38" t="n"/>
      <c r="N240" s="38" t="n"/>
      <c r="O240" s="38" t="n"/>
    </row>
    <row r="241">
      <c r="A241" s="40" t="n"/>
      <c r="B241" s="40" t="n"/>
      <c r="C241" s="40" t="n"/>
      <c r="D241" s="40" t="n"/>
      <c r="E241" s="40" t="n"/>
      <c r="F241" s="41" t="n"/>
      <c r="G241" s="40" t="n"/>
      <c r="H241" s="41" t="n"/>
      <c r="I241" s="40" t="n"/>
      <c r="J241" s="24">
        <f>IF(COUNTA(A241:I241,K241:O241)=0,"",IF(OR(A241="",B241="",C241=""),"ID / parent missing",IF(COUNTIF($A$4:$A$553,A241)&gt;1,"Duplicate condition ID",IF(COUNTIF('Gate events'!$A$4:$A$553,B241)=0,"Event ID not found",IF(INDEX('Gate events'!$B$4:$B$553,MATCH(B241,'Gate events'!$A$4:$A$553,0))&lt;&gt;C241,"AIR-ID differs from event",IF(IF(INDEX('Gate events'!$P$4:$P$553,MATCH(B241,'Gate events'!$A$4:$A$553,0))="UC-ID specific",IF(OR(L241&lt;&gt;"UC-ID specific",K241=""),"Condition UC-ID required",IF(ISNUMBER(SEARCH(","&amp;SUBSTITUTE(K241," ","")&amp;",",","&amp;SUBSTITUTE(INDEX('Gate events'!$O$4:$O$553,MATCH(B241,'Gate events'!$A$4:$A$553,0))," ","")&amp;",")),"","UC-ID differs from decision")),IF(INDEX('Gate events'!$P$4:$P$553,MATCH(B241,'Gate events'!$A$4:$A$553,0))="Shared system baseline",IF(OR(L241&lt;&gt;"Shared system baseline",K241&lt;&gt;""),"Condition scope differs from decision",""),"Parent decision scope missing"))&lt;&gt;"",IF(INDEX('Gate events'!$P$4:$P$553,MATCH(B241,'Gate events'!$A$4:$A$553,0))="UC-ID specific",IF(OR(L241&lt;&gt;"UC-ID specific",K241=""),"Condition UC-ID required",IF(ISNUMBER(SEARCH(","&amp;SUBSTITUTE(K241," ","")&amp;",",","&amp;SUBSTITUTE(INDEX('Gate events'!$O$4:$O$553,MATCH(B241,'Gate events'!$A$4:$A$553,0))," ","")&amp;",")),"","UC-ID differs from decision")),IF(INDEX('Gate events'!$P$4:$P$553,MATCH(B241,'Gate events'!$A$4:$A$553,0))="Shared system baseline",IF(OR(L241&lt;&gt;"Shared system baseline",K241&lt;&gt;""),"Condition scope differs from decision",""),"Parent decision scope missing")),IF(OR(D241="",E241="",F241="",G241=""),"Condition, owner, due date or state missing",IF(NOT(ISNUMBER(F241)),"Due date is not a date",IF(OR(G241="Overdue",G241="Superseded"),"Legacy state — owner review (use the shared five states)",IF(INDEX('Gate events'!$E$4:$E$553,MATCH(B241,'Gate events'!$A$4:$A$553,0))&lt;&gt;"Decision","Parent event is not a Decision",IF(AND(INDEX('Gate events'!$G$4:$G$553,MATCH(B241,'Gate events'!$A$4:$A$553,0))&lt;&gt;"Progress with condition",INDEX('Gate events'!$G$4:$G$553,MATCH(B241,'Gate events'!$A$4:$A$553,0))&lt;&gt;"Re-authorise",INDEX('Gate events'!$G$4:$G$553,MATCH(B241,'Gate events'!$A$4:$A$553,0))&lt;&gt;"Resume"),"Parent outcome is not Progress with condition / Re-authorise / Resume",IF(AND(ISNUMBER(INDEX('Gate events'!$F$4:$F$553,MATCH(B241,'Gate events'!$A$4:$A$553,0))),F241&lt;INDEX('Gate events'!$F$4:$F$553,MATCH(B241,'Gate events'!$A$4:$A$553,0))),"Due date before parent event date",IF(AND(OR(G241="Closed-verified",G241="Waived",G241="Accepted-open"),OR(H241="",I241="")),"Closure evidence missing",IF(AND(H241&lt;&gt;"",NOT(ISNUMBER(H241))),"Closed / waived on is not a date",IF(AND(ISNUMBER(H241),ISNUMBER(INDEX('Gate events'!$F$4:$F$553,MATCH(B241,'Gate events'!$A$4:$A$553,0))),H241&lt;INDEX('Gate events'!$F$4:$F$553,MATCH(B241,'Gate events'!$A$4:$A$553,0))),"Closure date before parent event date",IF(AND(G241="Closed-verified",M241=""),"Verifier / date missing",IF(AND(N241="Yes",G241="Closed-verified",O241=""),"Monitoring condition needs AIG-OPS-02 evidence ref",IF(AND(G241="Open",F241&lt;TODAY()),"OVERDUE (derived) — review",IF(G241="Unknown","State Unknown: owner to confirm","Check against source")))))))))))))))))))</f>
        <v/>
      </c>
      <c r="K241" s="37" t="n"/>
      <c r="L241" s="37" t="n"/>
      <c r="M241" s="40" t="n"/>
      <c r="N241" s="40" t="n"/>
      <c r="O241" s="40" t="n"/>
    </row>
    <row r="242">
      <c r="A242" s="38" t="n"/>
      <c r="B242" s="38" t="n"/>
      <c r="C242" s="38" t="n"/>
      <c r="D242" s="38" t="n"/>
      <c r="E242" s="38" t="n"/>
      <c r="F242" s="39" t="n"/>
      <c r="G242" s="38" t="n"/>
      <c r="H242" s="39" t="n"/>
      <c r="I242" s="38" t="n"/>
      <c r="J242" s="22">
        <f>IF(COUNTA(A242:I242,K242:O242)=0,"",IF(OR(A242="",B242="",C242=""),"ID / parent missing",IF(COUNTIF($A$4:$A$553,A242)&gt;1,"Duplicate condition ID",IF(COUNTIF('Gate events'!$A$4:$A$553,B242)=0,"Event ID not found",IF(INDEX('Gate events'!$B$4:$B$553,MATCH(B242,'Gate events'!$A$4:$A$553,0))&lt;&gt;C242,"AIR-ID differs from event",IF(IF(INDEX('Gate events'!$P$4:$P$553,MATCH(B242,'Gate events'!$A$4:$A$553,0))="UC-ID specific",IF(OR(L242&lt;&gt;"UC-ID specific",K242=""),"Condition UC-ID required",IF(ISNUMBER(SEARCH(","&amp;SUBSTITUTE(K242," ","")&amp;",",","&amp;SUBSTITUTE(INDEX('Gate events'!$O$4:$O$553,MATCH(B242,'Gate events'!$A$4:$A$553,0))," ","")&amp;",")),"","UC-ID differs from decision")),IF(INDEX('Gate events'!$P$4:$P$553,MATCH(B242,'Gate events'!$A$4:$A$553,0))="Shared system baseline",IF(OR(L242&lt;&gt;"Shared system baseline",K242&lt;&gt;""),"Condition scope differs from decision",""),"Parent decision scope missing"))&lt;&gt;"",IF(INDEX('Gate events'!$P$4:$P$553,MATCH(B242,'Gate events'!$A$4:$A$553,0))="UC-ID specific",IF(OR(L242&lt;&gt;"UC-ID specific",K242=""),"Condition UC-ID required",IF(ISNUMBER(SEARCH(","&amp;SUBSTITUTE(K242," ","")&amp;",",","&amp;SUBSTITUTE(INDEX('Gate events'!$O$4:$O$553,MATCH(B242,'Gate events'!$A$4:$A$553,0))," ","")&amp;",")),"","UC-ID differs from decision")),IF(INDEX('Gate events'!$P$4:$P$553,MATCH(B242,'Gate events'!$A$4:$A$553,0))="Shared system baseline",IF(OR(L242&lt;&gt;"Shared system baseline",K242&lt;&gt;""),"Condition scope differs from decision",""),"Parent decision scope missing")),IF(OR(D242="",E242="",F242="",G242=""),"Condition, owner, due date or state missing",IF(NOT(ISNUMBER(F242)),"Due date is not a date",IF(OR(G242="Overdue",G242="Superseded"),"Legacy state — owner review (use the shared five states)",IF(INDEX('Gate events'!$E$4:$E$553,MATCH(B242,'Gate events'!$A$4:$A$553,0))&lt;&gt;"Decision","Parent event is not a Decision",IF(AND(INDEX('Gate events'!$G$4:$G$553,MATCH(B242,'Gate events'!$A$4:$A$553,0))&lt;&gt;"Progress with condition",INDEX('Gate events'!$G$4:$G$553,MATCH(B242,'Gate events'!$A$4:$A$553,0))&lt;&gt;"Re-authorise",INDEX('Gate events'!$G$4:$G$553,MATCH(B242,'Gate events'!$A$4:$A$553,0))&lt;&gt;"Resume"),"Parent outcome is not Progress with condition / Re-authorise / Resume",IF(AND(ISNUMBER(INDEX('Gate events'!$F$4:$F$553,MATCH(B242,'Gate events'!$A$4:$A$553,0))),F242&lt;INDEX('Gate events'!$F$4:$F$553,MATCH(B242,'Gate events'!$A$4:$A$553,0))),"Due date before parent event date",IF(AND(OR(G242="Closed-verified",G242="Waived",G242="Accepted-open"),OR(H242="",I242="")),"Closure evidence missing",IF(AND(H242&lt;&gt;"",NOT(ISNUMBER(H242))),"Closed / waived on is not a date",IF(AND(ISNUMBER(H242),ISNUMBER(INDEX('Gate events'!$F$4:$F$553,MATCH(B242,'Gate events'!$A$4:$A$553,0))),H242&lt;INDEX('Gate events'!$F$4:$F$553,MATCH(B242,'Gate events'!$A$4:$A$553,0))),"Closure date before parent event date",IF(AND(G242="Closed-verified",M242=""),"Verifier / date missing",IF(AND(N242="Yes",G242="Closed-verified",O242=""),"Monitoring condition needs AIG-OPS-02 evidence ref",IF(AND(G242="Open",F242&lt;TODAY()),"OVERDUE (derived) — review",IF(G242="Unknown","State Unknown: owner to confirm","Check against source")))))))))))))))))))</f>
        <v/>
      </c>
      <c r="K242" s="37" t="n"/>
      <c r="L242" s="37" t="n"/>
      <c r="M242" s="38" t="n"/>
      <c r="N242" s="38" t="n"/>
      <c r="O242" s="38" t="n"/>
    </row>
    <row r="243">
      <c r="A243" s="40" t="n"/>
      <c r="B243" s="40" t="n"/>
      <c r="C243" s="40" t="n"/>
      <c r="D243" s="40" t="n"/>
      <c r="E243" s="40" t="n"/>
      <c r="F243" s="41" t="n"/>
      <c r="G243" s="40" t="n"/>
      <c r="H243" s="41" t="n"/>
      <c r="I243" s="40" t="n"/>
      <c r="J243" s="24">
        <f>IF(COUNTA(A243:I243,K243:O243)=0,"",IF(OR(A243="",B243="",C243=""),"ID / parent missing",IF(COUNTIF($A$4:$A$553,A243)&gt;1,"Duplicate condition ID",IF(COUNTIF('Gate events'!$A$4:$A$553,B243)=0,"Event ID not found",IF(INDEX('Gate events'!$B$4:$B$553,MATCH(B243,'Gate events'!$A$4:$A$553,0))&lt;&gt;C243,"AIR-ID differs from event",IF(IF(INDEX('Gate events'!$P$4:$P$553,MATCH(B243,'Gate events'!$A$4:$A$553,0))="UC-ID specific",IF(OR(L243&lt;&gt;"UC-ID specific",K243=""),"Condition UC-ID required",IF(ISNUMBER(SEARCH(","&amp;SUBSTITUTE(K243," ","")&amp;",",","&amp;SUBSTITUTE(INDEX('Gate events'!$O$4:$O$553,MATCH(B243,'Gate events'!$A$4:$A$553,0))," ","")&amp;",")),"","UC-ID differs from decision")),IF(INDEX('Gate events'!$P$4:$P$553,MATCH(B243,'Gate events'!$A$4:$A$553,0))="Shared system baseline",IF(OR(L243&lt;&gt;"Shared system baseline",K243&lt;&gt;""),"Condition scope differs from decision",""),"Parent decision scope missing"))&lt;&gt;"",IF(INDEX('Gate events'!$P$4:$P$553,MATCH(B243,'Gate events'!$A$4:$A$553,0))="UC-ID specific",IF(OR(L243&lt;&gt;"UC-ID specific",K243=""),"Condition UC-ID required",IF(ISNUMBER(SEARCH(","&amp;SUBSTITUTE(K243," ","")&amp;",",","&amp;SUBSTITUTE(INDEX('Gate events'!$O$4:$O$553,MATCH(B243,'Gate events'!$A$4:$A$553,0))," ","")&amp;",")),"","UC-ID differs from decision")),IF(INDEX('Gate events'!$P$4:$P$553,MATCH(B243,'Gate events'!$A$4:$A$553,0))="Shared system baseline",IF(OR(L243&lt;&gt;"Shared system baseline",K243&lt;&gt;""),"Condition scope differs from decision",""),"Parent decision scope missing")),IF(OR(D243="",E243="",F243="",G243=""),"Condition, owner, due date or state missing",IF(NOT(ISNUMBER(F243)),"Due date is not a date",IF(OR(G243="Overdue",G243="Superseded"),"Legacy state — owner review (use the shared five states)",IF(INDEX('Gate events'!$E$4:$E$553,MATCH(B243,'Gate events'!$A$4:$A$553,0))&lt;&gt;"Decision","Parent event is not a Decision",IF(AND(INDEX('Gate events'!$G$4:$G$553,MATCH(B243,'Gate events'!$A$4:$A$553,0))&lt;&gt;"Progress with condition",INDEX('Gate events'!$G$4:$G$553,MATCH(B243,'Gate events'!$A$4:$A$553,0))&lt;&gt;"Re-authorise",INDEX('Gate events'!$G$4:$G$553,MATCH(B243,'Gate events'!$A$4:$A$553,0))&lt;&gt;"Resume"),"Parent outcome is not Progress with condition / Re-authorise / Resume",IF(AND(ISNUMBER(INDEX('Gate events'!$F$4:$F$553,MATCH(B243,'Gate events'!$A$4:$A$553,0))),F243&lt;INDEX('Gate events'!$F$4:$F$553,MATCH(B243,'Gate events'!$A$4:$A$553,0))),"Due date before parent event date",IF(AND(OR(G243="Closed-verified",G243="Waived",G243="Accepted-open"),OR(H243="",I243="")),"Closure evidence missing",IF(AND(H243&lt;&gt;"",NOT(ISNUMBER(H243))),"Closed / waived on is not a date",IF(AND(ISNUMBER(H243),ISNUMBER(INDEX('Gate events'!$F$4:$F$553,MATCH(B243,'Gate events'!$A$4:$A$553,0))),H243&lt;INDEX('Gate events'!$F$4:$F$553,MATCH(B243,'Gate events'!$A$4:$A$553,0))),"Closure date before parent event date",IF(AND(G243="Closed-verified",M243=""),"Verifier / date missing",IF(AND(N243="Yes",G243="Closed-verified",O243=""),"Monitoring condition needs AIG-OPS-02 evidence ref",IF(AND(G243="Open",F243&lt;TODAY()),"OVERDUE (derived) — review",IF(G243="Unknown","State Unknown: owner to confirm","Check against source")))))))))))))))))))</f>
        <v/>
      </c>
      <c r="K243" s="37" t="n"/>
      <c r="L243" s="37" t="n"/>
      <c r="M243" s="40" t="n"/>
      <c r="N243" s="40" t="n"/>
      <c r="O243" s="40" t="n"/>
    </row>
    <row r="244">
      <c r="A244" s="38" t="n"/>
      <c r="B244" s="38" t="n"/>
      <c r="C244" s="38" t="n"/>
      <c r="D244" s="38" t="n"/>
      <c r="E244" s="38" t="n"/>
      <c r="F244" s="39" t="n"/>
      <c r="G244" s="38" t="n"/>
      <c r="H244" s="39" t="n"/>
      <c r="I244" s="38" t="n"/>
      <c r="J244" s="22">
        <f>IF(COUNTA(A244:I244,K244:O244)=0,"",IF(OR(A244="",B244="",C244=""),"ID / parent missing",IF(COUNTIF($A$4:$A$553,A244)&gt;1,"Duplicate condition ID",IF(COUNTIF('Gate events'!$A$4:$A$553,B244)=0,"Event ID not found",IF(INDEX('Gate events'!$B$4:$B$553,MATCH(B244,'Gate events'!$A$4:$A$553,0))&lt;&gt;C244,"AIR-ID differs from event",IF(IF(INDEX('Gate events'!$P$4:$P$553,MATCH(B244,'Gate events'!$A$4:$A$553,0))="UC-ID specific",IF(OR(L244&lt;&gt;"UC-ID specific",K244=""),"Condition UC-ID required",IF(ISNUMBER(SEARCH(","&amp;SUBSTITUTE(K244," ","")&amp;",",","&amp;SUBSTITUTE(INDEX('Gate events'!$O$4:$O$553,MATCH(B244,'Gate events'!$A$4:$A$553,0))," ","")&amp;",")),"","UC-ID differs from decision")),IF(INDEX('Gate events'!$P$4:$P$553,MATCH(B244,'Gate events'!$A$4:$A$553,0))="Shared system baseline",IF(OR(L244&lt;&gt;"Shared system baseline",K244&lt;&gt;""),"Condition scope differs from decision",""),"Parent decision scope missing"))&lt;&gt;"",IF(INDEX('Gate events'!$P$4:$P$553,MATCH(B244,'Gate events'!$A$4:$A$553,0))="UC-ID specific",IF(OR(L244&lt;&gt;"UC-ID specific",K244=""),"Condition UC-ID required",IF(ISNUMBER(SEARCH(","&amp;SUBSTITUTE(K244," ","")&amp;",",","&amp;SUBSTITUTE(INDEX('Gate events'!$O$4:$O$553,MATCH(B244,'Gate events'!$A$4:$A$553,0))," ","")&amp;",")),"","UC-ID differs from decision")),IF(INDEX('Gate events'!$P$4:$P$553,MATCH(B244,'Gate events'!$A$4:$A$553,0))="Shared system baseline",IF(OR(L244&lt;&gt;"Shared system baseline",K244&lt;&gt;""),"Condition scope differs from decision",""),"Parent decision scope missing")),IF(OR(D244="",E244="",F244="",G244=""),"Condition, owner, due date or state missing",IF(NOT(ISNUMBER(F244)),"Due date is not a date",IF(OR(G244="Overdue",G244="Superseded"),"Legacy state — owner review (use the shared five states)",IF(INDEX('Gate events'!$E$4:$E$553,MATCH(B244,'Gate events'!$A$4:$A$553,0))&lt;&gt;"Decision","Parent event is not a Decision",IF(AND(INDEX('Gate events'!$G$4:$G$553,MATCH(B244,'Gate events'!$A$4:$A$553,0))&lt;&gt;"Progress with condition",INDEX('Gate events'!$G$4:$G$553,MATCH(B244,'Gate events'!$A$4:$A$553,0))&lt;&gt;"Re-authorise",INDEX('Gate events'!$G$4:$G$553,MATCH(B244,'Gate events'!$A$4:$A$553,0))&lt;&gt;"Resume"),"Parent outcome is not Progress with condition / Re-authorise / Resume",IF(AND(ISNUMBER(INDEX('Gate events'!$F$4:$F$553,MATCH(B244,'Gate events'!$A$4:$A$553,0))),F244&lt;INDEX('Gate events'!$F$4:$F$553,MATCH(B244,'Gate events'!$A$4:$A$553,0))),"Due date before parent event date",IF(AND(OR(G244="Closed-verified",G244="Waived",G244="Accepted-open"),OR(H244="",I244="")),"Closure evidence missing",IF(AND(H244&lt;&gt;"",NOT(ISNUMBER(H244))),"Closed / waived on is not a date",IF(AND(ISNUMBER(H244),ISNUMBER(INDEX('Gate events'!$F$4:$F$553,MATCH(B244,'Gate events'!$A$4:$A$553,0))),H244&lt;INDEX('Gate events'!$F$4:$F$553,MATCH(B244,'Gate events'!$A$4:$A$553,0))),"Closure date before parent event date",IF(AND(G244="Closed-verified",M244=""),"Verifier / date missing",IF(AND(N244="Yes",G244="Closed-verified",O244=""),"Monitoring condition needs AIG-OPS-02 evidence ref",IF(AND(G244="Open",F244&lt;TODAY()),"OVERDUE (derived) — review",IF(G244="Unknown","State Unknown: owner to confirm","Check against source")))))))))))))))))))</f>
        <v/>
      </c>
      <c r="K244" s="37" t="n"/>
      <c r="L244" s="37" t="n"/>
      <c r="M244" s="38" t="n"/>
      <c r="N244" s="38" t="n"/>
      <c r="O244" s="38" t="n"/>
    </row>
    <row r="245">
      <c r="A245" s="40" t="n"/>
      <c r="B245" s="40" t="n"/>
      <c r="C245" s="40" t="n"/>
      <c r="D245" s="40" t="n"/>
      <c r="E245" s="40" t="n"/>
      <c r="F245" s="41" t="n"/>
      <c r="G245" s="40" t="n"/>
      <c r="H245" s="41" t="n"/>
      <c r="I245" s="40" t="n"/>
      <c r="J245" s="24">
        <f>IF(COUNTA(A245:I245,K245:O245)=0,"",IF(OR(A245="",B245="",C245=""),"ID / parent missing",IF(COUNTIF($A$4:$A$553,A245)&gt;1,"Duplicate condition ID",IF(COUNTIF('Gate events'!$A$4:$A$553,B245)=0,"Event ID not found",IF(INDEX('Gate events'!$B$4:$B$553,MATCH(B245,'Gate events'!$A$4:$A$553,0))&lt;&gt;C245,"AIR-ID differs from event",IF(IF(INDEX('Gate events'!$P$4:$P$553,MATCH(B245,'Gate events'!$A$4:$A$553,0))="UC-ID specific",IF(OR(L245&lt;&gt;"UC-ID specific",K245=""),"Condition UC-ID required",IF(ISNUMBER(SEARCH(","&amp;SUBSTITUTE(K245," ","")&amp;",",","&amp;SUBSTITUTE(INDEX('Gate events'!$O$4:$O$553,MATCH(B245,'Gate events'!$A$4:$A$553,0))," ","")&amp;",")),"","UC-ID differs from decision")),IF(INDEX('Gate events'!$P$4:$P$553,MATCH(B245,'Gate events'!$A$4:$A$553,0))="Shared system baseline",IF(OR(L245&lt;&gt;"Shared system baseline",K245&lt;&gt;""),"Condition scope differs from decision",""),"Parent decision scope missing"))&lt;&gt;"",IF(INDEX('Gate events'!$P$4:$P$553,MATCH(B245,'Gate events'!$A$4:$A$553,0))="UC-ID specific",IF(OR(L245&lt;&gt;"UC-ID specific",K245=""),"Condition UC-ID required",IF(ISNUMBER(SEARCH(","&amp;SUBSTITUTE(K245," ","")&amp;",",","&amp;SUBSTITUTE(INDEX('Gate events'!$O$4:$O$553,MATCH(B245,'Gate events'!$A$4:$A$553,0))," ","")&amp;",")),"","UC-ID differs from decision")),IF(INDEX('Gate events'!$P$4:$P$553,MATCH(B245,'Gate events'!$A$4:$A$553,0))="Shared system baseline",IF(OR(L245&lt;&gt;"Shared system baseline",K245&lt;&gt;""),"Condition scope differs from decision",""),"Parent decision scope missing")),IF(OR(D245="",E245="",F245="",G245=""),"Condition, owner, due date or state missing",IF(NOT(ISNUMBER(F245)),"Due date is not a date",IF(OR(G245="Overdue",G245="Superseded"),"Legacy state — owner review (use the shared five states)",IF(INDEX('Gate events'!$E$4:$E$553,MATCH(B245,'Gate events'!$A$4:$A$553,0))&lt;&gt;"Decision","Parent event is not a Decision",IF(AND(INDEX('Gate events'!$G$4:$G$553,MATCH(B245,'Gate events'!$A$4:$A$553,0))&lt;&gt;"Progress with condition",INDEX('Gate events'!$G$4:$G$553,MATCH(B245,'Gate events'!$A$4:$A$553,0))&lt;&gt;"Re-authorise",INDEX('Gate events'!$G$4:$G$553,MATCH(B245,'Gate events'!$A$4:$A$553,0))&lt;&gt;"Resume"),"Parent outcome is not Progress with condition / Re-authorise / Resume",IF(AND(ISNUMBER(INDEX('Gate events'!$F$4:$F$553,MATCH(B245,'Gate events'!$A$4:$A$553,0))),F245&lt;INDEX('Gate events'!$F$4:$F$553,MATCH(B245,'Gate events'!$A$4:$A$553,0))),"Due date before parent event date",IF(AND(OR(G245="Closed-verified",G245="Waived",G245="Accepted-open"),OR(H245="",I245="")),"Closure evidence missing",IF(AND(H245&lt;&gt;"",NOT(ISNUMBER(H245))),"Closed / waived on is not a date",IF(AND(ISNUMBER(H245),ISNUMBER(INDEX('Gate events'!$F$4:$F$553,MATCH(B245,'Gate events'!$A$4:$A$553,0))),H245&lt;INDEX('Gate events'!$F$4:$F$553,MATCH(B245,'Gate events'!$A$4:$A$553,0))),"Closure date before parent event date",IF(AND(G245="Closed-verified",M245=""),"Verifier / date missing",IF(AND(N245="Yes",G245="Closed-verified",O245=""),"Monitoring condition needs AIG-OPS-02 evidence ref",IF(AND(G245="Open",F245&lt;TODAY()),"OVERDUE (derived) — review",IF(G245="Unknown","State Unknown: owner to confirm","Check against source")))))))))))))))))))</f>
        <v/>
      </c>
      <c r="K245" s="37" t="n"/>
      <c r="L245" s="37" t="n"/>
      <c r="M245" s="40" t="n"/>
      <c r="N245" s="40" t="n"/>
      <c r="O245" s="40" t="n"/>
    </row>
    <row r="246">
      <c r="A246" s="38" t="n"/>
      <c r="B246" s="38" t="n"/>
      <c r="C246" s="38" t="n"/>
      <c r="D246" s="38" t="n"/>
      <c r="E246" s="38" t="n"/>
      <c r="F246" s="39" t="n"/>
      <c r="G246" s="38" t="n"/>
      <c r="H246" s="39" t="n"/>
      <c r="I246" s="38" t="n"/>
      <c r="J246" s="22">
        <f>IF(COUNTA(A246:I246,K246:O246)=0,"",IF(OR(A246="",B246="",C246=""),"ID / parent missing",IF(COUNTIF($A$4:$A$553,A246)&gt;1,"Duplicate condition ID",IF(COUNTIF('Gate events'!$A$4:$A$553,B246)=0,"Event ID not found",IF(INDEX('Gate events'!$B$4:$B$553,MATCH(B246,'Gate events'!$A$4:$A$553,0))&lt;&gt;C246,"AIR-ID differs from event",IF(IF(INDEX('Gate events'!$P$4:$P$553,MATCH(B246,'Gate events'!$A$4:$A$553,0))="UC-ID specific",IF(OR(L246&lt;&gt;"UC-ID specific",K246=""),"Condition UC-ID required",IF(ISNUMBER(SEARCH(","&amp;SUBSTITUTE(K246," ","")&amp;",",","&amp;SUBSTITUTE(INDEX('Gate events'!$O$4:$O$553,MATCH(B246,'Gate events'!$A$4:$A$553,0))," ","")&amp;",")),"","UC-ID differs from decision")),IF(INDEX('Gate events'!$P$4:$P$553,MATCH(B246,'Gate events'!$A$4:$A$553,0))="Shared system baseline",IF(OR(L246&lt;&gt;"Shared system baseline",K246&lt;&gt;""),"Condition scope differs from decision",""),"Parent decision scope missing"))&lt;&gt;"",IF(INDEX('Gate events'!$P$4:$P$553,MATCH(B246,'Gate events'!$A$4:$A$553,0))="UC-ID specific",IF(OR(L246&lt;&gt;"UC-ID specific",K246=""),"Condition UC-ID required",IF(ISNUMBER(SEARCH(","&amp;SUBSTITUTE(K246," ","")&amp;",",","&amp;SUBSTITUTE(INDEX('Gate events'!$O$4:$O$553,MATCH(B246,'Gate events'!$A$4:$A$553,0))," ","")&amp;",")),"","UC-ID differs from decision")),IF(INDEX('Gate events'!$P$4:$P$553,MATCH(B246,'Gate events'!$A$4:$A$553,0))="Shared system baseline",IF(OR(L246&lt;&gt;"Shared system baseline",K246&lt;&gt;""),"Condition scope differs from decision",""),"Parent decision scope missing")),IF(OR(D246="",E246="",F246="",G246=""),"Condition, owner, due date or state missing",IF(NOT(ISNUMBER(F246)),"Due date is not a date",IF(OR(G246="Overdue",G246="Superseded"),"Legacy state — owner review (use the shared five states)",IF(INDEX('Gate events'!$E$4:$E$553,MATCH(B246,'Gate events'!$A$4:$A$553,0))&lt;&gt;"Decision","Parent event is not a Decision",IF(AND(INDEX('Gate events'!$G$4:$G$553,MATCH(B246,'Gate events'!$A$4:$A$553,0))&lt;&gt;"Progress with condition",INDEX('Gate events'!$G$4:$G$553,MATCH(B246,'Gate events'!$A$4:$A$553,0))&lt;&gt;"Re-authorise",INDEX('Gate events'!$G$4:$G$553,MATCH(B246,'Gate events'!$A$4:$A$553,0))&lt;&gt;"Resume"),"Parent outcome is not Progress with condition / Re-authorise / Resume",IF(AND(ISNUMBER(INDEX('Gate events'!$F$4:$F$553,MATCH(B246,'Gate events'!$A$4:$A$553,0))),F246&lt;INDEX('Gate events'!$F$4:$F$553,MATCH(B246,'Gate events'!$A$4:$A$553,0))),"Due date before parent event date",IF(AND(OR(G246="Closed-verified",G246="Waived",G246="Accepted-open"),OR(H246="",I246="")),"Closure evidence missing",IF(AND(H246&lt;&gt;"",NOT(ISNUMBER(H246))),"Closed / waived on is not a date",IF(AND(ISNUMBER(H246),ISNUMBER(INDEX('Gate events'!$F$4:$F$553,MATCH(B246,'Gate events'!$A$4:$A$553,0))),H246&lt;INDEX('Gate events'!$F$4:$F$553,MATCH(B246,'Gate events'!$A$4:$A$553,0))),"Closure date before parent event date",IF(AND(G246="Closed-verified",M246=""),"Verifier / date missing",IF(AND(N246="Yes",G246="Closed-verified",O246=""),"Monitoring condition needs AIG-OPS-02 evidence ref",IF(AND(G246="Open",F246&lt;TODAY()),"OVERDUE (derived) — review",IF(G246="Unknown","State Unknown: owner to confirm","Check against source")))))))))))))))))))</f>
        <v/>
      </c>
      <c r="K246" s="37" t="n"/>
      <c r="L246" s="37" t="n"/>
      <c r="M246" s="38" t="n"/>
      <c r="N246" s="38" t="n"/>
      <c r="O246" s="38" t="n"/>
    </row>
    <row r="247">
      <c r="A247" s="40" t="n"/>
      <c r="B247" s="40" t="n"/>
      <c r="C247" s="40" t="n"/>
      <c r="D247" s="40" t="n"/>
      <c r="E247" s="40" t="n"/>
      <c r="F247" s="41" t="n"/>
      <c r="G247" s="40" t="n"/>
      <c r="H247" s="41" t="n"/>
      <c r="I247" s="40" t="n"/>
      <c r="J247" s="24">
        <f>IF(COUNTA(A247:I247,K247:O247)=0,"",IF(OR(A247="",B247="",C247=""),"ID / parent missing",IF(COUNTIF($A$4:$A$553,A247)&gt;1,"Duplicate condition ID",IF(COUNTIF('Gate events'!$A$4:$A$553,B247)=0,"Event ID not found",IF(INDEX('Gate events'!$B$4:$B$553,MATCH(B247,'Gate events'!$A$4:$A$553,0))&lt;&gt;C247,"AIR-ID differs from event",IF(IF(INDEX('Gate events'!$P$4:$P$553,MATCH(B247,'Gate events'!$A$4:$A$553,0))="UC-ID specific",IF(OR(L247&lt;&gt;"UC-ID specific",K247=""),"Condition UC-ID required",IF(ISNUMBER(SEARCH(","&amp;SUBSTITUTE(K247," ","")&amp;",",","&amp;SUBSTITUTE(INDEX('Gate events'!$O$4:$O$553,MATCH(B247,'Gate events'!$A$4:$A$553,0))," ","")&amp;",")),"","UC-ID differs from decision")),IF(INDEX('Gate events'!$P$4:$P$553,MATCH(B247,'Gate events'!$A$4:$A$553,0))="Shared system baseline",IF(OR(L247&lt;&gt;"Shared system baseline",K247&lt;&gt;""),"Condition scope differs from decision",""),"Parent decision scope missing"))&lt;&gt;"",IF(INDEX('Gate events'!$P$4:$P$553,MATCH(B247,'Gate events'!$A$4:$A$553,0))="UC-ID specific",IF(OR(L247&lt;&gt;"UC-ID specific",K247=""),"Condition UC-ID required",IF(ISNUMBER(SEARCH(","&amp;SUBSTITUTE(K247," ","")&amp;",",","&amp;SUBSTITUTE(INDEX('Gate events'!$O$4:$O$553,MATCH(B247,'Gate events'!$A$4:$A$553,0))," ","")&amp;",")),"","UC-ID differs from decision")),IF(INDEX('Gate events'!$P$4:$P$553,MATCH(B247,'Gate events'!$A$4:$A$553,0))="Shared system baseline",IF(OR(L247&lt;&gt;"Shared system baseline",K247&lt;&gt;""),"Condition scope differs from decision",""),"Parent decision scope missing")),IF(OR(D247="",E247="",F247="",G247=""),"Condition, owner, due date or state missing",IF(NOT(ISNUMBER(F247)),"Due date is not a date",IF(OR(G247="Overdue",G247="Superseded"),"Legacy state — owner review (use the shared five states)",IF(INDEX('Gate events'!$E$4:$E$553,MATCH(B247,'Gate events'!$A$4:$A$553,0))&lt;&gt;"Decision","Parent event is not a Decision",IF(AND(INDEX('Gate events'!$G$4:$G$553,MATCH(B247,'Gate events'!$A$4:$A$553,0))&lt;&gt;"Progress with condition",INDEX('Gate events'!$G$4:$G$553,MATCH(B247,'Gate events'!$A$4:$A$553,0))&lt;&gt;"Re-authorise",INDEX('Gate events'!$G$4:$G$553,MATCH(B247,'Gate events'!$A$4:$A$553,0))&lt;&gt;"Resume"),"Parent outcome is not Progress with condition / Re-authorise / Resume",IF(AND(ISNUMBER(INDEX('Gate events'!$F$4:$F$553,MATCH(B247,'Gate events'!$A$4:$A$553,0))),F247&lt;INDEX('Gate events'!$F$4:$F$553,MATCH(B247,'Gate events'!$A$4:$A$553,0))),"Due date before parent event date",IF(AND(OR(G247="Closed-verified",G247="Waived",G247="Accepted-open"),OR(H247="",I247="")),"Closure evidence missing",IF(AND(H247&lt;&gt;"",NOT(ISNUMBER(H247))),"Closed / waived on is not a date",IF(AND(ISNUMBER(H247),ISNUMBER(INDEX('Gate events'!$F$4:$F$553,MATCH(B247,'Gate events'!$A$4:$A$553,0))),H247&lt;INDEX('Gate events'!$F$4:$F$553,MATCH(B247,'Gate events'!$A$4:$A$553,0))),"Closure date before parent event date",IF(AND(G247="Closed-verified",M247=""),"Verifier / date missing",IF(AND(N247="Yes",G247="Closed-verified",O247=""),"Monitoring condition needs AIG-OPS-02 evidence ref",IF(AND(G247="Open",F247&lt;TODAY()),"OVERDUE (derived) — review",IF(G247="Unknown","State Unknown: owner to confirm","Check against source")))))))))))))))))))</f>
        <v/>
      </c>
      <c r="K247" s="37" t="n"/>
      <c r="L247" s="37" t="n"/>
      <c r="M247" s="40" t="n"/>
      <c r="N247" s="40" t="n"/>
      <c r="O247" s="40" t="n"/>
    </row>
    <row r="248">
      <c r="A248" s="38" t="n"/>
      <c r="B248" s="38" t="n"/>
      <c r="C248" s="38" t="n"/>
      <c r="D248" s="38" t="n"/>
      <c r="E248" s="38" t="n"/>
      <c r="F248" s="39" t="n"/>
      <c r="G248" s="38" t="n"/>
      <c r="H248" s="39" t="n"/>
      <c r="I248" s="38" t="n"/>
      <c r="J248" s="22">
        <f>IF(COUNTA(A248:I248,K248:O248)=0,"",IF(OR(A248="",B248="",C248=""),"ID / parent missing",IF(COUNTIF($A$4:$A$553,A248)&gt;1,"Duplicate condition ID",IF(COUNTIF('Gate events'!$A$4:$A$553,B248)=0,"Event ID not found",IF(INDEX('Gate events'!$B$4:$B$553,MATCH(B248,'Gate events'!$A$4:$A$553,0))&lt;&gt;C248,"AIR-ID differs from event",IF(IF(INDEX('Gate events'!$P$4:$P$553,MATCH(B248,'Gate events'!$A$4:$A$553,0))="UC-ID specific",IF(OR(L248&lt;&gt;"UC-ID specific",K248=""),"Condition UC-ID required",IF(ISNUMBER(SEARCH(","&amp;SUBSTITUTE(K248," ","")&amp;",",","&amp;SUBSTITUTE(INDEX('Gate events'!$O$4:$O$553,MATCH(B248,'Gate events'!$A$4:$A$553,0))," ","")&amp;",")),"","UC-ID differs from decision")),IF(INDEX('Gate events'!$P$4:$P$553,MATCH(B248,'Gate events'!$A$4:$A$553,0))="Shared system baseline",IF(OR(L248&lt;&gt;"Shared system baseline",K248&lt;&gt;""),"Condition scope differs from decision",""),"Parent decision scope missing"))&lt;&gt;"",IF(INDEX('Gate events'!$P$4:$P$553,MATCH(B248,'Gate events'!$A$4:$A$553,0))="UC-ID specific",IF(OR(L248&lt;&gt;"UC-ID specific",K248=""),"Condition UC-ID required",IF(ISNUMBER(SEARCH(","&amp;SUBSTITUTE(K248," ","")&amp;",",","&amp;SUBSTITUTE(INDEX('Gate events'!$O$4:$O$553,MATCH(B248,'Gate events'!$A$4:$A$553,0))," ","")&amp;",")),"","UC-ID differs from decision")),IF(INDEX('Gate events'!$P$4:$P$553,MATCH(B248,'Gate events'!$A$4:$A$553,0))="Shared system baseline",IF(OR(L248&lt;&gt;"Shared system baseline",K248&lt;&gt;""),"Condition scope differs from decision",""),"Parent decision scope missing")),IF(OR(D248="",E248="",F248="",G248=""),"Condition, owner, due date or state missing",IF(NOT(ISNUMBER(F248)),"Due date is not a date",IF(OR(G248="Overdue",G248="Superseded"),"Legacy state — owner review (use the shared five states)",IF(INDEX('Gate events'!$E$4:$E$553,MATCH(B248,'Gate events'!$A$4:$A$553,0))&lt;&gt;"Decision","Parent event is not a Decision",IF(AND(INDEX('Gate events'!$G$4:$G$553,MATCH(B248,'Gate events'!$A$4:$A$553,0))&lt;&gt;"Progress with condition",INDEX('Gate events'!$G$4:$G$553,MATCH(B248,'Gate events'!$A$4:$A$553,0))&lt;&gt;"Re-authorise",INDEX('Gate events'!$G$4:$G$553,MATCH(B248,'Gate events'!$A$4:$A$553,0))&lt;&gt;"Resume"),"Parent outcome is not Progress with condition / Re-authorise / Resume",IF(AND(ISNUMBER(INDEX('Gate events'!$F$4:$F$553,MATCH(B248,'Gate events'!$A$4:$A$553,0))),F248&lt;INDEX('Gate events'!$F$4:$F$553,MATCH(B248,'Gate events'!$A$4:$A$553,0))),"Due date before parent event date",IF(AND(OR(G248="Closed-verified",G248="Waived",G248="Accepted-open"),OR(H248="",I248="")),"Closure evidence missing",IF(AND(H248&lt;&gt;"",NOT(ISNUMBER(H248))),"Closed / waived on is not a date",IF(AND(ISNUMBER(H248),ISNUMBER(INDEX('Gate events'!$F$4:$F$553,MATCH(B248,'Gate events'!$A$4:$A$553,0))),H248&lt;INDEX('Gate events'!$F$4:$F$553,MATCH(B248,'Gate events'!$A$4:$A$553,0))),"Closure date before parent event date",IF(AND(G248="Closed-verified",M248=""),"Verifier / date missing",IF(AND(N248="Yes",G248="Closed-verified",O248=""),"Monitoring condition needs AIG-OPS-02 evidence ref",IF(AND(G248="Open",F248&lt;TODAY()),"OVERDUE (derived) — review",IF(G248="Unknown","State Unknown: owner to confirm","Check against source")))))))))))))))))))</f>
        <v/>
      </c>
      <c r="K248" s="37" t="n"/>
      <c r="L248" s="37" t="n"/>
      <c r="M248" s="38" t="n"/>
      <c r="N248" s="38" t="n"/>
      <c r="O248" s="38" t="n"/>
    </row>
    <row r="249">
      <c r="A249" s="40" t="n"/>
      <c r="B249" s="40" t="n"/>
      <c r="C249" s="40" t="n"/>
      <c r="D249" s="40" t="n"/>
      <c r="E249" s="40" t="n"/>
      <c r="F249" s="41" t="n"/>
      <c r="G249" s="40" t="n"/>
      <c r="H249" s="41" t="n"/>
      <c r="I249" s="40" t="n"/>
      <c r="J249" s="24">
        <f>IF(COUNTA(A249:I249,K249:O249)=0,"",IF(OR(A249="",B249="",C249=""),"ID / parent missing",IF(COUNTIF($A$4:$A$553,A249)&gt;1,"Duplicate condition ID",IF(COUNTIF('Gate events'!$A$4:$A$553,B249)=0,"Event ID not found",IF(INDEX('Gate events'!$B$4:$B$553,MATCH(B249,'Gate events'!$A$4:$A$553,0))&lt;&gt;C249,"AIR-ID differs from event",IF(IF(INDEX('Gate events'!$P$4:$P$553,MATCH(B249,'Gate events'!$A$4:$A$553,0))="UC-ID specific",IF(OR(L249&lt;&gt;"UC-ID specific",K249=""),"Condition UC-ID required",IF(ISNUMBER(SEARCH(","&amp;SUBSTITUTE(K249," ","")&amp;",",","&amp;SUBSTITUTE(INDEX('Gate events'!$O$4:$O$553,MATCH(B249,'Gate events'!$A$4:$A$553,0))," ","")&amp;",")),"","UC-ID differs from decision")),IF(INDEX('Gate events'!$P$4:$P$553,MATCH(B249,'Gate events'!$A$4:$A$553,0))="Shared system baseline",IF(OR(L249&lt;&gt;"Shared system baseline",K249&lt;&gt;""),"Condition scope differs from decision",""),"Parent decision scope missing"))&lt;&gt;"",IF(INDEX('Gate events'!$P$4:$P$553,MATCH(B249,'Gate events'!$A$4:$A$553,0))="UC-ID specific",IF(OR(L249&lt;&gt;"UC-ID specific",K249=""),"Condition UC-ID required",IF(ISNUMBER(SEARCH(","&amp;SUBSTITUTE(K249," ","")&amp;",",","&amp;SUBSTITUTE(INDEX('Gate events'!$O$4:$O$553,MATCH(B249,'Gate events'!$A$4:$A$553,0))," ","")&amp;",")),"","UC-ID differs from decision")),IF(INDEX('Gate events'!$P$4:$P$553,MATCH(B249,'Gate events'!$A$4:$A$553,0))="Shared system baseline",IF(OR(L249&lt;&gt;"Shared system baseline",K249&lt;&gt;""),"Condition scope differs from decision",""),"Parent decision scope missing")),IF(OR(D249="",E249="",F249="",G249=""),"Condition, owner, due date or state missing",IF(NOT(ISNUMBER(F249)),"Due date is not a date",IF(OR(G249="Overdue",G249="Superseded"),"Legacy state — owner review (use the shared five states)",IF(INDEX('Gate events'!$E$4:$E$553,MATCH(B249,'Gate events'!$A$4:$A$553,0))&lt;&gt;"Decision","Parent event is not a Decision",IF(AND(INDEX('Gate events'!$G$4:$G$553,MATCH(B249,'Gate events'!$A$4:$A$553,0))&lt;&gt;"Progress with condition",INDEX('Gate events'!$G$4:$G$553,MATCH(B249,'Gate events'!$A$4:$A$553,0))&lt;&gt;"Re-authorise",INDEX('Gate events'!$G$4:$G$553,MATCH(B249,'Gate events'!$A$4:$A$553,0))&lt;&gt;"Resume"),"Parent outcome is not Progress with condition / Re-authorise / Resume",IF(AND(ISNUMBER(INDEX('Gate events'!$F$4:$F$553,MATCH(B249,'Gate events'!$A$4:$A$553,0))),F249&lt;INDEX('Gate events'!$F$4:$F$553,MATCH(B249,'Gate events'!$A$4:$A$553,0))),"Due date before parent event date",IF(AND(OR(G249="Closed-verified",G249="Waived",G249="Accepted-open"),OR(H249="",I249="")),"Closure evidence missing",IF(AND(H249&lt;&gt;"",NOT(ISNUMBER(H249))),"Closed / waived on is not a date",IF(AND(ISNUMBER(H249),ISNUMBER(INDEX('Gate events'!$F$4:$F$553,MATCH(B249,'Gate events'!$A$4:$A$553,0))),H249&lt;INDEX('Gate events'!$F$4:$F$553,MATCH(B249,'Gate events'!$A$4:$A$553,0))),"Closure date before parent event date",IF(AND(G249="Closed-verified",M249=""),"Verifier / date missing",IF(AND(N249="Yes",G249="Closed-verified",O249=""),"Monitoring condition needs AIG-OPS-02 evidence ref",IF(AND(G249="Open",F249&lt;TODAY()),"OVERDUE (derived) — review",IF(G249="Unknown","State Unknown: owner to confirm","Check against source")))))))))))))))))))</f>
        <v/>
      </c>
      <c r="K249" s="37" t="n"/>
      <c r="L249" s="37" t="n"/>
      <c r="M249" s="40" t="n"/>
      <c r="N249" s="40" t="n"/>
      <c r="O249" s="40" t="n"/>
    </row>
    <row r="250">
      <c r="A250" s="38" t="n"/>
      <c r="B250" s="38" t="n"/>
      <c r="C250" s="38" t="n"/>
      <c r="D250" s="38" t="n"/>
      <c r="E250" s="38" t="n"/>
      <c r="F250" s="39" t="n"/>
      <c r="G250" s="38" t="n"/>
      <c r="H250" s="39" t="n"/>
      <c r="I250" s="38" t="n"/>
      <c r="J250" s="22">
        <f>IF(COUNTA(A250:I250,K250:O250)=0,"",IF(OR(A250="",B250="",C250=""),"ID / parent missing",IF(COUNTIF($A$4:$A$553,A250)&gt;1,"Duplicate condition ID",IF(COUNTIF('Gate events'!$A$4:$A$553,B250)=0,"Event ID not found",IF(INDEX('Gate events'!$B$4:$B$553,MATCH(B250,'Gate events'!$A$4:$A$553,0))&lt;&gt;C250,"AIR-ID differs from event",IF(IF(INDEX('Gate events'!$P$4:$P$553,MATCH(B250,'Gate events'!$A$4:$A$553,0))="UC-ID specific",IF(OR(L250&lt;&gt;"UC-ID specific",K250=""),"Condition UC-ID required",IF(ISNUMBER(SEARCH(","&amp;SUBSTITUTE(K250," ","")&amp;",",","&amp;SUBSTITUTE(INDEX('Gate events'!$O$4:$O$553,MATCH(B250,'Gate events'!$A$4:$A$553,0))," ","")&amp;",")),"","UC-ID differs from decision")),IF(INDEX('Gate events'!$P$4:$P$553,MATCH(B250,'Gate events'!$A$4:$A$553,0))="Shared system baseline",IF(OR(L250&lt;&gt;"Shared system baseline",K250&lt;&gt;""),"Condition scope differs from decision",""),"Parent decision scope missing"))&lt;&gt;"",IF(INDEX('Gate events'!$P$4:$P$553,MATCH(B250,'Gate events'!$A$4:$A$553,0))="UC-ID specific",IF(OR(L250&lt;&gt;"UC-ID specific",K250=""),"Condition UC-ID required",IF(ISNUMBER(SEARCH(","&amp;SUBSTITUTE(K250," ","")&amp;",",","&amp;SUBSTITUTE(INDEX('Gate events'!$O$4:$O$553,MATCH(B250,'Gate events'!$A$4:$A$553,0))," ","")&amp;",")),"","UC-ID differs from decision")),IF(INDEX('Gate events'!$P$4:$P$553,MATCH(B250,'Gate events'!$A$4:$A$553,0))="Shared system baseline",IF(OR(L250&lt;&gt;"Shared system baseline",K250&lt;&gt;""),"Condition scope differs from decision",""),"Parent decision scope missing")),IF(OR(D250="",E250="",F250="",G250=""),"Condition, owner, due date or state missing",IF(NOT(ISNUMBER(F250)),"Due date is not a date",IF(OR(G250="Overdue",G250="Superseded"),"Legacy state — owner review (use the shared five states)",IF(INDEX('Gate events'!$E$4:$E$553,MATCH(B250,'Gate events'!$A$4:$A$553,0))&lt;&gt;"Decision","Parent event is not a Decision",IF(AND(INDEX('Gate events'!$G$4:$G$553,MATCH(B250,'Gate events'!$A$4:$A$553,0))&lt;&gt;"Progress with condition",INDEX('Gate events'!$G$4:$G$553,MATCH(B250,'Gate events'!$A$4:$A$553,0))&lt;&gt;"Re-authorise",INDEX('Gate events'!$G$4:$G$553,MATCH(B250,'Gate events'!$A$4:$A$553,0))&lt;&gt;"Resume"),"Parent outcome is not Progress with condition / Re-authorise / Resume",IF(AND(ISNUMBER(INDEX('Gate events'!$F$4:$F$553,MATCH(B250,'Gate events'!$A$4:$A$553,0))),F250&lt;INDEX('Gate events'!$F$4:$F$553,MATCH(B250,'Gate events'!$A$4:$A$553,0))),"Due date before parent event date",IF(AND(OR(G250="Closed-verified",G250="Waived",G250="Accepted-open"),OR(H250="",I250="")),"Closure evidence missing",IF(AND(H250&lt;&gt;"",NOT(ISNUMBER(H250))),"Closed / waived on is not a date",IF(AND(ISNUMBER(H250),ISNUMBER(INDEX('Gate events'!$F$4:$F$553,MATCH(B250,'Gate events'!$A$4:$A$553,0))),H250&lt;INDEX('Gate events'!$F$4:$F$553,MATCH(B250,'Gate events'!$A$4:$A$553,0))),"Closure date before parent event date",IF(AND(G250="Closed-verified",M250=""),"Verifier / date missing",IF(AND(N250="Yes",G250="Closed-verified",O250=""),"Monitoring condition needs AIG-OPS-02 evidence ref",IF(AND(G250="Open",F250&lt;TODAY()),"OVERDUE (derived) — review",IF(G250="Unknown","State Unknown: owner to confirm","Check against source")))))))))))))))))))</f>
        <v/>
      </c>
      <c r="K250" s="37" t="n"/>
      <c r="L250" s="37" t="n"/>
      <c r="M250" s="38" t="n"/>
      <c r="N250" s="38" t="n"/>
      <c r="O250" s="38" t="n"/>
    </row>
    <row r="251">
      <c r="A251" s="40" t="n"/>
      <c r="B251" s="40" t="n"/>
      <c r="C251" s="40" t="n"/>
      <c r="D251" s="40" t="n"/>
      <c r="E251" s="40" t="n"/>
      <c r="F251" s="41" t="n"/>
      <c r="G251" s="40" t="n"/>
      <c r="H251" s="41" t="n"/>
      <c r="I251" s="40" t="n"/>
      <c r="J251" s="24">
        <f>IF(COUNTA(A251:I251,K251:O251)=0,"",IF(OR(A251="",B251="",C251=""),"ID / parent missing",IF(COUNTIF($A$4:$A$553,A251)&gt;1,"Duplicate condition ID",IF(COUNTIF('Gate events'!$A$4:$A$553,B251)=0,"Event ID not found",IF(INDEX('Gate events'!$B$4:$B$553,MATCH(B251,'Gate events'!$A$4:$A$553,0))&lt;&gt;C251,"AIR-ID differs from event",IF(IF(INDEX('Gate events'!$P$4:$P$553,MATCH(B251,'Gate events'!$A$4:$A$553,0))="UC-ID specific",IF(OR(L251&lt;&gt;"UC-ID specific",K251=""),"Condition UC-ID required",IF(ISNUMBER(SEARCH(","&amp;SUBSTITUTE(K251," ","")&amp;",",","&amp;SUBSTITUTE(INDEX('Gate events'!$O$4:$O$553,MATCH(B251,'Gate events'!$A$4:$A$553,0))," ","")&amp;",")),"","UC-ID differs from decision")),IF(INDEX('Gate events'!$P$4:$P$553,MATCH(B251,'Gate events'!$A$4:$A$553,0))="Shared system baseline",IF(OR(L251&lt;&gt;"Shared system baseline",K251&lt;&gt;""),"Condition scope differs from decision",""),"Parent decision scope missing"))&lt;&gt;"",IF(INDEX('Gate events'!$P$4:$P$553,MATCH(B251,'Gate events'!$A$4:$A$553,0))="UC-ID specific",IF(OR(L251&lt;&gt;"UC-ID specific",K251=""),"Condition UC-ID required",IF(ISNUMBER(SEARCH(","&amp;SUBSTITUTE(K251," ","")&amp;",",","&amp;SUBSTITUTE(INDEX('Gate events'!$O$4:$O$553,MATCH(B251,'Gate events'!$A$4:$A$553,0))," ","")&amp;",")),"","UC-ID differs from decision")),IF(INDEX('Gate events'!$P$4:$P$553,MATCH(B251,'Gate events'!$A$4:$A$553,0))="Shared system baseline",IF(OR(L251&lt;&gt;"Shared system baseline",K251&lt;&gt;""),"Condition scope differs from decision",""),"Parent decision scope missing")),IF(OR(D251="",E251="",F251="",G251=""),"Condition, owner, due date or state missing",IF(NOT(ISNUMBER(F251)),"Due date is not a date",IF(OR(G251="Overdue",G251="Superseded"),"Legacy state — owner review (use the shared five states)",IF(INDEX('Gate events'!$E$4:$E$553,MATCH(B251,'Gate events'!$A$4:$A$553,0))&lt;&gt;"Decision","Parent event is not a Decision",IF(AND(INDEX('Gate events'!$G$4:$G$553,MATCH(B251,'Gate events'!$A$4:$A$553,0))&lt;&gt;"Progress with condition",INDEX('Gate events'!$G$4:$G$553,MATCH(B251,'Gate events'!$A$4:$A$553,0))&lt;&gt;"Re-authorise",INDEX('Gate events'!$G$4:$G$553,MATCH(B251,'Gate events'!$A$4:$A$553,0))&lt;&gt;"Resume"),"Parent outcome is not Progress with condition / Re-authorise / Resume",IF(AND(ISNUMBER(INDEX('Gate events'!$F$4:$F$553,MATCH(B251,'Gate events'!$A$4:$A$553,0))),F251&lt;INDEX('Gate events'!$F$4:$F$553,MATCH(B251,'Gate events'!$A$4:$A$553,0))),"Due date before parent event date",IF(AND(OR(G251="Closed-verified",G251="Waived",G251="Accepted-open"),OR(H251="",I251="")),"Closure evidence missing",IF(AND(H251&lt;&gt;"",NOT(ISNUMBER(H251))),"Closed / waived on is not a date",IF(AND(ISNUMBER(H251),ISNUMBER(INDEX('Gate events'!$F$4:$F$553,MATCH(B251,'Gate events'!$A$4:$A$553,0))),H251&lt;INDEX('Gate events'!$F$4:$F$553,MATCH(B251,'Gate events'!$A$4:$A$553,0))),"Closure date before parent event date",IF(AND(G251="Closed-verified",M251=""),"Verifier / date missing",IF(AND(N251="Yes",G251="Closed-verified",O251=""),"Monitoring condition needs AIG-OPS-02 evidence ref",IF(AND(G251="Open",F251&lt;TODAY()),"OVERDUE (derived) — review",IF(G251="Unknown","State Unknown: owner to confirm","Check against source")))))))))))))))))))</f>
        <v/>
      </c>
      <c r="K251" s="37" t="n"/>
      <c r="L251" s="37" t="n"/>
      <c r="M251" s="40" t="n"/>
      <c r="N251" s="40" t="n"/>
      <c r="O251" s="40" t="n"/>
    </row>
    <row r="252">
      <c r="A252" s="38" t="n"/>
      <c r="B252" s="38" t="n"/>
      <c r="C252" s="38" t="n"/>
      <c r="D252" s="38" t="n"/>
      <c r="E252" s="38" t="n"/>
      <c r="F252" s="39" t="n"/>
      <c r="G252" s="38" t="n"/>
      <c r="H252" s="39" t="n"/>
      <c r="I252" s="38" t="n"/>
      <c r="J252" s="22">
        <f>IF(COUNTA(A252:I252,K252:O252)=0,"",IF(OR(A252="",B252="",C252=""),"ID / parent missing",IF(COUNTIF($A$4:$A$553,A252)&gt;1,"Duplicate condition ID",IF(COUNTIF('Gate events'!$A$4:$A$553,B252)=0,"Event ID not found",IF(INDEX('Gate events'!$B$4:$B$553,MATCH(B252,'Gate events'!$A$4:$A$553,0))&lt;&gt;C252,"AIR-ID differs from event",IF(IF(INDEX('Gate events'!$P$4:$P$553,MATCH(B252,'Gate events'!$A$4:$A$553,0))="UC-ID specific",IF(OR(L252&lt;&gt;"UC-ID specific",K252=""),"Condition UC-ID required",IF(ISNUMBER(SEARCH(","&amp;SUBSTITUTE(K252," ","")&amp;",",","&amp;SUBSTITUTE(INDEX('Gate events'!$O$4:$O$553,MATCH(B252,'Gate events'!$A$4:$A$553,0))," ","")&amp;",")),"","UC-ID differs from decision")),IF(INDEX('Gate events'!$P$4:$P$553,MATCH(B252,'Gate events'!$A$4:$A$553,0))="Shared system baseline",IF(OR(L252&lt;&gt;"Shared system baseline",K252&lt;&gt;""),"Condition scope differs from decision",""),"Parent decision scope missing"))&lt;&gt;"",IF(INDEX('Gate events'!$P$4:$P$553,MATCH(B252,'Gate events'!$A$4:$A$553,0))="UC-ID specific",IF(OR(L252&lt;&gt;"UC-ID specific",K252=""),"Condition UC-ID required",IF(ISNUMBER(SEARCH(","&amp;SUBSTITUTE(K252," ","")&amp;",",","&amp;SUBSTITUTE(INDEX('Gate events'!$O$4:$O$553,MATCH(B252,'Gate events'!$A$4:$A$553,0))," ","")&amp;",")),"","UC-ID differs from decision")),IF(INDEX('Gate events'!$P$4:$P$553,MATCH(B252,'Gate events'!$A$4:$A$553,0))="Shared system baseline",IF(OR(L252&lt;&gt;"Shared system baseline",K252&lt;&gt;""),"Condition scope differs from decision",""),"Parent decision scope missing")),IF(OR(D252="",E252="",F252="",G252=""),"Condition, owner, due date or state missing",IF(NOT(ISNUMBER(F252)),"Due date is not a date",IF(OR(G252="Overdue",G252="Superseded"),"Legacy state — owner review (use the shared five states)",IF(INDEX('Gate events'!$E$4:$E$553,MATCH(B252,'Gate events'!$A$4:$A$553,0))&lt;&gt;"Decision","Parent event is not a Decision",IF(AND(INDEX('Gate events'!$G$4:$G$553,MATCH(B252,'Gate events'!$A$4:$A$553,0))&lt;&gt;"Progress with condition",INDEX('Gate events'!$G$4:$G$553,MATCH(B252,'Gate events'!$A$4:$A$553,0))&lt;&gt;"Re-authorise",INDEX('Gate events'!$G$4:$G$553,MATCH(B252,'Gate events'!$A$4:$A$553,0))&lt;&gt;"Resume"),"Parent outcome is not Progress with condition / Re-authorise / Resume",IF(AND(ISNUMBER(INDEX('Gate events'!$F$4:$F$553,MATCH(B252,'Gate events'!$A$4:$A$553,0))),F252&lt;INDEX('Gate events'!$F$4:$F$553,MATCH(B252,'Gate events'!$A$4:$A$553,0))),"Due date before parent event date",IF(AND(OR(G252="Closed-verified",G252="Waived",G252="Accepted-open"),OR(H252="",I252="")),"Closure evidence missing",IF(AND(H252&lt;&gt;"",NOT(ISNUMBER(H252))),"Closed / waived on is not a date",IF(AND(ISNUMBER(H252),ISNUMBER(INDEX('Gate events'!$F$4:$F$553,MATCH(B252,'Gate events'!$A$4:$A$553,0))),H252&lt;INDEX('Gate events'!$F$4:$F$553,MATCH(B252,'Gate events'!$A$4:$A$553,0))),"Closure date before parent event date",IF(AND(G252="Closed-verified",M252=""),"Verifier / date missing",IF(AND(N252="Yes",G252="Closed-verified",O252=""),"Monitoring condition needs AIG-OPS-02 evidence ref",IF(AND(G252="Open",F252&lt;TODAY()),"OVERDUE (derived) — review",IF(G252="Unknown","State Unknown: owner to confirm","Check against source")))))))))))))))))))</f>
        <v/>
      </c>
      <c r="K252" s="37" t="n"/>
      <c r="L252" s="37" t="n"/>
      <c r="M252" s="38" t="n"/>
      <c r="N252" s="38" t="n"/>
      <c r="O252" s="38" t="n"/>
    </row>
    <row r="253">
      <c r="A253" s="40" t="n"/>
      <c r="B253" s="40" t="n"/>
      <c r="C253" s="40" t="n"/>
      <c r="D253" s="40" t="n"/>
      <c r="E253" s="40" t="n"/>
      <c r="F253" s="41" t="n"/>
      <c r="G253" s="40" t="n"/>
      <c r="H253" s="41" t="n"/>
      <c r="I253" s="40" t="n"/>
      <c r="J253" s="24">
        <f>IF(COUNTA(A253:I253,K253:O253)=0,"",IF(OR(A253="",B253="",C253=""),"ID / parent missing",IF(COUNTIF($A$4:$A$553,A253)&gt;1,"Duplicate condition ID",IF(COUNTIF('Gate events'!$A$4:$A$553,B253)=0,"Event ID not found",IF(INDEX('Gate events'!$B$4:$B$553,MATCH(B253,'Gate events'!$A$4:$A$553,0))&lt;&gt;C253,"AIR-ID differs from event",IF(IF(INDEX('Gate events'!$P$4:$P$553,MATCH(B253,'Gate events'!$A$4:$A$553,0))="UC-ID specific",IF(OR(L253&lt;&gt;"UC-ID specific",K253=""),"Condition UC-ID required",IF(ISNUMBER(SEARCH(","&amp;SUBSTITUTE(K253," ","")&amp;",",","&amp;SUBSTITUTE(INDEX('Gate events'!$O$4:$O$553,MATCH(B253,'Gate events'!$A$4:$A$553,0))," ","")&amp;",")),"","UC-ID differs from decision")),IF(INDEX('Gate events'!$P$4:$P$553,MATCH(B253,'Gate events'!$A$4:$A$553,0))="Shared system baseline",IF(OR(L253&lt;&gt;"Shared system baseline",K253&lt;&gt;""),"Condition scope differs from decision",""),"Parent decision scope missing"))&lt;&gt;"",IF(INDEX('Gate events'!$P$4:$P$553,MATCH(B253,'Gate events'!$A$4:$A$553,0))="UC-ID specific",IF(OR(L253&lt;&gt;"UC-ID specific",K253=""),"Condition UC-ID required",IF(ISNUMBER(SEARCH(","&amp;SUBSTITUTE(K253," ","")&amp;",",","&amp;SUBSTITUTE(INDEX('Gate events'!$O$4:$O$553,MATCH(B253,'Gate events'!$A$4:$A$553,0))," ","")&amp;",")),"","UC-ID differs from decision")),IF(INDEX('Gate events'!$P$4:$P$553,MATCH(B253,'Gate events'!$A$4:$A$553,0))="Shared system baseline",IF(OR(L253&lt;&gt;"Shared system baseline",K253&lt;&gt;""),"Condition scope differs from decision",""),"Parent decision scope missing")),IF(OR(D253="",E253="",F253="",G253=""),"Condition, owner, due date or state missing",IF(NOT(ISNUMBER(F253)),"Due date is not a date",IF(OR(G253="Overdue",G253="Superseded"),"Legacy state — owner review (use the shared five states)",IF(INDEX('Gate events'!$E$4:$E$553,MATCH(B253,'Gate events'!$A$4:$A$553,0))&lt;&gt;"Decision","Parent event is not a Decision",IF(AND(INDEX('Gate events'!$G$4:$G$553,MATCH(B253,'Gate events'!$A$4:$A$553,0))&lt;&gt;"Progress with condition",INDEX('Gate events'!$G$4:$G$553,MATCH(B253,'Gate events'!$A$4:$A$553,0))&lt;&gt;"Re-authorise",INDEX('Gate events'!$G$4:$G$553,MATCH(B253,'Gate events'!$A$4:$A$553,0))&lt;&gt;"Resume"),"Parent outcome is not Progress with condition / Re-authorise / Resume",IF(AND(ISNUMBER(INDEX('Gate events'!$F$4:$F$553,MATCH(B253,'Gate events'!$A$4:$A$553,0))),F253&lt;INDEX('Gate events'!$F$4:$F$553,MATCH(B253,'Gate events'!$A$4:$A$553,0))),"Due date before parent event date",IF(AND(OR(G253="Closed-verified",G253="Waived",G253="Accepted-open"),OR(H253="",I253="")),"Closure evidence missing",IF(AND(H253&lt;&gt;"",NOT(ISNUMBER(H253))),"Closed / waived on is not a date",IF(AND(ISNUMBER(H253),ISNUMBER(INDEX('Gate events'!$F$4:$F$553,MATCH(B253,'Gate events'!$A$4:$A$553,0))),H253&lt;INDEX('Gate events'!$F$4:$F$553,MATCH(B253,'Gate events'!$A$4:$A$553,0))),"Closure date before parent event date",IF(AND(G253="Closed-verified",M253=""),"Verifier / date missing",IF(AND(N253="Yes",G253="Closed-verified",O253=""),"Monitoring condition needs AIG-OPS-02 evidence ref",IF(AND(G253="Open",F253&lt;TODAY()),"OVERDUE (derived) — review",IF(G253="Unknown","State Unknown: owner to confirm","Check against source")))))))))))))))))))</f>
        <v/>
      </c>
      <c r="K253" s="37" t="n"/>
      <c r="L253" s="37" t="n"/>
      <c r="M253" s="40" t="n"/>
      <c r="N253" s="40" t="n"/>
      <c r="O253" s="40" t="n"/>
    </row>
    <row r="254">
      <c r="A254" s="38" t="n"/>
      <c r="B254" s="38" t="n"/>
      <c r="C254" s="38" t="n"/>
      <c r="D254" s="38" t="n"/>
      <c r="E254" s="38" t="n"/>
      <c r="F254" s="39" t="n"/>
      <c r="G254" s="38" t="n"/>
      <c r="H254" s="39" t="n"/>
      <c r="I254" s="38" t="n"/>
      <c r="J254" s="22">
        <f>IF(COUNTA(A254:I254,K254:O254)=0,"",IF(OR(A254="",B254="",C254=""),"ID / parent missing",IF(COUNTIF($A$4:$A$553,A254)&gt;1,"Duplicate condition ID",IF(COUNTIF('Gate events'!$A$4:$A$553,B254)=0,"Event ID not found",IF(INDEX('Gate events'!$B$4:$B$553,MATCH(B254,'Gate events'!$A$4:$A$553,0))&lt;&gt;C254,"AIR-ID differs from event",IF(IF(INDEX('Gate events'!$P$4:$P$553,MATCH(B254,'Gate events'!$A$4:$A$553,0))="UC-ID specific",IF(OR(L254&lt;&gt;"UC-ID specific",K254=""),"Condition UC-ID required",IF(ISNUMBER(SEARCH(","&amp;SUBSTITUTE(K254," ","")&amp;",",","&amp;SUBSTITUTE(INDEX('Gate events'!$O$4:$O$553,MATCH(B254,'Gate events'!$A$4:$A$553,0))," ","")&amp;",")),"","UC-ID differs from decision")),IF(INDEX('Gate events'!$P$4:$P$553,MATCH(B254,'Gate events'!$A$4:$A$553,0))="Shared system baseline",IF(OR(L254&lt;&gt;"Shared system baseline",K254&lt;&gt;""),"Condition scope differs from decision",""),"Parent decision scope missing"))&lt;&gt;"",IF(INDEX('Gate events'!$P$4:$P$553,MATCH(B254,'Gate events'!$A$4:$A$553,0))="UC-ID specific",IF(OR(L254&lt;&gt;"UC-ID specific",K254=""),"Condition UC-ID required",IF(ISNUMBER(SEARCH(","&amp;SUBSTITUTE(K254," ","")&amp;",",","&amp;SUBSTITUTE(INDEX('Gate events'!$O$4:$O$553,MATCH(B254,'Gate events'!$A$4:$A$553,0))," ","")&amp;",")),"","UC-ID differs from decision")),IF(INDEX('Gate events'!$P$4:$P$553,MATCH(B254,'Gate events'!$A$4:$A$553,0))="Shared system baseline",IF(OR(L254&lt;&gt;"Shared system baseline",K254&lt;&gt;""),"Condition scope differs from decision",""),"Parent decision scope missing")),IF(OR(D254="",E254="",F254="",G254=""),"Condition, owner, due date or state missing",IF(NOT(ISNUMBER(F254)),"Due date is not a date",IF(OR(G254="Overdue",G254="Superseded"),"Legacy state — owner review (use the shared five states)",IF(INDEX('Gate events'!$E$4:$E$553,MATCH(B254,'Gate events'!$A$4:$A$553,0))&lt;&gt;"Decision","Parent event is not a Decision",IF(AND(INDEX('Gate events'!$G$4:$G$553,MATCH(B254,'Gate events'!$A$4:$A$553,0))&lt;&gt;"Progress with condition",INDEX('Gate events'!$G$4:$G$553,MATCH(B254,'Gate events'!$A$4:$A$553,0))&lt;&gt;"Re-authorise",INDEX('Gate events'!$G$4:$G$553,MATCH(B254,'Gate events'!$A$4:$A$553,0))&lt;&gt;"Resume"),"Parent outcome is not Progress with condition / Re-authorise / Resume",IF(AND(ISNUMBER(INDEX('Gate events'!$F$4:$F$553,MATCH(B254,'Gate events'!$A$4:$A$553,0))),F254&lt;INDEX('Gate events'!$F$4:$F$553,MATCH(B254,'Gate events'!$A$4:$A$553,0))),"Due date before parent event date",IF(AND(OR(G254="Closed-verified",G254="Waived",G254="Accepted-open"),OR(H254="",I254="")),"Closure evidence missing",IF(AND(H254&lt;&gt;"",NOT(ISNUMBER(H254))),"Closed / waived on is not a date",IF(AND(ISNUMBER(H254),ISNUMBER(INDEX('Gate events'!$F$4:$F$553,MATCH(B254,'Gate events'!$A$4:$A$553,0))),H254&lt;INDEX('Gate events'!$F$4:$F$553,MATCH(B254,'Gate events'!$A$4:$A$553,0))),"Closure date before parent event date",IF(AND(G254="Closed-verified",M254=""),"Verifier / date missing",IF(AND(N254="Yes",G254="Closed-verified",O254=""),"Monitoring condition needs AIG-OPS-02 evidence ref",IF(AND(G254="Open",F254&lt;TODAY()),"OVERDUE (derived) — review",IF(G254="Unknown","State Unknown: owner to confirm","Check against source")))))))))))))))))))</f>
        <v/>
      </c>
      <c r="K254" s="37" t="n"/>
      <c r="L254" s="37" t="n"/>
      <c r="M254" s="38" t="n"/>
      <c r="N254" s="38" t="n"/>
      <c r="O254" s="38" t="n"/>
    </row>
    <row r="255">
      <c r="A255" s="40" t="n"/>
      <c r="B255" s="40" t="n"/>
      <c r="C255" s="40" t="n"/>
      <c r="D255" s="40" t="n"/>
      <c r="E255" s="40" t="n"/>
      <c r="F255" s="41" t="n"/>
      <c r="G255" s="40" t="n"/>
      <c r="H255" s="41" t="n"/>
      <c r="I255" s="40" t="n"/>
      <c r="J255" s="24">
        <f>IF(COUNTA(A255:I255,K255:O255)=0,"",IF(OR(A255="",B255="",C255=""),"ID / parent missing",IF(COUNTIF($A$4:$A$553,A255)&gt;1,"Duplicate condition ID",IF(COUNTIF('Gate events'!$A$4:$A$553,B255)=0,"Event ID not found",IF(INDEX('Gate events'!$B$4:$B$553,MATCH(B255,'Gate events'!$A$4:$A$553,0))&lt;&gt;C255,"AIR-ID differs from event",IF(IF(INDEX('Gate events'!$P$4:$P$553,MATCH(B255,'Gate events'!$A$4:$A$553,0))="UC-ID specific",IF(OR(L255&lt;&gt;"UC-ID specific",K255=""),"Condition UC-ID required",IF(ISNUMBER(SEARCH(","&amp;SUBSTITUTE(K255," ","")&amp;",",","&amp;SUBSTITUTE(INDEX('Gate events'!$O$4:$O$553,MATCH(B255,'Gate events'!$A$4:$A$553,0))," ","")&amp;",")),"","UC-ID differs from decision")),IF(INDEX('Gate events'!$P$4:$P$553,MATCH(B255,'Gate events'!$A$4:$A$553,0))="Shared system baseline",IF(OR(L255&lt;&gt;"Shared system baseline",K255&lt;&gt;""),"Condition scope differs from decision",""),"Parent decision scope missing"))&lt;&gt;"",IF(INDEX('Gate events'!$P$4:$P$553,MATCH(B255,'Gate events'!$A$4:$A$553,0))="UC-ID specific",IF(OR(L255&lt;&gt;"UC-ID specific",K255=""),"Condition UC-ID required",IF(ISNUMBER(SEARCH(","&amp;SUBSTITUTE(K255," ","")&amp;",",","&amp;SUBSTITUTE(INDEX('Gate events'!$O$4:$O$553,MATCH(B255,'Gate events'!$A$4:$A$553,0))," ","")&amp;",")),"","UC-ID differs from decision")),IF(INDEX('Gate events'!$P$4:$P$553,MATCH(B255,'Gate events'!$A$4:$A$553,0))="Shared system baseline",IF(OR(L255&lt;&gt;"Shared system baseline",K255&lt;&gt;""),"Condition scope differs from decision",""),"Parent decision scope missing")),IF(OR(D255="",E255="",F255="",G255=""),"Condition, owner, due date or state missing",IF(NOT(ISNUMBER(F255)),"Due date is not a date",IF(OR(G255="Overdue",G255="Superseded"),"Legacy state — owner review (use the shared five states)",IF(INDEX('Gate events'!$E$4:$E$553,MATCH(B255,'Gate events'!$A$4:$A$553,0))&lt;&gt;"Decision","Parent event is not a Decision",IF(AND(INDEX('Gate events'!$G$4:$G$553,MATCH(B255,'Gate events'!$A$4:$A$553,0))&lt;&gt;"Progress with condition",INDEX('Gate events'!$G$4:$G$553,MATCH(B255,'Gate events'!$A$4:$A$553,0))&lt;&gt;"Re-authorise",INDEX('Gate events'!$G$4:$G$553,MATCH(B255,'Gate events'!$A$4:$A$553,0))&lt;&gt;"Resume"),"Parent outcome is not Progress with condition / Re-authorise / Resume",IF(AND(ISNUMBER(INDEX('Gate events'!$F$4:$F$553,MATCH(B255,'Gate events'!$A$4:$A$553,0))),F255&lt;INDEX('Gate events'!$F$4:$F$553,MATCH(B255,'Gate events'!$A$4:$A$553,0))),"Due date before parent event date",IF(AND(OR(G255="Closed-verified",G255="Waived",G255="Accepted-open"),OR(H255="",I255="")),"Closure evidence missing",IF(AND(H255&lt;&gt;"",NOT(ISNUMBER(H255))),"Closed / waived on is not a date",IF(AND(ISNUMBER(H255),ISNUMBER(INDEX('Gate events'!$F$4:$F$553,MATCH(B255,'Gate events'!$A$4:$A$553,0))),H255&lt;INDEX('Gate events'!$F$4:$F$553,MATCH(B255,'Gate events'!$A$4:$A$553,0))),"Closure date before parent event date",IF(AND(G255="Closed-verified",M255=""),"Verifier / date missing",IF(AND(N255="Yes",G255="Closed-verified",O255=""),"Monitoring condition needs AIG-OPS-02 evidence ref",IF(AND(G255="Open",F255&lt;TODAY()),"OVERDUE (derived) — review",IF(G255="Unknown","State Unknown: owner to confirm","Check against source")))))))))))))))))))</f>
        <v/>
      </c>
      <c r="K255" s="37" t="n"/>
      <c r="L255" s="37" t="n"/>
      <c r="M255" s="40" t="n"/>
      <c r="N255" s="40" t="n"/>
      <c r="O255" s="40" t="n"/>
    </row>
    <row r="256">
      <c r="A256" s="38" t="n"/>
      <c r="B256" s="38" t="n"/>
      <c r="C256" s="38" t="n"/>
      <c r="D256" s="38" t="n"/>
      <c r="E256" s="38" t="n"/>
      <c r="F256" s="39" t="n"/>
      <c r="G256" s="38" t="n"/>
      <c r="H256" s="39" t="n"/>
      <c r="I256" s="38" t="n"/>
      <c r="J256" s="22">
        <f>IF(COUNTA(A256:I256,K256:O256)=0,"",IF(OR(A256="",B256="",C256=""),"ID / parent missing",IF(COUNTIF($A$4:$A$553,A256)&gt;1,"Duplicate condition ID",IF(COUNTIF('Gate events'!$A$4:$A$553,B256)=0,"Event ID not found",IF(INDEX('Gate events'!$B$4:$B$553,MATCH(B256,'Gate events'!$A$4:$A$553,0))&lt;&gt;C256,"AIR-ID differs from event",IF(IF(INDEX('Gate events'!$P$4:$P$553,MATCH(B256,'Gate events'!$A$4:$A$553,0))="UC-ID specific",IF(OR(L256&lt;&gt;"UC-ID specific",K256=""),"Condition UC-ID required",IF(ISNUMBER(SEARCH(","&amp;SUBSTITUTE(K256," ","")&amp;",",","&amp;SUBSTITUTE(INDEX('Gate events'!$O$4:$O$553,MATCH(B256,'Gate events'!$A$4:$A$553,0))," ","")&amp;",")),"","UC-ID differs from decision")),IF(INDEX('Gate events'!$P$4:$P$553,MATCH(B256,'Gate events'!$A$4:$A$553,0))="Shared system baseline",IF(OR(L256&lt;&gt;"Shared system baseline",K256&lt;&gt;""),"Condition scope differs from decision",""),"Parent decision scope missing"))&lt;&gt;"",IF(INDEX('Gate events'!$P$4:$P$553,MATCH(B256,'Gate events'!$A$4:$A$553,0))="UC-ID specific",IF(OR(L256&lt;&gt;"UC-ID specific",K256=""),"Condition UC-ID required",IF(ISNUMBER(SEARCH(","&amp;SUBSTITUTE(K256," ","")&amp;",",","&amp;SUBSTITUTE(INDEX('Gate events'!$O$4:$O$553,MATCH(B256,'Gate events'!$A$4:$A$553,0))," ","")&amp;",")),"","UC-ID differs from decision")),IF(INDEX('Gate events'!$P$4:$P$553,MATCH(B256,'Gate events'!$A$4:$A$553,0))="Shared system baseline",IF(OR(L256&lt;&gt;"Shared system baseline",K256&lt;&gt;""),"Condition scope differs from decision",""),"Parent decision scope missing")),IF(OR(D256="",E256="",F256="",G256=""),"Condition, owner, due date or state missing",IF(NOT(ISNUMBER(F256)),"Due date is not a date",IF(OR(G256="Overdue",G256="Superseded"),"Legacy state — owner review (use the shared five states)",IF(INDEX('Gate events'!$E$4:$E$553,MATCH(B256,'Gate events'!$A$4:$A$553,0))&lt;&gt;"Decision","Parent event is not a Decision",IF(AND(INDEX('Gate events'!$G$4:$G$553,MATCH(B256,'Gate events'!$A$4:$A$553,0))&lt;&gt;"Progress with condition",INDEX('Gate events'!$G$4:$G$553,MATCH(B256,'Gate events'!$A$4:$A$553,0))&lt;&gt;"Re-authorise",INDEX('Gate events'!$G$4:$G$553,MATCH(B256,'Gate events'!$A$4:$A$553,0))&lt;&gt;"Resume"),"Parent outcome is not Progress with condition / Re-authorise / Resume",IF(AND(ISNUMBER(INDEX('Gate events'!$F$4:$F$553,MATCH(B256,'Gate events'!$A$4:$A$553,0))),F256&lt;INDEX('Gate events'!$F$4:$F$553,MATCH(B256,'Gate events'!$A$4:$A$553,0))),"Due date before parent event date",IF(AND(OR(G256="Closed-verified",G256="Waived",G256="Accepted-open"),OR(H256="",I256="")),"Closure evidence missing",IF(AND(H256&lt;&gt;"",NOT(ISNUMBER(H256))),"Closed / waived on is not a date",IF(AND(ISNUMBER(H256),ISNUMBER(INDEX('Gate events'!$F$4:$F$553,MATCH(B256,'Gate events'!$A$4:$A$553,0))),H256&lt;INDEX('Gate events'!$F$4:$F$553,MATCH(B256,'Gate events'!$A$4:$A$553,0))),"Closure date before parent event date",IF(AND(G256="Closed-verified",M256=""),"Verifier / date missing",IF(AND(N256="Yes",G256="Closed-verified",O256=""),"Monitoring condition needs AIG-OPS-02 evidence ref",IF(AND(G256="Open",F256&lt;TODAY()),"OVERDUE (derived) — review",IF(G256="Unknown","State Unknown: owner to confirm","Check against source")))))))))))))))))))</f>
        <v/>
      </c>
      <c r="K256" s="37" t="n"/>
      <c r="L256" s="37" t="n"/>
      <c r="M256" s="38" t="n"/>
      <c r="N256" s="38" t="n"/>
      <c r="O256" s="38" t="n"/>
    </row>
    <row r="257">
      <c r="A257" s="40" t="n"/>
      <c r="B257" s="40" t="n"/>
      <c r="C257" s="40" t="n"/>
      <c r="D257" s="40" t="n"/>
      <c r="E257" s="40" t="n"/>
      <c r="F257" s="41" t="n"/>
      <c r="G257" s="40" t="n"/>
      <c r="H257" s="41" t="n"/>
      <c r="I257" s="40" t="n"/>
      <c r="J257" s="24">
        <f>IF(COUNTA(A257:I257,K257:O257)=0,"",IF(OR(A257="",B257="",C257=""),"ID / parent missing",IF(COUNTIF($A$4:$A$553,A257)&gt;1,"Duplicate condition ID",IF(COUNTIF('Gate events'!$A$4:$A$553,B257)=0,"Event ID not found",IF(INDEX('Gate events'!$B$4:$B$553,MATCH(B257,'Gate events'!$A$4:$A$553,0))&lt;&gt;C257,"AIR-ID differs from event",IF(IF(INDEX('Gate events'!$P$4:$P$553,MATCH(B257,'Gate events'!$A$4:$A$553,0))="UC-ID specific",IF(OR(L257&lt;&gt;"UC-ID specific",K257=""),"Condition UC-ID required",IF(ISNUMBER(SEARCH(","&amp;SUBSTITUTE(K257," ","")&amp;",",","&amp;SUBSTITUTE(INDEX('Gate events'!$O$4:$O$553,MATCH(B257,'Gate events'!$A$4:$A$553,0))," ","")&amp;",")),"","UC-ID differs from decision")),IF(INDEX('Gate events'!$P$4:$P$553,MATCH(B257,'Gate events'!$A$4:$A$553,0))="Shared system baseline",IF(OR(L257&lt;&gt;"Shared system baseline",K257&lt;&gt;""),"Condition scope differs from decision",""),"Parent decision scope missing"))&lt;&gt;"",IF(INDEX('Gate events'!$P$4:$P$553,MATCH(B257,'Gate events'!$A$4:$A$553,0))="UC-ID specific",IF(OR(L257&lt;&gt;"UC-ID specific",K257=""),"Condition UC-ID required",IF(ISNUMBER(SEARCH(","&amp;SUBSTITUTE(K257," ","")&amp;",",","&amp;SUBSTITUTE(INDEX('Gate events'!$O$4:$O$553,MATCH(B257,'Gate events'!$A$4:$A$553,0))," ","")&amp;",")),"","UC-ID differs from decision")),IF(INDEX('Gate events'!$P$4:$P$553,MATCH(B257,'Gate events'!$A$4:$A$553,0))="Shared system baseline",IF(OR(L257&lt;&gt;"Shared system baseline",K257&lt;&gt;""),"Condition scope differs from decision",""),"Parent decision scope missing")),IF(OR(D257="",E257="",F257="",G257=""),"Condition, owner, due date or state missing",IF(NOT(ISNUMBER(F257)),"Due date is not a date",IF(OR(G257="Overdue",G257="Superseded"),"Legacy state — owner review (use the shared five states)",IF(INDEX('Gate events'!$E$4:$E$553,MATCH(B257,'Gate events'!$A$4:$A$553,0))&lt;&gt;"Decision","Parent event is not a Decision",IF(AND(INDEX('Gate events'!$G$4:$G$553,MATCH(B257,'Gate events'!$A$4:$A$553,0))&lt;&gt;"Progress with condition",INDEX('Gate events'!$G$4:$G$553,MATCH(B257,'Gate events'!$A$4:$A$553,0))&lt;&gt;"Re-authorise",INDEX('Gate events'!$G$4:$G$553,MATCH(B257,'Gate events'!$A$4:$A$553,0))&lt;&gt;"Resume"),"Parent outcome is not Progress with condition / Re-authorise / Resume",IF(AND(ISNUMBER(INDEX('Gate events'!$F$4:$F$553,MATCH(B257,'Gate events'!$A$4:$A$553,0))),F257&lt;INDEX('Gate events'!$F$4:$F$553,MATCH(B257,'Gate events'!$A$4:$A$553,0))),"Due date before parent event date",IF(AND(OR(G257="Closed-verified",G257="Waived",G257="Accepted-open"),OR(H257="",I257="")),"Closure evidence missing",IF(AND(H257&lt;&gt;"",NOT(ISNUMBER(H257))),"Closed / waived on is not a date",IF(AND(ISNUMBER(H257),ISNUMBER(INDEX('Gate events'!$F$4:$F$553,MATCH(B257,'Gate events'!$A$4:$A$553,0))),H257&lt;INDEX('Gate events'!$F$4:$F$553,MATCH(B257,'Gate events'!$A$4:$A$553,0))),"Closure date before parent event date",IF(AND(G257="Closed-verified",M257=""),"Verifier / date missing",IF(AND(N257="Yes",G257="Closed-verified",O257=""),"Monitoring condition needs AIG-OPS-02 evidence ref",IF(AND(G257="Open",F257&lt;TODAY()),"OVERDUE (derived) — review",IF(G257="Unknown","State Unknown: owner to confirm","Check against source")))))))))))))))))))</f>
        <v/>
      </c>
      <c r="K257" s="37" t="n"/>
      <c r="L257" s="37" t="n"/>
      <c r="M257" s="40" t="n"/>
      <c r="N257" s="40" t="n"/>
      <c r="O257" s="40" t="n"/>
    </row>
    <row r="258">
      <c r="A258" s="38" t="n"/>
      <c r="B258" s="38" t="n"/>
      <c r="C258" s="38" t="n"/>
      <c r="D258" s="38" t="n"/>
      <c r="E258" s="38" t="n"/>
      <c r="F258" s="39" t="n"/>
      <c r="G258" s="38" t="n"/>
      <c r="H258" s="39" t="n"/>
      <c r="I258" s="38" t="n"/>
      <c r="J258" s="22">
        <f>IF(COUNTA(A258:I258,K258:O258)=0,"",IF(OR(A258="",B258="",C258=""),"ID / parent missing",IF(COUNTIF($A$4:$A$553,A258)&gt;1,"Duplicate condition ID",IF(COUNTIF('Gate events'!$A$4:$A$553,B258)=0,"Event ID not found",IF(INDEX('Gate events'!$B$4:$B$553,MATCH(B258,'Gate events'!$A$4:$A$553,0))&lt;&gt;C258,"AIR-ID differs from event",IF(IF(INDEX('Gate events'!$P$4:$P$553,MATCH(B258,'Gate events'!$A$4:$A$553,0))="UC-ID specific",IF(OR(L258&lt;&gt;"UC-ID specific",K258=""),"Condition UC-ID required",IF(ISNUMBER(SEARCH(","&amp;SUBSTITUTE(K258," ","")&amp;",",","&amp;SUBSTITUTE(INDEX('Gate events'!$O$4:$O$553,MATCH(B258,'Gate events'!$A$4:$A$553,0))," ","")&amp;",")),"","UC-ID differs from decision")),IF(INDEX('Gate events'!$P$4:$P$553,MATCH(B258,'Gate events'!$A$4:$A$553,0))="Shared system baseline",IF(OR(L258&lt;&gt;"Shared system baseline",K258&lt;&gt;""),"Condition scope differs from decision",""),"Parent decision scope missing"))&lt;&gt;"",IF(INDEX('Gate events'!$P$4:$P$553,MATCH(B258,'Gate events'!$A$4:$A$553,0))="UC-ID specific",IF(OR(L258&lt;&gt;"UC-ID specific",K258=""),"Condition UC-ID required",IF(ISNUMBER(SEARCH(","&amp;SUBSTITUTE(K258," ","")&amp;",",","&amp;SUBSTITUTE(INDEX('Gate events'!$O$4:$O$553,MATCH(B258,'Gate events'!$A$4:$A$553,0))," ","")&amp;",")),"","UC-ID differs from decision")),IF(INDEX('Gate events'!$P$4:$P$553,MATCH(B258,'Gate events'!$A$4:$A$553,0))="Shared system baseline",IF(OR(L258&lt;&gt;"Shared system baseline",K258&lt;&gt;""),"Condition scope differs from decision",""),"Parent decision scope missing")),IF(OR(D258="",E258="",F258="",G258=""),"Condition, owner, due date or state missing",IF(NOT(ISNUMBER(F258)),"Due date is not a date",IF(OR(G258="Overdue",G258="Superseded"),"Legacy state — owner review (use the shared five states)",IF(INDEX('Gate events'!$E$4:$E$553,MATCH(B258,'Gate events'!$A$4:$A$553,0))&lt;&gt;"Decision","Parent event is not a Decision",IF(AND(INDEX('Gate events'!$G$4:$G$553,MATCH(B258,'Gate events'!$A$4:$A$553,0))&lt;&gt;"Progress with condition",INDEX('Gate events'!$G$4:$G$553,MATCH(B258,'Gate events'!$A$4:$A$553,0))&lt;&gt;"Re-authorise",INDEX('Gate events'!$G$4:$G$553,MATCH(B258,'Gate events'!$A$4:$A$553,0))&lt;&gt;"Resume"),"Parent outcome is not Progress with condition / Re-authorise / Resume",IF(AND(ISNUMBER(INDEX('Gate events'!$F$4:$F$553,MATCH(B258,'Gate events'!$A$4:$A$553,0))),F258&lt;INDEX('Gate events'!$F$4:$F$553,MATCH(B258,'Gate events'!$A$4:$A$553,0))),"Due date before parent event date",IF(AND(OR(G258="Closed-verified",G258="Waived",G258="Accepted-open"),OR(H258="",I258="")),"Closure evidence missing",IF(AND(H258&lt;&gt;"",NOT(ISNUMBER(H258))),"Closed / waived on is not a date",IF(AND(ISNUMBER(H258),ISNUMBER(INDEX('Gate events'!$F$4:$F$553,MATCH(B258,'Gate events'!$A$4:$A$553,0))),H258&lt;INDEX('Gate events'!$F$4:$F$553,MATCH(B258,'Gate events'!$A$4:$A$553,0))),"Closure date before parent event date",IF(AND(G258="Closed-verified",M258=""),"Verifier / date missing",IF(AND(N258="Yes",G258="Closed-verified",O258=""),"Monitoring condition needs AIG-OPS-02 evidence ref",IF(AND(G258="Open",F258&lt;TODAY()),"OVERDUE (derived) — review",IF(G258="Unknown","State Unknown: owner to confirm","Check against source")))))))))))))))))))</f>
        <v/>
      </c>
      <c r="K258" s="37" t="n"/>
      <c r="L258" s="37" t="n"/>
      <c r="M258" s="38" t="n"/>
      <c r="N258" s="38" t="n"/>
      <c r="O258" s="38" t="n"/>
    </row>
    <row r="259">
      <c r="A259" s="40" t="n"/>
      <c r="B259" s="40" t="n"/>
      <c r="C259" s="40" t="n"/>
      <c r="D259" s="40" t="n"/>
      <c r="E259" s="40" t="n"/>
      <c r="F259" s="41" t="n"/>
      <c r="G259" s="40" t="n"/>
      <c r="H259" s="41" t="n"/>
      <c r="I259" s="40" t="n"/>
      <c r="J259" s="24">
        <f>IF(COUNTA(A259:I259,K259:O259)=0,"",IF(OR(A259="",B259="",C259=""),"ID / parent missing",IF(COUNTIF($A$4:$A$553,A259)&gt;1,"Duplicate condition ID",IF(COUNTIF('Gate events'!$A$4:$A$553,B259)=0,"Event ID not found",IF(INDEX('Gate events'!$B$4:$B$553,MATCH(B259,'Gate events'!$A$4:$A$553,0))&lt;&gt;C259,"AIR-ID differs from event",IF(IF(INDEX('Gate events'!$P$4:$P$553,MATCH(B259,'Gate events'!$A$4:$A$553,0))="UC-ID specific",IF(OR(L259&lt;&gt;"UC-ID specific",K259=""),"Condition UC-ID required",IF(ISNUMBER(SEARCH(","&amp;SUBSTITUTE(K259," ","")&amp;",",","&amp;SUBSTITUTE(INDEX('Gate events'!$O$4:$O$553,MATCH(B259,'Gate events'!$A$4:$A$553,0))," ","")&amp;",")),"","UC-ID differs from decision")),IF(INDEX('Gate events'!$P$4:$P$553,MATCH(B259,'Gate events'!$A$4:$A$553,0))="Shared system baseline",IF(OR(L259&lt;&gt;"Shared system baseline",K259&lt;&gt;""),"Condition scope differs from decision",""),"Parent decision scope missing"))&lt;&gt;"",IF(INDEX('Gate events'!$P$4:$P$553,MATCH(B259,'Gate events'!$A$4:$A$553,0))="UC-ID specific",IF(OR(L259&lt;&gt;"UC-ID specific",K259=""),"Condition UC-ID required",IF(ISNUMBER(SEARCH(","&amp;SUBSTITUTE(K259," ","")&amp;",",","&amp;SUBSTITUTE(INDEX('Gate events'!$O$4:$O$553,MATCH(B259,'Gate events'!$A$4:$A$553,0))," ","")&amp;",")),"","UC-ID differs from decision")),IF(INDEX('Gate events'!$P$4:$P$553,MATCH(B259,'Gate events'!$A$4:$A$553,0))="Shared system baseline",IF(OR(L259&lt;&gt;"Shared system baseline",K259&lt;&gt;""),"Condition scope differs from decision",""),"Parent decision scope missing")),IF(OR(D259="",E259="",F259="",G259=""),"Condition, owner, due date or state missing",IF(NOT(ISNUMBER(F259)),"Due date is not a date",IF(OR(G259="Overdue",G259="Superseded"),"Legacy state — owner review (use the shared five states)",IF(INDEX('Gate events'!$E$4:$E$553,MATCH(B259,'Gate events'!$A$4:$A$553,0))&lt;&gt;"Decision","Parent event is not a Decision",IF(AND(INDEX('Gate events'!$G$4:$G$553,MATCH(B259,'Gate events'!$A$4:$A$553,0))&lt;&gt;"Progress with condition",INDEX('Gate events'!$G$4:$G$553,MATCH(B259,'Gate events'!$A$4:$A$553,0))&lt;&gt;"Re-authorise",INDEX('Gate events'!$G$4:$G$553,MATCH(B259,'Gate events'!$A$4:$A$553,0))&lt;&gt;"Resume"),"Parent outcome is not Progress with condition / Re-authorise / Resume",IF(AND(ISNUMBER(INDEX('Gate events'!$F$4:$F$553,MATCH(B259,'Gate events'!$A$4:$A$553,0))),F259&lt;INDEX('Gate events'!$F$4:$F$553,MATCH(B259,'Gate events'!$A$4:$A$553,0))),"Due date before parent event date",IF(AND(OR(G259="Closed-verified",G259="Waived",G259="Accepted-open"),OR(H259="",I259="")),"Closure evidence missing",IF(AND(H259&lt;&gt;"",NOT(ISNUMBER(H259))),"Closed / waived on is not a date",IF(AND(ISNUMBER(H259),ISNUMBER(INDEX('Gate events'!$F$4:$F$553,MATCH(B259,'Gate events'!$A$4:$A$553,0))),H259&lt;INDEX('Gate events'!$F$4:$F$553,MATCH(B259,'Gate events'!$A$4:$A$553,0))),"Closure date before parent event date",IF(AND(G259="Closed-verified",M259=""),"Verifier / date missing",IF(AND(N259="Yes",G259="Closed-verified",O259=""),"Monitoring condition needs AIG-OPS-02 evidence ref",IF(AND(G259="Open",F259&lt;TODAY()),"OVERDUE (derived) — review",IF(G259="Unknown","State Unknown: owner to confirm","Check against source")))))))))))))))))))</f>
        <v/>
      </c>
      <c r="K259" s="37" t="n"/>
      <c r="L259" s="37" t="n"/>
      <c r="M259" s="40" t="n"/>
      <c r="N259" s="40" t="n"/>
      <c r="O259" s="40" t="n"/>
    </row>
    <row r="260">
      <c r="A260" s="38" t="n"/>
      <c r="B260" s="38" t="n"/>
      <c r="C260" s="38" t="n"/>
      <c r="D260" s="38" t="n"/>
      <c r="E260" s="38" t="n"/>
      <c r="F260" s="39" t="n"/>
      <c r="G260" s="38" t="n"/>
      <c r="H260" s="39" t="n"/>
      <c r="I260" s="38" t="n"/>
      <c r="J260" s="22">
        <f>IF(COUNTA(A260:I260,K260:O260)=0,"",IF(OR(A260="",B260="",C260=""),"ID / parent missing",IF(COUNTIF($A$4:$A$553,A260)&gt;1,"Duplicate condition ID",IF(COUNTIF('Gate events'!$A$4:$A$553,B260)=0,"Event ID not found",IF(INDEX('Gate events'!$B$4:$B$553,MATCH(B260,'Gate events'!$A$4:$A$553,0))&lt;&gt;C260,"AIR-ID differs from event",IF(IF(INDEX('Gate events'!$P$4:$P$553,MATCH(B260,'Gate events'!$A$4:$A$553,0))="UC-ID specific",IF(OR(L260&lt;&gt;"UC-ID specific",K260=""),"Condition UC-ID required",IF(ISNUMBER(SEARCH(","&amp;SUBSTITUTE(K260," ","")&amp;",",","&amp;SUBSTITUTE(INDEX('Gate events'!$O$4:$O$553,MATCH(B260,'Gate events'!$A$4:$A$553,0))," ","")&amp;",")),"","UC-ID differs from decision")),IF(INDEX('Gate events'!$P$4:$P$553,MATCH(B260,'Gate events'!$A$4:$A$553,0))="Shared system baseline",IF(OR(L260&lt;&gt;"Shared system baseline",K260&lt;&gt;""),"Condition scope differs from decision",""),"Parent decision scope missing"))&lt;&gt;"",IF(INDEX('Gate events'!$P$4:$P$553,MATCH(B260,'Gate events'!$A$4:$A$553,0))="UC-ID specific",IF(OR(L260&lt;&gt;"UC-ID specific",K260=""),"Condition UC-ID required",IF(ISNUMBER(SEARCH(","&amp;SUBSTITUTE(K260," ","")&amp;",",","&amp;SUBSTITUTE(INDEX('Gate events'!$O$4:$O$553,MATCH(B260,'Gate events'!$A$4:$A$553,0))," ","")&amp;",")),"","UC-ID differs from decision")),IF(INDEX('Gate events'!$P$4:$P$553,MATCH(B260,'Gate events'!$A$4:$A$553,0))="Shared system baseline",IF(OR(L260&lt;&gt;"Shared system baseline",K260&lt;&gt;""),"Condition scope differs from decision",""),"Parent decision scope missing")),IF(OR(D260="",E260="",F260="",G260=""),"Condition, owner, due date or state missing",IF(NOT(ISNUMBER(F260)),"Due date is not a date",IF(OR(G260="Overdue",G260="Superseded"),"Legacy state — owner review (use the shared five states)",IF(INDEX('Gate events'!$E$4:$E$553,MATCH(B260,'Gate events'!$A$4:$A$553,0))&lt;&gt;"Decision","Parent event is not a Decision",IF(AND(INDEX('Gate events'!$G$4:$G$553,MATCH(B260,'Gate events'!$A$4:$A$553,0))&lt;&gt;"Progress with condition",INDEX('Gate events'!$G$4:$G$553,MATCH(B260,'Gate events'!$A$4:$A$553,0))&lt;&gt;"Re-authorise",INDEX('Gate events'!$G$4:$G$553,MATCH(B260,'Gate events'!$A$4:$A$553,0))&lt;&gt;"Resume"),"Parent outcome is not Progress with condition / Re-authorise / Resume",IF(AND(ISNUMBER(INDEX('Gate events'!$F$4:$F$553,MATCH(B260,'Gate events'!$A$4:$A$553,0))),F260&lt;INDEX('Gate events'!$F$4:$F$553,MATCH(B260,'Gate events'!$A$4:$A$553,0))),"Due date before parent event date",IF(AND(OR(G260="Closed-verified",G260="Waived",G260="Accepted-open"),OR(H260="",I260="")),"Closure evidence missing",IF(AND(H260&lt;&gt;"",NOT(ISNUMBER(H260))),"Closed / waived on is not a date",IF(AND(ISNUMBER(H260),ISNUMBER(INDEX('Gate events'!$F$4:$F$553,MATCH(B260,'Gate events'!$A$4:$A$553,0))),H260&lt;INDEX('Gate events'!$F$4:$F$553,MATCH(B260,'Gate events'!$A$4:$A$553,0))),"Closure date before parent event date",IF(AND(G260="Closed-verified",M260=""),"Verifier / date missing",IF(AND(N260="Yes",G260="Closed-verified",O260=""),"Monitoring condition needs AIG-OPS-02 evidence ref",IF(AND(G260="Open",F260&lt;TODAY()),"OVERDUE (derived) — review",IF(G260="Unknown","State Unknown: owner to confirm","Check against source")))))))))))))))))))</f>
        <v/>
      </c>
      <c r="K260" s="37" t="n"/>
      <c r="L260" s="37" t="n"/>
      <c r="M260" s="38" t="n"/>
      <c r="N260" s="38" t="n"/>
      <c r="O260" s="38" t="n"/>
    </row>
    <row r="261">
      <c r="A261" s="40" t="n"/>
      <c r="B261" s="40" t="n"/>
      <c r="C261" s="40" t="n"/>
      <c r="D261" s="40" t="n"/>
      <c r="E261" s="40" t="n"/>
      <c r="F261" s="41" t="n"/>
      <c r="G261" s="40" t="n"/>
      <c r="H261" s="41" t="n"/>
      <c r="I261" s="40" t="n"/>
      <c r="J261" s="24">
        <f>IF(COUNTA(A261:I261,K261:O261)=0,"",IF(OR(A261="",B261="",C261=""),"ID / parent missing",IF(COUNTIF($A$4:$A$553,A261)&gt;1,"Duplicate condition ID",IF(COUNTIF('Gate events'!$A$4:$A$553,B261)=0,"Event ID not found",IF(INDEX('Gate events'!$B$4:$B$553,MATCH(B261,'Gate events'!$A$4:$A$553,0))&lt;&gt;C261,"AIR-ID differs from event",IF(IF(INDEX('Gate events'!$P$4:$P$553,MATCH(B261,'Gate events'!$A$4:$A$553,0))="UC-ID specific",IF(OR(L261&lt;&gt;"UC-ID specific",K261=""),"Condition UC-ID required",IF(ISNUMBER(SEARCH(","&amp;SUBSTITUTE(K261," ","")&amp;",",","&amp;SUBSTITUTE(INDEX('Gate events'!$O$4:$O$553,MATCH(B261,'Gate events'!$A$4:$A$553,0))," ","")&amp;",")),"","UC-ID differs from decision")),IF(INDEX('Gate events'!$P$4:$P$553,MATCH(B261,'Gate events'!$A$4:$A$553,0))="Shared system baseline",IF(OR(L261&lt;&gt;"Shared system baseline",K261&lt;&gt;""),"Condition scope differs from decision",""),"Parent decision scope missing"))&lt;&gt;"",IF(INDEX('Gate events'!$P$4:$P$553,MATCH(B261,'Gate events'!$A$4:$A$553,0))="UC-ID specific",IF(OR(L261&lt;&gt;"UC-ID specific",K261=""),"Condition UC-ID required",IF(ISNUMBER(SEARCH(","&amp;SUBSTITUTE(K261," ","")&amp;",",","&amp;SUBSTITUTE(INDEX('Gate events'!$O$4:$O$553,MATCH(B261,'Gate events'!$A$4:$A$553,0))," ","")&amp;",")),"","UC-ID differs from decision")),IF(INDEX('Gate events'!$P$4:$P$553,MATCH(B261,'Gate events'!$A$4:$A$553,0))="Shared system baseline",IF(OR(L261&lt;&gt;"Shared system baseline",K261&lt;&gt;""),"Condition scope differs from decision",""),"Parent decision scope missing")),IF(OR(D261="",E261="",F261="",G261=""),"Condition, owner, due date or state missing",IF(NOT(ISNUMBER(F261)),"Due date is not a date",IF(OR(G261="Overdue",G261="Superseded"),"Legacy state — owner review (use the shared five states)",IF(INDEX('Gate events'!$E$4:$E$553,MATCH(B261,'Gate events'!$A$4:$A$553,0))&lt;&gt;"Decision","Parent event is not a Decision",IF(AND(INDEX('Gate events'!$G$4:$G$553,MATCH(B261,'Gate events'!$A$4:$A$553,0))&lt;&gt;"Progress with condition",INDEX('Gate events'!$G$4:$G$553,MATCH(B261,'Gate events'!$A$4:$A$553,0))&lt;&gt;"Re-authorise",INDEX('Gate events'!$G$4:$G$553,MATCH(B261,'Gate events'!$A$4:$A$553,0))&lt;&gt;"Resume"),"Parent outcome is not Progress with condition / Re-authorise / Resume",IF(AND(ISNUMBER(INDEX('Gate events'!$F$4:$F$553,MATCH(B261,'Gate events'!$A$4:$A$553,0))),F261&lt;INDEX('Gate events'!$F$4:$F$553,MATCH(B261,'Gate events'!$A$4:$A$553,0))),"Due date before parent event date",IF(AND(OR(G261="Closed-verified",G261="Waived",G261="Accepted-open"),OR(H261="",I261="")),"Closure evidence missing",IF(AND(H261&lt;&gt;"",NOT(ISNUMBER(H261))),"Closed / waived on is not a date",IF(AND(ISNUMBER(H261),ISNUMBER(INDEX('Gate events'!$F$4:$F$553,MATCH(B261,'Gate events'!$A$4:$A$553,0))),H261&lt;INDEX('Gate events'!$F$4:$F$553,MATCH(B261,'Gate events'!$A$4:$A$553,0))),"Closure date before parent event date",IF(AND(G261="Closed-verified",M261=""),"Verifier / date missing",IF(AND(N261="Yes",G261="Closed-verified",O261=""),"Monitoring condition needs AIG-OPS-02 evidence ref",IF(AND(G261="Open",F261&lt;TODAY()),"OVERDUE (derived) — review",IF(G261="Unknown","State Unknown: owner to confirm","Check against source")))))))))))))))))))</f>
        <v/>
      </c>
      <c r="K261" s="37" t="n"/>
      <c r="L261" s="37" t="n"/>
      <c r="M261" s="40" t="n"/>
      <c r="N261" s="40" t="n"/>
      <c r="O261" s="40" t="n"/>
    </row>
    <row r="262">
      <c r="A262" s="38" t="n"/>
      <c r="B262" s="38" t="n"/>
      <c r="C262" s="38" t="n"/>
      <c r="D262" s="38" t="n"/>
      <c r="E262" s="38" t="n"/>
      <c r="F262" s="39" t="n"/>
      <c r="G262" s="38" t="n"/>
      <c r="H262" s="39" t="n"/>
      <c r="I262" s="38" t="n"/>
      <c r="J262" s="22">
        <f>IF(COUNTA(A262:I262,K262:O262)=0,"",IF(OR(A262="",B262="",C262=""),"ID / parent missing",IF(COUNTIF($A$4:$A$553,A262)&gt;1,"Duplicate condition ID",IF(COUNTIF('Gate events'!$A$4:$A$553,B262)=0,"Event ID not found",IF(INDEX('Gate events'!$B$4:$B$553,MATCH(B262,'Gate events'!$A$4:$A$553,0))&lt;&gt;C262,"AIR-ID differs from event",IF(IF(INDEX('Gate events'!$P$4:$P$553,MATCH(B262,'Gate events'!$A$4:$A$553,0))="UC-ID specific",IF(OR(L262&lt;&gt;"UC-ID specific",K262=""),"Condition UC-ID required",IF(ISNUMBER(SEARCH(","&amp;SUBSTITUTE(K262," ","")&amp;",",","&amp;SUBSTITUTE(INDEX('Gate events'!$O$4:$O$553,MATCH(B262,'Gate events'!$A$4:$A$553,0))," ","")&amp;",")),"","UC-ID differs from decision")),IF(INDEX('Gate events'!$P$4:$P$553,MATCH(B262,'Gate events'!$A$4:$A$553,0))="Shared system baseline",IF(OR(L262&lt;&gt;"Shared system baseline",K262&lt;&gt;""),"Condition scope differs from decision",""),"Parent decision scope missing"))&lt;&gt;"",IF(INDEX('Gate events'!$P$4:$P$553,MATCH(B262,'Gate events'!$A$4:$A$553,0))="UC-ID specific",IF(OR(L262&lt;&gt;"UC-ID specific",K262=""),"Condition UC-ID required",IF(ISNUMBER(SEARCH(","&amp;SUBSTITUTE(K262," ","")&amp;",",","&amp;SUBSTITUTE(INDEX('Gate events'!$O$4:$O$553,MATCH(B262,'Gate events'!$A$4:$A$553,0))," ","")&amp;",")),"","UC-ID differs from decision")),IF(INDEX('Gate events'!$P$4:$P$553,MATCH(B262,'Gate events'!$A$4:$A$553,0))="Shared system baseline",IF(OR(L262&lt;&gt;"Shared system baseline",K262&lt;&gt;""),"Condition scope differs from decision",""),"Parent decision scope missing")),IF(OR(D262="",E262="",F262="",G262=""),"Condition, owner, due date or state missing",IF(NOT(ISNUMBER(F262)),"Due date is not a date",IF(OR(G262="Overdue",G262="Superseded"),"Legacy state — owner review (use the shared five states)",IF(INDEX('Gate events'!$E$4:$E$553,MATCH(B262,'Gate events'!$A$4:$A$553,0))&lt;&gt;"Decision","Parent event is not a Decision",IF(AND(INDEX('Gate events'!$G$4:$G$553,MATCH(B262,'Gate events'!$A$4:$A$553,0))&lt;&gt;"Progress with condition",INDEX('Gate events'!$G$4:$G$553,MATCH(B262,'Gate events'!$A$4:$A$553,0))&lt;&gt;"Re-authorise",INDEX('Gate events'!$G$4:$G$553,MATCH(B262,'Gate events'!$A$4:$A$553,0))&lt;&gt;"Resume"),"Parent outcome is not Progress with condition / Re-authorise / Resume",IF(AND(ISNUMBER(INDEX('Gate events'!$F$4:$F$553,MATCH(B262,'Gate events'!$A$4:$A$553,0))),F262&lt;INDEX('Gate events'!$F$4:$F$553,MATCH(B262,'Gate events'!$A$4:$A$553,0))),"Due date before parent event date",IF(AND(OR(G262="Closed-verified",G262="Waived",G262="Accepted-open"),OR(H262="",I262="")),"Closure evidence missing",IF(AND(H262&lt;&gt;"",NOT(ISNUMBER(H262))),"Closed / waived on is not a date",IF(AND(ISNUMBER(H262),ISNUMBER(INDEX('Gate events'!$F$4:$F$553,MATCH(B262,'Gate events'!$A$4:$A$553,0))),H262&lt;INDEX('Gate events'!$F$4:$F$553,MATCH(B262,'Gate events'!$A$4:$A$553,0))),"Closure date before parent event date",IF(AND(G262="Closed-verified",M262=""),"Verifier / date missing",IF(AND(N262="Yes",G262="Closed-verified",O262=""),"Monitoring condition needs AIG-OPS-02 evidence ref",IF(AND(G262="Open",F262&lt;TODAY()),"OVERDUE (derived) — review",IF(G262="Unknown","State Unknown: owner to confirm","Check against source")))))))))))))))))))</f>
        <v/>
      </c>
      <c r="K262" s="37" t="n"/>
      <c r="L262" s="37" t="n"/>
      <c r="M262" s="38" t="n"/>
      <c r="N262" s="38" t="n"/>
      <c r="O262" s="38" t="n"/>
    </row>
    <row r="263">
      <c r="A263" s="40" t="n"/>
      <c r="B263" s="40" t="n"/>
      <c r="C263" s="40" t="n"/>
      <c r="D263" s="40" t="n"/>
      <c r="E263" s="40" t="n"/>
      <c r="F263" s="41" t="n"/>
      <c r="G263" s="40" t="n"/>
      <c r="H263" s="41" t="n"/>
      <c r="I263" s="40" t="n"/>
      <c r="J263" s="24">
        <f>IF(COUNTA(A263:I263,K263:O263)=0,"",IF(OR(A263="",B263="",C263=""),"ID / parent missing",IF(COUNTIF($A$4:$A$553,A263)&gt;1,"Duplicate condition ID",IF(COUNTIF('Gate events'!$A$4:$A$553,B263)=0,"Event ID not found",IF(INDEX('Gate events'!$B$4:$B$553,MATCH(B263,'Gate events'!$A$4:$A$553,0))&lt;&gt;C263,"AIR-ID differs from event",IF(IF(INDEX('Gate events'!$P$4:$P$553,MATCH(B263,'Gate events'!$A$4:$A$553,0))="UC-ID specific",IF(OR(L263&lt;&gt;"UC-ID specific",K263=""),"Condition UC-ID required",IF(ISNUMBER(SEARCH(","&amp;SUBSTITUTE(K263," ","")&amp;",",","&amp;SUBSTITUTE(INDEX('Gate events'!$O$4:$O$553,MATCH(B263,'Gate events'!$A$4:$A$553,0))," ","")&amp;",")),"","UC-ID differs from decision")),IF(INDEX('Gate events'!$P$4:$P$553,MATCH(B263,'Gate events'!$A$4:$A$553,0))="Shared system baseline",IF(OR(L263&lt;&gt;"Shared system baseline",K263&lt;&gt;""),"Condition scope differs from decision",""),"Parent decision scope missing"))&lt;&gt;"",IF(INDEX('Gate events'!$P$4:$P$553,MATCH(B263,'Gate events'!$A$4:$A$553,0))="UC-ID specific",IF(OR(L263&lt;&gt;"UC-ID specific",K263=""),"Condition UC-ID required",IF(ISNUMBER(SEARCH(","&amp;SUBSTITUTE(K263," ","")&amp;",",","&amp;SUBSTITUTE(INDEX('Gate events'!$O$4:$O$553,MATCH(B263,'Gate events'!$A$4:$A$553,0))," ","")&amp;",")),"","UC-ID differs from decision")),IF(INDEX('Gate events'!$P$4:$P$553,MATCH(B263,'Gate events'!$A$4:$A$553,0))="Shared system baseline",IF(OR(L263&lt;&gt;"Shared system baseline",K263&lt;&gt;""),"Condition scope differs from decision",""),"Parent decision scope missing")),IF(OR(D263="",E263="",F263="",G263=""),"Condition, owner, due date or state missing",IF(NOT(ISNUMBER(F263)),"Due date is not a date",IF(OR(G263="Overdue",G263="Superseded"),"Legacy state — owner review (use the shared five states)",IF(INDEX('Gate events'!$E$4:$E$553,MATCH(B263,'Gate events'!$A$4:$A$553,0))&lt;&gt;"Decision","Parent event is not a Decision",IF(AND(INDEX('Gate events'!$G$4:$G$553,MATCH(B263,'Gate events'!$A$4:$A$553,0))&lt;&gt;"Progress with condition",INDEX('Gate events'!$G$4:$G$553,MATCH(B263,'Gate events'!$A$4:$A$553,0))&lt;&gt;"Re-authorise",INDEX('Gate events'!$G$4:$G$553,MATCH(B263,'Gate events'!$A$4:$A$553,0))&lt;&gt;"Resume"),"Parent outcome is not Progress with condition / Re-authorise / Resume",IF(AND(ISNUMBER(INDEX('Gate events'!$F$4:$F$553,MATCH(B263,'Gate events'!$A$4:$A$553,0))),F263&lt;INDEX('Gate events'!$F$4:$F$553,MATCH(B263,'Gate events'!$A$4:$A$553,0))),"Due date before parent event date",IF(AND(OR(G263="Closed-verified",G263="Waived",G263="Accepted-open"),OR(H263="",I263="")),"Closure evidence missing",IF(AND(H263&lt;&gt;"",NOT(ISNUMBER(H263))),"Closed / waived on is not a date",IF(AND(ISNUMBER(H263),ISNUMBER(INDEX('Gate events'!$F$4:$F$553,MATCH(B263,'Gate events'!$A$4:$A$553,0))),H263&lt;INDEX('Gate events'!$F$4:$F$553,MATCH(B263,'Gate events'!$A$4:$A$553,0))),"Closure date before parent event date",IF(AND(G263="Closed-verified",M263=""),"Verifier / date missing",IF(AND(N263="Yes",G263="Closed-verified",O263=""),"Monitoring condition needs AIG-OPS-02 evidence ref",IF(AND(G263="Open",F263&lt;TODAY()),"OVERDUE (derived) — review",IF(G263="Unknown","State Unknown: owner to confirm","Check against source")))))))))))))))))))</f>
        <v/>
      </c>
      <c r="K263" s="37" t="n"/>
      <c r="L263" s="37" t="n"/>
      <c r="M263" s="40" t="n"/>
      <c r="N263" s="40" t="n"/>
      <c r="O263" s="40" t="n"/>
    </row>
    <row r="264">
      <c r="A264" s="38" t="n"/>
      <c r="B264" s="38" t="n"/>
      <c r="C264" s="38" t="n"/>
      <c r="D264" s="38" t="n"/>
      <c r="E264" s="38" t="n"/>
      <c r="F264" s="39" t="n"/>
      <c r="G264" s="38" t="n"/>
      <c r="H264" s="39" t="n"/>
      <c r="I264" s="38" t="n"/>
      <c r="J264" s="22">
        <f>IF(COUNTA(A264:I264,K264:O264)=0,"",IF(OR(A264="",B264="",C264=""),"ID / parent missing",IF(COUNTIF($A$4:$A$553,A264)&gt;1,"Duplicate condition ID",IF(COUNTIF('Gate events'!$A$4:$A$553,B264)=0,"Event ID not found",IF(INDEX('Gate events'!$B$4:$B$553,MATCH(B264,'Gate events'!$A$4:$A$553,0))&lt;&gt;C264,"AIR-ID differs from event",IF(IF(INDEX('Gate events'!$P$4:$P$553,MATCH(B264,'Gate events'!$A$4:$A$553,0))="UC-ID specific",IF(OR(L264&lt;&gt;"UC-ID specific",K264=""),"Condition UC-ID required",IF(ISNUMBER(SEARCH(","&amp;SUBSTITUTE(K264," ","")&amp;",",","&amp;SUBSTITUTE(INDEX('Gate events'!$O$4:$O$553,MATCH(B264,'Gate events'!$A$4:$A$553,0))," ","")&amp;",")),"","UC-ID differs from decision")),IF(INDEX('Gate events'!$P$4:$P$553,MATCH(B264,'Gate events'!$A$4:$A$553,0))="Shared system baseline",IF(OR(L264&lt;&gt;"Shared system baseline",K264&lt;&gt;""),"Condition scope differs from decision",""),"Parent decision scope missing"))&lt;&gt;"",IF(INDEX('Gate events'!$P$4:$P$553,MATCH(B264,'Gate events'!$A$4:$A$553,0))="UC-ID specific",IF(OR(L264&lt;&gt;"UC-ID specific",K264=""),"Condition UC-ID required",IF(ISNUMBER(SEARCH(","&amp;SUBSTITUTE(K264," ","")&amp;",",","&amp;SUBSTITUTE(INDEX('Gate events'!$O$4:$O$553,MATCH(B264,'Gate events'!$A$4:$A$553,0))," ","")&amp;",")),"","UC-ID differs from decision")),IF(INDEX('Gate events'!$P$4:$P$553,MATCH(B264,'Gate events'!$A$4:$A$553,0))="Shared system baseline",IF(OR(L264&lt;&gt;"Shared system baseline",K264&lt;&gt;""),"Condition scope differs from decision",""),"Parent decision scope missing")),IF(OR(D264="",E264="",F264="",G264=""),"Condition, owner, due date or state missing",IF(NOT(ISNUMBER(F264)),"Due date is not a date",IF(OR(G264="Overdue",G264="Superseded"),"Legacy state — owner review (use the shared five states)",IF(INDEX('Gate events'!$E$4:$E$553,MATCH(B264,'Gate events'!$A$4:$A$553,0))&lt;&gt;"Decision","Parent event is not a Decision",IF(AND(INDEX('Gate events'!$G$4:$G$553,MATCH(B264,'Gate events'!$A$4:$A$553,0))&lt;&gt;"Progress with condition",INDEX('Gate events'!$G$4:$G$553,MATCH(B264,'Gate events'!$A$4:$A$553,0))&lt;&gt;"Re-authorise",INDEX('Gate events'!$G$4:$G$553,MATCH(B264,'Gate events'!$A$4:$A$553,0))&lt;&gt;"Resume"),"Parent outcome is not Progress with condition / Re-authorise / Resume",IF(AND(ISNUMBER(INDEX('Gate events'!$F$4:$F$553,MATCH(B264,'Gate events'!$A$4:$A$553,0))),F264&lt;INDEX('Gate events'!$F$4:$F$553,MATCH(B264,'Gate events'!$A$4:$A$553,0))),"Due date before parent event date",IF(AND(OR(G264="Closed-verified",G264="Waived",G264="Accepted-open"),OR(H264="",I264="")),"Closure evidence missing",IF(AND(H264&lt;&gt;"",NOT(ISNUMBER(H264))),"Closed / waived on is not a date",IF(AND(ISNUMBER(H264),ISNUMBER(INDEX('Gate events'!$F$4:$F$553,MATCH(B264,'Gate events'!$A$4:$A$553,0))),H264&lt;INDEX('Gate events'!$F$4:$F$553,MATCH(B264,'Gate events'!$A$4:$A$553,0))),"Closure date before parent event date",IF(AND(G264="Closed-verified",M264=""),"Verifier / date missing",IF(AND(N264="Yes",G264="Closed-verified",O264=""),"Monitoring condition needs AIG-OPS-02 evidence ref",IF(AND(G264="Open",F264&lt;TODAY()),"OVERDUE (derived) — review",IF(G264="Unknown","State Unknown: owner to confirm","Check against source")))))))))))))))))))</f>
        <v/>
      </c>
      <c r="K264" s="37" t="n"/>
      <c r="L264" s="37" t="n"/>
      <c r="M264" s="38" t="n"/>
      <c r="N264" s="38" t="n"/>
      <c r="O264" s="38" t="n"/>
    </row>
    <row r="265">
      <c r="A265" s="40" t="n"/>
      <c r="B265" s="40" t="n"/>
      <c r="C265" s="40" t="n"/>
      <c r="D265" s="40" t="n"/>
      <c r="E265" s="40" t="n"/>
      <c r="F265" s="41" t="n"/>
      <c r="G265" s="40" t="n"/>
      <c r="H265" s="41" t="n"/>
      <c r="I265" s="40" t="n"/>
      <c r="J265" s="24">
        <f>IF(COUNTA(A265:I265,K265:O265)=0,"",IF(OR(A265="",B265="",C265=""),"ID / parent missing",IF(COUNTIF($A$4:$A$553,A265)&gt;1,"Duplicate condition ID",IF(COUNTIF('Gate events'!$A$4:$A$553,B265)=0,"Event ID not found",IF(INDEX('Gate events'!$B$4:$B$553,MATCH(B265,'Gate events'!$A$4:$A$553,0))&lt;&gt;C265,"AIR-ID differs from event",IF(IF(INDEX('Gate events'!$P$4:$P$553,MATCH(B265,'Gate events'!$A$4:$A$553,0))="UC-ID specific",IF(OR(L265&lt;&gt;"UC-ID specific",K265=""),"Condition UC-ID required",IF(ISNUMBER(SEARCH(","&amp;SUBSTITUTE(K265," ","")&amp;",",","&amp;SUBSTITUTE(INDEX('Gate events'!$O$4:$O$553,MATCH(B265,'Gate events'!$A$4:$A$553,0))," ","")&amp;",")),"","UC-ID differs from decision")),IF(INDEX('Gate events'!$P$4:$P$553,MATCH(B265,'Gate events'!$A$4:$A$553,0))="Shared system baseline",IF(OR(L265&lt;&gt;"Shared system baseline",K265&lt;&gt;""),"Condition scope differs from decision",""),"Parent decision scope missing"))&lt;&gt;"",IF(INDEX('Gate events'!$P$4:$P$553,MATCH(B265,'Gate events'!$A$4:$A$553,0))="UC-ID specific",IF(OR(L265&lt;&gt;"UC-ID specific",K265=""),"Condition UC-ID required",IF(ISNUMBER(SEARCH(","&amp;SUBSTITUTE(K265," ","")&amp;",",","&amp;SUBSTITUTE(INDEX('Gate events'!$O$4:$O$553,MATCH(B265,'Gate events'!$A$4:$A$553,0))," ","")&amp;",")),"","UC-ID differs from decision")),IF(INDEX('Gate events'!$P$4:$P$553,MATCH(B265,'Gate events'!$A$4:$A$553,0))="Shared system baseline",IF(OR(L265&lt;&gt;"Shared system baseline",K265&lt;&gt;""),"Condition scope differs from decision",""),"Parent decision scope missing")),IF(OR(D265="",E265="",F265="",G265=""),"Condition, owner, due date or state missing",IF(NOT(ISNUMBER(F265)),"Due date is not a date",IF(OR(G265="Overdue",G265="Superseded"),"Legacy state — owner review (use the shared five states)",IF(INDEX('Gate events'!$E$4:$E$553,MATCH(B265,'Gate events'!$A$4:$A$553,0))&lt;&gt;"Decision","Parent event is not a Decision",IF(AND(INDEX('Gate events'!$G$4:$G$553,MATCH(B265,'Gate events'!$A$4:$A$553,0))&lt;&gt;"Progress with condition",INDEX('Gate events'!$G$4:$G$553,MATCH(B265,'Gate events'!$A$4:$A$553,0))&lt;&gt;"Re-authorise",INDEX('Gate events'!$G$4:$G$553,MATCH(B265,'Gate events'!$A$4:$A$553,0))&lt;&gt;"Resume"),"Parent outcome is not Progress with condition / Re-authorise / Resume",IF(AND(ISNUMBER(INDEX('Gate events'!$F$4:$F$553,MATCH(B265,'Gate events'!$A$4:$A$553,0))),F265&lt;INDEX('Gate events'!$F$4:$F$553,MATCH(B265,'Gate events'!$A$4:$A$553,0))),"Due date before parent event date",IF(AND(OR(G265="Closed-verified",G265="Waived",G265="Accepted-open"),OR(H265="",I265="")),"Closure evidence missing",IF(AND(H265&lt;&gt;"",NOT(ISNUMBER(H265))),"Closed / waived on is not a date",IF(AND(ISNUMBER(H265),ISNUMBER(INDEX('Gate events'!$F$4:$F$553,MATCH(B265,'Gate events'!$A$4:$A$553,0))),H265&lt;INDEX('Gate events'!$F$4:$F$553,MATCH(B265,'Gate events'!$A$4:$A$553,0))),"Closure date before parent event date",IF(AND(G265="Closed-verified",M265=""),"Verifier / date missing",IF(AND(N265="Yes",G265="Closed-verified",O265=""),"Monitoring condition needs AIG-OPS-02 evidence ref",IF(AND(G265="Open",F265&lt;TODAY()),"OVERDUE (derived) — review",IF(G265="Unknown","State Unknown: owner to confirm","Check against source")))))))))))))))))))</f>
        <v/>
      </c>
      <c r="K265" s="37" t="n"/>
      <c r="L265" s="37" t="n"/>
      <c r="M265" s="40" t="n"/>
      <c r="N265" s="40" t="n"/>
      <c r="O265" s="40" t="n"/>
    </row>
    <row r="266">
      <c r="A266" s="38" t="n"/>
      <c r="B266" s="38" t="n"/>
      <c r="C266" s="38" t="n"/>
      <c r="D266" s="38" t="n"/>
      <c r="E266" s="38" t="n"/>
      <c r="F266" s="39" t="n"/>
      <c r="G266" s="38" t="n"/>
      <c r="H266" s="39" t="n"/>
      <c r="I266" s="38" t="n"/>
      <c r="J266" s="22">
        <f>IF(COUNTA(A266:I266,K266:O266)=0,"",IF(OR(A266="",B266="",C266=""),"ID / parent missing",IF(COUNTIF($A$4:$A$553,A266)&gt;1,"Duplicate condition ID",IF(COUNTIF('Gate events'!$A$4:$A$553,B266)=0,"Event ID not found",IF(INDEX('Gate events'!$B$4:$B$553,MATCH(B266,'Gate events'!$A$4:$A$553,0))&lt;&gt;C266,"AIR-ID differs from event",IF(IF(INDEX('Gate events'!$P$4:$P$553,MATCH(B266,'Gate events'!$A$4:$A$553,0))="UC-ID specific",IF(OR(L266&lt;&gt;"UC-ID specific",K266=""),"Condition UC-ID required",IF(ISNUMBER(SEARCH(","&amp;SUBSTITUTE(K266," ","")&amp;",",","&amp;SUBSTITUTE(INDEX('Gate events'!$O$4:$O$553,MATCH(B266,'Gate events'!$A$4:$A$553,0))," ","")&amp;",")),"","UC-ID differs from decision")),IF(INDEX('Gate events'!$P$4:$P$553,MATCH(B266,'Gate events'!$A$4:$A$553,0))="Shared system baseline",IF(OR(L266&lt;&gt;"Shared system baseline",K266&lt;&gt;""),"Condition scope differs from decision",""),"Parent decision scope missing"))&lt;&gt;"",IF(INDEX('Gate events'!$P$4:$P$553,MATCH(B266,'Gate events'!$A$4:$A$553,0))="UC-ID specific",IF(OR(L266&lt;&gt;"UC-ID specific",K266=""),"Condition UC-ID required",IF(ISNUMBER(SEARCH(","&amp;SUBSTITUTE(K266," ","")&amp;",",","&amp;SUBSTITUTE(INDEX('Gate events'!$O$4:$O$553,MATCH(B266,'Gate events'!$A$4:$A$553,0))," ","")&amp;",")),"","UC-ID differs from decision")),IF(INDEX('Gate events'!$P$4:$P$553,MATCH(B266,'Gate events'!$A$4:$A$553,0))="Shared system baseline",IF(OR(L266&lt;&gt;"Shared system baseline",K266&lt;&gt;""),"Condition scope differs from decision",""),"Parent decision scope missing")),IF(OR(D266="",E266="",F266="",G266=""),"Condition, owner, due date or state missing",IF(NOT(ISNUMBER(F266)),"Due date is not a date",IF(OR(G266="Overdue",G266="Superseded"),"Legacy state — owner review (use the shared five states)",IF(INDEX('Gate events'!$E$4:$E$553,MATCH(B266,'Gate events'!$A$4:$A$553,0))&lt;&gt;"Decision","Parent event is not a Decision",IF(AND(INDEX('Gate events'!$G$4:$G$553,MATCH(B266,'Gate events'!$A$4:$A$553,0))&lt;&gt;"Progress with condition",INDEX('Gate events'!$G$4:$G$553,MATCH(B266,'Gate events'!$A$4:$A$553,0))&lt;&gt;"Re-authorise",INDEX('Gate events'!$G$4:$G$553,MATCH(B266,'Gate events'!$A$4:$A$553,0))&lt;&gt;"Resume"),"Parent outcome is not Progress with condition / Re-authorise / Resume",IF(AND(ISNUMBER(INDEX('Gate events'!$F$4:$F$553,MATCH(B266,'Gate events'!$A$4:$A$553,0))),F266&lt;INDEX('Gate events'!$F$4:$F$553,MATCH(B266,'Gate events'!$A$4:$A$553,0))),"Due date before parent event date",IF(AND(OR(G266="Closed-verified",G266="Waived",G266="Accepted-open"),OR(H266="",I266="")),"Closure evidence missing",IF(AND(H266&lt;&gt;"",NOT(ISNUMBER(H266))),"Closed / waived on is not a date",IF(AND(ISNUMBER(H266),ISNUMBER(INDEX('Gate events'!$F$4:$F$553,MATCH(B266,'Gate events'!$A$4:$A$553,0))),H266&lt;INDEX('Gate events'!$F$4:$F$553,MATCH(B266,'Gate events'!$A$4:$A$553,0))),"Closure date before parent event date",IF(AND(G266="Closed-verified",M266=""),"Verifier / date missing",IF(AND(N266="Yes",G266="Closed-verified",O266=""),"Monitoring condition needs AIG-OPS-02 evidence ref",IF(AND(G266="Open",F266&lt;TODAY()),"OVERDUE (derived) — review",IF(G266="Unknown","State Unknown: owner to confirm","Check against source")))))))))))))))))))</f>
        <v/>
      </c>
      <c r="K266" s="37" t="n"/>
      <c r="L266" s="37" t="n"/>
      <c r="M266" s="38" t="n"/>
      <c r="N266" s="38" t="n"/>
      <c r="O266" s="38" t="n"/>
    </row>
    <row r="267">
      <c r="A267" s="40" t="n"/>
      <c r="B267" s="40" t="n"/>
      <c r="C267" s="40" t="n"/>
      <c r="D267" s="40" t="n"/>
      <c r="E267" s="40" t="n"/>
      <c r="F267" s="41" t="n"/>
      <c r="G267" s="40" t="n"/>
      <c r="H267" s="41" t="n"/>
      <c r="I267" s="40" t="n"/>
      <c r="J267" s="24">
        <f>IF(COUNTA(A267:I267,K267:O267)=0,"",IF(OR(A267="",B267="",C267=""),"ID / parent missing",IF(COUNTIF($A$4:$A$553,A267)&gt;1,"Duplicate condition ID",IF(COUNTIF('Gate events'!$A$4:$A$553,B267)=0,"Event ID not found",IF(INDEX('Gate events'!$B$4:$B$553,MATCH(B267,'Gate events'!$A$4:$A$553,0))&lt;&gt;C267,"AIR-ID differs from event",IF(IF(INDEX('Gate events'!$P$4:$P$553,MATCH(B267,'Gate events'!$A$4:$A$553,0))="UC-ID specific",IF(OR(L267&lt;&gt;"UC-ID specific",K267=""),"Condition UC-ID required",IF(ISNUMBER(SEARCH(","&amp;SUBSTITUTE(K267," ","")&amp;",",","&amp;SUBSTITUTE(INDEX('Gate events'!$O$4:$O$553,MATCH(B267,'Gate events'!$A$4:$A$553,0))," ","")&amp;",")),"","UC-ID differs from decision")),IF(INDEX('Gate events'!$P$4:$P$553,MATCH(B267,'Gate events'!$A$4:$A$553,0))="Shared system baseline",IF(OR(L267&lt;&gt;"Shared system baseline",K267&lt;&gt;""),"Condition scope differs from decision",""),"Parent decision scope missing"))&lt;&gt;"",IF(INDEX('Gate events'!$P$4:$P$553,MATCH(B267,'Gate events'!$A$4:$A$553,0))="UC-ID specific",IF(OR(L267&lt;&gt;"UC-ID specific",K267=""),"Condition UC-ID required",IF(ISNUMBER(SEARCH(","&amp;SUBSTITUTE(K267," ","")&amp;",",","&amp;SUBSTITUTE(INDEX('Gate events'!$O$4:$O$553,MATCH(B267,'Gate events'!$A$4:$A$553,0))," ","")&amp;",")),"","UC-ID differs from decision")),IF(INDEX('Gate events'!$P$4:$P$553,MATCH(B267,'Gate events'!$A$4:$A$553,0))="Shared system baseline",IF(OR(L267&lt;&gt;"Shared system baseline",K267&lt;&gt;""),"Condition scope differs from decision",""),"Parent decision scope missing")),IF(OR(D267="",E267="",F267="",G267=""),"Condition, owner, due date or state missing",IF(NOT(ISNUMBER(F267)),"Due date is not a date",IF(OR(G267="Overdue",G267="Superseded"),"Legacy state — owner review (use the shared five states)",IF(INDEX('Gate events'!$E$4:$E$553,MATCH(B267,'Gate events'!$A$4:$A$553,0))&lt;&gt;"Decision","Parent event is not a Decision",IF(AND(INDEX('Gate events'!$G$4:$G$553,MATCH(B267,'Gate events'!$A$4:$A$553,0))&lt;&gt;"Progress with condition",INDEX('Gate events'!$G$4:$G$553,MATCH(B267,'Gate events'!$A$4:$A$553,0))&lt;&gt;"Re-authorise",INDEX('Gate events'!$G$4:$G$553,MATCH(B267,'Gate events'!$A$4:$A$553,0))&lt;&gt;"Resume"),"Parent outcome is not Progress with condition / Re-authorise / Resume",IF(AND(ISNUMBER(INDEX('Gate events'!$F$4:$F$553,MATCH(B267,'Gate events'!$A$4:$A$553,0))),F267&lt;INDEX('Gate events'!$F$4:$F$553,MATCH(B267,'Gate events'!$A$4:$A$553,0))),"Due date before parent event date",IF(AND(OR(G267="Closed-verified",G267="Waived",G267="Accepted-open"),OR(H267="",I267="")),"Closure evidence missing",IF(AND(H267&lt;&gt;"",NOT(ISNUMBER(H267))),"Closed / waived on is not a date",IF(AND(ISNUMBER(H267),ISNUMBER(INDEX('Gate events'!$F$4:$F$553,MATCH(B267,'Gate events'!$A$4:$A$553,0))),H267&lt;INDEX('Gate events'!$F$4:$F$553,MATCH(B267,'Gate events'!$A$4:$A$553,0))),"Closure date before parent event date",IF(AND(G267="Closed-verified",M267=""),"Verifier / date missing",IF(AND(N267="Yes",G267="Closed-verified",O267=""),"Monitoring condition needs AIG-OPS-02 evidence ref",IF(AND(G267="Open",F267&lt;TODAY()),"OVERDUE (derived) — review",IF(G267="Unknown","State Unknown: owner to confirm","Check against source")))))))))))))))))))</f>
        <v/>
      </c>
      <c r="K267" s="37" t="n"/>
      <c r="L267" s="37" t="n"/>
      <c r="M267" s="40" t="n"/>
      <c r="N267" s="40" t="n"/>
      <c r="O267" s="40" t="n"/>
    </row>
    <row r="268">
      <c r="A268" s="38" t="n"/>
      <c r="B268" s="38" t="n"/>
      <c r="C268" s="38" t="n"/>
      <c r="D268" s="38" t="n"/>
      <c r="E268" s="38" t="n"/>
      <c r="F268" s="39" t="n"/>
      <c r="G268" s="38" t="n"/>
      <c r="H268" s="39" t="n"/>
      <c r="I268" s="38" t="n"/>
      <c r="J268" s="22">
        <f>IF(COUNTA(A268:I268,K268:O268)=0,"",IF(OR(A268="",B268="",C268=""),"ID / parent missing",IF(COUNTIF($A$4:$A$553,A268)&gt;1,"Duplicate condition ID",IF(COUNTIF('Gate events'!$A$4:$A$553,B268)=0,"Event ID not found",IF(INDEX('Gate events'!$B$4:$B$553,MATCH(B268,'Gate events'!$A$4:$A$553,0))&lt;&gt;C268,"AIR-ID differs from event",IF(IF(INDEX('Gate events'!$P$4:$P$553,MATCH(B268,'Gate events'!$A$4:$A$553,0))="UC-ID specific",IF(OR(L268&lt;&gt;"UC-ID specific",K268=""),"Condition UC-ID required",IF(ISNUMBER(SEARCH(","&amp;SUBSTITUTE(K268," ","")&amp;",",","&amp;SUBSTITUTE(INDEX('Gate events'!$O$4:$O$553,MATCH(B268,'Gate events'!$A$4:$A$553,0))," ","")&amp;",")),"","UC-ID differs from decision")),IF(INDEX('Gate events'!$P$4:$P$553,MATCH(B268,'Gate events'!$A$4:$A$553,0))="Shared system baseline",IF(OR(L268&lt;&gt;"Shared system baseline",K268&lt;&gt;""),"Condition scope differs from decision",""),"Parent decision scope missing"))&lt;&gt;"",IF(INDEX('Gate events'!$P$4:$P$553,MATCH(B268,'Gate events'!$A$4:$A$553,0))="UC-ID specific",IF(OR(L268&lt;&gt;"UC-ID specific",K268=""),"Condition UC-ID required",IF(ISNUMBER(SEARCH(","&amp;SUBSTITUTE(K268," ","")&amp;",",","&amp;SUBSTITUTE(INDEX('Gate events'!$O$4:$O$553,MATCH(B268,'Gate events'!$A$4:$A$553,0))," ","")&amp;",")),"","UC-ID differs from decision")),IF(INDEX('Gate events'!$P$4:$P$553,MATCH(B268,'Gate events'!$A$4:$A$553,0))="Shared system baseline",IF(OR(L268&lt;&gt;"Shared system baseline",K268&lt;&gt;""),"Condition scope differs from decision",""),"Parent decision scope missing")),IF(OR(D268="",E268="",F268="",G268=""),"Condition, owner, due date or state missing",IF(NOT(ISNUMBER(F268)),"Due date is not a date",IF(OR(G268="Overdue",G268="Superseded"),"Legacy state — owner review (use the shared five states)",IF(INDEX('Gate events'!$E$4:$E$553,MATCH(B268,'Gate events'!$A$4:$A$553,0))&lt;&gt;"Decision","Parent event is not a Decision",IF(AND(INDEX('Gate events'!$G$4:$G$553,MATCH(B268,'Gate events'!$A$4:$A$553,0))&lt;&gt;"Progress with condition",INDEX('Gate events'!$G$4:$G$553,MATCH(B268,'Gate events'!$A$4:$A$553,0))&lt;&gt;"Re-authorise",INDEX('Gate events'!$G$4:$G$553,MATCH(B268,'Gate events'!$A$4:$A$553,0))&lt;&gt;"Resume"),"Parent outcome is not Progress with condition / Re-authorise / Resume",IF(AND(ISNUMBER(INDEX('Gate events'!$F$4:$F$553,MATCH(B268,'Gate events'!$A$4:$A$553,0))),F268&lt;INDEX('Gate events'!$F$4:$F$553,MATCH(B268,'Gate events'!$A$4:$A$553,0))),"Due date before parent event date",IF(AND(OR(G268="Closed-verified",G268="Waived",G268="Accepted-open"),OR(H268="",I268="")),"Closure evidence missing",IF(AND(H268&lt;&gt;"",NOT(ISNUMBER(H268))),"Closed / waived on is not a date",IF(AND(ISNUMBER(H268),ISNUMBER(INDEX('Gate events'!$F$4:$F$553,MATCH(B268,'Gate events'!$A$4:$A$553,0))),H268&lt;INDEX('Gate events'!$F$4:$F$553,MATCH(B268,'Gate events'!$A$4:$A$553,0))),"Closure date before parent event date",IF(AND(G268="Closed-verified",M268=""),"Verifier / date missing",IF(AND(N268="Yes",G268="Closed-verified",O268=""),"Monitoring condition needs AIG-OPS-02 evidence ref",IF(AND(G268="Open",F268&lt;TODAY()),"OVERDUE (derived) — review",IF(G268="Unknown","State Unknown: owner to confirm","Check against source")))))))))))))))))))</f>
        <v/>
      </c>
      <c r="K268" s="37" t="n"/>
      <c r="L268" s="37" t="n"/>
      <c r="M268" s="38" t="n"/>
      <c r="N268" s="38" t="n"/>
      <c r="O268" s="38" t="n"/>
    </row>
    <row r="269">
      <c r="A269" s="40" t="n"/>
      <c r="B269" s="40" t="n"/>
      <c r="C269" s="40" t="n"/>
      <c r="D269" s="40" t="n"/>
      <c r="E269" s="40" t="n"/>
      <c r="F269" s="41" t="n"/>
      <c r="G269" s="40" t="n"/>
      <c r="H269" s="41" t="n"/>
      <c r="I269" s="40" t="n"/>
      <c r="J269" s="24">
        <f>IF(COUNTA(A269:I269,K269:O269)=0,"",IF(OR(A269="",B269="",C269=""),"ID / parent missing",IF(COUNTIF($A$4:$A$553,A269)&gt;1,"Duplicate condition ID",IF(COUNTIF('Gate events'!$A$4:$A$553,B269)=0,"Event ID not found",IF(INDEX('Gate events'!$B$4:$B$553,MATCH(B269,'Gate events'!$A$4:$A$553,0))&lt;&gt;C269,"AIR-ID differs from event",IF(IF(INDEX('Gate events'!$P$4:$P$553,MATCH(B269,'Gate events'!$A$4:$A$553,0))="UC-ID specific",IF(OR(L269&lt;&gt;"UC-ID specific",K269=""),"Condition UC-ID required",IF(ISNUMBER(SEARCH(","&amp;SUBSTITUTE(K269," ","")&amp;",",","&amp;SUBSTITUTE(INDEX('Gate events'!$O$4:$O$553,MATCH(B269,'Gate events'!$A$4:$A$553,0))," ","")&amp;",")),"","UC-ID differs from decision")),IF(INDEX('Gate events'!$P$4:$P$553,MATCH(B269,'Gate events'!$A$4:$A$553,0))="Shared system baseline",IF(OR(L269&lt;&gt;"Shared system baseline",K269&lt;&gt;""),"Condition scope differs from decision",""),"Parent decision scope missing"))&lt;&gt;"",IF(INDEX('Gate events'!$P$4:$P$553,MATCH(B269,'Gate events'!$A$4:$A$553,0))="UC-ID specific",IF(OR(L269&lt;&gt;"UC-ID specific",K269=""),"Condition UC-ID required",IF(ISNUMBER(SEARCH(","&amp;SUBSTITUTE(K269," ","")&amp;",",","&amp;SUBSTITUTE(INDEX('Gate events'!$O$4:$O$553,MATCH(B269,'Gate events'!$A$4:$A$553,0))," ","")&amp;",")),"","UC-ID differs from decision")),IF(INDEX('Gate events'!$P$4:$P$553,MATCH(B269,'Gate events'!$A$4:$A$553,0))="Shared system baseline",IF(OR(L269&lt;&gt;"Shared system baseline",K269&lt;&gt;""),"Condition scope differs from decision",""),"Parent decision scope missing")),IF(OR(D269="",E269="",F269="",G269=""),"Condition, owner, due date or state missing",IF(NOT(ISNUMBER(F269)),"Due date is not a date",IF(OR(G269="Overdue",G269="Superseded"),"Legacy state — owner review (use the shared five states)",IF(INDEX('Gate events'!$E$4:$E$553,MATCH(B269,'Gate events'!$A$4:$A$553,0))&lt;&gt;"Decision","Parent event is not a Decision",IF(AND(INDEX('Gate events'!$G$4:$G$553,MATCH(B269,'Gate events'!$A$4:$A$553,0))&lt;&gt;"Progress with condition",INDEX('Gate events'!$G$4:$G$553,MATCH(B269,'Gate events'!$A$4:$A$553,0))&lt;&gt;"Re-authorise",INDEX('Gate events'!$G$4:$G$553,MATCH(B269,'Gate events'!$A$4:$A$553,0))&lt;&gt;"Resume"),"Parent outcome is not Progress with condition / Re-authorise / Resume",IF(AND(ISNUMBER(INDEX('Gate events'!$F$4:$F$553,MATCH(B269,'Gate events'!$A$4:$A$553,0))),F269&lt;INDEX('Gate events'!$F$4:$F$553,MATCH(B269,'Gate events'!$A$4:$A$553,0))),"Due date before parent event date",IF(AND(OR(G269="Closed-verified",G269="Waived",G269="Accepted-open"),OR(H269="",I269="")),"Closure evidence missing",IF(AND(H269&lt;&gt;"",NOT(ISNUMBER(H269))),"Closed / waived on is not a date",IF(AND(ISNUMBER(H269),ISNUMBER(INDEX('Gate events'!$F$4:$F$553,MATCH(B269,'Gate events'!$A$4:$A$553,0))),H269&lt;INDEX('Gate events'!$F$4:$F$553,MATCH(B269,'Gate events'!$A$4:$A$553,0))),"Closure date before parent event date",IF(AND(G269="Closed-verified",M269=""),"Verifier / date missing",IF(AND(N269="Yes",G269="Closed-verified",O269=""),"Monitoring condition needs AIG-OPS-02 evidence ref",IF(AND(G269="Open",F269&lt;TODAY()),"OVERDUE (derived) — review",IF(G269="Unknown","State Unknown: owner to confirm","Check against source")))))))))))))))))))</f>
        <v/>
      </c>
      <c r="K269" s="37" t="n"/>
      <c r="L269" s="37" t="n"/>
      <c r="M269" s="40" t="n"/>
      <c r="N269" s="40" t="n"/>
      <c r="O269" s="40" t="n"/>
    </row>
    <row r="270">
      <c r="A270" s="38" t="n"/>
      <c r="B270" s="38" t="n"/>
      <c r="C270" s="38" t="n"/>
      <c r="D270" s="38" t="n"/>
      <c r="E270" s="38" t="n"/>
      <c r="F270" s="39" t="n"/>
      <c r="G270" s="38" t="n"/>
      <c r="H270" s="39" t="n"/>
      <c r="I270" s="38" t="n"/>
      <c r="J270" s="22">
        <f>IF(COUNTA(A270:I270,K270:O270)=0,"",IF(OR(A270="",B270="",C270=""),"ID / parent missing",IF(COUNTIF($A$4:$A$553,A270)&gt;1,"Duplicate condition ID",IF(COUNTIF('Gate events'!$A$4:$A$553,B270)=0,"Event ID not found",IF(INDEX('Gate events'!$B$4:$B$553,MATCH(B270,'Gate events'!$A$4:$A$553,0))&lt;&gt;C270,"AIR-ID differs from event",IF(IF(INDEX('Gate events'!$P$4:$P$553,MATCH(B270,'Gate events'!$A$4:$A$553,0))="UC-ID specific",IF(OR(L270&lt;&gt;"UC-ID specific",K270=""),"Condition UC-ID required",IF(ISNUMBER(SEARCH(","&amp;SUBSTITUTE(K270," ","")&amp;",",","&amp;SUBSTITUTE(INDEX('Gate events'!$O$4:$O$553,MATCH(B270,'Gate events'!$A$4:$A$553,0))," ","")&amp;",")),"","UC-ID differs from decision")),IF(INDEX('Gate events'!$P$4:$P$553,MATCH(B270,'Gate events'!$A$4:$A$553,0))="Shared system baseline",IF(OR(L270&lt;&gt;"Shared system baseline",K270&lt;&gt;""),"Condition scope differs from decision",""),"Parent decision scope missing"))&lt;&gt;"",IF(INDEX('Gate events'!$P$4:$P$553,MATCH(B270,'Gate events'!$A$4:$A$553,0))="UC-ID specific",IF(OR(L270&lt;&gt;"UC-ID specific",K270=""),"Condition UC-ID required",IF(ISNUMBER(SEARCH(","&amp;SUBSTITUTE(K270," ","")&amp;",",","&amp;SUBSTITUTE(INDEX('Gate events'!$O$4:$O$553,MATCH(B270,'Gate events'!$A$4:$A$553,0))," ","")&amp;",")),"","UC-ID differs from decision")),IF(INDEX('Gate events'!$P$4:$P$553,MATCH(B270,'Gate events'!$A$4:$A$553,0))="Shared system baseline",IF(OR(L270&lt;&gt;"Shared system baseline",K270&lt;&gt;""),"Condition scope differs from decision",""),"Parent decision scope missing")),IF(OR(D270="",E270="",F270="",G270=""),"Condition, owner, due date or state missing",IF(NOT(ISNUMBER(F270)),"Due date is not a date",IF(OR(G270="Overdue",G270="Superseded"),"Legacy state — owner review (use the shared five states)",IF(INDEX('Gate events'!$E$4:$E$553,MATCH(B270,'Gate events'!$A$4:$A$553,0))&lt;&gt;"Decision","Parent event is not a Decision",IF(AND(INDEX('Gate events'!$G$4:$G$553,MATCH(B270,'Gate events'!$A$4:$A$553,0))&lt;&gt;"Progress with condition",INDEX('Gate events'!$G$4:$G$553,MATCH(B270,'Gate events'!$A$4:$A$553,0))&lt;&gt;"Re-authorise",INDEX('Gate events'!$G$4:$G$553,MATCH(B270,'Gate events'!$A$4:$A$553,0))&lt;&gt;"Resume"),"Parent outcome is not Progress with condition / Re-authorise / Resume",IF(AND(ISNUMBER(INDEX('Gate events'!$F$4:$F$553,MATCH(B270,'Gate events'!$A$4:$A$553,0))),F270&lt;INDEX('Gate events'!$F$4:$F$553,MATCH(B270,'Gate events'!$A$4:$A$553,0))),"Due date before parent event date",IF(AND(OR(G270="Closed-verified",G270="Waived",G270="Accepted-open"),OR(H270="",I270="")),"Closure evidence missing",IF(AND(H270&lt;&gt;"",NOT(ISNUMBER(H270))),"Closed / waived on is not a date",IF(AND(ISNUMBER(H270),ISNUMBER(INDEX('Gate events'!$F$4:$F$553,MATCH(B270,'Gate events'!$A$4:$A$553,0))),H270&lt;INDEX('Gate events'!$F$4:$F$553,MATCH(B270,'Gate events'!$A$4:$A$553,0))),"Closure date before parent event date",IF(AND(G270="Closed-verified",M270=""),"Verifier / date missing",IF(AND(N270="Yes",G270="Closed-verified",O270=""),"Monitoring condition needs AIG-OPS-02 evidence ref",IF(AND(G270="Open",F270&lt;TODAY()),"OVERDUE (derived) — review",IF(G270="Unknown","State Unknown: owner to confirm","Check against source")))))))))))))))))))</f>
        <v/>
      </c>
      <c r="K270" s="37" t="n"/>
      <c r="L270" s="37" t="n"/>
      <c r="M270" s="38" t="n"/>
      <c r="N270" s="38" t="n"/>
      <c r="O270" s="38" t="n"/>
    </row>
    <row r="271">
      <c r="A271" s="40" t="n"/>
      <c r="B271" s="40" t="n"/>
      <c r="C271" s="40" t="n"/>
      <c r="D271" s="40" t="n"/>
      <c r="E271" s="40" t="n"/>
      <c r="F271" s="41" t="n"/>
      <c r="G271" s="40" t="n"/>
      <c r="H271" s="41" t="n"/>
      <c r="I271" s="40" t="n"/>
      <c r="J271" s="24">
        <f>IF(COUNTA(A271:I271,K271:O271)=0,"",IF(OR(A271="",B271="",C271=""),"ID / parent missing",IF(COUNTIF($A$4:$A$553,A271)&gt;1,"Duplicate condition ID",IF(COUNTIF('Gate events'!$A$4:$A$553,B271)=0,"Event ID not found",IF(INDEX('Gate events'!$B$4:$B$553,MATCH(B271,'Gate events'!$A$4:$A$553,0))&lt;&gt;C271,"AIR-ID differs from event",IF(IF(INDEX('Gate events'!$P$4:$P$553,MATCH(B271,'Gate events'!$A$4:$A$553,0))="UC-ID specific",IF(OR(L271&lt;&gt;"UC-ID specific",K271=""),"Condition UC-ID required",IF(ISNUMBER(SEARCH(","&amp;SUBSTITUTE(K271," ","")&amp;",",","&amp;SUBSTITUTE(INDEX('Gate events'!$O$4:$O$553,MATCH(B271,'Gate events'!$A$4:$A$553,0))," ","")&amp;",")),"","UC-ID differs from decision")),IF(INDEX('Gate events'!$P$4:$P$553,MATCH(B271,'Gate events'!$A$4:$A$553,0))="Shared system baseline",IF(OR(L271&lt;&gt;"Shared system baseline",K271&lt;&gt;""),"Condition scope differs from decision",""),"Parent decision scope missing"))&lt;&gt;"",IF(INDEX('Gate events'!$P$4:$P$553,MATCH(B271,'Gate events'!$A$4:$A$553,0))="UC-ID specific",IF(OR(L271&lt;&gt;"UC-ID specific",K271=""),"Condition UC-ID required",IF(ISNUMBER(SEARCH(","&amp;SUBSTITUTE(K271," ","")&amp;",",","&amp;SUBSTITUTE(INDEX('Gate events'!$O$4:$O$553,MATCH(B271,'Gate events'!$A$4:$A$553,0))," ","")&amp;",")),"","UC-ID differs from decision")),IF(INDEX('Gate events'!$P$4:$P$553,MATCH(B271,'Gate events'!$A$4:$A$553,0))="Shared system baseline",IF(OR(L271&lt;&gt;"Shared system baseline",K271&lt;&gt;""),"Condition scope differs from decision",""),"Parent decision scope missing")),IF(OR(D271="",E271="",F271="",G271=""),"Condition, owner, due date or state missing",IF(NOT(ISNUMBER(F271)),"Due date is not a date",IF(OR(G271="Overdue",G271="Superseded"),"Legacy state — owner review (use the shared five states)",IF(INDEX('Gate events'!$E$4:$E$553,MATCH(B271,'Gate events'!$A$4:$A$553,0))&lt;&gt;"Decision","Parent event is not a Decision",IF(AND(INDEX('Gate events'!$G$4:$G$553,MATCH(B271,'Gate events'!$A$4:$A$553,0))&lt;&gt;"Progress with condition",INDEX('Gate events'!$G$4:$G$553,MATCH(B271,'Gate events'!$A$4:$A$553,0))&lt;&gt;"Re-authorise",INDEX('Gate events'!$G$4:$G$553,MATCH(B271,'Gate events'!$A$4:$A$553,0))&lt;&gt;"Resume"),"Parent outcome is not Progress with condition / Re-authorise / Resume",IF(AND(ISNUMBER(INDEX('Gate events'!$F$4:$F$553,MATCH(B271,'Gate events'!$A$4:$A$553,0))),F271&lt;INDEX('Gate events'!$F$4:$F$553,MATCH(B271,'Gate events'!$A$4:$A$553,0))),"Due date before parent event date",IF(AND(OR(G271="Closed-verified",G271="Waived",G271="Accepted-open"),OR(H271="",I271="")),"Closure evidence missing",IF(AND(H271&lt;&gt;"",NOT(ISNUMBER(H271))),"Closed / waived on is not a date",IF(AND(ISNUMBER(H271),ISNUMBER(INDEX('Gate events'!$F$4:$F$553,MATCH(B271,'Gate events'!$A$4:$A$553,0))),H271&lt;INDEX('Gate events'!$F$4:$F$553,MATCH(B271,'Gate events'!$A$4:$A$553,0))),"Closure date before parent event date",IF(AND(G271="Closed-verified",M271=""),"Verifier / date missing",IF(AND(N271="Yes",G271="Closed-verified",O271=""),"Monitoring condition needs AIG-OPS-02 evidence ref",IF(AND(G271="Open",F271&lt;TODAY()),"OVERDUE (derived) — review",IF(G271="Unknown","State Unknown: owner to confirm","Check against source")))))))))))))))))))</f>
        <v/>
      </c>
      <c r="K271" s="37" t="n"/>
      <c r="L271" s="37" t="n"/>
      <c r="M271" s="40" t="n"/>
      <c r="N271" s="40" t="n"/>
      <c r="O271" s="40" t="n"/>
    </row>
    <row r="272">
      <c r="A272" s="38" t="n"/>
      <c r="B272" s="38" t="n"/>
      <c r="C272" s="38" t="n"/>
      <c r="D272" s="38" t="n"/>
      <c r="E272" s="38" t="n"/>
      <c r="F272" s="39" t="n"/>
      <c r="G272" s="38" t="n"/>
      <c r="H272" s="39" t="n"/>
      <c r="I272" s="38" t="n"/>
      <c r="J272" s="22">
        <f>IF(COUNTA(A272:I272,K272:O272)=0,"",IF(OR(A272="",B272="",C272=""),"ID / parent missing",IF(COUNTIF($A$4:$A$553,A272)&gt;1,"Duplicate condition ID",IF(COUNTIF('Gate events'!$A$4:$A$553,B272)=0,"Event ID not found",IF(INDEX('Gate events'!$B$4:$B$553,MATCH(B272,'Gate events'!$A$4:$A$553,0))&lt;&gt;C272,"AIR-ID differs from event",IF(IF(INDEX('Gate events'!$P$4:$P$553,MATCH(B272,'Gate events'!$A$4:$A$553,0))="UC-ID specific",IF(OR(L272&lt;&gt;"UC-ID specific",K272=""),"Condition UC-ID required",IF(ISNUMBER(SEARCH(","&amp;SUBSTITUTE(K272," ","")&amp;",",","&amp;SUBSTITUTE(INDEX('Gate events'!$O$4:$O$553,MATCH(B272,'Gate events'!$A$4:$A$553,0))," ","")&amp;",")),"","UC-ID differs from decision")),IF(INDEX('Gate events'!$P$4:$P$553,MATCH(B272,'Gate events'!$A$4:$A$553,0))="Shared system baseline",IF(OR(L272&lt;&gt;"Shared system baseline",K272&lt;&gt;""),"Condition scope differs from decision",""),"Parent decision scope missing"))&lt;&gt;"",IF(INDEX('Gate events'!$P$4:$P$553,MATCH(B272,'Gate events'!$A$4:$A$553,0))="UC-ID specific",IF(OR(L272&lt;&gt;"UC-ID specific",K272=""),"Condition UC-ID required",IF(ISNUMBER(SEARCH(","&amp;SUBSTITUTE(K272," ","")&amp;",",","&amp;SUBSTITUTE(INDEX('Gate events'!$O$4:$O$553,MATCH(B272,'Gate events'!$A$4:$A$553,0))," ","")&amp;",")),"","UC-ID differs from decision")),IF(INDEX('Gate events'!$P$4:$P$553,MATCH(B272,'Gate events'!$A$4:$A$553,0))="Shared system baseline",IF(OR(L272&lt;&gt;"Shared system baseline",K272&lt;&gt;""),"Condition scope differs from decision",""),"Parent decision scope missing")),IF(OR(D272="",E272="",F272="",G272=""),"Condition, owner, due date or state missing",IF(NOT(ISNUMBER(F272)),"Due date is not a date",IF(OR(G272="Overdue",G272="Superseded"),"Legacy state — owner review (use the shared five states)",IF(INDEX('Gate events'!$E$4:$E$553,MATCH(B272,'Gate events'!$A$4:$A$553,0))&lt;&gt;"Decision","Parent event is not a Decision",IF(AND(INDEX('Gate events'!$G$4:$G$553,MATCH(B272,'Gate events'!$A$4:$A$553,0))&lt;&gt;"Progress with condition",INDEX('Gate events'!$G$4:$G$553,MATCH(B272,'Gate events'!$A$4:$A$553,0))&lt;&gt;"Re-authorise",INDEX('Gate events'!$G$4:$G$553,MATCH(B272,'Gate events'!$A$4:$A$553,0))&lt;&gt;"Resume"),"Parent outcome is not Progress with condition / Re-authorise / Resume",IF(AND(ISNUMBER(INDEX('Gate events'!$F$4:$F$553,MATCH(B272,'Gate events'!$A$4:$A$553,0))),F272&lt;INDEX('Gate events'!$F$4:$F$553,MATCH(B272,'Gate events'!$A$4:$A$553,0))),"Due date before parent event date",IF(AND(OR(G272="Closed-verified",G272="Waived",G272="Accepted-open"),OR(H272="",I272="")),"Closure evidence missing",IF(AND(H272&lt;&gt;"",NOT(ISNUMBER(H272))),"Closed / waived on is not a date",IF(AND(ISNUMBER(H272),ISNUMBER(INDEX('Gate events'!$F$4:$F$553,MATCH(B272,'Gate events'!$A$4:$A$553,0))),H272&lt;INDEX('Gate events'!$F$4:$F$553,MATCH(B272,'Gate events'!$A$4:$A$553,0))),"Closure date before parent event date",IF(AND(G272="Closed-verified",M272=""),"Verifier / date missing",IF(AND(N272="Yes",G272="Closed-verified",O272=""),"Monitoring condition needs AIG-OPS-02 evidence ref",IF(AND(G272="Open",F272&lt;TODAY()),"OVERDUE (derived) — review",IF(G272="Unknown","State Unknown: owner to confirm","Check against source")))))))))))))))))))</f>
        <v/>
      </c>
      <c r="K272" s="37" t="n"/>
      <c r="L272" s="37" t="n"/>
      <c r="M272" s="38" t="n"/>
      <c r="N272" s="38" t="n"/>
      <c r="O272" s="38" t="n"/>
    </row>
    <row r="273">
      <c r="A273" s="40" t="n"/>
      <c r="B273" s="40" t="n"/>
      <c r="C273" s="40" t="n"/>
      <c r="D273" s="40" t="n"/>
      <c r="E273" s="40" t="n"/>
      <c r="F273" s="41" t="n"/>
      <c r="G273" s="40" t="n"/>
      <c r="H273" s="41" t="n"/>
      <c r="I273" s="40" t="n"/>
      <c r="J273" s="24">
        <f>IF(COUNTA(A273:I273,K273:O273)=0,"",IF(OR(A273="",B273="",C273=""),"ID / parent missing",IF(COUNTIF($A$4:$A$553,A273)&gt;1,"Duplicate condition ID",IF(COUNTIF('Gate events'!$A$4:$A$553,B273)=0,"Event ID not found",IF(INDEX('Gate events'!$B$4:$B$553,MATCH(B273,'Gate events'!$A$4:$A$553,0))&lt;&gt;C273,"AIR-ID differs from event",IF(IF(INDEX('Gate events'!$P$4:$P$553,MATCH(B273,'Gate events'!$A$4:$A$553,0))="UC-ID specific",IF(OR(L273&lt;&gt;"UC-ID specific",K273=""),"Condition UC-ID required",IF(ISNUMBER(SEARCH(","&amp;SUBSTITUTE(K273," ","")&amp;",",","&amp;SUBSTITUTE(INDEX('Gate events'!$O$4:$O$553,MATCH(B273,'Gate events'!$A$4:$A$553,0))," ","")&amp;",")),"","UC-ID differs from decision")),IF(INDEX('Gate events'!$P$4:$P$553,MATCH(B273,'Gate events'!$A$4:$A$553,0))="Shared system baseline",IF(OR(L273&lt;&gt;"Shared system baseline",K273&lt;&gt;""),"Condition scope differs from decision",""),"Parent decision scope missing"))&lt;&gt;"",IF(INDEX('Gate events'!$P$4:$P$553,MATCH(B273,'Gate events'!$A$4:$A$553,0))="UC-ID specific",IF(OR(L273&lt;&gt;"UC-ID specific",K273=""),"Condition UC-ID required",IF(ISNUMBER(SEARCH(","&amp;SUBSTITUTE(K273," ","")&amp;",",","&amp;SUBSTITUTE(INDEX('Gate events'!$O$4:$O$553,MATCH(B273,'Gate events'!$A$4:$A$553,0))," ","")&amp;",")),"","UC-ID differs from decision")),IF(INDEX('Gate events'!$P$4:$P$553,MATCH(B273,'Gate events'!$A$4:$A$553,0))="Shared system baseline",IF(OR(L273&lt;&gt;"Shared system baseline",K273&lt;&gt;""),"Condition scope differs from decision",""),"Parent decision scope missing")),IF(OR(D273="",E273="",F273="",G273=""),"Condition, owner, due date or state missing",IF(NOT(ISNUMBER(F273)),"Due date is not a date",IF(OR(G273="Overdue",G273="Superseded"),"Legacy state — owner review (use the shared five states)",IF(INDEX('Gate events'!$E$4:$E$553,MATCH(B273,'Gate events'!$A$4:$A$553,0))&lt;&gt;"Decision","Parent event is not a Decision",IF(AND(INDEX('Gate events'!$G$4:$G$553,MATCH(B273,'Gate events'!$A$4:$A$553,0))&lt;&gt;"Progress with condition",INDEX('Gate events'!$G$4:$G$553,MATCH(B273,'Gate events'!$A$4:$A$553,0))&lt;&gt;"Re-authorise",INDEX('Gate events'!$G$4:$G$553,MATCH(B273,'Gate events'!$A$4:$A$553,0))&lt;&gt;"Resume"),"Parent outcome is not Progress with condition / Re-authorise / Resume",IF(AND(ISNUMBER(INDEX('Gate events'!$F$4:$F$553,MATCH(B273,'Gate events'!$A$4:$A$553,0))),F273&lt;INDEX('Gate events'!$F$4:$F$553,MATCH(B273,'Gate events'!$A$4:$A$553,0))),"Due date before parent event date",IF(AND(OR(G273="Closed-verified",G273="Waived",G273="Accepted-open"),OR(H273="",I273="")),"Closure evidence missing",IF(AND(H273&lt;&gt;"",NOT(ISNUMBER(H273))),"Closed / waived on is not a date",IF(AND(ISNUMBER(H273),ISNUMBER(INDEX('Gate events'!$F$4:$F$553,MATCH(B273,'Gate events'!$A$4:$A$553,0))),H273&lt;INDEX('Gate events'!$F$4:$F$553,MATCH(B273,'Gate events'!$A$4:$A$553,0))),"Closure date before parent event date",IF(AND(G273="Closed-verified",M273=""),"Verifier / date missing",IF(AND(N273="Yes",G273="Closed-verified",O273=""),"Monitoring condition needs AIG-OPS-02 evidence ref",IF(AND(G273="Open",F273&lt;TODAY()),"OVERDUE (derived) — review",IF(G273="Unknown","State Unknown: owner to confirm","Check against source")))))))))))))))))))</f>
        <v/>
      </c>
      <c r="K273" s="37" t="n"/>
      <c r="L273" s="37" t="n"/>
      <c r="M273" s="40" t="n"/>
      <c r="N273" s="40" t="n"/>
      <c r="O273" s="40" t="n"/>
    </row>
    <row r="274">
      <c r="A274" s="38" t="n"/>
      <c r="B274" s="38" t="n"/>
      <c r="C274" s="38" t="n"/>
      <c r="D274" s="38" t="n"/>
      <c r="E274" s="38" t="n"/>
      <c r="F274" s="39" t="n"/>
      <c r="G274" s="38" t="n"/>
      <c r="H274" s="39" t="n"/>
      <c r="I274" s="38" t="n"/>
      <c r="J274" s="22">
        <f>IF(COUNTA(A274:I274,K274:O274)=0,"",IF(OR(A274="",B274="",C274=""),"ID / parent missing",IF(COUNTIF($A$4:$A$553,A274)&gt;1,"Duplicate condition ID",IF(COUNTIF('Gate events'!$A$4:$A$553,B274)=0,"Event ID not found",IF(INDEX('Gate events'!$B$4:$B$553,MATCH(B274,'Gate events'!$A$4:$A$553,0))&lt;&gt;C274,"AIR-ID differs from event",IF(IF(INDEX('Gate events'!$P$4:$P$553,MATCH(B274,'Gate events'!$A$4:$A$553,0))="UC-ID specific",IF(OR(L274&lt;&gt;"UC-ID specific",K274=""),"Condition UC-ID required",IF(ISNUMBER(SEARCH(","&amp;SUBSTITUTE(K274," ","")&amp;",",","&amp;SUBSTITUTE(INDEX('Gate events'!$O$4:$O$553,MATCH(B274,'Gate events'!$A$4:$A$553,0))," ","")&amp;",")),"","UC-ID differs from decision")),IF(INDEX('Gate events'!$P$4:$P$553,MATCH(B274,'Gate events'!$A$4:$A$553,0))="Shared system baseline",IF(OR(L274&lt;&gt;"Shared system baseline",K274&lt;&gt;""),"Condition scope differs from decision",""),"Parent decision scope missing"))&lt;&gt;"",IF(INDEX('Gate events'!$P$4:$P$553,MATCH(B274,'Gate events'!$A$4:$A$553,0))="UC-ID specific",IF(OR(L274&lt;&gt;"UC-ID specific",K274=""),"Condition UC-ID required",IF(ISNUMBER(SEARCH(","&amp;SUBSTITUTE(K274," ","")&amp;",",","&amp;SUBSTITUTE(INDEX('Gate events'!$O$4:$O$553,MATCH(B274,'Gate events'!$A$4:$A$553,0))," ","")&amp;",")),"","UC-ID differs from decision")),IF(INDEX('Gate events'!$P$4:$P$553,MATCH(B274,'Gate events'!$A$4:$A$553,0))="Shared system baseline",IF(OR(L274&lt;&gt;"Shared system baseline",K274&lt;&gt;""),"Condition scope differs from decision",""),"Parent decision scope missing")),IF(OR(D274="",E274="",F274="",G274=""),"Condition, owner, due date or state missing",IF(NOT(ISNUMBER(F274)),"Due date is not a date",IF(OR(G274="Overdue",G274="Superseded"),"Legacy state — owner review (use the shared five states)",IF(INDEX('Gate events'!$E$4:$E$553,MATCH(B274,'Gate events'!$A$4:$A$553,0))&lt;&gt;"Decision","Parent event is not a Decision",IF(AND(INDEX('Gate events'!$G$4:$G$553,MATCH(B274,'Gate events'!$A$4:$A$553,0))&lt;&gt;"Progress with condition",INDEX('Gate events'!$G$4:$G$553,MATCH(B274,'Gate events'!$A$4:$A$553,0))&lt;&gt;"Re-authorise",INDEX('Gate events'!$G$4:$G$553,MATCH(B274,'Gate events'!$A$4:$A$553,0))&lt;&gt;"Resume"),"Parent outcome is not Progress with condition / Re-authorise / Resume",IF(AND(ISNUMBER(INDEX('Gate events'!$F$4:$F$553,MATCH(B274,'Gate events'!$A$4:$A$553,0))),F274&lt;INDEX('Gate events'!$F$4:$F$553,MATCH(B274,'Gate events'!$A$4:$A$553,0))),"Due date before parent event date",IF(AND(OR(G274="Closed-verified",G274="Waived",G274="Accepted-open"),OR(H274="",I274="")),"Closure evidence missing",IF(AND(H274&lt;&gt;"",NOT(ISNUMBER(H274))),"Closed / waived on is not a date",IF(AND(ISNUMBER(H274),ISNUMBER(INDEX('Gate events'!$F$4:$F$553,MATCH(B274,'Gate events'!$A$4:$A$553,0))),H274&lt;INDEX('Gate events'!$F$4:$F$553,MATCH(B274,'Gate events'!$A$4:$A$553,0))),"Closure date before parent event date",IF(AND(G274="Closed-verified",M274=""),"Verifier / date missing",IF(AND(N274="Yes",G274="Closed-verified",O274=""),"Monitoring condition needs AIG-OPS-02 evidence ref",IF(AND(G274="Open",F274&lt;TODAY()),"OVERDUE (derived) — review",IF(G274="Unknown","State Unknown: owner to confirm","Check against source")))))))))))))))))))</f>
        <v/>
      </c>
      <c r="K274" s="37" t="n"/>
      <c r="L274" s="37" t="n"/>
      <c r="M274" s="38" t="n"/>
      <c r="N274" s="38" t="n"/>
      <c r="O274" s="38" t="n"/>
    </row>
    <row r="275">
      <c r="A275" s="40" t="n"/>
      <c r="B275" s="40" t="n"/>
      <c r="C275" s="40" t="n"/>
      <c r="D275" s="40" t="n"/>
      <c r="E275" s="40" t="n"/>
      <c r="F275" s="41" t="n"/>
      <c r="G275" s="40" t="n"/>
      <c r="H275" s="41" t="n"/>
      <c r="I275" s="40" t="n"/>
      <c r="J275" s="24">
        <f>IF(COUNTA(A275:I275,K275:O275)=0,"",IF(OR(A275="",B275="",C275=""),"ID / parent missing",IF(COUNTIF($A$4:$A$553,A275)&gt;1,"Duplicate condition ID",IF(COUNTIF('Gate events'!$A$4:$A$553,B275)=0,"Event ID not found",IF(INDEX('Gate events'!$B$4:$B$553,MATCH(B275,'Gate events'!$A$4:$A$553,0))&lt;&gt;C275,"AIR-ID differs from event",IF(IF(INDEX('Gate events'!$P$4:$P$553,MATCH(B275,'Gate events'!$A$4:$A$553,0))="UC-ID specific",IF(OR(L275&lt;&gt;"UC-ID specific",K275=""),"Condition UC-ID required",IF(ISNUMBER(SEARCH(","&amp;SUBSTITUTE(K275," ","")&amp;",",","&amp;SUBSTITUTE(INDEX('Gate events'!$O$4:$O$553,MATCH(B275,'Gate events'!$A$4:$A$553,0))," ","")&amp;",")),"","UC-ID differs from decision")),IF(INDEX('Gate events'!$P$4:$P$553,MATCH(B275,'Gate events'!$A$4:$A$553,0))="Shared system baseline",IF(OR(L275&lt;&gt;"Shared system baseline",K275&lt;&gt;""),"Condition scope differs from decision",""),"Parent decision scope missing"))&lt;&gt;"",IF(INDEX('Gate events'!$P$4:$P$553,MATCH(B275,'Gate events'!$A$4:$A$553,0))="UC-ID specific",IF(OR(L275&lt;&gt;"UC-ID specific",K275=""),"Condition UC-ID required",IF(ISNUMBER(SEARCH(","&amp;SUBSTITUTE(K275," ","")&amp;",",","&amp;SUBSTITUTE(INDEX('Gate events'!$O$4:$O$553,MATCH(B275,'Gate events'!$A$4:$A$553,0))," ","")&amp;",")),"","UC-ID differs from decision")),IF(INDEX('Gate events'!$P$4:$P$553,MATCH(B275,'Gate events'!$A$4:$A$553,0))="Shared system baseline",IF(OR(L275&lt;&gt;"Shared system baseline",K275&lt;&gt;""),"Condition scope differs from decision",""),"Parent decision scope missing")),IF(OR(D275="",E275="",F275="",G275=""),"Condition, owner, due date or state missing",IF(NOT(ISNUMBER(F275)),"Due date is not a date",IF(OR(G275="Overdue",G275="Superseded"),"Legacy state — owner review (use the shared five states)",IF(INDEX('Gate events'!$E$4:$E$553,MATCH(B275,'Gate events'!$A$4:$A$553,0))&lt;&gt;"Decision","Parent event is not a Decision",IF(AND(INDEX('Gate events'!$G$4:$G$553,MATCH(B275,'Gate events'!$A$4:$A$553,0))&lt;&gt;"Progress with condition",INDEX('Gate events'!$G$4:$G$553,MATCH(B275,'Gate events'!$A$4:$A$553,0))&lt;&gt;"Re-authorise",INDEX('Gate events'!$G$4:$G$553,MATCH(B275,'Gate events'!$A$4:$A$553,0))&lt;&gt;"Resume"),"Parent outcome is not Progress with condition / Re-authorise / Resume",IF(AND(ISNUMBER(INDEX('Gate events'!$F$4:$F$553,MATCH(B275,'Gate events'!$A$4:$A$553,0))),F275&lt;INDEX('Gate events'!$F$4:$F$553,MATCH(B275,'Gate events'!$A$4:$A$553,0))),"Due date before parent event date",IF(AND(OR(G275="Closed-verified",G275="Waived",G275="Accepted-open"),OR(H275="",I275="")),"Closure evidence missing",IF(AND(H275&lt;&gt;"",NOT(ISNUMBER(H275))),"Closed / waived on is not a date",IF(AND(ISNUMBER(H275),ISNUMBER(INDEX('Gate events'!$F$4:$F$553,MATCH(B275,'Gate events'!$A$4:$A$553,0))),H275&lt;INDEX('Gate events'!$F$4:$F$553,MATCH(B275,'Gate events'!$A$4:$A$553,0))),"Closure date before parent event date",IF(AND(G275="Closed-verified",M275=""),"Verifier / date missing",IF(AND(N275="Yes",G275="Closed-verified",O275=""),"Monitoring condition needs AIG-OPS-02 evidence ref",IF(AND(G275="Open",F275&lt;TODAY()),"OVERDUE (derived) — review",IF(G275="Unknown","State Unknown: owner to confirm","Check against source")))))))))))))))))))</f>
        <v/>
      </c>
      <c r="K275" s="37" t="n"/>
      <c r="L275" s="37" t="n"/>
      <c r="M275" s="40" t="n"/>
      <c r="N275" s="40" t="n"/>
      <c r="O275" s="40" t="n"/>
    </row>
    <row r="276">
      <c r="A276" s="38" t="n"/>
      <c r="B276" s="38" t="n"/>
      <c r="C276" s="38" t="n"/>
      <c r="D276" s="38" t="n"/>
      <c r="E276" s="38" t="n"/>
      <c r="F276" s="39" t="n"/>
      <c r="G276" s="38" t="n"/>
      <c r="H276" s="39" t="n"/>
      <c r="I276" s="38" t="n"/>
      <c r="J276" s="22">
        <f>IF(COUNTA(A276:I276,K276:O276)=0,"",IF(OR(A276="",B276="",C276=""),"ID / parent missing",IF(COUNTIF($A$4:$A$553,A276)&gt;1,"Duplicate condition ID",IF(COUNTIF('Gate events'!$A$4:$A$553,B276)=0,"Event ID not found",IF(INDEX('Gate events'!$B$4:$B$553,MATCH(B276,'Gate events'!$A$4:$A$553,0))&lt;&gt;C276,"AIR-ID differs from event",IF(IF(INDEX('Gate events'!$P$4:$P$553,MATCH(B276,'Gate events'!$A$4:$A$553,0))="UC-ID specific",IF(OR(L276&lt;&gt;"UC-ID specific",K276=""),"Condition UC-ID required",IF(ISNUMBER(SEARCH(","&amp;SUBSTITUTE(K276," ","")&amp;",",","&amp;SUBSTITUTE(INDEX('Gate events'!$O$4:$O$553,MATCH(B276,'Gate events'!$A$4:$A$553,0))," ","")&amp;",")),"","UC-ID differs from decision")),IF(INDEX('Gate events'!$P$4:$P$553,MATCH(B276,'Gate events'!$A$4:$A$553,0))="Shared system baseline",IF(OR(L276&lt;&gt;"Shared system baseline",K276&lt;&gt;""),"Condition scope differs from decision",""),"Parent decision scope missing"))&lt;&gt;"",IF(INDEX('Gate events'!$P$4:$P$553,MATCH(B276,'Gate events'!$A$4:$A$553,0))="UC-ID specific",IF(OR(L276&lt;&gt;"UC-ID specific",K276=""),"Condition UC-ID required",IF(ISNUMBER(SEARCH(","&amp;SUBSTITUTE(K276," ","")&amp;",",","&amp;SUBSTITUTE(INDEX('Gate events'!$O$4:$O$553,MATCH(B276,'Gate events'!$A$4:$A$553,0))," ","")&amp;",")),"","UC-ID differs from decision")),IF(INDEX('Gate events'!$P$4:$P$553,MATCH(B276,'Gate events'!$A$4:$A$553,0))="Shared system baseline",IF(OR(L276&lt;&gt;"Shared system baseline",K276&lt;&gt;""),"Condition scope differs from decision",""),"Parent decision scope missing")),IF(OR(D276="",E276="",F276="",G276=""),"Condition, owner, due date or state missing",IF(NOT(ISNUMBER(F276)),"Due date is not a date",IF(OR(G276="Overdue",G276="Superseded"),"Legacy state — owner review (use the shared five states)",IF(INDEX('Gate events'!$E$4:$E$553,MATCH(B276,'Gate events'!$A$4:$A$553,0))&lt;&gt;"Decision","Parent event is not a Decision",IF(AND(INDEX('Gate events'!$G$4:$G$553,MATCH(B276,'Gate events'!$A$4:$A$553,0))&lt;&gt;"Progress with condition",INDEX('Gate events'!$G$4:$G$553,MATCH(B276,'Gate events'!$A$4:$A$553,0))&lt;&gt;"Re-authorise",INDEX('Gate events'!$G$4:$G$553,MATCH(B276,'Gate events'!$A$4:$A$553,0))&lt;&gt;"Resume"),"Parent outcome is not Progress with condition / Re-authorise / Resume",IF(AND(ISNUMBER(INDEX('Gate events'!$F$4:$F$553,MATCH(B276,'Gate events'!$A$4:$A$553,0))),F276&lt;INDEX('Gate events'!$F$4:$F$553,MATCH(B276,'Gate events'!$A$4:$A$553,0))),"Due date before parent event date",IF(AND(OR(G276="Closed-verified",G276="Waived",G276="Accepted-open"),OR(H276="",I276="")),"Closure evidence missing",IF(AND(H276&lt;&gt;"",NOT(ISNUMBER(H276))),"Closed / waived on is not a date",IF(AND(ISNUMBER(H276),ISNUMBER(INDEX('Gate events'!$F$4:$F$553,MATCH(B276,'Gate events'!$A$4:$A$553,0))),H276&lt;INDEX('Gate events'!$F$4:$F$553,MATCH(B276,'Gate events'!$A$4:$A$553,0))),"Closure date before parent event date",IF(AND(G276="Closed-verified",M276=""),"Verifier / date missing",IF(AND(N276="Yes",G276="Closed-verified",O276=""),"Monitoring condition needs AIG-OPS-02 evidence ref",IF(AND(G276="Open",F276&lt;TODAY()),"OVERDUE (derived) — review",IF(G276="Unknown","State Unknown: owner to confirm","Check against source")))))))))))))))))))</f>
        <v/>
      </c>
      <c r="K276" s="37" t="n"/>
      <c r="L276" s="37" t="n"/>
      <c r="M276" s="38" t="n"/>
      <c r="N276" s="38" t="n"/>
      <c r="O276" s="38" t="n"/>
    </row>
    <row r="277">
      <c r="A277" s="40" t="n"/>
      <c r="B277" s="40" t="n"/>
      <c r="C277" s="40" t="n"/>
      <c r="D277" s="40" t="n"/>
      <c r="E277" s="40" t="n"/>
      <c r="F277" s="41" t="n"/>
      <c r="G277" s="40" t="n"/>
      <c r="H277" s="41" t="n"/>
      <c r="I277" s="40" t="n"/>
      <c r="J277" s="24">
        <f>IF(COUNTA(A277:I277,K277:O277)=0,"",IF(OR(A277="",B277="",C277=""),"ID / parent missing",IF(COUNTIF($A$4:$A$553,A277)&gt;1,"Duplicate condition ID",IF(COUNTIF('Gate events'!$A$4:$A$553,B277)=0,"Event ID not found",IF(INDEX('Gate events'!$B$4:$B$553,MATCH(B277,'Gate events'!$A$4:$A$553,0))&lt;&gt;C277,"AIR-ID differs from event",IF(IF(INDEX('Gate events'!$P$4:$P$553,MATCH(B277,'Gate events'!$A$4:$A$553,0))="UC-ID specific",IF(OR(L277&lt;&gt;"UC-ID specific",K277=""),"Condition UC-ID required",IF(ISNUMBER(SEARCH(","&amp;SUBSTITUTE(K277," ","")&amp;",",","&amp;SUBSTITUTE(INDEX('Gate events'!$O$4:$O$553,MATCH(B277,'Gate events'!$A$4:$A$553,0))," ","")&amp;",")),"","UC-ID differs from decision")),IF(INDEX('Gate events'!$P$4:$P$553,MATCH(B277,'Gate events'!$A$4:$A$553,0))="Shared system baseline",IF(OR(L277&lt;&gt;"Shared system baseline",K277&lt;&gt;""),"Condition scope differs from decision",""),"Parent decision scope missing"))&lt;&gt;"",IF(INDEX('Gate events'!$P$4:$P$553,MATCH(B277,'Gate events'!$A$4:$A$553,0))="UC-ID specific",IF(OR(L277&lt;&gt;"UC-ID specific",K277=""),"Condition UC-ID required",IF(ISNUMBER(SEARCH(","&amp;SUBSTITUTE(K277," ","")&amp;",",","&amp;SUBSTITUTE(INDEX('Gate events'!$O$4:$O$553,MATCH(B277,'Gate events'!$A$4:$A$553,0))," ","")&amp;",")),"","UC-ID differs from decision")),IF(INDEX('Gate events'!$P$4:$P$553,MATCH(B277,'Gate events'!$A$4:$A$553,0))="Shared system baseline",IF(OR(L277&lt;&gt;"Shared system baseline",K277&lt;&gt;""),"Condition scope differs from decision",""),"Parent decision scope missing")),IF(OR(D277="",E277="",F277="",G277=""),"Condition, owner, due date or state missing",IF(NOT(ISNUMBER(F277)),"Due date is not a date",IF(OR(G277="Overdue",G277="Superseded"),"Legacy state — owner review (use the shared five states)",IF(INDEX('Gate events'!$E$4:$E$553,MATCH(B277,'Gate events'!$A$4:$A$553,0))&lt;&gt;"Decision","Parent event is not a Decision",IF(AND(INDEX('Gate events'!$G$4:$G$553,MATCH(B277,'Gate events'!$A$4:$A$553,0))&lt;&gt;"Progress with condition",INDEX('Gate events'!$G$4:$G$553,MATCH(B277,'Gate events'!$A$4:$A$553,0))&lt;&gt;"Re-authorise",INDEX('Gate events'!$G$4:$G$553,MATCH(B277,'Gate events'!$A$4:$A$553,0))&lt;&gt;"Resume"),"Parent outcome is not Progress with condition / Re-authorise / Resume",IF(AND(ISNUMBER(INDEX('Gate events'!$F$4:$F$553,MATCH(B277,'Gate events'!$A$4:$A$553,0))),F277&lt;INDEX('Gate events'!$F$4:$F$553,MATCH(B277,'Gate events'!$A$4:$A$553,0))),"Due date before parent event date",IF(AND(OR(G277="Closed-verified",G277="Waived",G277="Accepted-open"),OR(H277="",I277="")),"Closure evidence missing",IF(AND(H277&lt;&gt;"",NOT(ISNUMBER(H277))),"Closed / waived on is not a date",IF(AND(ISNUMBER(H277),ISNUMBER(INDEX('Gate events'!$F$4:$F$553,MATCH(B277,'Gate events'!$A$4:$A$553,0))),H277&lt;INDEX('Gate events'!$F$4:$F$553,MATCH(B277,'Gate events'!$A$4:$A$553,0))),"Closure date before parent event date",IF(AND(G277="Closed-verified",M277=""),"Verifier / date missing",IF(AND(N277="Yes",G277="Closed-verified",O277=""),"Monitoring condition needs AIG-OPS-02 evidence ref",IF(AND(G277="Open",F277&lt;TODAY()),"OVERDUE (derived) — review",IF(G277="Unknown","State Unknown: owner to confirm","Check against source")))))))))))))))))))</f>
        <v/>
      </c>
      <c r="K277" s="37" t="n"/>
      <c r="L277" s="37" t="n"/>
      <c r="M277" s="40" t="n"/>
      <c r="N277" s="40" t="n"/>
      <c r="O277" s="40" t="n"/>
    </row>
    <row r="278">
      <c r="A278" s="38" t="n"/>
      <c r="B278" s="38" t="n"/>
      <c r="C278" s="38" t="n"/>
      <c r="D278" s="38" t="n"/>
      <c r="E278" s="38" t="n"/>
      <c r="F278" s="39" t="n"/>
      <c r="G278" s="38" t="n"/>
      <c r="H278" s="39" t="n"/>
      <c r="I278" s="38" t="n"/>
      <c r="J278" s="22">
        <f>IF(COUNTA(A278:I278,K278:O278)=0,"",IF(OR(A278="",B278="",C278=""),"ID / parent missing",IF(COUNTIF($A$4:$A$553,A278)&gt;1,"Duplicate condition ID",IF(COUNTIF('Gate events'!$A$4:$A$553,B278)=0,"Event ID not found",IF(INDEX('Gate events'!$B$4:$B$553,MATCH(B278,'Gate events'!$A$4:$A$553,0))&lt;&gt;C278,"AIR-ID differs from event",IF(IF(INDEX('Gate events'!$P$4:$P$553,MATCH(B278,'Gate events'!$A$4:$A$553,0))="UC-ID specific",IF(OR(L278&lt;&gt;"UC-ID specific",K278=""),"Condition UC-ID required",IF(ISNUMBER(SEARCH(","&amp;SUBSTITUTE(K278," ","")&amp;",",","&amp;SUBSTITUTE(INDEX('Gate events'!$O$4:$O$553,MATCH(B278,'Gate events'!$A$4:$A$553,0))," ","")&amp;",")),"","UC-ID differs from decision")),IF(INDEX('Gate events'!$P$4:$P$553,MATCH(B278,'Gate events'!$A$4:$A$553,0))="Shared system baseline",IF(OR(L278&lt;&gt;"Shared system baseline",K278&lt;&gt;""),"Condition scope differs from decision",""),"Parent decision scope missing"))&lt;&gt;"",IF(INDEX('Gate events'!$P$4:$P$553,MATCH(B278,'Gate events'!$A$4:$A$553,0))="UC-ID specific",IF(OR(L278&lt;&gt;"UC-ID specific",K278=""),"Condition UC-ID required",IF(ISNUMBER(SEARCH(","&amp;SUBSTITUTE(K278," ","")&amp;",",","&amp;SUBSTITUTE(INDEX('Gate events'!$O$4:$O$553,MATCH(B278,'Gate events'!$A$4:$A$553,0))," ","")&amp;",")),"","UC-ID differs from decision")),IF(INDEX('Gate events'!$P$4:$P$553,MATCH(B278,'Gate events'!$A$4:$A$553,0))="Shared system baseline",IF(OR(L278&lt;&gt;"Shared system baseline",K278&lt;&gt;""),"Condition scope differs from decision",""),"Parent decision scope missing")),IF(OR(D278="",E278="",F278="",G278=""),"Condition, owner, due date or state missing",IF(NOT(ISNUMBER(F278)),"Due date is not a date",IF(OR(G278="Overdue",G278="Superseded"),"Legacy state — owner review (use the shared five states)",IF(INDEX('Gate events'!$E$4:$E$553,MATCH(B278,'Gate events'!$A$4:$A$553,0))&lt;&gt;"Decision","Parent event is not a Decision",IF(AND(INDEX('Gate events'!$G$4:$G$553,MATCH(B278,'Gate events'!$A$4:$A$553,0))&lt;&gt;"Progress with condition",INDEX('Gate events'!$G$4:$G$553,MATCH(B278,'Gate events'!$A$4:$A$553,0))&lt;&gt;"Re-authorise",INDEX('Gate events'!$G$4:$G$553,MATCH(B278,'Gate events'!$A$4:$A$553,0))&lt;&gt;"Resume"),"Parent outcome is not Progress with condition / Re-authorise / Resume",IF(AND(ISNUMBER(INDEX('Gate events'!$F$4:$F$553,MATCH(B278,'Gate events'!$A$4:$A$553,0))),F278&lt;INDEX('Gate events'!$F$4:$F$553,MATCH(B278,'Gate events'!$A$4:$A$553,0))),"Due date before parent event date",IF(AND(OR(G278="Closed-verified",G278="Waived",G278="Accepted-open"),OR(H278="",I278="")),"Closure evidence missing",IF(AND(H278&lt;&gt;"",NOT(ISNUMBER(H278))),"Closed / waived on is not a date",IF(AND(ISNUMBER(H278),ISNUMBER(INDEX('Gate events'!$F$4:$F$553,MATCH(B278,'Gate events'!$A$4:$A$553,0))),H278&lt;INDEX('Gate events'!$F$4:$F$553,MATCH(B278,'Gate events'!$A$4:$A$553,0))),"Closure date before parent event date",IF(AND(G278="Closed-verified",M278=""),"Verifier / date missing",IF(AND(N278="Yes",G278="Closed-verified",O278=""),"Monitoring condition needs AIG-OPS-02 evidence ref",IF(AND(G278="Open",F278&lt;TODAY()),"OVERDUE (derived) — review",IF(G278="Unknown","State Unknown: owner to confirm","Check against source")))))))))))))))))))</f>
        <v/>
      </c>
      <c r="K278" s="37" t="n"/>
      <c r="L278" s="37" t="n"/>
      <c r="M278" s="38" t="n"/>
      <c r="N278" s="38" t="n"/>
      <c r="O278" s="38" t="n"/>
    </row>
    <row r="279">
      <c r="A279" s="40" t="n"/>
      <c r="B279" s="40" t="n"/>
      <c r="C279" s="40" t="n"/>
      <c r="D279" s="40" t="n"/>
      <c r="E279" s="40" t="n"/>
      <c r="F279" s="41" t="n"/>
      <c r="G279" s="40" t="n"/>
      <c r="H279" s="41" t="n"/>
      <c r="I279" s="40" t="n"/>
      <c r="J279" s="24">
        <f>IF(COUNTA(A279:I279,K279:O279)=0,"",IF(OR(A279="",B279="",C279=""),"ID / parent missing",IF(COUNTIF($A$4:$A$553,A279)&gt;1,"Duplicate condition ID",IF(COUNTIF('Gate events'!$A$4:$A$553,B279)=0,"Event ID not found",IF(INDEX('Gate events'!$B$4:$B$553,MATCH(B279,'Gate events'!$A$4:$A$553,0))&lt;&gt;C279,"AIR-ID differs from event",IF(IF(INDEX('Gate events'!$P$4:$P$553,MATCH(B279,'Gate events'!$A$4:$A$553,0))="UC-ID specific",IF(OR(L279&lt;&gt;"UC-ID specific",K279=""),"Condition UC-ID required",IF(ISNUMBER(SEARCH(","&amp;SUBSTITUTE(K279," ","")&amp;",",","&amp;SUBSTITUTE(INDEX('Gate events'!$O$4:$O$553,MATCH(B279,'Gate events'!$A$4:$A$553,0))," ","")&amp;",")),"","UC-ID differs from decision")),IF(INDEX('Gate events'!$P$4:$P$553,MATCH(B279,'Gate events'!$A$4:$A$553,0))="Shared system baseline",IF(OR(L279&lt;&gt;"Shared system baseline",K279&lt;&gt;""),"Condition scope differs from decision",""),"Parent decision scope missing"))&lt;&gt;"",IF(INDEX('Gate events'!$P$4:$P$553,MATCH(B279,'Gate events'!$A$4:$A$553,0))="UC-ID specific",IF(OR(L279&lt;&gt;"UC-ID specific",K279=""),"Condition UC-ID required",IF(ISNUMBER(SEARCH(","&amp;SUBSTITUTE(K279," ","")&amp;",",","&amp;SUBSTITUTE(INDEX('Gate events'!$O$4:$O$553,MATCH(B279,'Gate events'!$A$4:$A$553,0))," ","")&amp;",")),"","UC-ID differs from decision")),IF(INDEX('Gate events'!$P$4:$P$553,MATCH(B279,'Gate events'!$A$4:$A$553,0))="Shared system baseline",IF(OR(L279&lt;&gt;"Shared system baseline",K279&lt;&gt;""),"Condition scope differs from decision",""),"Parent decision scope missing")),IF(OR(D279="",E279="",F279="",G279=""),"Condition, owner, due date or state missing",IF(NOT(ISNUMBER(F279)),"Due date is not a date",IF(OR(G279="Overdue",G279="Superseded"),"Legacy state — owner review (use the shared five states)",IF(INDEX('Gate events'!$E$4:$E$553,MATCH(B279,'Gate events'!$A$4:$A$553,0))&lt;&gt;"Decision","Parent event is not a Decision",IF(AND(INDEX('Gate events'!$G$4:$G$553,MATCH(B279,'Gate events'!$A$4:$A$553,0))&lt;&gt;"Progress with condition",INDEX('Gate events'!$G$4:$G$553,MATCH(B279,'Gate events'!$A$4:$A$553,0))&lt;&gt;"Re-authorise",INDEX('Gate events'!$G$4:$G$553,MATCH(B279,'Gate events'!$A$4:$A$553,0))&lt;&gt;"Resume"),"Parent outcome is not Progress with condition / Re-authorise / Resume",IF(AND(ISNUMBER(INDEX('Gate events'!$F$4:$F$553,MATCH(B279,'Gate events'!$A$4:$A$553,0))),F279&lt;INDEX('Gate events'!$F$4:$F$553,MATCH(B279,'Gate events'!$A$4:$A$553,0))),"Due date before parent event date",IF(AND(OR(G279="Closed-verified",G279="Waived",G279="Accepted-open"),OR(H279="",I279="")),"Closure evidence missing",IF(AND(H279&lt;&gt;"",NOT(ISNUMBER(H279))),"Closed / waived on is not a date",IF(AND(ISNUMBER(H279),ISNUMBER(INDEX('Gate events'!$F$4:$F$553,MATCH(B279,'Gate events'!$A$4:$A$553,0))),H279&lt;INDEX('Gate events'!$F$4:$F$553,MATCH(B279,'Gate events'!$A$4:$A$553,0))),"Closure date before parent event date",IF(AND(G279="Closed-verified",M279=""),"Verifier / date missing",IF(AND(N279="Yes",G279="Closed-verified",O279=""),"Monitoring condition needs AIG-OPS-02 evidence ref",IF(AND(G279="Open",F279&lt;TODAY()),"OVERDUE (derived) — review",IF(G279="Unknown","State Unknown: owner to confirm","Check against source")))))))))))))))))))</f>
        <v/>
      </c>
      <c r="K279" s="37" t="n"/>
      <c r="L279" s="37" t="n"/>
      <c r="M279" s="40" t="n"/>
      <c r="N279" s="40" t="n"/>
      <c r="O279" s="40" t="n"/>
    </row>
    <row r="280">
      <c r="A280" s="38" t="n"/>
      <c r="B280" s="38" t="n"/>
      <c r="C280" s="38" t="n"/>
      <c r="D280" s="38" t="n"/>
      <c r="E280" s="38" t="n"/>
      <c r="F280" s="39" t="n"/>
      <c r="G280" s="38" t="n"/>
      <c r="H280" s="39" t="n"/>
      <c r="I280" s="38" t="n"/>
      <c r="J280" s="22">
        <f>IF(COUNTA(A280:I280,K280:O280)=0,"",IF(OR(A280="",B280="",C280=""),"ID / parent missing",IF(COUNTIF($A$4:$A$553,A280)&gt;1,"Duplicate condition ID",IF(COUNTIF('Gate events'!$A$4:$A$553,B280)=0,"Event ID not found",IF(INDEX('Gate events'!$B$4:$B$553,MATCH(B280,'Gate events'!$A$4:$A$553,0))&lt;&gt;C280,"AIR-ID differs from event",IF(IF(INDEX('Gate events'!$P$4:$P$553,MATCH(B280,'Gate events'!$A$4:$A$553,0))="UC-ID specific",IF(OR(L280&lt;&gt;"UC-ID specific",K280=""),"Condition UC-ID required",IF(ISNUMBER(SEARCH(","&amp;SUBSTITUTE(K280," ","")&amp;",",","&amp;SUBSTITUTE(INDEX('Gate events'!$O$4:$O$553,MATCH(B280,'Gate events'!$A$4:$A$553,0))," ","")&amp;",")),"","UC-ID differs from decision")),IF(INDEX('Gate events'!$P$4:$P$553,MATCH(B280,'Gate events'!$A$4:$A$553,0))="Shared system baseline",IF(OR(L280&lt;&gt;"Shared system baseline",K280&lt;&gt;""),"Condition scope differs from decision",""),"Parent decision scope missing"))&lt;&gt;"",IF(INDEX('Gate events'!$P$4:$P$553,MATCH(B280,'Gate events'!$A$4:$A$553,0))="UC-ID specific",IF(OR(L280&lt;&gt;"UC-ID specific",K280=""),"Condition UC-ID required",IF(ISNUMBER(SEARCH(","&amp;SUBSTITUTE(K280," ","")&amp;",",","&amp;SUBSTITUTE(INDEX('Gate events'!$O$4:$O$553,MATCH(B280,'Gate events'!$A$4:$A$553,0))," ","")&amp;",")),"","UC-ID differs from decision")),IF(INDEX('Gate events'!$P$4:$P$553,MATCH(B280,'Gate events'!$A$4:$A$553,0))="Shared system baseline",IF(OR(L280&lt;&gt;"Shared system baseline",K280&lt;&gt;""),"Condition scope differs from decision",""),"Parent decision scope missing")),IF(OR(D280="",E280="",F280="",G280=""),"Condition, owner, due date or state missing",IF(NOT(ISNUMBER(F280)),"Due date is not a date",IF(OR(G280="Overdue",G280="Superseded"),"Legacy state — owner review (use the shared five states)",IF(INDEX('Gate events'!$E$4:$E$553,MATCH(B280,'Gate events'!$A$4:$A$553,0))&lt;&gt;"Decision","Parent event is not a Decision",IF(AND(INDEX('Gate events'!$G$4:$G$553,MATCH(B280,'Gate events'!$A$4:$A$553,0))&lt;&gt;"Progress with condition",INDEX('Gate events'!$G$4:$G$553,MATCH(B280,'Gate events'!$A$4:$A$553,0))&lt;&gt;"Re-authorise",INDEX('Gate events'!$G$4:$G$553,MATCH(B280,'Gate events'!$A$4:$A$553,0))&lt;&gt;"Resume"),"Parent outcome is not Progress with condition / Re-authorise / Resume",IF(AND(ISNUMBER(INDEX('Gate events'!$F$4:$F$553,MATCH(B280,'Gate events'!$A$4:$A$553,0))),F280&lt;INDEX('Gate events'!$F$4:$F$553,MATCH(B280,'Gate events'!$A$4:$A$553,0))),"Due date before parent event date",IF(AND(OR(G280="Closed-verified",G280="Waived",G280="Accepted-open"),OR(H280="",I280="")),"Closure evidence missing",IF(AND(H280&lt;&gt;"",NOT(ISNUMBER(H280))),"Closed / waived on is not a date",IF(AND(ISNUMBER(H280),ISNUMBER(INDEX('Gate events'!$F$4:$F$553,MATCH(B280,'Gate events'!$A$4:$A$553,0))),H280&lt;INDEX('Gate events'!$F$4:$F$553,MATCH(B280,'Gate events'!$A$4:$A$553,0))),"Closure date before parent event date",IF(AND(G280="Closed-verified",M280=""),"Verifier / date missing",IF(AND(N280="Yes",G280="Closed-verified",O280=""),"Monitoring condition needs AIG-OPS-02 evidence ref",IF(AND(G280="Open",F280&lt;TODAY()),"OVERDUE (derived) — review",IF(G280="Unknown","State Unknown: owner to confirm","Check against source")))))))))))))))))))</f>
        <v/>
      </c>
      <c r="K280" s="37" t="n"/>
      <c r="L280" s="37" t="n"/>
      <c r="M280" s="38" t="n"/>
      <c r="N280" s="38" t="n"/>
      <c r="O280" s="38" t="n"/>
    </row>
    <row r="281">
      <c r="A281" s="40" t="n"/>
      <c r="B281" s="40" t="n"/>
      <c r="C281" s="40" t="n"/>
      <c r="D281" s="40" t="n"/>
      <c r="E281" s="40" t="n"/>
      <c r="F281" s="41" t="n"/>
      <c r="G281" s="40" t="n"/>
      <c r="H281" s="41" t="n"/>
      <c r="I281" s="40" t="n"/>
      <c r="J281" s="24">
        <f>IF(COUNTA(A281:I281,K281:O281)=0,"",IF(OR(A281="",B281="",C281=""),"ID / parent missing",IF(COUNTIF($A$4:$A$553,A281)&gt;1,"Duplicate condition ID",IF(COUNTIF('Gate events'!$A$4:$A$553,B281)=0,"Event ID not found",IF(INDEX('Gate events'!$B$4:$B$553,MATCH(B281,'Gate events'!$A$4:$A$553,0))&lt;&gt;C281,"AIR-ID differs from event",IF(IF(INDEX('Gate events'!$P$4:$P$553,MATCH(B281,'Gate events'!$A$4:$A$553,0))="UC-ID specific",IF(OR(L281&lt;&gt;"UC-ID specific",K281=""),"Condition UC-ID required",IF(ISNUMBER(SEARCH(","&amp;SUBSTITUTE(K281," ","")&amp;",",","&amp;SUBSTITUTE(INDEX('Gate events'!$O$4:$O$553,MATCH(B281,'Gate events'!$A$4:$A$553,0))," ","")&amp;",")),"","UC-ID differs from decision")),IF(INDEX('Gate events'!$P$4:$P$553,MATCH(B281,'Gate events'!$A$4:$A$553,0))="Shared system baseline",IF(OR(L281&lt;&gt;"Shared system baseline",K281&lt;&gt;""),"Condition scope differs from decision",""),"Parent decision scope missing"))&lt;&gt;"",IF(INDEX('Gate events'!$P$4:$P$553,MATCH(B281,'Gate events'!$A$4:$A$553,0))="UC-ID specific",IF(OR(L281&lt;&gt;"UC-ID specific",K281=""),"Condition UC-ID required",IF(ISNUMBER(SEARCH(","&amp;SUBSTITUTE(K281," ","")&amp;",",","&amp;SUBSTITUTE(INDEX('Gate events'!$O$4:$O$553,MATCH(B281,'Gate events'!$A$4:$A$553,0))," ","")&amp;",")),"","UC-ID differs from decision")),IF(INDEX('Gate events'!$P$4:$P$553,MATCH(B281,'Gate events'!$A$4:$A$553,0))="Shared system baseline",IF(OR(L281&lt;&gt;"Shared system baseline",K281&lt;&gt;""),"Condition scope differs from decision",""),"Parent decision scope missing")),IF(OR(D281="",E281="",F281="",G281=""),"Condition, owner, due date or state missing",IF(NOT(ISNUMBER(F281)),"Due date is not a date",IF(OR(G281="Overdue",G281="Superseded"),"Legacy state — owner review (use the shared five states)",IF(INDEX('Gate events'!$E$4:$E$553,MATCH(B281,'Gate events'!$A$4:$A$553,0))&lt;&gt;"Decision","Parent event is not a Decision",IF(AND(INDEX('Gate events'!$G$4:$G$553,MATCH(B281,'Gate events'!$A$4:$A$553,0))&lt;&gt;"Progress with condition",INDEX('Gate events'!$G$4:$G$553,MATCH(B281,'Gate events'!$A$4:$A$553,0))&lt;&gt;"Re-authorise",INDEX('Gate events'!$G$4:$G$553,MATCH(B281,'Gate events'!$A$4:$A$553,0))&lt;&gt;"Resume"),"Parent outcome is not Progress with condition / Re-authorise / Resume",IF(AND(ISNUMBER(INDEX('Gate events'!$F$4:$F$553,MATCH(B281,'Gate events'!$A$4:$A$553,0))),F281&lt;INDEX('Gate events'!$F$4:$F$553,MATCH(B281,'Gate events'!$A$4:$A$553,0))),"Due date before parent event date",IF(AND(OR(G281="Closed-verified",G281="Waived",G281="Accepted-open"),OR(H281="",I281="")),"Closure evidence missing",IF(AND(H281&lt;&gt;"",NOT(ISNUMBER(H281))),"Closed / waived on is not a date",IF(AND(ISNUMBER(H281),ISNUMBER(INDEX('Gate events'!$F$4:$F$553,MATCH(B281,'Gate events'!$A$4:$A$553,0))),H281&lt;INDEX('Gate events'!$F$4:$F$553,MATCH(B281,'Gate events'!$A$4:$A$553,0))),"Closure date before parent event date",IF(AND(G281="Closed-verified",M281=""),"Verifier / date missing",IF(AND(N281="Yes",G281="Closed-verified",O281=""),"Monitoring condition needs AIG-OPS-02 evidence ref",IF(AND(G281="Open",F281&lt;TODAY()),"OVERDUE (derived) — review",IF(G281="Unknown","State Unknown: owner to confirm","Check against source")))))))))))))))))))</f>
        <v/>
      </c>
      <c r="K281" s="37" t="n"/>
      <c r="L281" s="37" t="n"/>
      <c r="M281" s="40" t="n"/>
      <c r="N281" s="40" t="n"/>
      <c r="O281" s="40" t="n"/>
    </row>
    <row r="282">
      <c r="A282" s="38" t="n"/>
      <c r="B282" s="38" t="n"/>
      <c r="C282" s="38" t="n"/>
      <c r="D282" s="38" t="n"/>
      <c r="E282" s="38" t="n"/>
      <c r="F282" s="39" t="n"/>
      <c r="G282" s="38" t="n"/>
      <c r="H282" s="39" t="n"/>
      <c r="I282" s="38" t="n"/>
      <c r="J282" s="22">
        <f>IF(COUNTA(A282:I282,K282:O282)=0,"",IF(OR(A282="",B282="",C282=""),"ID / parent missing",IF(COUNTIF($A$4:$A$553,A282)&gt;1,"Duplicate condition ID",IF(COUNTIF('Gate events'!$A$4:$A$553,B282)=0,"Event ID not found",IF(INDEX('Gate events'!$B$4:$B$553,MATCH(B282,'Gate events'!$A$4:$A$553,0))&lt;&gt;C282,"AIR-ID differs from event",IF(IF(INDEX('Gate events'!$P$4:$P$553,MATCH(B282,'Gate events'!$A$4:$A$553,0))="UC-ID specific",IF(OR(L282&lt;&gt;"UC-ID specific",K282=""),"Condition UC-ID required",IF(ISNUMBER(SEARCH(","&amp;SUBSTITUTE(K282," ","")&amp;",",","&amp;SUBSTITUTE(INDEX('Gate events'!$O$4:$O$553,MATCH(B282,'Gate events'!$A$4:$A$553,0))," ","")&amp;",")),"","UC-ID differs from decision")),IF(INDEX('Gate events'!$P$4:$P$553,MATCH(B282,'Gate events'!$A$4:$A$553,0))="Shared system baseline",IF(OR(L282&lt;&gt;"Shared system baseline",K282&lt;&gt;""),"Condition scope differs from decision",""),"Parent decision scope missing"))&lt;&gt;"",IF(INDEX('Gate events'!$P$4:$P$553,MATCH(B282,'Gate events'!$A$4:$A$553,0))="UC-ID specific",IF(OR(L282&lt;&gt;"UC-ID specific",K282=""),"Condition UC-ID required",IF(ISNUMBER(SEARCH(","&amp;SUBSTITUTE(K282," ","")&amp;",",","&amp;SUBSTITUTE(INDEX('Gate events'!$O$4:$O$553,MATCH(B282,'Gate events'!$A$4:$A$553,0))," ","")&amp;",")),"","UC-ID differs from decision")),IF(INDEX('Gate events'!$P$4:$P$553,MATCH(B282,'Gate events'!$A$4:$A$553,0))="Shared system baseline",IF(OR(L282&lt;&gt;"Shared system baseline",K282&lt;&gt;""),"Condition scope differs from decision",""),"Parent decision scope missing")),IF(OR(D282="",E282="",F282="",G282=""),"Condition, owner, due date or state missing",IF(NOT(ISNUMBER(F282)),"Due date is not a date",IF(OR(G282="Overdue",G282="Superseded"),"Legacy state — owner review (use the shared five states)",IF(INDEX('Gate events'!$E$4:$E$553,MATCH(B282,'Gate events'!$A$4:$A$553,0))&lt;&gt;"Decision","Parent event is not a Decision",IF(AND(INDEX('Gate events'!$G$4:$G$553,MATCH(B282,'Gate events'!$A$4:$A$553,0))&lt;&gt;"Progress with condition",INDEX('Gate events'!$G$4:$G$553,MATCH(B282,'Gate events'!$A$4:$A$553,0))&lt;&gt;"Re-authorise",INDEX('Gate events'!$G$4:$G$553,MATCH(B282,'Gate events'!$A$4:$A$553,0))&lt;&gt;"Resume"),"Parent outcome is not Progress with condition / Re-authorise / Resume",IF(AND(ISNUMBER(INDEX('Gate events'!$F$4:$F$553,MATCH(B282,'Gate events'!$A$4:$A$553,0))),F282&lt;INDEX('Gate events'!$F$4:$F$553,MATCH(B282,'Gate events'!$A$4:$A$553,0))),"Due date before parent event date",IF(AND(OR(G282="Closed-verified",G282="Waived",G282="Accepted-open"),OR(H282="",I282="")),"Closure evidence missing",IF(AND(H282&lt;&gt;"",NOT(ISNUMBER(H282))),"Closed / waived on is not a date",IF(AND(ISNUMBER(H282),ISNUMBER(INDEX('Gate events'!$F$4:$F$553,MATCH(B282,'Gate events'!$A$4:$A$553,0))),H282&lt;INDEX('Gate events'!$F$4:$F$553,MATCH(B282,'Gate events'!$A$4:$A$553,0))),"Closure date before parent event date",IF(AND(G282="Closed-verified",M282=""),"Verifier / date missing",IF(AND(N282="Yes",G282="Closed-verified",O282=""),"Monitoring condition needs AIG-OPS-02 evidence ref",IF(AND(G282="Open",F282&lt;TODAY()),"OVERDUE (derived) — review",IF(G282="Unknown","State Unknown: owner to confirm","Check against source")))))))))))))))))))</f>
        <v/>
      </c>
      <c r="K282" s="37" t="n"/>
      <c r="L282" s="37" t="n"/>
      <c r="M282" s="38" t="n"/>
      <c r="N282" s="38" t="n"/>
      <c r="O282" s="38" t="n"/>
    </row>
    <row r="283">
      <c r="A283" s="40" t="n"/>
      <c r="B283" s="40" t="n"/>
      <c r="C283" s="40" t="n"/>
      <c r="D283" s="40" t="n"/>
      <c r="E283" s="40" t="n"/>
      <c r="F283" s="41" t="n"/>
      <c r="G283" s="40" t="n"/>
      <c r="H283" s="41" t="n"/>
      <c r="I283" s="40" t="n"/>
      <c r="J283" s="24">
        <f>IF(COUNTA(A283:I283,K283:O283)=0,"",IF(OR(A283="",B283="",C283=""),"ID / parent missing",IF(COUNTIF($A$4:$A$553,A283)&gt;1,"Duplicate condition ID",IF(COUNTIF('Gate events'!$A$4:$A$553,B283)=0,"Event ID not found",IF(INDEX('Gate events'!$B$4:$B$553,MATCH(B283,'Gate events'!$A$4:$A$553,0))&lt;&gt;C283,"AIR-ID differs from event",IF(IF(INDEX('Gate events'!$P$4:$P$553,MATCH(B283,'Gate events'!$A$4:$A$553,0))="UC-ID specific",IF(OR(L283&lt;&gt;"UC-ID specific",K283=""),"Condition UC-ID required",IF(ISNUMBER(SEARCH(","&amp;SUBSTITUTE(K283," ","")&amp;",",","&amp;SUBSTITUTE(INDEX('Gate events'!$O$4:$O$553,MATCH(B283,'Gate events'!$A$4:$A$553,0))," ","")&amp;",")),"","UC-ID differs from decision")),IF(INDEX('Gate events'!$P$4:$P$553,MATCH(B283,'Gate events'!$A$4:$A$553,0))="Shared system baseline",IF(OR(L283&lt;&gt;"Shared system baseline",K283&lt;&gt;""),"Condition scope differs from decision",""),"Parent decision scope missing"))&lt;&gt;"",IF(INDEX('Gate events'!$P$4:$P$553,MATCH(B283,'Gate events'!$A$4:$A$553,0))="UC-ID specific",IF(OR(L283&lt;&gt;"UC-ID specific",K283=""),"Condition UC-ID required",IF(ISNUMBER(SEARCH(","&amp;SUBSTITUTE(K283," ","")&amp;",",","&amp;SUBSTITUTE(INDEX('Gate events'!$O$4:$O$553,MATCH(B283,'Gate events'!$A$4:$A$553,0))," ","")&amp;",")),"","UC-ID differs from decision")),IF(INDEX('Gate events'!$P$4:$P$553,MATCH(B283,'Gate events'!$A$4:$A$553,0))="Shared system baseline",IF(OR(L283&lt;&gt;"Shared system baseline",K283&lt;&gt;""),"Condition scope differs from decision",""),"Parent decision scope missing")),IF(OR(D283="",E283="",F283="",G283=""),"Condition, owner, due date or state missing",IF(NOT(ISNUMBER(F283)),"Due date is not a date",IF(OR(G283="Overdue",G283="Superseded"),"Legacy state — owner review (use the shared five states)",IF(INDEX('Gate events'!$E$4:$E$553,MATCH(B283,'Gate events'!$A$4:$A$553,0))&lt;&gt;"Decision","Parent event is not a Decision",IF(AND(INDEX('Gate events'!$G$4:$G$553,MATCH(B283,'Gate events'!$A$4:$A$553,0))&lt;&gt;"Progress with condition",INDEX('Gate events'!$G$4:$G$553,MATCH(B283,'Gate events'!$A$4:$A$553,0))&lt;&gt;"Re-authorise",INDEX('Gate events'!$G$4:$G$553,MATCH(B283,'Gate events'!$A$4:$A$553,0))&lt;&gt;"Resume"),"Parent outcome is not Progress with condition / Re-authorise / Resume",IF(AND(ISNUMBER(INDEX('Gate events'!$F$4:$F$553,MATCH(B283,'Gate events'!$A$4:$A$553,0))),F283&lt;INDEX('Gate events'!$F$4:$F$553,MATCH(B283,'Gate events'!$A$4:$A$553,0))),"Due date before parent event date",IF(AND(OR(G283="Closed-verified",G283="Waived",G283="Accepted-open"),OR(H283="",I283="")),"Closure evidence missing",IF(AND(H283&lt;&gt;"",NOT(ISNUMBER(H283))),"Closed / waived on is not a date",IF(AND(ISNUMBER(H283),ISNUMBER(INDEX('Gate events'!$F$4:$F$553,MATCH(B283,'Gate events'!$A$4:$A$553,0))),H283&lt;INDEX('Gate events'!$F$4:$F$553,MATCH(B283,'Gate events'!$A$4:$A$553,0))),"Closure date before parent event date",IF(AND(G283="Closed-verified",M283=""),"Verifier / date missing",IF(AND(N283="Yes",G283="Closed-verified",O283=""),"Monitoring condition needs AIG-OPS-02 evidence ref",IF(AND(G283="Open",F283&lt;TODAY()),"OVERDUE (derived) — review",IF(G283="Unknown","State Unknown: owner to confirm","Check against source")))))))))))))))))))</f>
        <v/>
      </c>
      <c r="K283" s="37" t="n"/>
      <c r="L283" s="37" t="n"/>
      <c r="M283" s="40" t="n"/>
      <c r="N283" s="40" t="n"/>
      <c r="O283" s="40" t="n"/>
    </row>
    <row r="284">
      <c r="A284" s="38" t="n"/>
      <c r="B284" s="38" t="n"/>
      <c r="C284" s="38" t="n"/>
      <c r="D284" s="38" t="n"/>
      <c r="E284" s="38" t="n"/>
      <c r="F284" s="39" t="n"/>
      <c r="G284" s="38" t="n"/>
      <c r="H284" s="39" t="n"/>
      <c r="I284" s="38" t="n"/>
      <c r="J284" s="22">
        <f>IF(COUNTA(A284:I284,K284:O284)=0,"",IF(OR(A284="",B284="",C284=""),"ID / parent missing",IF(COUNTIF($A$4:$A$553,A284)&gt;1,"Duplicate condition ID",IF(COUNTIF('Gate events'!$A$4:$A$553,B284)=0,"Event ID not found",IF(INDEX('Gate events'!$B$4:$B$553,MATCH(B284,'Gate events'!$A$4:$A$553,0))&lt;&gt;C284,"AIR-ID differs from event",IF(IF(INDEX('Gate events'!$P$4:$P$553,MATCH(B284,'Gate events'!$A$4:$A$553,0))="UC-ID specific",IF(OR(L284&lt;&gt;"UC-ID specific",K284=""),"Condition UC-ID required",IF(ISNUMBER(SEARCH(","&amp;SUBSTITUTE(K284," ","")&amp;",",","&amp;SUBSTITUTE(INDEX('Gate events'!$O$4:$O$553,MATCH(B284,'Gate events'!$A$4:$A$553,0))," ","")&amp;",")),"","UC-ID differs from decision")),IF(INDEX('Gate events'!$P$4:$P$553,MATCH(B284,'Gate events'!$A$4:$A$553,0))="Shared system baseline",IF(OR(L284&lt;&gt;"Shared system baseline",K284&lt;&gt;""),"Condition scope differs from decision",""),"Parent decision scope missing"))&lt;&gt;"",IF(INDEX('Gate events'!$P$4:$P$553,MATCH(B284,'Gate events'!$A$4:$A$553,0))="UC-ID specific",IF(OR(L284&lt;&gt;"UC-ID specific",K284=""),"Condition UC-ID required",IF(ISNUMBER(SEARCH(","&amp;SUBSTITUTE(K284," ","")&amp;",",","&amp;SUBSTITUTE(INDEX('Gate events'!$O$4:$O$553,MATCH(B284,'Gate events'!$A$4:$A$553,0))," ","")&amp;",")),"","UC-ID differs from decision")),IF(INDEX('Gate events'!$P$4:$P$553,MATCH(B284,'Gate events'!$A$4:$A$553,0))="Shared system baseline",IF(OR(L284&lt;&gt;"Shared system baseline",K284&lt;&gt;""),"Condition scope differs from decision",""),"Parent decision scope missing")),IF(OR(D284="",E284="",F284="",G284=""),"Condition, owner, due date or state missing",IF(NOT(ISNUMBER(F284)),"Due date is not a date",IF(OR(G284="Overdue",G284="Superseded"),"Legacy state — owner review (use the shared five states)",IF(INDEX('Gate events'!$E$4:$E$553,MATCH(B284,'Gate events'!$A$4:$A$553,0))&lt;&gt;"Decision","Parent event is not a Decision",IF(AND(INDEX('Gate events'!$G$4:$G$553,MATCH(B284,'Gate events'!$A$4:$A$553,0))&lt;&gt;"Progress with condition",INDEX('Gate events'!$G$4:$G$553,MATCH(B284,'Gate events'!$A$4:$A$553,0))&lt;&gt;"Re-authorise",INDEX('Gate events'!$G$4:$G$553,MATCH(B284,'Gate events'!$A$4:$A$553,0))&lt;&gt;"Resume"),"Parent outcome is not Progress with condition / Re-authorise / Resume",IF(AND(ISNUMBER(INDEX('Gate events'!$F$4:$F$553,MATCH(B284,'Gate events'!$A$4:$A$553,0))),F284&lt;INDEX('Gate events'!$F$4:$F$553,MATCH(B284,'Gate events'!$A$4:$A$553,0))),"Due date before parent event date",IF(AND(OR(G284="Closed-verified",G284="Waived",G284="Accepted-open"),OR(H284="",I284="")),"Closure evidence missing",IF(AND(H284&lt;&gt;"",NOT(ISNUMBER(H284))),"Closed / waived on is not a date",IF(AND(ISNUMBER(H284),ISNUMBER(INDEX('Gate events'!$F$4:$F$553,MATCH(B284,'Gate events'!$A$4:$A$553,0))),H284&lt;INDEX('Gate events'!$F$4:$F$553,MATCH(B284,'Gate events'!$A$4:$A$553,0))),"Closure date before parent event date",IF(AND(G284="Closed-verified",M284=""),"Verifier / date missing",IF(AND(N284="Yes",G284="Closed-verified",O284=""),"Monitoring condition needs AIG-OPS-02 evidence ref",IF(AND(G284="Open",F284&lt;TODAY()),"OVERDUE (derived) — review",IF(G284="Unknown","State Unknown: owner to confirm","Check against source")))))))))))))))))))</f>
        <v/>
      </c>
      <c r="K284" s="37" t="n"/>
      <c r="L284" s="37" t="n"/>
      <c r="M284" s="38" t="n"/>
      <c r="N284" s="38" t="n"/>
      <c r="O284" s="38" t="n"/>
    </row>
    <row r="285">
      <c r="A285" s="40" t="n"/>
      <c r="B285" s="40" t="n"/>
      <c r="C285" s="40" t="n"/>
      <c r="D285" s="40" t="n"/>
      <c r="E285" s="40" t="n"/>
      <c r="F285" s="41" t="n"/>
      <c r="G285" s="40" t="n"/>
      <c r="H285" s="41" t="n"/>
      <c r="I285" s="40" t="n"/>
      <c r="J285" s="24">
        <f>IF(COUNTA(A285:I285,K285:O285)=0,"",IF(OR(A285="",B285="",C285=""),"ID / parent missing",IF(COUNTIF($A$4:$A$553,A285)&gt;1,"Duplicate condition ID",IF(COUNTIF('Gate events'!$A$4:$A$553,B285)=0,"Event ID not found",IF(INDEX('Gate events'!$B$4:$B$553,MATCH(B285,'Gate events'!$A$4:$A$553,0))&lt;&gt;C285,"AIR-ID differs from event",IF(IF(INDEX('Gate events'!$P$4:$P$553,MATCH(B285,'Gate events'!$A$4:$A$553,0))="UC-ID specific",IF(OR(L285&lt;&gt;"UC-ID specific",K285=""),"Condition UC-ID required",IF(ISNUMBER(SEARCH(","&amp;SUBSTITUTE(K285," ","")&amp;",",","&amp;SUBSTITUTE(INDEX('Gate events'!$O$4:$O$553,MATCH(B285,'Gate events'!$A$4:$A$553,0))," ","")&amp;",")),"","UC-ID differs from decision")),IF(INDEX('Gate events'!$P$4:$P$553,MATCH(B285,'Gate events'!$A$4:$A$553,0))="Shared system baseline",IF(OR(L285&lt;&gt;"Shared system baseline",K285&lt;&gt;""),"Condition scope differs from decision",""),"Parent decision scope missing"))&lt;&gt;"",IF(INDEX('Gate events'!$P$4:$P$553,MATCH(B285,'Gate events'!$A$4:$A$553,0))="UC-ID specific",IF(OR(L285&lt;&gt;"UC-ID specific",K285=""),"Condition UC-ID required",IF(ISNUMBER(SEARCH(","&amp;SUBSTITUTE(K285," ","")&amp;",",","&amp;SUBSTITUTE(INDEX('Gate events'!$O$4:$O$553,MATCH(B285,'Gate events'!$A$4:$A$553,0))," ","")&amp;",")),"","UC-ID differs from decision")),IF(INDEX('Gate events'!$P$4:$P$553,MATCH(B285,'Gate events'!$A$4:$A$553,0))="Shared system baseline",IF(OR(L285&lt;&gt;"Shared system baseline",K285&lt;&gt;""),"Condition scope differs from decision",""),"Parent decision scope missing")),IF(OR(D285="",E285="",F285="",G285=""),"Condition, owner, due date or state missing",IF(NOT(ISNUMBER(F285)),"Due date is not a date",IF(OR(G285="Overdue",G285="Superseded"),"Legacy state — owner review (use the shared five states)",IF(INDEX('Gate events'!$E$4:$E$553,MATCH(B285,'Gate events'!$A$4:$A$553,0))&lt;&gt;"Decision","Parent event is not a Decision",IF(AND(INDEX('Gate events'!$G$4:$G$553,MATCH(B285,'Gate events'!$A$4:$A$553,0))&lt;&gt;"Progress with condition",INDEX('Gate events'!$G$4:$G$553,MATCH(B285,'Gate events'!$A$4:$A$553,0))&lt;&gt;"Re-authorise",INDEX('Gate events'!$G$4:$G$553,MATCH(B285,'Gate events'!$A$4:$A$553,0))&lt;&gt;"Resume"),"Parent outcome is not Progress with condition / Re-authorise / Resume",IF(AND(ISNUMBER(INDEX('Gate events'!$F$4:$F$553,MATCH(B285,'Gate events'!$A$4:$A$553,0))),F285&lt;INDEX('Gate events'!$F$4:$F$553,MATCH(B285,'Gate events'!$A$4:$A$553,0))),"Due date before parent event date",IF(AND(OR(G285="Closed-verified",G285="Waived",G285="Accepted-open"),OR(H285="",I285="")),"Closure evidence missing",IF(AND(H285&lt;&gt;"",NOT(ISNUMBER(H285))),"Closed / waived on is not a date",IF(AND(ISNUMBER(H285),ISNUMBER(INDEX('Gate events'!$F$4:$F$553,MATCH(B285,'Gate events'!$A$4:$A$553,0))),H285&lt;INDEX('Gate events'!$F$4:$F$553,MATCH(B285,'Gate events'!$A$4:$A$553,0))),"Closure date before parent event date",IF(AND(G285="Closed-verified",M285=""),"Verifier / date missing",IF(AND(N285="Yes",G285="Closed-verified",O285=""),"Monitoring condition needs AIG-OPS-02 evidence ref",IF(AND(G285="Open",F285&lt;TODAY()),"OVERDUE (derived) — review",IF(G285="Unknown","State Unknown: owner to confirm","Check against source")))))))))))))))))))</f>
        <v/>
      </c>
      <c r="K285" s="37" t="n"/>
      <c r="L285" s="37" t="n"/>
      <c r="M285" s="40" t="n"/>
      <c r="N285" s="40" t="n"/>
      <c r="O285" s="40" t="n"/>
    </row>
    <row r="286">
      <c r="A286" s="38" t="n"/>
      <c r="B286" s="38" t="n"/>
      <c r="C286" s="38" t="n"/>
      <c r="D286" s="38" t="n"/>
      <c r="E286" s="38" t="n"/>
      <c r="F286" s="39" t="n"/>
      <c r="G286" s="38" t="n"/>
      <c r="H286" s="39" t="n"/>
      <c r="I286" s="38" t="n"/>
      <c r="J286" s="22">
        <f>IF(COUNTA(A286:I286,K286:O286)=0,"",IF(OR(A286="",B286="",C286=""),"ID / parent missing",IF(COUNTIF($A$4:$A$553,A286)&gt;1,"Duplicate condition ID",IF(COUNTIF('Gate events'!$A$4:$A$553,B286)=0,"Event ID not found",IF(INDEX('Gate events'!$B$4:$B$553,MATCH(B286,'Gate events'!$A$4:$A$553,0))&lt;&gt;C286,"AIR-ID differs from event",IF(IF(INDEX('Gate events'!$P$4:$P$553,MATCH(B286,'Gate events'!$A$4:$A$553,0))="UC-ID specific",IF(OR(L286&lt;&gt;"UC-ID specific",K286=""),"Condition UC-ID required",IF(ISNUMBER(SEARCH(","&amp;SUBSTITUTE(K286," ","")&amp;",",","&amp;SUBSTITUTE(INDEX('Gate events'!$O$4:$O$553,MATCH(B286,'Gate events'!$A$4:$A$553,0))," ","")&amp;",")),"","UC-ID differs from decision")),IF(INDEX('Gate events'!$P$4:$P$553,MATCH(B286,'Gate events'!$A$4:$A$553,0))="Shared system baseline",IF(OR(L286&lt;&gt;"Shared system baseline",K286&lt;&gt;""),"Condition scope differs from decision",""),"Parent decision scope missing"))&lt;&gt;"",IF(INDEX('Gate events'!$P$4:$P$553,MATCH(B286,'Gate events'!$A$4:$A$553,0))="UC-ID specific",IF(OR(L286&lt;&gt;"UC-ID specific",K286=""),"Condition UC-ID required",IF(ISNUMBER(SEARCH(","&amp;SUBSTITUTE(K286," ","")&amp;",",","&amp;SUBSTITUTE(INDEX('Gate events'!$O$4:$O$553,MATCH(B286,'Gate events'!$A$4:$A$553,0))," ","")&amp;",")),"","UC-ID differs from decision")),IF(INDEX('Gate events'!$P$4:$P$553,MATCH(B286,'Gate events'!$A$4:$A$553,0))="Shared system baseline",IF(OR(L286&lt;&gt;"Shared system baseline",K286&lt;&gt;""),"Condition scope differs from decision",""),"Parent decision scope missing")),IF(OR(D286="",E286="",F286="",G286=""),"Condition, owner, due date or state missing",IF(NOT(ISNUMBER(F286)),"Due date is not a date",IF(OR(G286="Overdue",G286="Superseded"),"Legacy state — owner review (use the shared five states)",IF(INDEX('Gate events'!$E$4:$E$553,MATCH(B286,'Gate events'!$A$4:$A$553,0))&lt;&gt;"Decision","Parent event is not a Decision",IF(AND(INDEX('Gate events'!$G$4:$G$553,MATCH(B286,'Gate events'!$A$4:$A$553,0))&lt;&gt;"Progress with condition",INDEX('Gate events'!$G$4:$G$553,MATCH(B286,'Gate events'!$A$4:$A$553,0))&lt;&gt;"Re-authorise",INDEX('Gate events'!$G$4:$G$553,MATCH(B286,'Gate events'!$A$4:$A$553,0))&lt;&gt;"Resume"),"Parent outcome is not Progress with condition / Re-authorise / Resume",IF(AND(ISNUMBER(INDEX('Gate events'!$F$4:$F$553,MATCH(B286,'Gate events'!$A$4:$A$553,0))),F286&lt;INDEX('Gate events'!$F$4:$F$553,MATCH(B286,'Gate events'!$A$4:$A$553,0))),"Due date before parent event date",IF(AND(OR(G286="Closed-verified",G286="Waived",G286="Accepted-open"),OR(H286="",I286="")),"Closure evidence missing",IF(AND(H286&lt;&gt;"",NOT(ISNUMBER(H286))),"Closed / waived on is not a date",IF(AND(ISNUMBER(H286),ISNUMBER(INDEX('Gate events'!$F$4:$F$553,MATCH(B286,'Gate events'!$A$4:$A$553,0))),H286&lt;INDEX('Gate events'!$F$4:$F$553,MATCH(B286,'Gate events'!$A$4:$A$553,0))),"Closure date before parent event date",IF(AND(G286="Closed-verified",M286=""),"Verifier / date missing",IF(AND(N286="Yes",G286="Closed-verified",O286=""),"Monitoring condition needs AIG-OPS-02 evidence ref",IF(AND(G286="Open",F286&lt;TODAY()),"OVERDUE (derived) — review",IF(G286="Unknown","State Unknown: owner to confirm","Check against source")))))))))))))))))))</f>
        <v/>
      </c>
      <c r="K286" s="37" t="n"/>
      <c r="L286" s="37" t="n"/>
      <c r="M286" s="38" t="n"/>
      <c r="N286" s="38" t="n"/>
      <c r="O286" s="38" t="n"/>
    </row>
    <row r="287">
      <c r="A287" s="40" t="n"/>
      <c r="B287" s="40" t="n"/>
      <c r="C287" s="40" t="n"/>
      <c r="D287" s="40" t="n"/>
      <c r="E287" s="40" t="n"/>
      <c r="F287" s="41" t="n"/>
      <c r="G287" s="40" t="n"/>
      <c r="H287" s="41" t="n"/>
      <c r="I287" s="40" t="n"/>
      <c r="J287" s="24">
        <f>IF(COUNTA(A287:I287,K287:O287)=0,"",IF(OR(A287="",B287="",C287=""),"ID / parent missing",IF(COUNTIF($A$4:$A$553,A287)&gt;1,"Duplicate condition ID",IF(COUNTIF('Gate events'!$A$4:$A$553,B287)=0,"Event ID not found",IF(INDEX('Gate events'!$B$4:$B$553,MATCH(B287,'Gate events'!$A$4:$A$553,0))&lt;&gt;C287,"AIR-ID differs from event",IF(IF(INDEX('Gate events'!$P$4:$P$553,MATCH(B287,'Gate events'!$A$4:$A$553,0))="UC-ID specific",IF(OR(L287&lt;&gt;"UC-ID specific",K287=""),"Condition UC-ID required",IF(ISNUMBER(SEARCH(","&amp;SUBSTITUTE(K287," ","")&amp;",",","&amp;SUBSTITUTE(INDEX('Gate events'!$O$4:$O$553,MATCH(B287,'Gate events'!$A$4:$A$553,0))," ","")&amp;",")),"","UC-ID differs from decision")),IF(INDEX('Gate events'!$P$4:$P$553,MATCH(B287,'Gate events'!$A$4:$A$553,0))="Shared system baseline",IF(OR(L287&lt;&gt;"Shared system baseline",K287&lt;&gt;""),"Condition scope differs from decision",""),"Parent decision scope missing"))&lt;&gt;"",IF(INDEX('Gate events'!$P$4:$P$553,MATCH(B287,'Gate events'!$A$4:$A$553,0))="UC-ID specific",IF(OR(L287&lt;&gt;"UC-ID specific",K287=""),"Condition UC-ID required",IF(ISNUMBER(SEARCH(","&amp;SUBSTITUTE(K287," ","")&amp;",",","&amp;SUBSTITUTE(INDEX('Gate events'!$O$4:$O$553,MATCH(B287,'Gate events'!$A$4:$A$553,0))," ","")&amp;",")),"","UC-ID differs from decision")),IF(INDEX('Gate events'!$P$4:$P$553,MATCH(B287,'Gate events'!$A$4:$A$553,0))="Shared system baseline",IF(OR(L287&lt;&gt;"Shared system baseline",K287&lt;&gt;""),"Condition scope differs from decision",""),"Parent decision scope missing")),IF(OR(D287="",E287="",F287="",G287=""),"Condition, owner, due date or state missing",IF(NOT(ISNUMBER(F287)),"Due date is not a date",IF(OR(G287="Overdue",G287="Superseded"),"Legacy state — owner review (use the shared five states)",IF(INDEX('Gate events'!$E$4:$E$553,MATCH(B287,'Gate events'!$A$4:$A$553,0))&lt;&gt;"Decision","Parent event is not a Decision",IF(AND(INDEX('Gate events'!$G$4:$G$553,MATCH(B287,'Gate events'!$A$4:$A$553,0))&lt;&gt;"Progress with condition",INDEX('Gate events'!$G$4:$G$553,MATCH(B287,'Gate events'!$A$4:$A$553,0))&lt;&gt;"Re-authorise",INDEX('Gate events'!$G$4:$G$553,MATCH(B287,'Gate events'!$A$4:$A$553,0))&lt;&gt;"Resume"),"Parent outcome is not Progress with condition / Re-authorise / Resume",IF(AND(ISNUMBER(INDEX('Gate events'!$F$4:$F$553,MATCH(B287,'Gate events'!$A$4:$A$553,0))),F287&lt;INDEX('Gate events'!$F$4:$F$553,MATCH(B287,'Gate events'!$A$4:$A$553,0))),"Due date before parent event date",IF(AND(OR(G287="Closed-verified",G287="Waived",G287="Accepted-open"),OR(H287="",I287="")),"Closure evidence missing",IF(AND(H287&lt;&gt;"",NOT(ISNUMBER(H287))),"Closed / waived on is not a date",IF(AND(ISNUMBER(H287),ISNUMBER(INDEX('Gate events'!$F$4:$F$553,MATCH(B287,'Gate events'!$A$4:$A$553,0))),H287&lt;INDEX('Gate events'!$F$4:$F$553,MATCH(B287,'Gate events'!$A$4:$A$553,0))),"Closure date before parent event date",IF(AND(G287="Closed-verified",M287=""),"Verifier / date missing",IF(AND(N287="Yes",G287="Closed-verified",O287=""),"Monitoring condition needs AIG-OPS-02 evidence ref",IF(AND(G287="Open",F287&lt;TODAY()),"OVERDUE (derived) — review",IF(G287="Unknown","State Unknown: owner to confirm","Check against source")))))))))))))))))))</f>
        <v/>
      </c>
      <c r="K287" s="37" t="n"/>
      <c r="L287" s="37" t="n"/>
      <c r="M287" s="40" t="n"/>
      <c r="N287" s="40" t="n"/>
      <c r="O287" s="40" t="n"/>
    </row>
    <row r="288">
      <c r="A288" s="38" t="n"/>
      <c r="B288" s="38" t="n"/>
      <c r="C288" s="38" t="n"/>
      <c r="D288" s="38" t="n"/>
      <c r="E288" s="38" t="n"/>
      <c r="F288" s="39" t="n"/>
      <c r="G288" s="38" t="n"/>
      <c r="H288" s="39" t="n"/>
      <c r="I288" s="38" t="n"/>
      <c r="J288" s="22">
        <f>IF(COUNTA(A288:I288,K288:O288)=0,"",IF(OR(A288="",B288="",C288=""),"ID / parent missing",IF(COUNTIF($A$4:$A$553,A288)&gt;1,"Duplicate condition ID",IF(COUNTIF('Gate events'!$A$4:$A$553,B288)=0,"Event ID not found",IF(INDEX('Gate events'!$B$4:$B$553,MATCH(B288,'Gate events'!$A$4:$A$553,0))&lt;&gt;C288,"AIR-ID differs from event",IF(IF(INDEX('Gate events'!$P$4:$P$553,MATCH(B288,'Gate events'!$A$4:$A$553,0))="UC-ID specific",IF(OR(L288&lt;&gt;"UC-ID specific",K288=""),"Condition UC-ID required",IF(ISNUMBER(SEARCH(","&amp;SUBSTITUTE(K288," ","")&amp;",",","&amp;SUBSTITUTE(INDEX('Gate events'!$O$4:$O$553,MATCH(B288,'Gate events'!$A$4:$A$553,0))," ","")&amp;",")),"","UC-ID differs from decision")),IF(INDEX('Gate events'!$P$4:$P$553,MATCH(B288,'Gate events'!$A$4:$A$553,0))="Shared system baseline",IF(OR(L288&lt;&gt;"Shared system baseline",K288&lt;&gt;""),"Condition scope differs from decision",""),"Parent decision scope missing"))&lt;&gt;"",IF(INDEX('Gate events'!$P$4:$P$553,MATCH(B288,'Gate events'!$A$4:$A$553,0))="UC-ID specific",IF(OR(L288&lt;&gt;"UC-ID specific",K288=""),"Condition UC-ID required",IF(ISNUMBER(SEARCH(","&amp;SUBSTITUTE(K288," ","")&amp;",",","&amp;SUBSTITUTE(INDEX('Gate events'!$O$4:$O$553,MATCH(B288,'Gate events'!$A$4:$A$553,0))," ","")&amp;",")),"","UC-ID differs from decision")),IF(INDEX('Gate events'!$P$4:$P$553,MATCH(B288,'Gate events'!$A$4:$A$553,0))="Shared system baseline",IF(OR(L288&lt;&gt;"Shared system baseline",K288&lt;&gt;""),"Condition scope differs from decision",""),"Parent decision scope missing")),IF(OR(D288="",E288="",F288="",G288=""),"Condition, owner, due date or state missing",IF(NOT(ISNUMBER(F288)),"Due date is not a date",IF(OR(G288="Overdue",G288="Superseded"),"Legacy state — owner review (use the shared five states)",IF(INDEX('Gate events'!$E$4:$E$553,MATCH(B288,'Gate events'!$A$4:$A$553,0))&lt;&gt;"Decision","Parent event is not a Decision",IF(AND(INDEX('Gate events'!$G$4:$G$553,MATCH(B288,'Gate events'!$A$4:$A$553,0))&lt;&gt;"Progress with condition",INDEX('Gate events'!$G$4:$G$553,MATCH(B288,'Gate events'!$A$4:$A$553,0))&lt;&gt;"Re-authorise",INDEX('Gate events'!$G$4:$G$553,MATCH(B288,'Gate events'!$A$4:$A$553,0))&lt;&gt;"Resume"),"Parent outcome is not Progress with condition / Re-authorise / Resume",IF(AND(ISNUMBER(INDEX('Gate events'!$F$4:$F$553,MATCH(B288,'Gate events'!$A$4:$A$553,0))),F288&lt;INDEX('Gate events'!$F$4:$F$553,MATCH(B288,'Gate events'!$A$4:$A$553,0))),"Due date before parent event date",IF(AND(OR(G288="Closed-verified",G288="Waived",G288="Accepted-open"),OR(H288="",I288="")),"Closure evidence missing",IF(AND(H288&lt;&gt;"",NOT(ISNUMBER(H288))),"Closed / waived on is not a date",IF(AND(ISNUMBER(H288),ISNUMBER(INDEX('Gate events'!$F$4:$F$553,MATCH(B288,'Gate events'!$A$4:$A$553,0))),H288&lt;INDEX('Gate events'!$F$4:$F$553,MATCH(B288,'Gate events'!$A$4:$A$553,0))),"Closure date before parent event date",IF(AND(G288="Closed-verified",M288=""),"Verifier / date missing",IF(AND(N288="Yes",G288="Closed-verified",O288=""),"Monitoring condition needs AIG-OPS-02 evidence ref",IF(AND(G288="Open",F288&lt;TODAY()),"OVERDUE (derived) — review",IF(G288="Unknown","State Unknown: owner to confirm","Check against source")))))))))))))))))))</f>
        <v/>
      </c>
      <c r="K288" s="37" t="n"/>
      <c r="L288" s="37" t="n"/>
      <c r="M288" s="38" t="n"/>
      <c r="N288" s="38" t="n"/>
      <c r="O288" s="38" t="n"/>
    </row>
    <row r="289">
      <c r="A289" s="40" t="n"/>
      <c r="B289" s="40" t="n"/>
      <c r="C289" s="40" t="n"/>
      <c r="D289" s="40" t="n"/>
      <c r="E289" s="40" t="n"/>
      <c r="F289" s="41" t="n"/>
      <c r="G289" s="40" t="n"/>
      <c r="H289" s="41" t="n"/>
      <c r="I289" s="40" t="n"/>
      <c r="J289" s="24">
        <f>IF(COUNTA(A289:I289,K289:O289)=0,"",IF(OR(A289="",B289="",C289=""),"ID / parent missing",IF(COUNTIF($A$4:$A$553,A289)&gt;1,"Duplicate condition ID",IF(COUNTIF('Gate events'!$A$4:$A$553,B289)=0,"Event ID not found",IF(INDEX('Gate events'!$B$4:$B$553,MATCH(B289,'Gate events'!$A$4:$A$553,0))&lt;&gt;C289,"AIR-ID differs from event",IF(IF(INDEX('Gate events'!$P$4:$P$553,MATCH(B289,'Gate events'!$A$4:$A$553,0))="UC-ID specific",IF(OR(L289&lt;&gt;"UC-ID specific",K289=""),"Condition UC-ID required",IF(ISNUMBER(SEARCH(","&amp;SUBSTITUTE(K289," ","")&amp;",",","&amp;SUBSTITUTE(INDEX('Gate events'!$O$4:$O$553,MATCH(B289,'Gate events'!$A$4:$A$553,0))," ","")&amp;",")),"","UC-ID differs from decision")),IF(INDEX('Gate events'!$P$4:$P$553,MATCH(B289,'Gate events'!$A$4:$A$553,0))="Shared system baseline",IF(OR(L289&lt;&gt;"Shared system baseline",K289&lt;&gt;""),"Condition scope differs from decision",""),"Parent decision scope missing"))&lt;&gt;"",IF(INDEX('Gate events'!$P$4:$P$553,MATCH(B289,'Gate events'!$A$4:$A$553,0))="UC-ID specific",IF(OR(L289&lt;&gt;"UC-ID specific",K289=""),"Condition UC-ID required",IF(ISNUMBER(SEARCH(","&amp;SUBSTITUTE(K289," ","")&amp;",",","&amp;SUBSTITUTE(INDEX('Gate events'!$O$4:$O$553,MATCH(B289,'Gate events'!$A$4:$A$553,0))," ","")&amp;",")),"","UC-ID differs from decision")),IF(INDEX('Gate events'!$P$4:$P$553,MATCH(B289,'Gate events'!$A$4:$A$553,0))="Shared system baseline",IF(OR(L289&lt;&gt;"Shared system baseline",K289&lt;&gt;""),"Condition scope differs from decision",""),"Parent decision scope missing")),IF(OR(D289="",E289="",F289="",G289=""),"Condition, owner, due date or state missing",IF(NOT(ISNUMBER(F289)),"Due date is not a date",IF(OR(G289="Overdue",G289="Superseded"),"Legacy state — owner review (use the shared five states)",IF(INDEX('Gate events'!$E$4:$E$553,MATCH(B289,'Gate events'!$A$4:$A$553,0))&lt;&gt;"Decision","Parent event is not a Decision",IF(AND(INDEX('Gate events'!$G$4:$G$553,MATCH(B289,'Gate events'!$A$4:$A$553,0))&lt;&gt;"Progress with condition",INDEX('Gate events'!$G$4:$G$553,MATCH(B289,'Gate events'!$A$4:$A$553,0))&lt;&gt;"Re-authorise",INDEX('Gate events'!$G$4:$G$553,MATCH(B289,'Gate events'!$A$4:$A$553,0))&lt;&gt;"Resume"),"Parent outcome is not Progress with condition / Re-authorise / Resume",IF(AND(ISNUMBER(INDEX('Gate events'!$F$4:$F$553,MATCH(B289,'Gate events'!$A$4:$A$553,0))),F289&lt;INDEX('Gate events'!$F$4:$F$553,MATCH(B289,'Gate events'!$A$4:$A$553,0))),"Due date before parent event date",IF(AND(OR(G289="Closed-verified",G289="Waived",G289="Accepted-open"),OR(H289="",I289="")),"Closure evidence missing",IF(AND(H289&lt;&gt;"",NOT(ISNUMBER(H289))),"Closed / waived on is not a date",IF(AND(ISNUMBER(H289),ISNUMBER(INDEX('Gate events'!$F$4:$F$553,MATCH(B289,'Gate events'!$A$4:$A$553,0))),H289&lt;INDEX('Gate events'!$F$4:$F$553,MATCH(B289,'Gate events'!$A$4:$A$553,0))),"Closure date before parent event date",IF(AND(G289="Closed-verified",M289=""),"Verifier / date missing",IF(AND(N289="Yes",G289="Closed-verified",O289=""),"Monitoring condition needs AIG-OPS-02 evidence ref",IF(AND(G289="Open",F289&lt;TODAY()),"OVERDUE (derived) — review",IF(G289="Unknown","State Unknown: owner to confirm","Check against source")))))))))))))))))))</f>
        <v/>
      </c>
      <c r="K289" s="37" t="n"/>
      <c r="L289" s="37" t="n"/>
      <c r="M289" s="40" t="n"/>
      <c r="N289" s="40" t="n"/>
      <c r="O289" s="40" t="n"/>
    </row>
    <row r="290">
      <c r="A290" s="38" t="n"/>
      <c r="B290" s="38" t="n"/>
      <c r="C290" s="38" t="n"/>
      <c r="D290" s="38" t="n"/>
      <c r="E290" s="38" t="n"/>
      <c r="F290" s="39" t="n"/>
      <c r="G290" s="38" t="n"/>
      <c r="H290" s="39" t="n"/>
      <c r="I290" s="38" t="n"/>
      <c r="J290" s="22">
        <f>IF(COUNTA(A290:I290,K290:O290)=0,"",IF(OR(A290="",B290="",C290=""),"ID / parent missing",IF(COUNTIF($A$4:$A$553,A290)&gt;1,"Duplicate condition ID",IF(COUNTIF('Gate events'!$A$4:$A$553,B290)=0,"Event ID not found",IF(INDEX('Gate events'!$B$4:$B$553,MATCH(B290,'Gate events'!$A$4:$A$553,0))&lt;&gt;C290,"AIR-ID differs from event",IF(IF(INDEX('Gate events'!$P$4:$P$553,MATCH(B290,'Gate events'!$A$4:$A$553,0))="UC-ID specific",IF(OR(L290&lt;&gt;"UC-ID specific",K290=""),"Condition UC-ID required",IF(ISNUMBER(SEARCH(","&amp;SUBSTITUTE(K290," ","")&amp;",",","&amp;SUBSTITUTE(INDEX('Gate events'!$O$4:$O$553,MATCH(B290,'Gate events'!$A$4:$A$553,0))," ","")&amp;",")),"","UC-ID differs from decision")),IF(INDEX('Gate events'!$P$4:$P$553,MATCH(B290,'Gate events'!$A$4:$A$553,0))="Shared system baseline",IF(OR(L290&lt;&gt;"Shared system baseline",K290&lt;&gt;""),"Condition scope differs from decision",""),"Parent decision scope missing"))&lt;&gt;"",IF(INDEX('Gate events'!$P$4:$P$553,MATCH(B290,'Gate events'!$A$4:$A$553,0))="UC-ID specific",IF(OR(L290&lt;&gt;"UC-ID specific",K290=""),"Condition UC-ID required",IF(ISNUMBER(SEARCH(","&amp;SUBSTITUTE(K290," ","")&amp;",",","&amp;SUBSTITUTE(INDEX('Gate events'!$O$4:$O$553,MATCH(B290,'Gate events'!$A$4:$A$553,0))," ","")&amp;",")),"","UC-ID differs from decision")),IF(INDEX('Gate events'!$P$4:$P$553,MATCH(B290,'Gate events'!$A$4:$A$553,0))="Shared system baseline",IF(OR(L290&lt;&gt;"Shared system baseline",K290&lt;&gt;""),"Condition scope differs from decision",""),"Parent decision scope missing")),IF(OR(D290="",E290="",F290="",G290=""),"Condition, owner, due date or state missing",IF(NOT(ISNUMBER(F290)),"Due date is not a date",IF(OR(G290="Overdue",G290="Superseded"),"Legacy state — owner review (use the shared five states)",IF(INDEX('Gate events'!$E$4:$E$553,MATCH(B290,'Gate events'!$A$4:$A$553,0))&lt;&gt;"Decision","Parent event is not a Decision",IF(AND(INDEX('Gate events'!$G$4:$G$553,MATCH(B290,'Gate events'!$A$4:$A$553,0))&lt;&gt;"Progress with condition",INDEX('Gate events'!$G$4:$G$553,MATCH(B290,'Gate events'!$A$4:$A$553,0))&lt;&gt;"Re-authorise",INDEX('Gate events'!$G$4:$G$553,MATCH(B290,'Gate events'!$A$4:$A$553,0))&lt;&gt;"Resume"),"Parent outcome is not Progress with condition / Re-authorise / Resume",IF(AND(ISNUMBER(INDEX('Gate events'!$F$4:$F$553,MATCH(B290,'Gate events'!$A$4:$A$553,0))),F290&lt;INDEX('Gate events'!$F$4:$F$553,MATCH(B290,'Gate events'!$A$4:$A$553,0))),"Due date before parent event date",IF(AND(OR(G290="Closed-verified",G290="Waived",G290="Accepted-open"),OR(H290="",I290="")),"Closure evidence missing",IF(AND(H290&lt;&gt;"",NOT(ISNUMBER(H290))),"Closed / waived on is not a date",IF(AND(ISNUMBER(H290),ISNUMBER(INDEX('Gate events'!$F$4:$F$553,MATCH(B290,'Gate events'!$A$4:$A$553,0))),H290&lt;INDEX('Gate events'!$F$4:$F$553,MATCH(B290,'Gate events'!$A$4:$A$553,0))),"Closure date before parent event date",IF(AND(G290="Closed-verified",M290=""),"Verifier / date missing",IF(AND(N290="Yes",G290="Closed-verified",O290=""),"Monitoring condition needs AIG-OPS-02 evidence ref",IF(AND(G290="Open",F290&lt;TODAY()),"OVERDUE (derived) — review",IF(G290="Unknown","State Unknown: owner to confirm","Check against source")))))))))))))))))))</f>
        <v/>
      </c>
      <c r="K290" s="37" t="n"/>
      <c r="L290" s="37" t="n"/>
      <c r="M290" s="38" t="n"/>
      <c r="N290" s="38" t="n"/>
      <c r="O290" s="38" t="n"/>
    </row>
    <row r="291">
      <c r="A291" s="40" t="n"/>
      <c r="B291" s="40" t="n"/>
      <c r="C291" s="40" t="n"/>
      <c r="D291" s="40" t="n"/>
      <c r="E291" s="40" t="n"/>
      <c r="F291" s="41" t="n"/>
      <c r="G291" s="40" t="n"/>
      <c r="H291" s="41" t="n"/>
      <c r="I291" s="40" t="n"/>
      <c r="J291" s="24">
        <f>IF(COUNTA(A291:I291,K291:O291)=0,"",IF(OR(A291="",B291="",C291=""),"ID / parent missing",IF(COUNTIF($A$4:$A$553,A291)&gt;1,"Duplicate condition ID",IF(COUNTIF('Gate events'!$A$4:$A$553,B291)=0,"Event ID not found",IF(INDEX('Gate events'!$B$4:$B$553,MATCH(B291,'Gate events'!$A$4:$A$553,0))&lt;&gt;C291,"AIR-ID differs from event",IF(IF(INDEX('Gate events'!$P$4:$P$553,MATCH(B291,'Gate events'!$A$4:$A$553,0))="UC-ID specific",IF(OR(L291&lt;&gt;"UC-ID specific",K291=""),"Condition UC-ID required",IF(ISNUMBER(SEARCH(","&amp;SUBSTITUTE(K291," ","")&amp;",",","&amp;SUBSTITUTE(INDEX('Gate events'!$O$4:$O$553,MATCH(B291,'Gate events'!$A$4:$A$553,0))," ","")&amp;",")),"","UC-ID differs from decision")),IF(INDEX('Gate events'!$P$4:$P$553,MATCH(B291,'Gate events'!$A$4:$A$553,0))="Shared system baseline",IF(OR(L291&lt;&gt;"Shared system baseline",K291&lt;&gt;""),"Condition scope differs from decision",""),"Parent decision scope missing"))&lt;&gt;"",IF(INDEX('Gate events'!$P$4:$P$553,MATCH(B291,'Gate events'!$A$4:$A$553,0))="UC-ID specific",IF(OR(L291&lt;&gt;"UC-ID specific",K291=""),"Condition UC-ID required",IF(ISNUMBER(SEARCH(","&amp;SUBSTITUTE(K291," ","")&amp;",",","&amp;SUBSTITUTE(INDEX('Gate events'!$O$4:$O$553,MATCH(B291,'Gate events'!$A$4:$A$553,0))," ","")&amp;",")),"","UC-ID differs from decision")),IF(INDEX('Gate events'!$P$4:$P$553,MATCH(B291,'Gate events'!$A$4:$A$553,0))="Shared system baseline",IF(OR(L291&lt;&gt;"Shared system baseline",K291&lt;&gt;""),"Condition scope differs from decision",""),"Parent decision scope missing")),IF(OR(D291="",E291="",F291="",G291=""),"Condition, owner, due date or state missing",IF(NOT(ISNUMBER(F291)),"Due date is not a date",IF(OR(G291="Overdue",G291="Superseded"),"Legacy state — owner review (use the shared five states)",IF(INDEX('Gate events'!$E$4:$E$553,MATCH(B291,'Gate events'!$A$4:$A$553,0))&lt;&gt;"Decision","Parent event is not a Decision",IF(AND(INDEX('Gate events'!$G$4:$G$553,MATCH(B291,'Gate events'!$A$4:$A$553,0))&lt;&gt;"Progress with condition",INDEX('Gate events'!$G$4:$G$553,MATCH(B291,'Gate events'!$A$4:$A$553,0))&lt;&gt;"Re-authorise",INDEX('Gate events'!$G$4:$G$553,MATCH(B291,'Gate events'!$A$4:$A$553,0))&lt;&gt;"Resume"),"Parent outcome is not Progress with condition / Re-authorise / Resume",IF(AND(ISNUMBER(INDEX('Gate events'!$F$4:$F$553,MATCH(B291,'Gate events'!$A$4:$A$553,0))),F291&lt;INDEX('Gate events'!$F$4:$F$553,MATCH(B291,'Gate events'!$A$4:$A$553,0))),"Due date before parent event date",IF(AND(OR(G291="Closed-verified",G291="Waived",G291="Accepted-open"),OR(H291="",I291="")),"Closure evidence missing",IF(AND(H291&lt;&gt;"",NOT(ISNUMBER(H291))),"Closed / waived on is not a date",IF(AND(ISNUMBER(H291),ISNUMBER(INDEX('Gate events'!$F$4:$F$553,MATCH(B291,'Gate events'!$A$4:$A$553,0))),H291&lt;INDEX('Gate events'!$F$4:$F$553,MATCH(B291,'Gate events'!$A$4:$A$553,0))),"Closure date before parent event date",IF(AND(G291="Closed-verified",M291=""),"Verifier / date missing",IF(AND(N291="Yes",G291="Closed-verified",O291=""),"Monitoring condition needs AIG-OPS-02 evidence ref",IF(AND(G291="Open",F291&lt;TODAY()),"OVERDUE (derived) — review",IF(G291="Unknown","State Unknown: owner to confirm","Check against source")))))))))))))))))))</f>
        <v/>
      </c>
      <c r="K291" s="37" t="n"/>
      <c r="L291" s="37" t="n"/>
      <c r="M291" s="40" t="n"/>
      <c r="N291" s="40" t="n"/>
      <c r="O291" s="40" t="n"/>
    </row>
    <row r="292">
      <c r="A292" s="38" t="n"/>
      <c r="B292" s="38" t="n"/>
      <c r="C292" s="38" t="n"/>
      <c r="D292" s="38" t="n"/>
      <c r="E292" s="38" t="n"/>
      <c r="F292" s="39" t="n"/>
      <c r="G292" s="38" t="n"/>
      <c r="H292" s="39" t="n"/>
      <c r="I292" s="38" t="n"/>
      <c r="J292" s="22">
        <f>IF(COUNTA(A292:I292,K292:O292)=0,"",IF(OR(A292="",B292="",C292=""),"ID / parent missing",IF(COUNTIF($A$4:$A$553,A292)&gt;1,"Duplicate condition ID",IF(COUNTIF('Gate events'!$A$4:$A$553,B292)=0,"Event ID not found",IF(INDEX('Gate events'!$B$4:$B$553,MATCH(B292,'Gate events'!$A$4:$A$553,0))&lt;&gt;C292,"AIR-ID differs from event",IF(IF(INDEX('Gate events'!$P$4:$P$553,MATCH(B292,'Gate events'!$A$4:$A$553,0))="UC-ID specific",IF(OR(L292&lt;&gt;"UC-ID specific",K292=""),"Condition UC-ID required",IF(ISNUMBER(SEARCH(","&amp;SUBSTITUTE(K292," ","")&amp;",",","&amp;SUBSTITUTE(INDEX('Gate events'!$O$4:$O$553,MATCH(B292,'Gate events'!$A$4:$A$553,0))," ","")&amp;",")),"","UC-ID differs from decision")),IF(INDEX('Gate events'!$P$4:$P$553,MATCH(B292,'Gate events'!$A$4:$A$553,0))="Shared system baseline",IF(OR(L292&lt;&gt;"Shared system baseline",K292&lt;&gt;""),"Condition scope differs from decision",""),"Parent decision scope missing"))&lt;&gt;"",IF(INDEX('Gate events'!$P$4:$P$553,MATCH(B292,'Gate events'!$A$4:$A$553,0))="UC-ID specific",IF(OR(L292&lt;&gt;"UC-ID specific",K292=""),"Condition UC-ID required",IF(ISNUMBER(SEARCH(","&amp;SUBSTITUTE(K292," ","")&amp;",",","&amp;SUBSTITUTE(INDEX('Gate events'!$O$4:$O$553,MATCH(B292,'Gate events'!$A$4:$A$553,0))," ","")&amp;",")),"","UC-ID differs from decision")),IF(INDEX('Gate events'!$P$4:$P$553,MATCH(B292,'Gate events'!$A$4:$A$553,0))="Shared system baseline",IF(OR(L292&lt;&gt;"Shared system baseline",K292&lt;&gt;""),"Condition scope differs from decision",""),"Parent decision scope missing")),IF(OR(D292="",E292="",F292="",G292=""),"Condition, owner, due date or state missing",IF(NOT(ISNUMBER(F292)),"Due date is not a date",IF(OR(G292="Overdue",G292="Superseded"),"Legacy state — owner review (use the shared five states)",IF(INDEX('Gate events'!$E$4:$E$553,MATCH(B292,'Gate events'!$A$4:$A$553,0))&lt;&gt;"Decision","Parent event is not a Decision",IF(AND(INDEX('Gate events'!$G$4:$G$553,MATCH(B292,'Gate events'!$A$4:$A$553,0))&lt;&gt;"Progress with condition",INDEX('Gate events'!$G$4:$G$553,MATCH(B292,'Gate events'!$A$4:$A$553,0))&lt;&gt;"Re-authorise",INDEX('Gate events'!$G$4:$G$553,MATCH(B292,'Gate events'!$A$4:$A$553,0))&lt;&gt;"Resume"),"Parent outcome is not Progress with condition / Re-authorise / Resume",IF(AND(ISNUMBER(INDEX('Gate events'!$F$4:$F$553,MATCH(B292,'Gate events'!$A$4:$A$553,0))),F292&lt;INDEX('Gate events'!$F$4:$F$553,MATCH(B292,'Gate events'!$A$4:$A$553,0))),"Due date before parent event date",IF(AND(OR(G292="Closed-verified",G292="Waived",G292="Accepted-open"),OR(H292="",I292="")),"Closure evidence missing",IF(AND(H292&lt;&gt;"",NOT(ISNUMBER(H292))),"Closed / waived on is not a date",IF(AND(ISNUMBER(H292),ISNUMBER(INDEX('Gate events'!$F$4:$F$553,MATCH(B292,'Gate events'!$A$4:$A$553,0))),H292&lt;INDEX('Gate events'!$F$4:$F$553,MATCH(B292,'Gate events'!$A$4:$A$553,0))),"Closure date before parent event date",IF(AND(G292="Closed-verified",M292=""),"Verifier / date missing",IF(AND(N292="Yes",G292="Closed-verified",O292=""),"Monitoring condition needs AIG-OPS-02 evidence ref",IF(AND(G292="Open",F292&lt;TODAY()),"OVERDUE (derived) — review",IF(G292="Unknown","State Unknown: owner to confirm","Check against source")))))))))))))))))))</f>
        <v/>
      </c>
      <c r="K292" s="37" t="n"/>
      <c r="L292" s="37" t="n"/>
      <c r="M292" s="38" t="n"/>
      <c r="N292" s="38" t="n"/>
      <c r="O292" s="38" t="n"/>
    </row>
    <row r="293">
      <c r="A293" s="40" t="n"/>
      <c r="B293" s="40" t="n"/>
      <c r="C293" s="40" t="n"/>
      <c r="D293" s="40" t="n"/>
      <c r="E293" s="40" t="n"/>
      <c r="F293" s="41" t="n"/>
      <c r="G293" s="40" t="n"/>
      <c r="H293" s="41" t="n"/>
      <c r="I293" s="40" t="n"/>
      <c r="J293" s="24">
        <f>IF(COUNTA(A293:I293,K293:O293)=0,"",IF(OR(A293="",B293="",C293=""),"ID / parent missing",IF(COUNTIF($A$4:$A$553,A293)&gt;1,"Duplicate condition ID",IF(COUNTIF('Gate events'!$A$4:$A$553,B293)=0,"Event ID not found",IF(INDEX('Gate events'!$B$4:$B$553,MATCH(B293,'Gate events'!$A$4:$A$553,0))&lt;&gt;C293,"AIR-ID differs from event",IF(IF(INDEX('Gate events'!$P$4:$P$553,MATCH(B293,'Gate events'!$A$4:$A$553,0))="UC-ID specific",IF(OR(L293&lt;&gt;"UC-ID specific",K293=""),"Condition UC-ID required",IF(ISNUMBER(SEARCH(","&amp;SUBSTITUTE(K293," ","")&amp;",",","&amp;SUBSTITUTE(INDEX('Gate events'!$O$4:$O$553,MATCH(B293,'Gate events'!$A$4:$A$553,0))," ","")&amp;",")),"","UC-ID differs from decision")),IF(INDEX('Gate events'!$P$4:$P$553,MATCH(B293,'Gate events'!$A$4:$A$553,0))="Shared system baseline",IF(OR(L293&lt;&gt;"Shared system baseline",K293&lt;&gt;""),"Condition scope differs from decision",""),"Parent decision scope missing"))&lt;&gt;"",IF(INDEX('Gate events'!$P$4:$P$553,MATCH(B293,'Gate events'!$A$4:$A$553,0))="UC-ID specific",IF(OR(L293&lt;&gt;"UC-ID specific",K293=""),"Condition UC-ID required",IF(ISNUMBER(SEARCH(","&amp;SUBSTITUTE(K293," ","")&amp;",",","&amp;SUBSTITUTE(INDEX('Gate events'!$O$4:$O$553,MATCH(B293,'Gate events'!$A$4:$A$553,0))," ","")&amp;",")),"","UC-ID differs from decision")),IF(INDEX('Gate events'!$P$4:$P$553,MATCH(B293,'Gate events'!$A$4:$A$553,0))="Shared system baseline",IF(OR(L293&lt;&gt;"Shared system baseline",K293&lt;&gt;""),"Condition scope differs from decision",""),"Parent decision scope missing")),IF(OR(D293="",E293="",F293="",G293=""),"Condition, owner, due date or state missing",IF(NOT(ISNUMBER(F293)),"Due date is not a date",IF(OR(G293="Overdue",G293="Superseded"),"Legacy state — owner review (use the shared five states)",IF(INDEX('Gate events'!$E$4:$E$553,MATCH(B293,'Gate events'!$A$4:$A$553,0))&lt;&gt;"Decision","Parent event is not a Decision",IF(AND(INDEX('Gate events'!$G$4:$G$553,MATCH(B293,'Gate events'!$A$4:$A$553,0))&lt;&gt;"Progress with condition",INDEX('Gate events'!$G$4:$G$553,MATCH(B293,'Gate events'!$A$4:$A$553,0))&lt;&gt;"Re-authorise",INDEX('Gate events'!$G$4:$G$553,MATCH(B293,'Gate events'!$A$4:$A$553,0))&lt;&gt;"Resume"),"Parent outcome is not Progress with condition / Re-authorise / Resume",IF(AND(ISNUMBER(INDEX('Gate events'!$F$4:$F$553,MATCH(B293,'Gate events'!$A$4:$A$553,0))),F293&lt;INDEX('Gate events'!$F$4:$F$553,MATCH(B293,'Gate events'!$A$4:$A$553,0))),"Due date before parent event date",IF(AND(OR(G293="Closed-verified",G293="Waived",G293="Accepted-open"),OR(H293="",I293="")),"Closure evidence missing",IF(AND(H293&lt;&gt;"",NOT(ISNUMBER(H293))),"Closed / waived on is not a date",IF(AND(ISNUMBER(H293),ISNUMBER(INDEX('Gate events'!$F$4:$F$553,MATCH(B293,'Gate events'!$A$4:$A$553,0))),H293&lt;INDEX('Gate events'!$F$4:$F$553,MATCH(B293,'Gate events'!$A$4:$A$553,0))),"Closure date before parent event date",IF(AND(G293="Closed-verified",M293=""),"Verifier / date missing",IF(AND(N293="Yes",G293="Closed-verified",O293=""),"Monitoring condition needs AIG-OPS-02 evidence ref",IF(AND(G293="Open",F293&lt;TODAY()),"OVERDUE (derived) — review",IF(G293="Unknown","State Unknown: owner to confirm","Check against source")))))))))))))))))))</f>
        <v/>
      </c>
      <c r="K293" s="37" t="n"/>
      <c r="L293" s="37" t="n"/>
      <c r="M293" s="40" t="n"/>
      <c r="N293" s="40" t="n"/>
      <c r="O293" s="40" t="n"/>
    </row>
    <row r="294">
      <c r="A294" s="38" t="n"/>
      <c r="B294" s="38" t="n"/>
      <c r="C294" s="38" t="n"/>
      <c r="D294" s="38" t="n"/>
      <c r="E294" s="38" t="n"/>
      <c r="F294" s="39" t="n"/>
      <c r="G294" s="38" t="n"/>
      <c r="H294" s="39" t="n"/>
      <c r="I294" s="38" t="n"/>
      <c r="J294" s="22">
        <f>IF(COUNTA(A294:I294,K294:O294)=0,"",IF(OR(A294="",B294="",C294=""),"ID / parent missing",IF(COUNTIF($A$4:$A$553,A294)&gt;1,"Duplicate condition ID",IF(COUNTIF('Gate events'!$A$4:$A$553,B294)=0,"Event ID not found",IF(INDEX('Gate events'!$B$4:$B$553,MATCH(B294,'Gate events'!$A$4:$A$553,0))&lt;&gt;C294,"AIR-ID differs from event",IF(IF(INDEX('Gate events'!$P$4:$P$553,MATCH(B294,'Gate events'!$A$4:$A$553,0))="UC-ID specific",IF(OR(L294&lt;&gt;"UC-ID specific",K294=""),"Condition UC-ID required",IF(ISNUMBER(SEARCH(","&amp;SUBSTITUTE(K294," ","")&amp;",",","&amp;SUBSTITUTE(INDEX('Gate events'!$O$4:$O$553,MATCH(B294,'Gate events'!$A$4:$A$553,0))," ","")&amp;",")),"","UC-ID differs from decision")),IF(INDEX('Gate events'!$P$4:$P$553,MATCH(B294,'Gate events'!$A$4:$A$553,0))="Shared system baseline",IF(OR(L294&lt;&gt;"Shared system baseline",K294&lt;&gt;""),"Condition scope differs from decision",""),"Parent decision scope missing"))&lt;&gt;"",IF(INDEX('Gate events'!$P$4:$P$553,MATCH(B294,'Gate events'!$A$4:$A$553,0))="UC-ID specific",IF(OR(L294&lt;&gt;"UC-ID specific",K294=""),"Condition UC-ID required",IF(ISNUMBER(SEARCH(","&amp;SUBSTITUTE(K294," ","")&amp;",",","&amp;SUBSTITUTE(INDEX('Gate events'!$O$4:$O$553,MATCH(B294,'Gate events'!$A$4:$A$553,0))," ","")&amp;",")),"","UC-ID differs from decision")),IF(INDEX('Gate events'!$P$4:$P$553,MATCH(B294,'Gate events'!$A$4:$A$553,0))="Shared system baseline",IF(OR(L294&lt;&gt;"Shared system baseline",K294&lt;&gt;""),"Condition scope differs from decision",""),"Parent decision scope missing")),IF(OR(D294="",E294="",F294="",G294=""),"Condition, owner, due date or state missing",IF(NOT(ISNUMBER(F294)),"Due date is not a date",IF(OR(G294="Overdue",G294="Superseded"),"Legacy state — owner review (use the shared five states)",IF(INDEX('Gate events'!$E$4:$E$553,MATCH(B294,'Gate events'!$A$4:$A$553,0))&lt;&gt;"Decision","Parent event is not a Decision",IF(AND(INDEX('Gate events'!$G$4:$G$553,MATCH(B294,'Gate events'!$A$4:$A$553,0))&lt;&gt;"Progress with condition",INDEX('Gate events'!$G$4:$G$553,MATCH(B294,'Gate events'!$A$4:$A$553,0))&lt;&gt;"Re-authorise",INDEX('Gate events'!$G$4:$G$553,MATCH(B294,'Gate events'!$A$4:$A$553,0))&lt;&gt;"Resume"),"Parent outcome is not Progress with condition / Re-authorise / Resume",IF(AND(ISNUMBER(INDEX('Gate events'!$F$4:$F$553,MATCH(B294,'Gate events'!$A$4:$A$553,0))),F294&lt;INDEX('Gate events'!$F$4:$F$553,MATCH(B294,'Gate events'!$A$4:$A$553,0))),"Due date before parent event date",IF(AND(OR(G294="Closed-verified",G294="Waived",G294="Accepted-open"),OR(H294="",I294="")),"Closure evidence missing",IF(AND(H294&lt;&gt;"",NOT(ISNUMBER(H294))),"Closed / waived on is not a date",IF(AND(ISNUMBER(H294),ISNUMBER(INDEX('Gate events'!$F$4:$F$553,MATCH(B294,'Gate events'!$A$4:$A$553,0))),H294&lt;INDEX('Gate events'!$F$4:$F$553,MATCH(B294,'Gate events'!$A$4:$A$553,0))),"Closure date before parent event date",IF(AND(G294="Closed-verified",M294=""),"Verifier / date missing",IF(AND(N294="Yes",G294="Closed-verified",O294=""),"Monitoring condition needs AIG-OPS-02 evidence ref",IF(AND(G294="Open",F294&lt;TODAY()),"OVERDUE (derived) — review",IF(G294="Unknown","State Unknown: owner to confirm","Check against source")))))))))))))))))))</f>
        <v/>
      </c>
      <c r="K294" s="37" t="n"/>
      <c r="L294" s="37" t="n"/>
      <c r="M294" s="38" t="n"/>
      <c r="N294" s="38" t="n"/>
      <c r="O294" s="38" t="n"/>
    </row>
    <row r="295">
      <c r="A295" s="40" t="n"/>
      <c r="B295" s="40" t="n"/>
      <c r="C295" s="40" t="n"/>
      <c r="D295" s="40" t="n"/>
      <c r="E295" s="40" t="n"/>
      <c r="F295" s="41" t="n"/>
      <c r="G295" s="40" t="n"/>
      <c r="H295" s="41" t="n"/>
      <c r="I295" s="40" t="n"/>
      <c r="J295" s="24">
        <f>IF(COUNTA(A295:I295,K295:O295)=0,"",IF(OR(A295="",B295="",C295=""),"ID / parent missing",IF(COUNTIF($A$4:$A$553,A295)&gt;1,"Duplicate condition ID",IF(COUNTIF('Gate events'!$A$4:$A$553,B295)=0,"Event ID not found",IF(INDEX('Gate events'!$B$4:$B$553,MATCH(B295,'Gate events'!$A$4:$A$553,0))&lt;&gt;C295,"AIR-ID differs from event",IF(IF(INDEX('Gate events'!$P$4:$P$553,MATCH(B295,'Gate events'!$A$4:$A$553,0))="UC-ID specific",IF(OR(L295&lt;&gt;"UC-ID specific",K295=""),"Condition UC-ID required",IF(ISNUMBER(SEARCH(","&amp;SUBSTITUTE(K295," ","")&amp;",",","&amp;SUBSTITUTE(INDEX('Gate events'!$O$4:$O$553,MATCH(B295,'Gate events'!$A$4:$A$553,0))," ","")&amp;",")),"","UC-ID differs from decision")),IF(INDEX('Gate events'!$P$4:$P$553,MATCH(B295,'Gate events'!$A$4:$A$553,0))="Shared system baseline",IF(OR(L295&lt;&gt;"Shared system baseline",K295&lt;&gt;""),"Condition scope differs from decision",""),"Parent decision scope missing"))&lt;&gt;"",IF(INDEX('Gate events'!$P$4:$P$553,MATCH(B295,'Gate events'!$A$4:$A$553,0))="UC-ID specific",IF(OR(L295&lt;&gt;"UC-ID specific",K295=""),"Condition UC-ID required",IF(ISNUMBER(SEARCH(","&amp;SUBSTITUTE(K295," ","")&amp;",",","&amp;SUBSTITUTE(INDEX('Gate events'!$O$4:$O$553,MATCH(B295,'Gate events'!$A$4:$A$553,0))," ","")&amp;",")),"","UC-ID differs from decision")),IF(INDEX('Gate events'!$P$4:$P$553,MATCH(B295,'Gate events'!$A$4:$A$553,0))="Shared system baseline",IF(OR(L295&lt;&gt;"Shared system baseline",K295&lt;&gt;""),"Condition scope differs from decision",""),"Parent decision scope missing")),IF(OR(D295="",E295="",F295="",G295=""),"Condition, owner, due date or state missing",IF(NOT(ISNUMBER(F295)),"Due date is not a date",IF(OR(G295="Overdue",G295="Superseded"),"Legacy state — owner review (use the shared five states)",IF(INDEX('Gate events'!$E$4:$E$553,MATCH(B295,'Gate events'!$A$4:$A$553,0))&lt;&gt;"Decision","Parent event is not a Decision",IF(AND(INDEX('Gate events'!$G$4:$G$553,MATCH(B295,'Gate events'!$A$4:$A$553,0))&lt;&gt;"Progress with condition",INDEX('Gate events'!$G$4:$G$553,MATCH(B295,'Gate events'!$A$4:$A$553,0))&lt;&gt;"Re-authorise",INDEX('Gate events'!$G$4:$G$553,MATCH(B295,'Gate events'!$A$4:$A$553,0))&lt;&gt;"Resume"),"Parent outcome is not Progress with condition / Re-authorise / Resume",IF(AND(ISNUMBER(INDEX('Gate events'!$F$4:$F$553,MATCH(B295,'Gate events'!$A$4:$A$553,0))),F295&lt;INDEX('Gate events'!$F$4:$F$553,MATCH(B295,'Gate events'!$A$4:$A$553,0))),"Due date before parent event date",IF(AND(OR(G295="Closed-verified",G295="Waived",G295="Accepted-open"),OR(H295="",I295="")),"Closure evidence missing",IF(AND(H295&lt;&gt;"",NOT(ISNUMBER(H295))),"Closed / waived on is not a date",IF(AND(ISNUMBER(H295),ISNUMBER(INDEX('Gate events'!$F$4:$F$553,MATCH(B295,'Gate events'!$A$4:$A$553,0))),H295&lt;INDEX('Gate events'!$F$4:$F$553,MATCH(B295,'Gate events'!$A$4:$A$553,0))),"Closure date before parent event date",IF(AND(G295="Closed-verified",M295=""),"Verifier / date missing",IF(AND(N295="Yes",G295="Closed-verified",O295=""),"Monitoring condition needs AIG-OPS-02 evidence ref",IF(AND(G295="Open",F295&lt;TODAY()),"OVERDUE (derived) — review",IF(G295="Unknown","State Unknown: owner to confirm","Check against source")))))))))))))))))))</f>
        <v/>
      </c>
      <c r="K295" s="37" t="n"/>
      <c r="L295" s="37" t="n"/>
      <c r="M295" s="40" t="n"/>
      <c r="N295" s="40" t="n"/>
      <c r="O295" s="40" t="n"/>
    </row>
    <row r="296">
      <c r="A296" s="38" t="n"/>
      <c r="B296" s="38" t="n"/>
      <c r="C296" s="38" t="n"/>
      <c r="D296" s="38" t="n"/>
      <c r="E296" s="38" t="n"/>
      <c r="F296" s="39" t="n"/>
      <c r="G296" s="38" t="n"/>
      <c r="H296" s="39" t="n"/>
      <c r="I296" s="38" t="n"/>
      <c r="J296" s="22">
        <f>IF(COUNTA(A296:I296,K296:O296)=0,"",IF(OR(A296="",B296="",C296=""),"ID / parent missing",IF(COUNTIF($A$4:$A$553,A296)&gt;1,"Duplicate condition ID",IF(COUNTIF('Gate events'!$A$4:$A$553,B296)=0,"Event ID not found",IF(INDEX('Gate events'!$B$4:$B$553,MATCH(B296,'Gate events'!$A$4:$A$553,0))&lt;&gt;C296,"AIR-ID differs from event",IF(IF(INDEX('Gate events'!$P$4:$P$553,MATCH(B296,'Gate events'!$A$4:$A$553,0))="UC-ID specific",IF(OR(L296&lt;&gt;"UC-ID specific",K296=""),"Condition UC-ID required",IF(ISNUMBER(SEARCH(","&amp;SUBSTITUTE(K296," ","")&amp;",",","&amp;SUBSTITUTE(INDEX('Gate events'!$O$4:$O$553,MATCH(B296,'Gate events'!$A$4:$A$553,0))," ","")&amp;",")),"","UC-ID differs from decision")),IF(INDEX('Gate events'!$P$4:$P$553,MATCH(B296,'Gate events'!$A$4:$A$553,0))="Shared system baseline",IF(OR(L296&lt;&gt;"Shared system baseline",K296&lt;&gt;""),"Condition scope differs from decision",""),"Parent decision scope missing"))&lt;&gt;"",IF(INDEX('Gate events'!$P$4:$P$553,MATCH(B296,'Gate events'!$A$4:$A$553,0))="UC-ID specific",IF(OR(L296&lt;&gt;"UC-ID specific",K296=""),"Condition UC-ID required",IF(ISNUMBER(SEARCH(","&amp;SUBSTITUTE(K296," ","")&amp;",",","&amp;SUBSTITUTE(INDEX('Gate events'!$O$4:$O$553,MATCH(B296,'Gate events'!$A$4:$A$553,0))," ","")&amp;",")),"","UC-ID differs from decision")),IF(INDEX('Gate events'!$P$4:$P$553,MATCH(B296,'Gate events'!$A$4:$A$553,0))="Shared system baseline",IF(OR(L296&lt;&gt;"Shared system baseline",K296&lt;&gt;""),"Condition scope differs from decision",""),"Parent decision scope missing")),IF(OR(D296="",E296="",F296="",G296=""),"Condition, owner, due date or state missing",IF(NOT(ISNUMBER(F296)),"Due date is not a date",IF(OR(G296="Overdue",G296="Superseded"),"Legacy state — owner review (use the shared five states)",IF(INDEX('Gate events'!$E$4:$E$553,MATCH(B296,'Gate events'!$A$4:$A$553,0))&lt;&gt;"Decision","Parent event is not a Decision",IF(AND(INDEX('Gate events'!$G$4:$G$553,MATCH(B296,'Gate events'!$A$4:$A$553,0))&lt;&gt;"Progress with condition",INDEX('Gate events'!$G$4:$G$553,MATCH(B296,'Gate events'!$A$4:$A$553,0))&lt;&gt;"Re-authorise",INDEX('Gate events'!$G$4:$G$553,MATCH(B296,'Gate events'!$A$4:$A$553,0))&lt;&gt;"Resume"),"Parent outcome is not Progress with condition / Re-authorise / Resume",IF(AND(ISNUMBER(INDEX('Gate events'!$F$4:$F$553,MATCH(B296,'Gate events'!$A$4:$A$553,0))),F296&lt;INDEX('Gate events'!$F$4:$F$553,MATCH(B296,'Gate events'!$A$4:$A$553,0))),"Due date before parent event date",IF(AND(OR(G296="Closed-verified",G296="Waived",G296="Accepted-open"),OR(H296="",I296="")),"Closure evidence missing",IF(AND(H296&lt;&gt;"",NOT(ISNUMBER(H296))),"Closed / waived on is not a date",IF(AND(ISNUMBER(H296),ISNUMBER(INDEX('Gate events'!$F$4:$F$553,MATCH(B296,'Gate events'!$A$4:$A$553,0))),H296&lt;INDEX('Gate events'!$F$4:$F$553,MATCH(B296,'Gate events'!$A$4:$A$553,0))),"Closure date before parent event date",IF(AND(G296="Closed-verified",M296=""),"Verifier / date missing",IF(AND(N296="Yes",G296="Closed-verified",O296=""),"Monitoring condition needs AIG-OPS-02 evidence ref",IF(AND(G296="Open",F296&lt;TODAY()),"OVERDUE (derived) — review",IF(G296="Unknown","State Unknown: owner to confirm","Check against source")))))))))))))))))))</f>
        <v/>
      </c>
      <c r="K296" s="37" t="n"/>
      <c r="L296" s="37" t="n"/>
      <c r="M296" s="38" t="n"/>
      <c r="N296" s="38" t="n"/>
      <c r="O296" s="38" t="n"/>
    </row>
    <row r="297">
      <c r="A297" s="40" t="n"/>
      <c r="B297" s="40" t="n"/>
      <c r="C297" s="40" t="n"/>
      <c r="D297" s="40" t="n"/>
      <c r="E297" s="40" t="n"/>
      <c r="F297" s="41" t="n"/>
      <c r="G297" s="40" t="n"/>
      <c r="H297" s="41" t="n"/>
      <c r="I297" s="40" t="n"/>
      <c r="J297" s="24">
        <f>IF(COUNTA(A297:I297,K297:O297)=0,"",IF(OR(A297="",B297="",C297=""),"ID / parent missing",IF(COUNTIF($A$4:$A$553,A297)&gt;1,"Duplicate condition ID",IF(COUNTIF('Gate events'!$A$4:$A$553,B297)=0,"Event ID not found",IF(INDEX('Gate events'!$B$4:$B$553,MATCH(B297,'Gate events'!$A$4:$A$553,0))&lt;&gt;C297,"AIR-ID differs from event",IF(IF(INDEX('Gate events'!$P$4:$P$553,MATCH(B297,'Gate events'!$A$4:$A$553,0))="UC-ID specific",IF(OR(L297&lt;&gt;"UC-ID specific",K297=""),"Condition UC-ID required",IF(ISNUMBER(SEARCH(","&amp;SUBSTITUTE(K297," ","")&amp;",",","&amp;SUBSTITUTE(INDEX('Gate events'!$O$4:$O$553,MATCH(B297,'Gate events'!$A$4:$A$553,0))," ","")&amp;",")),"","UC-ID differs from decision")),IF(INDEX('Gate events'!$P$4:$P$553,MATCH(B297,'Gate events'!$A$4:$A$553,0))="Shared system baseline",IF(OR(L297&lt;&gt;"Shared system baseline",K297&lt;&gt;""),"Condition scope differs from decision",""),"Parent decision scope missing"))&lt;&gt;"",IF(INDEX('Gate events'!$P$4:$P$553,MATCH(B297,'Gate events'!$A$4:$A$553,0))="UC-ID specific",IF(OR(L297&lt;&gt;"UC-ID specific",K297=""),"Condition UC-ID required",IF(ISNUMBER(SEARCH(","&amp;SUBSTITUTE(K297," ","")&amp;",",","&amp;SUBSTITUTE(INDEX('Gate events'!$O$4:$O$553,MATCH(B297,'Gate events'!$A$4:$A$553,0))," ","")&amp;",")),"","UC-ID differs from decision")),IF(INDEX('Gate events'!$P$4:$P$553,MATCH(B297,'Gate events'!$A$4:$A$553,0))="Shared system baseline",IF(OR(L297&lt;&gt;"Shared system baseline",K297&lt;&gt;""),"Condition scope differs from decision",""),"Parent decision scope missing")),IF(OR(D297="",E297="",F297="",G297=""),"Condition, owner, due date or state missing",IF(NOT(ISNUMBER(F297)),"Due date is not a date",IF(OR(G297="Overdue",G297="Superseded"),"Legacy state — owner review (use the shared five states)",IF(INDEX('Gate events'!$E$4:$E$553,MATCH(B297,'Gate events'!$A$4:$A$553,0))&lt;&gt;"Decision","Parent event is not a Decision",IF(AND(INDEX('Gate events'!$G$4:$G$553,MATCH(B297,'Gate events'!$A$4:$A$553,0))&lt;&gt;"Progress with condition",INDEX('Gate events'!$G$4:$G$553,MATCH(B297,'Gate events'!$A$4:$A$553,0))&lt;&gt;"Re-authorise",INDEX('Gate events'!$G$4:$G$553,MATCH(B297,'Gate events'!$A$4:$A$553,0))&lt;&gt;"Resume"),"Parent outcome is not Progress with condition / Re-authorise / Resume",IF(AND(ISNUMBER(INDEX('Gate events'!$F$4:$F$553,MATCH(B297,'Gate events'!$A$4:$A$553,0))),F297&lt;INDEX('Gate events'!$F$4:$F$553,MATCH(B297,'Gate events'!$A$4:$A$553,0))),"Due date before parent event date",IF(AND(OR(G297="Closed-verified",G297="Waived",G297="Accepted-open"),OR(H297="",I297="")),"Closure evidence missing",IF(AND(H297&lt;&gt;"",NOT(ISNUMBER(H297))),"Closed / waived on is not a date",IF(AND(ISNUMBER(H297),ISNUMBER(INDEX('Gate events'!$F$4:$F$553,MATCH(B297,'Gate events'!$A$4:$A$553,0))),H297&lt;INDEX('Gate events'!$F$4:$F$553,MATCH(B297,'Gate events'!$A$4:$A$553,0))),"Closure date before parent event date",IF(AND(G297="Closed-verified",M297=""),"Verifier / date missing",IF(AND(N297="Yes",G297="Closed-verified",O297=""),"Monitoring condition needs AIG-OPS-02 evidence ref",IF(AND(G297="Open",F297&lt;TODAY()),"OVERDUE (derived) — review",IF(G297="Unknown","State Unknown: owner to confirm","Check against source")))))))))))))))))))</f>
        <v/>
      </c>
      <c r="K297" s="37" t="n"/>
      <c r="L297" s="37" t="n"/>
      <c r="M297" s="40" t="n"/>
      <c r="N297" s="40" t="n"/>
      <c r="O297" s="40" t="n"/>
    </row>
    <row r="298">
      <c r="A298" s="38" t="n"/>
      <c r="B298" s="38" t="n"/>
      <c r="C298" s="38" t="n"/>
      <c r="D298" s="38" t="n"/>
      <c r="E298" s="38" t="n"/>
      <c r="F298" s="39" t="n"/>
      <c r="G298" s="38" t="n"/>
      <c r="H298" s="39" t="n"/>
      <c r="I298" s="38" t="n"/>
      <c r="J298" s="22">
        <f>IF(COUNTA(A298:I298,K298:O298)=0,"",IF(OR(A298="",B298="",C298=""),"ID / parent missing",IF(COUNTIF($A$4:$A$553,A298)&gt;1,"Duplicate condition ID",IF(COUNTIF('Gate events'!$A$4:$A$553,B298)=0,"Event ID not found",IF(INDEX('Gate events'!$B$4:$B$553,MATCH(B298,'Gate events'!$A$4:$A$553,0))&lt;&gt;C298,"AIR-ID differs from event",IF(IF(INDEX('Gate events'!$P$4:$P$553,MATCH(B298,'Gate events'!$A$4:$A$553,0))="UC-ID specific",IF(OR(L298&lt;&gt;"UC-ID specific",K298=""),"Condition UC-ID required",IF(ISNUMBER(SEARCH(","&amp;SUBSTITUTE(K298," ","")&amp;",",","&amp;SUBSTITUTE(INDEX('Gate events'!$O$4:$O$553,MATCH(B298,'Gate events'!$A$4:$A$553,0))," ","")&amp;",")),"","UC-ID differs from decision")),IF(INDEX('Gate events'!$P$4:$P$553,MATCH(B298,'Gate events'!$A$4:$A$553,0))="Shared system baseline",IF(OR(L298&lt;&gt;"Shared system baseline",K298&lt;&gt;""),"Condition scope differs from decision",""),"Parent decision scope missing"))&lt;&gt;"",IF(INDEX('Gate events'!$P$4:$P$553,MATCH(B298,'Gate events'!$A$4:$A$553,0))="UC-ID specific",IF(OR(L298&lt;&gt;"UC-ID specific",K298=""),"Condition UC-ID required",IF(ISNUMBER(SEARCH(","&amp;SUBSTITUTE(K298," ","")&amp;",",","&amp;SUBSTITUTE(INDEX('Gate events'!$O$4:$O$553,MATCH(B298,'Gate events'!$A$4:$A$553,0))," ","")&amp;",")),"","UC-ID differs from decision")),IF(INDEX('Gate events'!$P$4:$P$553,MATCH(B298,'Gate events'!$A$4:$A$553,0))="Shared system baseline",IF(OR(L298&lt;&gt;"Shared system baseline",K298&lt;&gt;""),"Condition scope differs from decision",""),"Parent decision scope missing")),IF(OR(D298="",E298="",F298="",G298=""),"Condition, owner, due date or state missing",IF(NOT(ISNUMBER(F298)),"Due date is not a date",IF(OR(G298="Overdue",G298="Superseded"),"Legacy state — owner review (use the shared five states)",IF(INDEX('Gate events'!$E$4:$E$553,MATCH(B298,'Gate events'!$A$4:$A$553,0))&lt;&gt;"Decision","Parent event is not a Decision",IF(AND(INDEX('Gate events'!$G$4:$G$553,MATCH(B298,'Gate events'!$A$4:$A$553,0))&lt;&gt;"Progress with condition",INDEX('Gate events'!$G$4:$G$553,MATCH(B298,'Gate events'!$A$4:$A$553,0))&lt;&gt;"Re-authorise",INDEX('Gate events'!$G$4:$G$553,MATCH(B298,'Gate events'!$A$4:$A$553,0))&lt;&gt;"Resume"),"Parent outcome is not Progress with condition / Re-authorise / Resume",IF(AND(ISNUMBER(INDEX('Gate events'!$F$4:$F$553,MATCH(B298,'Gate events'!$A$4:$A$553,0))),F298&lt;INDEX('Gate events'!$F$4:$F$553,MATCH(B298,'Gate events'!$A$4:$A$553,0))),"Due date before parent event date",IF(AND(OR(G298="Closed-verified",G298="Waived",G298="Accepted-open"),OR(H298="",I298="")),"Closure evidence missing",IF(AND(H298&lt;&gt;"",NOT(ISNUMBER(H298))),"Closed / waived on is not a date",IF(AND(ISNUMBER(H298),ISNUMBER(INDEX('Gate events'!$F$4:$F$553,MATCH(B298,'Gate events'!$A$4:$A$553,0))),H298&lt;INDEX('Gate events'!$F$4:$F$553,MATCH(B298,'Gate events'!$A$4:$A$553,0))),"Closure date before parent event date",IF(AND(G298="Closed-verified",M298=""),"Verifier / date missing",IF(AND(N298="Yes",G298="Closed-verified",O298=""),"Monitoring condition needs AIG-OPS-02 evidence ref",IF(AND(G298="Open",F298&lt;TODAY()),"OVERDUE (derived) — review",IF(G298="Unknown","State Unknown: owner to confirm","Check against source")))))))))))))))))))</f>
        <v/>
      </c>
      <c r="K298" s="37" t="n"/>
      <c r="L298" s="37" t="n"/>
      <c r="M298" s="38" t="n"/>
      <c r="N298" s="38" t="n"/>
      <c r="O298" s="38" t="n"/>
    </row>
    <row r="299">
      <c r="A299" s="40" t="n"/>
      <c r="B299" s="40" t="n"/>
      <c r="C299" s="40" t="n"/>
      <c r="D299" s="40" t="n"/>
      <c r="E299" s="40" t="n"/>
      <c r="F299" s="41" t="n"/>
      <c r="G299" s="40" t="n"/>
      <c r="H299" s="41" t="n"/>
      <c r="I299" s="40" t="n"/>
      <c r="J299" s="24">
        <f>IF(COUNTA(A299:I299,K299:O299)=0,"",IF(OR(A299="",B299="",C299=""),"ID / parent missing",IF(COUNTIF($A$4:$A$553,A299)&gt;1,"Duplicate condition ID",IF(COUNTIF('Gate events'!$A$4:$A$553,B299)=0,"Event ID not found",IF(INDEX('Gate events'!$B$4:$B$553,MATCH(B299,'Gate events'!$A$4:$A$553,0))&lt;&gt;C299,"AIR-ID differs from event",IF(IF(INDEX('Gate events'!$P$4:$P$553,MATCH(B299,'Gate events'!$A$4:$A$553,0))="UC-ID specific",IF(OR(L299&lt;&gt;"UC-ID specific",K299=""),"Condition UC-ID required",IF(ISNUMBER(SEARCH(","&amp;SUBSTITUTE(K299," ","")&amp;",",","&amp;SUBSTITUTE(INDEX('Gate events'!$O$4:$O$553,MATCH(B299,'Gate events'!$A$4:$A$553,0))," ","")&amp;",")),"","UC-ID differs from decision")),IF(INDEX('Gate events'!$P$4:$P$553,MATCH(B299,'Gate events'!$A$4:$A$553,0))="Shared system baseline",IF(OR(L299&lt;&gt;"Shared system baseline",K299&lt;&gt;""),"Condition scope differs from decision",""),"Parent decision scope missing"))&lt;&gt;"",IF(INDEX('Gate events'!$P$4:$P$553,MATCH(B299,'Gate events'!$A$4:$A$553,0))="UC-ID specific",IF(OR(L299&lt;&gt;"UC-ID specific",K299=""),"Condition UC-ID required",IF(ISNUMBER(SEARCH(","&amp;SUBSTITUTE(K299," ","")&amp;",",","&amp;SUBSTITUTE(INDEX('Gate events'!$O$4:$O$553,MATCH(B299,'Gate events'!$A$4:$A$553,0))," ","")&amp;",")),"","UC-ID differs from decision")),IF(INDEX('Gate events'!$P$4:$P$553,MATCH(B299,'Gate events'!$A$4:$A$553,0))="Shared system baseline",IF(OR(L299&lt;&gt;"Shared system baseline",K299&lt;&gt;""),"Condition scope differs from decision",""),"Parent decision scope missing")),IF(OR(D299="",E299="",F299="",G299=""),"Condition, owner, due date or state missing",IF(NOT(ISNUMBER(F299)),"Due date is not a date",IF(OR(G299="Overdue",G299="Superseded"),"Legacy state — owner review (use the shared five states)",IF(INDEX('Gate events'!$E$4:$E$553,MATCH(B299,'Gate events'!$A$4:$A$553,0))&lt;&gt;"Decision","Parent event is not a Decision",IF(AND(INDEX('Gate events'!$G$4:$G$553,MATCH(B299,'Gate events'!$A$4:$A$553,0))&lt;&gt;"Progress with condition",INDEX('Gate events'!$G$4:$G$553,MATCH(B299,'Gate events'!$A$4:$A$553,0))&lt;&gt;"Re-authorise",INDEX('Gate events'!$G$4:$G$553,MATCH(B299,'Gate events'!$A$4:$A$553,0))&lt;&gt;"Resume"),"Parent outcome is not Progress with condition / Re-authorise / Resume",IF(AND(ISNUMBER(INDEX('Gate events'!$F$4:$F$553,MATCH(B299,'Gate events'!$A$4:$A$553,0))),F299&lt;INDEX('Gate events'!$F$4:$F$553,MATCH(B299,'Gate events'!$A$4:$A$553,0))),"Due date before parent event date",IF(AND(OR(G299="Closed-verified",G299="Waived",G299="Accepted-open"),OR(H299="",I299="")),"Closure evidence missing",IF(AND(H299&lt;&gt;"",NOT(ISNUMBER(H299))),"Closed / waived on is not a date",IF(AND(ISNUMBER(H299),ISNUMBER(INDEX('Gate events'!$F$4:$F$553,MATCH(B299,'Gate events'!$A$4:$A$553,0))),H299&lt;INDEX('Gate events'!$F$4:$F$553,MATCH(B299,'Gate events'!$A$4:$A$553,0))),"Closure date before parent event date",IF(AND(G299="Closed-verified",M299=""),"Verifier / date missing",IF(AND(N299="Yes",G299="Closed-verified",O299=""),"Monitoring condition needs AIG-OPS-02 evidence ref",IF(AND(G299="Open",F299&lt;TODAY()),"OVERDUE (derived) — review",IF(G299="Unknown","State Unknown: owner to confirm","Check against source")))))))))))))))))))</f>
        <v/>
      </c>
      <c r="K299" s="37" t="n"/>
      <c r="L299" s="37" t="n"/>
      <c r="M299" s="40" t="n"/>
      <c r="N299" s="40" t="n"/>
      <c r="O299" s="40" t="n"/>
    </row>
    <row r="300">
      <c r="A300" s="38" t="n"/>
      <c r="B300" s="38" t="n"/>
      <c r="C300" s="38" t="n"/>
      <c r="D300" s="38" t="n"/>
      <c r="E300" s="38" t="n"/>
      <c r="F300" s="39" t="n"/>
      <c r="G300" s="38" t="n"/>
      <c r="H300" s="39" t="n"/>
      <c r="I300" s="38" t="n"/>
      <c r="J300" s="22">
        <f>IF(COUNTA(A300:I300,K300:O300)=0,"",IF(OR(A300="",B300="",C300=""),"ID / parent missing",IF(COUNTIF($A$4:$A$553,A300)&gt;1,"Duplicate condition ID",IF(COUNTIF('Gate events'!$A$4:$A$553,B300)=0,"Event ID not found",IF(INDEX('Gate events'!$B$4:$B$553,MATCH(B300,'Gate events'!$A$4:$A$553,0))&lt;&gt;C300,"AIR-ID differs from event",IF(IF(INDEX('Gate events'!$P$4:$P$553,MATCH(B300,'Gate events'!$A$4:$A$553,0))="UC-ID specific",IF(OR(L300&lt;&gt;"UC-ID specific",K300=""),"Condition UC-ID required",IF(ISNUMBER(SEARCH(","&amp;SUBSTITUTE(K300," ","")&amp;",",","&amp;SUBSTITUTE(INDEX('Gate events'!$O$4:$O$553,MATCH(B300,'Gate events'!$A$4:$A$553,0))," ","")&amp;",")),"","UC-ID differs from decision")),IF(INDEX('Gate events'!$P$4:$P$553,MATCH(B300,'Gate events'!$A$4:$A$553,0))="Shared system baseline",IF(OR(L300&lt;&gt;"Shared system baseline",K300&lt;&gt;""),"Condition scope differs from decision",""),"Parent decision scope missing"))&lt;&gt;"",IF(INDEX('Gate events'!$P$4:$P$553,MATCH(B300,'Gate events'!$A$4:$A$553,0))="UC-ID specific",IF(OR(L300&lt;&gt;"UC-ID specific",K300=""),"Condition UC-ID required",IF(ISNUMBER(SEARCH(","&amp;SUBSTITUTE(K300," ","")&amp;",",","&amp;SUBSTITUTE(INDEX('Gate events'!$O$4:$O$553,MATCH(B300,'Gate events'!$A$4:$A$553,0))," ","")&amp;",")),"","UC-ID differs from decision")),IF(INDEX('Gate events'!$P$4:$P$553,MATCH(B300,'Gate events'!$A$4:$A$553,0))="Shared system baseline",IF(OR(L300&lt;&gt;"Shared system baseline",K300&lt;&gt;""),"Condition scope differs from decision",""),"Parent decision scope missing")),IF(OR(D300="",E300="",F300="",G300=""),"Condition, owner, due date or state missing",IF(NOT(ISNUMBER(F300)),"Due date is not a date",IF(OR(G300="Overdue",G300="Superseded"),"Legacy state — owner review (use the shared five states)",IF(INDEX('Gate events'!$E$4:$E$553,MATCH(B300,'Gate events'!$A$4:$A$553,0))&lt;&gt;"Decision","Parent event is not a Decision",IF(AND(INDEX('Gate events'!$G$4:$G$553,MATCH(B300,'Gate events'!$A$4:$A$553,0))&lt;&gt;"Progress with condition",INDEX('Gate events'!$G$4:$G$553,MATCH(B300,'Gate events'!$A$4:$A$553,0))&lt;&gt;"Re-authorise",INDEX('Gate events'!$G$4:$G$553,MATCH(B300,'Gate events'!$A$4:$A$553,0))&lt;&gt;"Resume"),"Parent outcome is not Progress with condition / Re-authorise / Resume",IF(AND(ISNUMBER(INDEX('Gate events'!$F$4:$F$553,MATCH(B300,'Gate events'!$A$4:$A$553,0))),F300&lt;INDEX('Gate events'!$F$4:$F$553,MATCH(B300,'Gate events'!$A$4:$A$553,0))),"Due date before parent event date",IF(AND(OR(G300="Closed-verified",G300="Waived",G300="Accepted-open"),OR(H300="",I300="")),"Closure evidence missing",IF(AND(H300&lt;&gt;"",NOT(ISNUMBER(H300))),"Closed / waived on is not a date",IF(AND(ISNUMBER(H300),ISNUMBER(INDEX('Gate events'!$F$4:$F$553,MATCH(B300,'Gate events'!$A$4:$A$553,0))),H300&lt;INDEX('Gate events'!$F$4:$F$553,MATCH(B300,'Gate events'!$A$4:$A$553,0))),"Closure date before parent event date",IF(AND(G300="Closed-verified",M300=""),"Verifier / date missing",IF(AND(N300="Yes",G300="Closed-verified",O300=""),"Monitoring condition needs AIG-OPS-02 evidence ref",IF(AND(G300="Open",F300&lt;TODAY()),"OVERDUE (derived) — review",IF(G300="Unknown","State Unknown: owner to confirm","Check against source")))))))))))))))))))</f>
        <v/>
      </c>
      <c r="K300" s="37" t="n"/>
      <c r="L300" s="37" t="n"/>
      <c r="M300" s="38" t="n"/>
      <c r="N300" s="38" t="n"/>
      <c r="O300" s="38" t="n"/>
    </row>
    <row r="301">
      <c r="A301" s="40" t="n"/>
      <c r="B301" s="40" t="n"/>
      <c r="C301" s="40" t="n"/>
      <c r="D301" s="40" t="n"/>
      <c r="E301" s="40" t="n"/>
      <c r="F301" s="41" t="n"/>
      <c r="G301" s="40" t="n"/>
      <c r="H301" s="41" t="n"/>
      <c r="I301" s="40" t="n"/>
      <c r="J301" s="24">
        <f>IF(COUNTA(A301:I301,K301:O301)=0,"",IF(OR(A301="",B301="",C301=""),"ID / parent missing",IF(COUNTIF($A$4:$A$553,A301)&gt;1,"Duplicate condition ID",IF(COUNTIF('Gate events'!$A$4:$A$553,B301)=0,"Event ID not found",IF(INDEX('Gate events'!$B$4:$B$553,MATCH(B301,'Gate events'!$A$4:$A$553,0))&lt;&gt;C301,"AIR-ID differs from event",IF(IF(INDEX('Gate events'!$P$4:$P$553,MATCH(B301,'Gate events'!$A$4:$A$553,0))="UC-ID specific",IF(OR(L301&lt;&gt;"UC-ID specific",K301=""),"Condition UC-ID required",IF(ISNUMBER(SEARCH(","&amp;SUBSTITUTE(K301," ","")&amp;",",","&amp;SUBSTITUTE(INDEX('Gate events'!$O$4:$O$553,MATCH(B301,'Gate events'!$A$4:$A$553,0))," ","")&amp;",")),"","UC-ID differs from decision")),IF(INDEX('Gate events'!$P$4:$P$553,MATCH(B301,'Gate events'!$A$4:$A$553,0))="Shared system baseline",IF(OR(L301&lt;&gt;"Shared system baseline",K301&lt;&gt;""),"Condition scope differs from decision",""),"Parent decision scope missing"))&lt;&gt;"",IF(INDEX('Gate events'!$P$4:$P$553,MATCH(B301,'Gate events'!$A$4:$A$553,0))="UC-ID specific",IF(OR(L301&lt;&gt;"UC-ID specific",K301=""),"Condition UC-ID required",IF(ISNUMBER(SEARCH(","&amp;SUBSTITUTE(K301," ","")&amp;",",","&amp;SUBSTITUTE(INDEX('Gate events'!$O$4:$O$553,MATCH(B301,'Gate events'!$A$4:$A$553,0))," ","")&amp;",")),"","UC-ID differs from decision")),IF(INDEX('Gate events'!$P$4:$P$553,MATCH(B301,'Gate events'!$A$4:$A$553,0))="Shared system baseline",IF(OR(L301&lt;&gt;"Shared system baseline",K301&lt;&gt;""),"Condition scope differs from decision",""),"Parent decision scope missing")),IF(OR(D301="",E301="",F301="",G301=""),"Condition, owner, due date or state missing",IF(NOT(ISNUMBER(F301)),"Due date is not a date",IF(OR(G301="Overdue",G301="Superseded"),"Legacy state — owner review (use the shared five states)",IF(INDEX('Gate events'!$E$4:$E$553,MATCH(B301,'Gate events'!$A$4:$A$553,0))&lt;&gt;"Decision","Parent event is not a Decision",IF(AND(INDEX('Gate events'!$G$4:$G$553,MATCH(B301,'Gate events'!$A$4:$A$553,0))&lt;&gt;"Progress with condition",INDEX('Gate events'!$G$4:$G$553,MATCH(B301,'Gate events'!$A$4:$A$553,0))&lt;&gt;"Re-authorise",INDEX('Gate events'!$G$4:$G$553,MATCH(B301,'Gate events'!$A$4:$A$553,0))&lt;&gt;"Resume"),"Parent outcome is not Progress with condition / Re-authorise / Resume",IF(AND(ISNUMBER(INDEX('Gate events'!$F$4:$F$553,MATCH(B301,'Gate events'!$A$4:$A$553,0))),F301&lt;INDEX('Gate events'!$F$4:$F$553,MATCH(B301,'Gate events'!$A$4:$A$553,0))),"Due date before parent event date",IF(AND(OR(G301="Closed-verified",G301="Waived",G301="Accepted-open"),OR(H301="",I301="")),"Closure evidence missing",IF(AND(H301&lt;&gt;"",NOT(ISNUMBER(H301))),"Closed / waived on is not a date",IF(AND(ISNUMBER(H301),ISNUMBER(INDEX('Gate events'!$F$4:$F$553,MATCH(B301,'Gate events'!$A$4:$A$553,0))),H301&lt;INDEX('Gate events'!$F$4:$F$553,MATCH(B301,'Gate events'!$A$4:$A$553,0))),"Closure date before parent event date",IF(AND(G301="Closed-verified",M301=""),"Verifier / date missing",IF(AND(N301="Yes",G301="Closed-verified",O301=""),"Monitoring condition needs AIG-OPS-02 evidence ref",IF(AND(G301="Open",F301&lt;TODAY()),"OVERDUE (derived) — review",IF(G301="Unknown","State Unknown: owner to confirm","Check against source")))))))))))))))))))</f>
        <v/>
      </c>
      <c r="K301" s="37" t="n"/>
      <c r="L301" s="37" t="n"/>
      <c r="M301" s="40" t="n"/>
      <c r="N301" s="40" t="n"/>
      <c r="O301" s="40" t="n"/>
    </row>
    <row r="302">
      <c r="A302" s="38" t="n"/>
      <c r="B302" s="38" t="n"/>
      <c r="C302" s="38" t="n"/>
      <c r="D302" s="38" t="n"/>
      <c r="E302" s="38" t="n"/>
      <c r="F302" s="39" t="n"/>
      <c r="G302" s="38" t="n"/>
      <c r="H302" s="39" t="n"/>
      <c r="I302" s="38" t="n"/>
      <c r="J302" s="22">
        <f>IF(COUNTA(A302:I302,K302:O302)=0,"",IF(OR(A302="",B302="",C302=""),"ID / parent missing",IF(COUNTIF($A$4:$A$553,A302)&gt;1,"Duplicate condition ID",IF(COUNTIF('Gate events'!$A$4:$A$553,B302)=0,"Event ID not found",IF(INDEX('Gate events'!$B$4:$B$553,MATCH(B302,'Gate events'!$A$4:$A$553,0))&lt;&gt;C302,"AIR-ID differs from event",IF(IF(INDEX('Gate events'!$P$4:$P$553,MATCH(B302,'Gate events'!$A$4:$A$553,0))="UC-ID specific",IF(OR(L302&lt;&gt;"UC-ID specific",K302=""),"Condition UC-ID required",IF(ISNUMBER(SEARCH(","&amp;SUBSTITUTE(K302," ","")&amp;",",","&amp;SUBSTITUTE(INDEX('Gate events'!$O$4:$O$553,MATCH(B302,'Gate events'!$A$4:$A$553,0))," ","")&amp;",")),"","UC-ID differs from decision")),IF(INDEX('Gate events'!$P$4:$P$553,MATCH(B302,'Gate events'!$A$4:$A$553,0))="Shared system baseline",IF(OR(L302&lt;&gt;"Shared system baseline",K302&lt;&gt;""),"Condition scope differs from decision",""),"Parent decision scope missing"))&lt;&gt;"",IF(INDEX('Gate events'!$P$4:$P$553,MATCH(B302,'Gate events'!$A$4:$A$553,0))="UC-ID specific",IF(OR(L302&lt;&gt;"UC-ID specific",K302=""),"Condition UC-ID required",IF(ISNUMBER(SEARCH(","&amp;SUBSTITUTE(K302," ","")&amp;",",","&amp;SUBSTITUTE(INDEX('Gate events'!$O$4:$O$553,MATCH(B302,'Gate events'!$A$4:$A$553,0))," ","")&amp;",")),"","UC-ID differs from decision")),IF(INDEX('Gate events'!$P$4:$P$553,MATCH(B302,'Gate events'!$A$4:$A$553,0))="Shared system baseline",IF(OR(L302&lt;&gt;"Shared system baseline",K302&lt;&gt;""),"Condition scope differs from decision",""),"Parent decision scope missing")),IF(OR(D302="",E302="",F302="",G302=""),"Condition, owner, due date or state missing",IF(NOT(ISNUMBER(F302)),"Due date is not a date",IF(OR(G302="Overdue",G302="Superseded"),"Legacy state — owner review (use the shared five states)",IF(INDEX('Gate events'!$E$4:$E$553,MATCH(B302,'Gate events'!$A$4:$A$553,0))&lt;&gt;"Decision","Parent event is not a Decision",IF(AND(INDEX('Gate events'!$G$4:$G$553,MATCH(B302,'Gate events'!$A$4:$A$553,0))&lt;&gt;"Progress with condition",INDEX('Gate events'!$G$4:$G$553,MATCH(B302,'Gate events'!$A$4:$A$553,0))&lt;&gt;"Re-authorise",INDEX('Gate events'!$G$4:$G$553,MATCH(B302,'Gate events'!$A$4:$A$553,0))&lt;&gt;"Resume"),"Parent outcome is not Progress with condition / Re-authorise / Resume",IF(AND(ISNUMBER(INDEX('Gate events'!$F$4:$F$553,MATCH(B302,'Gate events'!$A$4:$A$553,0))),F302&lt;INDEX('Gate events'!$F$4:$F$553,MATCH(B302,'Gate events'!$A$4:$A$553,0))),"Due date before parent event date",IF(AND(OR(G302="Closed-verified",G302="Waived",G302="Accepted-open"),OR(H302="",I302="")),"Closure evidence missing",IF(AND(H302&lt;&gt;"",NOT(ISNUMBER(H302))),"Closed / waived on is not a date",IF(AND(ISNUMBER(H302),ISNUMBER(INDEX('Gate events'!$F$4:$F$553,MATCH(B302,'Gate events'!$A$4:$A$553,0))),H302&lt;INDEX('Gate events'!$F$4:$F$553,MATCH(B302,'Gate events'!$A$4:$A$553,0))),"Closure date before parent event date",IF(AND(G302="Closed-verified",M302=""),"Verifier / date missing",IF(AND(N302="Yes",G302="Closed-verified",O302=""),"Monitoring condition needs AIG-OPS-02 evidence ref",IF(AND(G302="Open",F302&lt;TODAY()),"OVERDUE (derived) — review",IF(G302="Unknown","State Unknown: owner to confirm","Check against source")))))))))))))))))))</f>
        <v/>
      </c>
      <c r="K302" s="37" t="n"/>
      <c r="L302" s="37" t="n"/>
      <c r="M302" s="38" t="n"/>
      <c r="N302" s="38" t="n"/>
      <c r="O302" s="38" t="n"/>
    </row>
    <row r="303">
      <c r="A303" s="40" t="n"/>
      <c r="B303" s="40" t="n"/>
      <c r="C303" s="40" t="n"/>
      <c r="D303" s="40" t="n"/>
      <c r="E303" s="40" t="n"/>
      <c r="F303" s="41" t="n"/>
      <c r="G303" s="40" t="n"/>
      <c r="H303" s="41" t="n"/>
      <c r="I303" s="40" t="n"/>
      <c r="J303" s="24">
        <f>IF(COUNTA(A303:I303,K303:O303)=0,"",IF(OR(A303="",B303="",C303=""),"ID / parent missing",IF(COUNTIF($A$4:$A$553,A303)&gt;1,"Duplicate condition ID",IF(COUNTIF('Gate events'!$A$4:$A$553,B303)=0,"Event ID not found",IF(INDEX('Gate events'!$B$4:$B$553,MATCH(B303,'Gate events'!$A$4:$A$553,0))&lt;&gt;C303,"AIR-ID differs from event",IF(IF(INDEX('Gate events'!$P$4:$P$553,MATCH(B303,'Gate events'!$A$4:$A$553,0))="UC-ID specific",IF(OR(L303&lt;&gt;"UC-ID specific",K303=""),"Condition UC-ID required",IF(ISNUMBER(SEARCH(","&amp;SUBSTITUTE(K303," ","")&amp;",",","&amp;SUBSTITUTE(INDEX('Gate events'!$O$4:$O$553,MATCH(B303,'Gate events'!$A$4:$A$553,0))," ","")&amp;",")),"","UC-ID differs from decision")),IF(INDEX('Gate events'!$P$4:$P$553,MATCH(B303,'Gate events'!$A$4:$A$553,0))="Shared system baseline",IF(OR(L303&lt;&gt;"Shared system baseline",K303&lt;&gt;""),"Condition scope differs from decision",""),"Parent decision scope missing"))&lt;&gt;"",IF(INDEX('Gate events'!$P$4:$P$553,MATCH(B303,'Gate events'!$A$4:$A$553,0))="UC-ID specific",IF(OR(L303&lt;&gt;"UC-ID specific",K303=""),"Condition UC-ID required",IF(ISNUMBER(SEARCH(","&amp;SUBSTITUTE(K303," ","")&amp;",",","&amp;SUBSTITUTE(INDEX('Gate events'!$O$4:$O$553,MATCH(B303,'Gate events'!$A$4:$A$553,0))," ","")&amp;",")),"","UC-ID differs from decision")),IF(INDEX('Gate events'!$P$4:$P$553,MATCH(B303,'Gate events'!$A$4:$A$553,0))="Shared system baseline",IF(OR(L303&lt;&gt;"Shared system baseline",K303&lt;&gt;""),"Condition scope differs from decision",""),"Parent decision scope missing")),IF(OR(D303="",E303="",F303="",G303=""),"Condition, owner, due date or state missing",IF(NOT(ISNUMBER(F303)),"Due date is not a date",IF(OR(G303="Overdue",G303="Superseded"),"Legacy state — owner review (use the shared five states)",IF(INDEX('Gate events'!$E$4:$E$553,MATCH(B303,'Gate events'!$A$4:$A$553,0))&lt;&gt;"Decision","Parent event is not a Decision",IF(AND(INDEX('Gate events'!$G$4:$G$553,MATCH(B303,'Gate events'!$A$4:$A$553,0))&lt;&gt;"Progress with condition",INDEX('Gate events'!$G$4:$G$553,MATCH(B303,'Gate events'!$A$4:$A$553,0))&lt;&gt;"Re-authorise",INDEX('Gate events'!$G$4:$G$553,MATCH(B303,'Gate events'!$A$4:$A$553,0))&lt;&gt;"Resume"),"Parent outcome is not Progress with condition / Re-authorise / Resume",IF(AND(ISNUMBER(INDEX('Gate events'!$F$4:$F$553,MATCH(B303,'Gate events'!$A$4:$A$553,0))),F303&lt;INDEX('Gate events'!$F$4:$F$553,MATCH(B303,'Gate events'!$A$4:$A$553,0))),"Due date before parent event date",IF(AND(OR(G303="Closed-verified",G303="Waived",G303="Accepted-open"),OR(H303="",I303="")),"Closure evidence missing",IF(AND(H303&lt;&gt;"",NOT(ISNUMBER(H303))),"Closed / waived on is not a date",IF(AND(ISNUMBER(H303),ISNUMBER(INDEX('Gate events'!$F$4:$F$553,MATCH(B303,'Gate events'!$A$4:$A$553,0))),H303&lt;INDEX('Gate events'!$F$4:$F$553,MATCH(B303,'Gate events'!$A$4:$A$553,0))),"Closure date before parent event date",IF(AND(G303="Closed-verified",M303=""),"Verifier / date missing",IF(AND(N303="Yes",G303="Closed-verified",O303=""),"Monitoring condition needs AIG-OPS-02 evidence ref",IF(AND(G303="Open",F303&lt;TODAY()),"OVERDUE (derived) — review",IF(G303="Unknown","State Unknown: owner to confirm","Check against source")))))))))))))))))))</f>
        <v/>
      </c>
      <c r="K303" s="37" t="n"/>
      <c r="L303" s="37" t="n"/>
      <c r="M303" s="40" t="n"/>
      <c r="N303" s="40" t="n"/>
      <c r="O303" s="40" t="n"/>
    </row>
    <row r="304">
      <c r="A304" s="38" t="n"/>
      <c r="B304" s="38" t="n"/>
      <c r="C304" s="38" t="n"/>
      <c r="D304" s="38" t="n"/>
      <c r="E304" s="38" t="n"/>
      <c r="F304" s="39" t="n"/>
      <c r="G304" s="38" t="n"/>
      <c r="H304" s="39" t="n"/>
      <c r="I304" s="38" t="n"/>
      <c r="J304" s="22">
        <f>IF(COUNTA(A304:I304,K304:O304)=0,"",IF(OR(A304="",B304="",C304=""),"ID / parent missing",IF(COUNTIF($A$4:$A$553,A304)&gt;1,"Duplicate condition ID",IF(COUNTIF('Gate events'!$A$4:$A$553,B304)=0,"Event ID not found",IF(INDEX('Gate events'!$B$4:$B$553,MATCH(B304,'Gate events'!$A$4:$A$553,0))&lt;&gt;C304,"AIR-ID differs from event",IF(IF(INDEX('Gate events'!$P$4:$P$553,MATCH(B304,'Gate events'!$A$4:$A$553,0))="UC-ID specific",IF(OR(L304&lt;&gt;"UC-ID specific",K304=""),"Condition UC-ID required",IF(ISNUMBER(SEARCH(","&amp;SUBSTITUTE(K304," ","")&amp;",",","&amp;SUBSTITUTE(INDEX('Gate events'!$O$4:$O$553,MATCH(B304,'Gate events'!$A$4:$A$553,0))," ","")&amp;",")),"","UC-ID differs from decision")),IF(INDEX('Gate events'!$P$4:$P$553,MATCH(B304,'Gate events'!$A$4:$A$553,0))="Shared system baseline",IF(OR(L304&lt;&gt;"Shared system baseline",K304&lt;&gt;""),"Condition scope differs from decision",""),"Parent decision scope missing"))&lt;&gt;"",IF(INDEX('Gate events'!$P$4:$P$553,MATCH(B304,'Gate events'!$A$4:$A$553,0))="UC-ID specific",IF(OR(L304&lt;&gt;"UC-ID specific",K304=""),"Condition UC-ID required",IF(ISNUMBER(SEARCH(","&amp;SUBSTITUTE(K304," ","")&amp;",",","&amp;SUBSTITUTE(INDEX('Gate events'!$O$4:$O$553,MATCH(B304,'Gate events'!$A$4:$A$553,0))," ","")&amp;",")),"","UC-ID differs from decision")),IF(INDEX('Gate events'!$P$4:$P$553,MATCH(B304,'Gate events'!$A$4:$A$553,0))="Shared system baseline",IF(OR(L304&lt;&gt;"Shared system baseline",K304&lt;&gt;""),"Condition scope differs from decision",""),"Parent decision scope missing")),IF(OR(D304="",E304="",F304="",G304=""),"Condition, owner, due date or state missing",IF(NOT(ISNUMBER(F304)),"Due date is not a date",IF(OR(G304="Overdue",G304="Superseded"),"Legacy state — owner review (use the shared five states)",IF(INDEX('Gate events'!$E$4:$E$553,MATCH(B304,'Gate events'!$A$4:$A$553,0))&lt;&gt;"Decision","Parent event is not a Decision",IF(AND(INDEX('Gate events'!$G$4:$G$553,MATCH(B304,'Gate events'!$A$4:$A$553,0))&lt;&gt;"Progress with condition",INDEX('Gate events'!$G$4:$G$553,MATCH(B304,'Gate events'!$A$4:$A$553,0))&lt;&gt;"Re-authorise",INDEX('Gate events'!$G$4:$G$553,MATCH(B304,'Gate events'!$A$4:$A$553,0))&lt;&gt;"Resume"),"Parent outcome is not Progress with condition / Re-authorise / Resume",IF(AND(ISNUMBER(INDEX('Gate events'!$F$4:$F$553,MATCH(B304,'Gate events'!$A$4:$A$553,0))),F304&lt;INDEX('Gate events'!$F$4:$F$553,MATCH(B304,'Gate events'!$A$4:$A$553,0))),"Due date before parent event date",IF(AND(OR(G304="Closed-verified",G304="Waived",G304="Accepted-open"),OR(H304="",I304="")),"Closure evidence missing",IF(AND(H304&lt;&gt;"",NOT(ISNUMBER(H304))),"Closed / waived on is not a date",IF(AND(ISNUMBER(H304),ISNUMBER(INDEX('Gate events'!$F$4:$F$553,MATCH(B304,'Gate events'!$A$4:$A$553,0))),H304&lt;INDEX('Gate events'!$F$4:$F$553,MATCH(B304,'Gate events'!$A$4:$A$553,0))),"Closure date before parent event date",IF(AND(G304="Closed-verified",M304=""),"Verifier / date missing",IF(AND(N304="Yes",G304="Closed-verified",O304=""),"Monitoring condition needs AIG-OPS-02 evidence ref",IF(AND(G304="Open",F304&lt;TODAY()),"OVERDUE (derived) — review",IF(G304="Unknown","State Unknown: owner to confirm","Check against source")))))))))))))))))))</f>
        <v/>
      </c>
      <c r="K304" s="37" t="n"/>
      <c r="L304" s="37" t="n"/>
      <c r="M304" s="38" t="n"/>
      <c r="N304" s="38" t="n"/>
      <c r="O304" s="38" t="n"/>
    </row>
    <row r="305">
      <c r="A305" s="40" t="n"/>
      <c r="B305" s="40" t="n"/>
      <c r="C305" s="40" t="n"/>
      <c r="D305" s="40" t="n"/>
      <c r="E305" s="40" t="n"/>
      <c r="F305" s="41" t="n"/>
      <c r="G305" s="40" t="n"/>
      <c r="H305" s="41" t="n"/>
      <c r="I305" s="40" t="n"/>
      <c r="J305" s="24">
        <f>IF(COUNTA(A305:I305,K305:O305)=0,"",IF(OR(A305="",B305="",C305=""),"ID / parent missing",IF(COUNTIF($A$4:$A$553,A305)&gt;1,"Duplicate condition ID",IF(COUNTIF('Gate events'!$A$4:$A$553,B305)=0,"Event ID not found",IF(INDEX('Gate events'!$B$4:$B$553,MATCH(B305,'Gate events'!$A$4:$A$553,0))&lt;&gt;C305,"AIR-ID differs from event",IF(IF(INDEX('Gate events'!$P$4:$P$553,MATCH(B305,'Gate events'!$A$4:$A$553,0))="UC-ID specific",IF(OR(L305&lt;&gt;"UC-ID specific",K305=""),"Condition UC-ID required",IF(ISNUMBER(SEARCH(","&amp;SUBSTITUTE(K305," ","")&amp;",",","&amp;SUBSTITUTE(INDEX('Gate events'!$O$4:$O$553,MATCH(B305,'Gate events'!$A$4:$A$553,0))," ","")&amp;",")),"","UC-ID differs from decision")),IF(INDEX('Gate events'!$P$4:$P$553,MATCH(B305,'Gate events'!$A$4:$A$553,0))="Shared system baseline",IF(OR(L305&lt;&gt;"Shared system baseline",K305&lt;&gt;""),"Condition scope differs from decision",""),"Parent decision scope missing"))&lt;&gt;"",IF(INDEX('Gate events'!$P$4:$P$553,MATCH(B305,'Gate events'!$A$4:$A$553,0))="UC-ID specific",IF(OR(L305&lt;&gt;"UC-ID specific",K305=""),"Condition UC-ID required",IF(ISNUMBER(SEARCH(","&amp;SUBSTITUTE(K305," ","")&amp;",",","&amp;SUBSTITUTE(INDEX('Gate events'!$O$4:$O$553,MATCH(B305,'Gate events'!$A$4:$A$553,0))," ","")&amp;",")),"","UC-ID differs from decision")),IF(INDEX('Gate events'!$P$4:$P$553,MATCH(B305,'Gate events'!$A$4:$A$553,0))="Shared system baseline",IF(OR(L305&lt;&gt;"Shared system baseline",K305&lt;&gt;""),"Condition scope differs from decision",""),"Parent decision scope missing")),IF(OR(D305="",E305="",F305="",G305=""),"Condition, owner, due date or state missing",IF(NOT(ISNUMBER(F305)),"Due date is not a date",IF(OR(G305="Overdue",G305="Superseded"),"Legacy state — owner review (use the shared five states)",IF(INDEX('Gate events'!$E$4:$E$553,MATCH(B305,'Gate events'!$A$4:$A$553,0))&lt;&gt;"Decision","Parent event is not a Decision",IF(AND(INDEX('Gate events'!$G$4:$G$553,MATCH(B305,'Gate events'!$A$4:$A$553,0))&lt;&gt;"Progress with condition",INDEX('Gate events'!$G$4:$G$553,MATCH(B305,'Gate events'!$A$4:$A$553,0))&lt;&gt;"Re-authorise",INDEX('Gate events'!$G$4:$G$553,MATCH(B305,'Gate events'!$A$4:$A$553,0))&lt;&gt;"Resume"),"Parent outcome is not Progress with condition / Re-authorise / Resume",IF(AND(ISNUMBER(INDEX('Gate events'!$F$4:$F$553,MATCH(B305,'Gate events'!$A$4:$A$553,0))),F305&lt;INDEX('Gate events'!$F$4:$F$553,MATCH(B305,'Gate events'!$A$4:$A$553,0))),"Due date before parent event date",IF(AND(OR(G305="Closed-verified",G305="Waived",G305="Accepted-open"),OR(H305="",I305="")),"Closure evidence missing",IF(AND(H305&lt;&gt;"",NOT(ISNUMBER(H305))),"Closed / waived on is not a date",IF(AND(ISNUMBER(H305),ISNUMBER(INDEX('Gate events'!$F$4:$F$553,MATCH(B305,'Gate events'!$A$4:$A$553,0))),H305&lt;INDEX('Gate events'!$F$4:$F$553,MATCH(B305,'Gate events'!$A$4:$A$553,0))),"Closure date before parent event date",IF(AND(G305="Closed-verified",M305=""),"Verifier / date missing",IF(AND(N305="Yes",G305="Closed-verified",O305=""),"Monitoring condition needs AIG-OPS-02 evidence ref",IF(AND(G305="Open",F305&lt;TODAY()),"OVERDUE (derived) — review",IF(G305="Unknown","State Unknown: owner to confirm","Check against source")))))))))))))))))))</f>
        <v/>
      </c>
      <c r="K305" s="37" t="n"/>
      <c r="L305" s="37" t="n"/>
      <c r="M305" s="40" t="n"/>
      <c r="N305" s="40" t="n"/>
      <c r="O305" s="40" t="n"/>
    </row>
    <row r="306">
      <c r="A306" s="38" t="n"/>
      <c r="B306" s="38" t="n"/>
      <c r="C306" s="38" t="n"/>
      <c r="D306" s="38" t="n"/>
      <c r="E306" s="38" t="n"/>
      <c r="F306" s="39" t="n"/>
      <c r="G306" s="38" t="n"/>
      <c r="H306" s="39" t="n"/>
      <c r="I306" s="38" t="n"/>
      <c r="J306" s="22">
        <f>IF(COUNTA(A306:I306,K306:O306)=0,"",IF(OR(A306="",B306="",C306=""),"ID / parent missing",IF(COUNTIF($A$4:$A$553,A306)&gt;1,"Duplicate condition ID",IF(COUNTIF('Gate events'!$A$4:$A$553,B306)=0,"Event ID not found",IF(INDEX('Gate events'!$B$4:$B$553,MATCH(B306,'Gate events'!$A$4:$A$553,0))&lt;&gt;C306,"AIR-ID differs from event",IF(IF(INDEX('Gate events'!$P$4:$P$553,MATCH(B306,'Gate events'!$A$4:$A$553,0))="UC-ID specific",IF(OR(L306&lt;&gt;"UC-ID specific",K306=""),"Condition UC-ID required",IF(ISNUMBER(SEARCH(","&amp;SUBSTITUTE(K306," ","")&amp;",",","&amp;SUBSTITUTE(INDEX('Gate events'!$O$4:$O$553,MATCH(B306,'Gate events'!$A$4:$A$553,0))," ","")&amp;",")),"","UC-ID differs from decision")),IF(INDEX('Gate events'!$P$4:$P$553,MATCH(B306,'Gate events'!$A$4:$A$553,0))="Shared system baseline",IF(OR(L306&lt;&gt;"Shared system baseline",K306&lt;&gt;""),"Condition scope differs from decision",""),"Parent decision scope missing"))&lt;&gt;"",IF(INDEX('Gate events'!$P$4:$P$553,MATCH(B306,'Gate events'!$A$4:$A$553,0))="UC-ID specific",IF(OR(L306&lt;&gt;"UC-ID specific",K306=""),"Condition UC-ID required",IF(ISNUMBER(SEARCH(","&amp;SUBSTITUTE(K306," ","")&amp;",",","&amp;SUBSTITUTE(INDEX('Gate events'!$O$4:$O$553,MATCH(B306,'Gate events'!$A$4:$A$553,0))," ","")&amp;",")),"","UC-ID differs from decision")),IF(INDEX('Gate events'!$P$4:$P$553,MATCH(B306,'Gate events'!$A$4:$A$553,0))="Shared system baseline",IF(OR(L306&lt;&gt;"Shared system baseline",K306&lt;&gt;""),"Condition scope differs from decision",""),"Parent decision scope missing")),IF(OR(D306="",E306="",F306="",G306=""),"Condition, owner, due date or state missing",IF(NOT(ISNUMBER(F306)),"Due date is not a date",IF(OR(G306="Overdue",G306="Superseded"),"Legacy state — owner review (use the shared five states)",IF(INDEX('Gate events'!$E$4:$E$553,MATCH(B306,'Gate events'!$A$4:$A$553,0))&lt;&gt;"Decision","Parent event is not a Decision",IF(AND(INDEX('Gate events'!$G$4:$G$553,MATCH(B306,'Gate events'!$A$4:$A$553,0))&lt;&gt;"Progress with condition",INDEX('Gate events'!$G$4:$G$553,MATCH(B306,'Gate events'!$A$4:$A$553,0))&lt;&gt;"Re-authorise",INDEX('Gate events'!$G$4:$G$553,MATCH(B306,'Gate events'!$A$4:$A$553,0))&lt;&gt;"Resume"),"Parent outcome is not Progress with condition / Re-authorise / Resume",IF(AND(ISNUMBER(INDEX('Gate events'!$F$4:$F$553,MATCH(B306,'Gate events'!$A$4:$A$553,0))),F306&lt;INDEX('Gate events'!$F$4:$F$553,MATCH(B306,'Gate events'!$A$4:$A$553,0))),"Due date before parent event date",IF(AND(OR(G306="Closed-verified",G306="Waived",G306="Accepted-open"),OR(H306="",I306="")),"Closure evidence missing",IF(AND(H306&lt;&gt;"",NOT(ISNUMBER(H306))),"Closed / waived on is not a date",IF(AND(ISNUMBER(H306),ISNUMBER(INDEX('Gate events'!$F$4:$F$553,MATCH(B306,'Gate events'!$A$4:$A$553,0))),H306&lt;INDEX('Gate events'!$F$4:$F$553,MATCH(B306,'Gate events'!$A$4:$A$553,0))),"Closure date before parent event date",IF(AND(G306="Closed-verified",M306=""),"Verifier / date missing",IF(AND(N306="Yes",G306="Closed-verified",O306=""),"Monitoring condition needs AIG-OPS-02 evidence ref",IF(AND(G306="Open",F306&lt;TODAY()),"OVERDUE (derived) — review",IF(G306="Unknown","State Unknown: owner to confirm","Check against source")))))))))))))))))))</f>
        <v/>
      </c>
      <c r="K306" s="37" t="n"/>
      <c r="L306" s="37" t="n"/>
      <c r="M306" s="38" t="n"/>
      <c r="N306" s="38" t="n"/>
      <c r="O306" s="38" t="n"/>
    </row>
    <row r="307">
      <c r="A307" s="40" t="n"/>
      <c r="B307" s="40" t="n"/>
      <c r="C307" s="40" t="n"/>
      <c r="D307" s="40" t="n"/>
      <c r="E307" s="40" t="n"/>
      <c r="F307" s="41" t="n"/>
      <c r="G307" s="40" t="n"/>
      <c r="H307" s="41" t="n"/>
      <c r="I307" s="40" t="n"/>
      <c r="J307" s="24">
        <f>IF(COUNTA(A307:I307,K307:O307)=0,"",IF(OR(A307="",B307="",C307=""),"ID / parent missing",IF(COUNTIF($A$4:$A$553,A307)&gt;1,"Duplicate condition ID",IF(COUNTIF('Gate events'!$A$4:$A$553,B307)=0,"Event ID not found",IF(INDEX('Gate events'!$B$4:$B$553,MATCH(B307,'Gate events'!$A$4:$A$553,0))&lt;&gt;C307,"AIR-ID differs from event",IF(IF(INDEX('Gate events'!$P$4:$P$553,MATCH(B307,'Gate events'!$A$4:$A$553,0))="UC-ID specific",IF(OR(L307&lt;&gt;"UC-ID specific",K307=""),"Condition UC-ID required",IF(ISNUMBER(SEARCH(","&amp;SUBSTITUTE(K307," ","")&amp;",",","&amp;SUBSTITUTE(INDEX('Gate events'!$O$4:$O$553,MATCH(B307,'Gate events'!$A$4:$A$553,0))," ","")&amp;",")),"","UC-ID differs from decision")),IF(INDEX('Gate events'!$P$4:$P$553,MATCH(B307,'Gate events'!$A$4:$A$553,0))="Shared system baseline",IF(OR(L307&lt;&gt;"Shared system baseline",K307&lt;&gt;""),"Condition scope differs from decision",""),"Parent decision scope missing"))&lt;&gt;"",IF(INDEX('Gate events'!$P$4:$P$553,MATCH(B307,'Gate events'!$A$4:$A$553,0))="UC-ID specific",IF(OR(L307&lt;&gt;"UC-ID specific",K307=""),"Condition UC-ID required",IF(ISNUMBER(SEARCH(","&amp;SUBSTITUTE(K307," ","")&amp;",",","&amp;SUBSTITUTE(INDEX('Gate events'!$O$4:$O$553,MATCH(B307,'Gate events'!$A$4:$A$553,0))," ","")&amp;",")),"","UC-ID differs from decision")),IF(INDEX('Gate events'!$P$4:$P$553,MATCH(B307,'Gate events'!$A$4:$A$553,0))="Shared system baseline",IF(OR(L307&lt;&gt;"Shared system baseline",K307&lt;&gt;""),"Condition scope differs from decision",""),"Parent decision scope missing")),IF(OR(D307="",E307="",F307="",G307=""),"Condition, owner, due date or state missing",IF(NOT(ISNUMBER(F307)),"Due date is not a date",IF(OR(G307="Overdue",G307="Superseded"),"Legacy state — owner review (use the shared five states)",IF(INDEX('Gate events'!$E$4:$E$553,MATCH(B307,'Gate events'!$A$4:$A$553,0))&lt;&gt;"Decision","Parent event is not a Decision",IF(AND(INDEX('Gate events'!$G$4:$G$553,MATCH(B307,'Gate events'!$A$4:$A$553,0))&lt;&gt;"Progress with condition",INDEX('Gate events'!$G$4:$G$553,MATCH(B307,'Gate events'!$A$4:$A$553,0))&lt;&gt;"Re-authorise",INDEX('Gate events'!$G$4:$G$553,MATCH(B307,'Gate events'!$A$4:$A$553,0))&lt;&gt;"Resume"),"Parent outcome is not Progress with condition / Re-authorise / Resume",IF(AND(ISNUMBER(INDEX('Gate events'!$F$4:$F$553,MATCH(B307,'Gate events'!$A$4:$A$553,0))),F307&lt;INDEX('Gate events'!$F$4:$F$553,MATCH(B307,'Gate events'!$A$4:$A$553,0))),"Due date before parent event date",IF(AND(OR(G307="Closed-verified",G307="Waived",G307="Accepted-open"),OR(H307="",I307="")),"Closure evidence missing",IF(AND(H307&lt;&gt;"",NOT(ISNUMBER(H307))),"Closed / waived on is not a date",IF(AND(ISNUMBER(H307),ISNUMBER(INDEX('Gate events'!$F$4:$F$553,MATCH(B307,'Gate events'!$A$4:$A$553,0))),H307&lt;INDEX('Gate events'!$F$4:$F$553,MATCH(B307,'Gate events'!$A$4:$A$553,0))),"Closure date before parent event date",IF(AND(G307="Closed-verified",M307=""),"Verifier / date missing",IF(AND(N307="Yes",G307="Closed-verified",O307=""),"Monitoring condition needs AIG-OPS-02 evidence ref",IF(AND(G307="Open",F307&lt;TODAY()),"OVERDUE (derived) — review",IF(G307="Unknown","State Unknown: owner to confirm","Check against source")))))))))))))))))))</f>
        <v/>
      </c>
      <c r="K307" s="37" t="n"/>
      <c r="L307" s="37" t="n"/>
      <c r="M307" s="40" t="n"/>
      <c r="N307" s="40" t="n"/>
      <c r="O307" s="40" t="n"/>
    </row>
    <row r="308">
      <c r="A308" s="38" t="n"/>
      <c r="B308" s="38" t="n"/>
      <c r="C308" s="38" t="n"/>
      <c r="D308" s="38" t="n"/>
      <c r="E308" s="38" t="n"/>
      <c r="F308" s="39" t="n"/>
      <c r="G308" s="38" t="n"/>
      <c r="H308" s="39" t="n"/>
      <c r="I308" s="38" t="n"/>
      <c r="J308" s="22">
        <f>IF(COUNTA(A308:I308,K308:O308)=0,"",IF(OR(A308="",B308="",C308=""),"ID / parent missing",IF(COUNTIF($A$4:$A$553,A308)&gt;1,"Duplicate condition ID",IF(COUNTIF('Gate events'!$A$4:$A$553,B308)=0,"Event ID not found",IF(INDEX('Gate events'!$B$4:$B$553,MATCH(B308,'Gate events'!$A$4:$A$553,0))&lt;&gt;C308,"AIR-ID differs from event",IF(IF(INDEX('Gate events'!$P$4:$P$553,MATCH(B308,'Gate events'!$A$4:$A$553,0))="UC-ID specific",IF(OR(L308&lt;&gt;"UC-ID specific",K308=""),"Condition UC-ID required",IF(ISNUMBER(SEARCH(","&amp;SUBSTITUTE(K308," ","")&amp;",",","&amp;SUBSTITUTE(INDEX('Gate events'!$O$4:$O$553,MATCH(B308,'Gate events'!$A$4:$A$553,0))," ","")&amp;",")),"","UC-ID differs from decision")),IF(INDEX('Gate events'!$P$4:$P$553,MATCH(B308,'Gate events'!$A$4:$A$553,0))="Shared system baseline",IF(OR(L308&lt;&gt;"Shared system baseline",K308&lt;&gt;""),"Condition scope differs from decision",""),"Parent decision scope missing"))&lt;&gt;"",IF(INDEX('Gate events'!$P$4:$P$553,MATCH(B308,'Gate events'!$A$4:$A$553,0))="UC-ID specific",IF(OR(L308&lt;&gt;"UC-ID specific",K308=""),"Condition UC-ID required",IF(ISNUMBER(SEARCH(","&amp;SUBSTITUTE(K308," ","")&amp;",",","&amp;SUBSTITUTE(INDEX('Gate events'!$O$4:$O$553,MATCH(B308,'Gate events'!$A$4:$A$553,0))," ","")&amp;",")),"","UC-ID differs from decision")),IF(INDEX('Gate events'!$P$4:$P$553,MATCH(B308,'Gate events'!$A$4:$A$553,0))="Shared system baseline",IF(OR(L308&lt;&gt;"Shared system baseline",K308&lt;&gt;""),"Condition scope differs from decision",""),"Parent decision scope missing")),IF(OR(D308="",E308="",F308="",G308=""),"Condition, owner, due date or state missing",IF(NOT(ISNUMBER(F308)),"Due date is not a date",IF(OR(G308="Overdue",G308="Superseded"),"Legacy state — owner review (use the shared five states)",IF(INDEX('Gate events'!$E$4:$E$553,MATCH(B308,'Gate events'!$A$4:$A$553,0))&lt;&gt;"Decision","Parent event is not a Decision",IF(AND(INDEX('Gate events'!$G$4:$G$553,MATCH(B308,'Gate events'!$A$4:$A$553,0))&lt;&gt;"Progress with condition",INDEX('Gate events'!$G$4:$G$553,MATCH(B308,'Gate events'!$A$4:$A$553,0))&lt;&gt;"Re-authorise",INDEX('Gate events'!$G$4:$G$553,MATCH(B308,'Gate events'!$A$4:$A$553,0))&lt;&gt;"Resume"),"Parent outcome is not Progress with condition / Re-authorise / Resume",IF(AND(ISNUMBER(INDEX('Gate events'!$F$4:$F$553,MATCH(B308,'Gate events'!$A$4:$A$553,0))),F308&lt;INDEX('Gate events'!$F$4:$F$553,MATCH(B308,'Gate events'!$A$4:$A$553,0))),"Due date before parent event date",IF(AND(OR(G308="Closed-verified",G308="Waived",G308="Accepted-open"),OR(H308="",I308="")),"Closure evidence missing",IF(AND(H308&lt;&gt;"",NOT(ISNUMBER(H308))),"Closed / waived on is not a date",IF(AND(ISNUMBER(H308),ISNUMBER(INDEX('Gate events'!$F$4:$F$553,MATCH(B308,'Gate events'!$A$4:$A$553,0))),H308&lt;INDEX('Gate events'!$F$4:$F$553,MATCH(B308,'Gate events'!$A$4:$A$553,0))),"Closure date before parent event date",IF(AND(G308="Closed-verified",M308=""),"Verifier / date missing",IF(AND(N308="Yes",G308="Closed-verified",O308=""),"Monitoring condition needs AIG-OPS-02 evidence ref",IF(AND(G308="Open",F308&lt;TODAY()),"OVERDUE (derived) — review",IF(G308="Unknown","State Unknown: owner to confirm","Check against source")))))))))))))))))))</f>
        <v/>
      </c>
      <c r="K308" s="37" t="n"/>
      <c r="L308" s="37" t="n"/>
      <c r="M308" s="38" t="n"/>
      <c r="N308" s="38" t="n"/>
      <c r="O308" s="38" t="n"/>
    </row>
    <row r="309">
      <c r="A309" s="40" t="n"/>
      <c r="B309" s="40" t="n"/>
      <c r="C309" s="40" t="n"/>
      <c r="D309" s="40" t="n"/>
      <c r="E309" s="40" t="n"/>
      <c r="F309" s="41" t="n"/>
      <c r="G309" s="40" t="n"/>
      <c r="H309" s="41" t="n"/>
      <c r="I309" s="40" t="n"/>
      <c r="J309" s="24">
        <f>IF(COUNTA(A309:I309,K309:O309)=0,"",IF(OR(A309="",B309="",C309=""),"ID / parent missing",IF(COUNTIF($A$4:$A$553,A309)&gt;1,"Duplicate condition ID",IF(COUNTIF('Gate events'!$A$4:$A$553,B309)=0,"Event ID not found",IF(INDEX('Gate events'!$B$4:$B$553,MATCH(B309,'Gate events'!$A$4:$A$553,0))&lt;&gt;C309,"AIR-ID differs from event",IF(IF(INDEX('Gate events'!$P$4:$P$553,MATCH(B309,'Gate events'!$A$4:$A$553,0))="UC-ID specific",IF(OR(L309&lt;&gt;"UC-ID specific",K309=""),"Condition UC-ID required",IF(ISNUMBER(SEARCH(","&amp;SUBSTITUTE(K309," ","")&amp;",",","&amp;SUBSTITUTE(INDEX('Gate events'!$O$4:$O$553,MATCH(B309,'Gate events'!$A$4:$A$553,0))," ","")&amp;",")),"","UC-ID differs from decision")),IF(INDEX('Gate events'!$P$4:$P$553,MATCH(B309,'Gate events'!$A$4:$A$553,0))="Shared system baseline",IF(OR(L309&lt;&gt;"Shared system baseline",K309&lt;&gt;""),"Condition scope differs from decision",""),"Parent decision scope missing"))&lt;&gt;"",IF(INDEX('Gate events'!$P$4:$P$553,MATCH(B309,'Gate events'!$A$4:$A$553,0))="UC-ID specific",IF(OR(L309&lt;&gt;"UC-ID specific",K309=""),"Condition UC-ID required",IF(ISNUMBER(SEARCH(","&amp;SUBSTITUTE(K309," ","")&amp;",",","&amp;SUBSTITUTE(INDEX('Gate events'!$O$4:$O$553,MATCH(B309,'Gate events'!$A$4:$A$553,0))," ","")&amp;",")),"","UC-ID differs from decision")),IF(INDEX('Gate events'!$P$4:$P$553,MATCH(B309,'Gate events'!$A$4:$A$553,0))="Shared system baseline",IF(OR(L309&lt;&gt;"Shared system baseline",K309&lt;&gt;""),"Condition scope differs from decision",""),"Parent decision scope missing")),IF(OR(D309="",E309="",F309="",G309=""),"Condition, owner, due date or state missing",IF(NOT(ISNUMBER(F309)),"Due date is not a date",IF(OR(G309="Overdue",G309="Superseded"),"Legacy state — owner review (use the shared five states)",IF(INDEX('Gate events'!$E$4:$E$553,MATCH(B309,'Gate events'!$A$4:$A$553,0))&lt;&gt;"Decision","Parent event is not a Decision",IF(AND(INDEX('Gate events'!$G$4:$G$553,MATCH(B309,'Gate events'!$A$4:$A$553,0))&lt;&gt;"Progress with condition",INDEX('Gate events'!$G$4:$G$553,MATCH(B309,'Gate events'!$A$4:$A$553,0))&lt;&gt;"Re-authorise",INDEX('Gate events'!$G$4:$G$553,MATCH(B309,'Gate events'!$A$4:$A$553,0))&lt;&gt;"Resume"),"Parent outcome is not Progress with condition / Re-authorise / Resume",IF(AND(ISNUMBER(INDEX('Gate events'!$F$4:$F$553,MATCH(B309,'Gate events'!$A$4:$A$553,0))),F309&lt;INDEX('Gate events'!$F$4:$F$553,MATCH(B309,'Gate events'!$A$4:$A$553,0))),"Due date before parent event date",IF(AND(OR(G309="Closed-verified",G309="Waived",G309="Accepted-open"),OR(H309="",I309="")),"Closure evidence missing",IF(AND(H309&lt;&gt;"",NOT(ISNUMBER(H309))),"Closed / waived on is not a date",IF(AND(ISNUMBER(H309),ISNUMBER(INDEX('Gate events'!$F$4:$F$553,MATCH(B309,'Gate events'!$A$4:$A$553,0))),H309&lt;INDEX('Gate events'!$F$4:$F$553,MATCH(B309,'Gate events'!$A$4:$A$553,0))),"Closure date before parent event date",IF(AND(G309="Closed-verified",M309=""),"Verifier / date missing",IF(AND(N309="Yes",G309="Closed-verified",O309=""),"Monitoring condition needs AIG-OPS-02 evidence ref",IF(AND(G309="Open",F309&lt;TODAY()),"OVERDUE (derived) — review",IF(G309="Unknown","State Unknown: owner to confirm","Check against source")))))))))))))))))))</f>
        <v/>
      </c>
      <c r="K309" s="37" t="n"/>
      <c r="L309" s="37" t="n"/>
      <c r="M309" s="40" t="n"/>
      <c r="N309" s="40" t="n"/>
      <c r="O309" s="40" t="n"/>
    </row>
    <row r="310">
      <c r="A310" s="38" t="n"/>
      <c r="B310" s="38" t="n"/>
      <c r="C310" s="38" t="n"/>
      <c r="D310" s="38" t="n"/>
      <c r="E310" s="38" t="n"/>
      <c r="F310" s="39" t="n"/>
      <c r="G310" s="38" t="n"/>
      <c r="H310" s="39" t="n"/>
      <c r="I310" s="38" t="n"/>
      <c r="J310" s="22">
        <f>IF(COUNTA(A310:I310,K310:O310)=0,"",IF(OR(A310="",B310="",C310=""),"ID / parent missing",IF(COUNTIF($A$4:$A$553,A310)&gt;1,"Duplicate condition ID",IF(COUNTIF('Gate events'!$A$4:$A$553,B310)=0,"Event ID not found",IF(INDEX('Gate events'!$B$4:$B$553,MATCH(B310,'Gate events'!$A$4:$A$553,0))&lt;&gt;C310,"AIR-ID differs from event",IF(IF(INDEX('Gate events'!$P$4:$P$553,MATCH(B310,'Gate events'!$A$4:$A$553,0))="UC-ID specific",IF(OR(L310&lt;&gt;"UC-ID specific",K310=""),"Condition UC-ID required",IF(ISNUMBER(SEARCH(","&amp;SUBSTITUTE(K310," ","")&amp;",",","&amp;SUBSTITUTE(INDEX('Gate events'!$O$4:$O$553,MATCH(B310,'Gate events'!$A$4:$A$553,0))," ","")&amp;",")),"","UC-ID differs from decision")),IF(INDEX('Gate events'!$P$4:$P$553,MATCH(B310,'Gate events'!$A$4:$A$553,0))="Shared system baseline",IF(OR(L310&lt;&gt;"Shared system baseline",K310&lt;&gt;""),"Condition scope differs from decision",""),"Parent decision scope missing"))&lt;&gt;"",IF(INDEX('Gate events'!$P$4:$P$553,MATCH(B310,'Gate events'!$A$4:$A$553,0))="UC-ID specific",IF(OR(L310&lt;&gt;"UC-ID specific",K310=""),"Condition UC-ID required",IF(ISNUMBER(SEARCH(","&amp;SUBSTITUTE(K310," ","")&amp;",",","&amp;SUBSTITUTE(INDEX('Gate events'!$O$4:$O$553,MATCH(B310,'Gate events'!$A$4:$A$553,0))," ","")&amp;",")),"","UC-ID differs from decision")),IF(INDEX('Gate events'!$P$4:$P$553,MATCH(B310,'Gate events'!$A$4:$A$553,0))="Shared system baseline",IF(OR(L310&lt;&gt;"Shared system baseline",K310&lt;&gt;""),"Condition scope differs from decision",""),"Parent decision scope missing")),IF(OR(D310="",E310="",F310="",G310=""),"Condition, owner, due date or state missing",IF(NOT(ISNUMBER(F310)),"Due date is not a date",IF(OR(G310="Overdue",G310="Superseded"),"Legacy state — owner review (use the shared five states)",IF(INDEX('Gate events'!$E$4:$E$553,MATCH(B310,'Gate events'!$A$4:$A$553,0))&lt;&gt;"Decision","Parent event is not a Decision",IF(AND(INDEX('Gate events'!$G$4:$G$553,MATCH(B310,'Gate events'!$A$4:$A$553,0))&lt;&gt;"Progress with condition",INDEX('Gate events'!$G$4:$G$553,MATCH(B310,'Gate events'!$A$4:$A$553,0))&lt;&gt;"Re-authorise",INDEX('Gate events'!$G$4:$G$553,MATCH(B310,'Gate events'!$A$4:$A$553,0))&lt;&gt;"Resume"),"Parent outcome is not Progress with condition / Re-authorise / Resume",IF(AND(ISNUMBER(INDEX('Gate events'!$F$4:$F$553,MATCH(B310,'Gate events'!$A$4:$A$553,0))),F310&lt;INDEX('Gate events'!$F$4:$F$553,MATCH(B310,'Gate events'!$A$4:$A$553,0))),"Due date before parent event date",IF(AND(OR(G310="Closed-verified",G310="Waived",G310="Accepted-open"),OR(H310="",I310="")),"Closure evidence missing",IF(AND(H310&lt;&gt;"",NOT(ISNUMBER(H310))),"Closed / waived on is not a date",IF(AND(ISNUMBER(H310),ISNUMBER(INDEX('Gate events'!$F$4:$F$553,MATCH(B310,'Gate events'!$A$4:$A$553,0))),H310&lt;INDEX('Gate events'!$F$4:$F$553,MATCH(B310,'Gate events'!$A$4:$A$553,0))),"Closure date before parent event date",IF(AND(G310="Closed-verified",M310=""),"Verifier / date missing",IF(AND(N310="Yes",G310="Closed-verified",O310=""),"Monitoring condition needs AIG-OPS-02 evidence ref",IF(AND(G310="Open",F310&lt;TODAY()),"OVERDUE (derived) — review",IF(G310="Unknown","State Unknown: owner to confirm","Check against source")))))))))))))))))))</f>
        <v/>
      </c>
      <c r="K310" s="37" t="n"/>
      <c r="L310" s="37" t="n"/>
      <c r="M310" s="38" t="n"/>
      <c r="N310" s="38" t="n"/>
      <c r="O310" s="38" t="n"/>
    </row>
    <row r="311">
      <c r="A311" s="40" t="n"/>
      <c r="B311" s="40" t="n"/>
      <c r="C311" s="40" t="n"/>
      <c r="D311" s="40" t="n"/>
      <c r="E311" s="40" t="n"/>
      <c r="F311" s="41" t="n"/>
      <c r="G311" s="40" t="n"/>
      <c r="H311" s="41" t="n"/>
      <c r="I311" s="40" t="n"/>
      <c r="J311" s="24">
        <f>IF(COUNTA(A311:I311,K311:O311)=0,"",IF(OR(A311="",B311="",C311=""),"ID / parent missing",IF(COUNTIF($A$4:$A$553,A311)&gt;1,"Duplicate condition ID",IF(COUNTIF('Gate events'!$A$4:$A$553,B311)=0,"Event ID not found",IF(INDEX('Gate events'!$B$4:$B$553,MATCH(B311,'Gate events'!$A$4:$A$553,0))&lt;&gt;C311,"AIR-ID differs from event",IF(IF(INDEX('Gate events'!$P$4:$P$553,MATCH(B311,'Gate events'!$A$4:$A$553,0))="UC-ID specific",IF(OR(L311&lt;&gt;"UC-ID specific",K311=""),"Condition UC-ID required",IF(ISNUMBER(SEARCH(","&amp;SUBSTITUTE(K311," ","")&amp;",",","&amp;SUBSTITUTE(INDEX('Gate events'!$O$4:$O$553,MATCH(B311,'Gate events'!$A$4:$A$553,0))," ","")&amp;",")),"","UC-ID differs from decision")),IF(INDEX('Gate events'!$P$4:$P$553,MATCH(B311,'Gate events'!$A$4:$A$553,0))="Shared system baseline",IF(OR(L311&lt;&gt;"Shared system baseline",K311&lt;&gt;""),"Condition scope differs from decision",""),"Parent decision scope missing"))&lt;&gt;"",IF(INDEX('Gate events'!$P$4:$P$553,MATCH(B311,'Gate events'!$A$4:$A$553,0))="UC-ID specific",IF(OR(L311&lt;&gt;"UC-ID specific",K311=""),"Condition UC-ID required",IF(ISNUMBER(SEARCH(","&amp;SUBSTITUTE(K311," ","")&amp;",",","&amp;SUBSTITUTE(INDEX('Gate events'!$O$4:$O$553,MATCH(B311,'Gate events'!$A$4:$A$553,0))," ","")&amp;",")),"","UC-ID differs from decision")),IF(INDEX('Gate events'!$P$4:$P$553,MATCH(B311,'Gate events'!$A$4:$A$553,0))="Shared system baseline",IF(OR(L311&lt;&gt;"Shared system baseline",K311&lt;&gt;""),"Condition scope differs from decision",""),"Parent decision scope missing")),IF(OR(D311="",E311="",F311="",G311=""),"Condition, owner, due date or state missing",IF(NOT(ISNUMBER(F311)),"Due date is not a date",IF(OR(G311="Overdue",G311="Superseded"),"Legacy state — owner review (use the shared five states)",IF(INDEX('Gate events'!$E$4:$E$553,MATCH(B311,'Gate events'!$A$4:$A$553,0))&lt;&gt;"Decision","Parent event is not a Decision",IF(AND(INDEX('Gate events'!$G$4:$G$553,MATCH(B311,'Gate events'!$A$4:$A$553,0))&lt;&gt;"Progress with condition",INDEX('Gate events'!$G$4:$G$553,MATCH(B311,'Gate events'!$A$4:$A$553,0))&lt;&gt;"Re-authorise",INDEX('Gate events'!$G$4:$G$553,MATCH(B311,'Gate events'!$A$4:$A$553,0))&lt;&gt;"Resume"),"Parent outcome is not Progress with condition / Re-authorise / Resume",IF(AND(ISNUMBER(INDEX('Gate events'!$F$4:$F$553,MATCH(B311,'Gate events'!$A$4:$A$553,0))),F311&lt;INDEX('Gate events'!$F$4:$F$553,MATCH(B311,'Gate events'!$A$4:$A$553,0))),"Due date before parent event date",IF(AND(OR(G311="Closed-verified",G311="Waived",G311="Accepted-open"),OR(H311="",I311="")),"Closure evidence missing",IF(AND(H311&lt;&gt;"",NOT(ISNUMBER(H311))),"Closed / waived on is not a date",IF(AND(ISNUMBER(H311),ISNUMBER(INDEX('Gate events'!$F$4:$F$553,MATCH(B311,'Gate events'!$A$4:$A$553,0))),H311&lt;INDEX('Gate events'!$F$4:$F$553,MATCH(B311,'Gate events'!$A$4:$A$553,0))),"Closure date before parent event date",IF(AND(G311="Closed-verified",M311=""),"Verifier / date missing",IF(AND(N311="Yes",G311="Closed-verified",O311=""),"Monitoring condition needs AIG-OPS-02 evidence ref",IF(AND(G311="Open",F311&lt;TODAY()),"OVERDUE (derived) — review",IF(G311="Unknown","State Unknown: owner to confirm","Check against source")))))))))))))))))))</f>
        <v/>
      </c>
      <c r="K311" s="37" t="n"/>
      <c r="L311" s="37" t="n"/>
      <c r="M311" s="40" t="n"/>
      <c r="N311" s="40" t="n"/>
      <c r="O311" s="40" t="n"/>
    </row>
    <row r="312">
      <c r="A312" s="38" t="n"/>
      <c r="B312" s="38" t="n"/>
      <c r="C312" s="38" t="n"/>
      <c r="D312" s="38" t="n"/>
      <c r="E312" s="38" t="n"/>
      <c r="F312" s="39" t="n"/>
      <c r="G312" s="38" t="n"/>
      <c r="H312" s="39" t="n"/>
      <c r="I312" s="38" t="n"/>
      <c r="J312" s="22">
        <f>IF(COUNTA(A312:I312,K312:O312)=0,"",IF(OR(A312="",B312="",C312=""),"ID / parent missing",IF(COUNTIF($A$4:$A$553,A312)&gt;1,"Duplicate condition ID",IF(COUNTIF('Gate events'!$A$4:$A$553,B312)=0,"Event ID not found",IF(INDEX('Gate events'!$B$4:$B$553,MATCH(B312,'Gate events'!$A$4:$A$553,0))&lt;&gt;C312,"AIR-ID differs from event",IF(IF(INDEX('Gate events'!$P$4:$P$553,MATCH(B312,'Gate events'!$A$4:$A$553,0))="UC-ID specific",IF(OR(L312&lt;&gt;"UC-ID specific",K312=""),"Condition UC-ID required",IF(ISNUMBER(SEARCH(","&amp;SUBSTITUTE(K312," ","")&amp;",",","&amp;SUBSTITUTE(INDEX('Gate events'!$O$4:$O$553,MATCH(B312,'Gate events'!$A$4:$A$553,0))," ","")&amp;",")),"","UC-ID differs from decision")),IF(INDEX('Gate events'!$P$4:$P$553,MATCH(B312,'Gate events'!$A$4:$A$553,0))="Shared system baseline",IF(OR(L312&lt;&gt;"Shared system baseline",K312&lt;&gt;""),"Condition scope differs from decision",""),"Parent decision scope missing"))&lt;&gt;"",IF(INDEX('Gate events'!$P$4:$P$553,MATCH(B312,'Gate events'!$A$4:$A$553,0))="UC-ID specific",IF(OR(L312&lt;&gt;"UC-ID specific",K312=""),"Condition UC-ID required",IF(ISNUMBER(SEARCH(","&amp;SUBSTITUTE(K312," ","")&amp;",",","&amp;SUBSTITUTE(INDEX('Gate events'!$O$4:$O$553,MATCH(B312,'Gate events'!$A$4:$A$553,0))," ","")&amp;",")),"","UC-ID differs from decision")),IF(INDEX('Gate events'!$P$4:$P$553,MATCH(B312,'Gate events'!$A$4:$A$553,0))="Shared system baseline",IF(OR(L312&lt;&gt;"Shared system baseline",K312&lt;&gt;""),"Condition scope differs from decision",""),"Parent decision scope missing")),IF(OR(D312="",E312="",F312="",G312=""),"Condition, owner, due date or state missing",IF(NOT(ISNUMBER(F312)),"Due date is not a date",IF(OR(G312="Overdue",G312="Superseded"),"Legacy state — owner review (use the shared five states)",IF(INDEX('Gate events'!$E$4:$E$553,MATCH(B312,'Gate events'!$A$4:$A$553,0))&lt;&gt;"Decision","Parent event is not a Decision",IF(AND(INDEX('Gate events'!$G$4:$G$553,MATCH(B312,'Gate events'!$A$4:$A$553,0))&lt;&gt;"Progress with condition",INDEX('Gate events'!$G$4:$G$553,MATCH(B312,'Gate events'!$A$4:$A$553,0))&lt;&gt;"Re-authorise",INDEX('Gate events'!$G$4:$G$553,MATCH(B312,'Gate events'!$A$4:$A$553,0))&lt;&gt;"Resume"),"Parent outcome is not Progress with condition / Re-authorise / Resume",IF(AND(ISNUMBER(INDEX('Gate events'!$F$4:$F$553,MATCH(B312,'Gate events'!$A$4:$A$553,0))),F312&lt;INDEX('Gate events'!$F$4:$F$553,MATCH(B312,'Gate events'!$A$4:$A$553,0))),"Due date before parent event date",IF(AND(OR(G312="Closed-verified",G312="Waived",G312="Accepted-open"),OR(H312="",I312="")),"Closure evidence missing",IF(AND(H312&lt;&gt;"",NOT(ISNUMBER(H312))),"Closed / waived on is not a date",IF(AND(ISNUMBER(H312),ISNUMBER(INDEX('Gate events'!$F$4:$F$553,MATCH(B312,'Gate events'!$A$4:$A$553,0))),H312&lt;INDEX('Gate events'!$F$4:$F$553,MATCH(B312,'Gate events'!$A$4:$A$553,0))),"Closure date before parent event date",IF(AND(G312="Closed-verified",M312=""),"Verifier / date missing",IF(AND(N312="Yes",G312="Closed-verified",O312=""),"Monitoring condition needs AIG-OPS-02 evidence ref",IF(AND(G312="Open",F312&lt;TODAY()),"OVERDUE (derived) — review",IF(G312="Unknown","State Unknown: owner to confirm","Check against source")))))))))))))))))))</f>
        <v/>
      </c>
      <c r="K312" s="37" t="n"/>
      <c r="L312" s="37" t="n"/>
      <c r="M312" s="38" t="n"/>
      <c r="N312" s="38" t="n"/>
      <c r="O312" s="38" t="n"/>
    </row>
    <row r="313">
      <c r="A313" s="40" t="n"/>
      <c r="B313" s="40" t="n"/>
      <c r="C313" s="40" t="n"/>
      <c r="D313" s="40" t="n"/>
      <c r="E313" s="40" t="n"/>
      <c r="F313" s="41" t="n"/>
      <c r="G313" s="40" t="n"/>
      <c r="H313" s="41" t="n"/>
      <c r="I313" s="40" t="n"/>
      <c r="J313" s="24">
        <f>IF(COUNTA(A313:I313,K313:O313)=0,"",IF(OR(A313="",B313="",C313=""),"ID / parent missing",IF(COUNTIF($A$4:$A$553,A313)&gt;1,"Duplicate condition ID",IF(COUNTIF('Gate events'!$A$4:$A$553,B313)=0,"Event ID not found",IF(INDEX('Gate events'!$B$4:$B$553,MATCH(B313,'Gate events'!$A$4:$A$553,0))&lt;&gt;C313,"AIR-ID differs from event",IF(IF(INDEX('Gate events'!$P$4:$P$553,MATCH(B313,'Gate events'!$A$4:$A$553,0))="UC-ID specific",IF(OR(L313&lt;&gt;"UC-ID specific",K313=""),"Condition UC-ID required",IF(ISNUMBER(SEARCH(","&amp;SUBSTITUTE(K313," ","")&amp;",",","&amp;SUBSTITUTE(INDEX('Gate events'!$O$4:$O$553,MATCH(B313,'Gate events'!$A$4:$A$553,0))," ","")&amp;",")),"","UC-ID differs from decision")),IF(INDEX('Gate events'!$P$4:$P$553,MATCH(B313,'Gate events'!$A$4:$A$553,0))="Shared system baseline",IF(OR(L313&lt;&gt;"Shared system baseline",K313&lt;&gt;""),"Condition scope differs from decision",""),"Parent decision scope missing"))&lt;&gt;"",IF(INDEX('Gate events'!$P$4:$P$553,MATCH(B313,'Gate events'!$A$4:$A$553,0))="UC-ID specific",IF(OR(L313&lt;&gt;"UC-ID specific",K313=""),"Condition UC-ID required",IF(ISNUMBER(SEARCH(","&amp;SUBSTITUTE(K313," ","")&amp;",",","&amp;SUBSTITUTE(INDEX('Gate events'!$O$4:$O$553,MATCH(B313,'Gate events'!$A$4:$A$553,0))," ","")&amp;",")),"","UC-ID differs from decision")),IF(INDEX('Gate events'!$P$4:$P$553,MATCH(B313,'Gate events'!$A$4:$A$553,0))="Shared system baseline",IF(OR(L313&lt;&gt;"Shared system baseline",K313&lt;&gt;""),"Condition scope differs from decision",""),"Parent decision scope missing")),IF(OR(D313="",E313="",F313="",G313=""),"Condition, owner, due date or state missing",IF(NOT(ISNUMBER(F313)),"Due date is not a date",IF(OR(G313="Overdue",G313="Superseded"),"Legacy state — owner review (use the shared five states)",IF(INDEX('Gate events'!$E$4:$E$553,MATCH(B313,'Gate events'!$A$4:$A$553,0))&lt;&gt;"Decision","Parent event is not a Decision",IF(AND(INDEX('Gate events'!$G$4:$G$553,MATCH(B313,'Gate events'!$A$4:$A$553,0))&lt;&gt;"Progress with condition",INDEX('Gate events'!$G$4:$G$553,MATCH(B313,'Gate events'!$A$4:$A$553,0))&lt;&gt;"Re-authorise",INDEX('Gate events'!$G$4:$G$553,MATCH(B313,'Gate events'!$A$4:$A$553,0))&lt;&gt;"Resume"),"Parent outcome is not Progress with condition / Re-authorise / Resume",IF(AND(ISNUMBER(INDEX('Gate events'!$F$4:$F$553,MATCH(B313,'Gate events'!$A$4:$A$553,0))),F313&lt;INDEX('Gate events'!$F$4:$F$553,MATCH(B313,'Gate events'!$A$4:$A$553,0))),"Due date before parent event date",IF(AND(OR(G313="Closed-verified",G313="Waived",G313="Accepted-open"),OR(H313="",I313="")),"Closure evidence missing",IF(AND(H313&lt;&gt;"",NOT(ISNUMBER(H313))),"Closed / waived on is not a date",IF(AND(ISNUMBER(H313),ISNUMBER(INDEX('Gate events'!$F$4:$F$553,MATCH(B313,'Gate events'!$A$4:$A$553,0))),H313&lt;INDEX('Gate events'!$F$4:$F$553,MATCH(B313,'Gate events'!$A$4:$A$553,0))),"Closure date before parent event date",IF(AND(G313="Closed-verified",M313=""),"Verifier / date missing",IF(AND(N313="Yes",G313="Closed-verified",O313=""),"Monitoring condition needs AIG-OPS-02 evidence ref",IF(AND(G313="Open",F313&lt;TODAY()),"OVERDUE (derived) — review",IF(G313="Unknown","State Unknown: owner to confirm","Check against source")))))))))))))))))))</f>
        <v/>
      </c>
      <c r="K313" s="37" t="n"/>
      <c r="L313" s="37" t="n"/>
      <c r="M313" s="40" t="n"/>
      <c r="N313" s="40" t="n"/>
      <c r="O313" s="40" t="n"/>
    </row>
    <row r="314">
      <c r="A314" s="38" t="n"/>
      <c r="B314" s="38" t="n"/>
      <c r="C314" s="38" t="n"/>
      <c r="D314" s="38" t="n"/>
      <c r="E314" s="38" t="n"/>
      <c r="F314" s="39" t="n"/>
      <c r="G314" s="38" t="n"/>
      <c r="H314" s="39" t="n"/>
      <c r="I314" s="38" t="n"/>
      <c r="J314" s="22">
        <f>IF(COUNTA(A314:I314,K314:O314)=0,"",IF(OR(A314="",B314="",C314=""),"ID / parent missing",IF(COUNTIF($A$4:$A$553,A314)&gt;1,"Duplicate condition ID",IF(COUNTIF('Gate events'!$A$4:$A$553,B314)=0,"Event ID not found",IF(INDEX('Gate events'!$B$4:$B$553,MATCH(B314,'Gate events'!$A$4:$A$553,0))&lt;&gt;C314,"AIR-ID differs from event",IF(IF(INDEX('Gate events'!$P$4:$P$553,MATCH(B314,'Gate events'!$A$4:$A$553,0))="UC-ID specific",IF(OR(L314&lt;&gt;"UC-ID specific",K314=""),"Condition UC-ID required",IF(ISNUMBER(SEARCH(","&amp;SUBSTITUTE(K314," ","")&amp;",",","&amp;SUBSTITUTE(INDEX('Gate events'!$O$4:$O$553,MATCH(B314,'Gate events'!$A$4:$A$553,0))," ","")&amp;",")),"","UC-ID differs from decision")),IF(INDEX('Gate events'!$P$4:$P$553,MATCH(B314,'Gate events'!$A$4:$A$553,0))="Shared system baseline",IF(OR(L314&lt;&gt;"Shared system baseline",K314&lt;&gt;""),"Condition scope differs from decision",""),"Parent decision scope missing"))&lt;&gt;"",IF(INDEX('Gate events'!$P$4:$P$553,MATCH(B314,'Gate events'!$A$4:$A$553,0))="UC-ID specific",IF(OR(L314&lt;&gt;"UC-ID specific",K314=""),"Condition UC-ID required",IF(ISNUMBER(SEARCH(","&amp;SUBSTITUTE(K314," ","")&amp;",",","&amp;SUBSTITUTE(INDEX('Gate events'!$O$4:$O$553,MATCH(B314,'Gate events'!$A$4:$A$553,0))," ","")&amp;",")),"","UC-ID differs from decision")),IF(INDEX('Gate events'!$P$4:$P$553,MATCH(B314,'Gate events'!$A$4:$A$553,0))="Shared system baseline",IF(OR(L314&lt;&gt;"Shared system baseline",K314&lt;&gt;""),"Condition scope differs from decision",""),"Parent decision scope missing")),IF(OR(D314="",E314="",F314="",G314=""),"Condition, owner, due date or state missing",IF(NOT(ISNUMBER(F314)),"Due date is not a date",IF(OR(G314="Overdue",G314="Superseded"),"Legacy state — owner review (use the shared five states)",IF(INDEX('Gate events'!$E$4:$E$553,MATCH(B314,'Gate events'!$A$4:$A$553,0))&lt;&gt;"Decision","Parent event is not a Decision",IF(AND(INDEX('Gate events'!$G$4:$G$553,MATCH(B314,'Gate events'!$A$4:$A$553,0))&lt;&gt;"Progress with condition",INDEX('Gate events'!$G$4:$G$553,MATCH(B314,'Gate events'!$A$4:$A$553,0))&lt;&gt;"Re-authorise",INDEX('Gate events'!$G$4:$G$553,MATCH(B314,'Gate events'!$A$4:$A$553,0))&lt;&gt;"Resume"),"Parent outcome is not Progress with condition / Re-authorise / Resume",IF(AND(ISNUMBER(INDEX('Gate events'!$F$4:$F$553,MATCH(B314,'Gate events'!$A$4:$A$553,0))),F314&lt;INDEX('Gate events'!$F$4:$F$553,MATCH(B314,'Gate events'!$A$4:$A$553,0))),"Due date before parent event date",IF(AND(OR(G314="Closed-verified",G314="Waived",G314="Accepted-open"),OR(H314="",I314="")),"Closure evidence missing",IF(AND(H314&lt;&gt;"",NOT(ISNUMBER(H314))),"Closed / waived on is not a date",IF(AND(ISNUMBER(H314),ISNUMBER(INDEX('Gate events'!$F$4:$F$553,MATCH(B314,'Gate events'!$A$4:$A$553,0))),H314&lt;INDEX('Gate events'!$F$4:$F$553,MATCH(B314,'Gate events'!$A$4:$A$553,0))),"Closure date before parent event date",IF(AND(G314="Closed-verified",M314=""),"Verifier / date missing",IF(AND(N314="Yes",G314="Closed-verified",O314=""),"Monitoring condition needs AIG-OPS-02 evidence ref",IF(AND(G314="Open",F314&lt;TODAY()),"OVERDUE (derived) — review",IF(G314="Unknown","State Unknown: owner to confirm","Check against source")))))))))))))))))))</f>
        <v/>
      </c>
      <c r="K314" s="37" t="n"/>
      <c r="L314" s="37" t="n"/>
      <c r="M314" s="38" t="n"/>
      <c r="N314" s="38" t="n"/>
      <c r="O314" s="38" t="n"/>
    </row>
    <row r="315">
      <c r="A315" s="40" t="n"/>
      <c r="B315" s="40" t="n"/>
      <c r="C315" s="40" t="n"/>
      <c r="D315" s="40" t="n"/>
      <c r="E315" s="40" t="n"/>
      <c r="F315" s="41" t="n"/>
      <c r="G315" s="40" t="n"/>
      <c r="H315" s="41" t="n"/>
      <c r="I315" s="40" t="n"/>
      <c r="J315" s="24">
        <f>IF(COUNTA(A315:I315,K315:O315)=0,"",IF(OR(A315="",B315="",C315=""),"ID / parent missing",IF(COUNTIF($A$4:$A$553,A315)&gt;1,"Duplicate condition ID",IF(COUNTIF('Gate events'!$A$4:$A$553,B315)=0,"Event ID not found",IF(INDEX('Gate events'!$B$4:$B$553,MATCH(B315,'Gate events'!$A$4:$A$553,0))&lt;&gt;C315,"AIR-ID differs from event",IF(IF(INDEX('Gate events'!$P$4:$P$553,MATCH(B315,'Gate events'!$A$4:$A$553,0))="UC-ID specific",IF(OR(L315&lt;&gt;"UC-ID specific",K315=""),"Condition UC-ID required",IF(ISNUMBER(SEARCH(","&amp;SUBSTITUTE(K315," ","")&amp;",",","&amp;SUBSTITUTE(INDEX('Gate events'!$O$4:$O$553,MATCH(B315,'Gate events'!$A$4:$A$553,0))," ","")&amp;",")),"","UC-ID differs from decision")),IF(INDEX('Gate events'!$P$4:$P$553,MATCH(B315,'Gate events'!$A$4:$A$553,0))="Shared system baseline",IF(OR(L315&lt;&gt;"Shared system baseline",K315&lt;&gt;""),"Condition scope differs from decision",""),"Parent decision scope missing"))&lt;&gt;"",IF(INDEX('Gate events'!$P$4:$P$553,MATCH(B315,'Gate events'!$A$4:$A$553,0))="UC-ID specific",IF(OR(L315&lt;&gt;"UC-ID specific",K315=""),"Condition UC-ID required",IF(ISNUMBER(SEARCH(","&amp;SUBSTITUTE(K315," ","")&amp;",",","&amp;SUBSTITUTE(INDEX('Gate events'!$O$4:$O$553,MATCH(B315,'Gate events'!$A$4:$A$553,0))," ","")&amp;",")),"","UC-ID differs from decision")),IF(INDEX('Gate events'!$P$4:$P$553,MATCH(B315,'Gate events'!$A$4:$A$553,0))="Shared system baseline",IF(OR(L315&lt;&gt;"Shared system baseline",K315&lt;&gt;""),"Condition scope differs from decision",""),"Parent decision scope missing")),IF(OR(D315="",E315="",F315="",G315=""),"Condition, owner, due date or state missing",IF(NOT(ISNUMBER(F315)),"Due date is not a date",IF(OR(G315="Overdue",G315="Superseded"),"Legacy state — owner review (use the shared five states)",IF(INDEX('Gate events'!$E$4:$E$553,MATCH(B315,'Gate events'!$A$4:$A$553,0))&lt;&gt;"Decision","Parent event is not a Decision",IF(AND(INDEX('Gate events'!$G$4:$G$553,MATCH(B315,'Gate events'!$A$4:$A$553,0))&lt;&gt;"Progress with condition",INDEX('Gate events'!$G$4:$G$553,MATCH(B315,'Gate events'!$A$4:$A$553,0))&lt;&gt;"Re-authorise",INDEX('Gate events'!$G$4:$G$553,MATCH(B315,'Gate events'!$A$4:$A$553,0))&lt;&gt;"Resume"),"Parent outcome is not Progress with condition / Re-authorise / Resume",IF(AND(ISNUMBER(INDEX('Gate events'!$F$4:$F$553,MATCH(B315,'Gate events'!$A$4:$A$553,0))),F315&lt;INDEX('Gate events'!$F$4:$F$553,MATCH(B315,'Gate events'!$A$4:$A$553,0))),"Due date before parent event date",IF(AND(OR(G315="Closed-verified",G315="Waived",G315="Accepted-open"),OR(H315="",I315="")),"Closure evidence missing",IF(AND(H315&lt;&gt;"",NOT(ISNUMBER(H315))),"Closed / waived on is not a date",IF(AND(ISNUMBER(H315),ISNUMBER(INDEX('Gate events'!$F$4:$F$553,MATCH(B315,'Gate events'!$A$4:$A$553,0))),H315&lt;INDEX('Gate events'!$F$4:$F$553,MATCH(B315,'Gate events'!$A$4:$A$553,0))),"Closure date before parent event date",IF(AND(G315="Closed-verified",M315=""),"Verifier / date missing",IF(AND(N315="Yes",G315="Closed-verified",O315=""),"Monitoring condition needs AIG-OPS-02 evidence ref",IF(AND(G315="Open",F315&lt;TODAY()),"OVERDUE (derived) — review",IF(G315="Unknown","State Unknown: owner to confirm","Check against source")))))))))))))))))))</f>
        <v/>
      </c>
      <c r="K315" s="37" t="n"/>
      <c r="L315" s="37" t="n"/>
      <c r="M315" s="40" t="n"/>
      <c r="N315" s="40" t="n"/>
      <c r="O315" s="40" t="n"/>
    </row>
    <row r="316">
      <c r="A316" s="38" t="n"/>
      <c r="B316" s="38" t="n"/>
      <c r="C316" s="38" t="n"/>
      <c r="D316" s="38" t="n"/>
      <c r="E316" s="38" t="n"/>
      <c r="F316" s="39" t="n"/>
      <c r="G316" s="38" t="n"/>
      <c r="H316" s="39" t="n"/>
      <c r="I316" s="38" t="n"/>
      <c r="J316" s="22">
        <f>IF(COUNTA(A316:I316,K316:O316)=0,"",IF(OR(A316="",B316="",C316=""),"ID / parent missing",IF(COUNTIF($A$4:$A$553,A316)&gt;1,"Duplicate condition ID",IF(COUNTIF('Gate events'!$A$4:$A$553,B316)=0,"Event ID not found",IF(INDEX('Gate events'!$B$4:$B$553,MATCH(B316,'Gate events'!$A$4:$A$553,0))&lt;&gt;C316,"AIR-ID differs from event",IF(IF(INDEX('Gate events'!$P$4:$P$553,MATCH(B316,'Gate events'!$A$4:$A$553,0))="UC-ID specific",IF(OR(L316&lt;&gt;"UC-ID specific",K316=""),"Condition UC-ID required",IF(ISNUMBER(SEARCH(","&amp;SUBSTITUTE(K316," ","")&amp;",",","&amp;SUBSTITUTE(INDEX('Gate events'!$O$4:$O$553,MATCH(B316,'Gate events'!$A$4:$A$553,0))," ","")&amp;",")),"","UC-ID differs from decision")),IF(INDEX('Gate events'!$P$4:$P$553,MATCH(B316,'Gate events'!$A$4:$A$553,0))="Shared system baseline",IF(OR(L316&lt;&gt;"Shared system baseline",K316&lt;&gt;""),"Condition scope differs from decision",""),"Parent decision scope missing"))&lt;&gt;"",IF(INDEX('Gate events'!$P$4:$P$553,MATCH(B316,'Gate events'!$A$4:$A$553,0))="UC-ID specific",IF(OR(L316&lt;&gt;"UC-ID specific",K316=""),"Condition UC-ID required",IF(ISNUMBER(SEARCH(","&amp;SUBSTITUTE(K316," ","")&amp;",",","&amp;SUBSTITUTE(INDEX('Gate events'!$O$4:$O$553,MATCH(B316,'Gate events'!$A$4:$A$553,0))," ","")&amp;",")),"","UC-ID differs from decision")),IF(INDEX('Gate events'!$P$4:$P$553,MATCH(B316,'Gate events'!$A$4:$A$553,0))="Shared system baseline",IF(OR(L316&lt;&gt;"Shared system baseline",K316&lt;&gt;""),"Condition scope differs from decision",""),"Parent decision scope missing")),IF(OR(D316="",E316="",F316="",G316=""),"Condition, owner, due date or state missing",IF(NOT(ISNUMBER(F316)),"Due date is not a date",IF(OR(G316="Overdue",G316="Superseded"),"Legacy state — owner review (use the shared five states)",IF(INDEX('Gate events'!$E$4:$E$553,MATCH(B316,'Gate events'!$A$4:$A$553,0))&lt;&gt;"Decision","Parent event is not a Decision",IF(AND(INDEX('Gate events'!$G$4:$G$553,MATCH(B316,'Gate events'!$A$4:$A$553,0))&lt;&gt;"Progress with condition",INDEX('Gate events'!$G$4:$G$553,MATCH(B316,'Gate events'!$A$4:$A$553,0))&lt;&gt;"Re-authorise",INDEX('Gate events'!$G$4:$G$553,MATCH(B316,'Gate events'!$A$4:$A$553,0))&lt;&gt;"Resume"),"Parent outcome is not Progress with condition / Re-authorise / Resume",IF(AND(ISNUMBER(INDEX('Gate events'!$F$4:$F$553,MATCH(B316,'Gate events'!$A$4:$A$553,0))),F316&lt;INDEX('Gate events'!$F$4:$F$553,MATCH(B316,'Gate events'!$A$4:$A$553,0))),"Due date before parent event date",IF(AND(OR(G316="Closed-verified",G316="Waived",G316="Accepted-open"),OR(H316="",I316="")),"Closure evidence missing",IF(AND(H316&lt;&gt;"",NOT(ISNUMBER(H316))),"Closed / waived on is not a date",IF(AND(ISNUMBER(H316),ISNUMBER(INDEX('Gate events'!$F$4:$F$553,MATCH(B316,'Gate events'!$A$4:$A$553,0))),H316&lt;INDEX('Gate events'!$F$4:$F$553,MATCH(B316,'Gate events'!$A$4:$A$553,0))),"Closure date before parent event date",IF(AND(G316="Closed-verified",M316=""),"Verifier / date missing",IF(AND(N316="Yes",G316="Closed-verified",O316=""),"Monitoring condition needs AIG-OPS-02 evidence ref",IF(AND(G316="Open",F316&lt;TODAY()),"OVERDUE (derived) — review",IF(G316="Unknown","State Unknown: owner to confirm","Check against source")))))))))))))))))))</f>
        <v/>
      </c>
      <c r="K316" s="37" t="n"/>
      <c r="L316" s="37" t="n"/>
      <c r="M316" s="38" t="n"/>
      <c r="N316" s="38" t="n"/>
      <c r="O316" s="38" t="n"/>
    </row>
    <row r="317">
      <c r="A317" s="40" t="n"/>
      <c r="B317" s="40" t="n"/>
      <c r="C317" s="40" t="n"/>
      <c r="D317" s="40" t="n"/>
      <c r="E317" s="40" t="n"/>
      <c r="F317" s="41" t="n"/>
      <c r="G317" s="40" t="n"/>
      <c r="H317" s="41" t="n"/>
      <c r="I317" s="40" t="n"/>
      <c r="J317" s="24">
        <f>IF(COUNTA(A317:I317,K317:O317)=0,"",IF(OR(A317="",B317="",C317=""),"ID / parent missing",IF(COUNTIF($A$4:$A$553,A317)&gt;1,"Duplicate condition ID",IF(COUNTIF('Gate events'!$A$4:$A$553,B317)=0,"Event ID not found",IF(INDEX('Gate events'!$B$4:$B$553,MATCH(B317,'Gate events'!$A$4:$A$553,0))&lt;&gt;C317,"AIR-ID differs from event",IF(IF(INDEX('Gate events'!$P$4:$P$553,MATCH(B317,'Gate events'!$A$4:$A$553,0))="UC-ID specific",IF(OR(L317&lt;&gt;"UC-ID specific",K317=""),"Condition UC-ID required",IF(ISNUMBER(SEARCH(","&amp;SUBSTITUTE(K317," ","")&amp;",",","&amp;SUBSTITUTE(INDEX('Gate events'!$O$4:$O$553,MATCH(B317,'Gate events'!$A$4:$A$553,0))," ","")&amp;",")),"","UC-ID differs from decision")),IF(INDEX('Gate events'!$P$4:$P$553,MATCH(B317,'Gate events'!$A$4:$A$553,0))="Shared system baseline",IF(OR(L317&lt;&gt;"Shared system baseline",K317&lt;&gt;""),"Condition scope differs from decision",""),"Parent decision scope missing"))&lt;&gt;"",IF(INDEX('Gate events'!$P$4:$P$553,MATCH(B317,'Gate events'!$A$4:$A$553,0))="UC-ID specific",IF(OR(L317&lt;&gt;"UC-ID specific",K317=""),"Condition UC-ID required",IF(ISNUMBER(SEARCH(","&amp;SUBSTITUTE(K317," ","")&amp;",",","&amp;SUBSTITUTE(INDEX('Gate events'!$O$4:$O$553,MATCH(B317,'Gate events'!$A$4:$A$553,0))," ","")&amp;",")),"","UC-ID differs from decision")),IF(INDEX('Gate events'!$P$4:$P$553,MATCH(B317,'Gate events'!$A$4:$A$553,0))="Shared system baseline",IF(OR(L317&lt;&gt;"Shared system baseline",K317&lt;&gt;""),"Condition scope differs from decision",""),"Parent decision scope missing")),IF(OR(D317="",E317="",F317="",G317=""),"Condition, owner, due date or state missing",IF(NOT(ISNUMBER(F317)),"Due date is not a date",IF(OR(G317="Overdue",G317="Superseded"),"Legacy state — owner review (use the shared five states)",IF(INDEX('Gate events'!$E$4:$E$553,MATCH(B317,'Gate events'!$A$4:$A$553,0))&lt;&gt;"Decision","Parent event is not a Decision",IF(AND(INDEX('Gate events'!$G$4:$G$553,MATCH(B317,'Gate events'!$A$4:$A$553,0))&lt;&gt;"Progress with condition",INDEX('Gate events'!$G$4:$G$553,MATCH(B317,'Gate events'!$A$4:$A$553,0))&lt;&gt;"Re-authorise",INDEX('Gate events'!$G$4:$G$553,MATCH(B317,'Gate events'!$A$4:$A$553,0))&lt;&gt;"Resume"),"Parent outcome is not Progress with condition / Re-authorise / Resume",IF(AND(ISNUMBER(INDEX('Gate events'!$F$4:$F$553,MATCH(B317,'Gate events'!$A$4:$A$553,0))),F317&lt;INDEX('Gate events'!$F$4:$F$553,MATCH(B317,'Gate events'!$A$4:$A$553,0))),"Due date before parent event date",IF(AND(OR(G317="Closed-verified",G317="Waived",G317="Accepted-open"),OR(H317="",I317="")),"Closure evidence missing",IF(AND(H317&lt;&gt;"",NOT(ISNUMBER(H317))),"Closed / waived on is not a date",IF(AND(ISNUMBER(H317),ISNUMBER(INDEX('Gate events'!$F$4:$F$553,MATCH(B317,'Gate events'!$A$4:$A$553,0))),H317&lt;INDEX('Gate events'!$F$4:$F$553,MATCH(B317,'Gate events'!$A$4:$A$553,0))),"Closure date before parent event date",IF(AND(G317="Closed-verified",M317=""),"Verifier / date missing",IF(AND(N317="Yes",G317="Closed-verified",O317=""),"Monitoring condition needs AIG-OPS-02 evidence ref",IF(AND(G317="Open",F317&lt;TODAY()),"OVERDUE (derived) — review",IF(G317="Unknown","State Unknown: owner to confirm","Check against source")))))))))))))))))))</f>
        <v/>
      </c>
      <c r="K317" s="37" t="n"/>
      <c r="L317" s="37" t="n"/>
      <c r="M317" s="40" t="n"/>
      <c r="N317" s="40" t="n"/>
      <c r="O317" s="40" t="n"/>
    </row>
    <row r="318">
      <c r="A318" s="38" t="n"/>
      <c r="B318" s="38" t="n"/>
      <c r="C318" s="38" t="n"/>
      <c r="D318" s="38" t="n"/>
      <c r="E318" s="38" t="n"/>
      <c r="F318" s="39" t="n"/>
      <c r="G318" s="38" t="n"/>
      <c r="H318" s="39" t="n"/>
      <c r="I318" s="38" t="n"/>
      <c r="J318" s="22">
        <f>IF(COUNTA(A318:I318,K318:O318)=0,"",IF(OR(A318="",B318="",C318=""),"ID / parent missing",IF(COUNTIF($A$4:$A$553,A318)&gt;1,"Duplicate condition ID",IF(COUNTIF('Gate events'!$A$4:$A$553,B318)=0,"Event ID not found",IF(INDEX('Gate events'!$B$4:$B$553,MATCH(B318,'Gate events'!$A$4:$A$553,0))&lt;&gt;C318,"AIR-ID differs from event",IF(IF(INDEX('Gate events'!$P$4:$P$553,MATCH(B318,'Gate events'!$A$4:$A$553,0))="UC-ID specific",IF(OR(L318&lt;&gt;"UC-ID specific",K318=""),"Condition UC-ID required",IF(ISNUMBER(SEARCH(","&amp;SUBSTITUTE(K318," ","")&amp;",",","&amp;SUBSTITUTE(INDEX('Gate events'!$O$4:$O$553,MATCH(B318,'Gate events'!$A$4:$A$553,0))," ","")&amp;",")),"","UC-ID differs from decision")),IF(INDEX('Gate events'!$P$4:$P$553,MATCH(B318,'Gate events'!$A$4:$A$553,0))="Shared system baseline",IF(OR(L318&lt;&gt;"Shared system baseline",K318&lt;&gt;""),"Condition scope differs from decision",""),"Parent decision scope missing"))&lt;&gt;"",IF(INDEX('Gate events'!$P$4:$P$553,MATCH(B318,'Gate events'!$A$4:$A$553,0))="UC-ID specific",IF(OR(L318&lt;&gt;"UC-ID specific",K318=""),"Condition UC-ID required",IF(ISNUMBER(SEARCH(","&amp;SUBSTITUTE(K318," ","")&amp;",",","&amp;SUBSTITUTE(INDEX('Gate events'!$O$4:$O$553,MATCH(B318,'Gate events'!$A$4:$A$553,0))," ","")&amp;",")),"","UC-ID differs from decision")),IF(INDEX('Gate events'!$P$4:$P$553,MATCH(B318,'Gate events'!$A$4:$A$553,0))="Shared system baseline",IF(OR(L318&lt;&gt;"Shared system baseline",K318&lt;&gt;""),"Condition scope differs from decision",""),"Parent decision scope missing")),IF(OR(D318="",E318="",F318="",G318=""),"Condition, owner, due date or state missing",IF(NOT(ISNUMBER(F318)),"Due date is not a date",IF(OR(G318="Overdue",G318="Superseded"),"Legacy state — owner review (use the shared five states)",IF(INDEX('Gate events'!$E$4:$E$553,MATCH(B318,'Gate events'!$A$4:$A$553,0))&lt;&gt;"Decision","Parent event is not a Decision",IF(AND(INDEX('Gate events'!$G$4:$G$553,MATCH(B318,'Gate events'!$A$4:$A$553,0))&lt;&gt;"Progress with condition",INDEX('Gate events'!$G$4:$G$553,MATCH(B318,'Gate events'!$A$4:$A$553,0))&lt;&gt;"Re-authorise",INDEX('Gate events'!$G$4:$G$553,MATCH(B318,'Gate events'!$A$4:$A$553,0))&lt;&gt;"Resume"),"Parent outcome is not Progress with condition / Re-authorise / Resume",IF(AND(ISNUMBER(INDEX('Gate events'!$F$4:$F$553,MATCH(B318,'Gate events'!$A$4:$A$553,0))),F318&lt;INDEX('Gate events'!$F$4:$F$553,MATCH(B318,'Gate events'!$A$4:$A$553,0))),"Due date before parent event date",IF(AND(OR(G318="Closed-verified",G318="Waived",G318="Accepted-open"),OR(H318="",I318="")),"Closure evidence missing",IF(AND(H318&lt;&gt;"",NOT(ISNUMBER(H318))),"Closed / waived on is not a date",IF(AND(ISNUMBER(H318),ISNUMBER(INDEX('Gate events'!$F$4:$F$553,MATCH(B318,'Gate events'!$A$4:$A$553,0))),H318&lt;INDEX('Gate events'!$F$4:$F$553,MATCH(B318,'Gate events'!$A$4:$A$553,0))),"Closure date before parent event date",IF(AND(G318="Closed-verified",M318=""),"Verifier / date missing",IF(AND(N318="Yes",G318="Closed-verified",O318=""),"Monitoring condition needs AIG-OPS-02 evidence ref",IF(AND(G318="Open",F318&lt;TODAY()),"OVERDUE (derived) — review",IF(G318="Unknown","State Unknown: owner to confirm","Check against source")))))))))))))))))))</f>
        <v/>
      </c>
      <c r="K318" s="37" t="n"/>
      <c r="L318" s="37" t="n"/>
      <c r="M318" s="38" t="n"/>
      <c r="N318" s="38" t="n"/>
      <c r="O318" s="38" t="n"/>
    </row>
    <row r="319">
      <c r="A319" s="40" t="n"/>
      <c r="B319" s="40" t="n"/>
      <c r="C319" s="40" t="n"/>
      <c r="D319" s="40" t="n"/>
      <c r="E319" s="40" t="n"/>
      <c r="F319" s="41" t="n"/>
      <c r="G319" s="40" t="n"/>
      <c r="H319" s="41" t="n"/>
      <c r="I319" s="40" t="n"/>
      <c r="J319" s="24">
        <f>IF(COUNTA(A319:I319,K319:O319)=0,"",IF(OR(A319="",B319="",C319=""),"ID / parent missing",IF(COUNTIF($A$4:$A$553,A319)&gt;1,"Duplicate condition ID",IF(COUNTIF('Gate events'!$A$4:$A$553,B319)=0,"Event ID not found",IF(INDEX('Gate events'!$B$4:$B$553,MATCH(B319,'Gate events'!$A$4:$A$553,0))&lt;&gt;C319,"AIR-ID differs from event",IF(IF(INDEX('Gate events'!$P$4:$P$553,MATCH(B319,'Gate events'!$A$4:$A$553,0))="UC-ID specific",IF(OR(L319&lt;&gt;"UC-ID specific",K319=""),"Condition UC-ID required",IF(ISNUMBER(SEARCH(","&amp;SUBSTITUTE(K319," ","")&amp;",",","&amp;SUBSTITUTE(INDEX('Gate events'!$O$4:$O$553,MATCH(B319,'Gate events'!$A$4:$A$553,0))," ","")&amp;",")),"","UC-ID differs from decision")),IF(INDEX('Gate events'!$P$4:$P$553,MATCH(B319,'Gate events'!$A$4:$A$553,0))="Shared system baseline",IF(OR(L319&lt;&gt;"Shared system baseline",K319&lt;&gt;""),"Condition scope differs from decision",""),"Parent decision scope missing"))&lt;&gt;"",IF(INDEX('Gate events'!$P$4:$P$553,MATCH(B319,'Gate events'!$A$4:$A$553,0))="UC-ID specific",IF(OR(L319&lt;&gt;"UC-ID specific",K319=""),"Condition UC-ID required",IF(ISNUMBER(SEARCH(","&amp;SUBSTITUTE(K319," ","")&amp;",",","&amp;SUBSTITUTE(INDEX('Gate events'!$O$4:$O$553,MATCH(B319,'Gate events'!$A$4:$A$553,0))," ","")&amp;",")),"","UC-ID differs from decision")),IF(INDEX('Gate events'!$P$4:$P$553,MATCH(B319,'Gate events'!$A$4:$A$553,0))="Shared system baseline",IF(OR(L319&lt;&gt;"Shared system baseline",K319&lt;&gt;""),"Condition scope differs from decision",""),"Parent decision scope missing")),IF(OR(D319="",E319="",F319="",G319=""),"Condition, owner, due date or state missing",IF(NOT(ISNUMBER(F319)),"Due date is not a date",IF(OR(G319="Overdue",G319="Superseded"),"Legacy state — owner review (use the shared five states)",IF(INDEX('Gate events'!$E$4:$E$553,MATCH(B319,'Gate events'!$A$4:$A$553,0))&lt;&gt;"Decision","Parent event is not a Decision",IF(AND(INDEX('Gate events'!$G$4:$G$553,MATCH(B319,'Gate events'!$A$4:$A$553,0))&lt;&gt;"Progress with condition",INDEX('Gate events'!$G$4:$G$553,MATCH(B319,'Gate events'!$A$4:$A$553,0))&lt;&gt;"Re-authorise",INDEX('Gate events'!$G$4:$G$553,MATCH(B319,'Gate events'!$A$4:$A$553,0))&lt;&gt;"Resume"),"Parent outcome is not Progress with condition / Re-authorise / Resume",IF(AND(ISNUMBER(INDEX('Gate events'!$F$4:$F$553,MATCH(B319,'Gate events'!$A$4:$A$553,0))),F319&lt;INDEX('Gate events'!$F$4:$F$553,MATCH(B319,'Gate events'!$A$4:$A$553,0))),"Due date before parent event date",IF(AND(OR(G319="Closed-verified",G319="Waived",G319="Accepted-open"),OR(H319="",I319="")),"Closure evidence missing",IF(AND(H319&lt;&gt;"",NOT(ISNUMBER(H319))),"Closed / waived on is not a date",IF(AND(ISNUMBER(H319),ISNUMBER(INDEX('Gate events'!$F$4:$F$553,MATCH(B319,'Gate events'!$A$4:$A$553,0))),H319&lt;INDEX('Gate events'!$F$4:$F$553,MATCH(B319,'Gate events'!$A$4:$A$553,0))),"Closure date before parent event date",IF(AND(G319="Closed-verified",M319=""),"Verifier / date missing",IF(AND(N319="Yes",G319="Closed-verified",O319=""),"Monitoring condition needs AIG-OPS-02 evidence ref",IF(AND(G319="Open",F319&lt;TODAY()),"OVERDUE (derived) — review",IF(G319="Unknown","State Unknown: owner to confirm","Check against source")))))))))))))))))))</f>
        <v/>
      </c>
      <c r="K319" s="37" t="n"/>
      <c r="L319" s="37" t="n"/>
      <c r="M319" s="40" t="n"/>
      <c r="N319" s="40" t="n"/>
      <c r="O319" s="40" t="n"/>
    </row>
    <row r="320">
      <c r="A320" s="38" t="n"/>
      <c r="B320" s="38" t="n"/>
      <c r="C320" s="38" t="n"/>
      <c r="D320" s="38" t="n"/>
      <c r="E320" s="38" t="n"/>
      <c r="F320" s="39" t="n"/>
      <c r="G320" s="38" t="n"/>
      <c r="H320" s="39" t="n"/>
      <c r="I320" s="38" t="n"/>
      <c r="J320" s="22">
        <f>IF(COUNTA(A320:I320,K320:O320)=0,"",IF(OR(A320="",B320="",C320=""),"ID / parent missing",IF(COUNTIF($A$4:$A$553,A320)&gt;1,"Duplicate condition ID",IF(COUNTIF('Gate events'!$A$4:$A$553,B320)=0,"Event ID not found",IF(INDEX('Gate events'!$B$4:$B$553,MATCH(B320,'Gate events'!$A$4:$A$553,0))&lt;&gt;C320,"AIR-ID differs from event",IF(IF(INDEX('Gate events'!$P$4:$P$553,MATCH(B320,'Gate events'!$A$4:$A$553,0))="UC-ID specific",IF(OR(L320&lt;&gt;"UC-ID specific",K320=""),"Condition UC-ID required",IF(ISNUMBER(SEARCH(","&amp;SUBSTITUTE(K320," ","")&amp;",",","&amp;SUBSTITUTE(INDEX('Gate events'!$O$4:$O$553,MATCH(B320,'Gate events'!$A$4:$A$553,0))," ","")&amp;",")),"","UC-ID differs from decision")),IF(INDEX('Gate events'!$P$4:$P$553,MATCH(B320,'Gate events'!$A$4:$A$553,0))="Shared system baseline",IF(OR(L320&lt;&gt;"Shared system baseline",K320&lt;&gt;""),"Condition scope differs from decision",""),"Parent decision scope missing"))&lt;&gt;"",IF(INDEX('Gate events'!$P$4:$P$553,MATCH(B320,'Gate events'!$A$4:$A$553,0))="UC-ID specific",IF(OR(L320&lt;&gt;"UC-ID specific",K320=""),"Condition UC-ID required",IF(ISNUMBER(SEARCH(","&amp;SUBSTITUTE(K320," ","")&amp;",",","&amp;SUBSTITUTE(INDEX('Gate events'!$O$4:$O$553,MATCH(B320,'Gate events'!$A$4:$A$553,0))," ","")&amp;",")),"","UC-ID differs from decision")),IF(INDEX('Gate events'!$P$4:$P$553,MATCH(B320,'Gate events'!$A$4:$A$553,0))="Shared system baseline",IF(OR(L320&lt;&gt;"Shared system baseline",K320&lt;&gt;""),"Condition scope differs from decision",""),"Parent decision scope missing")),IF(OR(D320="",E320="",F320="",G320=""),"Condition, owner, due date or state missing",IF(NOT(ISNUMBER(F320)),"Due date is not a date",IF(OR(G320="Overdue",G320="Superseded"),"Legacy state — owner review (use the shared five states)",IF(INDEX('Gate events'!$E$4:$E$553,MATCH(B320,'Gate events'!$A$4:$A$553,0))&lt;&gt;"Decision","Parent event is not a Decision",IF(AND(INDEX('Gate events'!$G$4:$G$553,MATCH(B320,'Gate events'!$A$4:$A$553,0))&lt;&gt;"Progress with condition",INDEX('Gate events'!$G$4:$G$553,MATCH(B320,'Gate events'!$A$4:$A$553,0))&lt;&gt;"Re-authorise",INDEX('Gate events'!$G$4:$G$553,MATCH(B320,'Gate events'!$A$4:$A$553,0))&lt;&gt;"Resume"),"Parent outcome is not Progress with condition / Re-authorise / Resume",IF(AND(ISNUMBER(INDEX('Gate events'!$F$4:$F$553,MATCH(B320,'Gate events'!$A$4:$A$553,0))),F320&lt;INDEX('Gate events'!$F$4:$F$553,MATCH(B320,'Gate events'!$A$4:$A$553,0))),"Due date before parent event date",IF(AND(OR(G320="Closed-verified",G320="Waived",G320="Accepted-open"),OR(H320="",I320="")),"Closure evidence missing",IF(AND(H320&lt;&gt;"",NOT(ISNUMBER(H320))),"Closed / waived on is not a date",IF(AND(ISNUMBER(H320),ISNUMBER(INDEX('Gate events'!$F$4:$F$553,MATCH(B320,'Gate events'!$A$4:$A$553,0))),H320&lt;INDEX('Gate events'!$F$4:$F$553,MATCH(B320,'Gate events'!$A$4:$A$553,0))),"Closure date before parent event date",IF(AND(G320="Closed-verified",M320=""),"Verifier / date missing",IF(AND(N320="Yes",G320="Closed-verified",O320=""),"Monitoring condition needs AIG-OPS-02 evidence ref",IF(AND(G320="Open",F320&lt;TODAY()),"OVERDUE (derived) — review",IF(G320="Unknown","State Unknown: owner to confirm","Check against source")))))))))))))))))))</f>
        <v/>
      </c>
      <c r="K320" s="37" t="n"/>
      <c r="L320" s="37" t="n"/>
      <c r="M320" s="38" t="n"/>
      <c r="N320" s="38" t="n"/>
      <c r="O320" s="38" t="n"/>
    </row>
    <row r="321">
      <c r="A321" s="40" t="n"/>
      <c r="B321" s="40" t="n"/>
      <c r="C321" s="40" t="n"/>
      <c r="D321" s="40" t="n"/>
      <c r="E321" s="40" t="n"/>
      <c r="F321" s="41" t="n"/>
      <c r="G321" s="40" t="n"/>
      <c r="H321" s="41" t="n"/>
      <c r="I321" s="40" t="n"/>
      <c r="J321" s="24">
        <f>IF(COUNTA(A321:I321,K321:O321)=0,"",IF(OR(A321="",B321="",C321=""),"ID / parent missing",IF(COUNTIF($A$4:$A$553,A321)&gt;1,"Duplicate condition ID",IF(COUNTIF('Gate events'!$A$4:$A$553,B321)=0,"Event ID not found",IF(INDEX('Gate events'!$B$4:$B$553,MATCH(B321,'Gate events'!$A$4:$A$553,0))&lt;&gt;C321,"AIR-ID differs from event",IF(IF(INDEX('Gate events'!$P$4:$P$553,MATCH(B321,'Gate events'!$A$4:$A$553,0))="UC-ID specific",IF(OR(L321&lt;&gt;"UC-ID specific",K321=""),"Condition UC-ID required",IF(ISNUMBER(SEARCH(","&amp;SUBSTITUTE(K321," ","")&amp;",",","&amp;SUBSTITUTE(INDEX('Gate events'!$O$4:$O$553,MATCH(B321,'Gate events'!$A$4:$A$553,0))," ","")&amp;",")),"","UC-ID differs from decision")),IF(INDEX('Gate events'!$P$4:$P$553,MATCH(B321,'Gate events'!$A$4:$A$553,0))="Shared system baseline",IF(OR(L321&lt;&gt;"Shared system baseline",K321&lt;&gt;""),"Condition scope differs from decision",""),"Parent decision scope missing"))&lt;&gt;"",IF(INDEX('Gate events'!$P$4:$P$553,MATCH(B321,'Gate events'!$A$4:$A$553,0))="UC-ID specific",IF(OR(L321&lt;&gt;"UC-ID specific",K321=""),"Condition UC-ID required",IF(ISNUMBER(SEARCH(","&amp;SUBSTITUTE(K321," ","")&amp;",",","&amp;SUBSTITUTE(INDEX('Gate events'!$O$4:$O$553,MATCH(B321,'Gate events'!$A$4:$A$553,0))," ","")&amp;",")),"","UC-ID differs from decision")),IF(INDEX('Gate events'!$P$4:$P$553,MATCH(B321,'Gate events'!$A$4:$A$553,0))="Shared system baseline",IF(OR(L321&lt;&gt;"Shared system baseline",K321&lt;&gt;""),"Condition scope differs from decision",""),"Parent decision scope missing")),IF(OR(D321="",E321="",F321="",G321=""),"Condition, owner, due date or state missing",IF(NOT(ISNUMBER(F321)),"Due date is not a date",IF(OR(G321="Overdue",G321="Superseded"),"Legacy state — owner review (use the shared five states)",IF(INDEX('Gate events'!$E$4:$E$553,MATCH(B321,'Gate events'!$A$4:$A$553,0))&lt;&gt;"Decision","Parent event is not a Decision",IF(AND(INDEX('Gate events'!$G$4:$G$553,MATCH(B321,'Gate events'!$A$4:$A$553,0))&lt;&gt;"Progress with condition",INDEX('Gate events'!$G$4:$G$553,MATCH(B321,'Gate events'!$A$4:$A$553,0))&lt;&gt;"Re-authorise",INDEX('Gate events'!$G$4:$G$553,MATCH(B321,'Gate events'!$A$4:$A$553,0))&lt;&gt;"Resume"),"Parent outcome is not Progress with condition / Re-authorise / Resume",IF(AND(ISNUMBER(INDEX('Gate events'!$F$4:$F$553,MATCH(B321,'Gate events'!$A$4:$A$553,0))),F321&lt;INDEX('Gate events'!$F$4:$F$553,MATCH(B321,'Gate events'!$A$4:$A$553,0))),"Due date before parent event date",IF(AND(OR(G321="Closed-verified",G321="Waived",G321="Accepted-open"),OR(H321="",I321="")),"Closure evidence missing",IF(AND(H321&lt;&gt;"",NOT(ISNUMBER(H321))),"Closed / waived on is not a date",IF(AND(ISNUMBER(H321),ISNUMBER(INDEX('Gate events'!$F$4:$F$553,MATCH(B321,'Gate events'!$A$4:$A$553,0))),H321&lt;INDEX('Gate events'!$F$4:$F$553,MATCH(B321,'Gate events'!$A$4:$A$553,0))),"Closure date before parent event date",IF(AND(G321="Closed-verified",M321=""),"Verifier / date missing",IF(AND(N321="Yes",G321="Closed-verified",O321=""),"Monitoring condition needs AIG-OPS-02 evidence ref",IF(AND(G321="Open",F321&lt;TODAY()),"OVERDUE (derived) — review",IF(G321="Unknown","State Unknown: owner to confirm","Check against source")))))))))))))))))))</f>
        <v/>
      </c>
      <c r="K321" s="37" t="n"/>
      <c r="L321" s="37" t="n"/>
      <c r="M321" s="40" t="n"/>
      <c r="N321" s="40" t="n"/>
      <c r="O321" s="40" t="n"/>
    </row>
    <row r="322">
      <c r="A322" s="38" t="n"/>
      <c r="B322" s="38" t="n"/>
      <c r="C322" s="38" t="n"/>
      <c r="D322" s="38" t="n"/>
      <c r="E322" s="38" t="n"/>
      <c r="F322" s="39" t="n"/>
      <c r="G322" s="38" t="n"/>
      <c r="H322" s="39" t="n"/>
      <c r="I322" s="38" t="n"/>
      <c r="J322" s="22">
        <f>IF(COUNTA(A322:I322,K322:O322)=0,"",IF(OR(A322="",B322="",C322=""),"ID / parent missing",IF(COUNTIF($A$4:$A$553,A322)&gt;1,"Duplicate condition ID",IF(COUNTIF('Gate events'!$A$4:$A$553,B322)=0,"Event ID not found",IF(INDEX('Gate events'!$B$4:$B$553,MATCH(B322,'Gate events'!$A$4:$A$553,0))&lt;&gt;C322,"AIR-ID differs from event",IF(IF(INDEX('Gate events'!$P$4:$P$553,MATCH(B322,'Gate events'!$A$4:$A$553,0))="UC-ID specific",IF(OR(L322&lt;&gt;"UC-ID specific",K322=""),"Condition UC-ID required",IF(ISNUMBER(SEARCH(","&amp;SUBSTITUTE(K322," ","")&amp;",",","&amp;SUBSTITUTE(INDEX('Gate events'!$O$4:$O$553,MATCH(B322,'Gate events'!$A$4:$A$553,0))," ","")&amp;",")),"","UC-ID differs from decision")),IF(INDEX('Gate events'!$P$4:$P$553,MATCH(B322,'Gate events'!$A$4:$A$553,0))="Shared system baseline",IF(OR(L322&lt;&gt;"Shared system baseline",K322&lt;&gt;""),"Condition scope differs from decision",""),"Parent decision scope missing"))&lt;&gt;"",IF(INDEX('Gate events'!$P$4:$P$553,MATCH(B322,'Gate events'!$A$4:$A$553,0))="UC-ID specific",IF(OR(L322&lt;&gt;"UC-ID specific",K322=""),"Condition UC-ID required",IF(ISNUMBER(SEARCH(","&amp;SUBSTITUTE(K322," ","")&amp;",",","&amp;SUBSTITUTE(INDEX('Gate events'!$O$4:$O$553,MATCH(B322,'Gate events'!$A$4:$A$553,0))," ","")&amp;",")),"","UC-ID differs from decision")),IF(INDEX('Gate events'!$P$4:$P$553,MATCH(B322,'Gate events'!$A$4:$A$553,0))="Shared system baseline",IF(OR(L322&lt;&gt;"Shared system baseline",K322&lt;&gt;""),"Condition scope differs from decision",""),"Parent decision scope missing")),IF(OR(D322="",E322="",F322="",G322=""),"Condition, owner, due date or state missing",IF(NOT(ISNUMBER(F322)),"Due date is not a date",IF(OR(G322="Overdue",G322="Superseded"),"Legacy state — owner review (use the shared five states)",IF(INDEX('Gate events'!$E$4:$E$553,MATCH(B322,'Gate events'!$A$4:$A$553,0))&lt;&gt;"Decision","Parent event is not a Decision",IF(AND(INDEX('Gate events'!$G$4:$G$553,MATCH(B322,'Gate events'!$A$4:$A$553,0))&lt;&gt;"Progress with condition",INDEX('Gate events'!$G$4:$G$553,MATCH(B322,'Gate events'!$A$4:$A$553,0))&lt;&gt;"Re-authorise",INDEX('Gate events'!$G$4:$G$553,MATCH(B322,'Gate events'!$A$4:$A$553,0))&lt;&gt;"Resume"),"Parent outcome is not Progress with condition / Re-authorise / Resume",IF(AND(ISNUMBER(INDEX('Gate events'!$F$4:$F$553,MATCH(B322,'Gate events'!$A$4:$A$553,0))),F322&lt;INDEX('Gate events'!$F$4:$F$553,MATCH(B322,'Gate events'!$A$4:$A$553,0))),"Due date before parent event date",IF(AND(OR(G322="Closed-verified",G322="Waived",G322="Accepted-open"),OR(H322="",I322="")),"Closure evidence missing",IF(AND(H322&lt;&gt;"",NOT(ISNUMBER(H322))),"Closed / waived on is not a date",IF(AND(ISNUMBER(H322),ISNUMBER(INDEX('Gate events'!$F$4:$F$553,MATCH(B322,'Gate events'!$A$4:$A$553,0))),H322&lt;INDEX('Gate events'!$F$4:$F$553,MATCH(B322,'Gate events'!$A$4:$A$553,0))),"Closure date before parent event date",IF(AND(G322="Closed-verified",M322=""),"Verifier / date missing",IF(AND(N322="Yes",G322="Closed-verified",O322=""),"Monitoring condition needs AIG-OPS-02 evidence ref",IF(AND(G322="Open",F322&lt;TODAY()),"OVERDUE (derived) — review",IF(G322="Unknown","State Unknown: owner to confirm","Check against source")))))))))))))))))))</f>
        <v/>
      </c>
      <c r="K322" s="37" t="n"/>
      <c r="L322" s="37" t="n"/>
      <c r="M322" s="38" t="n"/>
      <c r="N322" s="38" t="n"/>
      <c r="O322" s="38" t="n"/>
    </row>
    <row r="323">
      <c r="A323" s="40" t="n"/>
      <c r="B323" s="40" t="n"/>
      <c r="C323" s="40" t="n"/>
      <c r="D323" s="40" t="n"/>
      <c r="E323" s="40" t="n"/>
      <c r="F323" s="41" t="n"/>
      <c r="G323" s="40" t="n"/>
      <c r="H323" s="41" t="n"/>
      <c r="I323" s="40" t="n"/>
      <c r="J323" s="24">
        <f>IF(COUNTA(A323:I323,K323:O323)=0,"",IF(OR(A323="",B323="",C323=""),"ID / parent missing",IF(COUNTIF($A$4:$A$553,A323)&gt;1,"Duplicate condition ID",IF(COUNTIF('Gate events'!$A$4:$A$553,B323)=0,"Event ID not found",IF(INDEX('Gate events'!$B$4:$B$553,MATCH(B323,'Gate events'!$A$4:$A$553,0))&lt;&gt;C323,"AIR-ID differs from event",IF(IF(INDEX('Gate events'!$P$4:$P$553,MATCH(B323,'Gate events'!$A$4:$A$553,0))="UC-ID specific",IF(OR(L323&lt;&gt;"UC-ID specific",K323=""),"Condition UC-ID required",IF(ISNUMBER(SEARCH(","&amp;SUBSTITUTE(K323," ","")&amp;",",","&amp;SUBSTITUTE(INDEX('Gate events'!$O$4:$O$553,MATCH(B323,'Gate events'!$A$4:$A$553,0))," ","")&amp;",")),"","UC-ID differs from decision")),IF(INDEX('Gate events'!$P$4:$P$553,MATCH(B323,'Gate events'!$A$4:$A$553,0))="Shared system baseline",IF(OR(L323&lt;&gt;"Shared system baseline",K323&lt;&gt;""),"Condition scope differs from decision",""),"Parent decision scope missing"))&lt;&gt;"",IF(INDEX('Gate events'!$P$4:$P$553,MATCH(B323,'Gate events'!$A$4:$A$553,0))="UC-ID specific",IF(OR(L323&lt;&gt;"UC-ID specific",K323=""),"Condition UC-ID required",IF(ISNUMBER(SEARCH(","&amp;SUBSTITUTE(K323," ","")&amp;",",","&amp;SUBSTITUTE(INDEX('Gate events'!$O$4:$O$553,MATCH(B323,'Gate events'!$A$4:$A$553,0))," ","")&amp;",")),"","UC-ID differs from decision")),IF(INDEX('Gate events'!$P$4:$P$553,MATCH(B323,'Gate events'!$A$4:$A$553,0))="Shared system baseline",IF(OR(L323&lt;&gt;"Shared system baseline",K323&lt;&gt;""),"Condition scope differs from decision",""),"Parent decision scope missing")),IF(OR(D323="",E323="",F323="",G323=""),"Condition, owner, due date or state missing",IF(NOT(ISNUMBER(F323)),"Due date is not a date",IF(OR(G323="Overdue",G323="Superseded"),"Legacy state — owner review (use the shared five states)",IF(INDEX('Gate events'!$E$4:$E$553,MATCH(B323,'Gate events'!$A$4:$A$553,0))&lt;&gt;"Decision","Parent event is not a Decision",IF(AND(INDEX('Gate events'!$G$4:$G$553,MATCH(B323,'Gate events'!$A$4:$A$553,0))&lt;&gt;"Progress with condition",INDEX('Gate events'!$G$4:$G$553,MATCH(B323,'Gate events'!$A$4:$A$553,0))&lt;&gt;"Re-authorise",INDEX('Gate events'!$G$4:$G$553,MATCH(B323,'Gate events'!$A$4:$A$553,0))&lt;&gt;"Resume"),"Parent outcome is not Progress with condition / Re-authorise / Resume",IF(AND(ISNUMBER(INDEX('Gate events'!$F$4:$F$553,MATCH(B323,'Gate events'!$A$4:$A$553,0))),F323&lt;INDEX('Gate events'!$F$4:$F$553,MATCH(B323,'Gate events'!$A$4:$A$553,0))),"Due date before parent event date",IF(AND(OR(G323="Closed-verified",G323="Waived",G323="Accepted-open"),OR(H323="",I323="")),"Closure evidence missing",IF(AND(H323&lt;&gt;"",NOT(ISNUMBER(H323))),"Closed / waived on is not a date",IF(AND(ISNUMBER(H323),ISNUMBER(INDEX('Gate events'!$F$4:$F$553,MATCH(B323,'Gate events'!$A$4:$A$553,0))),H323&lt;INDEX('Gate events'!$F$4:$F$553,MATCH(B323,'Gate events'!$A$4:$A$553,0))),"Closure date before parent event date",IF(AND(G323="Closed-verified",M323=""),"Verifier / date missing",IF(AND(N323="Yes",G323="Closed-verified",O323=""),"Monitoring condition needs AIG-OPS-02 evidence ref",IF(AND(G323="Open",F323&lt;TODAY()),"OVERDUE (derived) — review",IF(G323="Unknown","State Unknown: owner to confirm","Check against source")))))))))))))))))))</f>
        <v/>
      </c>
      <c r="K323" s="37" t="n"/>
      <c r="L323" s="37" t="n"/>
      <c r="M323" s="40" t="n"/>
      <c r="N323" s="40" t="n"/>
      <c r="O323" s="40" t="n"/>
    </row>
    <row r="324">
      <c r="A324" s="38" t="n"/>
      <c r="B324" s="38" t="n"/>
      <c r="C324" s="38" t="n"/>
      <c r="D324" s="38" t="n"/>
      <c r="E324" s="38" t="n"/>
      <c r="F324" s="39" t="n"/>
      <c r="G324" s="38" t="n"/>
      <c r="H324" s="39" t="n"/>
      <c r="I324" s="38" t="n"/>
      <c r="J324" s="22">
        <f>IF(COUNTA(A324:I324,K324:O324)=0,"",IF(OR(A324="",B324="",C324=""),"ID / parent missing",IF(COUNTIF($A$4:$A$553,A324)&gt;1,"Duplicate condition ID",IF(COUNTIF('Gate events'!$A$4:$A$553,B324)=0,"Event ID not found",IF(INDEX('Gate events'!$B$4:$B$553,MATCH(B324,'Gate events'!$A$4:$A$553,0))&lt;&gt;C324,"AIR-ID differs from event",IF(IF(INDEX('Gate events'!$P$4:$P$553,MATCH(B324,'Gate events'!$A$4:$A$553,0))="UC-ID specific",IF(OR(L324&lt;&gt;"UC-ID specific",K324=""),"Condition UC-ID required",IF(ISNUMBER(SEARCH(","&amp;SUBSTITUTE(K324," ","")&amp;",",","&amp;SUBSTITUTE(INDEX('Gate events'!$O$4:$O$553,MATCH(B324,'Gate events'!$A$4:$A$553,0))," ","")&amp;",")),"","UC-ID differs from decision")),IF(INDEX('Gate events'!$P$4:$P$553,MATCH(B324,'Gate events'!$A$4:$A$553,0))="Shared system baseline",IF(OR(L324&lt;&gt;"Shared system baseline",K324&lt;&gt;""),"Condition scope differs from decision",""),"Parent decision scope missing"))&lt;&gt;"",IF(INDEX('Gate events'!$P$4:$P$553,MATCH(B324,'Gate events'!$A$4:$A$553,0))="UC-ID specific",IF(OR(L324&lt;&gt;"UC-ID specific",K324=""),"Condition UC-ID required",IF(ISNUMBER(SEARCH(","&amp;SUBSTITUTE(K324," ","")&amp;",",","&amp;SUBSTITUTE(INDEX('Gate events'!$O$4:$O$553,MATCH(B324,'Gate events'!$A$4:$A$553,0))," ","")&amp;",")),"","UC-ID differs from decision")),IF(INDEX('Gate events'!$P$4:$P$553,MATCH(B324,'Gate events'!$A$4:$A$553,0))="Shared system baseline",IF(OR(L324&lt;&gt;"Shared system baseline",K324&lt;&gt;""),"Condition scope differs from decision",""),"Parent decision scope missing")),IF(OR(D324="",E324="",F324="",G324=""),"Condition, owner, due date or state missing",IF(NOT(ISNUMBER(F324)),"Due date is not a date",IF(OR(G324="Overdue",G324="Superseded"),"Legacy state — owner review (use the shared five states)",IF(INDEX('Gate events'!$E$4:$E$553,MATCH(B324,'Gate events'!$A$4:$A$553,0))&lt;&gt;"Decision","Parent event is not a Decision",IF(AND(INDEX('Gate events'!$G$4:$G$553,MATCH(B324,'Gate events'!$A$4:$A$553,0))&lt;&gt;"Progress with condition",INDEX('Gate events'!$G$4:$G$553,MATCH(B324,'Gate events'!$A$4:$A$553,0))&lt;&gt;"Re-authorise",INDEX('Gate events'!$G$4:$G$553,MATCH(B324,'Gate events'!$A$4:$A$553,0))&lt;&gt;"Resume"),"Parent outcome is not Progress with condition / Re-authorise / Resume",IF(AND(ISNUMBER(INDEX('Gate events'!$F$4:$F$553,MATCH(B324,'Gate events'!$A$4:$A$553,0))),F324&lt;INDEX('Gate events'!$F$4:$F$553,MATCH(B324,'Gate events'!$A$4:$A$553,0))),"Due date before parent event date",IF(AND(OR(G324="Closed-verified",G324="Waived",G324="Accepted-open"),OR(H324="",I324="")),"Closure evidence missing",IF(AND(H324&lt;&gt;"",NOT(ISNUMBER(H324))),"Closed / waived on is not a date",IF(AND(ISNUMBER(H324),ISNUMBER(INDEX('Gate events'!$F$4:$F$553,MATCH(B324,'Gate events'!$A$4:$A$553,0))),H324&lt;INDEX('Gate events'!$F$4:$F$553,MATCH(B324,'Gate events'!$A$4:$A$553,0))),"Closure date before parent event date",IF(AND(G324="Closed-verified",M324=""),"Verifier / date missing",IF(AND(N324="Yes",G324="Closed-verified",O324=""),"Monitoring condition needs AIG-OPS-02 evidence ref",IF(AND(G324="Open",F324&lt;TODAY()),"OVERDUE (derived) — review",IF(G324="Unknown","State Unknown: owner to confirm","Check against source")))))))))))))))))))</f>
        <v/>
      </c>
      <c r="K324" s="37" t="n"/>
      <c r="L324" s="37" t="n"/>
      <c r="M324" s="38" t="n"/>
      <c r="N324" s="38" t="n"/>
      <c r="O324" s="38" t="n"/>
    </row>
    <row r="325">
      <c r="A325" s="40" t="n"/>
      <c r="B325" s="40" t="n"/>
      <c r="C325" s="40" t="n"/>
      <c r="D325" s="40" t="n"/>
      <c r="E325" s="40" t="n"/>
      <c r="F325" s="41" t="n"/>
      <c r="G325" s="40" t="n"/>
      <c r="H325" s="41" t="n"/>
      <c r="I325" s="40" t="n"/>
      <c r="J325" s="24">
        <f>IF(COUNTA(A325:I325,K325:O325)=0,"",IF(OR(A325="",B325="",C325=""),"ID / parent missing",IF(COUNTIF($A$4:$A$553,A325)&gt;1,"Duplicate condition ID",IF(COUNTIF('Gate events'!$A$4:$A$553,B325)=0,"Event ID not found",IF(INDEX('Gate events'!$B$4:$B$553,MATCH(B325,'Gate events'!$A$4:$A$553,0))&lt;&gt;C325,"AIR-ID differs from event",IF(IF(INDEX('Gate events'!$P$4:$P$553,MATCH(B325,'Gate events'!$A$4:$A$553,0))="UC-ID specific",IF(OR(L325&lt;&gt;"UC-ID specific",K325=""),"Condition UC-ID required",IF(ISNUMBER(SEARCH(","&amp;SUBSTITUTE(K325," ","")&amp;",",","&amp;SUBSTITUTE(INDEX('Gate events'!$O$4:$O$553,MATCH(B325,'Gate events'!$A$4:$A$553,0))," ","")&amp;",")),"","UC-ID differs from decision")),IF(INDEX('Gate events'!$P$4:$P$553,MATCH(B325,'Gate events'!$A$4:$A$553,0))="Shared system baseline",IF(OR(L325&lt;&gt;"Shared system baseline",K325&lt;&gt;""),"Condition scope differs from decision",""),"Parent decision scope missing"))&lt;&gt;"",IF(INDEX('Gate events'!$P$4:$P$553,MATCH(B325,'Gate events'!$A$4:$A$553,0))="UC-ID specific",IF(OR(L325&lt;&gt;"UC-ID specific",K325=""),"Condition UC-ID required",IF(ISNUMBER(SEARCH(","&amp;SUBSTITUTE(K325," ","")&amp;",",","&amp;SUBSTITUTE(INDEX('Gate events'!$O$4:$O$553,MATCH(B325,'Gate events'!$A$4:$A$553,0))," ","")&amp;",")),"","UC-ID differs from decision")),IF(INDEX('Gate events'!$P$4:$P$553,MATCH(B325,'Gate events'!$A$4:$A$553,0))="Shared system baseline",IF(OR(L325&lt;&gt;"Shared system baseline",K325&lt;&gt;""),"Condition scope differs from decision",""),"Parent decision scope missing")),IF(OR(D325="",E325="",F325="",G325=""),"Condition, owner, due date or state missing",IF(NOT(ISNUMBER(F325)),"Due date is not a date",IF(OR(G325="Overdue",G325="Superseded"),"Legacy state — owner review (use the shared five states)",IF(INDEX('Gate events'!$E$4:$E$553,MATCH(B325,'Gate events'!$A$4:$A$553,0))&lt;&gt;"Decision","Parent event is not a Decision",IF(AND(INDEX('Gate events'!$G$4:$G$553,MATCH(B325,'Gate events'!$A$4:$A$553,0))&lt;&gt;"Progress with condition",INDEX('Gate events'!$G$4:$G$553,MATCH(B325,'Gate events'!$A$4:$A$553,0))&lt;&gt;"Re-authorise",INDEX('Gate events'!$G$4:$G$553,MATCH(B325,'Gate events'!$A$4:$A$553,0))&lt;&gt;"Resume"),"Parent outcome is not Progress with condition / Re-authorise / Resume",IF(AND(ISNUMBER(INDEX('Gate events'!$F$4:$F$553,MATCH(B325,'Gate events'!$A$4:$A$553,0))),F325&lt;INDEX('Gate events'!$F$4:$F$553,MATCH(B325,'Gate events'!$A$4:$A$553,0))),"Due date before parent event date",IF(AND(OR(G325="Closed-verified",G325="Waived",G325="Accepted-open"),OR(H325="",I325="")),"Closure evidence missing",IF(AND(H325&lt;&gt;"",NOT(ISNUMBER(H325))),"Closed / waived on is not a date",IF(AND(ISNUMBER(H325),ISNUMBER(INDEX('Gate events'!$F$4:$F$553,MATCH(B325,'Gate events'!$A$4:$A$553,0))),H325&lt;INDEX('Gate events'!$F$4:$F$553,MATCH(B325,'Gate events'!$A$4:$A$553,0))),"Closure date before parent event date",IF(AND(G325="Closed-verified",M325=""),"Verifier / date missing",IF(AND(N325="Yes",G325="Closed-verified",O325=""),"Monitoring condition needs AIG-OPS-02 evidence ref",IF(AND(G325="Open",F325&lt;TODAY()),"OVERDUE (derived) — review",IF(G325="Unknown","State Unknown: owner to confirm","Check against source")))))))))))))))))))</f>
        <v/>
      </c>
      <c r="K325" s="37" t="n"/>
      <c r="L325" s="37" t="n"/>
      <c r="M325" s="40" t="n"/>
      <c r="N325" s="40" t="n"/>
      <c r="O325" s="40" t="n"/>
    </row>
    <row r="326">
      <c r="A326" s="38" t="n"/>
      <c r="B326" s="38" t="n"/>
      <c r="C326" s="38" t="n"/>
      <c r="D326" s="38" t="n"/>
      <c r="E326" s="38" t="n"/>
      <c r="F326" s="39" t="n"/>
      <c r="G326" s="38" t="n"/>
      <c r="H326" s="39" t="n"/>
      <c r="I326" s="38" t="n"/>
      <c r="J326" s="22">
        <f>IF(COUNTA(A326:I326,K326:O326)=0,"",IF(OR(A326="",B326="",C326=""),"ID / parent missing",IF(COUNTIF($A$4:$A$553,A326)&gt;1,"Duplicate condition ID",IF(COUNTIF('Gate events'!$A$4:$A$553,B326)=0,"Event ID not found",IF(INDEX('Gate events'!$B$4:$B$553,MATCH(B326,'Gate events'!$A$4:$A$553,0))&lt;&gt;C326,"AIR-ID differs from event",IF(IF(INDEX('Gate events'!$P$4:$P$553,MATCH(B326,'Gate events'!$A$4:$A$553,0))="UC-ID specific",IF(OR(L326&lt;&gt;"UC-ID specific",K326=""),"Condition UC-ID required",IF(ISNUMBER(SEARCH(","&amp;SUBSTITUTE(K326," ","")&amp;",",","&amp;SUBSTITUTE(INDEX('Gate events'!$O$4:$O$553,MATCH(B326,'Gate events'!$A$4:$A$553,0))," ","")&amp;",")),"","UC-ID differs from decision")),IF(INDEX('Gate events'!$P$4:$P$553,MATCH(B326,'Gate events'!$A$4:$A$553,0))="Shared system baseline",IF(OR(L326&lt;&gt;"Shared system baseline",K326&lt;&gt;""),"Condition scope differs from decision",""),"Parent decision scope missing"))&lt;&gt;"",IF(INDEX('Gate events'!$P$4:$P$553,MATCH(B326,'Gate events'!$A$4:$A$553,0))="UC-ID specific",IF(OR(L326&lt;&gt;"UC-ID specific",K326=""),"Condition UC-ID required",IF(ISNUMBER(SEARCH(","&amp;SUBSTITUTE(K326," ","")&amp;",",","&amp;SUBSTITUTE(INDEX('Gate events'!$O$4:$O$553,MATCH(B326,'Gate events'!$A$4:$A$553,0))," ","")&amp;",")),"","UC-ID differs from decision")),IF(INDEX('Gate events'!$P$4:$P$553,MATCH(B326,'Gate events'!$A$4:$A$553,0))="Shared system baseline",IF(OR(L326&lt;&gt;"Shared system baseline",K326&lt;&gt;""),"Condition scope differs from decision",""),"Parent decision scope missing")),IF(OR(D326="",E326="",F326="",G326=""),"Condition, owner, due date or state missing",IF(NOT(ISNUMBER(F326)),"Due date is not a date",IF(OR(G326="Overdue",G326="Superseded"),"Legacy state — owner review (use the shared five states)",IF(INDEX('Gate events'!$E$4:$E$553,MATCH(B326,'Gate events'!$A$4:$A$553,0))&lt;&gt;"Decision","Parent event is not a Decision",IF(AND(INDEX('Gate events'!$G$4:$G$553,MATCH(B326,'Gate events'!$A$4:$A$553,0))&lt;&gt;"Progress with condition",INDEX('Gate events'!$G$4:$G$553,MATCH(B326,'Gate events'!$A$4:$A$553,0))&lt;&gt;"Re-authorise",INDEX('Gate events'!$G$4:$G$553,MATCH(B326,'Gate events'!$A$4:$A$553,0))&lt;&gt;"Resume"),"Parent outcome is not Progress with condition / Re-authorise / Resume",IF(AND(ISNUMBER(INDEX('Gate events'!$F$4:$F$553,MATCH(B326,'Gate events'!$A$4:$A$553,0))),F326&lt;INDEX('Gate events'!$F$4:$F$553,MATCH(B326,'Gate events'!$A$4:$A$553,0))),"Due date before parent event date",IF(AND(OR(G326="Closed-verified",G326="Waived",G326="Accepted-open"),OR(H326="",I326="")),"Closure evidence missing",IF(AND(H326&lt;&gt;"",NOT(ISNUMBER(H326))),"Closed / waived on is not a date",IF(AND(ISNUMBER(H326),ISNUMBER(INDEX('Gate events'!$F$4:$F$553,MATCH(B326,'Gate events'!$A$4:$A$553,0))),H326&lt;INDEX('Gate events'!$F$4:$F$553,MATCH(B326,'Gate events'!$A$4:$A$553,0))),"Closure date before parent event date",IF(AND(G326="Closed-verified",M326=""),"Verifier / date missing",IF(AND(N326="Yes",G326="Closed-verified",O326=""),"Monitoring condition needs AIG-OPS-02 evidence ref",IF(AND(G326="Open",F326&lt;TODAY()),"OVERDUE (derived) — review",IF(G326="Unknown","State Unknown: owner to confirm","Check against source")))))))))))))))))))</f>
        <v/>
      </c>
      <c r="K326" s="37" t="n"/>
      <c r="L326" s="37" t="n"/>
      <c r="M326" s="38" t="n"/>
      <c r="N326" s="38" t="n"/>
      <c r="O326" s="38" t="n"/>
    </row>
    <row r="327">
      <c r="A327" s="40" t="n"/>
      <c r="B327" s="40" t="n"/>
      <c r="C327" s="40" t="n"/>
      <c r="D327" s="40" t="n"/>
      <c r="E327" s="40" t="n"/>
      <c r="F327" s="41" t="n"/>
      <c r="G327" s="40" t="n"/>
      <c r="H327" s="41" t="n"/>
      <c r="I327" s="40" t="n"/>
      <c r="J327" s="24">
        <f>IF(COUNTA(A327:I327,K327:O327)=0,"",IF(OR(A327="",B327="",C327=""),"ID / parent missing",IF(COUNTIF($A$4:$A$553,A327)&gt;1,"Duplicate condition ID",IF(COUNTIF('Gate events'!$A$4:$A$553,B327)=0,"Event ID not found",IF(INDEX('Gate events'!$B$4:$B$553,MATCH(B327,'Gate events'!$A$4:$A$553,0))&lt;&gt;C327,"AIR-ID differs from event",IF(IF(INDEX('Gate events'!$P$4:$P$553,MATCH(B327,'Gate events'!$A$4:$A$553,0))="UC-ID specific",IF(OR(L327&lt;&gt;"UC-ID specific",K327=""),"Condition UC-ID required",IF(ISNUMBER(SEARCH(","&amp;SUBSTITUTE(K327," ","")&amp;",",","&amp;SUBSTITUTE(INDEX('Gate events'!$O$4:$O$553,MATCH(B327,'Gate events'!$A$4:$A$553,0))," ","")&amp;",")),"","UC-ID differs from decision")),IF(INDEX('Gate events'!$P$4:$P$553,MATCH(B327,'Gate events'!$A$4:$A$553,0))="Shared system baseline",IF(OR(L327&lt;&gt;"Shared system baseline",K327&lt;&gt;""),"Condition scope differs from decision",""),"Parent decision scope missing"))&lt;&gt;"",IF(INDEX('Gate events'!$P$4:$P$553,MATCH(B327,'Gate events'!$A$4:$A$553,0))="UC-ID specific",IF(OR(L327&lt;&gt;"UC-ID specific",K327=""),"Condition UC-ID required",IF(ISNUMBER(SEARCH(","&amp;SUBSTITUTE(K327," ","")&amp;",",","&amp;SUBSTITUTE(INDEX('Gate events'!$O$4:$O$553,MATCH(B327,'Gate events'!$A$4:$A$553,0))," ","")&amp;",")),"","UC-ID differs from decision")),IF(INDEX('Gate events'!$P$4:$P$553,MATCH(B327,'Gate events'!$A$4:$A$553,0))="Shared system baseline",IF(OR(L327&lt;&gt;"Shared system baseline",K327&lt;&gt;""),"Condition scope differs from decision",""),"Parent decision scope missing")),IF(OR(D327="",E327="",F327="",G327=""),"Condition, owner, due date or state missing",IF(NOT(ISNUMBER(F327)),"Due date is not a date",IF(OR(G327="Overdue",G327="Superseded"),"Legacy state — owner review (use the shared five states)",IF(INDEX('Gate events'!$E$4:$E$553,MATCH(B327,'Gate events'!$A$4:$A$553,0))&lt;&gt;"Decision","Parent event is not a Decision",IF(AND(INDEX('Gate events'!$G$4:$G$553,MATCH(B327,'Gate events'!$A$4:$A$553,0))&lt;&gt;"Progress with condition",INDEX('Gate events'!$G$4:$G$553,MATCH(B327,'Gate events'!$A$4:$A$553,0))&lt;&gt;"Re-authorise",INDEX('Gate events'!$G$4:$G$553,MATCH(B327,'Gate events'!$A$4:$A$553,0))&lt;&gt;"Resume"),"Parent outcome is not Progress with condition / Re-authorise / Resume",IF(AND(ISNUMBER(INDEX('Gate events'!$F$4:$F$553,MATCH(B327,'Gate events'!$A$4:$A$553,0))),F327&lt;INDEX('Gate events'!$F$4:$F$553,MATCH(B327,'Gate events'!$A$4:$A$553,0))),"Due date before parent event date",IF(AND(OR(G327="Closed-verified",G327="Waived",G327="Accepted-open"),OR(H327="",I327="")),"Closure evidence missing",IF(AND(H327&lt;&gt;"",NOT(ISNUMBER(H327))),"Closed / waived on is not a date",IF(AND(ISNUMBER(H327),ISNUMBER(INDEX('Gate events'!$F$4:$F$553,MATCH(B327,'Gate events'!$A$4:$A$553,0))),H327&lt;INDEX('Gate events'!$F$4:$F$553,MATCH(B327,'Gate events'!$A$4:$A$553,0))),"Closure date before parent event date",IF(AND(G327="Closed-verified",M327=""),"Verifier / date missing",IF(AND(N327="Yes",G327="Closed-verified",O327=""),"Monitoring condition needs AIG-OPS-02 evidence ref",IF(AND(G327="Open",F327&lt;TODAY()),"OVERDUE (derived) — review",IF(G327="Unknown","State Unknown: owner to confirm","Check against source")))))))))))))))))))</f>
        <v/>
      </c>
      <c r="K327" s="37" t="n"/>
      <c r="L327" s="37" t="n"/>
      <c r="M327" s="40" t="n"/>
      <c r="N327" s="40" t="n"/>
      <c r="O327" s="40" t="n"/>
    </row>
    <row r="328">
      <c r="A328" s="38" t="n"/>
      <c r="B328" s="38" t="n"/>
      <c r="C328" s="38" t="n"/>
      <c r="D328" s="38" t="n"/>
      <c r="E328" s="38" t="n"/>
      <c r="F328" s="39" t="n"/>
      <c r="G328" s="38" t="n"/>
      <c r="H328" s="39" t="n"/>
      <c r="I328" s="38" t="n"/>
      <c r="J328" s="22">
        <f>IF(COUNTA(A328:I328,K328:O328)=0,"",IF(OR(A328="",B328="",C328=""),"ID / parent missing",IF(COUNTIF($A$4:$A$553,A328)&gt;1,"Duplicate condition ID",IF(COUNTIF('Gate events'!$A$4:$A$553,B328)=0,"Event ID not found",IF(INDEX('Gate events'!$B$4:$B$553,MATCH(B328,'Gate events'!$A$4:$A$553,0))&lt;&gt;C328,"AIR-ID differs from event",IF(IF(INDEX('Gate events'!$P$4:$P$553,MATCH(B328,'Gate events'!$A$4:$A$553,0))="UC-ID specific",IF(OR(L328&lt;&gt;"UC-ID specific",K328=""),"Condition UC-ID required",IF(ISNUMBER(SEARCH(","&amp;SUBSTITUTE(K328," ","")&amp;",",","&amp;SUBSTITUTE(INDEX('Gate events'!$O$4:$O$553,MATCH(B328,'Gate events'!$A$4:$A$553,0))," ","")&amp;",")),"","UC-ID differs from decision")),IF(INDEX('Gate events'!$P$4:$P$553,MATCH(B328,'Gate events'!$A$4:$A$553,0))="Shared system baseline",IF(OR(L328&lt;&gt;"Shared system baseline",K328&lt;&gt;""),"Condition scope differs from decision",""),"Parent decision scope missing"))&lt;&gt;"",IF(INDEX('Gate events'!$P$4:$P$553,MATCH(B328,'Gate events'!$A$4:$A$553,0))="UC-ID specific",IF(OR(L328&lt;&gt;"UC-ID specific",K328=""),"Condition UC-ID required",IF(ISNUMBER(SEARCH(","&amp;SUBSTITUTE(K328," ","")&amp;",",","&amp;SUBSTITUTE(INDEX('Gate events'!$O$4:$O$553,MATCH(B328,'Gate events'!$A$4:$A$553,0))," ","")&amp;",")),"","UC-ID differs from decision")),IF(INDEX('Gate events'!$P$4:$P$553,MATCH(B328,'Gate events'!$A$4:$A$553,0))="Shared system baseline",IF(OR(L328&lt;&gt;"Shared system baseline",K328&lt;&gt;""),"Condition scope differs from decision",""),"Parent decision scope missing")),IF(OR(D328="",E328="",F328="",G328=""),"Condition, owner, due date or state missing",IF(NOT(ISNUMBER(F328)),"Due date is not a date",IF(OR(G328="Overdue",G328="Superseded"),"Legacy state — owner review (use the shared five states)",IF(INDEX('Gate events'!$E$4:$E$553,MATCH(B328,'Gate events'!$A$4:$A$553,0))&lt;&gt;"Decision","Parent event is not a Decision",IF(AND(INDEX('Gate events'!$G$4:$G$553,MATCH(B328,'Gate events'!$A$4:$A$553,0))&lt;&gt;"Progress with condition",INDEX('Gate events'!$G$4:$G$553,MATCH(B328,'Gate events'!$A$4:$A$553,0))&lt;&gt;"Re-authorise",INDEX('Gate events'!$G$4:$G$553,MATCH(B328,'Gate events'!$A$4:$A$553,0))&lt;&gt;"Resume"),"Parent outcome is not Progress with condition / Re-authorise / Resume",IF(AND(ISNUMBER(INDEX('Gate events'!$F$4:$F$553,MATCH(B328,'Gate events'!$A$4:$A$553,0))),F328&lt;INDEX('Gate events'!$F$4:$F$553,MATCH(B328,'Gate events'!$A$4:$A$553,0))),"Due date before parent event date",IF(AND(OR(G328="Closed-verified",G328="Waived",G328="Accepted-open"),OR(H328="",I328="")),"Closure evidence missing",IF(AND(H328&lt;&gt;"",NOT(ISNUMBER(H328))),"Closed / waived on is not a date",IF(AND(ISNUMBER(H328),ISNUMBER(INDEX('Gate events'!$F$4:$F$553,MATCH(B328,'Gate events'!$A$4:$A$553,0))),H328&lt;INDEX('Gate events'!$F$4:$F$553,MATCH(B328,'Gate events'!$A$4:$A$553,0))),"Closure date before parent event date",IF(AND(G328="Closed-verified",M328=""),"Verifier / date missing",IF(AND(N328="Yes",G328="Closed-verified",O328=""),"Monitoring condition needs AIG-OPS-02 evidence ref",IF(AND(G328="Open",F328&lt;TODAY()),"OVERDUE (derived) — review",IF(G328="Unknown","State Unknown: owner to confirm","Check against source")))))))))))))))))))</f>
        <v/>
      </c>
      <c r="K328" s="37" t="n"/>
      <c r="L328" s="37" t="n"/>
      <c r="M328" s="38" t="n"/>
      <c r="N328" s="38" t="n"/>
      <c r="O328" s="38" t="n"/>
    </row>
    <row r="329">
      <c r="A329" s="40" t="n"/>
      <c r="B329" s="40" t="n"/>
      <c r="C329" s="40" t="n"/>
      <c r="D329" s="40" t="n"/>
      <c r="E329" s="40" t="n"/>
      <c r="F329" s="41" t="n"/>
      <c r="G329" s="40" t="n"/>
      <c r="H329" s="41" t="n"/>
      <c r="I329" s="40" t="n"/>
      <c r="J329" s="24">
        <f>IF(COUNTA(A329:I329,K329:O329)=0,"",IF(OR(A329="",B329="",C329=""),"ID / parent missing",IF(COUNTIF($A$4:$A$553,A329)&gt;1,"Duplicate condition ID",IF(COUNTIF('Gate events'!$A$4:$A$553,B329)=0,"Event ID not found",IF(INDEX('Gate events'!$B$4:$B$553,MATCH(B329,'Gate events'!$A$4:$A$553,0))&lt;&gt;C329,"AIR-ID differs from event",IF(IF(INDEX('Gate events'!$P$4:$P$553,MATCH(B329,'Gate events'!$A$4:$A$553,0))="UC-ID specific",IF(OR(L329&lt;&gt;"UC-ID specific",K329=""),"Condition UC-ID required",IF(ISNUMBER(SEARCH(","&amp;SUBSTITUTE(K329," ","")&amp;",",","&amp;SUBSTITUTE(INDEX('Gate events'!$O$4:$O$553,MATCH(B329,'Gate events'!$A$4:$A$553,0))," ","")&amp;",")),"","UC-ID differs from decision")),IF(INDEX('Gate events'!$P$4:$P$553,MATCH(B329,'Gate events'!$A$4:$A$553,0))="Shared system baseline",IF(OR(L329&lt;&gt;"Shared system baseline",K329&lt;&gt;""),"Condition scope differs from decision",""),"Parent decision scope missing"))&lt;&gt;"",IF(INDEX('Gate events'!$P$4:$P$553,MATCH(B329,'Gate events'!$A$4:$A$553,0))="UC-ID specific",IF(OR(L329&lt;&gt;"UC-ID specific",K329=""),"Condition UC-ID required",IF(ISNUMBER(SEARCH(","&amp;SUBSTITUTE(K329," ","")&amp;",",","&amp;SUBSTITUTE(INDEX('Gate events'!$O$4:$O$553,MATCH(B329,'Gate events'!$A$4:$A$553,0))," ","")&amp;",")),"","UC-ID differs from decision")),IF(INDEX('Gate events'!$P$4:$P$553,MATCH(B329,'Gate events'!$A$4:$A$553,0))="Shared system baseline",IF(OR(L329&lt;&gt;"Shared system baseline",K329&lt;&gt;""),"Condition scope differs from decision",""),"Parent decision scope missing")),IF(OR(D329="",E329="",F329="",G329=""),"Condition, owner, due date or state missing",IF(NOT(ISNUMBER(F329)),"Due date is not a date",IF(OR(G329="Overdue",G329="Superseded"),"Legacy state — owner review (use the shared five states)",IF(INDEX('Gate events'!$E$4:$E$553,MATCH(B329,'Gate events'!$A$4:$A$553,0))&lt;&gt;"Decision","Parent event is not a Decision",IF(AND(INDEX('Gate events'!$G$4:$G$553,MATCH(B329,'Gate events'!$A$4:$A$553,0))&lt;&gt;"Progress with condition",INDEX('Gate events'!$G$4:$G$553,MATCH(B329,'Gate events'!$A$4:$A$553,0))&lt;&gt;"Re-authorise",INDEX('Gate events'!$G$4:$G$553,MATCH(B329,'Gate events'!$A$4:$A$553,0))&lt;&gt;"Resume"),"Parent outcome is not Progress with condition / Re-authorise / Resume",IF(AND(ISNUMBER(INDEX('Gate events'!$F$4:$F$553,MATCH(B329,'Gate events'!$A$4:$A$553,0))),F329&lt;INDEX('Gate events'!$F$4:$F$553,MATCH(B329,'Gate events'!$A$4:$A$553,0))),"Due date before parent event date",IF(AND(OR(G329="Closed-verified",G329="Waived",G329="Accepted-open"),OR(H329="",I329="")),"Closure evidence missing",IF(AND(H329&lt;&gt;"",NOT(ISNUMBER(H329))),"Closed / waived on is not a date",IF(AND(ISNUMBER(H329),ISNUMBER(INDEX('Gate events'!$F$4:$F$553,MATCH(B329,'Gate events'!$A$4:$A$553,0))),H329&lt;INDEX('Gate events'!$F$4:$F$553,MATCH(B329,'Gate events'!$A$4:$A$553,0))),"Closure date before parent event date",IF(AND(G329="Closed-verified",M329=""),"Verifier / date missing",IF(AND(N329="Yes",G329="Closed-verified",O329=""),"Monitoring condition needs AIG-OPS-02 evidence ref",IF(AND(G329="Open",F329&lt;TODAY()),"OVERDUE (derived) — review",IF(G329="Unknown","State Unknown: owner to confirm","Check against source")))))))))))))))))))</f>
        <v/>
      </c>
      <c r="K329" s="37" t="n"/>
      <c r="L329" s="37" t="n"/>
      <c r="M329" s="40" t="n"/>
      <c r="N329" s="40" t="n"/>
      <c r="O329" s="40" t="n"/>
    </row>
    <row r="330">
      <c r="A330" s="38" t="n"/>
      <c r="B330" s="38" t="n"/>
      <c r="C330" s="38" t="n"/>
      <c r="D330" s="38" t="n"/>
      <c r="E330" s="38" t="n"/>
      <c r="F330" s="39" t="n"/>
      <c r="G330" s="38" t="n"/>
      <c r="H330" s="39" t="n"/>
      <c r="I330" s="38" t="n"/>
      <c r="J330" s="22">
        <f>IF(COUNTA(A330:I330,K330:O330)=0,"",IF(OR(A330="",B330="",C330=""),"ID / parent missing",IF(COUNTIF($A$4:$A$553,A330)&gt;1,"Duplicate condition ID",IF(COUNTIF('Gate events'!$A$4:$A$553,B330)=0,"Event ID not found",IF(INDEX('Gate events'!$B$4:$B$553,MATCH(B330,'Gate events'!$A$4:$A$553,0))&lt;&gt;C330,"AIR-ID differs from event",IF(IF(INDEX('Gate events'!$P$4:$P$553,MATCH(B330,'Gate events'!$A$4:$A$553,0))="UC-ID specific",IF(OR(L330&lt;&gt;"UC-ID specific",K330=""),"Condition UC-ID required",IF(ISNUMBER(SEARCH(","&amp;SUBSTITUTE(K330," ","")&amp;",",","&amp;SUBSTITUTE(INDEX('Gate events'!$O$4:$O$553,MATCH(B330,'Gate events'!$A$4:$A$553,0))," ","")&amp;",")),"","UC-ID differs from decision")),IF(INDEX('Gate events'!$P$4:$P$553,MATCH(B330,'Gate events'!$A$4:$A$553,0))="Shared system baseline",IF(OR(L330&lt;&gt;"Shared system baseline",K330&lt;&gt;""),"Condition scope differs from decision",""),"Parent decision scope missing"))&lt;&gt;"",IF(INDEX('Gate events'!$P$4:$P$553,MATCH(B330,'Gate events'!$A$4:$A$553,0))="UC-ID specific",IF(OR(L330&lt;&gt;"UC-ID specific",K330=""),"Condition UC-ID required",IF(ISNUMBER(SEARCH(","&amp;SUBSTITUTE(K330," ","")&amp;",",","&amp;SUBSTITUTE(INDEX('Gate events'!$O$4:$O$553,MATCH(B330,'Gate events'!$A$4:$A$553,0))," ","")&amp;",")),"","UC-ID differs from decision")),IF(INDEX('Gate events'!$P$4:$P$553,MATCH(B330,'Gate events'!$A$4:$A$553,0))="Shared system baseline",IF(OR(L330&lt;&gt;"Shared system baseline",K330&lt;&gt;""),"Condition scope differs from decision",""),"Parent decision scope missing")),IF(OR(D330="",E330="",F330="",G330=""),"Condition, owner, due date or state missing",IF(NOT(ISNUMBER(F330)),"Due date is not a date",IF(OR(G330="Overdue",G330="Superseded"),"Legacy state — owner review (use the shared five states)",IF(INDEX('Gate events'!$E$4:$E$553,MATCH(B330,'Gate events'!$A$4:$A$553,0))&lt;&gt;"Decision","Parent event is not a Decision",IF(AND(INDEX('Gate events'!$G$4:$G$553,MATCH(B330,'Gate events'!$A$4:$A$553,0))&lt;&gt;"Progress with condition",INDEX('Gate events'!$G$4:$G$553,MATCH(B330,'Gate events'!$A$4:$A$553,0))&lt;&gt;"Re-authorise",INDEX('Gate events'!$G$4:$G$553,MATCH(B330,'Gate events'!$A$4:$A$553,0))&lt;&gt;"Resume"),"Parent outcome is not Progress with condition / Re-authorise / Resume",IF(AND(ISNUMBER(INDEX('Gate events'!$F$4:$F$553,MATCH(B330,'Gate events'!$A$4:$A$553,0))),F330&lt;INDEX('Gate events'!$F$4:$F$553,MATCH(B330,'Gate events'!$A$4:$A$553,0))),"Due date before parent event date",IF(AND(OR(G330="Closed-verified",G330="Waived",G330="Accepted-open"),OR(H330="",I330="")),"Closure evidence missing",IF(AND(H330&lt;&gt;"",NOT(ISNUMBER(H330))),"Closed / waived on is not a date",IF(AND(ISNUMBER(H330),ISNUMBER(INDEX('Gate events'!$F$4:$F$553,MATCH(B330,'Gate events'!$A$4:$A$553,0))),H330&lt;INDEX('Gate events'!$F$4:$F$553,MATCH(B330,'Gate events'!$A$4:$A$553,0))),"Closure date before parent event date",IF(AND(G330="Closed-verified",M330=""),"Verifier / date missing",IF(AND(N330="Yes",G330="Closed-verified",O330=""),"Monitoring condition needs AIG-OPS-02 evidence ref",IF(AND(G330="Open",F330&lt;TODAY()),"OVERDUE (derived) — review",IF(G330="Unknown","State Unknown: owner to confirm","Check against source")))))))))))))))))))</f>
        <v/>
      </c>
      <c r="K330" s="37" t="n"/>
      <c r="L330" s="37" t="n"/>
      <c r="M330" s="38" t="n"/>
      <c r="N330" s="38" t="n"/>
      <c r="O330" s="38" t="n"/>
    </row>
    <row r="331">
      <c r="A331" s="40" t="n"/>
      <c r="B331" s="40" t="n"/>
      <c r="C331" s="40" t="n"/>
      <c r="D331" s="40" t="n"/>
      <c r="E331" s="40" t="n"/>
      <c r="F331" s="41" t="n"/>
      <c r="G331" s="40" t="n"/>
      <c r="H331" s="41" t="n"/>
      <c r="I331" s="40" t="n"/>
      <c r="J331" s="24">
        <f>IF(COUNTA(A331:I331,K331:O331)=0,"",IF(OR(A331="",B331="",C331=""),"ID / parent missing",IF(COUNTIF($A$4:$A$553,A331)&gt;1,"Duplicate condition ID",IF(COUNTIF('Gate events'!$A$4:$A$553,B331)=0,"Event ID not found",IF(INDEX('Gate events'!$B$4:$B$553,MATCH(B331,'Gate events'!$A$4:$A$553,0))&lt;&gt;C331,"AIR-ID differs from event",IF(IF(INDEX('Gate events'!$P$4:$P$553,MATCH(B331,'Gate events'!$A$4:$A$553,0))="UC-ID specific",IF(OR(L331&lt;&gt;"UC-ID specific",K331=""),"Condition UC-ID required",IF(ISNUMBER(SEARCH(","&amp;SUBSTITUTE(K331," ","")&amp;",",","&amp;SUBSTITUTE(INDEX('Gate events'!$O$4:$O$553,MATCH(B331,'Gate events'!$A$4:$A$553,0))," ","")&amp;",")),"","UC-ID differs from decision")),IF(INDEX('Gate events'!$P$4:$P$553,MATCH(B331,'Gate events'!$A$4:$A$553,0))="Shared system baseline",IF(OR(L331&lt;&gt;"Shared system baseline",K331&lt;&gt;""),"Condition scope differs from decision",""),"Parent decision scope missing"))&lt;&gt;"",IF(INDEX('Gate events'!$P$4:$P$553,MATCH(B331,'Gate events'!$A$4:$A$553,0))="UC-ID specific",IF(OR(L331&lt;&gt;"UC-ID specific",K331=""),"Condition UC-ID required",IF(ISNUMBER(SEARCH(","&amp;SUBSTITUTE(K331," ","")&amp;",",","&amp;SUBSTITUTE(INDEX('Gate events'!$O$4:$O$553,MATCH(B331,'Gate events'!$A$4:$A$553,0))," ","")&amp;",")),"","UC-ID differs from decision")),IF(INDEX('Gate events'!$P$4:$P$553,MATCH(B331,'Gate events'!$A$4:$A$553,0))="Shared system baseline",IF(OR(L331&lt;&gt;"Shared system baseline",K331&lt;&gt;""),"Condition scope differs from decision",""),"Parent decision scope missing")),IF(OR(D331="",E331="",F331="",G331=""),"Condition, owner, due date or state missing",IF(NOT(ISNUMBER(F331)),"Due date is not a date",IF(OR(G331="Overdue",G331="Superseded"),"Legacy state — owner review (use the shared five states)",IF(INDEX('Gate events'!$E$4:$E$553,MATCH(B331,'Gate events'!$A$4:$A$553,0))&lt;&gt;"Decision","Parent event is not a Decision",IF(AND(INDEX('Gate events'!$G$4:$G$553,MATCH(B331,'Gate events'!$A$4:$A$553,0))&lt;&gt;"Progress with condition",INDEX('Gate events'!$G$4:$G$553,MATCH(B331,'Gate events'!$A$4:$A$553,0))&lt;&gt;"Re-authorise",INDEX('Gate events'!$G$4:$G$553,MATCH(B331,'Gate events'!$A$4:$A$553,0))&lt;&gt;"Resume"),"Parent outcome is not Progress with condition / Re-authorise / Resume",IF(AND(ISNUMBER(INDEX('Gate events'!$F$4:$F$553,MATCH(B331,'Gate events'!$A$4:$A$553,0))),F331&lt;INDEX('Gate events'!$F$4:$F$553,MATCH(B331,'Gate events'!$A$4:$A$553,0))),"Due date before parent event date",IF(AND(OR(G331="Closed-verified",G331="Waived",G331="Accepted-open"),OR(H331="",I331="")),"Closure evidence missing",IF(AND(H331&lt;&gt;"",NOT(ISNUMBER(H331))),"Closed / waived on is not a date",IF(AND(ISNUMBER(H331),ISNUMBER(INDEX('Gate events'!$F$4:$F$553,MATCH(B331,'Gate events'!$A$4:$A$553,0))),H331&lt;INDEX('Gate events'!$F$4:$F$553,MATCH(B331,'Gate events'!$A$4:$A$553,0))),"Closure date before parent event date",IF(AND(G331="Closed-verified",M331=""),"Verifier / date missing",IF(AND(N331="Yes",G331="Closed-verified",O331=""),"Monitoring condition needs AIG-OPS-02 evidence ref",IF(AND(G331="Open",F331&lt;TODAY()),"OVERDUE (derived) — review",IF(G331="Unknown","State Unknown: owner to confirm","Check against source")))))))))))))))))))</f>
        <v/>
      </c>
      <c r="K331" s="37" t="n"/>
      <c r="L331" s="37" t="n"/>
      <c r="M331" s="40" t="n"/>
      <c r="N331" s="40" t="n"/>
      <c r="O331" s="40" t="n"/>
    </row>
    <row r="332">
      <c r="A332" s="38" t="n"/>
      <c r="B332" s="38" t="n"/>
      <c r="C332" s="38" t="n"/>
      <c r="D332" s="38" t="n"/>
      <c r="E332" s="38" t="n"/>
      <c r="F332" s="39" t="n"/>
      <c r="G332" s="38" t="n"/>
      <c r="H332" s="39" t="n"/>
      <c r="I332" s="38" t="n"/>
      <c r="J332" s="22">
        <f>IF(COUNTA(A332:I332,K332:O332)=0,"",IF(OR(A332="",B332="",C332=""),"ID / parent missing",IF(COUNTIF($A$4:$A$553,A332)&gt;1,"Duplicate condition ID",IF(COUNTIF('Gate events'!$A$4:$A$553,B332)=0,"Event ID not found",IF(INDEX('Gate events'!$B$4:$B$553,MATCH(B332,'Gate events'!$A$4:$A$553,0))&lt;&gt;C332,"AIR-ID differs from event",IF(IF(INDEX('Gate events'!$P$4:$P$553,MATCH(B332,'Gate events'!$A$4:$A$553,0))="UC-ID specific",IF(OR(L332&lt;&gt;"UC-ID specific",K332=""),"Condition UC-ID required",IF(ISNUMBER(SEARCH(","&amp;SUBSTITUTE(K332," ","")&amp;",",","&amp;SUBSTITUTE(INDEX('Gate events'!$O$4:$O$553,MATCH(B332,'Gate events'!$A$4:$A$553,0))," ","")&amp;",")),"","UC-ID differs from decision")),IF(INDEX('Gate events'!$P$4:$P$553,MATCH(B332,'Gate events'!$A$4:$A$553,0))="Shared system baseline",IF(OR(L332&lt;&gt;"Shared system baseline",K332&lt;&gt;""),"Condition scope differs from decision",""),"Parent decision scope missing"))&lt;&gt;"",IF(INDEX('Gate events'!$P$4:$P$553,MATCH(B332,'Gate events'!$A$4:$A$553,0))="UC-ID specific",IF(OR(L332&lt;&gt;"UC-ID specific",K332=""),"Condition UC-ID required",IF(ISNUMBER(SEARCH(","&amp;SUBSTITUTE(K332," ","")&amp;",",","&amp;SUBSTITUTE(INDEX('Gate events'!$O$4:$O$553,MATCH(B332,'Gate events'!$A$4:$A$553,0))," ","")&amp;",")),"","UC-ID differs from decision")),IF(INDEX('Gate events'!$P$4:$P$553,MATCH(B332,'Gate events'!$A$4:$A$553,0))="Shared system baseline",IF(OR(L332&lt;&gt;"Shared system baseline",K332&lt;&gt;""),"Condition scope differs from decision",""),"Parent decision scope missing")),IF(OR(D332="",E332="",F332="",G332=""),"Condition, owner, due date or state missing",IF(NOT(ISNUMBER(F332)),"Due date is not a date",IF(OR(G332="Overdue",G332="Superseded"),"Legacy state — owner review (use the shared five states)",IF(INDEX('Gate events'!$E$4:$E$553,MATCH(B332,'Gate events'!$A$4:$A$553,0))&lt;&gt;"Decision","Parent event is not a Decision",IF(AND(INDEX('Gate events'!$G$4:$G$553,MATCH(B332,'Gate events'!$A$4:$A$553,0))&lt;&gt;"Progress with condition",INDEX('Gate events'!$G$4:$G$553,MATCH(B332,'Gate events'!$A$4:$A$553,0))&lt;&gt;"Re-authorise",INDEX('Gate events'!$G$4:$G$553,MATCH(B332,'Gate events'!$A$4:$A$553,0))&lt;&gt;"Resume"),"Parent outcome is not Progress with condition / Re-authorise / Resume",IF(AND(ISNUMBER(INDEX('Gate events'!$F$4:$F$553,MATCH(B332,'Gate events'!$A$4:$A$553,0))),F332&lt;INDEX('Gate events'!$F$4:$F$553,MATCH(B332,'Gate events'!$A$4:$A$553,0))),"Due date before parent event date",IF(AND(OR(G332="Closed-verified",G332="Waived",G332="Accepted-open"),OR(H332="",I332="")),"Closure evidence missing",IF(AND(H332&lt;&gt;"",NOT(ISNUMBER(H332))),"Closed / waived on is not a date",IF(AND(ISNUMBER(H332),ISNUMBER(INDEX('Gate events'!$F$4:$F$553,MATCH(B332,'Gate events'!$A$4:$A$553,0))),H332&lt;INDEX('Gate events'!$F$4:$F$553,MATCH(B332,'Gate events'!$A$4:$A$553,0))),"Closure date before parent event date",IF(AND(G332="Closed-verified",M332=""),"Verifier / date missing",IF(AND(N332="Yes",G332="Closed-verified",O332=""),"Monitoring condition needs AIG-OPS-02 evidence ref",IF(AND(G332="Open",F332&lt;TODAY()),"OVERDUE (derived) — review",IF(G332="Unknown","State Unknown: owner to confirm","Check against source")))))))))))))))))))</f>
        <v/>
      </c>
      <c r="K332" s="37" t="n"/>
      <c r="L332" s="37" t="n"/>
      <c r="M332" s="38" t="n"/>
      <c r="N332" s="38" t="n"/>
      <c r="O332" s="38" t="n"/>
    </row>
    <row r="333">
      <c r="A333" s="40" t="n"/>
      <c r="B333" s="40" t="n"/>
      <c r="C333" s="40" t="n"/>
      <c r="D333" s="40" t="n"/>
      <c r="E333" s="40" t="n"/>
      <c r="F333" s="41" t="n"/>
      <c r="G333" s="40" t="n"/>
      <c r="H333" s="41" t="n"/>
      <c r="I333" s="40" t="n"/>
      <c r="J333" s="24">
        <f>IF(COUNTA(A333:I333,K333:O333)=0,"",IF(OR(A333="",B333="",C333=""),"ID / parent missing",IF(COUNTIF($A$4:$A$553,A333)&gt;1,"Duplicate condition ID",IF(COUNTIF('Gate events'!$A$4:$A$553,B333)=0,"Event ID not found",IF(INDEX('Gate events'!$B$4:$B$553,MATCH(B333,'Gate events'!$A$4:$A$553,0))&lt;&gt;C333,"AIR-ID differs from event",IF(IF(INDEX('Gate events'!$P$4:$P$553,MATCH(B333,'Gate events'!$A$4:$A$553,0))="UC-ID specific",IF(OR(L333&lt;&gt;"UC-ID specific",K333=""),"Condition UC-ID required",IF(ISNUMBER(SEARCH(","&amp;SUBSTITUTE(K333," ","")&amp;",",","&amp;SUBSTITUTE(INDEX('Gate events'!$O$4:$O$553,MATCH(B333,'Gate events'!$A$4:$A$553,0))," ","")&amp;",")),"","UC-ID differs from decision")),IF(INDEX('Gate events'!$P$4:$P$553,MATCH(B333,'Gate events'!$A$4:$A$553,0))="Shared system baseline",IF(OR(L333&lt;&gt;"Shared system baseline",K333&lt;&gt;""),"Condition scope differs from decision",""),"Parent decision scope missing"))&lt;&gt;"",IF(INDEX('Gate events'!$P$4:$P$553,MATCH(B333,'Gate events'!$A$4:$A$553,0))="UC-ID specific",IF(OR(L333&lt;&gt;"UC-ID specific",K333=""),"Condition UC-ID required",IF(ISNUMBER(SEARCH(","&amp;SUBSTITUTE(K333," ","")&amp;",",","&amp;SUBSTITUTE(INDEX('Gate events'!$O$4:$O$553,MATCH(B333,'Gate events'!$A$4:$A$553,0))," ","")&amp;",")),"","UC-ID differs from decision")),IF(INDEX('Gate events'!$P$4:$P$553,MATCH(B333,'Gate events'!$A$4:$A$553,0))="Shared system baseline",IF(OR(L333&lt;&gt;"Shared system baseline",K333&lt;&gt;""),"Condition scope differs from decision",""),"Parent decision scope missing")),IF(OR(D333="",E333="",F333="",G333=""),"Condition, owner, due date or state missing",IF(NOT(ISNUMBER(F333)),"Due date is not a date",IF(OR(G333="Overdue",G333="Superseded"),"Legacy state — owner review (use the shared five states)",IF(INDEX('Gate events'!$E$4:$E$553,MATCH(B333,'Gate events'!$A$4:$A$553,0))&lt;&gt;"Decision","Parent event is not a Decision",IF(AND(INDEX('Gate events'!$G$4:$G$553,MATCH(B333,'Gate events'!$A$4:$A$553,0))&lt;&gt;"Progress with condition",INDEX('Gate events'!$G$4:$G$553,MATCH(B333,'Gate events'!$A$4:$A$553,0))&lt;&gt;"Re-authorise",INDEX('Gate events'!$G$4:$G$553,MATCH(B333,'Gate events'!$A$4:$A$553,0))&lt;&gt;"Resume"),"Parent outcome is not Progress with condition / Re-authorise / Resume",IF(AND(ISNUMBER(INDEX('Gate events'!$F$4:$F$553,MATCH(B333,'Gate events'!$A$4:$A$553,0))),F333&lt;INDEX('Gate events'!$F$4:$F$553,MATCH(B333,'Gate events'!$A$4:$A$553,0))),"Due date before parent event date",IF(AND(OR(G333="Closed-verified",G333="Waived",G333="Accepted-open"),OR(H333="",I333="")),"Closure evidence missing",IF(AND(H333&lt;&gt;"",NOT(ISNUMBER(H333))),"Closed / waived on is not a date",IF(AND(ISNUMBER(H333),ISNUMBER(INDEX('Gate events'!$F$4:$F$553,MATCH(B333,'Gate events'!$A$4:$A$553,0))),H333&lt;INDEX('Gate events'!$F$4:$F$553,MATCH(B333,'Gate events'!$A$4:$A$553,0))),"Closure date before parent event date",IF(AND(G333="Closed-verified",M333=""),"Verifier / date missing",IF(AND(N333="Yes",G333="Closed-verified",O333=""),"Monitoring condition needs AIG-OPS-02 evidence ref",IF(AND(G333="Open",F333&lt;TODAY()),"OVERDUE (derived) — review",IF(G333="Unknown","State Unknown: owner to confirm","Check against source")))))))))))))))))))</f>
        <v/>
      </c>
      <c r="K333" s="37" t="n"/>
      <c r="L333" s="37" t="n"/>
      <c r="M333" s="40" t="n"/>
      <c r="N333" s="40" t="n"/>
      <c r="O333" s="40" t="n"/>
    </row>
    <row r="334">
      <c r="A334" s="38" t="n"/>
      <c r="B334" s="38" t="n"/>
      <c r="C334" s="38" t="n"/>
      <c r="D334" s="38" t="n"/>
      <c r="E334" s="38" t="n"/>
      <c r="F334" s="39" t="n"/>
      <c r="G334" s="38" t="n"/>
      <c r="H334" s="39" t="n"/>
      <c r="I334" s="38" t="n"/>
      <c r="J334" s="22">
        <f>IF(COUNTA(A334:I334,K334:O334)=0,"",IF(OR(A334="",B334="",C334=""),"ID / parent missing",IF(COUNTIF($A$4:$A$553,A334)&gt;1,"Duplicate condition ID",IF(COUNTIF('Gate events'!$A$4:$A$553,B334)=0,"Event ID not found",IF(INDEX('Gate events'!$B$4:$B$553,MATCH(B334,'Gate events'!$A$4:$A$553,0))&lt;&gt;C334,"AIR-ID differs from event",IF(IF(INDEX('Gate events'!$P$4:$P$553,MATCH(B334,'Gate events'!$A$4:$A$553,0))="UC-ID specific",IF(OR(L334&lt;&gt;"UC-ID specific",K334=""),"Condition UC-ID required",IF(ISNUMBER(SEARCH(","&amp;SUBSTITUTE(K334," ","")&amp;",",","&amp;SUBSTITUTE(INDEX('Gate events'!$O$4:$O$553,MATCH(B334,'Gate events'!$A$4:$A$553,0))," ","")&amp;",")),"","UC-ID differs from decision")),IF(INDEX('Gate events'!$P$4:$P$553,MATCH(B334,'Gate events'!$A$4:$A$553,0))="Shared system baseline",IF(OR(L334&lt;&gt;"Shared system baseline",K334&lt;&gt;""),"Condition scope differs from decision",""),"Parent decision scope missing"))&lt;&gt;"",IF(INDEX('Gate events'!$P$4:$P$553,MATCH(B334,'Gate events'!$A$4:$A$553,0))="UC-ID specific",IF(OR(L334&lt;&gt;"UC-ID specific",K334=""),"Condition UC-ID required",IF(ISNUMBER(SEARCH(","&amp;SUBSTITUTE(K334," ","")&amp;",",","&amp;SUBSTITUTE(INDEX('Gate events'!$O$4:$O$553,MATCH(B334,'Gate events'!$A$4:$A$553,0))," ","")&amp;",")),"","UC-ID differs from decision")),IF(INDEX('Gate events'!$P$4:$P$553,MATCH(B334,'Gate events'!$A$4:$A$553,0))="Shared system baseline",IF(OR(L334&lt;&gt;"Shared system baseline",K334&lt;&gt;""),"Condition scope differs from decision",""),"Parent decision scope missing")),IF(OR(D334="",E334="",F334="",G334=""),"Condition, owner, due date or state missing",IF(NOT(ISNUMBER(F334)),"Due date is not a date",IF(OR(G334="Overdue",G334="Superseded"),"Legacy state — owner review (use the shared five states)",IF(INDEX('Gate events'!$E$4:$E$553,MATCH(B334,'Gate events'!$A$4:$A$553,0))&lt;&gt;"Decision","Parent event is not a Decision",IF(AND(INDEX('Gate events'!$G$4:$G$553,MATCH(B334,'Gate events'!$A$4:$A$553,0))&lt;&gt;"Progress with condition",INDEX('Gate events'!$G$4:$G$553,MATCH(B334,'Gate events'!$A$4:$A$553,0))&lt;&gt;"Re-authorise",INDEX('Gate events'!$G$4:$G$553,MATCH(B334,'Gate events'!$A$4:$A$553,0))&lt;&gt;"Resume"),"Parent outcome is not Progress with condition / Re-authorise / Resume",IF(AND(ISNUMBER(INDEX('Gate events'!$F$4:$F$553,MATCH(B334,'Gate events'!$A$4:$A$553,0))),F334&lt;INDEX('Gate events'!$F$4:$F$553,MATCH(B334,'Gate events'!$A$4:$A$553,0))),"Due date before parent event date",IF(AND(OR(G334="Closed-verified",G334="Waived",G334="Accepted-open"),OR(H334="",I334="")),"Closure evidence missing",IF(AND(H334&lt;&gt;"",NOT(ISNUMBER(H334))),"Closed / waived on is not a date",IF(AND(ISNUMBER(H334),ISNUMBER(INDEX('Gate events'!$F$4:$F$553,MATCH(B334,'Gate events'!$A$4:$A$553,0))),H334&lt;INDEX('Gate events'!$F$4:$F$553,MATCH(B334,'Gate events'!$A$4:$A$553,0))),"Closure date before parent event date",IF(AND(G334="Closed-verified",M334=""),"Verifier / date missing",IF(AND(N334="Yes",G334="Closed-verified",O334=""),"Monitoring condition needs AIG-OPS-02 evidence ref",IF(AND(G334="Open",F334&lt;TODAY()),"OVERDUE (derived) — review",IF(G334="Unknown","State Unknown: owner to confirm","Check against source")))))))))))))))))))</f>
        <v/>
      </c>
      <c r="K334" s="37" t="n"/>
      <c r="L334" s="37" t="n"/>
      <c r="M334" s="38" t="n"/>
      <c r="N334" s="38" t="n"/>
      <c r="O334" s="38" t="n"/>
    </row>
    <row r="335">
      <c r="A335" s="40" t="n"/>
      <c r="B335" s="40" t="n"/>
      <c r="C335" s="40" t="n"/>
      <c r="D335" s="40" t="n"/>
      <c r="E335" s="40" t="n"/>
      <c r="F335" s="41" t="n"/>
      <c r="G335" s="40" t="n"/>
      <c r="H335" s="41" t="n"/>
      <c r="I335" s="40" t="n"/>
      <c r="J335" s="24">
        <f>IF(COUNTA(A335:I335,K335:O335)=0,"",IF(OR(A335="",B335="",C335=""),"ID / parent missing",IF(COUNTIF($A$4:$A$553,A335)&gt;1,"Duplicate condition ID",IF(COUNTIF('Gate events'!$A$4:$A$553,B335)=0,"Event ID not found",IF(INDEX('Gate events'!$B$4:$B$553,MATCH(B335,'Gate events'!$A$4:$A$553,0))&lt;&gt;C335,"AIR-ID differs from event",IF(IF(INDEX('Gate events'!$P$4:$P$553,MATCH(B335,'Gate events'!$A$4:$A$553,0))="UC-ID specific",IF(OR(L335&lt;&gt;"UC-ID specific",K335=""),"Condition UC-ID required",IF(ISNUMBER(SEARCH(","&amp;SUBSTITUTE(K335," ","")&amp;",",","&amp;SUBSTITUTE(INDEX('Gate events'!$O$4:$O$553,MATCH(B335,'Gate events'!$A$4:$A$553,0))," ","")&amp;",")),"","UC-ID differs from decision")),IF(INDEX('Gate events'!$P$4:$P$553,MATCH(B335,'Gate events'!$A$4:$A$553,0))="Shared system baseline",IF(OR(L335&lt;&gt;"Shared system baseline",K335&lt;&gt;""),"Condition scope differs from decision",""),"Parent decision scope missing"))&lt;&gt;"",IF(INDEX('Gate events'!$P$4:$P$553,MATCH(B335,'Gate events'!$A$4:$A$553,0))="UC-ID specific",IF(OR(L335&lt;&gt;"UC-ID specific",K335=""),"Condition UC-ID required",IF(ISNUMBER(SEARCH(","&amp;SUBSTITUTE(K335," ","")&amp;",",","&amp;SUBSTITUTE(INDEX('Gate events'!$O$4:$O$553,MATCH(B335,'Gate events'!$A$4:$A$553,0))," ","")&amp;",")),"","UC-ID differs from decision")),IF(INDEX('Gate events'!$P$4:$P$553,MATCH(B335,'Gate events'!$A$4:$A$553,0))="Shared system baseline",IF(OR(L335&lt;&gt;"Shared system baseline",K335&lt;&gt;""),"Condition scope differs from decision",""),"Parent decision scope missing")),IF(OR(D335="",E335="",F335="",G335=""),"Condition, owner, due date or state missing",IF(NOT(ISNUMBER(F335)),"Due date is not a date",IF(OR(G335="Overdue",G335="Superseded"),"Legacy state — owner review (use the shared five states)",IF(INDEX('Gate events'!$E$4:$E$553,MATCH(B335,'Gate events'!$A$4:$A$553,0))&lt;&gt;"Decision","Parent event is not a Decision",IF(AND(INDEX('Gate events'!$G$4:$G$553,MATCH(B335,'Gate events'!$A$4:$A$553,0))&lt;&gt;"Progress with condition",INDEX('Gate events'!$G$4:$G$553,MATCH(B335,'Gate events'!$A$4:$A$553,0))&lt;&gt;"Re-authorise",INDEX('Gate events'!$G$4:$G$553,MATCH(B335,'Gate events'!$A$4:$A$553,0))&lt;&gt;"Resume"),"Parent outcome is not Progress with condition / Re-authorise / Resume",IF(AND(ISNUMBER(INDEX('Gate events'!$F$4:$F$553,MATCH(B335,'Gate events'!$A$4:$A$553,0))),F335&lt;INDEX('Gate events'!$F$4:$F$553,MATCH(B335,'Gate events'!$A$4:$A$553,0))),"Due date before parent event date",IF(AND(OR(G335="Closed-verified",G335="Waived",G335="Accepted-open"),OR(H335="",I335="")),"Closure evidence missing",IF(AND(H335&lt;&gt;"",NOT(ISNUMBER(H335))),"Closed / waived on is not a date",IF(AND(ISNUMBER(H335),ISNUMBER(INDEX('Gate events'!$F$4:$F$553,MATCH(B335,'Gate events'!$A$4:$A$553,0))),H335&lt;INDEX('Gate events'!$F$4:$F$553,MATCH(B335,'Gate events'!$A$4:$A$553,0))),"Closure date before parent event date",IF(AND(G335="Closed-verified",M335=""),"Verifier / date missing",IF(AND(N335="Yes",G335="Closed-verified",O335=""),"Monitoring condition needs AIG-OPS-02 evidence ref",IF(AND(G335="Open",F335&lt;TODAY()),"OVERDUE (derived) — review",IF(G335="Unknown","State Unknown: owner to confirm","Check against source")))))))))))))))))))</f>
        <v/>
      </c>
      <c r="K335" s="37" t="n"/>
      <c r="L335" s="37" t="n"/>
      <c r="M335" s="40" t="n"/>
      <c r="N335" s="40" t="n"/>
      <c r="O335" s="40" t="n"/>
    </row>
    <row r="336">
      <c r="A336" s="38" t="n"/>
      <c r="B336" s="38" t="n"/>
      <c r="C336" s="38" t="n"/>
      <c r="D336" s="38" t="n"/>
      <c r="E336" s="38" t="n"/>
      <c r="F336" s="39" t="n"/>
      <c r="G336" s="38" t="n"/>
      <c r="H336" s="39" t="n"/>
      <c r="I336" s="38" t="n"/>
      <c r="J336" s="22">
        <f>IF(COUNTA(A336:I336,K336:O336)=0,"",IF(OR(A336="",B336="",C336=""),"ID / parent missing",IF(COUNTIF($A$4:$A$553,A336)&gt;1,"Duplicate condition ID",IF(COUNTIF('Gate events'!$A$4:$A$553,B336)=0,"Event ID not found",IF(INDEX('Gate events'!$B$4:$B$553,MATCH(B336,'Gate events'!$A$4:$A$553,0))&lt;&gt;C336,"AIR-ID differs from event",IF(IF(INDEX('Gate events'!$P$4:$P$553,MATCH(B336,'Gate events'!$A$4:$A$553,0))="UC-ID specific",IF(OR(L336&lt;&gt;"UC-ID specific",K336=""),"Condition UC-ID required",IF(ISNUMBER(SEARCH(","&amp;SUBSTITUTE(K336," ","")&amp;",",","&amp;SUBSTITUTE(INDEX('Gate events'!$O$4:$O$553,MATCH(B336,'Gate events'!$A$4:$A$553,0))," ","")&amp;",")),"","UC-ID differs from decision")),IF(INDEX('Gate events'!$P$4:$P$553,MATCH(B336,'Gate events'!$A$4:$A$553,0))="Shared system baseline",IF(OR(L336&lt;&gt;"Shared system baseline",K336&lt;&gt;""),"Condition scope differs from decision",""),"Parent decision scope missing"))&lt;&gt;"",IF(INDEX('Gate events'!$P$4:$P$553,MATCH(B336,'Gate events'!$A$4:$A$553,0))="UC-ID specific",IF(OR(L336&lt;&gt;"UC-ID specific",K336=""),"Condition UC-ID required",IF(ISNUMBER(SEARCH(","&amp;SUBSTITUTE(K336," ","")&amp;",",","&amp;SUBSTITUTE(INDEX('Gate events'!$O$4:$O$553,MATCH(B336,'Gate events'!$A$4:$A$553,0))," ","")&amp;",")),"","UC-ID differs from decision")),IF(INDEX('Gate events'!$P$4:$P$553,MATCH(B336,'Gate events'!$A$4:$A$553,0))="Shared system baseline",IF(OR(L336&lt;&gt;"Shared system baseline",K336&lt;&gt;""),"Condition scope differs from decision",""),"Parent decision scope missing")),IF(OR(D336="",E336="",F336="",G336=""),"Condition, owner, due date or state missing",IF(NOT(ISNUMBER(F336)),"Due date is not a date",IF(OR(G336="Overdue",G336="Superseded"),"Legacy state — owner review (use the shared five states)",IF(INDEX('Gate events'!$E$4:$E$553,MATCH(B336,'Gate events'!$A$4:$A$553,0))&lt;&gt;"Decision","Parent event is not a Decision",IF(AND(INDEX('Gate events'!$G$4:$G$553,MATCH(B336,'Gate events'!$A$4:$A$553,0))&lt;&gt;"Progress with condition",INDEX('Gate events'!$G$4:$G$553,MATCH(B336,'Gate events'!$A$4:$A$553,0))&lt;&gt;"Re-authorise",INDEX('Gate events'!$G$4:$G$553,MATCH(B336,'Gate events'!$A$4:$A$553,0))&lt;&gt;"Resume"),"Parent outcome is not Progress with condition / Re-authorise / Resume",IF(AND(ISNUMBER(INDEX('Gate events'!$F$4:$F$553,MATCH(B336,'Gate events'!$A$4:$A$553,0))),F336&lt;INDEX('Gate events'!$F$4:$F$553,MATCH(B336,'Gate events'!$A$4:$A$553,0))),"Due date before parent event date",IF(AND(OR(G336="Closed-verified",G336="Waived",G336="Accepted-open"),OR(H336="",I336="")),"Closure evidence missing",IF(AND(H336&lt;&gt;"",NOT(ISNUMBER(H336))),"Closed / waived on is not a date",IF(AND(ISNUMBER(H336),ISNUMBER(INDEX('Gate events'!$F$4:$F$553,MATCH(B336,'Gate events'!$A$4:$A$553,0))),H336&lt;INDEX('Gate events'!$F$4:$F$553,MATCH(B336,'Gate events'!$A$4:$A$553,0))),"Closure date before parent event date",IF(AND(G336="Closed-verified",M336=""),"Verifier / date missing",IF(AND(N336="Yes",G336="Closed-verified",O336=""),"Monitoring condition needs AIG-OPS-02 evidence ref",IF(AND(G336="Open",F336&lt;TODAY()),"OVERDUE (derived) — review",IF(G336="Unknown","State Unknown: owner to confirm","Check against source")))))))))))))))))))</f>
        <v/>
      </c>
      <c r="K336" s="37" t="n"/>
      <c r="L336" s="37" t="n"/>
      <c r="M336" s="38" t="n"/>
      <c r="N336" s="38" t="n"/>
      <c r="O336" s="38" t="n"/>
    </row>
    <row r="337">
      <c r="A337" s="40" t="n"/>
      <c r="B337" s="40" t="n"/>
      <c r="C337" s="40" t="n"/>
      <c r="D337" s="40" t="n"/>
      <c r="E337" s="40" t="n"/>
      <c r="F337" s="41" t="n"/>
      <c r="G337" s="40" t="n"/>
      <c r="H337" s="41" t="n"/>
      <c r="I337" s="40" t="n"/>
      <c r="J337" s="24">
        <f>IF(COUNTA(A337:I337,K337:O337)=0,"",IF(OR(A337="",B337="",C337=""),"ID / parent missing",IF(COUNTIF($A$4:$A$553,A337)&gt;1,"Duplicate condition ID",IF(COUNTIF('Gate events'!$A$4:$A$553,B337)=0,"Event ID not found",IF(INDEX('Gate events'!$B$4:$B$553,MATCH(B337,'Gate events'!$A$4:$A$553,0))&lt;&gt;C337,"AIR-ID differs from event",IF(IF(INDEX('Gate events'!$P$4:$P$553,MATCH(B337,'Gate events'!$A$4:$A$553,0))="UC-ID specific",IF(OR(L337&lt;&gt;"UC-ID specific",K337=""),"Condition UC-ID required",IF(ISNUMBER(SEARCH(","&amp;SUBSTITUTE(K337," ","")&amp;",",","&amp;SUBSTITUTE(INDEX('Gate events'!$O$4:$O$553,MATCH(B337,'Gate events'!$A$4:$A$553,0))," ","")&amp;",")),"","UC-ID differs from decision")),IF(INDEX('Gate events'!$P$4:$P$553,MATCH(B337,'Gate events'!$A$4:$A$553,0))="Shared system baseline",IF(OR(L337&lt;&gt;"Shared system baseline",K337&lt;&gt;""),"Condition scope differs from decision",""),"Parent decision scope missing"))&lt;&gt;"",IF(INDEX('Gate events'!$P$4:$P$553,MATCH(B337,'Gate events'!$A$4:$A$553,0))="UC-ID specific",IF(OR(L337&lt;&gt;"UC-ID specific",K337=""),"Condition UC-ID required",IF(ISNUMBER(SEARCH(","&amp;SUBSTITUTE(K337," ","")&amp;",",","&amp;SUBSTITUTE(INDEX('Gate events'!$O$4:$O$553,MATCH(B337,'Gate events'!$A$4:$A$553,0))," ","")&amp;",")),"","UC-ID differs from decision")),IF(INDEX('Gate events'!$P$4:$P$553,MATCH(B337,'Gate events'!$A$4:$A$553,0))="Shared system baseline",IF(OR(L337&lt;&gt;"Shared system baseline",K337&lt;&gt;""),"Condition scope differs from decision",""),"Parent decision scope missing")),IF(OR(D337="",E337="",F337="",G337=""),"Condition, owner, due date or state missing",IF(NOT(ISNUMBER(F337)),"Due date is not a date",IF(OR(G337="Overdue",G337="Superseded"),"Legacy state — owner review (use the shared five states)",IF(INDEX('Gate events'!$E$4:$E$553,MATCH(B337,'Gate events'!$A$4:$A$553,0))&lt;&gt;"Decision","Parent event is not a Decision",IF(AND(INDEX('Gate events'!$G$4:$G$553,MATCH(B337,'Gate events'!$A$4:$A$553,0))&lt;&gt;"Progress with condition",INDEX('Gate events'!$G$4:$G$553,MATCH(B337,'Gate events'!$A$4:$A$553,0))&lt;&gt;"Re-authorise",INDEX('Gate events'!$G$4:$G$553,MATCH(B337,'Gate events'!$A$4:$A$553,0))&lt;&gt;"Resume"),"Parent outcome is not Progress with condition / Re-authorise / Resume",IF(AND(ISNUMBER(INDEX('Gate events'!$F$4:$F$553,MATCH(B337,'Gate events'!$A$4:$A$553,0))),F337&lt;INDEX('Gate events'!$F$4:$F$553,MATCH(B337,'Gate events'!$A$4:$A$553,0))),"Due date before parent event date",IF(AND(OR(G337="Closed-verified",G337="Waived",G337="Accepted-open"),OR(H337="",I337="")),"Closure evidence missing",IF(AND(H337&lt;&gt;"",NOT(ISNUMBER(H337))),"Closed / waived on is not a date",IF(AND(ISNUMBER(H337),ISNUMBER(INDEX('Gate events'!$F$4:$F$553,MATCH(B337,'Gate events'!$A$4:$A$553,0))),H337&lt;INDEX('Gate events'!$F$4:$F$553,MATCH(B337,'Gate events'!$A$4:$A$553,0))),"Closure date before parent event date",IF(AND(G337="Closed-verified",M337=""),"Verifier / date missing",IF(AND(N337="Yes",G337="Closed-verified",O337=""),"Monitoring condition needs AIG-OPS-02 evidence ref",IF(AND(G337="Open",F337&lt;TODAY()),"OVERDUE (derived) — review",IF(G337="Unknown","State Unknown: owner to confirm","Check against source")))))))))))))))))))</f>
        <v/>
      </c>
      <c r="K337" s="37" t="n"/>
      <c r="L337" s="37" t="n"/>
      <c r="M337" s="40" t="n"/>
      <c r="N337" s="40" t="n"/>
      <c r="O337" s="40" t="n"/>
    </row>
    <row r="338">
      <c r="A338" s="38" t="n"/>
      <c r="B338" s="38" t="n"/>
      <c r="C338" s="38" t="n"/>
      <c r="D338" s="38" t="n"/>
      <c r="E338" s="38" t="n"/>
      <c r="F338" s="39" t="n"/>
      <c r="G338" s="38" t="n"/>
      <c r="H338" s="39" t="n"/>
      <c r="I338" s="38" t="n"/>
      <c r="J338" s="22">
        <f>IF(COUNTA(A338:I338,K338:O338)=0,"",IF(OR(A338="",B338="",C338=""),"ID / parent missing",IF(COUNTIF($A$4:$A$553,A338)&gt;1,"Duplicate condition ID",IF(COUNTIF('Gate events'!$A$4:$A$553,B338)=0,"Event ID not found",IF(INDEX('Gate events'!$B$4:$B$553,MATCH(B338,'Gate events'!$A$4:$A$553,0))&lt;&gt;C338,"AIR-ID differs from event",IF(IF(INDEX('Gate events'!$P$4:$P$553,MATCH(B338,'Gate events'!$A$4:$A$553,0))="UC-ID specific",IF(OR(L338&lt;&gt;"UC-ID specific",K338=""),"Condition UC-ID required",IF(ISNUMBER(SEARCH(","&amp;SUBSTITUTE(K338," ","")&amp;",",","&amp;SUBSTITUTE(INDEX('Gate events'!$O$4:$O$553,MATCH(B338,'Gate events'!$A$4:$A$553,0))," ","")&amp;",")),"","UC-ID differs from decision")),IF(INDEX('Gate events'!$P$4:$P$553,MATCH(B338,'Gate events'!$A$4:$A$553,0))="Shared system baseline",IF(OR(L338&lt;&gt;"Shared system baseline",K338&lt;&gt;""),"Condition scope differs from decision",""),"Parent decision scope missing"))&lt;&gt;"",IF(INDEX('Gate events'!$P$4:$P$553,MATCH(B338,'Gate events'!$A$4:$A$553,0))="UC-ID specific",IF(OR(L338&lt;&gt;"UC-ID specific",K338=""),"Condition UC-ID required",IF(ISNUMBER(SEARCH(","&amp;SUBSTITUTE(K338," ","")&amp;",",","&amp;SUBSTITUTE(INDEX('Gate events'!$O$4:$O$553,MATCH(B338,'Gate events'!$A$4:$A$553,0))," ","")&amp;",")),"","UC-ID differs from decision")),IF(INDEX('Gate events'!$P$4:$P$553,MATCH(B338,'Gate events'!$A$4:$A$553,0))="Shared system baseline",IF(OR(L338&lt;&gt;"Shared system baseline",K338&lt;&gt;""),"Condition scope differs from decision",""),"Parent decision scope missing")),IF(OR(D338="",E338="",F338="",G338=""),"Condition, owner, due date or state missing",IF(NOT(ISNUMBER(F338)),"Due date is not a date",IF(OR(G338="Overdue",G338="Superseded"),"Legacy state — owner review (use the shared five states)",IF(INDEX('Gate events'!$E$4:$E$553,MATCH(B338,'Gate events'!$A$4:$A$553,0))&lt;&gt;"Decision","Parent event is not a Decision",IF(AND(INDEX('Gate events'!$G$4:$G$553,MATCH(B338,'Gate events'!$A$4:$A$553,0))&lt;&gt;"Progress with condition",INDEX('Gate events'!$G$4:$G$553,MATCH(B338,'Gate events'!$A$4:$A$553,0))&lt;&gt;"Re-authorise",INDEX('Gate events'!$G$4:$G$553,MATCH(B338,'Gate events'!$A$4:$A$553,0))&lt;&gt;"Resume"),"Parent outcome is not Progress with condition / Re-authorise / Resume",IF(AND(ISNUMBER(INDEX('Gate events'!$F$4:$F$553,MATCH(B338,'Gate events'!$A$4:$A$553,0))),F338&lt;INDEX('Gate events'!$F$4:$F$553,MATCH(B338,'Gate events'!$A$4:$A$553,0))),"Due date before parent event date",IF(AND(OR(G338="Closed-verified",G338="Waived",G338="Accepted-open"),OR(H338="",I338="")),"Closure evidence missing",IF(AND(H338&lt;&gt;"",NOT(ISNUMBER(H338))),"Closed / waived on is not a date",IF(AND(ISNUMBER(H338),ISNUMBER(INDEX('Gate events'!$F$4:$F$553,MATCH(B338,'Gate events'!$A$4:$A$553,0))),H338&lt;INDEX('Gate events'!$F$4:$F$553,MATCH(B338,'Gate events'!$A$4:$A$553,0))),"Closure date before parent event date",IF(AND(G338="Closed-verified",M338=""),"Verifier / date missing",IF(AND(N338="Yes",G338="Closed-verified",O338=""),"Monitoring condition needs AIG-OPS-02 evidence ref",IF(AND(G338="Open",F338&lt;TODAY()),"OVERDUE (derived) — review",IF(G338="Unknown","State Unknown: owner to confirm","Check against source")))))))))))))))))))</f>
        <v/>
      </c>
      <c r="K338" s="37" t="n"/>
      <c r="L338" s="37" t="n"/>
      <c r="M338" s="38" t="n"/>
      <c r="N338" s="38" t="n"/>
      <c r="O338" s="38" t="n"/>
    </row>
    <row r="339">
      <c r="A339" s="40" t="n"/>
      <c r="B339" s="40" t="n"/>
      <c r="C339" s="40" t="n"/>
      <c r="D339" s="40" t="n"/>
      <c r="E339" s="40" t="n"/>
      <c r="F339" s="41" t="n"/>
      <c r="G339" s="40" t="n"/>
      <c r="H339" s="41" t="n"/>
      <c r="I339" s="40" t="n"/>
      <c r="J339" s="24">
        <f>IF(COUNTA(A339:I339,K339:O339)=0,"",IF(OR(A339="",B339="",C339=""),"ID / parent missing",IF(COUNTIF($A$4:$A$553,A339)&gt;1,"Duplicate condition ID",IF(COUNTIF('Gate events'!$A$4:$A$553,B339)=0,"Event ID not found",IF(INDEX('Gate events'!$B$4:$B$553,MATCH(B339,'Gate events'!$A$4:$A$553,0))&lt;&gt;C339,"AIR-ID differs from event",IF(IF(INDEX('Gate events'!$P$4:$P$553,MATCH(B339,'Gate events'!$A$4:$A$553,0))="UC-ID specific",IF(OR(L339&lt;&gt;"UC-ID specific",K339=""),"Condition UC-ID required",IF(ISNUMBER(SEARCH(","&amp;SUBSTITUTE(K339," ","")&amp;",",","&amp;SUBSTITUTE(INDEX('Gate events'!$O$4:$O$553,MATCH(B339,'Gate events'!$A$4:$A$553,0))," ","")&amp;",")),"","UC-ID differs from decision")),IF(INDEX('Gate events'!$P$4:$P$553,MATCH(B339,'Gate events'!$A$4:$A$553,0))="Shared system baseline",IF(OR(L339&lt;&gt;"Shared system baseline",K339&lt;&gt;""),"Condition scope differs from decision",""),"Parent decision scope missing"))&lt;&gt;"",IF(INDEX('Gate events'!$P$4:$P$553,MATCH(B339,'Gate events'!$A$4:$A$553,0))="UC-ID specific",IF(OR(L339&lt;&gt;"UC-ID specific",K339=""),"Condition UC-ID required",IF(ISNUMBER(SEARCH(","&amp;SUBSTITUTE(K339," ","")&amp;",",","&amp;SUBSTITUTE(INDEX('Gate events'!$O$4:$O$553,MATCH(B339,'Gate events'!$A$4:$A$553,0))," ","")&amp;",")),"","UC-ID differs from decision")),IF(INDEX('Gate events'!$P$4:$P$553,MATCH(B339,'Gate events'!$A$4:$A$553,0))="Shared system baseline",IF(OR(L339&lt;&gt;"Shared system baseline",K339&lt;&gt;""),"Condition scope differs from decision",""),"Parent decision scope missing")),IF(OR(D339="",E339="",F339="",G339=""),"Condition, owner, due date or state missing",IF(NOT(ISNUMBER(F339)),"Due date is not a date",IF(OR(G339="Overdue",G339="Superseded"),"Legacy state — owner review (use the shared five states)",IF(INDEX('Gate events'!$E$4:$E$553,MATCH(B339,'Gate events'!$A$4:$A$553,0))&lt;&gt;"Decision","Parent event is not a Decision",IF(AND(INDEX('Gate events'!$G$4:$G$553,MATCH(B339,'Gate events'!$A$4:$A$553,0))&lt;&gt;"Progress with condition",INDEX('Gate events'!$G$4:$G$553,MATCH(B339,'Gate events'!$A$4:$A$553,0))&lt;&gt;"Re-authorise",INDEX('Gate events'!$G$4:$G$553,MATCH(B339,'Gate events'!$A$4:$A$553,0))&lt;&gt;"Resume"),"Parent outcome is not Progress with condition / Re-authorise / Resume",IF(AND(ISNUMBER(INDEX('Gate events'!$F$4:$F$553,MATCH(B339,'Gate events'!$A$4:$A$553,0))),F339&lt;INDEX('Gate events'!$F$4:$F$553,MATCH(B339,'Gate events'!$A$4:$A$553,0))),"Due date before parent event date",IF(AND(OR(G339="Closed-verified",G339="Waived",G339="Accepted-open"),OR(H339="",I339="")),"Closure evidence missing",IF(AND(H339&lt;&gt;"",NOT(ISNUMBER(H339))),"Closed / waived on is not a date",IF(AND(ISNUMBER(H339),ISNUMBER(INDEX('Gate events'!$F$4:$F$553,MATCH(B339,'Gate events'!$A$4:$A$553,0))),H339&lt;INDEX('Gate events'!$F$4:$F$553,MATCH(B339,'Gate events'!$A$4:$A$553,0))),"Closure date before parent event date",IF(AND(G339="Closed-verified",M339=""),"Verifier / date missing",IF(AND(N339="Yes",G339="Closed-verified",O339=""),"Monitoring condition needs AIG-OPS-02 evidence ref",IF(AND(G339="Open",F339&lt;TODAY()),"OVERDUE (derived) — review",IF(G339="Unknown","State Unknown: owner to confirm","Check against source")))))))))))))))))))</f>
        <v/>
      </c>
      <c r="K339" s="37" t="n"/>
      <c r="L339" s="37" t="n"/>
      <c r="M339" s="40" t="n"/>
      <c r="N339" s="40" t="n"/>
      <c r="O339" s="40" t="n"/>
    </row>
    <row r="340">
      <c r="A340" s="38" t="n"/>
      <c r="B340" s="38" t="n"/>
      <c r="C340" s="38" t="n"/>
      <c r="D340" s="38" t="n"/>
      <c r="E340" s="38" t="n"/>
      <c r="F340" s="39" t="n"/>
      <c r="G340" s="38" t="n"/>
      <c r="H340" s="39" t="n"/>
      <c r="I340" s="38" t="n"/>
      <c r="J340" s="22">
        <f>IF(COUNTA(A340:I340,K340:O340)=0,"",IF(OR(A340="",B340="",C340=""),"ID / parent missing",IF(COUNTIF($A$4:$A$553,A340)&gt;1,"Duplicate condition ID",IF(COUNTIF('Gate events'!$A$4:$A$553,B340)=0,"Event ID not found",IF(INDEX('Gate events'!$B$4:$B$553,MATCH(B340,'Gate events'!$A$4:$A$553,0))&lt;&gt;C340,"AIR-ID differs from event",IF(IF(INDEX('Gate events'!$P$4:$P$553,MATCH(B340,'Gate events'!$A$4:$A$553,0))="UC-ID specific",IF(OR(L340&lt;&gt;"UC-ID specific",K340=""),"Condition UC-ID required",IF(ISNUMBER(SEARCH(","&amp;SUBSTITUTE(K340," ","")&amp;",",","&amp;SUBSTITUTE(INDEX('Gate events'!$O$4:$O$553,MATCH(B340,'Gate events'!$A$4:$A$553,0))," ","")&amp;",")),"","UC-ID differs from decision")),IF(INDEX('Gate events'!$P$4:$P$553,MATCH(B340,'Gate events'!$A$4:$A$553,0))="Shared system baseline",IF(OR(L340&lt;&gt;"Shared system baseline",K340&lt;&gt;""),"Condition scope differs from decision",""),"Parent decision scope missing"))&lt;&gt;"",IF(INDEX('Gate events'!$P$4:$P$553,MATCH(B340,'Gate events'!$A$4:$A$553,0))="UC-ID specific",IF(OR(L340&lt;&gt;"UC-ID specific",K340=""),"Condition UC-ID required",IF(ISNUMBER(SEARCH(","&amp;SUBSTITUTE(K340," ","")&amp;",",","&amp;SUBSTITUTE(INDEX('Gate events'!$O$4:$O$553,MATCH(B340,'Gate events'!$A$4:$A$553,0))," ","")&amp;",")),"","UC-ID differs from decision")),IF(INDEX('Gate events'!$P$4:$P$553,MATCH(B340,'Gate events'!$A$4:$A$553,0))="Shared system baseline",IF(OR(L340&lt;&gt;"Shared system baseline",K340&lt;&gt;""),"Condition scope differs from decision",""),"Parent decision scope missing")),IF(OR(D340="",E340="",F340="",G340=""),"Condition, owner, due date or state missing",IF(NOT(ISNUMBER(F340)),"Due date is not a date",IF(OR(G340="Overdue",G340="Superseded"),"Legacy state — owner review (use the shared five states)",IF(INDEX('Gate events'!$E$4:$E$553,MATCH(B340,'Gate events'!$A$4:$A$553,0))&lt;&gt;"Decision","Parent event is not a Decision",IF(AND(INDEX('Gate events'!$G$4:$G$553,MATCH(B340,'Gate events'!$A$4:$A$553,0))&lt;&gt;"Progress with condition",INDEX('Gate events'!$G$4:$G$553,MATCH(B340,'Gate events'!$A$4:$A$553,0))&lt;&gt;"Re-authorise",INDEX('Gate events'!$G$4:$G$553,MATCH(B340,'Gate events'!$A$4:$A$553,0))&lt;&gt;"Resume"),"Parent outcome is not Progress with condition / Re-authorise / Resume",IF(AND(ISNUMBER(INDEX('Gate events'!$F$4:$F$553,MATCH(B340,'Gate events'!$A$4:$A$553,0))),F340&lt;INDEX('Gate events'!$F$4:$F$553,MATCH(B340,'Gate events'!$A$4:$A$553,0))),"Due date before parent event date",IF(AND(OR(G340="Closed-verified",G340="Waived",G340="Accepted-open"),OR(H340="",I340="")),"Closure evidence missing",IF(AND(H340&lt;&gt;"",NOT(ISNUMBER(H340))),"Closed / waived on is not a date",IF(AND(ISNUMBER(H340),ISNUMBER(INDEX('Gate events'!$F$4:$F$553,MATCH(B340,'Gate events'!$A$4:$A$553,0))),H340&lt;INDEX('Gate events'!$F$4:$F$553,MATCH(B340,'Gate events'!$A$4:$A$553,0))),"Closure date before parent event date",IF(AND(G340="Closed-verified",M340=""),"Verifier / date missing",IF(AND(N340="Yes",G340="Closed-verified",O340=""),"Monitoring condition needs AIG-OPS-02 evidence ref",IF(AND(G340="Open",F340&lt;TODAY()),"OVERDUE (derived) — review",IF(G340="Unknown","State Unknown: owner to confirm","Check against source")))))))))))))))))))</f>
        <v/>
      </c>
      <c r="K340" s="37" t="n"/>
      <c r="L340" s="37" t="n"/>
      <c r="M340" s="38" t="n"/>
      <c r="N340" s="38" t="n"/>
      <c r="O340" s="38" t="n"/>
    </row>
    <row r="341">
      <c r="A341" s="40" t="n"/>
      <c r="B341" s="40" t="n"/>
      <c r="C341" s="40" t="n"/>
      <c r="D341" s="40" t="n"/>
      <c r="E341" s="40" t="n"/>
      <c r="F341" s="41" t="n"/>
      <c r="G341" s="40" t="n"/>
      <c r="H341" s="41" t="n"/>
      <c r="I341" s="40" t="n"/>
      <c r="J341" s="24">
        <f>IF(COUNTA(A341:I341,K341:O341)=0,"",IF(OR(A341="",B341="",C341=""),"ID / parent missing",IF(COUNTIF($A$4:$A$553,A341)&gt;1,"Duplicate condition ID",IF(COUNTIF('Gate events'!$A$4:$A$553,B341)=0,"Event ID not found",IF(INDEX('Gate events'!$B$4:$B$553,MATCH(B341,'Gate events'!$A$4:$A$553,0))&lt;&gt;C341,"AIR-ID differs from event",IF(IF(INDEX('Gate events'!$P$4:$P$553,MATCH(B341,'Gate events'!$A$4:$A$553,0))="UC-ID specific",IF(OR(L341&lt;&gt;"UC-ID specific",K341=""),"Condition UC-ID required",IF(ISNUMBER(SEARCH(","&amp;SUBSTITUTE(K341," ","")&amp;",",","&amp;SUBSTITUTE(INDEX('Gate events'!$O$4:$O$553,MATCH(B341,'Gate events'!$A$4:$A$553,0))," ","")&amp;",")),"","UC-ID differs from decision")),IF(INDEX('Gate events'!$P$4:$P$553,MATCH(B341,'Gate events'!$A$4:$A$553,0))="Shared system baseline",IF(OR(L341&lt;&gt;"Shared system baseline",K341&lt;&gt;""),"Condition scope differs from decision",""),"Parent decision scope missing"))&lt;&gt;"",IF(INDEX('Gate events'!$P$4:$P$553,MATCH(B341,'Gate events'!$A$4:$A$553,0))="UC-ID specific",IF(OR(L341&lt;&gt;"UC-ID specific",K341=""),"Condition UC-ID required",IF(ISNUMBER(SEARCH(","&amp;SUBSTITUTE(K341," ","")&amp;",",","&amp;SUBSTITUTE(INDEX('Gate events'!$O$4:$O$553,MATCH(B341,'Gate events'!$A$4:$A$553,0))," ","")&amp;",")),"","UC-ID differs from decision")),IF(INDEX('Gate events'!$P$4:$P$553,MATCH(B341,'Gate events'!$A$4:$A$553,0))="Shared system baseline",IF(OR(L341&lt;&gt;"Shared system baseline",K341&lt;&gt;""),"Condition scope differs from decision",""),"Parent decision scope missing")),IF(OR(D341="",E341="",F341="",G341=""),"Condition, owner, due date or state missing",IF(NOT(ISNUMBER(F341)),"Due date is not a date",IF(OR(G341="Overdue",G341="Superseded"),"Legacy state — owner review (use the shared five states)",IF(INDEX('Gate events'!$E$4:$E$553,MATCH(B341,'Gate events'!$A$4:$A$553,0))&lt;&gt;"Decision","Parent event is not a Decision",IF(AND(INDEX('Gate events'!$G$4:$G$553,MATCH(B341,'Gate events'!$A$4:$A$553,0))&lt;&gt;"Progress with condition",INDEX('Gate events'!$G$4:$G$553,MATCH(B341,'Gate events'!$A$4:$A$553,0))&lt;&gt;"Re-authorise",INDEX('Gate events'!$G$4:$G$553,MATCH(B341,'Gate events'!$A$4:$A$553,0))&lt;&gt;"Resume"),"Parent outcome is not Progress with condition / Re-authorise / Resume",IF(AND(ISNUMBER(INDEX('Gate events'!$F$4:$F$553,MATCH(B341,'Gate events'!$A$4:$A$553,0))),F341&lt;INDEX('Gate events'!$F$4:$F$553,MATCH(B341,'Gate events'!$A$4:$A$553,0))),"Due date before parent event date",IF(AND(OR(G341="Closed-verified",G341="Waived",G341="Accepted-open"),OR(H341="",I341="")),"Closure evidence missing",IF(AND(H341&lt;&gt;"",NOT(ISNUMBER(H341))),"Closed / waived on is not a date",IF(AND(ISNUMBER(H341),ISNUMBER(INDEX('Gate events'!$F$4:$F$553,MATCH(B341,'Gate events'!$A$4:$A$553,0))),H341&lt;INDEX('Gate events'!$F$4:$F$553,MATCH(B341,'Gate events'!$A$4:$A$553,0))),"Closure date before parent event date",IF(AND(G341="Closed-verified",M341=""),"Verifier / date missing",IF(AND(N341="Yes",G341="Closed-verified",O341=""),"Monitoring condition needs AIG-OPS-02 evidence ref",IF(AND(G341="Open",F341&lt;TODAY()),"OVERDUE (derived) — review",IF(G341="Unknown","State Unknown: owner to confirm","Check against source")))))))))))))))))))</f>
        <v/>
      </c>
      <c r="K341" s="37" t="n"/>
      <c r="L341" s="37" t="n"/>
      <c r="M341" s="40" t="n"/>
      <c r="N341" s="40" t="n"/>
      <c r="O341" s="40" t="n"/>
    </row>
    <row r="342">
      <c r="A342" s="38" t="n"/>
      <c r="B342" s="38" t="n"/>
      <c r="C342" s="38" t="n"/>
      <c r="D342" s="38" t="n"/>
      <c r="E342" s="38" t="n"/>
      <c r="F342" s="39" t="n"/>
      <c r="G342" s="38" t="n"/>
      <c r="H342" s="39" t="n"/>
      <c r="I342" s="38" t="n"/>
      <c r="J342" s="22">
        <f>IF(COUNTA(A342:I342,K342:O342)=0,"",IF(OR(A342="",B342="",C342=""),"ID / parent missing",IF(COUNTIF($A$4:$A$553,A342)&gt;1,"Duplicate condition ID",IF(COUNTIF('Gate events'!$A$4:$A$553,B342)=0,"Event ID not found",IF(INDEX('Gate events'!$B$4:$B$553,MATCH(B342,'Gate events'!$A$4:$A$553,0))&lt;&gt;C342,"AIR-ID differs from event",IF(IF(INDEX('Gate events'!$P$4:$P$553,MATCH(B342,'Gate events'!$A$4:$A$553,0))="UC-ID specific",IF(OR(L342&lt;&gt;"UC-ID specific",K342=""),"Condition UC-ID required",IF(ISNUMBER(SEARCH(","&amp;SUBSTITUTE(K342," ","")&amp;",",","&amp;SUBSTITUTE(INDEX('Gate events'!$O$4:$O$553,MATCH(B342,'Gate events'!$A$4:$A$553,0))," ","")&amp;",")),"","UC-ID differs from decision")),IF(INDEX('Gate events'!$P$4:$P$553,MATCH(B342,'Gate events'!$A$4:$A$553,0))="Shared system baseline",IF(OR(L342&lt;&gt;"Shared system baseline",K342&lt;&gt;""),"Condition scope differs from decision",""),"Parent decision scope missing"))&lt;&gt;"",IF(INDEX('Gate events'!$P$4:$P$553,MATCH(B342,'Gate events'!$A$4:$A$553,0))="UC-ID specific",IF(OR(L342&lt;&gt;"UC-ID specific",K342=""),"Condition UC-ID required",IF(ISNUMBER(SEARCH(","&amp;SUBSTITUTE(K342," ","")&amp;",",","&amp;SUBSTITUTE(INDEX('Gate events'!$O$4:$O$553,MATCH(B342,'Gate events'!$A$4:$A$553,0))," ","")&amp;",")),"","UC-ID differs from decision")),IF(INDEX('Gate events'!$P$4:$P$553,MATCH(B342,'Gate events'!$A$4:$A$553,0))="Shared system baseline",IF(OR(L342&lt;&gt;"Shared system baseline",K342&lt;&gt;""),"Condition scope differs from decision",""),"Parent decision scope missing")),IF(OR(D342="",E342="",F342="",G342=""),"Condition, owner, due date or state missing",IF(NOT(ISNUMBER(F342)),"Due date is not a date",IF(OR(G342="Overdue",G342="Superseded"),"Legacy state — owner review (use the shared five states)",IF(INDEX('Gate events'!$E$4:$E$553,MATCH(B342,'Gate events'!$A$4:$A$553,0))&lt;&gt;"Decision","Parent event is not a Decision",IF(AND(INDEX('Gate events'!$G$4:$G$553,MATCH(B342,'Gate events'!$A$4:$A$553,0))&lt;&gt;"Progress with condition",INDEX('Gate events'!$G$4:$G$553,MATCH(B342,'Gate events'!$A$4:$A$553,0))&lt;&gt;"Re-authorise",INDEX('Gate events'!$G$4:$G$553,MATCH(B342,'Gate events'!$A$4:$A$553,0))&lt;&gt;"Resume"),"Parent outcome is not Progress with condition / Re-authorise / Resume",IF(AND(ISNUMBER(INDEX('Gate events'!$F$4:$F$553,MATCH(B342,'Gate events'!$A$4:$A$553,0))),F342&lt;INDEX('Gate events'!$F$4:$F$553,MATCH(B342,'Gate events'!$A$4:$A$553,0))),"Due date before parent event date",IF(AND(OR(G342="Closed-verified",G342="Waived",G342="Accepted-open"),OR(H342="",I342="")),"Closure evidence missing",IF(AND(H342&lt;&gt;"",NOT(ISNUMBER(H342))),"Closed / waived on is not a date",IF(AND(ISNUMBER(H342),ISNUMBER(INDEX('Gate events'!$F$4:$F$553,MATCH(B342,'Gate events'!$A$4:$A$553,0))),H342&lt;INDEX('Gate events'!$F$4:$F$553,MATCH(B342,'Gate events'!$A$4:$A$553,0))),"Closure date before parent event date",IF(AND(G342="Closed-verified",M342=""),"Verifier / date missing",IF(AND(N342="Yes",G342="Closed-verified",O342=""),"Monitoring condition needs AIG-OPS-02 evidence ref",IF(AND(G342="Open",F342&lt;TODAY()),"OVERDUE (derived) — review",IF(G342="Unknown","State Unknown: owner to confirm","Check against source")))))))))))))))))))</f>
        <v/>
      </c>
      <c r="K342" s="37" t="n"/>
      <c r="L342" s="37" t="n"/>
      <c r="M342" s="38" t="n"/>
      <c r="N342" s="38" t="n"/>
      <c r="O342" s="38" t="n"/>
    </row>
    <row r="343">
      <c r="A343" s="40" t="n"/>
      <c r="B343" s="40" t="n"/>
      <c r="C343" s="40" t="n"/>
      <c r="D343" s="40" t="n"/>
      <c r="E343" s="40" t="n"/>
      <c r="F343" s="41" t="n"/>
      <c r="G343" s="40" t="n"/>
      <c r="H343" s="41" t="n"/>
      <c r="I343" s="40" t="n"/>
      <c r="J343" s="24">
        <f>IF(COUNTA(A343:I343,K343:O343)=0,"",IF(OR(A343="",B343="",C343=""),"ID / parent missing",IF(COUNTIF($A$4:$A$553,A343)&gt;1,"Duplicate condition ID",IF(COUNTIF('Gate events'!$A$4:$A$553,B343)=0,"Event ID not found",IF(INDEX('Gate events'!$B$4:$B$553,MATCH(B343,'Gate events'!$A$4:$A$553,0))&lt;&gt;C343,"AIR-ID differs from event",IF(IF(INDEX('Gate events'!$P$4:$P$553,MATCH(B343,'Gate events'!$A$4:$A$553,0))="UC-ID specific",IF(OR(L343&lt;&gt;"UC-ID specific",K343=""),"Condition UC-ID required",IF(ISNUMBER(SEARCH(","&amp;SUBSTITUTE(K343," ","")&amp;",",","&amp;SUBSTITUTE(INDEX('Gate events'!$O$4:$O$553,MATCH(B343,'Gate events'!$A$4:$A$553,0))," ","")&amp;",")),"","UC-ID differs from decision")),IF(INDEX('Gate events'!$P$4:$P$553,MATCH(B343,'Gate events'!$A$4:$A$553,0))="Shared system baseline",IF(OR(L343&lt;&gt;"Shared system baseline",K343&lt;&gt;""),"Condition scope differs from decision",""),"Parent decision scope missing"))&lt;&gt;"",IF(INDEX('Gate events'!$P$4:$P$553,MATCH(B343,'Gate events'!$A$4:$A$553,0))="UC-ID specific",IF(OR(L343&lt;&gt;"UC-ID specific",K343=""),"Condition UC-ID required",IF(ISNUMBER(SEARCH(","&amp;SUBSTITUTE(K343," ","")&amp;",",","&amp;SUBSTITUTE(INDEX('Gate events'!$O$4:$O$553,MATCH(B343,'Gate events'!$A$4:$A$553,0))," ","")&amp;",")),"","UC-ID differs from decision")),IF(INDEX('Gate events'!$P$4:$P$553,MATCH(B343,'Gate events'!$A$4:$A$553,0))="Shared system baseline",IF(OR(L343&lt;&gt;"Shared system baseline",K343&lt;&gt;""),"Condition scope differs from decision",""),"Parent decision scope missing")),IF(OR(D343="",E343="",F343="",G343=""),"Condition, owner, due date or state missing",IF(NOT(ISNUMBER(F343)),"Due date is not a date",IF(OR(G343="Overdue",G343="Superseded"),"Legacy state — owner review (use the shared five states)",IF(INDEX('Gate events'!$E$4:$E$553,MATCH(B343,'Gate events'!$A$4:$A$553,0))&lt;&gt;"Decision","Parent event is not a Decision",IF(AND(INDEX('Gate events'!$G$4:$G$553,MATCH(B343,'Gate events'!$A$4:$A$553,0))&lt;&gt;"Progress with condition",INDEX('Gate events'!$G$4:$G$553,MATCH(B343,'Gate events'!$A$4:$A$553,0))&lt;&gt;"Re-authorise",INDEX('Gate events'!$G$4:$G$553,MATCH(B343,'Gate events'!$A$4:$A$553,0))&lt;&gt;"Resume"),"Parent outcome is not Progress with condition / Re-authorise / Resume",IF(AND(ISNUMBER(INDEX('Gate events'!$F$4:$F$553,MATCH(B343,'Gate events'!$A$4:$A$553,0))),F343&lt;INDEX('Gate events'!$F$4:$F$553,MATCH(B343,'Gate events'!$A$4:$A$553,0))),"Due date before parent event date",IF(AND(OR(G343="Closed-verified",G343="Waived",G343="Accepted-open"),OR(H343="",I343="")),"Closure evidence missing",IF(AND(H343&lt;&gt;"",NOT(ISNUMBER(H343))),"Closed / waived on is not a date",IF(AND(ISNUMBER(H343),ISNUMBER(INDEX('Gate events'!$F$4:$F$553,MATCH(B343,'Gate events'!$A$4:$A$553,0))),H343&lt;INDEX('Gate events'!$F$4:$F$553,MATCH(B343,'Gate events'!$A$4:$A$553,0))),"Closure date before parent event date",IF(AND(G343="Closed-verified",M343=""),"Verifier / date missing",IF(AND(N343="Yes",G343="Closed-verified",O343=""),"Monitoring condition needs AIG-OPS-02 evidence ref",IF(AND(G343="Open",F343&lt;TODAY()),"OVERDUE (derived) — review",IF(G343="Unknown","State Unknown: owner to confirm","Check against source")))))))))))))))))))</f>
        <v/>
      </c>
      <c r="K343" s="37" t="n"/>
      <c r="L343" s="37" t="n"/>
      <c r="M343" s="40" t="n"/>
      <c r="N343" s="40" t="n"/>
      <c r="O343" s="40" t="n"/>
    </row>
    <row r="344">
      <c r="A344" s="38" t="n"/>
      <c r="B344" s="38" t="n"/>
      <c r="C344" s="38" t="n"/>
      <c r="D344" s="38" t="n"/>
      <c r="E344" s="38" t="n"/>
      <c r="F344" s="39" t="n"/>
      <c r="G344" s="38" t="n"/>
      <c r="H344" s="39" t="n"/>
      <c r="I344" s="38" t="n"/>
      <c r="J344" s="22">
        <f>IF(COUNTA(A344:I344,K344:O344)=0,"",IF(OR(A344="",B344="",C344=""),"ID / parent missing",IF(COUNTIF($A$4:$A$553,A344)&gt;1,"Duplicate condition ID",IF(COUNTIF('Gate events'!$A$4:$A$553,B344)=0,"Event ID not found",IF(INDEX('Gate events'!$B$4:$B$553,MATCH(B344,'Gate events'!$A$4:$A$553,0))&lt;&gt;C344,"AIR-ID differs from event",IF(IF(INDEX('Gate events'!$P$4:$P$553,MATCH(B344,'Gate events'!$A$4:$A$553,0))="UC-ID specific",IF(OR(L344&lt;&gt;"UC-ID specific",K344=""),"Condition UC-ID required",IF(ISNUMBER(SEARCH(","&amp;SUBSTITUTE(K344," ","")&amp;",",","&amp;SUBSTITUTE(INDEX('Gate events'!$O$4:$O$553,MATCH(B344,'Gate events'!$A$4:$A$553,0))," ","")&amp;",")),"","UC-ID differs from decision")),IF(INDEX('Gate events'!$P$4:$P$553,MATCH(B344,'Gate events'!$A$4:$A$553,0))="Shared system baseline",IF(OR(L344&lt;&gt;"Shared system baseline",K344&lt;&gt;""),"Condition scope differs from decision",""),"Parent decision scope missing"))&lt;&gt;"",IF(INDEX('Gate events'!$P$4:$P$553,MATCH(B344,'Gate events'!$A$4:$A$553,0))="UC-ID specific",IF(OR(L344&lt;&gt;"UC-ID specific",K344=""),"Condition UC-ID required",IF(ISNUMBER(SEARCH(","&amp;SUBSTITUTE(K344," ","")&amp;",",","&amp;SUBSTITUTE(INDEX('Gate events'!$O$4:$O$553,MATCH(B344,'Gate events'!$A$4:$A$553,0))," ","")&amp;",")),"","UC-ID differs from decision")),IF(INDEX('Gate events'!$P$4:$P$553,MATCH(B344,'Gate events'!$A$4:$A$553,0))="Shared system baseline",IF(OR(L344&lt;&gt;"Shared system baseline",K344&lt;&gt;""),"Condition scope differs from decision",""),"Parent decision scope missing")),IF(OR(D344="",E344="",F344="",G344=""),"Condition, owner, due date or state missing",IF(NOT(ISNUMBER(F344)),"Due date is not a date",IF(OR(G344="Overdue",G344="Superseded"),"Legacy state — owner review (use the shared five states)",IF(INDEX('Gate events'!$E$4:$E$553,MATCH(B344,'Gate events'!$A$4:$A$553,0))&lt;&gt;"Decision","Parent event is not a Decision",IF(AND(INDEX('Gate events'!$G$4:$G$553,MATCH(B344,'Gate events'!$A$4:$A$553,0))&lt;&gt;"Progress with condition",INDEX('Gate events'!$G$4:$G$553,MATCH(B344,'Gate events'!$A$4:$A$553,0))&lt;&gt;"Re-authorise",INDEX('Gate events'!$G$4:$G$553,MATCH(B344,'Gate events'!$A$4:$A$553,0))&lt;&gt;"Resume"),"Parent outcome is not Progress with condition / Re-authorise / Resume",IF(AND(ISNUMBER(INDEX('Gate events'!$F$4:$F$553,MATCH(B344,'Gate events'!$A$4:$A$553,0))),F344&lt;INDEX('Gate events'!$F$4:$F$553,MATCH(B344,'Gate events'!$A$4:$A$553,0))),"Due date before parent event date",IF(AND(OR(G344="Closed-verified",G344="Waived",G344="Accepted-open"),OR(H344="",I344="")),"Closure evidence missing",IF(AND(H344&lt;&gt;"",NOT(ISNUMBER(H344))),"Closed / waived on is not a date",IF(AND(ISNUMBER(H344),ISNUMBER(INDEX('Gate events'!$F$4:$F$553,MATCH(B344,'Gate events'!$A$4:$A$553,0))),H344&lt;INDEX('Gate events'!$F$4:$F$553,MATCH(B344,'Gate events'!$A$4:$A$553,0))),"Closure date before parent event date",IF(AND(G344="Closed-verified",M344=""),"Verifier / date missing",IF(AND(N344="Yes",G344="Closed-verified",O344=""),"Monitoring condition needs AIG-OPS-02 evidence ref",IF(AND(G344="Open",F344&lt;TODAY()),"OVERDUE (derived) — review",IF(G344="Unknown","State Unknown: owner to confirm","Check against source")))))))))))))))))))</f>
        <v/>
      </c>
      <c r="K344" s="37" t="n"/>
      <c r="L344" s="37" t="n"/>
      <c r="M344" s="38" t="n"/>
      <c r="N344" s="38" t="n"/>
      <c r="O344" s="38" t="n"/>
    </row>
    <row r="345">
      <c r="A345" s="40" t="n"/>
      <c r="B345" s="40" t="n"/>
      <c r="C345" s="40" t="n"/>
      <c r="D345" s="40" t="n"/>
      <c r="E345" s="40" t="n"/>
      <c r="F345" s="41" t="n"/>
      <c r="G345" s="40" t="n"/>
      <c r="H345" s="41" t="n"/>
      <c r="I345" s="40" t="n"/>
      <c r="J345" s="24">
        <f>IF(COUNTA(A345:I345,K345:O345)=0,"",IF(OR(A345="",B345="",C345=""),"ID / parent missing",IF(COUNTIF($A$4:$A$553,A345)&gt;1,"Duplicate condition ID",IF(COUNTIF('Gate events'!$A$4:$A$553,B345)=0,"Event ID not found",IF(INDEX('Gate events'!$B$4:$B$553,MATCH(B345,'Gate events'!$A$4:$A$553,0))&lt;&gt;C345,"AIR-ID differs from event",IF(IF(INDEX('Gate events'!$P$4:$P$553,MATCH(B345,'Gate events'!$A$4:$A$553,0))="UC-ID specific",IF(OR(L345&lt;&gt;"UC-ID specific",K345=""),"Condition UC-ID required",IF(ISNUMBER(SEARCH(","&amp;SUBSTITUTE(K345," ","")&amp;",",","&amp;SUBSTITUTE(INDEX('Gate events'!$O$4:$O$553,MATCH(B345,'Gate events'!$A$4:$A$553,0))," ","")&amp;",")),"","UC-ID differs from decision")),IF(INDEX('Gate events'!$P$4:$P$553,MATCH(B345,'Gate events'!$A$4:$A$553,0))="Shared system baseline",IF(OR(L345&lt;&gt;"Shared system baseline",K345&lt;&gt;""),"Condition scope differs from decision",""),"Parent decision scope missing"))&lt;&gt;"",IF(INDEX('Gate events'!$P$4:$P$553,MATCH(B345,'Gate events'!$A$4:$A$553,0))="UC-ID specific",IF(OR(L345&lt;&gt;"UC-ID specific",K345=""),"Condition UC-ID required",IF(ISNUMBER(SEARCH(","&amp;SUBSTITUTE(K345," ","")&amp;",",","&amp;SUBSTITUTE(INDEX('Gate events'!$O$4:$O$553,MATCH(B345,'Gate events'!$A$4:$A$553,0))," ","")&amp;",")),"","UC-ID differs from decision")),IF(INDEX('Gate events'!$P$4:$P$553,MATCH(B345,'Gate events'!$A$4:$A$553,0))="Shared system baseline",IF(OR(L345&lt;&gt;"Shared system baseline",K345&lt;&gt;""),"Condition scope differs from decision",""),"Parent decision scope missing")),IF(OR(D345="",E345="",F345="",G345=""),"Condition, owner, due date or state missing",IF(NOT(ISNUMBER(F345)),"Due date is not a date",IF(OR(G345="Overdue",G345="Superseded"),"Legacy state — owner review (use the shared five states)",IF(INDEX('Gate events'!$E$4:$E$553,MATCH(B345,'Gate events'!$A$4:$A$553,0))&lt;&gt;"Decision","Parent event is not a Decision",IF(AND(INDEX('Gate events'!$G$4:$G$553,MATCH(B345,'Gate events'!$A$4:$A$553,0))&lt;&gt;"Progress with condition",INDEX('Gate events'!$G$4:$G$553,MATCH(B345,'Gate events'!$A$4:$A$553,0))&lt;&gt;"Re-authorise",INDEX('Gate events'!$G$4:$G$553,MATCH(B345,'Gate events'!$A$4:$A$553,0))&lt;&gt;"Resume"),"Parent outcome is not Progress with condition / Re-authorise / Resume",IF(AND(ISNUMBER(INDEX('Gate events'!$F$4:$F$553,MATCH(B345,'Gate events'!$A$4:$A$553,0))),F345&lt;INDEX('Gate events'!$F$4:$F$553,MATCH(B345,'Gate events'!$A$4:$A$553,0))),"Due date before parent event date",IF(AND(OR(G345="Closed-verified",G345="Waived",G345="Accepted-open"),OR(H345="",I345="")),"Closure evidence missing",IF(AND(H345&lt;&gt;"",NOT(ISNUMBER(H345))),"Closed / waived on is not a date",IF(AND(ISNUMBER(H345),ISNUMBER(INDEX('Gate events'!$F$4:$F$553,MATCH(B345,'Gate events'!$A$4:$A$553,0))),H345&lt;INDEX('Gate events'!$F$4:$F$553,MATCH(B345,'Gate events'!$A$4:$A$553,0))),"Closure date before parent event date",IF(AND(G345="Closed-verified",M345=""),"Verifier / date missing",IF(AND(N345="Yes",G345="Closed-verified",O345=""),"Monitoring condition needs AIG-OPS-02 evidence ref",IF(AND(G345="Open",F345&lt;TODAY()),"OVERDUE (derived) — review",IF(G345="Unknown","State Unknown: owner to confirm","Check against source")))))))))))))))))))</f>
        <v/>
      </c>
      <c r="K345" s="37" t="n"/>
      <c r="L345" s="37" t="n"/>
      <c r="M345" s="40" t="n"/>
      <c r="N345" s="40" t="n"/>
      <c r="O345" s="40" t="n"/>
    </row>
    <row r="346">
      <c r="A346" s="38" t="n"/>
      <c r="B346" s="38" t="n"/>
      <c r="C346" s="38" t="n"/>
      <c r="D346" s="38" t="n"/>
      <c r="E346" s="38" t="n"/>
      <c r="F346" s="39" t="n"/>
      <c r="G346" s="38" t="n"/>
      <c r="H346" s="39" t="n"/>
      <c r="I346" s="38" t="n"/>
      <c r="J346" s="22">
        <f>IF(COUNTA(A346:I346,K346:O346)=0,"",IF(OR(A346="",B346="",C346=""),"ID / parent missing",IF(COUNTIF($A$4:$A$553,A346)&gt;1,"Duplicate condition ID",IF(COUNTIF('Gate events'!$A$4:$A$553,B346)=0,"Event ID not found",IF(INDEX('Gate events'!$B$4:$B$553,MATCH(B346,'Gate events'!$A$4:$A$553,0))&lt;&gt;C346,"AIR-ID differs from event",IF(IF(INDEX('Gate events'!$P$4:$P$553,MATCH(B346,'Gate events'!$A$4:$A$553,0))="UC-ID specific",IF(OR(L346&lt;&gt;"UC-ID specific",K346=""),"Condition UC-ID required",IF(ISNUMBER(SEARCH(","&amp;SUBSTITUTE(K346," ","")&amp;",",","&amp;SUBSTITUTE(INDEX('Gate events'!$O$4:$O$553,MATCH(B346,'Gate events'!$A$4:$A$553,0))," ","")&amp;",")),"","UC-ID differs from decision")),IF(INDEX('Gate events'!$P$4:$P$553,MATCH(B346,'Gate events'!$A$4:$A$553,0))="Shared system baseline",IF(OR(L346&lt;&gt;"Shared system baseline",K346&lt;&gt;""),"Condition scope differs from decision",""),"Parent decision scope missing"))&lt;&gt;"",IF(INDEX('Gate events'!$P$4:$P$553,MATCH(B346,'Gate events'!$A$4:$A$553,0))="UC-ID specific",IF(OR(L346&lt;&gt;"UC-ID specific",K346=""),"Condition UC-ID required",IF(ISNUMBER(SEARCH(","&amp;SUBSTITUTE(K346," ","")&amp;",",","&amp;SUBSTITUTE(INDEX('Gate events'!$O$4:$O$553,MATCH(B346,'Gate events'!$A$4:$A$553,0))," ","")&amp;",")),"","UC-ID differs from decision")),IF(INDEX('Gate events'!$P$4:$P$553,MATCH(B346,'Gate events'!$A$4:$A$553,0))="Shared system baseline",IF(OR(L346&lt;&gt;"Shared system baseline",K346&lt;&gt;""),"Condition scope differs from decision",""),"Parent decision scope missing")),IF(OR(D346="",E346="",F346="",G346=""),"Condition, owner, due date or state missing",IF(NOT(ISNUMBER(F346)),"Due date is not a date",IF(OR(G346="Overdue",G346="Superseded"),"Legacy state — owner review (use the shared five states)",IF(INDEX('Gate events'!$E$4:$E$553,MATCH(B346,'Gate events'!$A$4:$A$553,0))&lt;&gt;"Decision","Parent event is not a Decision",IF(AND(INDEX('Gate events'!$G$4:$G$553,MATCH(B346,'Gate events'!$A$4:$A$553,0))&lt;&gt;"Progress with condition",INDEX('Gate events'!$G$4:$G$553,MATCH(B346,'Gate events'!$A$4:$A$553,0))&lt;&gt;"Re-authorise",INDEX('Gate events'!$G$4:$G$553,MATCH(B346,'Gate events'!$A$4:$A$553,0))&lt;&gt;"Resume"),"Parent outcome is not Progress with condition / Re-authorise / Resume",IF(AND(ISNUMBER(INDEX('Gate events'!$F$4:$F$553,MATCH(B346,'Gate events'!$A$4:$A$553,0))),F346&lt;INDEX('Gate events'!$F$4:$F$553,MATCH(B346,'Gate events'!$A$4:$A$553,0))),"Due date before parent event date",IF(AND(OR(G346="Closed-verified",G346="Waived",G346="Accepted-open"),OR(H346="",I346="")),"Closure evidence missing",IF(AND(H346&lt;&gt;"",NOT(ISNUMBER(H346))),"Closed / waived on is not a date",IF(AND(ISNUMBER(H346),ISNUMBER(INDEX('Gate events'!$F$4:$F$553,MATCH(B346,'Gate events'!$A$4:$A$553,0))),H346&lt;INDEX('Gate events'!$F$4:$F$553,MATCH(B346,'Gate events'!$A$4:$A$553,0))),"Closure date before parent event date",IF(AND(G346="Closed-verified",M346=""),"Verifier / date missing",IF(AND(N346="Yes",G346="Closed-verified",O346=""),"Monitoring condition needs AIG-OPS-02 evidence ref",IF(AND(G346="Open",F346&lt;TODAY()),"OVERDUE (derived) — review",IF(G346="Unknown","State Unknown: owner to confirm","Check against source")))))))))))))))))))</f>
        <v/>
      </c>
      <c r="K346" s="37" t="n"/>
      <c r="L346" s="37" t="n"/>
      <c r="M346" s="38" t="n"/>
      <c r="N346" s="38" t="n"/>
      <c r="O346" s="38" t="n"/>
    </row>
    <row r="347">
      <c r="A347" s="40" t="n"/>
      <c r="B347" s="40" t="n"/>
      <c r="C347" s="40" t="n"/>
      <c r="D347" s="40" t="n"/>
      <c r="E347" s="40" t="n"/>
      <c r="F347" s="41" t="n"/>
      <c r="G347" s="40" t="n"/>
      <c r="H347" s="41" t="n"/>
      <c r="I347" s="40" t="n"/>
      <c r="J347" s="24">
        <f>IF(COUNTA(A347:I347,K347:O347)=0,"",IF(OR(A347="",B347="",C347=""),"ID / parent missing",IF(COUNTIF($A$4:$A$553,A347)&gt;1,"Duplicate condition ID",IF(COUNTIF('Gate events'!$A$4:$A$553,B347)=0,"Event ID not found",IF(INDEX('Gate events'!$B$4:$B$553,MATCH(B347,'Gate events'!$A$4:$A$553,0))&lt;&gt;C347,"AIR-ID differs from event",IF(IF(INDEX('Gate events'!$P$4:$P$553,MATCH(B347,'Gate events'!$A$4:$A$553,0))="UC-ID specific",IF(OR(L347&lt;&gt;"UC-ID specific",K347=""),"Condition UC-ID required",IF(ISNUMBER(SEARCH(","&amp;SUBSTITUTE(K347," ","")&amp;",",","&amp;SUBSTITUTE(INDEX('Gate events'!$O$4:$O$553,MATCH(B347,'Gate events'!$A$4:$A$553,0))," ","")&amp;",")),"","UC-ID differs from decision")),IF(INDEX('Gate events'!$P$4:$P$553,MATCH(B347,'Gate events'!$A$4:$A$553,0))="Shared system baseline",IF(OR(L347&lt;&gt;"Shared system baseline",K347&lt;&gt;""),"Condition scope differs from decision",""),"Parent decision scope missing"))&lt;&gt;"",IF(INDEX('Gate events'!$P$4:$P$553,MATCH(B347,'Gate events'!$A$4:$A$553,0))="UC-ID specific",IF(OR(L347&lt;&gt;"UC-ID specific",K347=""),"Condition UC-ID required",IF(ISNUMBER(SEARCH(","&amp;SUBSTITUTE(K347," ","")&amp;",",","&amp;SUBSTITUTE(INDEX('Gate events'!$O$4:$O$553,MATCH(B347,'Gate events'!$A$4:$A$553,0))," ","")&amp;",")),"","UC-ID differs from decision")),IF(INDEX('Gate events'!$P$4:$P$553,MATCH(B347,'Gate events'!$A$4:$A$553,0))="Shared system baseline",IF(OR(L347&lt;&gt;"Shared system baseline",K347&lt;&gt;""),"Condition scope differs from decision",""),"Parent decision scope missing")),IF(OR(D347="",E347="",F347="",G347=""),"Condition, owner, due date or state missing",IF(NOT(ISNUMBER(F347)),"Due date is not a date",IF(OR(G347="Overdue",G347="Superseded"),"Legacy state — owner review (use the shared five states)",IF(INDEX('Gate events'!$E$4:$E$553,MATCH(B347,'Gate events'!$A$4:$A$553,0))&lt;&gt;"Decision","Parent event is not a Decision",IF(AND(INDEX('Gate events'!$G$4:$G$553,MATCH(B347,'Gate events'!$A$4:$A$553,0))&lt;&gt;"Progress with condition",INDEX('Gate events'!$G$4:$G$553,MATCH(B347,'Gate events'!$A$4:$A$553,0))&lt;&gt;"Re-authorise",INDEX('Gate events'!$G$4:$G$553,MATCH(B347,'Gate events'!$A$4:$A$553,0))&lt;&gt;"Resume"),"Parent outcome is not Progress with condition / Re-authorise / Resume",IF(AND(ISNUMBER(INDEX('Gate events'!$F$4:$F$553,MATCH(B347,'Gate events'!$A$4:$A$553,0))),F347&lt;INDEX('Gate events'!$F$4:$F$553,MATCH(B347,'Gate events'!$A$4:$A$553,0))),"Due date before parent event date",IF(AND(OR(G347="Closed-verified",G347="Waived",G347="Accepted-open"),OR(H347="",I347="")),"Closure evidence missing",IF(AND(H347&lt;&gt;"",NOT(ISNUMBER(H347))),"Closed / waived on is not a date",IF(AND(ISNUMBER(H347),ISNUMBER(INDEX('Gate events'!$F$4:$F$553,MATCH(B347,'Gate events'!$A$4:$A$553,0))),H347&lt;INDEX('Gate events'!$F$4:$F$553,MATCH(B347,'Gate events'!$A$4:$A$553,0))),"Closure date before parent event date",IF(AND(G347="Closed-verified",M347=""),"Verifier / date missing",IF(AND(N347="Yes",G347="Closed-verified",O347=""),"Monitoring condition needs AIG-OPS-02 evidence ref",IF(AND(G347="Open",F347&lt;TODAY()),"OVERDUE (derived) — review",IF(G347="Unknown","State Unknown: owner to confirm","Check against source")))))))))))))))))))</f>
        <v/>
      </c>
      <c r="K347" s="37" t="n"/>
      <c r="L347" s="37" t="n"/>
      <c r="M347" s="40" t="n"/>
      <c r="N347" s="40" t="n"/>
      <c r="O347" s="40" t="n"/>
    </row>
    <row r="348">
      <c r="A348" s="38" t="n"/>
      <c r="B348" s="38" t="n"/>
      <c r="C348" s="38" t="n"/>
      <c r="D348" s="38" t="n"/>
      <c r="E348" s="38" t="n"/>
      <c r="F348" s="39" t="n"/>
      <c r="G348" s="38" t="n"/>
      <c r="H348" s="39" t="n"/>
      <c r="I348" s="38" t="n"/>
      <c r="J348" s="22">
        <f>IF(COUNTA(A348:I348,K348:O348)=0,"",IF(OR(A348="",B348="",C348=""),"ID / parent missing",IF(COUNTIF($A$4:$A$553,A348)&gt;1,"Duplicate condition ID",IF(COUNTIF('Gate events'!$A$4:$A$553,B348)=0,"Event ID not found",IF(INDEX('Gate events'!$B$4:$B$553,MATCH(B348,'Gate events'!$A$4:$A$553,0))&lt;&gt;C348,"AIR-ID differs from event",IF(IF(INDEX('Gate events'!$P$4:$P$553,MATCH(B348,'Gate events'!$A$4:$A$553,0))="UC-ID specific",IF(OR(L348&lt;&gt;"UC-ID specific",K348=""),"Condition UC-ID required",IF(ISNUMBER(SEARCH(","&amp;SUBSTITUTE(K348," ","")&amp;",",","&amp;SUBSTITUTE(INDEX('Gate events'!$O$4:$O$553,MATCH(B348,'Gate events'!$A$4:$A$553,0))," ","")&amp;",")),"","UC-ID differs from decision")),IF(INDEX('Gate events'!$P$4:$P$553,MATCH(B348,'Gate events'!$A$4:$A$553,0))="Shared system baseline",IF(OR(L348&lt;&gt;"Shared system baseline",K348&lt;&gt;""),"Condition scope differs from decision",""),"Parent decision scope missing"))&lt;&gt;"",IF(INDEX('Gate events'!$P$4:$P$553,MATCH(B348,'Gate events'!$A$4:$A$553,0))="UC-ID specific",IF(OR(L348&lt;&gt;"UC-ID specific",K348=""),"Condition UC-ID required",IF(ISNUMBER(SEARCH(","&amp;SUBSTITUTE(K348," ","")&amp;",",","&amp;SUBSTITUTE(INDEX('Gate events'!$O$4:$O$553,MATCH(B348,'Gate events'!$A$4:$A$553,0))," ","")&amp;",")),"","UC-ID differs from decision")),IF(INDEX('Gate events'!$P$4:$P$553,MATCH(B348,'Gate events'!$A$4:$A$553,0))="Shared system baseline",IF(OR(L348&lt;&gt;"Shared system baseline",K348&lt;&gt;""),"Condition scope differs from decision",""),"Parent decision scope missing")),IF(OR(D348="",E348="",F348="",G348=""),"Condition, owner, due date or state missing",IF(NOT(ISNUMBER(F348)),"Due date is not a date",IF(OR(G348="Overdue",G348="Superseded"),"Legacy state — owner review (use the shared five states)",IF(INDEX('Gate events'!$E$4:$E$553,MATCH(B348,'Gate events'!$A$4:$A$553,0))&lt;&gt;"Decision","Parent event is not a Decision",IF(AND(INDEX('Gate events'!$G$4:$G$553,MATCH(B348,'Gate events'!$A$4:$A$553,0))&lt;&gt;"Progress with condition",INDEX('Gate events'!$G$4:$G$553,MATCH(B348,'Gate events'!$A$4:$A$553,0))&lt;&gt;"Re-authorise",INDEX('Gate events'!$G$4:$G$553,MATCH(B348,'Gate events'!$A$4:$A$553,0))&lt;&gt;"Resume"),"Parent outcome is not Progress with condition / Re-authorise / Resume",IF(AND(ISNUMBER(INDEX('Gate events'!$F$4:$F$553,MATCH(B348,'Gate events'!$A$4:$A$553,0))),F348&lt;INDEX('Gate events'!$F$4:$F$553,MATCH(B348,'Gate events'!$A$4:$A$553,0))),"Due date before parent event date",IF(AND(OR(G348="Closed-verified",G348="Waived",G348="Accepted-open"),OR(H348="",I348="")),"Closure evidence missing",IF(AND(H348&lt;&gt;"",NOT(ISNUMBER(H348))),"Closed / waived on is not a date",IF(AND(ISNUMBER(H348),ISNUMBER(INDEX('Gate events'!$F$4:$F$553,MATCH(B348,'Gate events'!$A$4:$A$553,0))),H348&lt;INDEX('Gate events'!$F$4:$F$553,MATCH(B348,'Gate events'!$A$4:$A$553,0))),"Closure date before parent event date",IF(AND(G348="Closed-verified",M348=""),"Verifier / date missing",IF(AND(N348="Yes",G348="Closed-verified",O348=""),"Monitoring condition needs AIG-OPS-02 evidence ref",IF(AND(G348="Open",F348&lt;TODAY()),"OVERDUE (derived) — review",IF(G348="Unknown","State Unknown: owner to confirm","Check against source")))))))))))))))))))</f>
        <v/>
      </c>
      <c r="K348" s="37" t="n"/>
      <c r="L348" s="37" t="n"/>
      <c r="M348" s="38" t="n"/>
      <c r="N348" s="38" t="n"/>
      <c r="O348" s="38" t="n"/>
    </row>
    <row r="349">
      <c r="A349" s="40" t="n"/>
      <c r="B349" s="40" t="n"/>
      <c r="C349" s="40" t="n"/>
      <c r="D349" s="40" t="n"/>
      <c r="E349" s="40" t="n"/>
      <c r="F349" s="41" t="n"/>
      <c r="G349" s="40" t="n"/>
      <c r="H349" s="41" t="n"/>
      <c r="I349" s="40" t="n"/>
      <c r="J349" s="24">
        <f>IF(COUNTA(A349:I349,K349:O349)=0,"",IF(OR(A349="",B349="",C349=""),"ID / parent missing",IF(COUNTIF($A$4:$A$553,A349)&gt;1,"Duplicate condition ID",IF(COUNTIF('Gate events'!$A$4:$A$553,B349)=0,"Event ID not found",IF(INDEX('Gate events'!$B$4:$B$553,MATCH(B349,'Gate events'!$A$4:$A$553,0))&lt;&gt;C349,"AIR-ID differs from event",IF(IF(INDEX('Gate events'!$P$4:$P$553,MATCH(B349,'Gate events'!$A$4:$A$553,0))="UC-ID specific",IF(OR(L349&lt;&gt;"UC-ID specific",K349=""),"Condition UC-ID required",IF(ISNUMBER(SEARCH(","&amp;SUBSTITUTE(K349," ","")&amp;",",","&amp;SUBSTITUTE(INDEX('Gate events'!$O$4:$O$553,MATCH(B349,'Gate events'!$A$4:$A$553,0))," ","")&amp;",")),"","UC-ID differs from decision")),IF(INDEX('Gate events'!$P$4:$P$553,MATCH(B349,'Gate events'!$A$4:$A$553,0))="Shared system baseline",IF(OR(L349&lt;&gt;"Shared system baseline",K349&lt;&gt;""),"Condition scope differs from decision",""),"Parent decision scope missing"))&lt;&gt;"",IF(INDEX('Gate events'!$P$4:$P$553,MATCH(B349,'Gate events'!$A$4:$A$553,0))="UC-ID specific",IF(OR(L349&lt;&gt;"UC-ID specific",K349=""),"Condition UC-ID required",IF(ISNUMBER(SEARCH(","&amp;SUBSTITUTE(K349," ","")&amp;",",","&amp;SUBSTITUTE(INDEX('Gate events'!$O$4:$O$553,MATCH(B349,'Gate events'!$A$4:$A$553,0))," ","")&amp;",")),"","UC-ID differs from decision")),IF(INDEX('Gate events'!$P$4:$P$553,MATCH(B349,'Gate events'!$A$4:$A$553,0))="Shared system baseline",IF(OR(L349&lt;&gt;"Shared system baseline",K349&lt;&gt;""),"Condition scope differs from decision",""),"Parent decision scope missing")),IF(OR(D349="",E349="",F349="",G349=""),"Condition, owner, due date or state missing",IF(NOT(ISNUMBER(F349)),"Due date is not a date",IF(OR(G349="Overdue",G349="Superseded"),"Legacy state — owner review (use the shared five states)",IF(INDEX('Gate events'!$E$4:$E$553,MATCH(B349,'Gate events'!$A$4:$A$553,0))&lt;&gt;"Decision","Parent event is not a Decision",IF(AND(INDEX('Gate events'!$G$4:$G$553,MATCH(B349,'Gate events'!$A$4:$A$553,0))&lt;&gt;"Progress with condition",INDEX('Gate events'!$G$4:$G$553,MATCH(B349,'Gate events'!$A$4:$A$553,0))&lt;&gt;"Re-authorise",INDEX('Gate events'!$G$4:$G$553,MATCH(B349,'Gate events'!$A$4:$A$553,0))&lt;&gt;"Resume"),"Parent outcome is not Progress with condition / Re-authorise / Resume",IF(AND(ISNUMBER(INDEX('Gate events'!$F$4:$F$553,MATCH(B349,'Gate events'!$A$4:$A$553,0))),F349&lt;INDEX('Gate events'!$F$4:$F$553,MATCH(B349,'Gate events'!$A$4:$A$553,0))),"Due date before parent event date",IF(AND(OR(G349="Closed-verified",G349="Waived",G349="Accepted-open"),OR(H349="",I349="")),"Closure evidence missing",IF(AND(H349&lt;&gt;"",NOT(ISNUMBER(H349))),"Closed / waived on is not a date",IF(AND(ISNUMBER(H349),ISNUMBER(INDEX('Gate events'!$F$4:$F$553,MATCH(B349,'Gate events'!$A$4:$A$553,0))),H349&lt;INDEX('Gate events'!$F$4:$F$553,MATCH(B349,'Gate events'!$A$4:$A$553,0))),"Closure date before parent event date",IF(AND(G349="Closed-verified",M349=""),"Verifier / date missing",IF(AND(N349="Yes",G349="Closed-verified",O349=""),"Monitoring condition needs AIG-OPS-02 evidence ref",IF(AND(G349="Open",F349&lt;TODAY()),"OVERDUE (derived) — review",IF(G349="Unknown","State Unknown: owner to confirm","Check against source")))))))))))))))))))</f>
        <v/>
      </c>
      <c r="K349" s="37" t="n"/>
      <c r="L349" s="37" t="n"/>
      <c r="M349" s="40" t="n"/>
      <c r="N349" s="40" t="n"/>
      <c r="O349" s="40" t="n"/>
    </row>
    <row r="350">
      <c r="A350" s="38" t="n"/>
      <c r="B350" s="38" t="n"/>
      <c r="C350" s="38" t="n"/>
      <c r="D350" s="38" t="n"/>
      <c r="E350" s="38" t="n"/>
      <c r="F350" s="39" t="n"/>
      <c r="G350" s="38" t="n"/>
      <c r="H350" s="39" t="n"/>
      <c r="I350" s="38" t="n"/>
      <c r="J350" s="22">
        <f>IF(COUNTA(A350:I350,K350:O350)=0,"",IF(OR(A350="",B350="",C350=""),"ID / parent missing",IF(COUNTIF($A$4:$A$553,A350)&gt;1,"Duplicate condition ID",IF(COUNTIF('Gate events'!$A$4:$A$553,B350)=0,"Event ID not found",IF(INDEX('Gate events'!$B$4:$B$553,MATCH(B350,'Gate events'!$A$4:$A$553,0))&lt;&gt;C350,"AIR-ID differs from event",IF(IF(INDEX('Gate events'!$P$4:$P$553,MATCH(B350,'Gate events'!$A$4:$A$553,0))="UC-ID specific",IF(OR(L350&lt;&gt;"UC-ID specific",K350=""),"Condition UC-ID required",IF(ISNUMBER(SEARCH(","&amp;SUBSTITUTE(K350," ","")&amp;",",","&amp;SUBSTITUTE(INDEX('Gate events'!$O$4:$O$553,MATCH(B350,'Gate events'!$A$4:$A$553,0))," ","")&amp;",")),"","UC-ID differs from decision")),IF(INDEX('Gate events'!$P$4:$P$553,MATCH(B350,'Gate events'!$A$4:$A$553,0))="Shared system baseline",IF(OR(L350&lt;&gt;"Shared system baseline",K350&lt;&gt;""),"Condition scope differs from decision",""),"Parent decision scope missing"))&lt;&gt;"",IF(INDEX('Gate events'!$P$4:$P$553,MATCH(B350,'Gate events'!$A$4:$A$553,0))="UC-ID specific",IF(OR(L350&lt;&gt;"UC-ID specific",K350=""),"Condition UC-ID required",IF(ISNUMBER(SEARCH(","&amp;SUBSTITUTE(K350," ","")&amp;",",","&amp;SUBSTITUTE(INDEX('Gate events'!$O$4:$O$553,MATCH(B350,'Gate events'!$A$4:$A$553,0))," ","")&amp;",")),"","UC-ID differs from decision")),IF(INDEX('Gate events'!$P$4:$P$553,MATCH(B350,'Gate events'!$A$4:$A$553,0))="Shared system baseline",IF(OR(L350&lt;&gt;"Shared system baseline",K350&lt;&gt;""),"Condition scope differs from decision",""),"Parent decision scope missing")),IF(OR(D350="",E350="",F350="",G350=""),"Condition, owner, due date or state missing",IF(NOT(ISNUMBER(F350)),"Due date is not a date",IF(OR(G350="Overdue",G350="Superseded"),"Legacy state — owner review (use the shared five states)",IF(INDEX('Gate events'!$E$4:$E$553,MATCH(B350,'Gate events'!$A$4:$A$553,0))&lt;&gt;"Decision","Parent event is not a Decision",IF(AND(INDEX('Gate events'!$G$4:$G$553,MATCH(B350,'Gate events'!$A$4:$A$553,0))&lt;&gt;"Progress with condition",INDEX('Gate events'!$G$4:$G$553,MATCH(B350,'Gate events'!$A$4:$A$553,0))&lt;&gt;"Re-authorise",INDEX('Gate events'!$G$4:$G$553,MATCH(B350,'Gate events'!$A$4:$A$553,0))&lt;&gt;"Resume"),"Parent outcome is not Progress with condition / Re-authorise / Resume",IF(AND(ISNUMBER(INDEX('Gate events'!$F$4:$F$553,MATCH(B350,'Gate events'!$A$4:$A$553,0))),F350&lt;INDEX('Gate events'!$F$4:$F$553,MATCH(B350,'Gate events'!$A$4:$A$553,0))),"Due date before parent event date",IF(AND(OR(G350="Closed-verified",G350="Waived",G350="Accepted-open"),OR(H350="",I350="")),"Closure evidence missing",IF(AND(H350&lt;&gt;"",NOT(ISNUMBER(H350))),"Closed / waived on is not a date",IF(AND(ISNUMBER(H350),ISNUMBER(INDEX('Gate events'!$F$4:$F$553,MATCH(B350,'Gate events'!$A$4:$A$553,0))),H350&lt;INDEX('Gate events'!$F$4:$F$553,MATCH(B350,'Gate events'!$A$4:$A$553,0))),"Closure date before parent event date",IF(AND(G350="Closed-verified",M350=""),"Verifier / date missing",IF(AND(N350="Yes",G350="Closed-verified",O350=""),"Monitoring condition needs AIG-OPS-02 evidence ref",IF(AND(G350="Open",F350&lt;TODAY()),"OVERDUE (derived) — review",IF(G350="Unknown","State Unknown: owner to confirm","Check against source")))))))))))))))))))</f>
        <v/>
      </c>
      <c r="K350" s="37" t="n"/>
      <c r="L350" s="37" t="n"/>
      <c r="M350" s="38" t="n"/>
      <c r="N350" s="38" t="n"/>
      <c r="O350" s="38" t="n"/>
    </row>
    <row r="351">
      <c r="A351" s="40" t="n"/>
      <c r="B351" s="40" t="n"/>
      <c r="C351" s="40" t="n"/>
      <c r="D351" s="40" t="n"/>
      <c r="E351" s="40" t="n"/>
      <c r="F351" s="41" t="n"/>
      <c r="G351" s="40" t="n"/>
      <c r="H351" s="41" t="n"/>
      <c r="I351" s="40" t="n"/>
      <c r="J351" s="24">
        <f>IF(COUNTA(A351:I351,K351:O351)=0,"",IF(OR(A351="",B351="",C351=""),"ID / parent missing",IF(COUNTIF($A$4:$A$553,A351)&gt;1,"Duplicate condition ID",IF(COUNTIF('Gate events'!$A$4:$A$553,B351)=0,"Event ID not found",IF(INDEX('Gate events'!$B$4:$B$553,MATCH(B351,'Gate events'!$A$4:$A$553,0))&lt;&gt;C351,"AIR-ID differs from event",IF(IF(INDEX('Gate events'!$P$4:$P$553,MATCH(B351,'Gate events'!$A$4:$A$553,0))="UC-ID specific",IF(OR(L351&lt;&gt;"UC-ID specific",K351=""),"Condition UC-ID required",IF(ISNUMBER(SEARCH(","&amp;SUBSTITUTE(K351," ","")&amp;",",","&amp;SUBSTITUTE(INDEX('Gate events'!$O$4:$O$553,MATCH(B351,'Gate events'!$A$4:$A$553,0))," ","")&amp;",")),"","UC-ID differs from decision")),IF(INDEX('Gate events'!$P$4:$P$553,MATCH(B351,'Gate events'!$A$4:$A$553,0))="Shared system baseline",IF(OR(L351&lt;&gt;"Shared system baseline",K351&lt;&gt;""),"Condition scope differs from decision",""),"Parent decision scope missing"))&lt;&gt;"",IF(INDEX('Gate events'!$P$4:$P$553,MATCH(B351,'Gate events'!$A$4:$A$553,0))="UC-ID specific",IF(OR(L351&lt;&gt;"UC-ID specific",K351=""),"Condition UC-ID required",IF(ISNUMBER(SEARCH(","&amp;SUBSTITUTE(K351," ","")&amp;",",","&amp;SUBSTITUTE(INDEX('Gate events'!$O$4:$O$553,MATCH(B351,'Gate events'!$A$4:$A$553,0))," ","")&amp;",")),"","UC-ID differs from decision")),IF(INDEX('Gate events'!$P$4:$P$553,MATCH(B351,'Gate events'!$A$4:$A$553,0))="Shared system baseline",IF(OR(L351&lt;&gt;"Shared system baseline",K351&lt;&gt;""),"Condition scope differs from decision",""),"Parent decision scope missing")),IF(OR(D351="",E351="",F351="",G351=""),"Condition, owner, due date or state missing",IF(NOT(ISNUMBER(F351)),"Due date is not a date",IF(OR(G351="Overdue",G351="Superseded"),"Legacy state — owner review (use the shared five states)",IF(INDEX('Gate events'!$E$4:$E$553,MATCH(B351,'Gate events'!$A$4:$A$553,0))&lt;&gt;"Decision","Parent event is not a Decision",IF(AND(INDEX('Gate events'!$G$4:$G$553,MATCH(B351,'Gate events'!$A$4:$A$553,0))&lt;&gt;"Progress with condition",INDEX('Gate events'!$G$4:$G$553,MATCH(B351,'Gate events'!$A$4:$A$553,0))&lt;&gt;"Re-authorise",INDEX('Gate events'!$G$4:$G$553,MATCH(B351,'Gate events'!$A$4:$A$553,0))&lt;&gt;"Resume"),"Parent outcome is not Progress with condition / Re-authorise / Resume",IF(AND(ISNUMBER(INDEX('Gate events'!$F$4:$F$553,MATCH(B351,'Gate events'!$A$4:$A$553,0))),F351&lt;INDEX('Gate events'!$F$4:$F$553,MATCH(B351,'Gate events'!$A$4:$A$553,0))),"Due date before parent event date",IF(AND(OR(G351="Closed-verified",G351="Waived",G351="Accepted-open"),OR(H351="",I351="")),"Closure evidence missing",IF(AND(H351&lt;&gt;"",NOT(ISNUMBER(H351))),"Closed / waived on is not a date",IF(AND(ISNUMBER(H351),ISNUMBER(INDEX('Gate events'!$F$4:$F$553,MATCH(B351,'Gate events'!$A$4:$A$553,0))),H351&lt;INDEX('Gate events'!$F$4:$F$553,MATCH(B351,'Gate events'!$A$4:$A$553,0))),"Closure date before parent event date",IF(AND(G351="Closed-verified",M351=""),"Verifier / date missing",IF(AND(N351="Yes",G351="Closed-verified",O351=""),"Monitoring condition needs AIG-OPS-02 evidence ref",IF(AND(G351="Open",F351&lt;TODAY()),"OVERDUE (derived) — review",IF(G351="Unknown","State Unknown: owner to confirm","Check against source")))))))))))))))))))</f>
        <v/>
      </c>
      <c r="K351" s="37" t="n"/>
      <c r="L351" s="37" t="n"/>
      <c r="M351" s="40" t="n"/>
      <c r="N351" s="40" t="n"/>
      <c r="O351" s="40" t="n"/>
    </row>
    <row r="352">
      <c r="A352" s="38" t="n"/>
      <c r="B352" s="38" t="n"/>
      <c r="C352" s="38" t="n"/>
      <c r="D352" s="38" t="n"/>
      <c r="E352" s="38" t="n"/>
      <c r="F352" s="39" t="n"/>
      <c r="G352" s="38" t="n"/>
      <c r="H352" s="39" t="n"/>
      <c r="I352" s="38" t="n"/>
      <c r="J352" s="22">
        <f>IF(COUNTA(A352:I352,K352:O352)=0,"",IF(OR(A352="",B352="",C352=""),"ID / parent missing",IF(COUNTIF($A$4:$A$553,A352)&gt;1,"Duplicate condition ID",IF(COUNTIF('Gate events'!$A$4:$A$553,B352)=0,"Event ID not found",IF(INDEX('Gate events'!$B$4:$B$553,MATCH(B352,'Gate events'!$A$4:$A$553,0))&lt;&gt;C352,"AIR-ID differs from event",IF(IF(INDEX('Gate events'!$P$4:$P$553,MATCH(B352,'Gate events'!$A$4:$A$553,0))="UC-ID specific",IF(OR(L352&lt;&gt;"UC-ID specific",K352=""),"Condition UC-ID required",IF(ISNUMBER(SEARCH(","&amp;SUBSTITUTE(K352," ","")&amp;",",","&amp;SUBSTITUTE(INDEX('Gate events'!$O$4:$O$553,MATCH(B352,'Gate events'!$A$4:$A$553,0))," ","")&amp;",")),"","UC-ID differs from decision")),IF(INDEX('Gate events'!$P$4:$P$553,MATCH(B352,'Gate events'!$A$4:$A$553,0))="Shared system baseline",IF(OR(L352&lt;&gt;"Shared system baseline",K352&lt;&gt;""),"Condition scope differs from decision",""),"Parent decision scope missing"))&lt;&gt;"",IF(INDEX('Gate events'!$P$4:$P$553,MATCH(B352,'Gate events'!$A$4:$A$553,0))="UC-ID specific",IF(OR(L352&lt;&gt;"UC-ID specific",K352=""),"Condition UC-ID required",IF(ISNUMBER(SEARCH(","&amp;SUBSTITUTE(K352," ","")&amp;",",","&amp;SUBSTITUTE(INDEX('Gate events'!$O$4:$O$553,MATCH(B352,'Gate events'!$A$4:$A$553,0))," ","")&amp;",")),"","UC-ID differs from decision")),IF(INDEX('Gate events'!$P$4:$P$553,MATCH(B352,'Gate events'!$A$4:$A$553,0))="Shared system baseline",IF(OR(L352&lt;&gt;"Shared system baseline",K352&lt;&gt;""),"Condition scope differs from decision",""),"Parent decision scope missing")),IF(OR(D352="",E352="",F352="",G352=""),"Condition, owner, due date or state missing",IF(NOT(ISNUMBER(F352)),"Due date is not a date",IF(OR(G352="Overdue",G352="Superseded"),"Legacy state — owner review (use the shared five states)",IF(INDEX('Gate events'!$E$4:$E$553,MATCH(B352,'Gate events'!$A$4:$A$553,0))&lt;&gt;"Decision","Parent event is not a Decision",IF(AND(INDEX('Gate events'!$G$4:$G$553,MATCH(B352,'Gate events'!$A$4:$A$553,0))&lt;&gt;"Progress with condition",INDEX('Gate events'!$G$4:$G$553,MATCH(B352,'Gate events'!$A$4:$A$553,0))&lt;&gt;"Re-authorise",INDEX('Gate events'!$G$4:$G$553,MATCH(B352,'Gate events'!$A$4:$A$553,0))&lt;&gt;"Resume"),"Parent outcome is not Progress with condition / Re-authorise / Resume",IF(AND(ISNUMBER(INDEX('Gate events'!$F$4:$F$553,MATCH(B352,'Gate events'!$A$4:$A$553,0))),F352&lt;INDEX('Gate events'!$F$4:$F$553,MATCH(B352,'Gate events'!$A$4:$A$553,0))),"Due date before parent event date",IF(AND(OR(G352="Closed-verified",G352="Waived",G352="Accepted-open"),OR(H352="",I352="")),"Closure evidence missing",IF(AND(H352&lt;&gt;"",NOT(ISNUMBER(H352))),"Closed / waived on is not a date",IF(AND(ISNUMBER(H352),ISNUMBER(INDEX('Gate events'!$F$4:$F$553,MATCH(B352,'Gate events'!$A$4:$A$553,0))),H352&lt;INDEX('Gate events'!$F$4:$F$553,MATCH(B352,'Gate events'!$A$4:$A$553,0))),"Closure date before parent event date",IF(AND(G352="Closed-verified",M352=""),"Verifier / date missing",IF(AND(N352="Yes",G352="Closed-verified",O352=""),"Monitoring condition needs AIG-OPS-02 evidence ref",IF(AND(G352="Open",F352&lt;TODAY()),"OVERDUE (derived) — review",IF(G352="Unknown","State Unknown: owner to confirm","Check against source")))))))))))))))))))</f>
        <v/>
      </c>
      <c r="K352" s="37" t="n"/>
      <c r="L352" s="37" t="n"/>
      <c r="M352" s="38" t="n"/>
      <c r="N352" s="38" t="n"/>
      <c r="O352" s="38" t="n"/>
    </row>
    <row r="353">
      <c r="A353" s="40" t="n"/>
      <c r="B353" s="40" t="n"/>
      <c r="C353" s="40" t="n"/>
      <c r="D353" s="40" t="n"/>
      <c r="E353" s="40" t="n"/>
      <c r="F353" s="41" t="n"/>
      <c r="G353" s="40" t="n"/>
      <c r="H353" s="41" t="n"/>
      <c r="I353" s="40" t="n"/>
      <c r="J353" s="24">
        <f>IF(COUNTA(A353:I353,K353:O353)=0,"",IF(OR(A353="",B353="",C353=""),"ID / parent missing",IF(COUNTIF($A$4:$A$553,A353)&gt;1,"Duplicate condition ID",IF(COUNTIF('Gate events'!$A$4:$A$553,B353)=0,"Event ID not found",IF(INDEX('Gate events'!$B$4:$B$553,MATCH(B353,'Gate events'!$A$4:$A$553,0))&lt;&gt;C353,"AIR-ID differs from event",IF(IF(INDEX('Gate events'!$P$4:$P$553,MATCH(B353,'Gate events'!$A$4:$A$553,0))="UC-ID specific",IF(OR(L353&lt;&gt;"UC-ID specific",K353=""),"Condition UC-ID required",IF(ISNUMBER(SEARCH(","&amp;SUBSTITUTE(K353," ","")&amp;",",","&amp;SUBSTITUTE(INDEX('Gate events'!$O$4:$O$553,MATCH(B353,'Gate events'!$A$4:$A$553,0))," ","")&amp;",")),"","UC-ID differs from decision")),IF(INDEX('Gate events'!$P$4:$P$553,MATCH(B353,'Gate events'!$A$4:$A$553,0))="Shared system baseline",IF(OR(L353&lt;&gt;"Shared system baseline",K353&lt;&gt;""),"Condition scope differs from decision",""),"Parent decision scope missing"))&lt;&gt;"",IF(INDEX('Gate events'!$P$4:$P$553,MATCH(B353,'Gate events'!$A$4:$A$553,0))="UC-ID specific",IF(OR(L353&lt;&gt;"UC-ID specific",K353=""),"Condition UC-ID required",IF(ISNUMBER(SEARCH(","&amp;SUBSTITUTE(K353," ","")&amp;",",","&amp;SUBSTITUTE(INDEX('Gate events'!$O$4:$O$553,MATCH(B353,'Gate events'!$A$4:$A$553,0))," ","")&amp;",")),"","UC-ID differs from decision")),IF(INDEX('Gate events'!$P$4:$P$553,MATCH(B353,'Gate events'!$A$4:$A$553,0))="Shared system baseline",IF(OR(L353&lt;&gt;"Shared system baseline",K353&lt;&gt;""),"Condition scope differs from decision",""),"Parent decision scope missing")),IF(OR(D353="",E353="",F353="",G353=""),"Condition, owner, due date or state missing",IF(NOT(ISNUMBER(F353)),"Due date is not a date",IF(OR(G353="Overdue",G353="Superseded"),"Legacy state — owner review (use the shared five states)",IF(INDEX('Gate events'!$E$4:$E$553,MATCH(B353,'Gate events'!$A$4:$A$553,0))&lt;&gt;"Decision","Parent event is not a Decision",IF(AND(INDEX('Gate events'!$G$4:$G$553,MATCH(B353,'Gate events'!$A$4:$A$553,0))&lt;&gt;"Progress with condition",INDEX('Gate events'!$G$4:$G$553,MATCH(B353,'Gate events'!$A$4:$A$553,0))&lt;&gt;"Re-authorise",INDEX('Gate events'!$G$4:$G$553,MATCH(B353,'Gate events'!$A$4:$A$553,0))&lt;&gt;"Resume"),"Parent outcome is not Progress with condition / Re-authorise / Resume",IF(AND(ISNUMBER(INDEX('Gate events'!$F$4:$F$553,MATCH(B353,'Gate events'!$A$4:$A$553,0))),F353&lt;INDEX('Gate events'!$F$4:$F$553,MATCH(B353,'Gate events'!$A$4:$A$553,0))),"Due date before parent event date",IF(AND(OR(G353="Closed-verified",G353="Waived",G353="Accepted-open"),OR(H353="",I353="")),"Closure evidence missing",IF(AND(H353&lt;&gt;"",NOT(ISNUMBER(H353))),"Closed / waived on is not a date",IF(AND(ISNUMBER(H353),ISNUMBER(INDEX('Gate events'!$F$4:$F$553,MATCH(B353,'Gate events'!$A$4:$A$553,0))),H353&lt;INDEX('Gate events'!$F$4:$F$553,MATCH(B353,'Gate events'!$A$4:$A$553,0))),"Closure date before parent event date",IF(AND(G353="Closed-verified",M353=""),"Verifier / date missing",IF(AND(N353="Yes",G353="Closed-verified",O353=""),"Monitoring condition needs AIG-OPS-02 evidence ref",IF(AND(G353="Open",F353&lt;TODAY()),"OVERDUE (derived) — review",IF(G353="Unknown","State Unknown: owner to confirm","Check against source")))))))))))))))))))</f>
        <v/>
      </c>
      <c r="K353" s="37" t="n"/>
      <c r="L353" s="37" t="n"/>
      <c r="M353" s="40" t="n"/>
      <c r="N353" s="40" t="n"/>
      <c r="O353" s="40" t="n"/>
    </row>
    <row r="354">
      <c r="A354" s="38" t="n"/>
      <c r="B354" s="38" t="n"/>
      <c r="C354" s="38" t="n"/>
      <c r="D354" s="38" t="n"/>
      <c r="E354" s="38" t="n"/>
      <c r="F354" s="39" t="n"/>
      <c r="G354" s="38" t="n"/>
      <c r="H354" s="39" t="n"/>
      <c r="I354" s="38" t="n"/>
      <c r="J354" s="22">
        <f>IF(COUNTA(A354:I354,K354:O354)=0,"",IF(OR(A354="",B354="",C354=""),"ID / parent missing",IF(COUNTIF($A$4:$A$553,A354)&gt;1,"Duplicate condition ID",IF(COUNTIF('Gate events'!$A$4:$A$553,B354)=0,"Event ID not found",IF(INDEX('Gate events'!$B$4:$B$553,MATCH(B354,'Gate events'!$A$4:$A$553,0))&lt;&gt;C354,"AIR-ID differs from event",IF(IF(INDEX('Gate events'!$P$4:$P$553,MATCH(B354,'Gate events'!$A$4:$A$553,0))="UC-ID specific",IF(OR(L354&lt;&gt;"UC-ID specific",K354=""),"Condition UC-ID required",IF(ISNUMBER(SEARCH(","&amp;SUBSTITUTE(K354," ","")&amp;",",","&amp;SUBSTITUTE(INDEX('Gate events'!$O$4:$O$553,MATCH(B354,'Gate events'!$A$4:$A$553,0))," ","")&amp;",")),"","UC-ID differs from decision")),IF(INDEX('Gate events'!$P$4:$P$553,MATCH(B354,'Gate events'!$A$4:$A$553,0))="Shared system baseline",IF(OR(L354&lt;&gt;"Shared system baseline",K354&lt;&gt;""),"Condition scope differs from decision",""),"Parent decision scope missing"))&lt;&gt;"",IF(INDEX('Gate events'!$P$4:$P$553,MATCH(B354,'Gate events'!$A$4:$A$553,0))="UC-ID specific",IF(OR(L354&lt;&gt;"UC-ID specific",K354=""),"Condition UC-ID required",IF(ISNUMBER(SEARCH(","&amp;SUBSTITUTE(K354," ","")&amp;",",","&amp;SUBSTITUTE(INDEX('Gate events'!$O$4:$O$553,MATCH(B354,'Gate events'!$A$4:$A$553,0))," ","")&amp;",")),"","UC-ID differs from decision")),IF(INDEX('Gate events'!$P$4:$P$553,MATCH(B354,'Gate events'!$A$4:$A$553,0))="Shared system baseline",IF(OR(L354&lt;&gt;"Shared system baseline",K354&lt;&gt;""),"Condition scope differs from decision",""),"Parent decision scope missing")),IF(OR(D354="",E354="",F354="",G354=""),"Condition, owner, due date or state missing",IF(NOT(ISNUMBER(F354)),"Due date is not a date",IF(OR(G354="Overdue",G354="Superseded"),"Legacy state — owner review (use the shared five states)",IF(INDEX('Gate events'!$E$4:$E$553,MATCH(B354,'Gate events'!$A$4:$A$553,0))&lt;&gt;"Decision","Parent event is not a Decision",IF(AND(INDEX('Gate events'!$G$4:$G$553,MATCH(B354,'Gate events'!$A$4:$A$553,0))&lt;&gt;"Progress with condition",INDEX('Gate events'!$G$4:$G$553,MATCH(B354,'Gate events'!$A$4:$A$553,0))&lt;&gt;"Re-authorise",INDEX('Gate events'!$G$4:$G$553,MATCH(B354,'Gate events'!$A$4:$A$553,0))&lt;&gt;"Resume"),"Parent outcome is not Progress with condition / Re-authorise / Resume",IF(AND(ISNUMBER(INDEX('Gate events'!$F$4:$F$553,MATCH(B354,'Gate events'!$A$4:$A$553,0))),F354&lt;INDEX('Gate events'!$F$4:$F$553,MATCH(B354,'Gate events'!$A$4:$A$553,0))),"Due date before parent event date",IF(AND(OR(G354="Closed-verified",G354="Waived",G354="Accepted-open"),OR(H354="",I354="")),"Closure evidence missing",IF(AND(H354&lt;&gt;"",NOT(ISNUMBER(H354))),"Closed / waived on is not a date",IF(AND(ISNUMBER(H354),ISNUMBER(INDEX('Gate events'!$F$4:$F$553,MATCH(B354,'Gate events'!$A$4:$A$553,0))),H354&lt;INDEX('Gate events'!$F$4:$F$553,MATCH(B354,'Gate events'!$A$4:$A$553,0))),"Closure date before parent event date",IF(AND(G354="Closed-verified",M354=""),"Verifier / date missing",IF(AND(N354="Yes",G354="Closed-verified",O354=""),"Monitoring condition needs AIG-OPS-02 evidence ref",IF(AND(G354="Open",F354&lt;TODAY()),"OVERDUE (derived) — review",IF(G354="Unknown","State Unknown: owner to confirm","Check against source")))))))))))))))))))</f>
        <v/>
      </c>
      <c r="K354" s="37" t="n"/>
      <c r="L354" s="37" t="n"/>
      <c r="M354" s="38" t="n"/>
      <c r="N354" s="38" t="n"/>
      <c r="O354" s="38" t="n"/>
    </row>
    <row r="355">
      <c r="A355" s="40" t="n"/>
      <c r="B355" s="40" t="n"/>
      <c r="C355" s="40" t="n"/>
      <c r="D355" s="40" t="n"/>
      <c r="E355" s="40" t="n"/>
      <c r="F355" s="41" t="n"/>
      <c r="G355" s="40" t="n"/>
      <c r="H355" s="41" t="n"/>
      <c r="I355" s="40" t="n"/>
      <c r="J355" s="24">
        <f>IF(COUNTA(A355:I355,K355:O355)=0,"",IF(OR(A355="",B355="",C355=""),"ID / parent missing",IF(COUNTIF($A$4:$A$553,A355)&gt;1,"Duplicate condition ID",IF(COUNTIF('Gate events'!$A$4:$A$553,B355)=0,"Event ID not found",IF(INDEX('Gate events'!$B$4:$B$553,MATCH(B355,'Gate events'!$A$4:$A$553,0))&lt;&gt;C355,"AIR-ID differs from event",IF(IF(INDEX('Gate events'!$P$4:$P$553,MATCH(B355,'Gate events'!$A$4:$A$553,0))="UC-ID specific",IF(OR(L355&lt;&gt;"UC-ID specific",K355=""),"Condition UC-ID required",IF(ISNUMBER(SEARCH(","&amp;SUBSTITUTE(K355," ","")&amp;",",","&amp;SUBSTITUTE(INDEX('Gate events'!$O$4:$O$553,MATCH(B355,'Gate events'!$A$4:$A$553,0))," ","")&amp;",")),"","UC-ID differs from decision")),IF(INDEX('Gate events'!$P$4:$P$553,MATCH(B355,'Gate events'!$A$4:$A$553,0))="Shared system baseline",IF(OR(L355&lt;&gt;"Shared system baseline",K355&lt;&gt;""),"Condition scope differs from decision",""),"Parent decision scope missing"))&lt;&gt;"",IF(INDEX('Gate events'!$P$4:$P$553,MATCH(B355,'Gate events'!$A$4:$A$553,0))="UC-ID specific",IF(OR(L355&lt;&gt;"UC-ID specific",K355=""),"Condition UC-ID required",IF(ISNUMBER(SEARCH(","&amp;SUBSTITUTE(K355," ","")&amp;",",","&amp;SUBSTITUTE(INDEX('Gate events'!$O$4:$O$553,MATCH(B355,'Gate events'!$A$4:$A$553,0))," ","")&amp;",")),"","UC-ID differs from decision")),IF(INDEX('Gate events'!$P$4:$P$553,MATCH(B355,'Gate events'!$A$4:$A$553,0))="Shared system baseline",IF(OR(L355&lt;&gt;"Shared system baseline",K355&lt;&gt;""),"Condition scope differs from decision",""),"Parent decision scope missing")),IF(OR(D355="",E355="",F355="",G355=""),"Condition, owner, due date or state missing",IF(NOT(ISNUMBER(F355)),"Due date is not a date",IF(OR(G355="Overdue",G355="Superseded"),"Legacy state — owner review (use the shared five states)",IF(INDEX('Gate events'!$E$4:$E$553,MATCH(B355,'Gate events'!$A$4:$A$553,0))&lt;&gt;"Decision","Parent event is not a Decision",IF(AND(INDEX('Gate events'!$G$4:$G$553,MATCH(B355,'Gate events'!$A$4:$A$553,0))&lt;&gt;"Progress with condition",INDEX('Gate events'!$G$4:$G$553,MATCH(B355,'Gate events'!$A$4:$A$553,0))&lt;&gt;"Re-authorise",INDEX('Gate events'!$G$4:$G$553,MATCH(B355,'Gate events'!$A$4:$A$553,0))&lt;&gt;"Resume"),"Parent outcome is not Progress with condition / Re-authorise / Resume",IF(AND(ISNUMBER(INDEX('Gate events'!$F$4:$F$553,MATCH(B355,'Gate events'!$A$4:$A$553,0))),F355&lt;INDEX('Gate events'!$F$4:$F$553,MATCH(B355,'Gate events'!$A$4:$A$553,0))),"Due date before parent event date",IF(AND(OR(G355="Closed-verified",G355="Waived",G355="Accepted-open"),OR(H355="",I355="")),"Closure evidence missing",IF(AND(H355&lt;&gt;"",NOT(ISNUMBER(H355))),"Closed / waived on is not a date",IF(AND(ISNUMBER(H355),ISNUMBER(INDEX('Gate events'!$F$4:$F$553,MATCH(B355,'Gate events'!$A$4:$A$553,0))),H355&lt;INDEX('Gate events'!$F$4:$F$553,MATCH(B355,'Gate events'!$A$4:$A$553,0))),"Closure date before parent event date",IF(AND(G355="Closed-verified",M355=""),"Verifier / date missing",IF(AND(N355="Yes",G355="Closed-verified",O355=""),"Monitoring condition needs AIG-OPS-02 evidence ref",IF(AND(G355="Open",F355&lt;TODAY()),"OVERDUE (derived) — review",IF(G355="Unknown","State Unknown: owner to confirm","Check against source")))))))))))))))))))</f>
        <v/>
      </c>
      <c r="K355" s="37" t="n"/>
      <c r="L355" s="37" t="n"/>
      <c r="M355" s="40" t="n"/>
      <c r="N355" s="40" t="n"/>
      <c r="O355" s="40" t="n"/>
    </row>
    <row r="356">
      <c r="A356" s="38" t="n"/>
      <c r="B356" s="38" t="n"/>
      <c r="C356" s="38" t="n"/>
      <c r="D356" s="38" t="n"/>
      <c r="E356" s="38" t="n"/>
      <c r="F356" s="39" t="n"/>
      <c r="G356" s="38" t="n"/>
      <c r="H356" s="39" t="n"/>
      <c r="I356" s="38" t="n"/>
      <c r="J356" s="22">
        <f>IF(COUNTA(A356:I356,K356:O356)=0,"",IF(OR(A356="",B356="",C356=""),"ID / parent missing",IF(COUNTIF($A$4:$A$553,A356)&gt;1,"Duplicate condition ID",IF(COUNTIF('Gate events'!$A$4:$A$553,B356)=0,"Event ID not found",IF(INDEX('Gate events'!$B$4:$B$553,MATCH(B356,'Gate events'!$A$4:$A$553,0))&lt;&gt;C356,"AIR-ID differs from event",IF(IF(INDEX('Gate events'!$P$4:$P$553,MATCH(B356,'Gate events'!$A$4:$A$553,0))="UC-ID specific",IF(OR(L356&lt;&gt;"UC-ID specific",K356=""),"Condition UC-ID required",IF(ISNUMBER(SEARCH(","&amp;SUBSTITUTE(K356," ","")&amp;",",","&amp;SUBSTITUTE(INDEX('Gate events'!$O$4:$O$553,MATCH(B356,'Gate events'!$A$4:$A$553,0))," ","")&amp;",")),"","UC-ID differs from decision")),IF(INDEX('Gate events'!$P$4:$P$553,MATCH(B356,'Gate events'!$A$4:$A$553,0))="Shared system baseline",IF(OR(L356&lt;&gt;"Shared system baseline",K356&lt;&gt;""),"Condition scope differs from decision",""),"Parent decision scope missing"))&lt;&gt;"",IF(INDEX('Gate events'!$P$4:$P$553,MATCH(B356,'Gate events'!$A$4:$A$553,0))="UC-ID specific",IF(OR(L356&lt;&gt;"UC-ID specific",K356=""),"Condition UC-ID required",IF(ISNUMBER(SEARCH(","&amp;SUBSTITUTE(K356," ","")&amp;",",","&amp;SUBSTITUTE(INDEX('Gate events'!$O$4:$O$553,MATCH(B356,'Gate events'!$A$4:$A$553,0))," ","")&amp;",")),"","UC-ID differs from decision")),IF(INDEX('Gate events'!$P$4:$P$553,MATCH(B356,'Gate events'!$A$4:$A$553,0))="Shared system baseline",IF(OR(L356&lt;&gt;"Shared system baseline",K356&lt;&gt;""),"Condition scope differs from decision",""),"Parent decision scope missing")),IF(OR(D356="",E356="",F356="",G356=""),"Condition, owner, due date or state missing",IF(NOT(ISNUMBER(F356)),"Due date is not a date",IF(OR(G356="Overdue",G356="Superseded"),"Legacy state — owner review (use the shared five states)",IF(INDEX('Gate events'!$E$4:$E$553,MATCH(B356,'Gate events'!$A$4:$A$553,0))&lt;&gt;"Decision","Parent event is not a Decision",IF(AND(INDEX('Gate events'!$G$4:$G$553,MATCH(B356,'Gate events'!$A$4:$A$553,0))&lt;&gt;"Progress with condition",INDEX('Gate events'!$G$4:$G$553,MATCH(B356,'Gate events'!$A$4:$A$553,0))&lt;&gt;"Re-authorise",INDEX('Gate events'!$G$4:$G$553,MATCH(B356,'Gate events'!$A$4:$A$553,0))&lt;&gt;"Resume"),"Parent outcome is not Progress with condition / Re-authorise / Resume",IF(AND(ISNUMBER(INDEX('Gate events'!$F$4:$F$553,MATCH(B356,'Gate events'!$A$4:$A$553,0))),F356&lt;INDEX('Gate events'!$F$4:$F$553,MATCH(B356,'Gate events'!$A$4:$A$553,0))),"Due date before parent event date",IF(AND(OR(G356="Closed-verified",G356="Waived",G356="Accepted-open"),OR(H356="",I356="")),"Closure evidence missing",IF(AND(H356&lt;&gt;"",NOT(ISNUMBER(H356))),"Closed / waived on is not a date",IF(AND(ISNUMBER(H356),ISNUMBER(INDEX('Gate events'!$F$4:$F$553,MATCH(B356,'Gate events'!$A$4:$A$553,0))),H356&lt;INDEX('Gate events'!$F$4:$F$553,MATCH(B356,'Gate events'!$A$4:$A$553,0))),"Closure date before parent event date",IF(AND(G356="Closed-verified",M356=""),"Verifier / date missing",IF(AND(N356="Yes",G356="Closed-verified",O356=""),"Monitoring condition needs AIG-OPS-02 evidence ref",IF(AND(G356="Open",F356&lt;TODAY()),"OVERDUE (derived) — review",IF(G356="Unknown","State Unknown: owner to confirm","Check against source")))))))))))))))))))</f>
        <v/>
      </c>
      <c r="K356" s="37" t="n"/>
      <c r="L356" s="37" t="n"/>
      <c r="M356" s="38" t="n"/>
      <c r="N356" s="38" t="n"/>
      <c r="O356" s="38" t="n"/>
    </row>
    <row r="357">
      <c r="A357" s="40" t="n"/>
      <c r="B357" s="40" t="n"/>
      <c r="C357" s="40" t="n"/>
      <c r="D357" s="40" t="n"/>
      <c r="E357" s="40" t="n"/>
      <c r="F357" s="41" t="n"/>
      <c r="G357" s="40" t="n"/>
      <c r="H357" s="41" t="n"/>
      <c r="I357" s="40" t="n"/>
      <c r="J357" s="24">
        <f>IF(COUNTA(A357:I357,K357:O357)=0,"",IF(OR(A357="",B357="",C357=""),"ID / parent missing",IF(COUNTIF($A$4:$A$553,A357)&gt;1,"Duplicate condition ID",IF(COUNTIF('Gate events'!$A$4:$A$553,B357)=0,"Event ID not found",IF(INDEX('Gate events'!$B$4:$B$553,MATCH(B357,'Gate events'!$A$4:$A$553,0))&lt;&gt;C357,"AIR-ID differs from event",IF(IF(INDEX('Gate events'!$P$4:$P$553,MATCH(B357,'Gate events'!$A$4:$A$553,0))="UC-ID specific",IF(OR(L357&lt;&gt;"UC-ID specific",K357=""),"Condition UC-ID required",IF(ISNUMBER(SEARCH(","&amp;SUBSTITUTE(K357," ","")&amp;",",","&amp;SUBSTITUTE(INDEX('Gate events'!$O$4:$O$553,MATCH(B357,'Gate events'!$A$4:$A$553,0))," ","")&amp;",")),"","UC-ID differs from decision")),IF(INDEX('Gate events'!$P$4:$P$553,MATCH(B357,'Gate events'!$A$4:$A$553,0))="Shared system baseline",IF(OR(L357&lt;&gt;"Shared system baseline",K357&lt;&gt;""),"Condition scope differs from decision",""),"Parent decision scope missing"))&lt;&gt;"",IF(INDEX('Gate events'!$P$4:$P$553,MATCH(B357,'Gate events'!$A$4:$A$553,0))="UC-ID specific",IF(OR(L357&lt;&gt;"UC-ID specific",K357=""),"Condition UC-ID required",IF(ISNUMBER(SEARCH(","&amp;SUBSTITUTE(K357," ","")&amp;",",","&amp;SUBSTITUTE(INDEX('Gate events'!$O$4:$O$553,MATCH(B357,'Gate events'!$A$4:$A$553,0))," ","")&amp;",")),"","UC-ID differs from decision")),IF(INDEX('Gate events'!$P$4:$P$553,MATCH(B357,'Gate events'!$A$4:$A$553,0))="Shared system baseline",IF(OR(L357&lt;&gt;"Shared system baseline",K357&lt;&gt;""),"Condition scope differs from decision",""),"Parent decision scope missing")),IF(OR(D357="",E357="",F357="",G357=""),"Condition, owner, due date or state missing",IF(NOT(ISNUMBER(F357)),"Due date is not a date",IF(OR(G357="Overdue",G357="Superseded"),"Legacy state — owner review (use the shared five states)",IF(INDEX('Gate events'!$E$4:$E$553,MATCH(B357,'Gate events'!$A$4:$A$553,0))&lt;&gt;"Decision","Parent event is not a Decision",IF(AND(INDEX('Gate events'!$G$4:$G$553,MATCH(B357,'Gate events'!$A$4:$A$553,0))&lt;&gt;"Progress with condition",INDEX('Gate events'!$G$4:$G$553,MATCH(B357,'Gate events'!$A$4:$A$553,0))&lt;&gt;"Re-authorise",INDEX('Gate events'!$G$4:$G$553,MATCH(B357,'Gate events'!$A$4:$A$553,0))&lt;&gt;"Resume"),"Parent outcome is not Progress with condition / Re-authorise / Resume",IF(AND(ISNUMBER(INDEX('Gate events'!$F$4:$F$553,MATCH(B357,'Gate events'!$A$4:$A$553,0))),F357&lt;INDEX('Gate events'!$F$4:$F$553,MATCH(B357,'Gate events'!$A$4:$A$553,0))),"Due date before parent event date",IF(AND(OR(G357="Closed-verified",G357="Waived",G357="Accepted-open"),OR(H357="",I357="")),"Closure evidence missing",IF(AND(H357&lt;&gt;"",NOT(ISNUMBER(H357))),"Closed / waived on is not a date",IF(AND(ISNUMBER(H357),ISNUMBER(INDEX('Gate events'!$F$4:$F$553,MATCH(B357,'Gate events'!$A$4:$A$553,0))),H357&lt;INDEX('Gate events'!$F$4:$F$553,MATCH(B357,'Gate events'!$A$4:$A$553,0))),"Closure date before parent event date",IF(AND(G357="Closed-verified",M357=""),"Verifier / date missing",IF(AND(N357="Yes",G357="Closed-verified",O357=""),"Monitoring condition needs AIG-OPS-02 evidence ref",IF(AND(G357="Open",F357&lt;TODAY()),"OVERDUE (derived) — review",IF(G357="Unknown","State Unknown: owner to confirm","Check against source")))))))))))))))))))</f>
        <v/>
      </c>
      <c r="K357" s="37" t="n"/>
      <c r="L357" s="37" t="n"/>
      <c r="M357" s="40" t="n"/>
      <c r="N357" s="40" t="n"/>
      <c r="O357" s="40" t="n"/>
    </row>
    <row r="358">
      <c r="A358" s="38" t="n"/>
      <c r="B358" s="38" t="n"/>
      <c r="C358" s="38" t="n"/>
      <c r="D358" s="38" t="n"/>
      <c r="E358" s="38" t="n"/>
      <c r="F358" s="39" t="n"/>
      <c r="G358" s="38" t="n"/>
      <c r="H358" s="39" t="n"/>
      <c r="I358" s="38" t="n"/>
      <c r="J358" s="22">
        <f>IF(COUNTA(A358:I358,K358:O358)=0,"",IF(OR(A358="",B358="",C358=""),"ID / parent missing",IF(COUNTIF($A$4:$A$553,A358)&gt;1,"Duplicate condition ID",IF(COUNTIF('Gate events'!$A$4:$A$553,B358)=0,"Event ID not found",IF(INDEX('Gate events'!$B$4:$B$553,MATCH(B358,'Gate events'!$A$4:$A$553,0))&lt;&gt;C358,"AIR-ID differs from event",IF(IF(INDEX('Gate events'!$P$4:$P$553,MATCH(B358,'Gate events'!$A$4:$A$553,0))="UC-ID specific",IF(OR(L358&lt;&gt;"UC-ID specific",K358=""),"Condition UC-ID required",IF(ISNUMBER(SEARCH(","&amp;SUBSTITUTE(K358," ","")&amp;",",","&amp;SUBSTITUTE(INDEX('Gate events'!$O$4:$O$553,MATCH(B358,'Gate events'!$A$4:$A$553,0))," ","")&amp;",")),"","UC-ID differs from decision")),IF(INDEX('Gate events'!$P$4:$P$553,MATCH(B358,'Gate events'!$A$4:$A$553,0))="Shared system baseline",IF(OR(L358&lt;&gt;"Shared system baseline",K358&lt;&gt;""),"Condition scope differs from decision",""),"Parent decision scope missing"))&lt;&gt;"",IF(INDEX('Gate events'!$P$4:$P$553,MATCH(B358,'Gate events'!$A$4:$A$553,0))="UC-ID specific",IF(OR(L358&lt;&gt;"UC-ID specific",K358=""),"Condition UC-ID required",IF(ISNUMBER(SEARCH(","&amp;SUBSTITUTE(K358," ","")&amp;",",","&amp;SUBSTITUTE(INDEX('Gate events'!$O$4:$O$553,MATCH(B358,'Gate events'!$A$4:$A$553,0))," ","")&amp;",")),"","UC-ID differs from decision")),IF(INDEX('Gate events'!$P$4:$P$553,MATCH(B358,'Gate events'!$A$4:$A$553,0))="Shared system baseline",IF(OR(L358&lt;&gt;"Shared system baseline",K358&lt;&gt;""),"Condition scope differs from decision",""),"Parent decision scope missing")),IF(OR(D358="",E358="",F358="",G358=""),"Condition, owner, due date or state missing",IF(NOT(ISNUMBER(F358)),"Due date is not a date",IF(OR(G358="Overdue",G358="Superseded"),"Legacy state — owner review (use the shared five states)",IF(INDEX('Gate events'!$E$4:$E$553,MATCH(B358,'Gate events'!$A$4:$A$553,0))&lt;&gt;"Decision","Parent event is not a Decision",IF(AND(INDEX('Gate events'!$G$4:$G$553,MATCH(B358,'Gate events'!$A$4:$A$553,0))&lt;&gt;"Progress with condition",INDEX('Gate events'!$G$4:$G$553,MATCH(B358,'Gate events'!$A$4:$A$553,0))&lt;&gt;"Re-authorise",INDEX('Gate events'!$G$4:$G$553,MATCH(B358,'Gate events'!$A$4:$A$553,0))&lt;&gt;"Resume"),"Parent outcome is not Progress with condition / Re-authorise / Resume",IF(AND(ISNUMBER(INDEX('Gate events'!$F$4:$F$553,MATCH(B358,'Gate events'!$A$4:$A$553,0))),F358&lt;INDEX('Gate events'!$F$4:$F$553,MATCH(B358,'Gate events'!$A$4:$A$553,0))),"Due date before parent event date",IF(AND(OR(G358="Closed-verified",G358="Waived",G358="Accepted-open"),OR(H358="",I358="")),"Closure evidence missing",IF(AND(H358&lt;&gt;"",NOT(ISNUMBER(H358))),"Closed / waived on is not a date",IF(AND(ISNUMBER(H358),ISNUMBER(INDEX('Gate events'!$F$4:$F$553,MATCH(B358,'Gate events'!$A$4:$A$553,0))),H358&lt;INDEX('Gate events'!$F$4:$F$553,MATCH(B358,'Gate events'!$A$4:$A$553,0))),"Closure date before parent event date",IF(AND(G358="Closed-verified",M358=""),"Verifier / date missing",IF(AND(N358="Yes",G358="Closed-verified",O358=""),"Monitoring condition needs AIG-OPS-02 evidence ref",IF(AND(G358="Open",F358&lt;TODAY()),"OVERDUE (derived) — review",IF(G358="Unknown","State Unknown: owner to confirm","Check against source")))))))))))))))))))</f>
        <v/>
      </c>
      <c r="K358" s="37" t="n"/>
      <c r="L358" s="37" t="n"/>
      <c r="M358" s="38" t="n"/>
      <c r="N358" s="38" t="n"/>
      <c r="O358" s="38" t="n"/>
    </row>
    <row r="359">
      <c r="A359" s="40" t="n"/>
      <c r="B359" s="40" t="n"/>
      <c r="C359" s="40" t="n"/>
      <c r="D359" s="40" t="n"/>
      <c r="E359" s="40" t="n"/>
      <c r="F359" s="41" t="n"/>
      <c r="G359" s="40" t="n"/>
      <c r="H359" s="41" t="n"/>
      <c r="I359" s="40" t="n"/>
      <c r="J359" s="24">
        <f>IF(COUNTA(A359:I359,K359:O359)=0,"",IF(OR(A359="",B359="",C359=""),"ID / parent missing",IF(COUNTIF($A$4:$A$553,A359)&gt;1,"Duplicate condition ID",IF(COUNTIF('Gate events'!$A$4:$A$553,B359)=0,"Event ID not found",IF(INDEX('Gate events'!$B$4:$B$553,MATCH(B359,'Gate events'!$A$4:$A$553,0))&lt;&gt;C359,"AIR-ID differs from event",IF(IF(INDEX('Gate events'!$P$4:$P$553,MATCH(B359,'Gate events'!$A$4:$A$553,0))="UC-ID specific",IF(OR(L359&lt;&gt;"UC-ID specific",K359=""),"Condition UC-ID required",IF(ISNUMBER(SEARCH(","&amp;SUBSTITUTE(K359," ","")&amp;",",","&amp;SUBSTITUTE(INDEX('Gate events'!$O$4:$O$553,MATCH(B359,'Gate events'!$A$4:$A$553,0))," ","")&amp;",")),"","UC-ID differs from decision")),IF(INDEX('Gate events'!$P$4:$P$553,MATCH(B359,'Gate events'!$A$4:$A$553,0))="Shared system baseline",IF(OR(L359&lt;&gt;"Shared system baseline",K359&lt;&gt;""),"Condition scope differs from decision",""),"Parent decision scope missing"))&lt;&gt;"",IF(INDEX('Gate events'!$P$4:$P$553,MATCH(B359,'Gate events'!$A$4:$A$553,0))="UC-ID specific",IF(OR(L359&lt;&gt;"UC-ID specific",K359=""),"Condition UC-ID required",IF(ISNUMBER(SEARCH(","&amp;SUBSTITUTE(K359," ","")&amp;",",","&amp;SUBSTITUTE(INDEX('Gate events'!$O$4:$O$553,MATCH(B359,'Gate events'!$A$4:$A$553,0))," ","")&amp;",")),"","UC-ID differs from decision")),IF(INDEX('Gate events'!$P$4:$P$553,MATCH(B359,'Gate events'!$A$4:$A$553,0))="Shared system baseline",IF(OR(L359&lt;&gt;"Shared system baseline",K359&lt;&gt;""),"Condition scope differs from decision",""),"Parent decision scope missing")),IF(OR(D359="",E359="",F359="",G359=""),"Condition, owner, due date or state missing",IF(NOT(ISNUMBER(F359)),"Due date is not a date",IF(OR(G359="Overdue",G359="Superseded"),"Legacy state — owner review (use the shared five states)",IF(INDEX('Gate events'!$E$4:$E$553,MATCH(B359,'Gate events'!$A$4:$A$553,0))&lt;&gt;"Decision","Parent event is not a Decision",IF(AND(INDEX('Gate events'!$G$4:$G$553,MATCH(B359,'Gate events'!$A$4:$A$553,0))&lt;&gt;"Progress with condition",INDEX('Gate events'!$G$4:$G$553,MATCH(B359,'Gate events'!$A$4:$A$553,0))&lt;&gt;"Re-authorise",INDEX('Gate events'!$G$4:$G$553,MATCH(B359,'Gate events'!$A$4:$A$553,0))&lt;&gt;"Resume"),"Parent outcome is not Progress with condition / Re-authorise / Resume",IF(AND(ISNUMBER(INDEX('Gate events'!$F$4:$F$553,MATCH(B359,'Gate events'!$A$4:$A$553,0))),F359&lt;INDEX('Gate events'!$F$4:$F$553,MATCH(B359,'Gate events'!$A$4:$A$553,0))),"Due date before parent event date",IF(AND(OR(G359="Closed-verified",G359="Waived",G359="Accepted-open"),OR(H359="",I359="")),"Closure evidence missing",IF(AND(H359&lt;&gt;"",NOT(ISNUMBER(H359))),"Closed / waived on is not a date",IF(AND(ISNUMBER(H359),ISNUMBER(INDEX('Gate events'!$F$4:$F$553,MATCH(B359,'Gate events'!$A$4:$A$553,0))),H359&lt;INDEX('Gate events'!$F$4:$F$553,MATCH(B359,'Gate events'!$A$4:$A$553,0))),"Closure date before parent event date",IF(AND(G359="Closed-verified",M359=""),"Verifier / date missing",IF(AND(N359="Yes",G359="Closed-verified",O359=""),"Monitoring condition needs AIG-OPS-02 evidence ref",IF(AND(G359="Open",F359&lt;TODAY()),"OVERDUE (derived) — review",IF(G359="Unknown","State Unknown: owner to confirm","Check against source")))))))))))))))))))</f>
        <v/>
      </c>
      <c r="K359" s="37" t="n"/>
      <c r="L359" s="37" t="n"/>
      <c r="M359" s="40" t="n"/>
      <c r="N359" s="40" t="n"/>
      <c r="O359" s="40" t="n"/>
    </row>
    <row r="360">
      <c r="A360" s="38" t="n"/>
      <c r="B360" s="38" t="n"/>
      <c r="C360" s="38" t="n"/>
      <c r="D360" s="38" t="n"/>
      <c r="E360" s="38" t="n"/>
      <c r="F360" s="39" t="n"/>
      <c r="G360" s="38" t="n"/>
      <c r="H360" s="39" t="n"/>
      <c r="I360" s="38" t="n"/>
      <c r="J360" s="22">
        <f>IF(COUNTA(A360:I360,K360:O360)=0,"",IF(OR(A360="",B360="",C360=""),"ID / parent missing",IF(COUNTIF($A$4:$A$553,A360)&gt;1,"Duplicate condition ID",IF(COUNTIF('Gate events'!$A$4:$A$553,B360)=0,"Event ID not found",IF(INDEX('Gate events'!$B$4:$B$553,MATCH(B360,'Gate events'!$A$4:$A$553,0))&lt;&gt;C360,"AIR-ID differs from event",IF(IF(INDEX('Gate events'!$P$4:$P$553,MATCH(B360,'Gate events'!$A$4:$A$553,0))="UC-ID specific",IF(OR(L360&lt;&gt;"UC-ID specific",K360=""),"Condition UC-ID required",IF(ISNUMBER(SEARCH(","&amp;SUBSTITUTE(K360," ","")&amp;",",","&amp;SUBSTITUTE(INDEX('Gate events'!$O$4:$O$553,MATCH(B360,'Gate events'!$A$4:$A$553,0))," ","")&amp;",")),"","UC-ID differs from decision")),IF(INDEX('Gate events'!$P$4:$P$553,MATCH(B360,'Gate events'!$A$4:$A$553,0))="Shared system baseline",IF(OR(L360&lt;&gt;"Shared system baseline",K360&lt;&gt;""),"Condition scope differs from decision",""),"Parent decision scope missing"))&lt;&gt;"",IF(INDEX('Gate events'!$P$4:$P$553,MATCH(B360,'Gate events'!$A$4:$A$553,0))="UC-ID specific",IF(OR(L360&lt;&gt;"UC-ID specific",K360=""),"Condition UC-ID required",IF(ISNUMBER(SEARCH(","&amp;SUBSTITUTE(K360," ","")&amp;",",","&amp;SUBSTITUTE(INDEX('Gate events'!$O$4:$O$553,MATCH(B360,'Gate events'!$A$4:$A$553,0))," ","")&amp;",")),"","UC-ID differs from decision")),IF(INDEX('Gate events'!$P$4:$P$553,MATCH(B360,'Gate events'!$A$4:$A$553,0))="Shared system baseline",IF(OR(L360&lt;&gt;"Shared system baseline",K360&lt;&gt;""),"Condition scope differs from decision",""),"Parent decision scope missing")),IF(OR(D360="",E360="",F360="",G360=""),"Condition, owner, due date or state missing",IF(NOT(ISNUMBER(F360)),"Due date is not a date",IF(OR(G360="Overdue",G360="Superseded"),"Legacy state — owner review (use the shared five states)",IF(INDEX('Gate events'!$E$4:$E$553,MATCH(B360,'Gate events'!$A$4:$A$553,0))&lt;&gt;"Decision","Parent event is not a Decision",IF(AND(INDEX('Gate events'!$G$4:$G$553,MATCH(B360,'Gate events'!$A$4:$A$553,0))&lt;&gt;"Progress with condition",INDEX('Gate events'!$G$4:$G$553,MATCH(B360,'Gate events'!$A$4:$A$553,0))&lt;&gt;"Re-authorise",INDEX('Gate events'!$G$4:$G$553,MATCH(B360,'Gate events'!$A$4:$A$553,0))&lt;&gt;"Resume"),"Parent outcome is not Progress with condition / Re-authorise / Resume",IF(AND(ISNUMBER(INDEX('Gate events'!$F$4:$F$553,MATCH(B360,'Gate events'!$A$4:$A$553,0))),F360&lt;INDEX('Gate events'!$F$4:$F$553,MATCH(B360,'Gate events'!$A$4:$A$553,0))),"Due date before parent event date",IF(AND(OR(G360="Closed-verified",G360="Waived",G360="Accepted-open"),OR(H360="",I360="")),"Closure evidence missing",IF(AND(H360&lt;&gt;"",NOT(ISNUMBER(H360))),"Closed / waived on is not a date",IF(AND(ISNUMBER(H360),ISNUMBER(INDEX('Gate events'!$F$4:$F$553,MATCH(B360,'Gate events'!$A$4:$A$553,0))),H360&lt;INDEX('Gate events'!$F$4:$F$553,MATCH(B360,'Gate events'!$A$4:$A$553,0))),"Closure date before parent event date",IF(AND(G360="Closed-verified",M360=""),"Verifier / date missing",IF(AND(N360="Yes",G360="Closed-verified",O360=""),"Monitoring condition needs AIG-OPS-02 evidence ref",IF(AND(G360="Open",F360&lt;TODAY()),"OVERDUE (derived) — review",IF(G360="Unknown","State Unknown: owner to confirm","Check against source")))))))))))))))))))</f>
        <v/>
      </c>
      <c r="K360" s="37" t="n"/>
      <c r="L360" s="37" t="n"/>
      <c r="M360" s="38" t="n"/>
      <c r="N360" s="38" t="n"/>
      <c r="O360" s="38" t="n"/>
    </row>
    <row r="361">
      <c r="A361" s="40" t="n"/>
      <c r="B361" s="40" t="n"/>
      <c r="C361" s="40" t="n"/>
      <c r="D361" s="40" t="n"/>
      <c r="E361" s="40" t="n"/>
      <c r="F361" s="41" t="n"/>
      <c r="G361" s="40" t="n"/>
      <c r="H361" s="41" t="n"/>
      <c r="I361" s="40" t="n"/>
      <c r="J361" s="24">
        <f>IF(COUNTA(A361:I361,K361:O361)=0,"",IF(OR(A361="",B361="",C361=""),"ID / parent missing",IF(COUNTIF($A$4:$A$553,A361)&gt;1,"Duplicate condition ID",IF(COUNTIF('Gate events'!$A$4:$A$553,B361)=0,"Event ID not found",IF(INDEX('Gate events'!$B$4:$B$553,MATCH(B361,'Gate events'!$A$4:$A$553,0))&lt;&gt;C361,"AIR-ID differs from event",IF(IF(INDEX('Gate events'!$P$4:$P$553,MATCH(B361,'Gate events'!$A$4:$A$553,0))="UC-ID specific",IF(OR(L361&lt;&gt;"UC-ID specific",K361=""),"Condition UC-ID required",IF(ISNUMBER(SEARCH(","&amp;SUBSTITUTE(K361," ","")&amp;",",","&amp;SUBSTITUTE(INDEX('Gate events'!$O$4:$O$553,MATCH(B361,'Gate events'!$A$4:$A$553,0))," ","")&amp;",")),"","UC-ID differs from decision")),IF(INDEX('Gate events'!$P$4:$P$553,MATCH(B361,'Gate events'!$A$4:$A$553,0))="Shared system baseline",IF(OR(L361&lt;&gt;"Shared system baseline",K361&lt;&gt;""),"Condition scope differs from decision",""),"Parent decision scope missing"))&lt;&gt;"",IF(INDEX('Gate events'!$P$4:$P$553,MATCH(B361,'Gate events'!$A$4:$A$553,0))="UC-ID specific",IF(OR(L361&lt;&gt;"UC-ID specific",K361=""),"Condition UC-ID required",IF(ISNUMBER(SEARCH(","&amp;SUBSTITUTE(K361," ","")&amp;",",","&amp;SUBSTITUTE(INDEX('Gate events'!$O$4:$O$553,MATCH(B361,'Gate events'!$A$4:$A$553,0))," ","")&amp;",")),"","UC-ID differs from decision")),IF(INDEX('Gate events'!$P$4:$P$553,MATCH(B361,'Gate events'!$A$4:$A$553,0))="Shared system baseline",IF(OR(L361&lt;&gt;"Shared system baseline",K361&lt;&gt;""),"Condition scope differs from decision",""),"Parent decision scope missing")),IF(OR(D361="",E361="",F361="",G361=""),"Condition, owner, due date or state missing",IF(NOT(ISNUMBER(F361)),"Due date is not a date",IF(OR(G361="Overdue",G361="Superseded"),"Legacy state — owner review (use the shared five states)",IF(INDEX('Gate events'!$E$4:$E$553,MATCH(B361,'Gate events'!$A$4:$A$553,0))&lt;&gt;"Decision","Parent event is not a Decision",IF(AND(INDEX('Gate events'!$G$4:$G$553,MATCH(B361,'Gate events'!$A$4:$A$553,0))&lt;&gt;"Progress with condition",INDEX('Gate events'!$G$4:$G$553,MATCH(B361,'Gate events'!$A$4:$A$553,0))&lt;&gt;"Re-authorise",INDEX('Gate events'!$G$4:$G$553,MATCH(B361,'Gate events'!$A$4:$A$553,0))&lt;&gt;"Resume"),"Parent outcome is not Progress with condition / Re-authorise / Resume",IF(AND(ISNUMBER(INDEX('Gate events'!$F$4:$F$553,MATCH(B361,'Gate events'!$A$4:$A$553,0))),F361&lt;INDEX('Gate events'!$F$4:$F$553,MATCH(B361,'Gate events'!$A$4:$A$553,0))),"Due date before parent event date",IF(AND(OR(G361="Closed-verified",G361="Waived",G361="Accepted-open"),OR(H361="",I361="")),"Closure evidence missing",IF(AND(H361&lt;&gt;"",NOT(ISNUMBER(H361))),"Closed / waived on is not a date",IF(AND(ISNUMBER(H361),ISNUMBER(INDEX('Gate events'!$F$4:$F$553,MATCH(B361,'Gate events'!$A$4:$A$553,0))),H361&lt;INDEX('Gate events'!$F$4:$F$553,MATCH(B361,'Gate events'!$A$4:$A$553,0))),"Closure date before parent event date",IF(AND(G361="Closed-verified",M361=""),"Verifier / date missing",IF(AND(N361="Yes",G361="Closed-verified",O361=""),"Monitoring condition needs AIG-OPS-02 evidence ref",IF(AND(G361="Open",F361&lt;TODAY()),"OVERDUE (derived) — review",IF(G361="Unknown","State Unknown: owner to confirm","Check against source")))))))))))))))))))</f>
        <v/>
      </c>
      <c r="K361" s="37" t="n"/>
      <c r="L361" s="37" t="n"/>
      <c r="M361" s="40" t="n"/>
      <c r="N361" s="40" t="n"/>
      <c r="O361" s="40" t="n"/>
    </row>
    <row r="362">
      <c r="A362" s="38" t="n"/>
      <c r="B362" s="38" t="n"/>
      <c r="C362" s="38" t="n"/>
      <c r="D362" s="38" t="n"/>
      <c r="E362" s="38" t="n"/>
      <c r="F362" s="39" t="n"/>
      <c r="G362" s="38" t="n"/>
      <c r="H362" s="39" t="n"/>
      <c r="I362" s="38" t="n"/>
      <c r="J362" s="22">
        <f>IF(COUNTA(A362:I362,K362:O362)=0,"",IF(OR(A362="",B362="",C362=""),"ID / parent missing",IF(COUNTIF($A$4:$A$553,A362)&gt;1,"Duplicate condition ID",IF(COUNTIF('Gate events'!$A$4:$A$553,B362)=0,"Event ID not found",IF(INDEX('Gate events'!$B$4:$B$553,MATCH(B362,'Gate events'!$A$4:$A$553,0))&lt;&gt;C362,"AIR-ID differs from event",IF(IF(INDEX('Gate events'!$P$4:$P$553,MATCH(B362,'Gate events'!$A$4:$A$553,0))="UC-ID specific",IF(OR(L362&lt;&gt;"UC-ID specific",K362=""),"Condition UC-ID required",IF(ISNUMBER(SEARCH(","&amp;SUBSTITUTE(K362," ","")&amp;",",","&amp;SUBSTITUTE(INDEX('Gate events'!$O$4:$O$553,MATCH(B362,'Gate events'!$A$4:$A$553,0))," ","")&amp;",")),"","UC-ID differs from decision")),IF(INDEX('Gate events'!$P$4:$P$553,MATCH(B362,'Gate events'!$A$4:$A$553,0))="Shared system baseline",IF(OR(L362&lt;&gt;"Shared system baseline",K362&lt;&gt;""),"Condition scope differs from decision",""),"Parent decision scope missing"))&lt;&gt;"",IF(INDEX('Gate events'!$P$4:$P$553,MATCH(B362,'Gate events'!$A$4:$A$553,0))="UC-ID specific",IF(OR(L362&lt;&gt;"UC-ID specific",K362=""),"Condition UC-ID required",IF(ISNUMBER(SEARCH(","&amp;SUBSTITUTE(K362," ","")&amp;",",","&amp;SUBSTITUTE(INDEX('Gate events'!$O$4:$O$553,MATCH(B362,'Gate events'!$A$4:$A$553,0))," ","")&amp;",")),"","UC-ID differs from decision")),IF(INDEX('Gate events'!$P$4:$P$553,MATCH(B362,'Gate events'!$A$4:$A$553,0))="Shared system baseline",IF(OR(L362&lt;&gt;"Shared system baseline",K362&lt;&gt;""),"Condition scope differs from decision",""),"Parent decision scope missing")),IF(OR(D362="",E362="",F362="",G362=""),"Condition, owner, due date or state missing",IF(NOT(ISNUMBER(F362)),"Due date is not a date",IF(OR(G362="Overdue",G362="Superseded"),"Legacy state — owner review (use the shared five states)",IF(INDEX('Gate events'!$E$4:$E$553,MATCH(B362,'Gate events'!$A$4:$A$553,0))&lt;&gt;"Decision","Parent event is not a Decision",IF(AND(INDEX('Gate events'!$G$4:$G$553,MATCH(B362,'Gate events'!$A$4:$A$553,0))&lt;&gt;"Progress with condition",INDEX('Gate events'!$G$4:$G$553,MATCH(B362,'Gate events'!$A$4:$A$553,0))&lt;&gt;"Re-authorise",INDEX('Gate events'!$G$4:$G$553,MATCH(B362,'Gate events'!$A$4:$A$553,0))&lt;&gt;"Resume"),"Parent outcome is not Progress with condition / Re-authorise / Resume",IF(AND(ISNUMBER(INDEX('Gate events'!$F$4:$F$553,MATCH(B362,'Gate events'!$A$4:$A$553,0))),F362&lt;INDEX('Gate events'!$F$4:$F$553,MATCH(B362,'Gate events'!$A$4:$A$553,0))),"Due date before parent event date",IF(AND(OR(G362="Closed-verified",G362="Waived",G362="Accepted-open"),OR(H362="",I362="")),"Closure evidence missing",IF(AND(H362&lt;&gt;"",NOT(ISNUMBER(H362))),"Closed / waived on is not a date",IF(AND(ISNUMBER(H362),ISNUMBER(INDEX('Gate events'!$F$4:$F$553,MATCH(B362,'Gate events'!$A$4:$A$553,0))),H362&lt;INDEX('Gate events'!$F$4:$F$553,MATCH(B362,'Gate events'!$A$4:$A$553,0))),"Closure date before parent event date",IF(AND(G362="Closed-verified",M362=""),"Verifier / date missing",IF(AND(N362="Yes",G362="Closed-verified",O362=""),"Monitoring condition needs AIG-OPS-02 evidence ref",IF(AND(G362="Open",F362&lt;TODAY()),"OVERDUE (derived) — review",IF(G362="Unknown","State Unknown: owner to confirm","Check against source")))))))))))))))))))</f>
        <v/>
      </c>
      <c r="K362" s="37" t="n"/>
      <c r="L362" s="37" t="n"/>
      <c r="M362" s="38" t="n"/>
      <c r="N362" s="38" t="n"/>
      <c r="O362" s="38" t="n"/>
    </row>
    <row r="363">
      <c r="A363" s="40" t="n"/>
      <c r="B363" s="40" t="n"/>
      <c r="C363" s="40" t="n"/>
      <c r="D363" s="40" t="n"/>
      <c r="E363" s="40" t="n"/>
      <c r="F363" s="41" t="n"/>
      <c r="G363" s="40" t="n"/>
      <c r="H363" s="41" t="n"/>
      <c r="I363" s="40" t="n"/>
      <c r="J363" s="24">
        <f>IF(COUNTA(A363:I363,K363:O363)=0,"",IF(OR(A363="",B363="",C363=""),"ID / parent missing",IF(COUNTIF($A$4:$A$553,A363)&gt;1,"Duplicate condition ID",IF(COUNTIF('Gate events'!$A$4:$A$553,B363)=0,"Event ID not found",IF(INDEX('Gate events'!$B$4:$B$553,MATCH(B363,'Gate events'!$A$4:$A$553,0))&lt;&gt;C363,"AIR-ID differs from event",IF(IF(INDEX('Gate events'!$P$4:$P$553,MATCH(B363,'Gate events'!$A$4:$A$553,0))="UC-ID specific",IF(OR(L363&lt;&gt;"UC-ID specific",K363=""),"Condition UC-ID required",IF(ISNUMBER(SEARCH(","&amp;SUBSTITUTE(K363," ","")&amp;",",","&amp;SUBSTITUTE(INDEX('Gate events'!$O$4:$O$553,MATCH(B363,'Gate events'!$A$4:$A$553,0))," ","")&amp;",")),"","UC-ID differs from decision")),IF(INDEX('Gate events'!$P$4:$P$553,MATCH(B363,'Gate events'!$A$4:$A$553,0))="Shared system baseline",IF(OR(L363&lt;&gt;"Shared system baseline",K363&lt;&gt;""),"Condition scope differs from decision",""),"Parent decision scope missing"))&lt;&gt;"",IF(INDEX('Gate events'!$P$4:$P$553,MATCH(B363,'Gate events'!$A$4:$A$553,0))="UC-ID specific",IF(OR(L363&lt;&gt;"UC-ID specific",K363=""),"Condition UC-ID required",IF(ISNUMBER(SEARCH(","&amp;SUBSTITUTE(K363," ","")&amp;",",","&amp;SUBSTITUTE(INDEX('Gate events'!$O$4:$O$553,MATCH(B363,'Gate events'!$A$4:$A$553,0))," ","")&amp;",")),"","UC-ID differs from decision")),IF(INDEX('Gate events'!$P$4:$P$553,MATCH(B363,'Gate events'!$A$4:$A$553,0))="Shared system baseline",IF(OR(L363&lt;&gt;"Shared system baseline",K363&lt;&gt;""),"Condition scope differs from decision",""),"Parent decision scope missing")),IF(OR(D363="",E363="",F363="",G363=""),"Condition, owner, due date or state missing",IF(NOT(ISNUMBER(F363)),"Due date is not a date",IF(OR(G363="Overdue",G363="Superseded"),"Legacy state — owner review (use the shared five states)",IF(INDEX('Gate events'!$E$4:$E$553,MATCH(B363,'Gate events'!$A$4:$A$553,0))&lt;&gt;"Decision","Parent event is not a Decision",IF(AND(INDEX('Gate events'!$G$4:$G$553,MATCH(B363,'Gate events'!$A$4:$A$553,0))&lt;&gt;"Progress with condition",INDEX('Gate events'!$G$4:$G$553,MATCH(B363,'Gate events'!$A$4:$A$553,0))&lt;&gt;"Re-authorise",INDEX('Gate events'!$G$4:$G$553,MATCH(B363,'Gate events'!$A$4:$A$553,0))&lt;&gt;"Resume"),"Parent outcome is not Progress with condition / Re-authorise / Resume",IF(AND(ISNUMBER(INDEX('Gate events'!$F$4:$F$553,MATCH(B363,'Gate events'!$A$4:$A$553,0))),F363&lt;INDEX('Gate events'!$F$4:$F$553,MATCH(B363,'Gate events'!$A$4:$A$553,0))),"Due date before parent event date",IF(AND(OR(G363="Closed-verified",G363="Waived",G363="Accepted-open"),OR(H363="",I363="")),"Closure evidence missing",IF(AND(H363&lt;&gt;"",NOT(ISNUMBER(H363))),"Closed / waived on is not a date",IF(AND(ISNUMBER(H363),ISNUMBER(INDEX('Gate events'!$F$4:$F$553,MATCH(B363,'Gate events'!$A$4:$A$553,0))),H363&lt;INDEX('Gate events'!$F$4:$F$553,MATCH(B363,'Gate events'!$A$4:$A$553,0))),"Closure date before parent event date",IF(AND(G363="Closed-verified",M363=""),"Verifier / date missing",IF(AND(N363="Yes",G363="Closed-verified",O363=""),"Monitoring condition needs AIG-OPS-02 evidence ref",IF(AND(G363="Open",F363&lt;TODAY()),"OVERDUE (derived) — review",IF(G363="Unknown","State Unknown: owner to confirm","Check against source")))))))))))))))))))</f>
        <v/>
      </c>
      <c r="K363" s="37" t="n"/>
      <c r="L363" s="37" t="n"/>
      <c r="M363" s="40" t="n"/>
      <c r="N363" s="40" t="n"/>
      <c r="O363" s="40" t="n"/>
    </row>
    <row r="364">
      <c r="A364" s="38" t="n"/>
      <c r="B364" s="38" t="n"/>
      <c r="C364" s="38" t="n"/>
      <c r="D364" s="38" t="n"/>
      <c r="E364" s="38" t="n"/>
      <c r="F364" s="39" t="n"/>
      <c r="G364" s="38" t="n"/>
      <c r="H364" s="39" t="n"/>
      <c r="I364" s="38" t="n"/>
      <c r="J364" s="22">
        <f>IF(COUNTA(A364:I364,K364:O364)=0,"",IF(OR(A364="",B364="",C364=""),"ID / parent missing",IF(COUNTIF($A$4:$A$553,A364)&gt;1,"Duplicate condition ID",IF(COUNTIF('Gate events'!$A$4:$A$553,B364)=0,"Event ID not found",IF(INDEX('Gate events'!$B$4:$B$553,MATCH(B364,'Gate events'!$A$4:$A$553,0))&lt;&gt;C364,"AIR-ID differs from event",IF(IF(INDEX('Gate events'!$P$4:$P$553,MATCH(B364,'Gate events'!$A$4:$A$553,0))="UC-ID specific",IF(OR(L364&lt;&gt;"UC-ID specific",K364=""),"Condition UC-ID required",IF(ISNUMBER(SEARCH(","&amp;SUBSTITUTE(K364," ","")&amp;",",","&amp;SUBSTITUTE(INDEX('Gate events'!$O$4:$O$553,MATCH(B364,'Gate events'!$A$4:$A$553,0))," ","")&amp;",")),"","UC-ID differs from decision")),IF(INDEX('Gate events'!$P$4:$P$553,MATCH(B364,'Gate events'!$A$4:$A$553,0))="Shared system baseline",IF(OR(L364&lt;&gt;"Shared system baseline",K364&lt;&gt;""),"Condition scope differs from decision",""),"Parent decision scope missing"))&lt;&gt;"",IF(INDEX('Gate events'!$P$4:$P$553,MATCH(B364,'Gate events'!$A$4:$A$553,0))="UC-ID specific",IF(OR(L364&lt;&gt;"UC-ID specific",K364=""),"Condition UC-ID required",IF(ISNUMBER(SEARCH(","&amp;SUBSTITUTE(K364," ","")&amp;",",","&amp;SUBSTITUTE(INDEX('Gate events'!$O$4:$O$553,MATCH(B364,'Gate events'!$A$4:$A$553,0))," ","")&amp;",")),"","UC-ID differs from decision")),IF(INDEX('Gate events'!$P$4:$P$553,MATCH(B364,'Gate events'!$A$4:$A$553,0))="Shared system baseline",IF(OR(L364&lt;&gt;"Shared system baseline",K364&lt;&gt;""),"Condition scope differs from decision",""),"Parent decision scope missing")),IF(OR(D364="",E364="",F364="",G364=""),"Condition, owner, due date or state missing",IF(NOT(ISNUMBER(F364)),"Due date is not a date",IF(OR(G364="Overdue",G364="Superseded"),"Legacy state — owner review (use the shared five states)",IF(INDEX('Gate events'!$E$4:$E$553,MATCH(B364,'Gate events'!$A$4:$A$553,0))&lt;&gt;"Decision","Parent event is not a Decision",IF(AND(INDEX('Gate events'!$G$4:$G$553,MATCH(B364,'Gate events'!$A$4:$A$553,0))&lt;&gt;"Progress with condition",INDEX('Gate events'!$G$4:$G$553,MATCH(B364,'Gate events'!$A$4:$A$553,0))&lt;&gt;"Re-authorise",INDEX('Gate events'!$G$4:$G$553,MATCH(B364,'Gate events'!$A$4:$A$553,0))&lt;&gt;"Resume"),"Parent outcome is not Progress with condition / Re-authorise / Resume",IF(AND(ISNUMBER(INDEX('Gate events'!$F$4:$F$553,MATCH(B364,'Gate events'!$A$4:$A$553,0))),F364&lt;INDEX('Gate events'!$F$4:$F$553,MATCH(B364,'Gate events'!$A$4:$A$553,0))),"Due date before parent event date",IF(AND(OR(G364="Closed-verified",G364="Waived",G364="Accepted-open"),OR(H364="",I364="")),"Closure evidence missing",IF(AND(H364&lt;&gt;"",NOT(ISNUMBER(H364))),"Closed / waived on is not a date",IF(AND(ISNUMBER(H364),ISNUMBER(INDEX('Gate events'!$F$4:$F$553,MATCH(B364,'Gate events'!$A$4:$A$553,0))),H364&lt;INDEX('Gate events'!$F$4:$F$553,MATCH(B364,'Gate events'!$A$4:$A$553,0))),"Closure date before parent event date",IF(AND(G364="Closed-verified",M364=""),"Verifier / date missing",IF(AND(N364="Yes",G364="Closed-verified",O364=""),"Monitoring condition needs AIG-OPS-02 evidence ref",IF(AND(G364="Open",F364&lt;TODAY()),"OVERDUE (derived) — review",IF(G364="Unknown","State Unknown: owner to confirm","Check against source")))))))))))))))))))</f>
        <v/>
      </c>
      <c r="K364" s="37" t="n"/>
      <c r="L364" s="37" t="n"/>
      <c r="M364" s="38" t="n"/>
      <c r="N364" s="38" t="n"/>
      <c r="O364" s="38" t="n"/>
    </row>
    <row r="365">
      <c r="A365" s="40" t="n"/>
      <c r="B365" s="40" t="n"/>
      <c r="C365" s="40" t="n"/>
      <c r="D365" s="40" t="n"/>
      <c r="E365" s="40" t="n"/>
      <c r="F365" s="41" t="n"/>
      <c r="G365" s="40" t="n"/>
      <c r="H365" s="41" t="n"/>
      <c r="I365" s="40" t="n"/>
      <c r="J365" s="24">
        <f>IF(COUNTA(A365:I365,K365:O365)=0,"",IF(OR(A365="",B365="",C365=""),"ID / parent missing",IF(COUNTIF($A$4:$A$553,A365)&gt;1,"Duplicate condition ID",IF(COUNTIF('Gate events'!$A$4:$A$553,B365)=0,"Event ID not found",IF(INDEX('Gate events'!$B$4:$B$553,MATCH(B365,'Gate events'!$A$4:$A$553,0))&lt;&gt;C365,"AIR-ID differs from event",IF(IF(INDEX('Gate events'!$P$4:$P$553,MATCH(B365,'Gate events'!$A$4:$A$553,0))="UC-ID specific",IF(OR(L365&lt;&gt;"UC-ID specific",K365=""),"Condition UC-ID required",IF(ISNUMBER(SEARCH(","&amp;SUBSTITUTE(K365," ","")&amp;",",","&amp;SUBSTITUTE(INDEX('Gate events'!$O$4:$O$553,MATCH(B365,'Gate events'!$A$4:$A$553,0))," ","")&amp;",")),"","UC-ID differs from decision")),IF(INDEX('Gate events'!$P$4:$P$553,MATCH(B365,'Gate events'!$A$4:$A$553,0))="Shared system baseline",IF(OR(L365&lt;&gt;"Shared system baseline",K365&lt;&gt;""),"Condition scope differs from decision",""),"Parent decision scope missing"))&lt;&gt;"",IF(INDEX('Gate events'!$P$4:$P$553,MATCH(B365,'Gate events'!$A$4:$A$553,0))="UC-ID specific",IF(OR(L365&lt;&gt;"UC-ID specific",K365=""),"Condition UC-ID required",IF(ISNUMBER(SEARCH(","&amp;SUBSTITUTE(K365," ","")&amp;",",","&amp;SUBSTITUTE(INDEX('Gate events'!$O$4:$O$553,MATCH(B365,'Gate events'!$A$4:$A$553,0))," ","")&amp;",")),"","UC-ID differs from decision")),IF(INDEX('Gate events'!$P$4:$P$553,MATCH(B365,'Gate events'!$A$4:$A$553,0))="Shared system baseline",IF(OR(L365&lt;&gt;"Shared system baseline",K365&lt;&gt;""),"Condition scope differs from decision",""),"Parent decision scope missing")),IF(OR(D365="",E365="",F365="",G365=""),"Condition, owner, due date or state missing",IF(NOT(ISNUMBER(F365)),"Due date is not a date",IF(OR(G365="Overdue",G365="Superseded"),"Legacy state — owner review (use the shared five states)",IF(INDEX('Gate events'!$E$4:$E$553,MATCH(B365,'Gate events'!$A$4:$A$553,0))&lt;&gt;"Decision","Parent event is not a Decision",IF(AND(INDEX('Gate events'!$G$4:$G$553,MATCH(B365,'Gate events'!$A$4:$A$553,0))&lt;&gt;"Progress with condition",INDEX('Gate events'!$G$4:$G$553,MATCH(B365,'Gate events'!$A$4:$A$553,0))&lt;&gt;"Re-authorise",INDEX('Gate events'!$G$4:$G$553,MATCH(B365,'Gate events'!$A$4:$A$553,0))&lt;&gt;"Resume"),"Parent outcome is not Progress with condition / Re-authorise / Resume",IF(AND(ISNUMBER(INDEX('Gate events'!$F$4:$F$553,MATCH(B365,'Gate events'!$A$4:$A$553,0))),F365&lt;INDEX('Gate events'!$F$4:$F$553,MATCH(B365,'Gate events'!$A$4:$A$553,0))),"Due date before parent event date",IF(AND(OR(G365="Closed-verified",G365="Waived",G365="Accepted-open"),OR(H365="",I365="")),"Closure evidence missing",IF(AND(H365&lt;&gt;"",NOT(ISNUMBER(H365))),"Closed / waived on is not a date",IF(AND(ISNUMBER(H365),ISNUMBER(INDEX('Gate events'!$F$4:$F$553,MATCH(B365,'Gate events'!$A$4:$A$553,0))),H365&lt;INDEX('Gate events'!$F$4:$F$553,MATCH(B365,'Gate events'!$A$4:$A$553,0))),"Closure date before parent event date",IF(AND(G365="Closed-verified",M365=""),"Verifier / date missing",IF(AND(N365="Yes",G365="Closed-verified",O365=""),"Monitoring condition needs AIG-OPS-02 evidence ref",IF(AND(G365="Open",F365&lt;TODAY()),"OVERDUE (derived) — review",IF(G365="Unknown","State Unknown: owner to confirm","Check against source")))))))))))))))))))</f>
        <v/>
      </c>
      <c r="K365" s="37" t="n"/>
      <c r="L365" s="37" t="n"/>
      <c r="M365" s="40" t="n"/>
      <c r="N365" s="40" t="n"/>
      <c r="O365" s="40" t="n"/>
    </row>
    <row r="366">
      <c r="A366" s="38" t="n"/>
      <c r="B366" s="38" t="n"/>
      <c r="C366" s="38" t="n"/>
      <c r="D366" s="38" t="n"/>
      <c r="E366" s="38" t="n"/>
      <c r="F366" s="39" t="n"/>
      <c r="G366" s="38" t="n"/>
      <c r="H366" s="39" t="n"/>
      <c r="I366" s="38" t="n"/>
      <c r="J366" s="22">
        <f>IF(COUNTA(A366:I366,K366:O366)=0,"",IF(OR(A366="",B366="",C366=""),"ID / parent missing",IF(COUNTIF($A$4:$A$553,A366)&gt;1,"Duplicate condition ID",IF(COUNTIF('Gate events'!$A$4:$A$553,B366)=0,"Event ID not found",IF(INDEX('Gate events'!$B$4:$B$553,MATCH(B366,'Gate events'!$A$4:$A$553,0))&lt;&gt;C366,"AIR-ID differs from event",IF(IF(INDEX('Gate events'!$P$4:$P$553,MATCH(B366,'Gate events'!$A$4:$A$553,0))="UC-ID specific",IF(OR(L366&lt;&gt;"UC-ID specific",K366=""),"Condition UC-ID required",IF(ISNUMBER(SEARCH(","&amp;SUBSTITUTE(K366," ","")&amp;",",","&amp;SUBSTITUTE(INDEX('Gate events'!$O$4:$O$553,MATCH(B366,'Gate events'!$A$4:$A$553,0))," ","")&amp;",")),"","UC-ID differs from decision")),IF(INDEX('Gate events'!$P$4:$P$553,MATCH(B366,'Gate events'!$A$4:$A$553,0))="Shared system baseline",IF(OR(L366&lt;&gt;"Shared system baseline",K366&lt;&gt;""),"Condition scope differs from decision",""),"Parent decision scope missing"))&lt;&gt;"",IF(INDEX('Gate events'!$P$4:$P$553,MATCH(B366,'Gate events'!$A$4:$A$553,0))="UC-ID specific",IF(OR(L366&lt;&gt;"UC-ID specific",K366=""),"Condition UC-ID required",IF(ISNUMBER(SEARCH(","&amp;SUBSTITUTE(K366," ","")&amp;",",","&amp;SUBSTITUTE(INDEX('Gate events'!$O$4:$O$553,MATCH(B366,'Gate events'!$A$4:$A$553,0))," ","")&amp;",")),"","UC-ID differs from decision")),IF(INDEX('Gate events'!$P$4:$P$553,MATCH(B366,'Gate events'!$A$4:$A$553,0))="Shared system baseline",IF(OR(L366&lt;&gt;"Shared system baseline",K366&lt;&gt;""),"Condition scope differs from decision",""),"Parent decision scope missing")),IF(OR(D366="",E366="",F366="",G366=""),"Condition, owner, due date or state missing",IF(NOT(ISNUMBER(F366)),"Due date is not a date",IF(OR(G366="Overdue",G366="Superseded"),"Legacy state — owner review (use the shared five states)",IF(INDEX('Gate events'!$E$4:$E$553,MATCH(B366,'Gate events'!$A$4:$A$553,0))&lt;&gt;"Decision","Parent event is not a Decision",IF(AND(INDEX('Gate events'!$G$4:$G$553,MATCH(B366,'Gate events'!$A$4:$A$553,0))&lt;&gt;"Progress with condition",INDEX('Gate events'!$G$4:$G$553,MATCH(B366,'Gate events'!$A$4:$A$553,0))&lt;&gt;"Re-authorise",INDEX('Gate events'!$G$4:$G$553,MATCH(B366,'Gate events'!$A$4:$A$553,0))&lt;&gt;"Resume"),"Parent outcome is not Progress with condition / Re-authorise / Resume",IF(AND(ISNUMBER(INDEX('Gate events'!$F$4:$F$553,MATCH(B366,'Gate events'!$A$4:$A$553,0))),F366&lt;INDEX('Gate events'!$F$4:$F$553,MATCH(B366,'Gate events'!$A$4:$A$553,0))),"Due date before parent event date",IF(AND(OR(G366="Closed-verified",G366="Waived",G366="Accepted-open"),OR(H366="",I366="")),"Closure evidence missing",IF(AND(H366&lt;&gt;"",NOT(ISNUMBER(H366))),"Closed / waived on is not a date",IF(AND(ISNUMBER(H366),ISNUMBER(INDEX('Gate events'!$F$4:$F$553,MATCH(B366,'Gate events'!$A$4:$A$553,0))),H366&lt;INDEX('Gate events'!$F$4:$F$553,MATCH(B366,'Gate events'!$A$4:$A$553,0))),"Closure date before parent event date",IF(AND(G366="Closed-verified",M366=""),"Verifier / date missing",IF(AND(N366="Yes",G366="Closed-verified",O366=""),"Monitoring condition needs AIG-OPS-02 evidence ref",IF(AND(G366="Open",F366&lt;TODAY()),"OVERDUE (derived) — review",IF(G366="Unknown","State Unknown: owner to confirm","Check against source")))))))))))))))))))</f>
        <v/>
      </c>
      <c r="K366" s="37" t="n"/>
      <c r="L366" s="37" t="n"/>
      <c r="M366" s="38" t="n"/>
      <c r="N366" s="38" t="n"/>
      <c r="O366" s="38" t="n"/>
    </row>
    <row r="367">
      <c r="A367" s="40" t="n"/>
      <c r="B367" s="40" t="n"/>
      <c r="C367" s="40" t="n"/>
      <c r="D367" s="40" t="n"/>
      <c r="E367" s="40" t="n"/>
      <c r="F367" s="41" t="n"/>
      <c r="G367" s="40" t="n"/>
      <c r="H367" s="41" t="n"/>
      <c r="I367" s="40" t="n"/>
      <c r="J367" s="24">
        <f>IF(COUNTA(A367:I367,K367:O367)=0,"",IF(OR(A367="",B367="",C367=""),"ID / parent missing",IF(COUNTIF($A$4:$A$553,A367)&gt;1,"Duplicate condition ID",IF(COUNTIF('Gate events'!$A$4:$A$553,B367)=0,"Event ID not found",IF(INDEX('Gate events'!$B$4:$B$553,MATCH(B367,'Gate events'!$A$4:$A$553,0))&lt;&gt;C367,"AIR-ID differs from event",IF(IF(INDEX('Gate events'!$P$4:$P$553,MATCH(B367,'Gate events'!$A$4:$A$553,0))="UC-ID specific",IF(OR(L367&lt;&gt;"UC-ID specific",K367=""),"Condition UC-ID required",IF(ISNUMBER(SEARCH(","&amp;SUBSTITUTE(K367," ","")&amp;",",","&amp;SUBSTITUTE(INDEX('Gate events'!$O$4:$O$553,MATCH(B367,'Gate events'!$A$4:$A$553,0))," ","")&amp;",")),"","UC-ID differs from decision")),IF(INDEX('Gate events'!$P$4:$P$553,MATCH(B367,'Gate events'!$A$4:$A$553,0))="Shared system baseline",IF(OR(L367&lt;&gt;"Shared system baseline",K367&lt;&gt;""),"Condition scope differs from decision",""),"Parent decision scope missing"))&lt;&gt;"",IF(INDEX('Gate events'!$P$4:$P$553,MATCH(B367,'Gate events'!$A$4:$A$553,0))="UC-ID specific",IF(OR(L367&lt;&gt;"UC-ID specific",K367=""),"Condition UC-ID required",IF(ISNUMBER(SEARCH(","&amp;SUBSTITUTE(K367," ","")&amp;",",","&amp;SUBSTITUTE(INDEX('Gate events'!$O$4:$O$553,MATCH(B367,'Gate events'!$A$4:$A$553,0))," ","")&amp;",")),"","UC-ID differs from decision")),IF(INDEX('Gate events'!$P$4:$P$553,MATCH(B367,'Gate events'!$A$4:$A$553,0))="Shared system baseline",IF(OR(L367&lt;&gt;"Shared system baseline",K367&lt;&gt;""),"Condition scope differs from decision",""),"Parent decision scope missing")),IF(OR(D367="",E367="",F367="",G367=""),"Condition, owner, due date or state missing",IF(NOT(ISNUMBER(F367)),"Due date is not a date",IF(OR(G367="Overdue",G367="Superseded"),"Legacy state — owner review (use the shared five states)",IF(INDEX('Gate events'!$E$4:$E$553,MATCH(B367,'Gate events'!$A$4:$A$553,0))&lt;&gt;"Decision","Parent event is not a Decision",IF(AND(INDEX('Gate events'!$G$4:$G$553,MATCH(B367,'Gate events'!$A$4:$A$553,0))&lt;&gt;"Progress with condition",INDEX('Gate events'!$G$4:$G$553,MATCH(B367,'Gate events'!$A$4:$A$553,0))&lt;&gt;"Re-authorise",INDEX('Gate events'!$G$4:$G$553,MATCH(B367,'Gate events'!$A$4:$A$553,0))&lt;&gt;"Resume"),"Parent outcome is not Progress with condition / Re-authorise / Resume",IF(AND(ISNUMBER(INDEX('Gate events'!$F$4:$F$553,MATCH(B367,'Gate events'!$A$4:$A$553,0))),F367&lt;INDEX('Gate events'!$F$4:$F$553,MATCH(B367,'Gate events'!$A$4:$A$553,0))),"Due date before parent event date",IF(AND(OR(G367="Closed-verified",G367="Waived",G367="Accepted-open"),OR(H367="",I367="")),"Closure evidence missing",IF(AND(H367&lt;&gt;"",NOT(ISNUMBER(H367))),"Closed / waived on is not a date",IF(AND(ISNUMBER(H367),ISNUMBER(INDEX('Gate events'!$F$4:$F$553,MATCH(B367,'Gate events'!$A$4:$A$553,0))),H367&lt;INDEX('Gate events'!$F$4:$F$553,MATCH(B367,'Gate events'!$A$4:$A$553,0))),"Closure date before parent event date",IF(AND(G367="Closed-verified",M367=""),"Verifier / date missing",IF(AND(N367="Yes",G367="Closed-verified",O367=""),"Monitoring condition needs AIG-OPS-02 evidence ref",IF(AND(G367="Open",F367&lt;TODAY()),"OVERDUE (derived) — review",IF(G367="Unknown","State Unknown: owner to confirm","Check against source")))))))))))))))))))</f>
        <v/>
      </c>
      <c r="K367" s="37" t="n"/>
      <c r="L367" s="37" t="n"/>
      <c r="M367" s="40" t="n"/>
      <c r="N367" s="40" t="n"/>
      <c r="O367" s="40" t="n"/>
    </row>
    <row r="368">
      <c r="A368" s="38" t="n"/>
      <c r="B368" s="38" t="n"/>
      <c r="C368" s="38" t="n"/>
      <c r="D368" s="38" t="n"/>
      <c r="E368" s="38" t="n"/>
      <c r="F368" s="39" t="n"/>
      <c r="G368" s="38" t="n"/>
      <c r="H368" s="39" t="n"/>
      <c r="I368" s="38" t="n"/>
      <c r="J368" s="22">
        <f>IF(COUNTA(A368:I368,K368:O368)=0,"",IF(OR(A368="",B368="",C368=""),"ID / parent missing",IF(COUNTIF($A$4:$A$553,A368)&gt;1,"Duplicate condition ID",IF(COUNTIF('Gate events'!$A$4:$A$553,B368)=0,"Event ID not found",IF(INDEX('Gate events'!$B$4:$B$553,MATCH(B368,'Gate events'!$A$4:$A$553,0))&lt;&gt;C368,"AIR-ID differs from event",IF(IF(INDEX('Gate events'!$P$4:$P$553,MATCH(B368,'Gate events'!$A$4:$A$553,0))="UC-ID specific",IF(OR(L368&lt;&gt;"UC-ID specific",K368=""),"Condition UC-ID required",IF(ISNUMBER(SEARCH(","&amp;SUBSTITUTE(K368," ","")&amp;",",","&amp;SUBSTITUTE(INDEX('Gate events'!$O$4:$O$553,MATCH(B368,'Gate events'!$A$4:$A$553,0))," ","")&amp;",")),"","UC-ID differs from decision")),IF(INDEX('Gate events'!$P$4:$P$553,MATCH(B368,'Gate events'!$A$4:$A$553,0))="Shared system baseline",IF(OR(L368&lt;&gt;"Shared system baseline",K368&lt;&gt;""),"Condition scope differs from decision",""),"Parent decision scope missing"))&lt;&gt;"",IF(INDEX('Gate events'!$P$4:$P$553,MATCH(B368,'Gate events'!$A$4:$A$553,0))="UC-ID specific",IF(OR(L368&lt;&gt;"UC-ID specific",K368=""),"Condition UC-ID required",IF(ISNUMBER(SEARCH(","&amp;SUBSTITUTE(K368," ","")&amp;",",","&amp;SUBSTITUTE(INDEX('Gate events'!$O$4:$O$553,MATCH(B368,'Gate events'!$A$4:$A$553,0))," ","")&amp;",")),"","UC-ID differs from decision")),IF(INDEX('Gate events'!$P$4:$P$553,MATCH(B368,'Gate events'!$A$4:$A$553,0))="Shared system baseline",IF(OR(L368&lt;&gt;"Shared system baseline",K368&lt;&gt;""),"Condition scope differs from decision",""),"Parent decision scope missing")),IF(OR(D368="",E368="",F368="",G368=""),"Condition, owner, due date or state missing",IF(NOT(ISNUMBER(F368)),"Due date is not a date",IF(OR(G368="Overdue",G368="Superseded"),"Legacy state — owner review (use the shared five states)",IF(INDEX('Gate events'!$E$4:$E$553,MATCH(B368,'Gate events'!$A$4:$A$553,0))&lt;&gt;"Decision","Parent event is not a Decision",IF(AND(INDEX('Gate events'!$G$4:$G$553,MATCH(B368,'Gate events'!$A$4:$A$553,0))&lt;&gt;"Progress with condition",INDEX('Gate events'!$G$4:$G$553,MATCH(B368,'Gate events'!$A$4:$A$553,0))&lt;&gt;"Re-authorise",INDEX('Gate events'!$G$4:$G$553,MATCH(B368,'Gate events'!$A$4:$A$553,0))&lt;&gt;"Resume"),"Parent outcome is not Progress with condition / Re-authorise / Resume",IF(AND(ISNUMBER(INDEX('Gate events'!$F$4:$F$553,MATCH(B368,'Gate events'!$A$4:$A$553,0))),F368&lt;INDEX('Gate events'!$F$4:$F$553,MATCH(B368,'Gate events'!$A$4:$A$553,0))),"Due date before parent event date",IF(AND(OR(G368="Closed-verified",G368="Waived",G368="Accepted-open"),OR(H368="",I368="")),"Closure evidence missing",IF(AND(H368&lt;&gt;"",NOT(ISNUMBER(H368))),"Closed / waived on is not a date",IF(AND(ISNUMBER(H368),ISNUMBER(INDEX('Gate events'!$F$4:$F$553,MATCH(B368,'Gate events'!$A$4:$A$553,0))),H368&lt;INDEX('Gate events'!$F$4:$F$553,MATCH(B368,'Gate events'!$A$4:$A$553,0))),"Closure date before parent event date",IF(AND(G368="Closed-verified",M368=""),"Verifier / date missing",IF(AND(N368="Yes",G368="Closed-verified",O368=""),"Monitoring condition needs AIG-OPS-02 evidence ref",IF(AND(G368="Open",F368&lt;TODAY()),"OVERDUE (derived) — review",IF(G368="Unknown","State Unknown: owner to confirm","Check against source")))))))))))))))))))</f>
        <v/>
      </c>
      <c r="K368" s="37" t="n"/>
      <c r="L368" s="37" t="n"/>
      <c r="M368" s="38" t="n"/>
      <c r="N368" s="38" t="n"/>
      <c r="O368" s="38" t="n"/>
    </row>
    <row r="369">
      <c r="A369" s="40" t="n"/>
      <c r="B369" s="40" t="n"/>
      <c r="C369" s="40" t="n"/>
      <c r="D369" s="40" t="n"/>
      <c r="E369" s="40" t="n"/>
      <c r="F369" s="41" t="n"/>
      <c r="G369" s="40" t="n"/>
      <c r="H369" s="41" t="n"/>
      <c r="I369" s="40" t="n"/>
      <c r="J369" s="24">
        <f>IF(COUNTA(A369:I369,K369:O369)=0,"",IF(OR(A369="",B369="",C369=""),"ID / parent missing",IF(COUNTIF($A$4:$A$553,A369)&gt;1,"Duplicate condition ID",IF(COUNTIF('Gate events'!$A$4:$A$553,B369)=0,"Event ID not found",IF(INDEX('Gate events'!$B$4:$B$553,MATCH(B369,'Gate events'!$A$4:$A$553,0))&lt;&gt;C369,"AIR-ID differs from event",IF(IF(INDEX('Gate events'!$P$4:$P$553,MATCH(B369,'Gate events'!$A$4:$A$553,0))="UC-ID specific",IF(OR(L369&lt;&gt;"UC-ID specific",K369=""),"Condition UC-ID required",IF(ISNUMBER(SEARCH(","&amp;SUBSTITUTE(K369," ","")&amp;",",","&amp;SUBSTITUTE(INDEX('Gate events'!$O$4:$O$553,MATCH(B369,'Gate events'!$A$4:$A$553,0))," ","")&amp;",")),"","UC-ID differs from decision")),IF(INDEX('Gate events'!$P$4:$P$553,MATCH(B369,'Gate events'!$A$4:$A$553,0))="Shared system baseline",IF(OR(L369&lt;&gt;"Shared system baseline",K369&lt;&gt;""),"Condition scope differs from decision",""),"Parent decision scope missing"))&lt;&gt;"",IF(INDEX('Gate events'!$P$4:$P$553,MATCH(B369,'Gate events'!$A$4:$A$553,0))="UC-ID specific",IF(OR(L369&lt;&gt;"UC-ID specific",K369=""),"Condition UC-ID required",IF(ISNUMBER(SEARCH(","&amp;SUBSTITUTE(K369," ","")&amp;",",","&amp;SUBSTITUTE(INDEX('Gate events'!$O$4:$O$553,MATCH(B369,'Gate events'!$A$4:$A$553,0))," ","")&amp;",")),"","UC-ID differs from decision")),IF(INDEX('Gate events'!$P$4:$P$553,MATCH(B369,'Gate events'!$A$4:$A$553,0))="Shared system baseline",IF(OR(L369&lt;&gt;"Shared system baseline",K369&lt;&gt;""),"Condition scope differs from decision",""),"Parent decision scope missing")),IF(OR(D369="",E369="",F369="",G369=""),"Condition, owner, due date or state missing",IF(NOT(ISNUMBER(F369)),"Due date is not a date",IF(OR(G369="Overdue",G369="Superseded"),"Legacy state — owner review (use the shared five states)",IF(INDEX('Gate events'!$E$4:$E$553,MATCH(B369,'Gate events'!$A$4:$A$553,0))&lt;&gt;"Decision","Parent event is not a Decision",IF(AND(INDEX('Gate events'!$G$4:$G$553,MATCH(B369,'Gate events'!$A$4:$A$553,0))&lt;&gt;"Progress with condition",INDEX('Gate events'!$G$4:$G$553,MATCH(B369,'Gate events'!$A$4:$A$553,0))&lt;&gt;"Re-authorise",INDEX('Gate events'!$G$4:$G$553,MATCH(B369,'Gate events'!$A$4:$A$553,0))&lt;&gt;"Resume"),"Parent outcome is not Progress with condition / Re-authorise / Resume",IF(AND(ISNUMBER(INDEX('Gate events'!$F$4:$F$553,MATCH(B369,'Gate events'!$A$4:$A$553,0))),F369&lt;INDEX('Gate events'!$F$4:$F$553,MATCH(B369,'Gate events'!$A$4:$A$553,0))),"Due date before parent event date",IF(AND(OR(G369="Closed-verified",G369="Waived",G369="Accepted-open"),OR(H369="",I369="")),"Closure evidence missing",IF(AND(H369&lt;&gt;"",NOT(ISNUMBER(H369))),"Closed / waived on is not a date",IF(AND(ISNUMBER(H369),ISNUMBER(INDEX('Gate events'!$F$4:$F$553,MATCH(B369,'Gate events'!$A$4:$A$553,0))),H369&lt;INDEX('Gate events'!$F$4:$F$553,MATCH(B369,'Gate events'!$A$4:$A$553,0))),"Closure date before parent event date",IF(AND(G369="Closed-verified",M369=""),"Verifier / date missing",IF(AND(N369="Yes",G369="Closed-verified",O369=""),"Monitoring condition needs AIG-OPS-02 evidence ref",IF(AND(G369="Open",F369&lt;TODAY()),"OVERDUE (derived) — review",IF(G369="Unknown","State Unknown: owner to confirm","Check against source")))))))))))))))))))</f>
        <v/>
      </c>
      <c r="K369" s="37" t="n"/>
      <c r="L369" s="37" t="n"/>
      <c r="M369" s="40" t="n"/>
      <c r="N369" s="40" t="n"/>
      <c r="O369" s="40" t="n"/>
    </row>
    <row r="370">
      <c r="A370" s="38" t="n"/>
      <c r="B370" s="38" t="n"/>
      <c r="C370" s="38" t="n"/>
      <c r="D370" s="38" t="n"/>
      <c r="E370" s="38" t="n"/>
      <c r="F370" s="39" t="n"/>
      <c r="G370" s="38" t="n"/>
      <c r="H370" s="39" t="n"/>
      <c r="I370" s="38" t="n"/>
      <c r="J370" s="22">
        <f>IF(COUNTA(A370:I370,K370:O370)=0,"",IF(OR(A370="",B370="",C370=""),"ID / parent missing",IF(COUNTIF($A$4:$A$553,A370)&gt;1,"Duplicate condition ID",IF(COUNTIF('Gate events'!$A$4:$A$553,B370)=0,"Event ID not found",IF(INDEX('Gate events'!$B$4:$B$553,MATCH(B370,'Gate events'!$A$4:$A$553,0))&lt;&gt;C370,"AIR-ID differs from event",IF(IF(INDEX('Gate events'!$P$4:$P$553,MATCH(B370,'Gate events'!$A$4:$A$553,0))="UC-ID specific",IF(OR(L370&lt;&gt;"UC-ID specific",K370=""),"Condition UC-ID required",IF(ISNUMBER(SEARCH(","&amp;SUBSTITUTE(K370," ","")&amp;",",","&amp;SUBSTITUTE(INDEX('Gate events'!$O$4:$O$553,MATCH(B370,'Gate events'!$A$4:$A$553,0))," ","")&amp;",")),"","UC-ID differs from decision")),IF(INDEX('Gate events'!$P$4:$P$553,MATCH(B370,'Gate events'!$A$4:$A$553,0))="Shared system baseline",IF(OR(L370&lt;&gt;"Shared system baseline",K370&lt;&gt;""),"Condition scope differs from decision",""),"Parent decision scope missing"))&lt;&gt;"",IF(INDEX('Gate events'!$P$4:$P$553,MATCH(B370,'Gate events'!$A$4:$A$553,0))="UC-ID specific",IF(OR(L370&lt;&gt;"UC-ID specific",K370=""),"Condition UC-ID required",IF(ISNUMBER(SEARCH(","&amp;SUBSTITUTE(K370," ","")&amp;",",","&amp;SUBSTITUTE(INDEX('Gate events'!$O$4:$O$553,MATCH(B370,'Gate events'!$A$4:$A$553,0))," ","")&amp;",")),"","UC-ID differs from decision")),IF(INDEX('Gate events'!$P$4:$P$553,MATCH(B370,'Gate events'!$A$4:$A$553,0))="Shared system baseline",IF(OR(L370&lt;&gt;"Shared system baseline",K370&lt;&gt;""),"Condition scope differs from decision",""),"Parent decision scope missing")),IF(OR(D370="",E370="",F370="",G370=""),"Condition, owner, due date or state missing",IF(NOT(ISNUMBER(F370)),"Due date is not a date",IF(OR(G370="Overdue",G370="Superseded"),"Legacy state — owner review (use the shared five states)",IF(INDEX('Gate events'!$E$4:$E$553,MATCH(B370,'Gate events'!$A$4:$A$553,0))&lt;&gt;"Decision","Parent event is not a Decision",IF(AND(INDEX('Gate events'!$G$4:$G$553,MATCH(B370,'Gate events'!$A$4:$A$553,0))&lt;&gt;"Progress with condition",INDEX('Gate events'!$G$4:$G$553,MATCH(B370,'Gate events'!$A$4:$A$553,0))&lt;&gt;"Re-authorise",INDEX('Gate events'!$G$4:$G$553,MATCH(B370,'Gate events'!$A$4:$A$553,0))&lt;&gt;"Resume"),"Parent outcome is not Progress with condition / Re-authorise / Resume",IF(AND(ISNUMBER(INDEX('Gate events'!$F$4:$F$553,MATCH(B370,'Gate events'!$A$4:$A$553,0))),F370&lt;INDEX('Gate events'!$F$4:$F$553,MATCH(B370,'Gate events'!$A$4:$A$553,0))),"Due date before parent event date",IF(AND(OR(G370="Closed-verified",G370="Waived",G370="Accepted-open"),OR(H370="",I370="")),"Closure evidence missing",IF(AND(H370&lt;&gt;"",NOT(ISNUMBER(H370))),"Closed / waived on is not a date",IF(AND(ISNUMBER(H370),ISNUMBER(INDEX('Gate events'!$F$4:$F$553,MATCH(B370,'Gate events'!$A$4:$A$553,0))),H370&lt;INDEX('Gate events'!$F$4:$F$553,MATCH(B370,'Gate events'!$A$4:$A$553,0))),"Closure date before parent event date",IF(AND(G370="Closed-verified",M370=""),"Verifier / date missing",IF(AND(N370="Yes",G370="Closed-verified",O370=""),"Monitoring condition needs AIG-OPS-02 evidence ref",IF(AND(G370="Open",F370&lt;TODAY()),"OVERDUE (derived) — review",IF(G370="Unknown","State Unknown: owner to confirm","Check against source")))))))))))))))))))</f>
        <v/>
      </c>
      <c r="K370" s="37" t="n"/>
      <c r="L370" s="37" t="n"/>
      <c r="M370" s="38" t="n"/>
      <c r="N370" s="38" t="n"/>
      <c r="O370" s="38" t="n"/>
    </row>
    <row r="371">
      <c r="A371" s="40" t="n"/>
      <c r="B371" s="40" t="n"/>
      <c r="C371" s="40" t="n"/>
      <c r="D371" s="40" t="n"/>
      <c r="E371" s="40" t="n"/>
      <c r="F371" s="41" t="n"/>
      <c r="G371" s="40" t="n"/>
      <c r="H371" s="41" t="n"/>
      <c r="I371" s="40" t="n"/>
      <c r="J371" s="24">
        <f>IF(COUNTA(A371:I371,K371:O371)=0,"",IF(OR(A371="",B371="",C371=""),"ID / parent missing",IF(COUNTIF($A$4:$A$553,A371)&gt;1,"Duplicate condition ID",IF(COUNTIF('Gate events'!$A$4:$A$553,B371)=0,"Event ID not found",IF(INDEX('Gate events'!$B$4:$B$553,MATCH(B371,'Gate events'!$A$4:$A$553,0))&lt;&gt;C371,"AIR-ID differs from event",IF(IF(INDEX('Gate events'!$P$4:$P$553,MATCH(B371,'Gate events'!$A$4:$A$553,0))="UC-ID specific",IF(OR(L371&lt;&gt;"UC-ID specific",K371=""),"Condition UC-ID required",IF(ISNUMBER(SEARCH(","&amp;SUBSTITUTE(K371," ","")&amp;",",","&amp;SUBSTITUTE(INDEX('Gate events'!$O$4:$O$553,MATCH(B371,'Gate events'!$A$4:$A$553,0))," ","")&amp;",")),"","UC-ID differs from decision")),IF(INDEX('Gate events'!$P$4:$P$553,MATCH(B371,'Gate events'!$A$4:$A$553,0))="Shared system baseline",IF(OR(L371&lt;&gt;"Shared system baseline",K371&lt;&gt;""),"Condition scope differs from decision",""),"Parent decision scope missing"))&lt;&gt;"",IF(INDEX('Gate events'!$P$4:$P$553,MATCH(B371,'Gate events'!$A$4:$A$553,0))="UC-ID specific",IF(OR(L371&lt;&gt;"UC-ID specific",K371=""),"Condition UC-ID required",IF(ISNUMBER(SEARCH(","&amp;SUBSTITUTE(K371," ","")&amp;",",","&amp;SUBSTITUTE(INDEX('Gate events'!$O$4:$O$553,MATCH(B371,'Gate events'!$A$4:$A$553,0))," ","")&amp;",")),"","UC-ID differs from decision")),IF(INDEX('Gate events'!$P$4:$P$553,MATCH(B371,'Gate events'!$A$4:$A$553,0))="Shared system baseline",IF(OR(L371&lt;&gt;"Shared system baseline",K371&lt;&gt;""),"Condition scope differs from decision",""),"Parent decision scope missing")),IF(OR(D371="",E371="",F371="",G371=""),"Condition, owner, due date or state missing",IF(NOT(ISNUMBER(F371)),"Due date is not a date",IF(OR(G371="Overdue",G371="Superseded"),"Legacy state — owner review (use the shared five states)",IF(INDEX('Gate events'!$E$4:$E$553,MATCH(B371,'Gate events'!$A$4:$A$553,0))&lt;&gt;"Decision","Parent event is not a Decision",IF(AND(INDEX('Gate events'!$G$4:$G$553,MATCH(B371,'Gate events'!$A$4:$A$553,0))&lt;&gt;"Progress with condition",INDEX('Gate events'!$G$4:$G$553,MATCH(B371,'Gate events'!$A$4:$A$553,0))&lt;&gt;"Re-authorise",INDEX('Gate events'!$G$4:$G$553,MATCH(B371,'Gate events'!$A$4:$A$553,0))&lt;&gt;"Resume"),"Parent outcome is not Progress with condition / Re-authorise / Resume",IF(AND(ISNUMBER(INDEX('Gate events'!$F$4:$F$553,MATCH(B371,'Gate events'!$A$4:$A$553,0))),F371&lt;INDEX('Gate events'!$F$4:$F$553,MATCH(B371,'Gate events'!$A$4:$A$553,0))),"Due date before parent event date",IF(AND(OR(G371="Closed-verified",G371="Waived",G371="Accepted-open"),OR(H371="",I371="")),"Closure evidence missing",IF(AND(H371&lt;&gt;"",NOT(ISNUMBER(H371))),"Closed / waived on is not a date",IF(AND(ISNUMBER(H371),ISNUMBER(INDEX('Gate events'!$F$4:$F$553,MATCH(B371,'Gate events'!$A$4:$A$553,0))),H371&lt;INDEX('Gate events'!$F$4:$F$553,MATCH(B371,'Gate events'!$A$4:$A$553,0))),"Closure date before parent event date",IF(AND(G371="Closed-verified",M371=""),"Verifier / date missing",IF(AND(N371="Yes",G371="Closed-verified",O371=""),"Monitoring condition needs AIG-OPS-02 evidence ref",IF(AND(G371="Open",F371&lt;TODAY()),"OVERDUE (derived) — review",IF(G371="Unknown","State Unknown: owner to confirm","Check against source")))))))))))))))))))</f>
        <v/>
      </c>
      <c r="K371" s="37" t="n"/>
      <c r="L371" s="37" t="n"/>
      <c r="M371" s="40" t="n"/>
      <c r="N371" s="40" t="n"/>
      <c r="O371" s="40" t="n"/>
    </row>
    <row r="372">
      <c r="A372" s="38" t="n"/>
      <c r="B372" s="38" t="n"/>
      <c r="C372" s="38" t="n"/>
      <c r="D372" s="38" t="n"/>
      <c r="E372" s="38" t="n"/>
      <c r="F372" s="39" t="n"/>
      <c r="G372" s="38" t="n"/>
      <c r="H372" s="39" t="n"/>
      <c r="I372" s="38" t="n"/>
      <c r="J372" s="22">
        <f>IF(COUNTA(A372:I372,K372:O372)=0,"",IF(OR(A372="",B372="",C372=""),"ID / parent missing",IF(COUNTIF($A$4:$A$553,A372)&gt;1,"Duplicate condition ID",IF(COUNTIF('Gate events'!$A$4:$A$553,B372)=0,"Event ID not found",IF(INDEX('Gate events'!$B$4:$B$553,MATCH(B372,'Gate events'!$A$4:$A$553,0))&lt;&gt;C372,"AIR-ID differs from event",IF(IF(INDEX('Gate events'!$P$4:$P$553,MATCH(B372,'Gate events'!$A$4:$A$553,0))="UC-ID specific",IF(OR(L372&lt;&gt;"UC-ID specific",K372=""),"Condition UC-ID required",IF(ISNUMBER(SEARCH(","&amp;SUBSTITUTE(K372," ","")&amp;",",","&amp;SUBSTITUTE(INDEX('Gate events'!$O$4:$O$553,MATCH(B372,'Gate events'!$A$4:$A$553,0))," ","")&amp;",")),"","UC-ID differs from decision")),IF(INDEX('Gate events'!$P$4:$P$553,MATCH(B372,'Gate events'!$A$4:$A$553,0))="Shared system baseline",IF(OR(L372&lt;&gt;"Shared system baseline",K372&lt;&gt;""),"Condition scope differs from decision",""),"Parent decision scope missing"))&lt;&gt;"",IF(INDEX('Gate events'!$P$4:$P$553,MATCH(B372,'Gate events'!$A$4:$A$553,0))="UC-ID specific",IF(OR(L372&lt;&gt;"UC-ID specific",K372=""),"Condition UC-ID required",IF(ISNUMBER(SEARCH(","&amp;SUBSTITUTE(K372," ","")&amp;",",","&amp;SUBSTITUTE(INDEX('Gate events'!$O$4:$O$553,MATCH(B372,'Gate events'!$A$4:$A$553,0))," ","")&amp;",")),"","UC-ID differs from decision")),IF(INDEX('Gate events'!$P$4:$P$553,MATCH(B372,'Gate events'!$A$4:$A$553,0))="Shared system baseline",IF(OR(L372&lt;&gt;"Shared system baseline",K372&lt;&gt;""),"Condition scope differs from decision",""),"Parent decision scope missing")),IF(OR(D372="",E372="",F372="",G372=""),"Condition, owner, due date or state missing",IF(NOT(ISNUMBER(F372)),"Due date is not a date",IF(OR(G372="Overdue",G372="Superseded"),"Legacy state — owner review (use the shared five states)",IF(INDEX('Gate events'!$E$4:$E$553,MATCH(B372,'Gate events'!$A$4:$A$553,0))&lt;&gt;"Decision","Parent event is not a Decision",IF(AND(INDEX('Gate events'!$G$4:$G$553,MATCH(B372,'Gate events'!$A$4:$A$553,0))&lt;&gt;"Progress with condition",INDEX('Gate events'!$G$4:$G$553,MATCH(B372,'Gate events'!$A$4:$A$553,0))&lt;&gt;"Re-authorise",INDEX('Gate events'!$G$4:$G$553,MATCH(B372,'Gate events'!$A$4:$A$553,0))&lt;&gt;"Resume"),"Parent outcome is not Progress with condition / Re-authorise / Resume",IF(AND(ISNUMBER(INDEX('Gate events'!$F$4:$F$553,MATCH(B372,'Gate events'!$A$4:$A$553,0))),F372&lt;INDEX('Gate events'!$F$4:$F$553,MATCH(B372,'Gate events'!$A$4:$A$553,0))),"Due date before parent event date",IF(AND(OR(G372="Closed-verified",G372="Waived",G372="Accepted-open"),OR(H372="",I372="")),"Closure evidence missing",IF(AND(H372&lt;&gt;"",NOT(ISNUMBER(H372))),"Closed / waived on is not a date",IF(AND(ISNUMBER(H372),ISNUMBER(INDEX('Gate events'!$F$4:$F$553,MATCH(B372,'Gate events'!$A$4:$A$553,0))),H372&lt;INDEX('Gate events'!$F$4:$F$553,MATCH(B372,'Gate events'!$A$4:$A$553,0))),"Closure date before parent event date",IF(AND(G372="Closed-verified",M372=""),"Verifier / date missing",IF(AND(N372="Yes",G372="Closed-verified",O372=""),"Monitoring condition needs AIG-OPS-02 evidence ref",IF(AND(G372="Open",F372&lt;TODAY()),"OVERDUE (derived) — review",IF(G372="Unknown","State Unknown: owner to confirm","Check against source")))))))))))))))))))</f>
        <v/>
      </c>
      <c r="K372" s="37" t="n"/>
      <c r="L372" s="37" t="n"/>
      <c r="M372" s="38" t="n"/>
      <c r="N372" s="38" t="n"/>
      <c r="O372" s="38" t="n"/>
    </row>
    <row r="373">
      <c r="A373" s="40" t="n"/>
      <c r="B373" s="40" t="n"/>
      <c r="C373" s="40" t="n"/>
      <c r="D373" s="40" t="n"/>
      <c r="E373" s="40" t="n"/>
      <c r="F373" s="41" t="n"/>
      <c r="G373" s="40" t="n"/>
      <c r="H373" s="41" t="n"/>
      <c r="I373" s="40" t="n"/>
      <c r="J373" s="24">
        <f>IF(COUNTA(A373:I373,K373:O373)=0,"",IF(OR(A373="",B373="",C373=""),"ID / parent missing",IF(COUNTIF($A$4:$A$553,A373)&gt;1,"Duplicate condition ID",IF(COUNTIF('Gate events'!$A$4:$A$553,B373)=0,"Event ID not found",IF(INDEX('Gate events'!$B$4:$B$553,MATCH(B373,'Gate events'!$A$4:$A$553,0))&lt;&gt;C373,"AIR-ID differs from event",IF(IF(INDEX('Gate events'!$P$4:$P$553,MATCH(B373,'Gate events'!$A$4:$A$553,0))="UC-ID specific",IF(OR(L373&lt;&gt;"UC-ID specific",K373=""),"Condition UC-ID required",IF(ISNUMBER(SEARCH(","&amp;SUBSTITUTE(K373," ","")&amp;",",","&amp;SUBSTITUTE(INDEX('Gate events'!$O$4:$O$553,MATCH(B373,'Gate events'!$A$4:$A$553,0))," ","")&amp;",")),"","UC-ID differs from decision")),IF(INDEX('Gate events'!$P$4:$P$553,MATCH(B373,'Gate events'!$A$4:$A$553,0))="Shared system baseline",IF(OR(L373&lt;&gt;"Shared system baseline",K373&lt;&gt;""),"Condition scope differs from decision",""),"Parent decision scope missing"))&lt;&gt;"",IF(INDEX('Gate events'!$P$4:$P$553,MATCH(B373,'Gate events'!$A$4:$A$553,0))="UC-ID specific",IF(OR(L373&lt;&gt;"UC-ID specific",K373=""),"Condition UC-ID required",IF(ISNUMBER(SEARCH(","&amp;SUBSTITUTE(K373," ","")&amp;",",","&amp;SUBSTITUTE(INDEX('Gate events'!$O$4:$O$553,MATCH(B373,'Gate events'!$A$4:$A$553,0))," ","")&amp;",")),"","UC-ID differs from decision")),IF(INDEX('Gate events'!$P$4:$P$553,MATCH(B373,'Gate events'!$A$4:$A$553,0))="Shared system baseline",IF(OR(L373&lt;&gt;"Shared system baseline",K373&lt;&gt;""),"Condition scope differs from decision",""),"Parent decision scope missing")),IF(OR(D373="",E373="",F373="",G373=""),"Condition, owner, due date or state missing",IF(NOT(ISNUMBER(F373)),"Due date is not a date",IF(OR(G373="Overdue",G373="Superseded"),"Legacy state — owner review (use the shared five states)",IF(INDEX('Gate events'!$E$4:$E$553,MATCH(B373,'Gate events'!$A$4:$A$553,0))&lt;&gt;"Decision","Parent event is not a Decision",IF(AND(INDEX('Gate events'!$G$4:$G$553,MATCH(B373,'Gate events'!$A$4:$A$553,0))&lt;&gt;"Progress with condition",INDEX('Gate events'!$G$4:$G$553,MATCH(B373,'Gate events'!$A$4:$A$553,0))&lt;&gt;"Re-authorise",INDEX('Gate events'!$G$4:$G$553,MATCH(B373,'Gate events'!$A$4:$A$553,0))&lt;&gt;"Resume"),"Parent outcome is not Progress with condition / Re-authorise / Resume",IF(AND(ISNUMBER(INDEX('Gate events'!$F$4:$F$553,MATCH(B373,'Gate events'!$A$4:$A$553,0))),F373&lt;INDEX('Gate events'!$F$4:$F$553,MATCH(B373,'Gate events'!$A$4:$A$553,0))),"Due date before parent event date",IF(AND(OR(G373="Closed-verified",G373="Waived",G373="Accepted-open"),OR(H373="",I373="")),"Closure evidence missing",IF(AND(H373&lt;&gt;"",NOT(ISNUMBER(H373))),"Closed / waived on is not a date",IF(AND(ISNUMBER(H373),ISNUMBER(INDEX('Gate events'!$F$4:$F$553,MATCH(B373,'Gate events'!$A$4:$A$553,0))),H373&lt;INDEX('Gate events'!$F$4:$F$553,MATCH(B373,'Gate events'!$A$4:$A$553,0))),"Closure date before parent event date",IF(AND(G373="Closed-verified",M373=""),"Verifier / date missing",IF(AND(N373="Yes",G373="Closed-verified",O373=""),"Monitoring condition needs AIG-OPS-02 evidence ref",IF(AND(G373="Open",F373&lt;TODAY()),"OVERDUE (derived) — review",IF(G373="Unknown","State Unknown: owner to confirm","Check against source")))))))))))))))))))</f>
        <v/>
      </c>
      <c r="K373" s="37" t="n"/>
      <c r="L373" s="37" t="n"/>
      <c r="M373" s="40" t="n"/>
      <c r="N373" s="40" t="n"/>
      <c r="O373" s="40" t="n"/>
    </row>
    <row r="374">
      <c r="A374" s="38" t="n"/>
      <c r="B374" s="38" t="n"/>
      <c r="C374" s="38" t="n"/>
      <c r="D374" s="38" t="n"/>
      <c r="E374" s="38" t="n"/>
      <c r="F374" s="39" t="n"/>
      <c r="G374" s="38" t="n"/>
      <c r="H374" s="39" t="n"/>
      <c r="I374" s="38" t="n"/>
      <c r="J374" s="22">
        <f>IF(COUNTA(A374:I374,K374:O374)=0,"",IF(OR(A374="",B374="",C374=""),"ID / parent missing",IF(COUNTIF($A$4:$A$553,A374)&gt;1,"Duplicate condition ID",IF(COUNTIF('Gate events'!$A$4:$A$553,B374)=0,"Event ID not found",IF(INDEX('Gate events'!$B$4:$B$553,MATCH(B374,'Gate events'!$A$4:$A$553,0))&lt;&gt;C374,"AIR-ID differs from event",IF(IF(INDEX('Gate events'!$P$4:$P$553,MATCH(B374,'Gate events'!$A$4:$A$553,0))="UC-ID specific",IF(OR(L374&lt;&gt;"UC-ID specific",K374=""),"Condition UC-ID required",IF(ISNUMBER(SEARCH(","&amp;SUBSTITUTE(K374," ","")&amp;",",","&amp;SUBSTITUTE(INDEX('Gate events'!$O$4:$O$553,MATCH(B374,'Gate events'!$A$4:$A$553,0))," ","")&amp;",")),"","UC-ID differs from decision")),IF(INDEX('Gate events'!$P$4:$P$553,MATCH(B374,'Gate events'!$A$4:$A$553,0))="Shared system baseline",IF(OR(L374&lt;&gt;"Shared system baseline",K374&lt;&gt;""),"Condition scope differs from decision",""),"Parent decision scope missing"))&lt;&gt;"",IF(INDEX('Gate events'!$P$4:$P$553,MATCH(B374,'Gate events'!$A$4:$A$553,0))="UC-ID specific",IF(OR(L374&lt;&gt;"UC-ID specific",K374=""),"Condition UC-ID required",IF(ISNUMBER(SEARCH(","&amp;SUBSTITUTE(K374," ","")&amp;",",","&amp;SUBSTITUTE(INDEX('Gate events'!$O$4:$O$553,MATCH(B374,'Gate events'!$A$4:$A$553,0))," ","")&amp;",")),"","UC-ID differs from decision")),IF(INDEX('Gate events'!$P$4:$P$553,MATCH(B374,'Gate events'!$A$4:$A$553,0))="Shared system baseline",IF(OR(L374&lt;&gt;"Shared system baseline",K374&lt;&gt;""),"Condition scope differs from decision",""),"Parent decision scope missing")),IF(OR(D374="",E374="",F374="",G374=""),"Condition, owner, due date or state missing",IF(NOT(ISNUMBER(F374)),"Due date is not a date",IF(OR(G374="Overdue",G374="Superseded"),"Legacy state — owner review (use the shared five states)",IF(INDEX('Gate events'!$E$4:$E$553,MATCH(B374,'Gate events'!$A$4:$A$553,0))&lt;&gt;"Decision","Parent event is not a Decision",IF(AND(INDEX('Gate events'!$G$4:$G$553,MATCH(B374,'Gate events'!$A$4:$A$553,0))&lt;&gt;"Progress with condition",INDEX('Gate events'!$G$4:$G$553,MATCH(B374,'Gate events'!$A$4:$A$553,0))&lt;&gt;"Re-authorise",INDEX('Gate events'!$G$4:$G$553,MATCH(B374,'Gate events'!$A$4:$A$553,0))&lt;&gt;"Resume"),"Parent outcome is not Progress with condition / Re-authorise / Resume",IF(AND(ISNUMBER(INDEX('Gate events'!$F$4:$F$553,MATCH(B374,'Gate events'!$A$4:$A$553,0))),F374&lt;INDEX('Gate events'!$F$4:$F$553,MATCH(B374,'Gate events'!$A$4:$A$553,0))),"Due date before parent event date",IF(AND(OR(G374="Closed-verified",G374="Waived",G374="Accepted-open"),OR(H374="",I374="")),"Closure evidence missing",IF(AND(H374&lt;&gt;"",NOT(ISNUMBER(H374))),"Closed / waived on is not a date",IF(AND(ISNUMBER(H374),ISNUMBER(INDEX('Gate events'!$F$4:$F$553,MATCH(B374,'Gate events'!$A$4:$A$553,0))),H374&lt;INDEX('Gate events'!$F$4:$F$553,MATCH(B374,'Gate events'!$A$4:$A$553,0))),"Closure date before parent event date",IF(AND(G374="Closed-verified",M374=""),"Verifier / date missing",IF(AND(N374="Yes",G374="Closed-verified",O374=""),"Monitoring condition needs AIG-OPS-02 evidence ref",IF(AND(G374="Open",F374&lt;TODAY()),"OVERDUE (derived) — review",IF(G374="Unknown","State Unknown: owner to confirm","Check against source")))))))))))))))))))</f>
        <v/>
      </c>
      <c r="K374" s="37" t="n"/>
      <c r="L374" s="37" t="n"/>
      <c r="M374" s="38" t="n"/>
      <c r="N374" s="38" t="n"/>
      <c r="O374" s="38" t="n"/>
    </row>
    <row r="375">
      <c r="A375" s="40" t="n"/>
      <c r="B375" s="40" t="n"/>
      <c r="C375" s="40" t="n"/>
      <c r="D375" s="40" t="n"/>
      <c r="E375" s="40" t="n"/>
      <c r="F375" s="41" t="n"/>
      <c r="G375" s="40" t="n"/>
      <c r="H375" s="41" t="n"/>
      <c r="I375" s="40" t="n"/>
      <c r="J375" s="24">
        <f>IF(COUNTA(A375:I375,K375:O375)=0,"",IF(OR(A375="",B375="",C375=""),"ID / parent missing",IF(COUNTIF($A$4:$A$553,A375)&gt;1,"Duplicate condition ID",IF(COUNTIF('Gate events'!$A$4:$A$553,B375)=0,"Event ID not found",IF(INDEX('Gate events'!$B$4:$B$553,MATCH(B375,'Gate events'!$A$4:$A$553,0))&lt;&gt;C375,"AIR-ID differs from event",IF(IF(INDEX('Gate events'!$P$4:$P$553,MATCH(B375,'Gate events'!$A$4:$A$553,0))="UC-ID specific",IF(OR(L375&lt;&gt;"UC-ID specific",K375=""),"Condition UC-ID required",IF(ISNUMBER(SEARCH(","&amp;SUBSTITUTE(K375," ","")&amp;",",","&amp;SUBSTITUTE(INDEX('Gate events'!$O$4:$O$553,MATCH(B375,'Gate events'!$A$4:$A$553,0))," ","")&amp;",")),"","UC-ID differs from decision")),IF(INDEX('Gate events'!$P$4:$P$553,MATCH(B375,'Gate events'!$A$4:$A$553,0))="Shared system baseline",IF(OR(L375&lt;&gt;"Shared system baseline",K375&lt;&gt;""),"Condition scope differs from decision",""),"Parent decision scope missing"))&lt;&gt;"",IF(INDEX('Gate events'!$P$4:$P$553,MATCH(B375,'Gate events'!$A$4:$A$553,0))="UC-ID specific",IF(OR(L375&lt;&gt;"UC-ID specific",K375=""),"Condition UC-ID required",IF(ISNUMBER(SEARCH(","&amp;SUBSTITUTE(K375," ","")&amp;",",","&amp;SUBSTITUTE(INDEX('Gate events'!$O$4:$O$553,MATCH(B375,'Gate events'!$A$4:$A$553,0))," ","")&amp;",")),"","UC-ID differs from decision")),IF(INDEX('Gate events'!$P$4:$P$553,MATCH(B375,'Gate events'!$A$4:$A$553,0))="Shared system baseline",IF(OR(L375&lt;&gt;"Shared system baseline",K375&lt;&gt;""),"Condition scope differs from decision",""),"Parent decision scope missing")),IF(OR(D375="",E375="",F375="",G375=""),"Condition, owner, due date or state missing",IF(NOT(ISNUMBER(F375)),"Due date is not a date",IF(OR(G375="Overdue",G375="Superseded"),"Legacy state — owner review (use the shared five states)",IF(INDEX('Gate events'!$E$4:$E$553,MATCH(B375,'Gate events'!$A$4:$A$553,0))&lt;&gt;"Decision","Parent event is not a Decision",IF(AND(INDEX('Gate events'!$G$4:$G$553,MATCH(B375,'Gate events'!$A$4:$A$553,0))&lt;&gt;"Progress with condition",INDEX('Gate events'!$G$4:$G$553,MATCH(B375,'Gate events'!$A$4:$A$553,0))&lt;&gt;"Re-authorise",INDEX('Gate events'!$G$4:$G$553,MATCH(B375,'Gate events'!$A$4:$A$553,0))&lt;&gt;"Resume"),"Parent outcome is not Progress with condition / Re-authorise / Resume",IF(AND(ISNUMBER(INDEX('Gate events'!$F$4:$F$553,MATCH(B375,'Gate events'!$A$4:$A$553,0))),F375&lt;INDEX('Gate events'!$F$4:$F$553,MATCH(B375,'Gate events'!$A$4:$A$553,0))),"Due date before parent event date",IF(AND(OR(G375="Closed-verified",G375="Waived",G375="Accepted-open"),OR(H375="",I375="")),"Closure evidence missing",IF(AND(H375&lt;&gt;"",NOT(ISNUMBER(H375))),"Closed / waived on is not a date",IF(AND(ISNUMBER(H375),ISNUMBER(INDEX('Gate events'!$F$4:$F$553,MATCH(B375,'Gate events'!$A$4:$A$553,0))),H375&lt;INDEX('Gate events'!$F$4:$F$553,MATCH(B375,'Gate events'!$A$4:$A$553,0))),"Closure date before parent event date",IF(AND(G375="Closed-verified",M375=""),"Verifier / date missing",IF(AND(N375="Yes",G375="Closed-verified",O375=""),"Monitoring condition needs AIG-OPS-02 evidence ref",IF(AND(G375="Open",F375&lt;TODAY()),"OVERDUE (derived) — review",IF(G375="Unknown","State Unknown: owner to confirm","Check against source")))))))))))))))))))</f>
        <v/>
      </c>
      <c r="K375" s="37" t="n"/>
      <c r="L375" s="37" t="n"/>
      <c r="M375" s="40" t="n"/>
      <c r="N375" s="40" t="n"/>
      <c r="O375" s="40" t="n"/>
    </row>
    <row r="376">
      <c r="A376" s="38" t="n"/>
      <c r="B376" s="38" t="n"/>
      <c r="C376" s="38" t="n"/>
      <c r="D376" s="38" t="n"/>
      <c r="E376" s="38" t="n"/>
      <c r="F376" s="39" t="n"/>
      <c r="G376" s="38" t="n"/>
      <c r="H376" s="39" t="n"/>
      <c r="I376" s="38" t="n"/>
      <c r="J376" s="22">
        <f>IF(COUNTA(A376:I376,K376:O376)=0,"",IF(OR(A376="",B376="",C376=""),"ID / parent missing",IF(COUNTIF($A$4:$A$553,A376)&gt;1,"Duplicate condition ID",IF(COUNTIF('Gate events'!$A$4:$A$553,B376)=0,"Event ID not found",IF(INDEX('Gate events'!$B$4:$B$553,MATCH(B376,'Gate events'!$A$4:$A$553,0))&lt;&gt;C376,"AIR-ID differs from event",IF(IF(INDEX('Gate events'!$P$4:$P$553,MATCH(B376,'Gate events'!$A$4:$A$553,0))="UC-ID specific",IF(OR(L376&lt;&gt;"UC-ID specific",K376=""),"Condition UC-ID required",IF(ISNUMBER(SEARCH(","&amp;SUBSTITUTE(K376," ","")&amp;",",","&amp;SUBSTITUTE(INDEX('Gate events'!$O$4:$O$553,MATCH(B376,'Gate events'!$A$4:$A$553,0))," ","")&amp;",")),"","UC-ID differs from decision")),IF(INDEX('Gate events'!$P$4:$P$553,MATCH(B376,'Gate events'!$A$4:$A$553,0))="Shared system baseline",IF(OR(L376&lt;&gt;"Shared system baseline",K376&lt;&gt;""),"Condition scope differs from decision",""),"Parent decision scope missing"))&lt;&gt;"",IF(INDEX('Gate events'!$P$4:$P$553,MATCH(B376,'Gate events'!$A$4:$A$553,0))="UC-ID specific",IF(OR(L376&lt;&gt;"UC-ID specific",K376=""),"Condition UC-ID required",IF(ISNUMBER(SEARCH(","&amp;SUBSTITUTE(K376," ","")&amp;",",","&amp;SUBSTITUTE(INDEX('Gate events'!$O$4:$O$553,MATCH(B376,'Gate events'!$A$4:$A$553,0))," ","")&amp;",")),"","UC-ID differs from decision")),IF(INDEX('Gate events'!$P$4:$P$553,MATCH(B376,'Gate events'!$A$4:$A$553,0))="Shared system baseline",IF(OR(L376&lt;&gt;"Shared system baseline",K376&lt;&gt;""),"Condition scope differs from decision",""),"Parent decision scope missing")),IF(OR(D376="",E376="",F376="",G376=""),"Condition, owner, due date or state missing",IF(NOT(ISNUMBER(F376)),"Due date is not a date",IF(OR(G376="Overdue",G376="Superseded"),"Legacy state — owner review (use the shared five states)",IF(INDEX('Gate events'!$E$4:$E$553,MATCH(B376,'Gate events'!$A$4:$A$553,0))&lt;&gt;"Decision","Parent event is not a Decision",IF(AND(INDEX('Gate events'!$G$4:$G$553,MATCH(B376,'Gate events'!$A$4:$A$553,0))&lt;&gt;"Progress with condition",INDEX('Gate events'!$G$4:$G$553,MATCH(B376,'Gate events'!$A$4:$A$553,0))&lt;&gt;"Re-authorise",INDEX('Gate events'!$G$4:$G$553,MATCH(B376,'Gate events'!$A$4:$A$553,0))&lt;&gt;"Resume"),"Parent outcome is not Progress with condition / Re-authorise / Resume",IF(AND(ISNUMBER(INDEX('Gate events'!$F$4:$F$553,MATCH(B376,'Gate events'!$A$4:$A$553,0))),F376&lt;INDEX('Gate events'!$F$4:$F$553,MATCH(B376,'Gate events'!$A$4:$A$553,0))),"Due date before parent event date",IF(AND(OR(G376="Closed-verified",G376="Waived",G376="Accepted-open"),OR(H376="",I376="")),"Closure evidence missing",IF(AND(H376&lt;&gt;"",NOT(ISNUMBER(H376))),"Closed / waived on is not a date",IF(AND(ISNUMBER(H376),ISNUMBER(INDEX('Gate events'!$F$4:$F$553,MATCH(B376,'Gate events'!$A$4:$A$553,0))),H376&lt;INDEX('Gate events'!$F$4:$F$553,MATCH(B376,'Gate events'!$A$4:$A$553,0))),"Closure date before parent event date",IF(AND(G376="Closed-verified",M376=""),"Verifier / date missing",IF(AND(N376="Yes",G376="Closed-verified",O376=""),"Monitoring condition needs AIG-OPS-02 evidence ref",IF(AND(G376="Open",F376&lt;TODAY()),"OVERDUE (derived) — review",IF(G376="Unknown","State Unknown: owner to confirm","Check against source")))))))))))))))))))</f>
        <v/>
      </c>
      <c r="K376" s="37" t="n"/>
      <c r="L376" s="37" t="n"/>
      <c r="M376" s="38" t="n"/>
      <c r="N376" s="38" t="n"/>
      <c r="O376" s="38" t="n"/>
    </row>
    <row r="377">
      <c r="A377" s="40" t="n"/>
      <c r="B377" s="40" t="n"/>
      <c r="C377" s="40" t="n"/>
      <c r="D377" s="40" t="n"/>
      <c r="E377" s="40" t="n"/>
      <c r="F377" s="41" t="n"/>
      <c r="G377" s="40" t="n"/>
      <c r="H377" s="41" t="n"/>
      <c r="I377" s="40" t="n"/>
      <c r="J377" s="24">
        <f>IF(COUNTA(A377:I377,K377:O377)=0,"",IF(OR(A377="",B377="",C377=""),"ID / parent missing",IF(COUNTIF($A$4:$A$553,A377)&gt;1,"Duplicate condition ID",IF(COUNTIF('Gate events'!$A$4:$A$553,B377)=0,"Event ID not found",IF(INDEX('Gate events'!$B$4:$B$553,MATCH(B377,'Gate events'!$A$4:$A$553,0))&lt;&gt;C377,"AIR-ID differs from event",IF(IF(INDEX('Gate events'!$P$4:$P$553,MATCH(B377,'Gate events'!$A$4:$A$553,0))="UC-ID specific",IF(OR(L377&lt;&gt;"UC-ID specific",K377=""),"Condition UC-ID required",IF(ISNUMBER(SEARCH(","&amp;SUBSTITUTE(K377," ","")&amp;",",","&amp;SUBSTITUTE(INDEX('Gate events'!$O$4:$O$553,MATCH(B377,'Gate events'!$A$4:$A$553,0))," ","")&amp;",")),"","UC-ID differs from decision")),IF(INDEX('Gate events'!$P$4:$P$553,MATCH(B377,'Gate events'!$A$4:$A$553,0))="Shared system baseline",IF(OR(L377&lt;&gt;"Shared system baseline",K377&lt;&gt;""),"Condition scope differs from decision",""),"Parent decision scope missing"))&lt;&gt;"",IF(INDEX('Gate events'!$P$4:$P$553,MATCH(B377,'Gate events'!$A$4:$A$553,0))="UC-ID specific",IF(OR(L377&lt;&gt;"UC-ID specific",K377=""),"Condition UC-ID required",IF(ISNUMBER(SEARCH(","&amp;SUBSTITUTE(K377," ","")&amp;",",","&amp;SUBSTITUTE(INDEX('Gate events'!$O$4:$O$553,MATCH(B377,'Gate events'!$A$4:$A$553,0))," ","")&amp;",")),"","UC-ID differs from decision")),IF(INDEX('Gate events'!$P$4:$P$553,MATCH(B377,'Gate events'!$A$4:$A$553,0))="Shared system baseline",IF(OR(L377&lt;&gt;"Shared system baseline",K377&lt;&gt;""),"Condition scope differs from decision",""),"Parent decision scope missing")),IF(OR(D377="",E377="",F377="",G377=""),"Condition, owner, due date or state missing",IF(NOT(ISNUMBER(F377)),"Due date is not a date",IF(OR(G377="Overdue",G377="Superseded"),"Legacy state — owner review (use the shared five states)",IF(INDEX('Gate events'!$E$4:$E$553,MATCH(B377,'Gate events'!$A$4:$A$553,0))&lt;&gt;"Decision","Parent event is not a Decision",IF(AND(INDEX('Gate events'!$G$4:$G$553,MATCH(B377,'Gate events'!$A$4:$A$553,0))&lt;&gt;"Progress with condition",INDEX('Gate events'!$G$4:$G$553,MATCH(B377,'Gate events'!$A$4:$A$553,0))&lt;&gt;"Re-authorise",INDEX('Gate events'!$G$4:$G$553,MATCH(B377,'Gate events'!$A$4:$A$553,0))&lt;&gt;"Resume"),"Parent outcome is not Progress with condition / Re-authorise / Resume",IF(AND(ISNUMBER(INDEX('Gate events'!$F$4:$F$553,MATCH(B377,'Gate events'!$A$4:$A$553,0))),F377&lt;INDEX('Gate events'!$F$4:$F$553,MATCH(B377,'Gate events'!$A$4:$A$553,0))),"Due date before parent event date",IF(AND(OR(G377="Closed-verified",G377="Waived",G377="Accepted-open"),OR(H377="",I377="")),"Closure evidence missing",IF(AND(H377&lt;&gt;"",NOT(ISNUMBER(H377))),"Closed / waived on is not a date",IF(AND(ISNUMBER(H377),ISNUMBER(INDEX('Gate events'!$F$4:$F$553,MATCH(B377,'Gate events'!$A$4:$A$553,0))),H377&lt;INDEX('Gate events'!$F$4:$F$553,MATCH(B377,'Gate events'!$A$4:$A$553,0))),"Closure date before parent event date",IF(AND(G377="Closed-verified",M377=""),"Verifier / date missing",IF(AND(N377="Yes",G377="Closed-verified",O377=""),"Monitoring condition needs AIG-OPS-02 evidence ref",IF(AND(G377="Open",F377&lt;TODAY()),"OVERDUE (derived) — review",IF(G377="Unknown","State Unknown: owner to confirm","Check against source")))))))))))))))))))</f>
        <v/>
      </c>
      <c r="K377" s="37" t="n"/>
      <c r="L377" s="37" t="n"/>
      <c r="M377" s="40" t="n"/>
      <c r="N377" s="40" t="n"/>
      <c r="O377" s="40" t="n"/>
    </row>
    <row r="378">
      <c r="A378" s="38" t="n"/>
      <c r="B378" s="38" t="n"/>
      <c r="C378" s="38" t="n"/>
      <c r="D378" s="38" t="n"/>
      <c r="E378" s="38" t="n"/>
      <c r="F378" s="39" t="n"/>
      <c r="G378" s="38" t="n"/>
      <c r="H378" s="39" t="n"/>
      <c r="I378" s="38" t="n"/>
      <c r="J378" s="22">
        <f>IF(COUNTA(A378:I378,K378:O378)=0,"",IF(OR(A378="",B378="",C378=""),"ID / parent missing",IF(COUNTIF($A$4:$A$553,A378)&gt;1,"Duplicate condition ID",IF(COUNTIF('Gate events'!$A$4:$A$553,B378)=0,"Event ID not found",IF(INDEX('Gate events'!$B$4:$B$553,MATCH(B378,'Gate events'!$A$4:$A$553,0))&lt;&gt;C378,"AIR-ID differs from event",IF(IF(INDEX('Gate events'!$P$4:$P$553,MATCH(B378,'Gate events'!$A$4:$A$553,0))="UC-ID specific",IF(OR(L378&lt;&gt;"UC-ID specific",K378=""),"Condition UC-ID required",IF(ISNUMBER(SEARCH(","&amp;SUBSTITUTE(K378," ","")&amp;",",","&amp;SUBSTITUTE(INDEX('Gate events'!$O$4:$O$553,MATCH(B378,'Gate events'!$A$4:$A$553,0))," ","")&amp;",")),"","UC-ID differs from decision")),IF(INDEX('Gate events'!$P$4:$P$553,MATCH(B378,'Gate events'!$A$4:$A$553,0))="Shared system baseline",IF(OR(L378&lt;&gt;"Shared system baseline",K378&lt;&gt;""),"Condition scope differs from decision",""),"Parent decision scope missing"))&lt;&gt;"",IF(INDEX('Gate events'!$P$4:$P$553,MATCH(B378,'Gate events'!$A$4:$A$553,0))="UC-ID specific",IF(OR(L378&lt;&gt;"UC-ID specific",K378=""),"Condition UC-ID required",IF(ISNUMBER(SEARCH(","&amp;SUBSTITUTE(K378," ","")&amp;",",","&amp;SUBSTITUTE(INDEX('Gate events'!$O$4:$O$553,MATCH(B378,'Gate events'!$A$4:$A$553,0))," ","")&amp;",")),"","UC-ID differs from decision")),IF(INDEX('Gate events'!$P$4:$P$553,MATCH(B378,'Gate events'!$A$4:$A$553,0))="Shared system baseline",IF(OR(L378&lt;&gt;"Shared system baseline",K378&lt;&gt;""),"Condition scope differs from decision",""),"Parent decision scope missing")),IF(OR(D378="",E378="",F378="",G378=""),"Condition, owner, due date or state missing",IF(NOT(ISNUMBER(F378)),"Due date is not a date",IF(OR(G378="Overdue",G378="Superseded"),"Legacy state — owner review (use the shared five states)",IF(INDEX('Gate events'!$E$4:$E$553,MATCH(B378,'Gate events'!$A$4:$A$553,0))&lt;&gt;"Decision","Parent event is not a Decision",IF(AND(INDEX('Gate events'!$G$4:$G$553,MATCH(B378,'Gate events'!$A$4:$A$553,0))&lt;&gt;"Progress with condition",INDEX('Gate events'!$G$4:$G$553,MATCH(B378,'Gate events'!$A$4:$A$553,0))&lt;&gt;"Re-authorise",INDEX('Gate events'!$G$4:$G$553,MATCH(B378,'Gate events'!$A$4:$A$553,0))&lt;&gt;"Resume"),"Parent outcome is not Progress with condition / Re-authorise / Resume",IF(AND(ISNUMBER(INDEX('Gate events'!$F$4:$F$553,MATCH(B378,'Gate events'!$A$4:$A$553,0))),F378&lt;INDEX('Gate events'!$F$4:$F$553,MATCH(B378,'Gate events'!$A$4:$A$553,0))),"Due date before parent event date",IF(AND(OR(G378="Closed-verified",G378="Waived",G378="Accepted-open"),OR(H378="",I378="")),"Closure evidence missing",IF(AND(H378&lt;&gt;"",NOT(ISNUMBER(H378))),"Closed / waived on is not a date",IF(AND(ISNUMBER(H378),ISNUMBER(INDEX('Gate events'!$F$4:$F$553,MATCH(B378,'Gate events'!$A$4:$A$553,0))),H378&lt;INDEX('Gate events'!$F$4:$F$553,MATCH(B378,'Gate events'!$A$4:$A$553,0))),"Closure date before parent event date",IF(AND(G378="Closed-verified",M378=""),"Verifier / date missing",IF(AND(N378="Yes",G378="Closed-verified",O378=""),"Monitoring condition needs AIG-OPS-02 evidence ref",IF(AND(G378="Open",F378&lt;TODAY()),"OVERDUE (derived) — review",IF(G378="Unknown","State Unknown: owner to confirm","Check against source")))))))))))))))))))</f>
        <v/>
      </c>
      <c r="K378" s="37" t="n"/>
      <c r="L378" s="37" t="n"/>
      <c r="M378" s="38" t="n"/>
      <c r="N378" s="38" t="n"/>
      <c r="O378" s="38" t="n"/>
    </row>
    <row r="379">
      <c r="A379" s="40" t="n"/>
      <c r="B379" s="40" t="n"/>
      <c r="C379" s="40" t="n"/>
      <c r="D379" s="40" t="n"/>
      <c r="E379" s="40" t="n"/>
      <c r="F379" s="41" t="n"/>
      <c r="G379" s="40" t="n"/>
      <c r="H379" s="41" t="n"/>
      <c r="I379" s="40" t="n"/>
      <c r="J379" s="24">
        <f>IF(COUNTA(A379:I379,K379:O379)=0,"",IF(OR(A379="",B379="",C379=""),"ID / parent missing",IF(COUNTIF($A$4:$A$553,A379)&gt;1,"Duplicate condition ID",IF(COUNTIF('Gate events'!$A$4:$A$553,B379)=0,"Event ID not found",IF(INDEX('Gate events'!$B$4:$B$553,MATCH(B379,'Gate events'!$A$4:$A$553,0))&lt;&gt;C379,"AIR-ID differs from event",IF(IF(INDEX('Gate events'!$P$4:$P$553,MATCH(B379,'Gate events'!$A$4:$A$553,0))="UC-ID specific",IF(OR(L379&lt;&gt;"UC-ID specific",K379=""),"Condition UC-ID required",IF(ISNUMBER(SEARCH(","&amp;SUBSTITUTE(K379," ","")&amp;",",","&amp;SUBSTITUTE(INDEX('Gate events'!$O$4:$O$553,MATCH(B379,'Gate events'!$A$4:$A$553,0))," ","")&amp;",")),"","UC-ID differs from decision")),IF(INDEX('Gate events'!$P$4:$P$553,MATCH(B379,'Gate events'!$A$4:$A$553,0))="Shared system baseline",IF(OR(L379&lt;&gt;"Shared system baseline",K379&lt;&gt;""),"Condition scope differs from decision",""),"Parent decision scope missing"))&lt;&gt;"",IF(INDEX('Gate events'!$P$4:$P$553,MATCH(B379,'Gate events'!$A$4:$A$553,0))="UC-ID specific",IF(OR(L379&lt;&gt;"UC-ID specific",K379=""),"Condition UC-ID required",IF(ISNUMBER(SEARCH(","&amp;SUBSTITUTE(K379," ","")&amp;",",","&amp;SUBSTITUTE(INDEX('Gate events'!$O$4:$O$553,MATCH(B379,'Gate events'!$A$4:$A$553,0))," ","")&amp;",")),"","UC-ID differs from decision")),IF(INDEX('Gate events'!$P$4:$P$553,MATCH(B379,'Gate events'!$A$4:$A$553,0))="Shared system baseline",IF(OR(L379&lt;&gt;"Shared system baseline",K379&lt;&gt;""),"Condition scope differs from decision",""),"Parent decision scope missing")),IF(OR(D379="",E379="",F379="",G379=""),"Condition, owner, due date or state missing",IF(NOT(ISNUMBER(F379)),"Due date is not a date",IF(OR(G379="Overdue",G379="Superseded"),"Legacy state — owner review (use the shared five states)",IF(INDEX('Gate events'!$E$4:$E$553,MATCH(B379,'Gate events'!$A$4:$A$553,0))&lt;&gt;"Decision","Parent event is not a Decision",IF(AND(INDEX('Gate events'!$G$4:$G$553,MATCH(B379,'Gate events'!$A$4:$A$553,0))&lt;&gt;"Progress with condition",INDEX('Gate events'!$G$4:$G$553,MATCH(B379,'Gate events'!$A$4:$A$553,0))&lt;&gt;"Re-authorise",INDEX('Gate events'!$G$4:$G$553,MATCH(B379,'Gate events'!$A$4:$A$553,0))&lt;&gt;"Resume"),"Parent outcome is not Progress with condition / Re-authorise / Resume",IF(AND(ISNUMBER(INDEX('Gate events'!$F$4:$F$553,MATCH(B379,'Gate events'!$A$4:$A$553,0))),F379&lt;INDEX('Gate events'!$F$4:$F$553,MATCH(B379,'Gate events'!$A$4:$A$553,0))),"Due date before parent event date",IF(AND(OR(G379="Closed-verified",G379="Waived",G379="Accepted-open"),OR(H379="",I379="")),"Closure evidence missing",IF(AND(H379&lt;&gt;"",NOT(ISNUMBER(H379))),"Closed / waived on is not a date",IF(AND(ISNUMBER(H379),ISNUMBER(INDEX('Gate events'!$F$4:$F$553,MATCH(B379,'Gate events'!$A$4:$A$553,0))),H379&lt;INDEX('Gate events'!$F$4:$F$553,MATCH(B379,'Gate events'!$A$4:$A$553,0))),"Closure date before parent event date",IF(AND(G379="Closed-verified",M379=""),"Verifier / date missing",IF(AND(N379="Yes",G379="Closed-verified",O379=""),"Monitoring condition needs AIG-OPS-02 evidence ref",IF(AND(G379="Open",F379&lt;TODAY()),"OVERDUE (derived) — review",IF(G379="Unknown","State Unknown: owner to confirm","Check against source")))))))))))))))))))</f>
        <v/>
      </c>
      <c r="K379" s="37" t="n"/>
      <c r="L379" s="37" t="n"/>
      <c r="M379" s="40" t="n"/>
      <c r="N379" s="40" t="n"/>
      <c r="O379" s="40" t="n"/>
    </row>
    <row r="380">
      <c r="A380" s="38" t="n"/>
      <c r="B380" s="38" t="n"/>
      <c r="C380" s="38" t="n"/>
      <c r="D380" s="38" t="n"/>
      <c r="E380" s="38" t="n"/>
      <c r="F380" s="39" t="n"/>
      <c r="G380" s="38" t="n"/>
      <c r="H380" s="39" t="n"/>
      <c r="I380" s="38" t="n"/>
      <c r="J380" s="22">
        <f>IF(COUNTA(A380:I380,K380:O380)=0,"",IF(OR(A380="",B380="",C380=""),"ID / parent missing",IF(COUNTIF($A$4:$A$553,A380)&gt;1,"Duplicate condition ID",IF(COUNTIF('Gate events'!$A$4:$A$553,B380)=0,"Event ID not found",IF(INDEX('Gate events'!$B$4:$B$553,MATCH(B380,'Gate events'!$A$4:$A$553,0))&lt;&gt;C380,"AIR-ID differs from event",IF(IF(INDEX('Gate events'!$P$4:$P$553,MATCH(B380,'Gate events'!$A$4:$A$553,0))="UC-ID specific",IF(OR(L380&lt;&gt;"UC-ID specific",K380=""),"Condition UC-ID required",IF(ISNUMBER(SEARCH(","&amp;SUBSTITUTE(K380," ","")&amp;",",","&amp;SUBSTITUTE(INDEX('Gate events'!$O$4:$O$553,MATCH(B380,'Gate events'!$A$4:$A$553,0))," ","")&amp;",")),"","UC-ID differs from decision")),IF(INDEX('Gate events'!$P$4:$P$553,MATCH(B380,'Gate events'!$A$4:$A$553,0))="Shared system baseline",IF(OR(L380&lt;&gt;"Shared system baseline",K380&lt;&gt;""),"Condition scope differs from decision",""),"Parent decision scope missing"))&lt;&gt;"",IF(INDEX('Gate events'!$P$4:$P$553,MATCH(B380,'Gate events'!$A$4:$A$553,0))="UC-ID specific",IF(OR(L380&lt;&gt;"UC-ID specific",K380=""),"Condition UC-ID required",IF(ISNUMBER(SEARCH(","&amp;SUBSTITUTE(K380," ","")&amp;",",","&amp;SUBSTITUTE(INDEX('Gate events'!$O$4:$O$553,MATCH(B380,'Gate events'!$A$4:$A$553,0))," ","")&amp;",")),"","UC-ID differs from decision")),IF(INDEX('Gate events'!$P$4:$P$553,MATCH(B380,'Gate events'!$A$4:$A$553,0))="Shared system baseline",IF(OR(L380&lt;&gt;"Shared system baseline",K380&lt;&gt;""),"Condition scope differs from decision",""),"Parent decision scope missing")),IF(OR(D380="",E380="",F380="",G380=""),"Condition, owner, due date or state missing",IF(NOT(ISNUMBER(F380)),"Due date is not a date",IF(OR(G380="Overdue",G380="Superseded"),"Legacy state — owner review (use the shared five states)",IF(INDEX('Gate events'!$E$4:$E$553,MATCH(B380,'Gate events'!$A$4:$A$553,0))&lt;&gt;"Decision","Parent event is not a Decision",IF(AND(INDEX('Gate events'!$G$4:$G$553,MATCH(B380,'Gate events'!$A$4:$A$553,0))&lt;&gt;"Progress with condition",INDEX('Gate events'!$G$4:$G$553,MATCH(B380,'Gate events'!$A$4:$A$553,0))&lt;&gt;"Re-authorise",INDEX('Gate events'!$G$4:$G$553,MATCH(B380,'Gate events'!$A$4:$A$553,0))&lt;&gt;"Resume"),"Parent outcome is not Progress with condition / Re-authorise / Resume",IF(AND(ISNUMBER(INDEX('Gate events'!$F$4:$F$553,MATCH(B380,'Gate events'!$A$4:$A$553,0))),F380&lt;INDEX('Gate events'!$F$4:$F$553,MATCH(B380,'Gate events'!$A$4:$A$553,0))),"Due date before parent event date",IF(AND(OR(G380="Closed-verified",G380="Waived",G380="Accepted-open"),OR(H380="",I380="")),"Closure evidence missing",IF(AND(H380&lt;&gt;"",NOT(ISNUMBER(H380))),"Closed / waived on is not a date",IF(AND(ISNUMBER(H380),ISNUMBER(INDEX('Gate events'!$F$4:$F$553,MATCH(B380,'Gate events'!$A$4:$A$553,0))),H380&lt;INDEX('Gate events'!$F$4:$F$553,MATCH(B380,'Gate events'!$A$4:$A$553,0))),"Closure date before parent event date",IF(AND(G380="Closed-verified",M380=""),"Verifier / date missing",IF(AND(N380="Yes",G380="Closed-verified",O380=""),"Monitoring condition needs AIG-OPS-02 evidence ref",IF(AND(G380="Open",F380&lt;TODAY()),"OVERDUE (derived) — review",IF(G380="Unknown","State Unknown: owner to confirm","Check against source")))))))))))))))))))</f>
        <v/>
      </c>
      <c r="K380" s="37" t="n"/>
      <c r="L380" s="37" t="n"/>
      <c r="M380" s="38" t="n"/>
      <c r="N380" s="38" t="n"/>
      <c r="O380" s="38" t="n"/>
    </row>
    <row r="381">
      <c r="A381" s="40" t="n"/>
      <c r="B381" s="40" t="n"/>
      <c r="C381" s="40" t="n"/>
      <c r="D381" s="40" t="n"/>
      <c r="E381" s="40" t="n"/>
      <c r="F381" s="41" t="n"/>
      <c r="G381" s="40" t="n"/>
      <c r="H381" s="41" t="n"/>
      <c r="I381" s="40" t="n"/>
      <c r="J381" s="24">
        <f>IF(COUNTA(A381:I381,K381:O381)=0,"",IF(OR(A381="",B381="",C381=""),"ID / parent missing",IF(COUNTIF($A$4:$A$553,A381)&gt;1,"Duplicate condition ID",IF(COUNTIF('Gate events'!$A$4:$A$553,B381)=0,"Event ID not found",IF(INDEX('Gate events'!$B$4:$B$553,MATCH(B381,'Gate events'!$A$4:$A$553,0))&lt;&gt;C381,"AIR-ID differs from event",IF(IF(INDEX('Gate events'!$P$4:$P$553,MATCH(B381,'Gate events'!$A$4:$A$553,0))="UC-ID specific",IF(OR(L381&lt;&gt;"UC-ID specific",K381=""),"Condition UC-ID required",IF(ISNUMBER(SEARCH(","&amp;SUBSTITUTE(K381," ","")&amp;",",","&amp;SUBSTITUTE(INDEX('Gate events'!$O$4:$O$553,MATCH(B381,'Gate events'!$A$4:$A$553,0))," ","")&amp;",")),"","UC-ID differs from decision")),IF(INDEX('Gate events'!$P$4:$P$553,MATCH(B381,'Gate events'!$A$4:$A$553,0))="Shared system baseline",IF(OR(L381&lt;&gt;"Shared system baseline",K381&lt;&gt;""),"Condition scope differs from decision",""),"Parent decision scope missing"))&lt;&gt;"",IF(INDEX('Gate events'!$P$4:$P$553,MATCH(B381,'Gate events'!$A$4:$A$553,0))="UC-ID specific",IF(OR(L381&lt;&gt;"UC-ID specific",K381=""),"Condition UC-ID required",IF(ISNUMBER(SEARCH(","&amp;SUBSTITUTE(K381," ","")&amp;",",","&amp;SUBSTITUTE(INDEX('Gate events'!$O$4:$O$553,MATCH(B381,'Gate events'!$A$4:$A$553,0))," ","")&amp;",")),"","UC-ID differs from decision")),IF(INDEX('Gate events'!$P$4:$P$553,MATCH(B381,'Gate events'!$A$4:$A$553,0))="Shared system baseline",IF(OR(L381&lt;&gt;"Shared system baseline",K381&lt;&gt;""),"Condition scope differs from decision",""),"Parent decision scope missing")),IF(OR(D381="",E381="",F381="",G381=""),"Condition, owner, due date or state missing",IF(NOT(ISNUMBER(F381)),"Due date is not a date",IF(OR(G381="Overdue",G381="Superseded"),"Legacy state — owner review (use the shared five states)",IF(INDEX('Gate events'!$E$4:$E$553,MATCH(B381,'Gate events'!$A$4:$A$553,0))&lt;&gt;"Decision","Parent event is not a Decision",IF(AND(INDEX('Gate events'!$G$4:$G$553,MATCH(B381,'Gate events'!$A$4:$A$553,0))&lt;&gt;"Progress with condition",INDEX('Gate events'!$G$4:$G$553,MATCH(B381,'Gate events'!$A$4:$A$553,0))&lt;&gt;"Re-authorise",INDEX('Gate events'!$G$4:$G$553,MATCH(B381,'Gate events'!$A$4:$A$553,0))&lt;&gt;"Resume"),"Parent outcome is not Progress with condition / Re-authorise / Resume",IF(AND(ISNUMBER(INDEX('Gate events'!$F$4:$F$553,MATCH(B381,'Gate events'!$A$4:$A$553,0))),F381&lt;INDEX('Gate events'!$F$4:$F$553,MATCH(B381,'Gate events'!$A$4:$A$553,0))),"Due date before parent event date",IF(AND(OR(G381="Closed-verified",G381="Waived",G381="Accepted-open"),OR(H381="",I381="")),"Closure evidence missing",IF(AND(H381&lt;&gt;"",NOT(ISNUMBER(H381))),"Closed / waived on is not a date",IF(AND(ISNUMBER(H381),ISNUMBER(INDEX('Gate events'!$F$4:$F$553,MATCH(B381,'Gate events'!$A$4:$A$553,0))),H381&lt;INDEX('Gate events'!$F$4:$F$553,MATCH(B381,'Gate events'!$A$4:$A$553,0))),"Closure date before parent event date",IF(AND(G381="Closed-verified",M381=""),"Verifier / date missing",IF(AND(N381="Yes",G381="Closed-verified",O381=""),"Monitoring condition needs AIG-OPS-02 evidence ref",IF(AND(G381="Open",F381&lt;TODAY()),"OVERDUE (derived) — review",IF(G381="Unknown","State Unknown: owner to confirm","Check against source")))))))))))))))))))</f>
        <v/>
      </c>
      <c r="K381" s="37" t="n"/>
      <c r="L381" s="37" t="n"/>
      <c r="M381" s="40" t="n"/>
      <c r="N381" s="40" t="n"/>
      <c r="O381" s="40" t="n"/>
    </row>
    <row r="382">
      <c r="A382" s="38" t="n"/>
      <c r="B382" s="38" t="n"/>
      <c r="C382" s="38" t="n"/>
      <c r="D382" s="38" t="n"/>
      <c r="E382" s="38" t="n"/>
      <c r="F382" s="39" t="n"/>
      <c r="G382" s="38" t="n"/>
      <c r="H382" s="39" t="n"/>
      <c r="I382" s="38" t="n"/>
      <c r="J382" s="22">
        <f>IF(COUNTA(A382:I382,K382:O382)=0,"",IF(OR(A382="",B382="",C382=""),"ID / parent missing",IF(COUNTIF($A$4:$A$553,A382)&gt;1,"Duplicate condition ID",IF(COUNTIF('Gate events'!$A$4:$A$553,B382)=0,"Event ID not found",IF(INDEX('Gate events'!$B$4:$B$553,MATCH(B382,'Gate events'!$A$4:$A$553,0))&lt;&gt;C382,"AIR-ID differs from event",IF(IF(INDEX('Gate events'!$P$4:$P$553,MATCH(B382,'Gate events'!$A$4:$A$553,0))="UC-ID specific",IF(OR(L382&lt;&gt;"UC-ID specific",K382=""),"Condition UC-ID required",IF(ISNUMBER(SEARCH(","&amp;SUBSTITUTE(K382," ","")&amp;",",","&amp;SUBSTITUTE(INDEX('Gate events'!$O$4:$O$553,MATCH(B382,'Gate events'!$A$4:$A$553,0))," ","")&amp;",")),"","UC-ID differs from decision")),IF(INDEX('Gate events'!$P$4:$P$553,MATCH(B382,'Gate events'!$A$4:$A$553,0))="Shared system baseline",IF(OR(L382&lt;&gt;"Shared system baseline",K382&lt;&gt;""),"Condition scope differs from decision",""),"Parent decision scope missing"))&lt;&gt;"",IF(INDEX('Gate events'!$P$4:$P$553,MATCH(B382,'Gate events'!$A$4:$A$553,0))="UC-ID specific",IF(OR(L382&lt;&gt;"UC-ID specific",K382=""),"Condition UC-ID required",IF(ISNUMBER(SEARCH(","&amp;SUBSTITUTE(K382," ","")&amp;",",","&amp;SUBSTITUTE(INDEX('Gate events'!$O$4:$O$553,MATCH(B382,'Gate events'!$A$4:$A$553,0))," ","")&amp;",")),"","UC-ID differs from decision")),IF(INDEX('Gate events'!$P$4:$P$553,MATCH(B382,'Gate events'!$A$4:$A$553,0))="Shared system baseline",IF(OR(L382&lt;&gt;"Shared system baseline",K382&lt;&gt;""),"Condition scope differs from decision",""),"Parent decision scope missing")),IF(OR(D382="",E382="",F382="",G382=""),"Condition, owner, due date or state missing",IF(NOT(ISNUMBER(F382)),"Due date is not a date",IF(OR(G382="Overdue",G382="Superseded"),"Legacy state — owner review (use the shared five states)",IF(INDEX('Gate events'!$E$4:$E$553,MATCH(B382,'Gate events'!$A$4:$A$553,0))&lt;&gt;"Decision","Parent event is not a Decision",IF(AND(INDEX('Gate events'!$G$4:$G$553,MATCH(B382,'Gate events'!$A$4:$A$553,0))&lt;&gt;"Progress with condition",INDEX('Gate events'!$G$4:$G$553,MATCH(B382,'Gate events'!$A$4:$A$553,0))&lt;&gt;"Re-authorise",INDEX('Gate events'!$G$4:$G$553,MATCH(B382,'Gate events'!$A$4:$A$553,0))&lt;&gt;"Resume"),"Parent outcome is not Progress with condition / Re-authorise / Resume",IF(AND(ISNUMBER(INDEX('Gate events'!$F$4:$F$553,MATCH(B382,'Gate events'!$A$4:$A$553,0))),F382&lt;INDEX('Gate events'!$F$4:$F$553,MATCH(B382,'Gate events'!$A$4:$A$553,0))),"Due date before parent event date",IF(AND(OR(G382="Closed-verified",G382="Waived",G382="Accepted-open"),OR(H382="",I382="")),"Closure evidence missing",IF(AND(H382&lt;&gt;"",NOT(ISNUMBER(H382))),"Closed / waived on is not a date",IF(AND(ISNUMBER(H382),ISNUMBER(INDEX('Gate events'!$F$4:$F$553,MATCH(B382,'Gate events'!$A$4:$A$553,0))),H382&lt;INDEX('Gate events'!$F$4:$F$553,MATCH(B382,'Gate events'!$A$4:$A$553,0))),"Closure date before parent event date",IF(AND(G382="Closed-verified",M382=""),"Verifier / date missing",IF(AND(N382="Yes",G382="Closed-verified",O382=""),"Monitoring condition needs AIG-OPS-02 evidence ref",IF(AND(G382="Open",F382&lt;TODAY()),"OVERDUE (derived) — review",IF(G382="Unknown","State Unknown: owner to confirm","Check against source")))))))))))))))))))</f>
        <v/>
      </c>
      <c r="K382" s="37" t="n"/>
      <c r="L382" s="37" t="n"/>
      <c r="M382" s="38" t="n"/>
      <c r="N382" s="38" t="n"/>
      <c r="O382" s="38" t="n"/>
    </row>
    <row r="383">
      <c r="A383" s="40" t="n"/>
      <c r="B383" s="40" t="n"/>
      <c r="C383" s="40" t="n"/>
      <c r="D383" s="40" t="n"/>
      <c r="E383" s="40" t="n"/>
      <c r="F383" s="41" t="n"/>
      <c r="G383" s="40" t="n"/>
      <c r="H383" s="41" t="n"/>
      <c r="I383" s="40" t="n"/>
      <c r="J383" s="24">
        <f>IF(COUNTA(A383:I383,K383:O383)=0,"",IF(OR(A383="",B383="",C383=""),"ID / parent missing",IF(COUNTIF($A$4:$A$553,A383)&gt;1,"Duplicate condition ID",IF(COUNTIF('Gate events'!$A$4:$A$553,B383)=0,"Event ID not found",IF(INDEX('Gate events'!$B$4:$B$553,MATCH(B383,'Gate events'!$A$4:$A$553,0))&lt;&gt;C383,"AIR-ID differs from event",IF(IF(INDEX('Gate events'!$P$4:$P$553,MATCH(B383,'Gate events'!$A$4:$A$553,0))="UC-ID specific",IF(OR(L383&lt;&gt;"UC-ID specific",K383=""),"Condition UC-ID required",IF(ISNUMBER(SEARCH(","&amp;SUBSTITUTE(K383," ","")&amp;",",","&amp;SUBSTITUTE(INDEX('Gate events'!$O$4:$O$553,MATCH(B383,'Gate events'!$A$4:$A$553,0))," ","")&amp;",")),"","UC-ID differs from decision")),IF(INDEX('Gate events'!$P$4:$P$553,MATCH(B383,'Gate events'!$A$4:$A$553,0))="Shared system baseline",IF(OR(L383&lt;&gt;"Shared system baseline",K383&lt;&gt;""),"Condition scope differs from decision",""),"Parent decision scope missing"))&lt;&gt;"",IF(INDEX('Gate events'!$P$4:$P$553,MATCH(B383,'Gate events'!$A$4:$A$553,0))="UC-ID specific",IF(OR(L383&lt;&gt;"UC-ID specific",K383=""),"Condition UC-ID required",IF(ISNUMBER(SEARCH(","&amp;SUBSTITUTE(K383," ","")&amp;",",","&amp;SUBSTITUTE(INDEX('Gate events'!$O$4:$O$553,MATCH(B383,'Gate events'!$A$4:$A$553,0))," ","")&amp;",")),"","UC-ID differs from decision")),IF(INDEX('Gate events'!$P$4:$P$553,MATCH(B383,'Gate events'!$A$4:$A$553,0))="Shared system baseline",IF(OR(L383&lt;&gt;"Shared system baseline",K383&lt;&gt;""),"Condition scope differs from decision",""),"Parent decision scope missing")),IF(OR(D383="",E383="",F383="",G383=""),"Condition, owner, due date or state missing",IF(NOT(ISNUMBER(F383)),"Due date is not a date",IF(OR(G383="Overdue",G383="Superseded"),"Legacy state — owner review (use the shared five states)",IF(INDEX('Gate events'!$E$4:$E$553,MATCH(B383,'Gate events'!$A$4:$A$553,0))&lt;&gt;"Decision","Parent event is not a Decision",IF(AND(INDEX('Gate events'!$G$4:$G$553,MATCH(B383,'Gate events'!$A$4:$A$553,0))&lt;&gt;"Progress with condition",INDEX('Gate events'!$G$4:$G$553,MATCH(B383,'Gate events'!$A$4:$A$553,0))&lt;&gt;"Re-authorise",INDEX('Gate events'!$G$4:$G$553,MATCH(B383,'Gate events'!$A$4:$A$553,0))&lt;&gt;"Resume"),"Parent outcome is not Progress with condition / Re-authorise / Resume",IF(AND(ISNUMBER(INDEX('Gate events'!$F$4:$F$553,MATCH(B383,'Gate events'!$A$4:$A$553,0))),F383&lt;INDEX('Gate events'!$F$4:$F$553,MATCH(B383,'Gate events'!$A$4:$A$553,0))),"Due date before parent event date",IF(AND(OR(G383="Closed-verified",G383="Waived",G383="Accepted-open"),OR(H383="",I383="")),"Closure evidence missing",IF(AND(H383&lt;&gt;"",NOT(ISNUMBER(H383))),"Closed / waived on is not a date",IF(AND(ISNUMBER(H383),ISNUMBER(INDEX('Gate events'!$F$4:$F$553,MATCH(B383,'Gate events'!$A$4:$A$553,0))),H383&lt;INDEX('Gate events'!$F$4:$F$553,MATCH(B383,'Gate events'!$A$4:$A$553,0))),"Closure date before parent event date",IF(AND(G383="Closed-verified",M383=""),"Verifier / date missing",IF(AND(N383="Yes",G383="Closed-verified",O383=""),"Monitoring condition needs AIG-OPS-02 evidence ref",IF(AND(G383="Open",F383&lt;TODAY()),"OVERDUE (derived) — review",IF(G383="Unknown","State Unknown: owner to confirm","Check against source")))))))))))))))))))</f>
        <v/>
      </c>
      <c r="K383" s="37" t="n"/>
      <c r="L383" s="37" t="n"/>
      <c r="M383" s="40" t="n"/>
      <c r="N383" s="40" t="n"/>
      <c r="O383" s="40" t="n"/>
    </row>
    <row r="384">
      <c r="A384" s="38" t="n"/>
      <c r="B384" s="38" t="n"/>
      <c r="C384" s="38" t="n"/>
      <c r="D384" s="38" t="n"/>
      <c r="E384" s="38" t="n"/>
      <c r="F384" s="39" t="n"/>
      <c r="G384" s="38" t="n"/>
      <c r="H384" s="39" t="n"/>
      <c r="I384" s="38" t="n"/>
      <c r="J384" s="22">
        <f>IF(COUNTA(A384:I384,K384:O384)=0,"",IF(OR(A384="",B384="",C384=""),"ID / parent missing",IF(COUNTIF($A$4:$A$553,A384)&gt;1,"Duplicate condition ID",IF(COUNTIF('Gate events'!$A$4:$A$553,B384)=0,"Event ID not found",IF(INDEX('Gate events'!$B$4:$B$553,MATCH(B384,'Gate events'!$A$4:$A$553,0))&lt;&gt;C384,"AIR-ID differs from event",IF(IF(INDEX('Gate events'!$P$4:$P$553,MATCH(B384,'Gate events'!$A$4:$A$553,0))="UC-ID specific",IF(OR(L384&lt;&gt;"UC-ID specific",K384=""),"Condition UC-ID required",IF(ISNUMBER(SEARCH(","&amp;SUBSTITUTE(K384," ","")&amp;",",","&amp;SUBSTITUTE(INDEX('Gate events'!$O$4:$O$553,MATCH(B384,'Gate events'!$A$4:$A$553,0))," ","")&amp;",")),"","UC-ID differs from decision")),IF(INDEX('Gate events'!$P$4:$P$553,MATCH(B384,'Gate events'!$A$4:$A$553,0))="Shared system baseline",IF(OR(L384&lt;&gt;"Shared system baseline",K384&lt;&gt;""),"Condition scope differs from decision",""),"Parent decision scope missing"))&lt;&gt;"",IF(INDEX('Gate events'!$P$4:$P$553,MATCH(B384,'Gate events'!$A$4:$A$553,0))="UC-ID specific",IF(OR(L384&lt;&gt;"UC-ID specific",K384=""),"Condition UC-ID required",IF(ISNUMBER(SEARCH(","&amp;SUBSTITUTE(K384," ","")&amp;",",","&amp;SUBSTITUTE(INDEX('Gate events'!$O$4:$O$553,MATCH(B384,'Gate events'!$A$4:$A$553,0))," ","")&amp;",")),"","UC-ID differs from decision")),IF(INDEX('Gate events'!$P$4:$P$553,MATCH(B384,'Gate events'!$A$4:$A$553,0))="Shared system baseline",IF(OR(L384&lt;&gt;"Shared system baseline",K384&lt;&gt;""),"Condition scope differs from decision",""),"Parent decision scope missing")),IF(OR(D384="",E384="",F384="",G384=""),"Condition, owner, due date or state missing",IF(NOT(ISNUMBER(F384)),"Due date is not a date",IF(OR(G384="Overdue",G384="Superseded"),"Legacy state — owner review (use the shared five states)",IF(INDEX('Gate events'!$E$4:$E$553,MATCH(B384,'Gate events'!$A$4:$A$553,0))&lt;&gt;"Decision","Parent event is not a Decision",IF(AND(INDEX('Gate events'!$G$4:$G$553,MATCH(B384,'Gate events'!$A$4:$A$553,0))&lt;&gt;"Progress with condition",INDEX('Gate events'!$G$4:$G$553,MATCH(B384,'Gate events'!$A$4:$A$553,0))&lt;&gt;"Re-authorise",INDEX('Gate events'!$G$4:$G$553,MATCH(B384,'Gate events'!$A$4:$A$553,0))&lt;&gt;"Resume"),"Parent outcome is not Progress with condition / Re-authorise / Resume",IF(AND(ISNUMBER(INDEX('Gate events'!$F$4:$F$553,MATCH(B384,'Gate events'!$A$4:$A$553,0))),F384&lt;INDEX('Gate events'!$F$4:$F$553,MATCH(B384,'Gate events'!$A$4:$A$553,0))),"Due date before parent event date",IF(AND(OR(G384="Closed-verified",G384="Waived",G384="Accepted-open"),OR(H384="",I384="")),"Closure evidence missing",IF(AND(H384&lt;&gt;"",NOT(ISNUMBER(H384))),"Closed / waived on is not a date",IF(AND(ISNUMBER(H384),ISNUMBER(INDEX('Gate events'!$F$4:$F$553,MATCH(B384,'Gate events'!$A$4:$A$553,0))),H384&lt;INDEX('Gate events'!$F$4:$F$553,MATCH(B384,'Gate events'!$A$4:$A$553,0))),"Closure date before parent event date",IF(AND(G384="Closed-verified",M384=""),"Verifier / date missing",IF(AND(N384="Yes",G384="Closed-verified",O384=""),"Monitoring condition needs AIG-OPS-02 evidence ref",IF(AND(G384="Open",F384&lt;TODAY()),"OVERDUE (derived) — review",IF(G384="Unknown","State Unknown: owner to confirm","Check against source")))))))))))))))))))</f>
        <v/>
      </c>
      <c r="K384" s="37" t="n"/>
      <c r="L384" s="37" t="n"/>
      <c r="M384" s="38" t="n"/>
      <c r="N384" s="38" t="n"/>
      <c r="O384" s="38" t="n"/>
    </row>
    <row r="385">
      <c r="A385" s="40" t="n"/>
      <c r="B385" s="40" t="n"/>
      <c r="C385" s="40" t="n"/>
      <c r="D385" s="40" t="n"/>
      <c r="E385" s="40" t="n"/>
      <c r="F385" s="41" t="n"/>
      <c r="G385" s="40" t="n"/>
      <c r="H385" s="41" t="n"/>
      <c r="I385" s="40" t="n"/>
      <c r="J385" s="24">
        <f>IF(COUNTA(A385:I385,K385:O385)=0,"",IF(OR(A385="",B385="",C385=""),"ID / parent missing",IF(COUNTIF($A$4:$A$553,A385)&gt;1,"Duplicate condition ID",IF(COUNTIF('Gate events'!$A$4:$A$553,B385)=0,"Event ID not found",IF(INDEX('Gate events'!$B$4:$B$553,MATCH(B385,'Gate events'!$A$4:$A$553,0))&lt;&gt;C385,"AIR-ID differs from event",IF(IF(INDEX('Gate events'!$P$4:$P$553,MATCH(B385,'Gate events'!$A$4:$A$553,0))="UC-ID specific",IF(OR(L385&lt;&gt;"UC-ID specific",K385=""),"Condition UC-ID required",IF(ISNUMBER(SEARCH(","&amp;SUBSTITUTE(K385," ","")&amp;",",","&amp;SUBSTITUTE(INDEX('Gate events'!$O$4:$O$553,MATCH(B385,'Gate events'!$A$4:$A$553,0))," ","")&amp;",")),"","UC-ID differs from decision")),IF(INDEX('Gate events'!$P$4:$P$553,MATCH(B385,'Gate events'!$A$4:$A$553,0))="Shared system baseline",IF(OR(L385&lt;&gt;"Shared system baseline",K385&lt;&gt;""),"Condition scope differs from decision",""),"Parent decision scope missing"))&lt;&gt;"",IF(INDEX('Gate events'!$P$4:$P$553,MATCH(B385,'Gate events'!$A$4:$A$553,0))="UC-ID specific",IF(OR(L385&lt;&gt;"UC-ID specific",K385=""),"Condition UC-ID required",IF(ISNUMBER(SEARCH(","&amp;SUBSTITUTE(K385," ","")&amp;",",","&amp;SUBSTITUTE(INDEX('Gate events'!$O$4:$O$553,MATCH(B385,'Gate events'!$A$4:$A$553,0))," ","")&amp;",")),"","UC-ID differs from decision")),IF(INDEX('Gate events'!$P$4:$P$553,MATCH(B385,'Gate events'!$A$4:$A$553,0))="Shared system baseline",IF(OR(L385&lt;&gt;"Shared system baseline",K385&lt;&gt;""),"Condition scope differs from decision",""),"Parent decision scope missing")),IF(OR(D385="",E385="",F385="",G385=""),"Condition, owner, due date or state missing",IF(NOT(ISNUMBER(F385)),"Due date is not a date",IF(OR(G385="Overdue",G385="Superseded"),"Legacy state — owner review (use the shared five states)",IF(INDEX('Gate events'!$E$4:$E$553,MATCH(B385,'Gate events'!$A$4:$A$553,0))&lt;&gt;"Decision","Parent event is not a Decision",IF(AND(INDEX('Gate events'!$G$4:$G$553,MATCH(B385,'Gate events'!$A$4:$A$553,0))&lt;&gt;"Progress with condition",INDEX('Gate events'!$G$4:$G$553,MATCH(B385,'Gate events'!$A$4:$A$553,0))&lt;&gt;"Re-authorise",INDEX('Gate events'!$G$4:$G$553,MATCH(B385,'Gate events'!$A$4:$A$553,0))&lt;&gt;"Resume"),"Parent outcome is not Progress with condition / Re-authorise / Resume",IF(AND(ISNUMBER(INDEX('Gate events'!$F$4:$F$553,MATCH(B385,'Gate events'!$A$4:$A$553,0))),F385&lt;INDEX('Gate events'!$F$4:$F$553,MATCH(B385,'Gate events'!$A$4:$A$553,0))),"Due date before parent event date",IF(AND(OR(G385="Closed-verified",G385="Waived",G385="Accepted-open"),OR(H385="",I385="")),"Closure evidence missing",IF(AND(H385&lt;&gt;"",NOT(ISNUMBER(H385))),"Closed / waived on is not a date",IF(AND(ISNUMBER(H385),ISNUMBER(INDEX('Gate events'!$F$4:$F$553,MATCH(B385,'Gate events'!$A$4:$A$553,0))),H385&lt;INDEX('Gate events'!$F$4:$F$553,MATCH(B385,'Gate events'!$A$4:$A$553,0))),"Closure date before parent event date",IF(AND(G385="Closed-verified",M385=""),"Verifier / date missing",IF(AND(N385="Yes",G385="Closed-verified",O385=""),"Monitoring condition needs AIG-OPS-02 evidence ref",IF(AND(G385="Open",F385&lt;TODAY()),"OVERDUE (derived) — review",IF(G385="Unknown","State Unknown: owner to confirm","Check against source")))))))))))))))))))</f>
        <v/>
      </c>
      <c r="K385" s="37" t="n"/>
      <c r="L385" s="37" t="n"/>
      <c r="M385" s="40" t="n"/>
      <c r="N385" s="40" t="n"/>
      <c r="O385" s="40" t="n"/>
    </row>
    <row r="386">
      <c r="A386" s="38" t="n"/>
      <c r="B386" s="38" t="n"/>
      <c r="C386" s="38" t="n"/>
      <c r="D386" s="38" t="n"/>
      <c r="E386" s="38" t="n"/>
      <c r="F386" s="39" t="n"/>
      <c r="G386" s="38" t="n"/>
      <c r="H386" s="39" t="n"/>
      <c r="I386" s="38" t="n"/>
      <c r="J386" s="22">
        <f>IF(COUNTA(A386:I386,K386:O386)=0,"",IF(OR(A386="",B386="",C386=""),"ID / parent missing",IF(COUNTIF($A$4:$A$553,A386)&gt;1,"Duplicate condition ID",IF(COUNTIF('Gate events'!$A$4:$A$553,B386)=0,"Event ID not found",IF(INDEX('Gate events'!$B$4:$B$553,MATCH(B386,'Gate events'!$A$4:$A$553,0))&lt;&gt;C386,"AIR-ID differs from event",IF(IF(INDEX('Gate events'!$P$4:$P$553,MATCH(B386,'Gate events'!$A$4:$A$553,0))="UC-ID specific",IF(OR(L386&lt;&gt;"UC-ID specific",K386=""),"Condition UC-ID required",IF(ISNUMBER(SEARCH(","&amp;SUBSTITUTE(K386," ","")&amp;",",","&amp;SUBSTITUTE(INDEX('Gate events'!$O$4:$O$553,MATCH(B386,'Gate events'!$A$4:$A$553,0))," ","")&amp;",")),"","UC-ID differs from decision")),IF(INDEX('Gate events'!$P$4:$P$553,MATCH(B386,'Gate events'!$A$4:$A$553,0))="Shared system baseline",IF(OR(L386&lt;&gt;"Shared system baseline",K386&lt;&gt;""),"Condition scope differs from decision",""),"Parent decision scope missing"))&lt;&gt;"",IF(INDEX('Gate events'!$P$4:$P$553,MATCH(B386,'Gate events'!$A$4:$A$553,0))="UC-ID specific",IF(OR(L386&lt;&gt;"UC-ID specific",K386=""),"Condition UC-ID required",IF(ISNUMBER(SEARCH(","&amp;SUBSTITUTE(K386," ","")&amp;",",","&amp;SUBSTITUTE(INDEX('Gate events'!$O$4:$O$553,MATCH(B386,'Gate events'!$A$4:$A$553,0))," ","")&amp;",")),"","UC-ID differs from decision")),IF(INDEX('Gate events'!$P$4:$P$553,MATCH(B386,'Gate events'!$A$4:$A$553,0))="Shared system baseline",IF(OR(L386&lt;&gt;"Shared system baseline",K386&lt;&gt;""),"Condition scope differs from decision",""),"Parent decision scope missing")),IF(OR(D386="",E386="",F386="",G386=""),"Condition, owner, due date or state missing",IF(NOT(ISNUMBER(F386)),"Due date is not a date",IF(OR(G386="Overdue",G386="Superseded"),"Legacy state — owner review (use the shared five states)",IF(INDEX('Gate events'!$E$4:$E$553,MATCH(B386,'Gate events'!$A$4:$A$553,0))&lt;&gt;"Decision","Parent event is not a Decision",IF(AND(INDEX('Gate events'!$G$4:$G$553,MATCH(B386,'Gate events'!$A$4:$A$553,0))&lt;&gt;"Progress with condition",INDEX('Gate events'!$G$4:$G$553,MATCH(B386,'Gate events'!$A$4:$A$553,0))&lt;&gt;"Re-authorise",INDEX('Gate events'!$G$4:$G$553,MATCH(B386,'Gate events'!$A$4:$A$553,0))&lt;&gt;"Resume"),"Parent outcome is not Progress with condition / Re-authorise / Resume",IF(AND(ISNUMBER(INDEX('Gate events'!$F$4:$F$553,MATCH(B386,'Gate events'!$A$4:$A$553,0))),F386&lt;INDEX('Gate events'!$F$4:$F$553,MATCH(B386,'Gate events'!$A$4:$A$553,0))),"Due date before parent event date",IF(AND(OR(G386="Closed-verified",G386="Waived",G386="Accepted-open"),OR(H386="",I386="")),"Closure evidence missing",IF(AND(H386&lt;&gt;"",NOT(ISNUMBER(H386))),"Closed / waived on is not a date",IF(AND(ISNUMBER(H386),ISNUMBER(INDEX('Gate events'!$F$4:$F$553,MATCH(B386,'Gate events'!$A$4:$A$553,0))),H386&lt;INDEX('Gate events'!$F$4:$F$553,MATCH(B386,'Gate events'!$A$4:$A$553,0))),"Closure date before parent event date",IF(AND(G386="Closed-verified",M386=""),"Verifier / date missing",IF(AND(N386="Yes",G386="Closed-verified",O386=""),"Monitoring condition needs AIG-OPS-02 evidence ref",IF(AND(G386="Open",F386&lt;TODAY()),"OVERDUE (derived) — review",IF(G386="Unknown","State Unknown: owner to confirm","Check against source")))))))))))))))))))</f>
        <v/>
      </c>
      <c r="K386" s="37" t="n"/>
      <c r="L386" s="37" t="n"/>
      <c r="M386" s="38" t="n"/>
      <c r="N386" s="38" t="n"/>
      <c r="O386" s="38" t="n"/>
    </row>
    <row r="387">
      <c r="A387" s="40" t="n"/>
      <c r="B387" s="40" t="n"/>
      <c r="C387" s="40" t="n"/>
      <c r="D387" s="40" t="n"/>
      <c r="E387" s="40" t="n"/>
      <c r="F387" s="41" t="n"/>
      <c r="G387" s="40" t="n"/>
      <c r="H387" s="41" t="n"/>
      <c r="I387" s="40" t="n"/>
      <c r="J387" s="24">
        <f>IF(COUNTA(A387:I387,K387:O387)=0,"",IF(OR(A387="",B387="",C387=""),"ID / parent missing",IF(COUNTIF($A$4:$A$553,A387)&gt;1,"Duplicate condition ID",IF(COUNTIF('Gate events'!$A$4:$A$553,B387)=0,"Event ID not found",IF(INDEX('Gate events'!$B$4:$B$553,MATCH(B387,'Gate events'!$A$4:$A$553,0))&lt;&gt;C387,"AIR-ID differs from event",IF(IF(INDEX('Gate events'!$P$4:$P$553,MATCH(B387,'Gate events'!$A$4:$A$553,0))="UC-ID specific",IF(OR(L387&lt;&gt;"UC-ID specific",K387=""),"Condition UC-ID required",IF(ISNUMBER(SEARCH(","&amp;SUBSTITUTE(K387," ","")&amp;",",","&amp;SUBSTITUTE(INDEX('Gate events'!$O$4:$O$553,MATCH(B387,'Gate events'!$A$4:$A$553,0))," ","")&amp;",")),"","UC-ID differs from decision")),IF(INDEX('Gate events'!$P$4:$P$553,MATCH(B387,'Gate events'!$A$4:$A$553,0))="Shared system baseline",IF(OR(L387&lt;&gt;"Shared system baseline",K387&lt;&gt;""),"Condition scope differs from decision",""),"Parent decision scope missing"))&lt;&gt;"",IF(INDEX('Gate events'!$P$4:$P$553,MATCH(B387,'Gate events'!$A$4:$A$553,0))="UC-ID specific",IF(OR(L387&lt;&gt;"UC-ID specific",K387=""),"Condition UC-ID required",IF(ISNUMBER(SEARCH(","&amp;SUBSTITUTE(K387," ","")&amp;",",","&amp;SUBSTITUTE(INDEX('Gate events'!$O$4:$O$553,MATCH(B387,'Gate events'!$A$4:$A$553,0))," ","")&amp;",")),"","UC-ID differs from decision")),IF(INDEX('Gate events'!$P$4:$P$553,MATCH(B387,'Gate events'!$A$4:$A$553,0))="Shared system baseline",IF(OR(L387&lt;&gt;"Shared system baseline",K387&lt;&gt;""),"Condition scope differs from decision",""),"Parent decision scope missing")),IF(OR(D387="",E387="",F387="",G387=""),"Condition, owner, due date or state missing",IF(NOT(ISNUMBER(F387)),"Due date is not a date",IF(OR(G387="Overdue",G387="Superseded"),"Legacy state — owner review (use the shared five states)",IF(INDEX('Gate events'!$E$4:$E$553,MATCH(B387,'Gate events'!$A$4:$A$553,0))&lt;&gt;"Decision","Parent event is not a Decision",IF(AND(INDEX('Gate events'!$G$4:$G$553,MATCH(B387,'Gate events'!$A$4:$A$553,0))&lt;&gt;"Progress with condition",INDEX('Gate events'!$G$4:$G$553,MATCH(B387,'Gate events'!$A$4:$A$553,0))&lt;&gt;"Re-authorise",INDEX('Gate events'!$G$4:$G$553,MATCH(B387,'Gate events'!$A$4:$A$553,0))&lt;&gt;"Resume"),"Parent outcome is not Progress with condition / Re-authorise / Resume",IF(AND(ISNUMBER(INDEX('Gate events'!$F$4:$F$553,MATCH(B387,'Gate events'!$A$4:$A$553,0))),F387&lt;INDEX('Gate events'!$F$4:$F$553,MATCH(B387,'Gate events'!$A$4:$A$553,0))),"Due date before parent event date",IF(AND(OR(G387="Closed-verified",G387="Waived",G387="Accepted-open"),OR(H387="",I387="")),"Closure evidence missing",IF(AND(H387&lt;&gt;"",NOT(ISNUMBER(H387))),"Closed / waived on is not a date",IF(AND(ISNUMBER(H387),ISNUMBER(INDEX('Gate events'!$F$4:$F$553,MATCH(B387,'Gate events'!$A$4:$A$553,0))),H387&lt;INDEX('Gate events'!$F$4:$F$553,MATCH(B387,'Gate events'!$A$4:$A$553,0))),"Closure date before parent event date",IF(AND(G387="Closed-verified",M387=""),"Verifier / date missing",IF(AND(N387="Yes",G387="Closed-verified",O387=""),"Monitoring condition needs AIG-OPS-02 evidence ref",IF(AND(G387="Open",F387&lt;TODAY()),"OVERDUE (derived) — review",IF(G387="Unknown","State Unknown: owner to confirm","Check against source")))))))))))))))))))</f>
        <v/>
      </c>
      <c r="K387" s="37" t="n"/>
      <c r="L387" s="37" t="n"/>
      <c r="M387" s="40" t="n"/>
      <c r="N387" s="40" t="n"/>
      <c r="O387" s="40" t="n"/>
    </row>
    <row r="388">
      <c r="A388" s="38" t="n"/>
      <c r="B388" s="38" t="n"/>
      <c r="C388" s="38" t="n"/>
      <c r="D388" s="38" t="n"/>
      <c r="E388" s="38" t="n"/>
      <c r="F388" s="39" t="n"/>
      <c r="G388" s="38" t="n"/>
      <c r="H388" s="39" t="n"/>
      <c r="I388" s="38" t="n"/>
      <c r="J388" s="22">
        <f>IF(COUNTA(A388:I388,K388:O388)=0,"",IF(OR(A388="",B388="",C388=""),"ID / parent missing",IF(COUNTIF($A$4:$A$553,A388)&gt;1,"Duplicate condition ID",IF(COUNTIF('Gate events'!$A$4:$A$553,B388)=0,"Event ID not found",IF(INDEX('Gate events'!$B$4:$B$553,MATCH(B388,'Gate events'!$A$4:$A$553,0))&lt;&gt;C388,"AIR-ID differs from event",IF(IF(INDEX('Gate events'!$P$4:$P$553,MATCH(B388,'Gate events'!$A$4:$A$553,0))="UC-ID specific",IF(OR(L388&lt;&gt;"UC-ID specific",K388=""),"Condition UC-ID required",IF(ISNUMBER(SEARCH(","&amp;SUBSTITUTE(K388," ","")&amp;",",","&amp;SUBSTITUTE(INDEX('Gate events'!$O$4:$O$553,MATCH(B388,'Gate events'!$A$4:$A$553,0))," ","")&amp;",")),"","UC-ID differs from decision")),IF(INDEX('Gate events'!$P$4:$P$553,MATCH(B388,'Gate events'!$A$4:$A$553,0))="Shared system baseline",IF(OR(L388&lt;&gt;"Shared system baseline",K388&lt;&gt;""),"Condition scope differs from decision",""),"Parent decision scope missing"))&lt;&gt;"",IF(INDEX('Gate events'!$P$4:$P$553,MATCH(B388,'Gate events'!$A$4:$A$553,0))="UC-ID specific",IF(OR(L388&lt;&gt;"UC-ID specific",K388=""),"Condition UC-ID required",IF(ISNUMBER(SEARCH(","&amp;SUBSTITUTE(K388," ","")&amp;",",","&amp;SUBSTITUTE(INDEX('Gate events'!$O$4:$O$553,MATCH(B388,'Gate events'!$A$4:$A$553,0))," ","")&amp;",")),"","UC-ID differs from decision")),IF(INDEX('Gate events'!$P$4:$P$553,MATCH(B388,'Gate events'!$A$4:$A$553,0))="Shared system baseline",IF(OR(L388&lt;&gt;"Shared system baseline",K388&lt;&gt;""),"Condition scope differs from decision",""),"Parent decision scope missing")),IF(OR(D388="",E388="",F388="",G388=""),"Condition, owner, due date or state missing",IF(NOT(ISNUMBER(F388)),"Due date is not a date",IF(OR(G388="Overdue",G388="Superseded"),"Legacy state — owner review (use the shared five states)",IF(INDEX('Gate events'!$E$4:$E$553,MATCH(B388,'Gate events'!$A$4:$A$553,0))&lt;&gt;"Decision","Parent event is not a Decision",IF(AND(INDEX('Gate events'!$G$4:$G$553,MATCH(B388,'Gate events'!$A$4:$A$553,0))&lt;&gt;"Progress with condition",INDEX('Gate events'!$G$4:$G$553,MATCH(B388,'Gate events'!$A$4:$A$553,0))&lt;&gt;"Re-authorise",INDEX('Gate events'!$G$4:$G$553,MATCH(B388,'Gate events'!$A$4:$A$553,0))&lt;&gt;"Resume"),"Parent outcome is not Progress with condition / Re-authorise / Resume",IF(AND(ISNUMBER(INDEX('Gate events'!$F$4:$F$553,MATCH(B388,'Gate events'!$A$4:$A$553,0))),F388&lt;INDEX('Gate events'!$F$4:$F$553,MATCH(B388,'Gate events'!$A$4:$A$553,0))),"Due date before parent event date",IF(AND(OR(G388="Closed-verified",G388="Waived",G388="Accepted-open"),OR(H388="",I388="")),"Closure evidence missing",IF(AND(H388&lt;&gt;"",NOT(ISNUMBER(H388))),"Closed / waived on is not a date",IF(AND(ISNUMBER(H388),ISNUMBER(INDEX('Gate events'!$F$4:$F$553,MATCH(B388,'Gate events'!$A$4:$A$553,0))),H388&lt;INDEX('Gate events'!$F$4:$F$553,MATCH(B388,'Gate events'!$A$4:$A$553,0))),"Closure date before parent event date",IF(AND(G388="Closed-verified",M388=""),"Verifier / date missing",IF(AND(N388="Yes",G388="Closed-verified",O388=""),"Monitoring condition needs AIG-OPS-02 evidence ref",IF(AND(G388="Open",F388&lt;TODAY()),"OVERDUE (derived) — review",IF(G388="Unknown","State Unknown: owner to confirm","Check against source")))))))))))))))))))</f>
        <v/>
      </c>
      <c r="K388" s="37" t="n"/>
      <c r="L388" s="37" t="n"/>
      <c r="M388" s="38" t="n"/>
      <c r="N388" s="38" t="n"/>
      <c r="O388" s="38" t="n"/>
    </row>
    <row r="389">
      <c r="A389" s="40" t="n"/>
      <c r="B389" s="40" t="n"/>
      <c r="C389" s="40" t="n"/>
      <c r="D389" s="40" t="n"/>
      <c r="E389" s="40" t="n"/>
      <c r="F389" s="41" t="n"/>
      <c r="G389" s="40" t="n"/>
      <c r="H389" s="41" t="n"/>
      <c r="I389" s="40" t="n"/>
      <c r="J389" s="24">
        <f>IF(COUNTA(A389:I389,K389:O389)=0,"",IF(OR(A389="",B389="",C389=""),"ID / parent missing",IF(COUNTIF($A$4:$A$553,A389)&gt;1,"Duplicate condition ID",IF(COUNTIF('Gate events'!$A$4:$A$553,B389)=0,"Event ID not found",IF(INDEX('Gate events'!$B$4:$B$553,MATCH(B389,'Gate events'!$A$4:$A$553,0))&lt;&gt;C389,"AIR-ID differs from event",IF(IF(INDEX('Gate events'!$P$4:$P$553,MATCH(B389,'Gate events'!$A$4:$A$553,0))="UC-ID specific",IF(OR(L389&lt;&gt;"UC-ID specific",K389=""),"Condition UC-ID required",IF(ISNUMBER(SEARCH(","&amp;SUBSTITUTE(K389," ","")&amp;",",","&amp;SUBSTITUTE(INDEX('Gate events'!$O$4:$O$553,MATCH(B389,'Gate events'!$A$4:$A$553,0))," ","")&amp;",")),"","UC-ID differs from decision")),IF(INDEX('Gate events'!$P$4:$P$553,MATCH(B389,'Gate events'!$A$4:$A$553,0))="Shared system baseline",IF(OR(L389&lt;&gt;"Shared system baseline",K389&lt;&gt;""),"Condition scope differs from decision",""),"Parent decision scope missing"))&lt;&gt;"",IF(INDEX('Gate events'!$P$4:$P$553,MATCH(B389,'Gate events'!$A$4:$A$553,0))="UC-ID specific",IF(OR(L389&lt;&gt;"UC-ID specific",K389=""),"Condition UC-ID required",IF(ISNUMBER(SEARCH(","&amp;SUBSTITUTE(K389," ","")&amp;",",","&amp;SUBSTITUTE(INDEX('Gate events'!$O$4:$O$553,MATCH(B389,'Gate events'!$A$4:$A$553,0))," ","")&amp;",")),"","UC-ID differs from decision")),IF(INDEX('Gate events'!$P$4:$P$553,MATCH(B389,'Gate events'!$A$4:$A$553,0))="Shared system baseline",IF(OR(L389&lt;&gt;"Shared system baseline",K389&lt;&gt;""),"Condition scope differs from decision",""),"Parent decision scope missing")),IF(OR(D389="",E389="",F389="",G389=""),"Condition, owner, due date or state missing",IF(NOT(ISNUMBER(F389)),"Due date is not a date",IF(OR(G389="Overdue",G389="Superseded"),"Legacy state — owner review (use the shared five states)",IF(INDEX('Gate events'!$E$4:$E$553,MATCH(B389,'Gate events'!$A$4:$A$553,0))&lt;&gt;"Decision","Parent event is not a Decision",IF(AND(INDEX('Gate events'!$G$4:$G$553,MATCH(B389,'Gate events'!$A$4:$A$553,0))&lt;&gt;"Progress with condition",INDEX('Gate events'!$G$4:$G$553,MATCH(B389,'Gate events'!$A$4:$A$553,0))&lt;&gt;"Re-authorise",INDEX('Gate events'!$G$4:$G$553,MATCH(B389,'Gate events'!$A$4:$A$553,0))&lt;&gt;"Resume"),"Parent outcome is not Progress with condition / Re-authorise / Resume",IF(AND(ISNUMBER(INDEX('Gate events'!$F$4:$F$553,MATCH(B389,'Gate events'!$A$4:$A$553,0))),F389&lt;INDEX('Gate events'!$F$4:$F$553,MATCH(B389,'Gate events'!$A$4:$A$553,0))),"Due date before parent event date",IF(AND(OR(G389="Closed-verified",G389="Waived",G389="Accepted-open"),OR(H389="",I389="")),"Closure evidence missing",IF(AND(H389&lt;&gt;"",NOT(ISNUMBER(H389))),"Closed / waived on is not a date",IF(AND(ISNUMBER(H389),ISNUMBER(INDEX('Gate events'!$F$4:$F$553,MATCH(B389,'Gate events'!$A$4:$A$553,0))),H389&lt;INDEX('Gate events'!$F$4:$F$553,MATCH(B389,'Gate events'!$A$4:$A$553,0))),"Closure date before parent event date",IF(AND(G389="Closed-verified",M389=""),"Verifier / date missing",IF(AND(N389="Yes",G389="Closed-verified",O389=""),"Monitoring condition needs AIG-OPS-02 evidence ref",IF(AND(G389="Open",F389&lt;TODAY()),"OVERDUE (derived) — review",IF(G389="Unknown","State Unknown: owner to confirm","Check against source")))))))))))))))))))</f>
        <v/>
      </c>
      <c r="K389" s="37" t="n"/>
      <c r="L389" s="37" t="n"/>
      <c r="M389" s="40" t="n"/>
      <c r="N389" s="40" t="n"/>
      <c r="O389" s="40" t="n"/>
    </row>
    <row r="390">
      <c r="A390" s="38" t="n"/>
      <c r="B390" s="38" t="n"/>
      <c r="C390" s="38" t="n"/>
      <c r="D390" s="38" t="n"/>
      <c r="E390" s="38" t="n"/>
      <c r="F390" s="39" t="n"/>
      <c r="G390" s="38" t="n"/>
      <c r="H390" s="39" t="n"/>
      <c r="I390" s="38" t="n"/>
      <c r="J390" s="22">
        <f>IF(COUNTA(A390:I390,K390:O390)=0,"",IF(OR(A390="",B390="",C390=""),"ID / parent missing",IF(COUNTIF($A$4:$A$553,A390)&gt;1,"Duplicate condition ID",IF(COUNTIF('Gate events'!$A$4:$A$553,B390)=0,"Event ID not found",IF(INDEX('Gate events'!$B$4:$B$553,MATCH(B390,'Gate events'!$A$4:$A$553,0))&lt;&gt;C390,"AIR-ID differs from event",IF(IF(INDEX('Gate events'!$P$4:$P$553,MATCH(B390,'Gate events'!$A$4:$A$553,0))="UC-ID specific",IF(OR(L390&lt;&gt;"UC-ID specific",K390=""),"Condition UC-ID required",IF(ISNUMBER(SEARCH(","&amp;SUBSTITUTE(K390," ","")&amp;",",","&amp;SUBSTITUTE(INDEX('Gate events'!$O$4:$O$553,MATCH(B390,'Gate events'!$A$4:$A$553,0))," ","")&amp;",")),"","UC-ID differs from decision")),IF(INDEX('Gate events'!$P$4:$P$553,MATCH(B390,'Gate events'!$A$4:$A$553,0))="Shared system baseline",IF(OR(L390&lt;&gt;"Shared system baseline",K390&lt;&gt;""),"Condition scope differs from decision",""),"Parent decision scope missing"))&lt;&gt;"",IF(INDEX('Gate events'!$P$4:$P$553,MATCH(B390,'Gate events'!$A$4:$A$553,0))="UC-ID specific",IF(OR(L390&lt;&gt;"UC-ID specific",K390=""),"Condition UC-ID required",IF(ISNUMBER(SEARCH(","&amp;SUBSTITUTE(K390," ","")&amp;",",","&amp;SUBSTITUTE(INDEX('Gate events'!$O$4:$O$553,MATCH(B390,'Gate events'!$A$4:$A$553,0))," ","")&amp;",")),"","UC-ID differs from decision")),IF(INDEX('Gate events'!$P$4:$P$553,MATCH(B390,'Gate events'!$A$4:$A$553,0))="Shared system baseline",IF(OR(L390&lt;&gt;"Shared system baseline",K390&lt;&gt;""),"Condition scope differs from decision",""),"Parent decision scope missing")),IF(OR(D390="",E390="",F390="",G390=""),"Condition, owner, due date or state missing",IF(NOT(ISNUMBER(F390)),"Due date is not a date",IF(OR(G390="Overdue",G390="Superseded"),"Legacy state — owner review (use the shared five states)",IF(INDEX('Gate events'!$E$4:$E$553,MATCH(B390,'Gate events'!$A$4:$A$553,0))&lt;&gt;"Decision","Parent event is not a Decision",IF(AND(INDEX('Gate events'!$G$4:$G$553,MATCH(B390,'Gate events'!$A$4:$A$553,0))&lt;&gt;"Progress with condition",INDEX('Gate events'!$G$4:$G$553,MATCH(B390,'Gate events'!$A$4:$A$553,0))&lt;&gt;"Re-authorise",INDEX('Gate events'!$G$4:$G$553,MATCH(B390,'Gate events'!$A$4:$A$553,0))&lt;&gt;"Resume"),"Parent outcome is not Progress with condition / Re-authorise / Resume",IF(AND(ISNUMBER(INDEX('Gate events'!$F$4:$F$553,MATCH(B390,'Gate events'!$A$4:$A$553,0))),F390&lt;INDEX('Gate events'!$F$4:$F$553,MATCH(B390,'Gate events'!$A$4:$A$553,0))),"Due date before parent event date",IF(AND(OR(G390="Closed-verified",G390="Waived",G390="Accepted-open"),OR(H390="",I390="")),"Closure evidence missing",IF(AND(H390&lt;&gt;"",NOT(ISNUMBER(H390))),"Closed / waived on is not a date",IF(AND(ISNUMBER(H390),ISNUMBER(INDEX('Gate events'!$F$4:$F$553,MATCH(B390,'Gate events'!$A$4:$A$553,0))),H390&lt;INDEX('Gate events'!$F$4:$F$553,MATCH(B390,'Gate events'!$A$4:$A$553,0))),"Closure date before parent event date",IF(AND(G390="Closed-verified",M390=""),"Verifier / date missing",IF(AND(N390="Yes",G390="Closed-verified",O390=""),"Monitoring condition needs AIG-OPS-02 evidence ref",IF(AND(G390="Open",F390&lt;TODAY()),"OVERDUE (derived) — review",IF(G390="Unknown","State Unknown: owner to confirm","Check against source")))))))))))))))))))</f>
        <v/>
      </c>
      <c r="K390" s="37" t="n"/>
      <c r="L390" s="37" t="n"/>
      <c r="M390" s="38" t="n"/>
      <c r="N390" s="38" t="n"/>
      <c r="O390" s="38" t="n"/>
    </row>
    <row r="391">
      <c r="A391" s="40" t="n"/>
      <c r="B391" s="40" t="n"/>
      <c r="C391" s="40" t="n"/>
      <c r="D391" s="40" t="n"/>
      <c r="E391" s="40" t="n"/>
      <c r="F391" s="41" t="n"/>
      <c r="G391" s="40" t="n"/>
      <c r="H391" s="41" t="n"/>
      <c r="I391" s="40" t="n"/>
      <c r="J391" s="24">
        <f>IF(COUNTA(A391:I391,K391:O391)=0,"",IF(OR(A391="",B391="",C391=""),"ID / parent missing",IF(COUNTIF($A$4:$A$553,A391)&gt;1,"Duplicate condition ID",IF(COUNTIF('Gate events'!$A$4:$A$553,B391)=0,"Event ID not found",IF(INDEX('Gate events'!$B$4:$B$553,MATCH(B391,'Gate events'!$A$4:$A$553,0))&lt;&gt;C391,"AIR-ID differs from event",IF(IF(INDEX('Gate events'!$P$4:$P$553,MATCH(B391,'Gate events'!$A$4:$A$553,0))="UC-ID specific",IF(OR(L391&lt;&gt;"UC-ID specific",K391=""),"Condition UC-ID required",IF(ISNUMBER(SEARCH(","&amp;SUBSTITUTE(K391," ","")&amp;",",","&amp;SUBSTITUTE(INDEX('Gate events'!$O$4:$O$553,MATCH(B391,'Gate events'!$A$4:$A$553,0))," ","")&amp;",")),"","UC-ID differs from decision")),IF(INDEX('Gate events'!$P$4:$P$553,MATCH(B391,'Gate events'!$A$4:$A$553,0))="Shared system baseline",IF(OR(L391&lt;&gt;"Shared system baseline",K391&lt;&gt;""),"Condition scope differs from decision",""),"Parent decision scope missing"))&lt;&gt;"",IF(INDEX('Gate events'!$P$4:$P$553,MATCH(B391,'Gate events'!$A$4:$A$553,0))="UC-ID specific",IF(OR(L391&lt;&gt;"UC-ID specific",K391=""),"Condition UC-ID required",IF(ISNUMBER(SEARCH(","&amp;SUBSTITUTE(K391," ","")&amp;",",","&amp;SUBSTITUTE(INDEX('Gate events'!$O$4:$O$553,MATCH(B391,'Gate events'!$A$4:$A$553,0))," ","")&amp;",")),"","UC-ID differs from decision")),IF(INDEX('Gate events'!$P$4:$P$553,MATCH(B391,'Gate events'!$A$4:$A$553,0))="Shared system baseline",IF(OR(L391&lt;&gt;"Shared system baseline",K391&lt;&gt;""),"Condition scope differs from decision",""),"Parent decision scope missing")),IF(OR(D391="",E391="",F391="",G391=""),"Condition, owner, due date or state missing",IF(NOT(ISNUMBER(F391)),"Due date is not a date",IF(OR(G391="Overdue",G391="Superseded"),"Legacy state — owner review (use the shared five states)",IF(INDEX('Gate events'!$E$4:$E$553,MATCH(B391,'Gate events'!$A$4:$A$553,0))&lt;&gt;"Decision","Parent event is not a Decision",IF(AND(INDEX('Gate events'!$G$4:$G$553,MATCH(B391,'Gate events'!$A$4:$A$553,0))&lt;&gt;"Progress with condition",INDEX('Gate events'!$G$4:$G$553,MATCH(B391,'Gate events'!$A$4:$A$553,0))&lt;&gt;"Re-authorise",INDEX('Gate events'!$G$4:$G$553,MATCH(B391,'Gate events'!$A$4:$A$553,0))&lt;&gt;"Resume"),"Parent outcome is not Progress with condition / Re-authorise / Resume",IF(AND(ISNUMBER(INDEX('Gate events'!$F$4:$F$553,MATCH(B391,'Gate events'!$A$4:$A$553,0))),F391&lt;INDEX('Gate events'!$F$4:$F$553,MATCH(B391,'Gate events'!$A$4:$A$553,0))),"Due date before parent event date",IF(AND(OR(G391="Closed-verified",G391="Waived",G391="Accepted-open"),OR(H391="",I391="")),"Closure evidence missing",IF(AND(H391&lt;&gt;"",NOT(ISNUMBER(H391))),"Closed / waived on is not a date",IF(AND(ISNUMBER(H391),ISNUMBER(INDEX('Gate events'!$F$4:$F$553,MATCH(B391,'Gate events'!$A$4:$A$553,0))),H391&lt;INDEX('Gate events'!$F$4:$F$553,MATCH(B391,'Gate events'!$A$4:$A$553,0))),"Closure date before parent event date",IF(AND(G391="Closed-verified",M391=""),"Verifier / date missing",IF(AND(N391="Yes",G391="Closed-verified",O391=""),"Monitoring condition needs AIG-OPS-02 evidence ref",IF(AND(G391="Open",F391&lt;TODAY()),"OVERDUE (derived) — review",IF(G391="Unknown","State Unknown: owner to confirm","Check against source")))))))))))))))))))</f>
        <v/>
      </c>
      <c r="K391" s="37" t="n"/>
      <c r="L391" s="37" t="n"/>
      <c r="M391" s="40" t="n"/>
      <c r="N391" s="40" t="n"/>
      <c r="O391" s="40" t="n"/>
    </row>
    <row r="392">
      <c r="A392" s="38" t="n"/>
      <c r="B392" s="38" t="n"/>
      <c r="C392" s="38" t="n"/>
      <c r="D392" s="38" t="n"/>
      <c r="E392" s="38" t="n"/>
      <c r="F392" s="39" t="n"/>
      <c r="G392" s="38" t="n"/>
      <c r="H392" s="39" t="n"/>
      <c r="I392" s="38" t="n"/>
      <c r="J392" s="22">
        <f>IF(COUNTA(A392:I392,K392:O392)=0,"",IF(OR(A392="",B392="",C392=""),"ID / parent missing",IF(COUNTIF($A$4:$A$553,A392)&gt;1,"Duplicate condition ID",IF(COUNTIF('Gate events'!$A$4:$A$553,B392)=0,"Event ID not found",IF(INDEX('Gate events'!$B$4:$B$553,MATCH(B392,'Gate events'!$A$4:$A$553,0))&lt;&gt;C392,"AIR-ID differs from event",IF(IF(INDEX('Gate events'!$P$4:$P$553,MATCH(B392,'Gate events'!$A$4:$A$553,0))="UC-ID specific",IF(OR(L392&lt;&gt;"UC-ID specific",K392=""),"Condition UC-ID required",IF(ISNUMBER(SEARCH(","&amp;SUBSTITUTE(K392," ","")&amp;",",","&amp;SUBSTITUTE(INDEX('Gate events'!$O$4:$O$553,MATCH(B392,'Gate events'!$A$4:$A$553,0))," ","")&amp;",")),"","UC-ID differs from decision")),IF(INDEX('Gate events'!$P$4:$P$553,MATCH(B392,'Gate events'!$A$4:$A$553,0))="Shared system baseline",IF(OR(L392&lt;&gt;"Shared system baseline",K392&lt;&gt;""),"Condition scope differs from decision",""),"Parent decision scope missing"))&lt;&gt;"",IF(INDEX('Gate events'!$P$4:$P$553,MATCH(B392,'Gate events'!$A$4:$A$553,0))="UC-ID specific",IF(OR(L392&lt;&gt;"UC-ID specific",K392=""),"Condition UC-ID required",IF(ISNUMBER(SEARCH(","&amp;SUBSTITUTE(K392," ","")&amp;",",","&amp;SUBSTITUTE(INDEX('Gate events'!$O$4:$O$553,MATCH(B392,'Gate events'!$A$4:$A$553,0))," ","")&amp;",")),"","UC-ID differs from decision")),IF(INDEX('Gate events'!$P$4:$P$553,MATCH(B392,'Gate events'!$A$4:$A$553,0))="Shared system baseline",IF(OR(L392&lt;&gt;"Shared system baseline",K392&lt;&gt;""),"Condition scope differs from decision",""),"Parent decision scope missing")),IF(OR(D392="",E392="",F392="",G392=""),"Condition, owner, due date or state missing",IF(NOT(ISNUMBER(F392)),"Due date is not a date",IF(OR(G392="Overdue",G392="Superseded"),"Legacy state — owner review (use the shared five states)",IF(INDEX('Gate events'!$E$4:$E$553,MATCH(B392,'Gate events'!$A$4:$A$553,0))&lt;&gt;"Decision","Parent event is not a Decision",IF(AND(INDEX('Gate events'!$G$4:$G$553,MATCH(B392,'Gate events'!$A$4:$A$553,0))&lt;&gt;"Progress with condition",INDEX('Gate events'!$G$4:$G$553,MATCH(B392,'Gate events'!$A$4:$A$553,0))&lt;&gt;"Re-authorise",INDEX('Gate events'!$G$4:$G$553,MATCH(B392,'Gate events'!$A$4:$A$553,0))&lt;&gt;"Resume"),"Parent outcome is not Progress with condition / Re-authorise / Resume",IF(AND(ISNUMBER(INDEX('Gate events'!$F$4:$F$553,MATCH(B392,'Gate events'!$A$4:$A$553,0))),F392&lt;INDEX('Gate events'!$F$4:$F$553,MATCH(B392,'Gate events'!$A$4:$A$553,0))),"Due date before parent event date",IF(AND(OR(G392="Closed-verified",G392="Waived",G392="Accepted-open"),OR(H392="",I392="")),"Closure evidence missing",IF(AND(H392&lt;&gt;"",NOT(ISNUMBER(H392))),"Closed / waived on is not a date",IF(AND(ISNUMBER(H392),ISNUMBER(INDEX('Gate events'!$F$4:$F$553,MATCH(B392,'Gate events'!$A$4:$A$553,0))),H392&lt;INDEX('Gate events'!$F$4:$F$553,MATCH(B392,'Gate events'!$A$4:$A$553,0))),"Closure date before parent event date",IF(AND(G392="Closed-verified",M392=""),"Verifier / date missing",IF(AND(N392="Yes",G392="Closed-verified",O392=""),"Monitoring condition needs AIG-OPS-02 evidence ref",IF(AND(G392="Open",F392&lt;TODAY()),"OVERDUE (derived) — review",IF(G392="Unknown","State Unknown: owner to confirm","Check against source")))))))))))))))))))</f>
        <v/>
      </c>
      <c r="K392" s="37" t="n"/>
      <c r="L392" s="37" t="n"/>
      <c r="M392" s="38" t="n"/>
      <c r="N392" s="38" t="n"/>
      <c r="O392" s="38" t="n"/>
    </row>
    <row r="393">
      <c r="A393" s="40" t="n"/>
      <c r="B393" s="40" t="n"/>
      <c r="C393" s="40" t="n"/>
      <c r="D393" s="40" t="n"/>
      <c r="E393" s="40" t="n"/>
      <c r="F393" s="41" t="n"/>
      <c r="G393" s="40" t="n"/>
      <c r="H393" s="41" t="n"/>
      <c r="I393" s="40" t="n"/>
      <c r="J393" s="24">
        <f>IF(COUNTA(A393:I393,K393:O393)=0,"",IF(OR(A393="",B393="",C393=""),"ID / parent missing",IF(COUNTIF($A$4:$A$553,A393)&gt;1,"Duplicate condition ID",IF(COUNTIF('Gate events'!$A$4:$A$553,B393)=0,"Event ID not found",IF(INDEX('Gate events'!$B$4:$B$553,MATCH(B393,'Gate events'!$A$4:$A$553,0))&lt;&gt;C393,"AIR-ID differs from event",IF(IF(INDEX('Gate events'!$P$4:$P$553,MATCH(B393,'Gate events'!$A$4:$A$553,0))="UC-ID specific",IF(OR(L393&lt;&gt;"UC-ID specific",K393=""),"Condition UC-ID required",IF(ISNUMBER(SEARCH(","&amp;SUBSTITUTE(K393," ","")&amp;",",","&amp;SUBSTITUTE(INDEX('Gate events'!$O$4:$O$553,MATCH(B393,'Gate events'!$A$4:$A$553,0))," ","")&amp;",")),"","UC-ID differs from decision")),IF(INDEX('Gate events'!$P$4:$P$553,MATCH(B393,'Gate events'!$A$4:$A$553,0))="Shared system baseline",IF(OR(L393&lt;&gt;"Shared system baseline",K393&lt;&gt;""),"Condition scope differs from decision",""),"Parent decision scope missing"))&lt;&gt;"",IF(INDEX('Gate events'!$P$4:$P$553,MATCH(B393,'Gate events'!$A$4:$A$553,0))="UC-ID specific",IF(OR(L393&lt;&gt;"UC-ID specific",K393=""),"Condition UC-ID required",IF(ISNUMBER(SEARCH(","&amp;SUBSTITUTE(K393," ","")&amp;",",","&amp;SUBSTITUTE(INDEX('Gate events'!$O$4:$O$553,MATCH(B393,'Gate events'!$A$4:$A$553,0))," ","")&amp;",")),"","UC-ID differs from decision")),IF(INDEX('Gate events'!$P$4:$P$553,MATCH(B393,'Gate events'!$A$4:$A$553,0))="Shared system baseline",IF(OR(L393&lt;&gt;"Shared system baseline",K393&lt;&gt;""),"Condition scope differs from decision",""),"Parent decision scope missing")),IF(OR(D393="",E393="",F393="",G393=""),"Condition, owner, due date or state missing",IF(NOT(ISNUMBER(F393)),"Due date is not a date",IF(OR(G393="Overdue",G393="Superseded"),"Legacy state — owner review (use the shared five states)",IF(INDEX('Gate events'!$E$4:$E$553,MATCH(B393,'Gate events'!$A$4:$A$553,0))&lt;&gt;"Decision","Parent event is not a Decision",IF(AND(INDEX('Gate events'!$G$4:$G$553,MATCH(B393,'Gate events'!$A$4:$A$553,0))&lt;&gt;"Progress with condition",INDEX('Gate events'!$G$4:$G$553,MATCH(B393,'Gate events'!$A$4:$A$553,0))&lt;&gt;"Re-authorise",INDEX('Gate events'!$G$4:$G$553,MATCH(B393,'Gate events'!$A$4:$A$553,0))&lt;&gt;"Resume"),"Parent outcome is not Progress with condition / Re-authorise / Resume",IF(AND(ISNUMBER(INDEX('Gate events'!$F$4:$F$553,MATCH(B393,'Gate events'!$A$4:$A$553,0))),F393&lt;INDEX('Gate events'!$F$4:$F$553,MATCH(B393,'Gate events'!$A$4:$A$553,0))),"Due date before parent event date",IF(AND(OR(G393="Closed-verified",G393="Waived",G393="Accepted-open"),OR(H393="",I393="")),"Closure evidence missing",IF(AND(H393&lt;&gt;"",NOT(ISNUMBER(H393))),"Closed / waived on is not a date",IF(AND(ISNUMBER(H393),ISNUMBER(INDEX('Gate events'!$F$4:$F$553,MATCH(B393,'Gate events'!$A$4:$A$553,0))),H393&lt;INDEX('Gate events'!$F$4:$F$553,MATCH(B393,'Gate events'!$A$4:$A$553,0))),"Closure date before parent event date",IF(AND(G393="Closed-verified",M393=""),"Verifier / date missing",IF(AND(N393="Yes",G393="Closed-verified",O393=""),"Monitoring condition needs AIG-OPS-02 evidence ref",IF(AND(G393="Open",F393&lt;TODAY()),"OVERDUE (derived) — review",IF(G393="Unknown","State Unknown: owner to confirm","Check against source")))))))))))))))))))</f>
        <v/>
      </c>
      <c r="K393" s="37" t="n"/>
      <c r="L393" s="37" t="n"/>
      <c r="M393" s="40" t="n"/>
      <c r="N393" s="40" t="n"/>
      <c r="O393" s="40" t="n"/>
    </row>
    <row r="394">
      <c r="A394" s="38" t="n"/>
      <c r="B394" s="38" t="n"/>
      <c r="C394" s="38" t="n"/>
      <c r="D394" s="38" t="n"/>
      <c r="E394" s="38" t="n"/>
      <c r="F394" s="39" t="n"/>
      <c r="G394" s="38" t="n"/>
      <c r="H394" s="39" t="n"/>
      <c r="I394" s="38" t="n"/>
      <c r="J394" s="22">
        <f>IF(COUNTA(A394:I394,K394:O394)=0,"",IF(OR(A394="",B394="",C394=""),"ID / parent missing",IF(COUNTIF($A$4:$A$553,A394)&gt;1,"Duplicate condition ID",IF(COUNTIF('Gate events'!$A$4:$A$553,B394)=0,"Event ID not found",IF(INDEX('Gate events'!$B$4:$B$553,MATCH(B394,'Gate events'!$A$4:$A$553,0))&lt;&gt;C394,"AIR-ID differs from event",IF(IF(INDEX('Gate events'!$P$4:$P$553,MATCH(B394,'Gate events'!$A$4:$A$553,0))="UC-ID specific",IF(OR(L394&lt;&gt;"UC-ID specific",K394=""),"Condition UC-ID required",IF(ISNUMBER(SEARCH(","&amp;SUBSTITUTE(K394," ","")&amp;",",","&amp;SUBSTITUTE(INDEX('Gate events'!$O$4:$O$553,MATCH(B394,'Gate events'!$A$4:$A$553,0))," ","")&amp;",")),"","UC-ID differs from decision")),IF(INDEX('Gate events'!$P$4:$P$553,MATCH(B394,'Gate events'!$A$4:$A$553,0))="Shared system baseline",IF(OR(L394&lt;&gt;"Shared system baseline",K394&lt;&gt;""),"Condition scope differs from decision",""),"Parent decision scope missing"))&lt;&gt;"",IF(INDEX('Gate events'!$P$4:$P$553,MATCH(B394,'Gate events'!$A$4:$A$553,0))="UC-ID specific",IF(OR(L394&lt;&gt;"UC-ID specific",K394=""),"Condition UC-ID required",IF(ISNUMBER(SEARCH(","&amp;SUBSTITUTE(K394," ","")&amp;",",","&amp;SUBSTITUTE(INDEX('Gate events'!$O$4:$O$553,MATCH(B394,'Gate events'!$A$4:$A$553,0))," ","")&amp;",")),"","UC-ID differs from decision")),IF(INDEX('Gate events'!$P$4:$P$553,MATCH(B394,'Gate events'!$A$4:$A$553,0))="Shared system baseline",IF(OR(L394&lt;&gt;"Shared system baseline",K394&lt;&gt;""),"Condition scope differs from decision",""),"Parent decision scope missing")),IF(OR(D394="",E394="",F394="",G394=""),"Condition, owner, due date or state missing",IF(NOT(ISNUMBER(F394)),"Due date is not a date",IF(OR(G394="Overdue",G394="Superseded"),"Legacy state — owner review (use the shared five states)",IF(INDEX('Gate events'!$E$4:$E$553,MATCH(B394,'Gate events'!$A$4:$A$553,0))&lt;&gt;"Decision","Parent event is not a Decision",IF(AND(INDEX('Gate events'!$G$4:$G$553,MATCH(B394,'Gate events'!$A$4:$A$553,0))&lt;&gt;"Progress with condition",INDEX('Gate events'!$G$4:$G$553,MATCH(B394,'Gate events'!$A$4:$A$553,0))&lt;&gt;"Re-authorise",INDEX('Gate events'!$G$4:$G$553,MATCH(B394,'Gate events'!$A$4:$A$553,0))&lt;&gt;"Resume"),"Parent outcome is not Progress with condition / Re-authorise / Resume",IF(AND(ISNUMBER(INDEX('Gate events'!$F$4:$F$553,MATCH(B394,'Gate events'!$A$4:$A$553,0))),F394&lt;INDEX('Gate events'!$F$4:$F$553,MATCH(B394,'Gate events'!$A$4:$A$553,0))),"Due date before parent event date",IF(AND(OR(G394="Closed-verified",G394="Waived",G394="Accepted-open"),OR(H394="",I394="")),"Closure evidence missing",IF(AND(H394&lt;&gt;"",NOT(ISNUMBER(H394))),"Closed / waived on is not a date",IF(AND(ISNUMBER(H394),ISNUMBER(INDEX('Gate events'!$F$4:$F$553,MATCH(B394,'Gate events'!$A$4:$A$553,0))),H394&lt;INDEX('Gate events'!$F$4:$F$553,MATCH(B394,'Gate events'!$A$4:$A$553,0))),"Closure date before parent event date",IF(AND(G394="Closed-verified",M394=""),"Verifier / date missing",IF(AND(N394="Yes",G394="Closed-verified",O394=""),"Monitoring condition needs AIG-OPS-02 evidence ref",IF(AND(G394="Open",F394&lt;TODAY()),"OVERDUE (derived) — review",IF(G394="Unknown","State Unknown: owner to confirm","Check against source")))))))))))))))))))</f>
        <v/>
      </c>
      <c r="K394" s="37" t="n"/>
      <c r="L394" s="37" t="n"/>
      <c r="M394" s="38" t="n"/>
      <c r="N394" s="38" t="n"/>
      <c r="O394" s="38" t="n"/>
    </row>
    <row r="395">
      <c r="A395" s="40" t="n"/>
      <c r="B395" s="40" t="n"/>
      <c r="C395" s="40" t="n"/>
      <c r="D395" s="40" t="n"/>
      <c r="E395" s="40" t="n"/>
      <c r="F395" s="41" t="n"/>
      <c r="G395" s="40" t="n"/>
      <c r="H395" s="41" t="n"/>
      <c r="I395" s="40" t="n"/>
      <c r="J395" s="24">
        <f>IF(COUNTA(A395:I395,K395:O395)=0,"",IF(OR(A395="",B395="",C395=""),"ID / parent missing",IF(COUNTIF($A$4:$A$553,A395)&gt;1,"Duplicate condition ID",IF(COUNTIF('Gate events'!$A$4:$A$553,B395)=0,"Event ID not found",IF(INDEX('Gate events'!$B$4:$B$553,MATCH(B395,'Gate events'!$A$4:$A$553,0))&lt;&gt;C395,"AIR-ID differs from event",IF(IF(INDEX('Gate events'!$P$4:$P$553,MATCH(B395,'Gate events'!$A$4:$A$553,0))="UC-ID specific",IF(OR(L395&lt;&gt;"UC-ID specific",K395=""),"Condition UC-ID required",IF(ISNUMBER(SEARCH(","&amp;SUBSTITUTE(K395," ","")&amp;",",","&amp;SUBSTITUTE(INDEX('Gate events'!$O$4:$O$553,MATCH(B395,'Gate events'!$A$4:$A$553,0))," ","")&amp;",")),"","UC-ID differs from decision")),IF(INDEX('Gate events'!$P$4:$P$553,MATCH(B395,'Gate events'!$A$4:$A$553,0))="Shared system baseline",IF(OR(L395&lt;&gt;"Shared system baseline",K395&lt;&gt;""),"Condition scope differs from decision",""),"Parent decision scope missing"))&lt;&gt;"",IF(INDEX('Gate events'!$P$4:$P$553,MATCH(B395,'Gate events'!$A$4:$A$553,0))="UC-ID specific",IF(OR(L395&lt;&gt;"UC-ID specific",K395=""),"Condition UC-ID required",IF(ISNUMBER(SEARCH(","&amp;SUBSTITUTE(K395," ","")&amp;",",","&amp;SUBSTITUTE(INDEX('Gate events'!$O$4:$O$553,MATCH(B395,'Gate events'!$A$4:$A$553,0))," ","")&amp;",")),"","UC-ID differs from decision")),IF(INDEX('Gate events'!$P$4:$P$553,MATCH(B395,'Gate events'!$A$4:$A$553,0))="Shared system baseline",IF(OR(L395&lt;&gt;"Shared system baseline",K395&lt;&gt;""),"Condition scope differs from decision",""),"Parent decision scope missing")),IF(OR(D395="",E395="",F395="",G395=""),"Condition, owner, due date or state missing",IF(NOT(ISNUMBER(F395)),"Due date is not a date",IF(OR(G395="Overdue",G395="Superseded"),"Legacy state — owner review (use the shared five states)",IF(INDEX('Gate events'!$E$4:$E$553,MATCH(B395,'Gate events'!$A$4:$A$553,0))&lt;&gt;"Decision","Parent event is not a Decision",IF(AND(INDEX('Gate events'!$G$4:$G$553,MATCH(B395,'Gate events'!$A$4:$A$553,0))&lt;&gt;"Progress with condition",INDEX('Gate events'!$G$4:$G$553,MATCH(B395,'Gate events'!$A$4:$A$553,0))&lt;&gt;"Re-authorise",INDEX('Gate events'!$G$4:$G$553,MATCH(B395,'Gate events'!$A$4:$A$553,0))&lt;&gt;"Resume"),"Parent outcome is not Progress with condition / Re-authorise / Resume",IF(AND(ISNUMBER(INDEX('Gate events'!$F$4:$F$553,MATCH(B395,'Gate events'!$A$4:$A$553,0))),F395&lt;INDEX('Gate events'!$F$4:$F$553,MATCH(B395,'Gate events'!$A$4:$A$553,0))),"Due date before parent event date",IF(AND(OR(G395="Closed-verified",G395="Waived",G395="Accepted-open"),OR(H395="",I395="")),"Closure evidence missing",IF(AND(H395&lt;&gt;"",NOT(ISNUMBER(H395))),"Closed / waived on is not a date",IF(AND(ISNUMBER(H395),ISNUMBER(INDEX('Gate events'!$F$4:$F$553,MATCH(B395,'Gate events'!$A$4:$A$553,0))),H395&lt;INDEX('Gate events'!$F$4:$F$553,MATCH(B395,'Gate events'!$A$4:$A$553,0))),"Closure date before parent event date",IF(AND(G395="Closed-verified",M395=""),"Verifier / date missing",IF(AND(N395="Yes",G395="Closed-verified",O395=""),"Monitoring condition needs AIG-OPS-02 evidence ref",IF(AND(G395="Open",F395&lt;TODAY()),"OVERDUE (derived) — review",IF(G395="Unknown","State Unknown: owner to confirm","Check against source")))))))))))))))))))</f>
        <v/>
      </c>
      <c r="K395" s="37" t="n"/>
      <c r="L395" s="37" t="n"/>
      <c r="M395" s="40" t="n"/>
      <c r="N395" s="40" t="n"/>
      <c r="O395" s="40" t="n"/>
    </row>
    <row r="396">
      <c r="A396" s="38" t="n"/>
      <c r="B396" s="38" t="n"/>
      <c r="C396" s="38" t="n"/>
      <c r="D396" s="38" t="n"/>
      <c r="E396" s="38" t="n"/>
      <c r="F396" s="39" t="n"/>
      <c r="G396" s="38" t="n"/>
      <c r="H396" s="39" t="n"/>
      <c r="I396" s="38" t="n"/>
      <c r="J396" s="22">
        <f>IF(COUNTA(A396:I396,K396:O396)=0,"",IF(OR(A396="",B396="",C396=""),"ID / parent missing",IF(COUNTIF($A$4:$A$553,A396)&gt;1,"Duplicate condition ID",IF(COUNTIF('Gate events'!$A$4:$A$553,B396)=0,"Event ID not found",IF(INDEX('Gate events'!$B$4:$B$553,MATCH(B396,'Gate events'!$A$4:$A$553,0))&lt;&gt;C396,"AIR-ID differs from event",IF(IF(INDEX('Gate events'!$P$4:$P$553,MATCH(B396,'Gate events'!$A$4:$A$553,0))="UC-ID specific",IF(OR(L396&lt;&gt;"UC-ID specific",K396=""),"Condition UC-ID required",IF(ISNUMBER(SEARCH(","&amp;SUBSTITUTE(K396," ","")&amp;",",","&amp;SUBSTITUTE(INDEX('Gate events'!$O$4:$O$553,MATCH(B396,'Gate events'!$A$4:$A$553,0))," ","")&amp;",")),"","UC-ID differs from decision")),IF(INDEX('Gate events'!$P$4:$P$553,MATCH(B396,'Gate events'!$A$4:$A$553,0))="Shared system baseline",IF(OR(L396&lt;&gt;"Shared system baseline",K396&lt;&gt;""),"Condition scope differs from decision",""),"Parent decision scope missing"))&lt;&gt;"",IF(INDEX('Gate events'!$P$4:$P$553,MATCH(B396,'Gate events'!$A$4:$A$553,0))="UC-ID specific",IF(OR(L396&lt;&gt;"UC-ID specific",K396=""),"Condition UC-ID required",IF(ISNUMBER(SEARCH(","&amp;SUBSTITUTE(K396," ","")&amp;",",","&amp;SUBSTITUTE(INDEX('Gate events'!$O$4:$O$553,MATCH(B396,'Gate events'!$A$4:$A$553,0))," ","")&amp;",")),"","UC-ID differs from decision")),IF(INDEX('Gate events'!$P$4:$P$553,MATCH(B396,'Gate events'!$A$4:$A$553,0))="Shared system baseline",IF(OR(L396&lt;&gt;"Shared system baseline",K396&lt;&gt;""),"Condition scope differs from decision",""),"Parent decision scope missing")),IF(OR(D396="",E396="",F396="",G396=""),"Condition, owner, due date or state missing",IF(NOT(ISNUMBER(F396)),"Due date is not a date",IF(OR(G396="Overdue",G396="Superseded"),"Legacy state — owner review (use the shared five states)",IF(INDEX('Gate events'!$E$4:$E$553,MATCH(B396,'Gate events'!$A$4:$A$553,0))&lt;&gt;"Decision","Parent event is not a Decision",IF(AND(INDEX('Gate events'!$G$4:$G$553,MATCH(B396,'Gate events'!$A$4:$A$553,0))&lt;&gt;"Progress with condition",INDEX('Gate events'!$G$4:$G$553,MATCH(B396,'Gate events'!$A$4:$A$553,0))&lt;&gt;"Re-authorise",INDEX('Gate events'!$G$4:$G$553,MATCH(B396,'Gate events'!$A$4:$A$553,0))&lt;&gt;"Resume"),"Parent outcome is not Progress with condition / Re-authorise / Resume",IF(AND(ISNUMBER(INDEX('Gate events'!$F$4:$F$553,MATCH(B396,'Gate events'!$A$4:$A$553,0))),F396&lt;INDEX('Gate events'!$F$4:$F$553,MATCH(B396,'Gate events'!$A$4:$A$553,0))),"Due date before parent event date",IF(AND(OR(G396="Closed-verified",G396="Waived",G396="Accepted-open"),OR(H396="",I396="")),"Closure evidence missing",IF(AND(H396&lt;&gt;"",NOT(ISNUMBER(H396))),"Closed / waived on is not a date",IF(AND(ISNUMBER(H396),ISNUMBER(INDEX('Gate events'!$F$4:$F$553,MATCH(B396,'Gate events'!$A$4:$A$553,0))),H396&lt;INDEX('Gate events'!$F$4:$F$553,MATCH(B396,'Gate events'!$A$4:$A$553,0))),"Closure date before parent event date",IF(AND(G396="Closed-verified",M396=""),"Verifier / date missing",IF(AND(N396="Yes",G396="Closed-verified",O396=""),"Monitoring condition needs AIG-OPS-02 evidence ref",IF(AND(G396="Open",F396&lt;TODAY()),"OVERDUE (derived) — review",IF(G396="Unknown","State Unknown: owner to confirm","Check against source")))))))))))))))))))</f>
        <v/>
      </c>
      <c r="K396" s="37" t="n"/>
      <c r="L396" s="37" t="n"/>
      <c r="M396" s="38" t="n"/>
      <c r="N396" s="38" t="n"/>
      <c r="O396" s="38" t="n"/>
    </row>
    <row r="397">
      <c r="A397" s="40" t="n"/>
      <c r="B397" s="40" t="n"/>
      <c r="C397" s="40" t="n"/>
      <c r="D397" s="40" t="n"/>
      <c r="E397" s="40" t="n"/>
      <c r="F397" s="41" t="n"/>
      <c r="G397" s="40" t="n"/>
      <c r="H397" s="41" t="n"/>
      <c r="I397" s="40" t="n"/>
      <c r="J397" s="24">
        <f>IF(COUNTA(A397:I397,K397:O397)=0,"",IF(OR(A397="",B397="",C397=""),"ID / parent missing",IF(COUNTIF($A$4:$A$553,A397)&gt;1,"Duplicate condition ID",IF(COUNTIF('Gate events'!$A$4:$A$553,B397)=0,"Event ID not found",IF(INDEX('Gate events'!$B$4:$B$553,MATCH(B397,'Gate events'!$A$4:$A$553,0))&lt;&gt;C397,"AIR-ID differs from event",IF(IF(INDEX('Gate events'!$P$4:$P$553,MATCH(B397,'Gate events'!$A$4:$A$553,0))="UC-ID specific",IF(OR(L397&lt;&gt;"UC-ID specific",K397=""),"Condition UC-ID required",IF(ISNUMBER(SEARCH(","&amp;SUBSTITUTE(K397," ","")&amp;",",","&amp;SUBSTITUTE(INDEX('Gate events'!$O$4:$O$553,MATCH(B397,'Gate events'!$A$4:$A$553,0))," ","")&amp;",")),"","UC-ID differs from decision")),IF(INDEX('Gate events'!$P$4:$P$553,MATCH(B397,'Gate events'!$A$4:$A$553,0))="Shared system baseline",IF(OR(L397&lt;&gt;"Shared system baseline",K397&lt;&gt;""),"Condition scope differs from decision",""),"Parent decision scope missing"))&lt;&gt;"",IF(INDEX('Gate events'!$P$4:$P$553,MATCH(B397,'Gate events'!$A$4:$A$553,0))="UC-ID specific",IF(OR(L397&lt;&gt;"UC-ID specific",K397=""),"Condition UC-ID required",IF(ISNUMBER(SEARCH(","&amp;SUBSTITUTE(K397," ","")&amp;",",","&amp;SUBSTITUTE(INDEX('Gate events'!$O$4:$O$553,MATCH(B397,'Gate events'!$A$4:$A$553,0))," ","")&amp;",")),"","UC-ID differs from decision")),IF(INDEX('Gate events'!$P$4:$P$553,MATCH(B397,'Gate events'!$A$4:$A$553,0))="Shared system baseline",IF(OR(L397&lt;&gt;"Shared system baseline",K397&lt;&gt;""),"Condition scope differs from decision",""),"Parent decision scope missing")),IF(OR(D397="",E397="",F397="",G397=""),"Condition, owner, due date or state missing",IF(NOT(ISNUMBER(F397)),"Due date is not a date",IF(OR(G397="Overdue",G397="Superseded"),"Legacy state — owner review (use the shared five states)",IF(INDEX('Gate events'!$E$4:$E$553,MATCH(B397,'Gate events'!$A$4:$A$553,0))&lt;&gt;"Decision","Parent event is not a Decision",IF(AND(INDEX('Gate events'!$G$4:$G$553,MATCH(B397,'Gate events'!$A$4:$A$553,0))&lt;&gt;"Progress with condition",INDEX('Gate events'!$G$4:$G$553,MATCH(B397,'Gate events'!$A$4:$A$553,0))&lt;&gt;"Re-authorise",INDEX('Gate events'!$G$4:$G$553,MATCH(B397,'Gate events'!$A$4:$A$553,0))&lt;&gt;"Resume"),"Parent outcome is not Progress with condition / Re-authorise / Resume",IF(AND(ISNUMBER(INDEX('Gate events'!$F$4:$F$553,MATCH(B397,'Gate events'!$A$4:$A$553,0))),F397&lt;INDEX('Gate events'!$F$4:$F$553,MATCH(B397,'Gate events'!$A$4:$A$553,0))),"Due date before parent event date",IF(AND(OR(G397="Closed-verified",G397="Waived",G397="Accepted-open"),OR(H397="",I397="")),"Closure evidence missing",IF(AND(H397&lt;&gt;"",NOT(ISNUMBER(H397))),"Closed / waived on is not a date",IF(AND(ISNUMBER(H397),ISNUMBER(INDEX('Gate events'!$F$4:$F$553,MATCH(B397,'Gate events'!$A$4:$A$553,0))),H397&lt;INDEX('Gate events'!$F$4:$F$553,MATCH(B397,'Gate events'!$A$4:$A$553,0))),"Closure date before parent event date",IF(AND(G397="Closed-verified",M397=""),"Verifier / date missing",IF(AND(N397="Yes",G397="Closed-verified",O397=""),"Monitoring condition needs AIG-OPS-02 evidence ref",IF(AND(G397="Open",F397&lt;TODAY()),"OVERDUE (derived) — review",IF(G397="Unknown","State Unknown: owner to confirm","Check against source")))))))))))))))))))</f>
        <v/>
      </c>
      <c r="K397" s="37" t="n"/>
      <c r="L397" s="37" t="n"/>
      <c r="M397" s="40" t="n"/>
      <c r="N397" s="40" t="n"/>
      <c r="O397" s="40" t="n"/>
    </row>
    <row r="398">
      <c r="A398" s="38" t="n"/>
      <c r="B398" s="38" t="n"/>
      <c r="C398" s="38" t="n"/>
      <c r="D398" s="38" t="n"/>
      <c r="E398" s="38" t="n"/>
      <c r="F398" s="39" t="n"/>
      <c r="G398" s="38" t="n"/>
      <c r="H398" s="39" t="n"/>
      <c r="I398" s="38" t="n"/>
      <c r="J398" s="22">
        <f>IF(COUNTA(A398:I398,K398:O398)=0,"",IF(OR(A398="",B398="",C398=""),"ID / parent missing",IF(COUNTIF($A$4:$A$553,A398)&gt;1,"Duplicate condition ID",IF(COUNTIF('Gate events'!$A$4:$A$553,B398)=0,"Event ID not found",IF(INDEX('Gate events'!$B$4:$B$553,MATCH(B398,'Gate events'!$A$4:$A$553,0))&lt;&gt;C398,"AIR-ID differs from event",IF(IF(INDEX('Gate events'!$P$4:$P$553,MATCH(B398,'Gate events'!$A$4:$A$553,0))="UC-ID specific",IF(OR(L398&lt;&gt;"UC-ID specific",K398=""),"Condition UC-ID required",IF(ISNUMBER(SEARCH(","&amp;SUBSTITUTE(K398," ","")&amp;",",","&amp;SUBSTITUTE(INDEX('Gate events'!$O$4:$O$553,MATCH(B398,'Gate events'!$A$4:$A$553,0))," ","")&amp;",")),"","UC-ID differs from decision")),IF(INDEX('Gate events'!$P$4:$P$553,MATCH(B398,'Gate events'!$A$4:$A$553,0))="Shared system baseline",IF(OR(L398&lt;&gt;"Shared system baseline",K398&lt;&gt;""),"Condition scope differs from decision",""),"Parent decision scope missing"))&lt;&gt;"",IF(INDEX('Gate events'!$P$4:$P$553,MATCH(B398,'Gate events'!$A$4:$A$553,0))="UC-ID specific",IF(OR(L398&lt;&gt;"UC-ID specific",K398=""),"Condition UC-ID required",IF(ISNUMBER(SEARCH(","&amp;SUBSTITUTE(K398," ","")&amp;",",","&amp;SUBSTITUTE(INDEX('Gate events'!$O$4:$O$553,MATCH(B398,'Gate events'!$A$4:$A$553,0))," ","")&amp;",")),"","UC-ID differs from decision")),IF(INDEX('Gate events'!$P$4:$P$553,MATCH(B398,'Gate events'!$A$4:$A$553,0))="Shared system baseline",IF(OR(L398&lt;&gt;"Shared system baseline",K398&lt;&gt;""),"Condition scope differs from decision",""),"Parent decision scope missing")),IF(OR(D398="",E398="",F398="",G398=""),"Condition, owner, due date or state missing",IF(NOT(ISNUMBER(F398)),"Due date is not a date",IF(OR(G398="Overdue",G398="Superseded"),"Legacy state — owner review (use the shared five states)",IF(INDEX('Gate events'!$E$4:$E$553,MATCH(B398,'Gate events'!$A$4:$A$553,0))&lt;&gt;"Decision","Parent event is not a Decision",IF(AND(INDEX('Gate events'!$G$4:$G$553,MATCH(B398,'Gate events'!$A$4:$A$553,0))&lt;&gt;"Progress with condition",INDEX('Gate events'!$G$4:$G$553,MATCH(B398,'Gate events'!$A$4:$A$553,0))&lt;&gt;"Re-authorise",INDEX('Gate events'!$G$4:$G$553,MATCH(B398,'Gate events'!$A$4:$A$553,0))&lt;&gt;"Resume"),"Parent outcome is not Progress with condition / Re-authorise / Resume",IF(AND(ISNUMBER(INDEX('Gate events'!$F$4:$F$553,MATCH(B398,'Gate events'!$A$4:$A$553,0))),F398&lt;INDEX('Gate events'!$F$4:$F$553,MATCH(B398,'Gate events'!$A$4:$A$553,0))),"Due date before parent event date",IF(AND(OR(G398="Closed-verified",G398="Waived",G398="Accepted-open"),OR(H398="",I398="")),"Closure evidence missing",IF(AND(H398&lt;&gt;"",NOT(ISNUMBER(H398))),"Closed / waived on is not a date",IF(AND(ISNUMBER(H398),ISNUMBER(INDEX('Gate events'!$F$4:$F$553,MATCH(B398,'Gate events'!$A$4:$A$553,0))),H398&lt;INDEX('Gate events'!$F$4:$F$553,MATCH(B398,'Gate events'!$A$4:$A$553,0))),"Closure date before parent event date",IF(AND(G398="Closed-verified",M398=""),"Verifier / date missing",IF(AND(N398="Yes",G398="Closed-verified",O398=""),"Monitoring condition needs AIG-OPS-02 evidence ref",IF(AND(G398="Open",F398&lt;TODAY()),"OVERDUE (derived) — review",IF(G398="Unknown","State Unknown: owner to confirm","Check against source")))))))))))))))))))</f>
        <v/>
      </c>
      <c r="K398" s="37" t="n"/>
      <c r="L398" s="37" t="n"/>
      <c r="M398" s="38" t="n"/>
      <c r="N398" s="38" t="n"/>
      <c r="O398" s="38" t="n"/>
    </row>
    <row r="399">
      <c r="A399" s="40" t="n"/>
      <c r="B399" s="40" t="n"/>
      <c r="C399" s="40" t="n"/>
      <c r="D399" s="40" t="n"/>
      <c r="E399" s="40" t="n"/>
      <c r="F399" s="41" t="n"/>
      <c r="G399" s="40" t="n"/>
      <c r="H399" s="41" t="n"/>
      <c r="I399" s="40" t="n"/>
      <c r="J399" s="24">
        <f>IF(COUNTA(A399:I399,K399:O399)=0,"",IF(OR(A399="",B399="",C399=""),"ID / parent missing",IF(COUNTIF($A$4:$A$553,A399)&gt;1,"Duplicate condition ID",IF(COUNTIF('Gate events'!$A$4:$A$553,B399)=0,"Event ID not found",IF(INDEX('Gate events'!$B$4:$B$553,MATCH(B399,'Gate events'!$A$4:$A$553,0))&lt;&gt;C399,"AIR-ID differs from event",IF(IF(INDEX('Gate events'!$P$4:$P$553,MATCH(B399,'Gate events'!$A$4:$A$553,0))="UC-ID specific",IF(OR(L399&lt;&gt;"UC-ID specific",K399=""),"Condition UC-ID required",IF(ISNUMBER(SEARCH(","&amp;SUBSTITUTE(K399," ","")&amp;",",","&amp;SUBSTITUTE(INDEX('Gate events'!$O$4:$O$553,MATCH(B399,'Gate events'!$A$4:$A$553,0))," ","")&amp;",")),"","UC-ID differs from decision")),IF(INDEX('Gate events'!$P$4:$P$553,MATCH(B399,'Gate events'!$A$4:$A$553,0))="Shared system baseline",IF(OR(L399&lt;&gt;"Shared system baseline",K399&lt;&gt;""),"Condition scope differs from decision",""),"Parent decision scope missing"))&lt;&gt;"",IF(INDEX('Gate events'!$P$4:$P$553,MATCH(B399,'Gate events'!$A$4:$A$553,0))="UC-ID specific",IF(OR(L399&lt;&gt;"UC-ID specific",K399=""),"Condition UC-ID required",IF(ISNUMBER(SEARCH(","&amp;SUBSTITUTE(K399," ","")&amp;",",","&amp;SUBSTITUTE(INDEX('Gate events'!$O$4:$O$553,MATCH(B399,'Gate events'!$A$4:$A$553,0))," ","")&amp;",")),"","UC-ID differs from decision")),IF(INDEX('Gate events'!$P$4:$P$553,MATCH(B399,'Gate events'!$A$4:$A$553,0))="Shared system baseline",IF(OR(L399&lt;&gt;"Shared system baseline",K399&lt;&gt;""),"Condition scope differs from decision",""),"Parent decision scope missing")),IF(OR(D399="",E399="",F399="",G399=""),"Condition, owner, due date or state missing",IF(NOT(ISNUMBER(F399)),"Due date is not a date",IF(OR(G399="Overdue",G399="Superseded"),"Legacy state — owner review (use the shared five states)",IF(INDEX('Gate events'!$E$4:$E$553,MATCH(B399,'Gate events'!$A$4:$A$553,0))&lt;&gt;"Decision","Parent event is not a Decision",IF(AND(INDEX('Gate events'!$G$4:$G$553,MATCH(B399,'Gate events'!$A$4:$A$553,0))&lt;&gt;"Progress with condition",INDEX('Gate events'!$G$4:$G$553,MATCH(B399,'Gate events'!$A$4:$A$553,0))&lt;&gt;"Re-authorise",INDEX('Gate events'!$G$4:$G$553,MATCH(B399,'Gate events'!$A$4:$A$553,0))&lt;&gt;"Resume"),"Parent outcome is not Progress with condition / Re-authorise / Resume",IF(AND(ISNUMBER(INDEX('Gate events'!$F$4:$F$553,MATCH(B399,'Gate events'!$A$4:$A$553,0))),F399&lt;INDEX('Gate events'!$F$4:$F$553,MATCH(B399,'Gate events'!$A$4:$A$553,0))),"Due date before parent event date",IF(AND(OR(G399="Closed-verified",G399="Waived",G399="Accepted-open"),OR(H399="",I399="")),"Closure evidence missing",IF(AND(H399&lt;&gt;"",NOT(ISNUMBER(H399))),"Closed / waived on is not a date",IF(AND(ISNUMBER(H399),ISNUMBER(INDEX('Gate events'!$F$4:$F$553,MATCH(B399,'Gate events'!$A$4:$A$553,0))),H399&lt;INDEX('Gate events'!$F$4:$F$553,MATCH(B399,'Gate events'!$A$4:$A$553,0))),"Closure date before parent event date",IF(AND(G399="Closed-verified",M399=""),"Verifier / date missing",IF(AND(N399="Yes",G399="Closed-verified",O399=""),"Monitoring condition needs AIG-OPS-02 evidence ref",IF(AND(G399="Open",F399&lt;TODAY()),"OVERDUE (derived) — review",IF(G399="Unknown","State Unknown: owner to confirm","Check against source")))))))))))))))))))</f>
        <v/>
      </c>
      <c r="K399" s="37" t="n"/>
      <c r="L399" s="37" t="n"/>
      <c r="M399" s="40" t="n"/>
      <c r="N399" s="40" t="n"/>
      <c r="O399" s="40" t="n"/>
    </row>
    <row r="400">
      <c r="A400" s="38" t="n"/>
      <c r="B400" s="38" t="n"/>
      <c r="C400" s="38" t="n"/>
      <c r="D400" s="38" t="n"/>
      <c r="E400" s="38" t="n"/>
      <c r="F400" s="39" t="n"/>
      <c r="G400" s="38" t="n"/>
      <c r="H400" s="39" t="n"/>
      <c r="I400" s="38" t="n"/>
      <c r="J400" s="22">
        <f>IF(COUNTA(A400:I400,K400:O400)=0,"",IF(OR(A400="",B400="",C400=""),"ID / parent missing",IF(COUNTIF($A$4:$A$553,A400)&gt;1,"Duplicate condition ID",IF(COUNTIF('Gate events'!$A$4:$A$553,B400)=0,"Event ID not found",IF(INDEX('Gate events'!$B$4:$B$553,MATCH(B400,'Gate events'!$A$4:$A$553,0))&lt;&gt;C400,"AIR-ID differs from event",IF(IF(INDEX('Gate events'!$P$4:$P$553,MATCH(B400,'Gate events'!$A$4:$A$553,0))="UC-ID specific",IF(OR(L400&lt;&gt;"UC-ID specific",K400=""),"Condition UC-ID required",IF(ISNUMBER(SEARCH(","&amp;SUBSTITUTE(K400," ","")&amp;",",","&amp;SUBSTITUTE(INDEX('Gate events'!$O$4:$O$553,MATCH(B400,'Gate events'!$A$4:$A$553,0))," ","")&amp;",")),"","UC-ID differs from decision")),IF(INDEX('Gate events'!$P$4:$P$553,MATCH(B400,'Gate events'!$A$4:$A$553,0))="Shared system baseline",IF(OR(L400&lt;&gt;"Shared system baseline",K400&lt;&gt;""),"Condition scope differs from decision",""),"Parent decision scope missing"))&lt;&gt;"",IF(INDEX('Gate events'!$P$4:$P$553,MATCH(B400,'Gate events'!$A$4:$A$553,0))="UC-ID specific",IF(OR(L400&lt;&gt;"UC-ID specific",K400=""),"Condition UC-ID required",IF(ISNUMBER(SEARCH(","&amp;SUBSTITUTE(K400," ","")&amp;",",","&amp;SUBSTITUTE(INDEX('Gate events'!$O$4:$O$553,MATCH(B400,'Gate events'!$A$4:$A$553,0))," ","")&amp;",")),"","UC-ID differs from decision")),IF(INDEX('Gate events'!$P$4:$P$553,MATCH(B400,'Gate events'!$A$4:$A$553,0))="Shared system baseline",IF(OR(L400&lt;&gt;"Shared system baseline",K400&lt;&gt;""),"Condition scope differs from decision",""),"Parent decision scope missing")),IF(OR(D400="",E400="",F400="",G400=""),"Condition, owner, due date or state missing",IF(NOT(ISNUMBER(F400)),"Due date is not a date",IF(OR(G400="Overdue",G400="Superseded"),"Legacy state — owner review (use the shared five states)",IF(INDEX('Gate events'!$E$4:$E$553,MATCH(B400,'Gate events'!$A$4:$A$553,0))&lt;&gt;"Decision","Parent event is not a Decision",IF(AND(INDEX('Gate events'!$G$4:$G$553,MATCH(B400,'Gate events'!$A$4:$A$553,0))&lt;&gt;"Progress with condition",INDEX('Gate events'!$G$4:$G$553,MATCH(B400,'Gate events'!$A$4:$A$553,0))&lt;&gt;"Re-authorise",INDEX('Gate events'!$G$4:$G$553,MATCH(B400,'Gate events'!$A$4:$A$553,0))&lt;&gt;"Resume"),"Parent outcome is not Progress with condition / Re-authorise / Resume",IF(AND(ISNUMBER(INDEX('Gate events'!$F$4:$F$553,MATCH(B400,'Gate events'!$A$4:$A$553,0))),F400&lt;INDEX('Gate events'!$F$4:$F$553,MATCH(B400,'Gate events'!$A$4:$A$553,0))),"Due date before parent event date",IF(AND(OR(G400="Closed-verified",G400="Waived",G400="Accepted-open"),OR(H400="",I400="")),"Closure evidence missing",IF(AND(H400&lt;&gt;"",NOT(ISNUMBER(H400))),"Closed / waived on is not a date",IF(AND(ISNUMBER(H400),ISNUMBER(INDEX('Gate events'!$F$4:$F$553,MATCH(B400,'Gate events'!$A$4:$A$553,0))),H400&lt;INDEX('Gate events'!$F$4:$F$553,MATCH(B400,'Gate events'!$A$4:$A$553,0))),"Closure date before parent event date",IF(AND(G400="Closed-verified",M400=""),"Verifier / date missing",IF(AND(N400="Yes",G400="Closed-verified",O400=""),"Monitoring condition needs AIG-OPS-02 evidence ref",IF(AND(G400="Open",F400&lt;TODAY()),"OVERDUE (derived) — review",IF(G400="Unknown","State Unknown: owner to confirm","Check against source")))))))))))))))))))</f>
        <v/>
      </c>
      <c r="K400" s="37" t="n"/>
      <c r="L400" s="37" t="n"/>
      <c r="M400" s="38" t="n"/>
      <c r="N400" s="38" t="n"/>
      <c r="O400" s="38" t="n"/>
    </row>
    <row r="401">
      <c r="A401" s="40" t="n"/>
      <c r="B401" s="40" t="n"/>
      <c r="C401" s="40" t="n"/>
      <c r="D401" s="40" t="n"/>
      <c r="E401" s="40" t="n"/>
      <c r="F401" s="41" t="n"/>
      <c r="G401" s="40" t="n"/>
      <c r="H401" s="41" t="n"/>
      <c r="I401" s="40" t="n"/>
      <c r="J401" s="24">
        <f>IF(COUNTA(A401:I401,K401:O401)=0,"",IF(OR(A401="",B401="",C401=""),"ID / parent missing",IF(COUNTIF($A$4:$A$553,A401)&gt;1,"Duplicate condition ID",IF(COUNTIF('Gate events'!$A$4:$A$553,B401)=0,"Event ID not found",IF(INDEX('Gate events'!$B$4:$B$553,MATCH(B401,'Gate events'!$A$4:$A$553,0))&lt;&gt;C401,"AIR-ID differs from event",IF(IF(INDEX('Gate events'!$P$4:$P$553,MATCH(B401,'Gate events'!$A$4:$A$553,0))="UC-ID specific",IF(OR(L401&lt;&gt;"UC-ID specific",K401=""),"Condition UC-ID required",IF(ISNUMBER(SEARCH(","&amp;SUBSTITUTE(K401," ","")&amp;",",","&amp;SUBSTITUTE(INDEX('Gate events'!$O$4:$O$553,MATCH(B401,'Gate events'!$A$4:$A$553,0))," ","")&amp;",")),"","UC-ID differs from decision")),IF(INDEX('Gate events'!$P$4:$P$553,MATCH(B401,'Gate events'!$A$4:$A$553,0))="Shared system baseline",IF(OR(L401&lt;&gt;"Shared system baseline",K401&lt;&gt;""),"Condition scope differs from decision",""),"Parent decision scope missing"))&lt;&gt;"",IF(INDEX('Gate events'!$P$4:$P$553,MATCH(B401,'Gate events'!$A$4:$A$553,0))="UC-ID specific",IF(OR(L401&lt;&gt;"UC-ID specific",K401=""),"Condition UC-ID required",IF(ISNUMBER(SEARCH(","&amp;SUBSTITUTE(K401," ","")&amp;",",","&amp;SUBSTITUTE(INDEX('Gate events'!$O$4:$O$553,MATCH(B401,'Gate events'!$A$4:$A$553,0))," ","")&amp;",")),"","UC-ID differs from decision")),IF(INDEX('Gate events'!$P$4:$P$553,MATCH(B401,'Gate events'!$A$4:$A$553,0))="Shared system baseline",IF(OR(L401&lt;&gt;"Shared system baseline",K401&lt;&gt;""),"Condition scope differs from decision",""),"Parent decision scope missing")),IF(OR(D401="",E401="",F401="",G401=""),"Condition, owner, due date or state missing",IF(NOT(ISNUMBER(F401)),"Due date is not a date",IF(OR(G401="Overdue",G401="Superseded"),"Legacy state — owner review (use the shared five states)",IF(INDEX('Gate events'!$E$4:$E$553,MATCH(B401,'Gate events'!$A$4:$A$553,0))&lt;&gt;"Decision","Parent event is not a Decision",IF(AND(INDEX('Gate events'!$G$4:$G$553,MATCH(B401,'Gate events'!$A$4:$A$553,0))&lt;&gt;"Progress with condition",INDEX('Gate events'!$G$4:$G$553,MATCH(B401,'Gate events'!$A$4:$A$553,0))&lt;&gt;"Re-authorise",INDEX('Gate events'!$G$4:$G$553,MATCH(B401,'Gate events'!$A$4:$A$553,0))&lt;&gt;"Resume"),"Parent outcome is not Progress with condition / Re-authorise / Resume",IF(AND(ISNUMBER(INDEX('Gate events'!$F$4:$F$553,MATCH(B401,'Gate events'!$A$4:$A$553,0))),F401&lt;INDEX('Gate events'!$F$4:$F$553,MATCH(B401,'Gate events'!$A$4:$A$553,0))),"Due date before parent event date",IF(AND(OR(G401="Closed-verified",G401="Waived",G401="Accepted-open"),OR(H401="",I401="")),"Closure evidence missing",IF(AND(H401&lt;&gt;"",NOT(ISNUMBER(H401))),"Closed / waived on is not a date",IF(AND(ISNUMBER(H401),ISNUMBER(INDEX('Gate events'!$F$4:$F$553,MATCH(B401,'Gate events'!$A$4:$A$553,0))),H401&lt;INDEX('Gate events'!$F$4:$F$553,MATCH(B401,'Gate events'!$A$4:$A$553,0))),"Closure date before parent event date",IF(AND(G401="Closed-verified",M401=""),"Verifier / date missing",IF(AND(N401="Yes",G401="Closed-verified",O401=""),"Monitoring condition needs AIG-OPS-02 evidence ref",IF(AND(G401="Open",F401&lt;TODAY()),"OVERDUE (derived) — review",IF(G401="Unknown","State Unknown: owner to confirm","Check against source")))))))))))))))))))</f>
        <v/>
      </c>
      <c r="K401" s="37" t="n"/>
      <c r="L401" s="37" t="n"/>
      <c r="M401" s="40" t="n"/>
      <c r="N401" s="40" t="n"/>
      <c r="O401" s="40" t="n"/>
    </row>
    <row r="402">
      <c r="A402" s="38" t="n"/>
      <c r="B402" s="38" t="n"/>
      <c r="C402" s="38" t="n"/>
      <c r="D402" s="38" t="n"/>
      <c r="E402" s="38" t="n"/>
      <c r="F402" s="39" t="n"/>
      <c r="G402" s="38" t="n"/>
      <c r="H402" s="39" t="n"/>
      <c r="I402" s="38" t="n"/>
      <c r="J402" s="22">
        <f>IF(COUNTA(A402:I402,K402:O402)=0,"",IF(OR(A402="",B402="",C402=""),"ID / parent missing",IF(COUNTIF($A$4:$A$553,A402)&gt;1,"Duplicate condition ID",IF(COUNTIF('Gate events'!$A$4:$A$553,B402)=0,"Event ID not found",IF(INDEX('Gate events'!$B$4:$B$553,MATCH(B402,'Gate events'!$A$4:$A$553,0))&lt;&gt;C402,"AIR-ID differs from event",IF(IF(INDEX('Gate events'!$P$4:$P$553,MATCH(B402,'Gate events'!$A$4:$A$553,0))="UC-ID specific",IF(OR(L402&lt;&gt;"UC-ID specific",K402=""),"Condition UC-ID required",IF(ISNUMBER(SEARCH(","&amp;SUBSTITUTE(K402," ","")&amp;",",","&amp;SUBSTITUTE(INDEX('Gate events'!$O$4:$O$553,MATCH(B402,'Gate events'!$A$4:$A$553,0))," ","")&amp;",")),"","UC-ID differs from decision")),IF(INDEX('Gate events'!$P$4:$P$553,MATCH(B402,'Gate events'!$A$4:$A$553,0))="Shared system baseline",IF(OR(L402&lt;&gt;"Shared system baseline",K402&lt;&gt;""),"Condition scope differs from decision",""),"Parent decision scope missing"))&lt;&gt;"",IF(INDEX('Gate events'!$P$4:$P$553,MATCH(B402,'Gate events'!$A$4:$A$553,0))="UC-ID specific",IF(OR(L402&lt;&gt;"UC-ID specific",K402=""),"Condition UC-ID required",IF(ISNUMBER(SEARCH(","&amp;SUBSTITUTE(K402," ","")&amp;",",","&amp;SUBSTITUTE(INDEX('Gate events'!$O$4:$O$553,MATCH(B402,'Gate events'!$A$4:$A$553,0))," ","")&amp;",")),"","UC-ID differs from decision")),IF(INDEX('Gate events'!$P$4:$P$553,MATCH(B402,'Gate events'!$A$4:$A$553,0))="Shared system baseline",IF(OR(L402&lt;&gt;"Shared system baseline",K402&lt;&gt;""),"Condition scope differs from decision",""),"Parent decision scope missing")),IF(OR(D402="",E402="",F402="",G402=""),"Condition, owner, due date or state missing",IF(NOT(ISNUMBER(F402)),"Due date is not a date",IF(OR(G402="Overdue",G402="Superseded"),"Legacy state — owner review (use the shared five states)",IF(INDEX('Gate events'!$E$4:$E$553,MATCH(B402,'Gate events'!$A$4:$A$553,0))&lt;&gt;"Decision","Parent event is not a Decision",IF(AND(INDEX('Gate events'!$G$4:$G$553,MATCH(B402,'Gate events'!$A$4:$A$553,0))&lt;&gt;"Progress with condition",INDEX('Gate events'!$G$4:$G$553,MATCH(B402,'Gate events'!$A$4:$A$553,0))&lt;&gt;"Re-authorise",INDEX('Gate events'!$G$4:$G$553,MATCH(B402,'Gate events'!$A$4:$A$553,0))&lt;&gt;"Resume"),"Parent outcome is not Progress with condition / Re-authorise / Resume",IF(AND(ISNUMBER(INDEX('Gate events'!$F$4:$F$553,MATCH(B402,'Gate events'!$A$4:$A$553,0))),F402&lt;INDEX('Gate events'!$F$4:$F$553,MATCH(B402,'Gate events'!$A$4:$A$553,0))),"Due date before parent event date",IF(AND(OR(G402="Closed-verified",G402="Waived",G402="Accepted-open"),OR(H402="",I402="")),"Closure evidence missing",IF(AND(H402&lt;&gt;"",NOT(ISNUMBER(H402))),"Closed / waived on is not a date",IF(AND(ISNUMBER(H402),ISNUMBER(INDEX('Gate events'!$F$4:$F$553,MATCH(B402,'Gate events'!$A$4:$A$553,0))),H402&lt;INDEX('Gate events'!$F$4:$F$553,MATCH(B402,'Gate events'!$A$4:$A$553,0))),"Closure date before parent event date",IF(AND(G402="Closed-verified",M402=""),"Verifier / date missing",IF(AND(N402="Yes",G402="Closed-verified",O402=""),"Monitoring condition needs AIG-OPS-02 evidence ref",IF(AND(G402="Open",F402&lt;TODAY()),"OVERDUE (derived) — review",IF(G402="Unknown","State Unknown: owner to confirm","Check against source")))))))))))))))))))</f>
        <v/>
      </c>
      <c r="K402" s="37" t="n"/>
      <c r="L402" s="37" t="n"/>
      <c r="M402" s="38" t="n"/>
      <c r="N402" s="38" t="n"/>
      <c r="O402" s="38" t="n"/>
    </row>
    <row r="403">
      <c r="A403" s="40" t="n"/>
      <c r="B403" s="40" t="n"/>
      <c r="C403" s="40" t="n"/>
      <c r="D403" s="40" t="n"/>
      <c r="E403" s="40" t="n"/>
      <c r="F403" s="41" t="n"/>
      <c r="G403" s="40" t="n"/>
      <c r="H403" s="41" t="n"/>
      <c r="I403" s="40" t="n"/>
      <c r="J403" s="24">
        <f>IF(COUNTA(A403:I403,K403:O403)=0,"",IF(OR(A403="",B403="",C403=""),"ID / parent missing",IF(COUNTIF($A$4:$A$553,A403)&gt;1,"Duplicate condition ID",IF(COUNTIF('Gate events'!$A$4:$A$553,B403)=0,"Event ID not found",IF(INDEX('Gate events'!$B$4:$B$553,MATCH(B403,'Gate events'!$A$4:$A$553,0))&lt;&gt;C403,"AIR-ID differs from event",IF(IF(INDEX('Gate events'!$P$4:$P$553,MATCH(B403,'Gate events'!$A$4:$A$553,0))="UC-ID specific",IF(OR(L403&lt;&gt;"UC-ID specific",K403=""),"Condition UC-ID required",IF(ISNUMBER(SEARCH(","&amp;SUBSTITUTE(K403," ","")&amp;",",","&amp;SUBSTITUTE(INDEX('Gate events'!$O$4:$O$553,MATCH(B403,'Gate events'!$A$4:$A$553,0))," ","")&amp;",")),"","UC-ID differs from decision")),IF(INDEX('Gate events'!$P$4:$P$553,MATCH(B403,'Gate events'!$A$4:$A$553,0))="Shared system baseline",IF(OR(L403&lt;&gt;"Shared system baseline",K403&lt;&gt;""),"Condition scope differs from decision",""),"Parent decision scope missing"))&lt;&gt;"",IF(INDEX('Gate events'!$P$4:$P$553,MATCH(B403,'Gate events'!$A$4:$A$553,0))="UC-ID specific",IF(OR(L403&lt;&gt;"UC-ID specific",K403=""),"Condition UC-ID required",IF(ISNUMBER(SEARCH(","&amp;SUBSTITUTE(K403," ","")&amp;",",","&amp;SUBSTITUTE(INDEX('Gate events'!$O$4:$O$553,MATCH(B403,'Gate events'!$A$4:$A$553,0))," ","")&amp;",")),"","UC-ID differs from decision")),IF(INDEX('Gate events'!$P$4:$P$553,MATCH(B403,'Gate events'!$A$4:$A$553,0))="Shared system baseline",IF(OR(L403&lt;&gt;"Shared system baseline",K403&lt;&gt;""),"Condition scope differs from decision",""),"Parent decision scope missing")),IF(OR(D403="",E403="",F403="",G403=""),"Condition, owner, due date or state missing",IF(NOT(ISNUMBER(F403)),"Due date is not a date",IF(OR(G403="Overdue",G403="Superseded"),"Legacy state — owner review (use the shared five states)",IF(INDEX('Gate events'!$E$4:$E$553,MATCH(B403,'Gate events'!$A$4:$A$553,0))&lt;&gt;"Decision","Parent event is not a Decision",IF(AND(INDEX('Gate events'!$G$4:$G$553,MATCH(B403,'Gate events'!$A$4:$A$553,0))&lt;&gt;"Progress with condition",INDEX('Gate events'!$G$4:$G$553,MATCH(B403,'Gate events'!$A$4:$A$553,0))&lt;&gt;"Re-authorise",INDEX('Gate events'!$G$4:$G$553,MATCH(B403,'Gate events'!$A$4:$A$553,0))&lt;&gt;"Resume"),"Parent outcome is not Progress with condition / Re-authorise / Resume",IF(AND(ISNUMBER(INDEX('Gate events'!$F$4:$F$553,MATCH(B403,'Gate events'!$A$4:$A$553,0))),F403&lt;INDEX('Gate events'!$F$4:$F$553,MATCH(B403,'Gate events'!$A$4:$A$553,0))),"Due date before parent event date",IF(AND(OR(G403="Closed-verified",G403="Waived",G403="Accepted-open"),OR(H403="",I403="")),"Closure evidence missing",IF(AND(H403&lt;&gt;"",NOT(ISNUMBER(H403))),"Closed / waived on is not a date",IF(AND(ISNUMBER(H403),ISNUMBER(INDEX('Gate events'!$F$4:$F$553,MATCH(B403,'Gate events'!$A$4:$A$553,0))),H403&lt;INDEX('Gate events'!$F$4:$F$553,MATCH(B403,'Gate events'!$A$4:$A$553,0))),"Closure date before parent event date",IF(AND(G403="Closed-verified",M403=""),"Verifier / date missing",IF(AND(N403="Yes",G403="Closed-verified",O403=""),"Monitoring condition needs AIG-OPS-02 evidence ref",IF(AND(G403="Open",F403&lt;TODAY()),"OVERDUE (derived) — review",IF(G403="Unknown","State Unknown: owner to confirm","Check against source")))))))))))))))))))</f>
        <v/>
      </c>
      <c r="K403" s="37" t="n"/>
      <c r="L403" s="37" t="n"/>
      <c r="M403" s="40" t="n"/>
      <c r="N403" s="40" t="n"/>
      <c r="O403" s="40" t="n"/>
    </row>
    <row r="404">
      <c r="A404" s="38" t="n"/>
      <c r="B404" s="38" t="n"/>
      <c r="C404" s="38" t="n"/>
      <c r="D404" s="38" t="n"/>
      <c r="E404" s="38" t="n"/>
      <c r="F404" s="39" t="n"/>
      <c r="G404" s="38" t="n"/>
      <c r="H404" s="39" t="n"/>
      <c r="I404" s="38" t="n"/>
      <c r="J404" s="22">
        <f>IF(COUNTA(A404:I404,K404:O404)=0,"",IF(OR(A404="",B404="",C404=""),"ID / parent missing",IF(COUNTIF($A$4:$A$553,A404)&gt;1,"Duplicate condition ID",IF(COUNTIF('Gate events'!$A$4:$A$553,B404)=0,"Event ID not found",IF(INDEX('Gate events'!$B$4:$B$553,MATCH(B404,'Gate events'!$A$4:$A$553,0))&lt;&gt;C404,"AIR-ID differs from event",IF(IF(INDEX('Gate events'!$P$4:$P$553,MATCH(B404,'Gate events'!$A$4:$A$553,0))="UC-ID specific",IF(OR(L404&lt;&gt;"UC-ID specific",K404=""),"Condition UC-ID required",IF(ISNUMBER(SEARCH(","&amp;SUBSTITUTE(K404," ","")&amp;",",","&amp;SUBSTITUTE(INDEX('Gate events'!$O$4:$O$553,MATCH(B404,'Gate events'!$A$4:$A$553,0))," ","")&amp;",")),"","UC-ID differs from decision")),IF(INDEX('Gate events'!$P$4:$P$553,MATCH(B404,'Gate events'!$A$4:$A$553,0))="Shared system baseline",IF(OR(L404&lt;&gt;"Shared system baseline",K404&lt;&gt;""),"Condition scope differs from decision",""),"Parent decision scope missing"))&lt;&gt;"",IF(INDEX('Gate events'!$P$4:$P$553,MATCH(B404,'Gate events'!$A$4:$A$553,0))="UC-ID specific",IF(OR(L404&lt;&gt;"UC-ID specific",K404=""),"Condition UC-ID required",IF(ISNUMBER(SEARCH(","&amp;SUBSTITUTE(K404," ","")&amp;",",","&amp;SUBSTITUTE(INDEX('Gate events'!$O$4:$O$553,MATCH(B404,'Gate events'!$A$4:$A$553,0))," ","")&amp;",")),"","UC-ID differs from decision")),IF(INDEX('Gate events'!$P$4:$P$553,MATCH(B404,'Gate events'!$A$4:$A$553,0))="Shared system baseline",IF(OR(L404&lt;&gt;"Shared system baseline",K404&lt;&gt;""),"Condition scope differs from decision",""),"Parent decision scope missing")),IF(OR(D404="",E404="",F404="",G404=""),"Condition, owner, due date or state missing",IF(NOT(ISNUMBER(F404)),"Due date is not a date",IF(OR(G404="Overdue",G404="Superseded"),"Legacy state — owner review (use the shared five states)",IF(INDEX('Gate events'!$E$4:$E$553,MATCH(B404,'Gate events'!$A$4:$A$553,0))&lt;&gt;"Decision","Parent event is not a Decision",IF(AND(INDEX('Gate events'!$G$4:$G$553,MATCH(B404,'Gate events'!$A$4:$A$553,0))&lt;&gt;"Progress with condition",INDEX('Gate events'!$G$4:$G$553,MATCH(B404,'Gate events'!$A$4:$A$553,0))&lt;&gt;"Re-authorise",INDEX('Gate events'!$G$4:$G$553,MATCH(B404,'Gate events'!$A$4:$A$553,0))&lt;&gt;"Resume"),"Parent outcome is not Progress with condition / Re-authorise / Resume",IF(AND(ISNUMBER(INDEX('Gate events'!$F$4:$F$553,MATCH(B404,'Gate events'!$A$4:$A$553,0))),F404&lt;INDEX('Gate events'!$F$4:$F$553,MATCH(B404,'Gate events'!$A$4:$A$553,0))),"Due date before parent event date",IF(AND(OR(G404="Closed-verified",G404="Waived",G404="Accepted-open"),OR(H404="",I404="")),"Closure evidence missing",IF(AND(H404&lt;&gt;"",NOT(ISNUMBER(H404))),"Closed / waived on is not a date",IF(AND(ISNUMBER(H404),ISNUMBER(INDEX('Gate events'!$F$4:$F$553,MATCH(B404,'Gate events'!$A$4:$A$553,0))),H404&lt;INDEX('Gate events'!$F$4:$F$553,MATCH(B404,'Gate events'!$A$4:$A$553,0))),"Closure date before parent event date",IF(AND(G404="Closed-verified",M404=""),"Verifier / date missing",IF(AND(N404="Yes",G404="Closed-verified",O404=""),"Monitoring condition needs AIG-OPS-02 evidence ref",IF(AND(G404="Open",F404&lt;TODAY()),"OVERDUE (derived) — review",IF(G404="Unknown","State Unknown: owner to confirm","Check against source")))))))))))))))))))</f>
        <v/>
      </c>
      <c r="K404" s="37" t="n"/>
      <c r="L404" s="37" t="n"/>
      <c r="M404" s="38" t="n"/>
      <c r="N404" s="38" t="n"/>
      <c r="O404" s="38" t="n"/>
    </row>
    <row r="405">
      <c r="A405" s="40" t="n"/>
      <c r="B405" s="40" t="n"/>
      <c r="C405" s="40" t="n"/>
      <c r="D405" s="40" t="n"/>
      <c r="E405" s="40" t="n"/>
      <c r="F405" s="41" t="n"/>
      <c r="G405" s="40" t="n"/>
      <c r="H405" s="41" t="n"/>
      <c r="I405" s="40" t="n"/>
      <c r="J405" s="24">
        <f>IF(COUNTA(A405:I405,K405:O405)=0,"",IF(OR(A405="",B405="",C405=""),"ID / parent missing",IF(COUNTIF($A$4:$A$553,A405)&gt;1,"Duplicate condition ID",IF(COUNTIF('Gate events'!$A$4:$A$553,B405)=0,"Event ID not found",IF(INDEX('Gate events'!$B$4:$B$553,MATCH(B405,'Gate events'!$A$4:$A$553,0))&lt;&gt;C405,"AIR-ID differs from event",IF(IF(INDEX('Gate events'!$P$4:$P$553,MATCH(B405,'Gate events'!$A$4:$A$553,0))="UC-ID specific",IF(OR(L405&lt;&gt;"UC-ID specific",K405=""),"Condition UC-ID required",IF(ISNUMBER(SEARCH(","&amp;SUBSTITUTE(K405," ","")&amp;",",","&amp;SUBSTITUTE(INDEX('Gate events'!$O$4:$O$553,MATCH(B405,'Gate events'!$A$4:$A$553,0))," ","")&amp;",")),"","UC-ID differs from decision")),IF(INDEX('Gate events'!$P$4:$P$553,MATCH(B405,'Gate events'!$A$4:$A$553,0))="Shared system baseline",IF(OR(L405&lt;&gt;"Shared system baseline",K405&lt;&gt;""),"Condition scope differs from decision",""),"Parent decision scope missing"))&lt;&gt;"",IF(INDEX('Gate events'!$P$4:$P$553,MATCH(B405,'Gate events'!$A$4:$A$553,0))="UC-ID specific",IF(OR(L405&lt;&gt;"UC-ID specific",K405=""),"Condition UC-ID required",IF(ISNUMBER(SEARCH(","&amp;SUBSTITUTE(K405," ","")&amp;",",","&amp;SUBSTITUTE(INDEX('Gate events'!$O$4:$O$553,MATCH(B405,'Gate events'!$A$4:$A$553,0))," ","")&amp;",")),"","UC-ID differs from decision")),IF(INDEX('Gate events'!$P$4:$P$553,MATCH(B405,'Gate events'!$A$4:$A$553,0))="Shared system baseline",IF(OR(L405&lt;&gt;"Shared system baseline",K405&lt;&gt;""),"Condition scope differs from decision",""),"Parent decision scope missing")),IF(OR(D405="",E405="",F405="",G405=""),"Condition, owner, due date or state missing",IF(NOT(ISNUMBER(F405)),"Due date is not a date",IF(OR(G405="Overdue",G405="Superseded"),"Legacy state — owner review (use the shared five states)",IF(INDEX('Gate events'!$E$4:$E$553,MATCH(B405,'Gate events'!$A$4:$A$553,0))&lt;&gt;"Decision","Parent event is not a Decision",IF(AND(INDEX('Gate events'!$G$4:$G$553,MATCH(B405,'Gate events'!$A$4:$A$553,0))&lt;&gt;"Progress with condition",INDEX('Gate events'!$G$4:$G$553,MATCH(B405,'Gate events'!$A$4:$A$553,0))&lt;&gt;"Re-authorise",INDEX('Gate events'!$G$4:$G$553,MATCH(B405,'Gate events'!$A$4:$A$553,0))&lt;&gt;"Resume"),"Parent outcome is not Progress with condition / Re-authorise / Resume",IF(AND(ISNUMBER(INDEX('Gate events'!$F$4:$F$553,MATCH(B405,'Gate events'!$A$4:$A$553,0))),F405&lt;INDEX('Gate events'!$F$4:$F$553,MATCH(B405,'Gate events'!$A$4:$A$553,0))),"Due date before parent event date",IF(AND(OR(G405="Closed-verified",G405="Waived",G405="Accepted-open"),OR(H405="",I405="")),"Closure evidence missing",IF(AND(H405&lt;&gt;"",NOT(ISNUMBER(H405))),"Closed / waived on is not a date",IF(AND(ISNUMBER(H405),ISNUMBER(INDEX('Gate events'!$F$4:$F$553,MATCH(B405,'Gate events'!$A$4:$A$553,0))),H405&lt;INDEX('Gate events'!$F$4:$F$553,MATCH(B405,'Gate events'!$A$4:$A$553,0))),"Closure date before parent event date",IF(AND(G405="Closed-verified",M405=""),"Verifier / date missing",IF(AND(N405="Yes",G405="Closed-verified",O405=""),"Monitoring condition needs AIG-OPS-02 evidence ref",IF(AND(G405="Open",F405&lt;TODAY()),"OVERDUE (derived) — review",IF(G405="Unknown","State Unknown: owner to confirm","Check against source")))))))))))))))))))</f>
        <v/>
      </c>
      <c r="K405" s="37" t="n"/>
      <c r="L405" s="37" t="n"/>
      <c r="M405" s="40" t="n"/>
      <c r="N405" s="40" t="n"/>
      <c r="O405" s="40" t="n"/>
    </row>
    <row r="406">
      <c r="A406" s="38" t="n"/>
      <c r="B406" s="38" t="n"/>
      <c r="C406" s="38" t="n"/>
      <c r="D406" s="38" t="n"/>
      <c r="E406" s="38" t="n"/>
      <c r="F406" s="39" t="n"/>
      <c r="G406" s="38" t="n"/>
      <c r="H406" s="39" t="n"/>
      <c r="I406" s="38" t="n"/>
      <c r="J406" s="22">
        <f>IF(COUNTA(A406:I406,K406:O406)=0,"",IF(OR(A406="",B406="",C406=""),"ID / parent missing",IF(COUNTIF($A$4:$A$553,A406)&gt;1,"Duplicate condition ID",IF(COUNTIF('Gate events'!$A$4:$A$553,B406)=0,"Event ID not found",IF(INDEX('Gate events'!$B$4:$B$553,MATCH(B406,'Gate events'!$A$4:$A$553,0))&lt;&gt;C406,"AIR-ID differs from event",IF(IF(INDEX('Gate events'!$P$4:$P$553,MATCH(B406,'Gate events'!$A$4:$A$553,0))="UC-ID specific",IF(OR(L406&lt;&gt;"UC-ID specific",K406=""),"Condition UC-ID required",IF(ISNUMBER(SEARCH(","&amp;SUBSTITUTE(K406," ","")&amp;",",","&amp;SUBSTITUTE(INDEX('Gate events'!$O$4:$O$553,MATCH(B406,'Gate events'!$A$4:$A$553,0))," ","")&amp;",")),"","UC-ID differs from decision")),IF(INDEX('Gate events'!$P$4:$P$553,MATCH(B406,'Gate events'!$A$4:$A$553,0))="Shared system baseline",IF(OR(L406&lt;&gt;"Shared system baseline",K406&lt;&gt;""),"Condition scope differs from decision",""),"Parent decision scope missing"))&lt;&gt;"",IF(INDEX('Gate events'!$P$4:$P$553,MATCH(B406,'Gate events'!$A$4:$A$553,0))="UC-ID specific",IF(OR(L406&lt;&gt;"UC-ID specific",K406=""),"Condition UC-ID required",IF(ISNUMBER(SEARCH(","&amp;SUBSTITUTE(K406," ","")&amp;",",","&amp;SUBSTITUTE(INDEX('Gate events'!$O$4:$O$553,MATCH(B406,'Gate events'!$A$4:$A$553,0))," ","")&amp;",")),"","UC-ID differs from decision")),IF(INDEX('Gate events'!$P$4:$P$553,MATCH(B406,'Gate events'!$A$4:$A$553,0))="Shared system baseline",IF(OR(L406&lt;&gt;"Shared system baseline",K406&lt;&gt;""),"Condition scope differs from decision",""),"Parent decision scope missing")),IF(OR(D406="",E406="",F406="",G406=""),"Condition, owner, due date or state missing",IF(NOT(ISNUMBER(F406)),"Due date is not a date",IF(OR(G406="Overdue",G406="Superseded"),"Legacy state — owner review (use the shared five states)",IF(INDEX('Gate events'!$E$4:$E$553,MATCH(B406,'Gate events'!$A$4:$A$553,0))&lt;&gt;"Decision","Parent event is not a Decision",IF(AND(INDEX('Gate events'!$G$4:$G$553,MATCH(B406,'Gate events'!$A$4:$A$553,0))&lt;&gt;"Progress with condition",INDEX('Gate events'!$G$4:$G$553,MATCH(B406,'Gate events'!$A$4:$A$553,0))&lt;&gt;"Re-authorise",INDEX('Gate events'!$G$4:$G$553,MATCH(B406,'Gate events'!$A$4:$A$553,0))&lt;&gt;"Resume"),"Parent outcome is not Progress with condition / Re-authorise / Resume",IF(AND(ISNUMBER(INDEX('Gate events'!$F$4:$F$553,MATCH(B406,'Gate events'!$A$4:$A$553,0))),F406&lt;INDEX('Gate events'!$F$4:$F$553,MATCH(B406,'Gate events'!$A$4:$A$553,0))),"Due date before parent event date",IF(AND(OR(G406="Closed-verified",G406="Waived",G406="Accepted-open"),OR(H406="",I406="")),"Closure evidence missing",IF(AND(H406&lt;&gt;"",NOT(ISNUMBER(H406))),"Closed / waived on is not a date",IF(AND(ISNUMBER(H406),ISNUMBER(INDEX('Gate events'!$F$4:$F$553,MATCH(B406,'Gate events'!$A$4:$A$553,0))),H406&lt;INDEX('Gate events'!$F$4:$F$553,MATCH(B406,'Gate events'!$A$4:$A$553,0))),"Closure date before parent event date",IF(AND(G406="Closed-verified",M406=""),"Verifier / date missing",IF(AND(N406="Yes",G406="Closed-verified",O406=""),"Monitoring condition needs AIG-OPS-02 evidence ref",IF(AND(G406="Open",F406&lt;TODAY()),"OVERDUE (derived) — review",IF(G406="Unknown","State Unknown: owner to confirm","Check against source")))))))))))))))))))</f>
        <v/>
      </c>
      <c r="K406" s="37" t="n"/>
      <c r="L406" s="37" t="n"/>
      <c r="M406" s="38" t="n"/>
      <c r="N406" s="38" t="n"/>
      <c r="O406" s="38" t="n"/>
    </row>
    <row r="407">
      <c r="A407" s="40" t="n"/>
      <c r="B407" s="40" t="n"/>
      <c r="C407" s="40" t="n"/>
      <c r="D407" s="40" t="n"/>
      <c r="E407" s="40" t="n"/>
      <c r="F407" s="41" t="n"/>
      <c r="G407" s="40" t="n"/>
      <c r="H407" s="41" t="n"/>
      <c r="I407" s="40" t="n"/>
      <c r="J407" s="24">
        <f>IF(COUNTA(A407:I407,K407:O407)=0,"",IF(OR(A407="",B407="",C407=""),"ID / parent missing",IF(COUNTIF($A$4:$A$553,A407)&gt;1,"Duplicate condition ID",IF(COUNTIF('Gate events'!$A$4:$A$553,B407)=0,"Event ID not found",IF(INDEX('Gate events'!$B$4:$B$553,MATCH(B407,'Gate events'!$A$4:$A$553,0))&lt;&gt;C407,"AIR-ID differs from event",IF(IF(INDEX('Gate events'!$P$4:$P$553,MATCH(B407,'Gate events'!$A$4:$A$553,0))="UC-ID specific",IF(OR(L407&lt;&gt;"UC-ID specific",K407=""),"Condition UC-ID required",IF(ISNUMBER(SEARCH(","&amp;SUBSTITUTE(K407," ","")&amp;",",","&amp;SUBSTITUTE(INDEX('Gate events'!$O$4:$O$553,MATCH(B407,'Gate events'!$A$4:$A$553,0))," ","")&amp;",")),"","UC-ID differs from decision")),IF(INDEX('Gate events'!$P$4:$P$553,MATCH(B407,'Gate events'!$A$4:$A$553,0))="Shared system baseline",IF(OR(L407&lt;&gt;"Shared system baseline",K407&lt;&gt;""),"Condition scope differs from decision",""),"Parent decision scope missing"))&lt;&gt;"",IF(INDEX('Gate events'!$P$4:$P$553,MATCH(B407,'Gate events'!$A$4:$A$553,0))="UC-ID specific",IF(OR(L407&lt;&gt;"UC-ID specific",K407=""),"Condition UC-ID required",IF(ISNUMBER(SEARCH(","&amp;SUBSTITUTE(K407," ","")&amp;",",","&amp;SUBSTITUTE(INDEX('Gate events'!$O$4:$O$553,MATCH(B407,'Gate events'!$A$4:$A$553,0))," ","")&amp;",")),"","UC-ID differs from decision")),IF(INDEX('Gate events'!$P$4:$P$553,MATCH(B407,'Gate events'!$A$4:$A$553,0))="Shared system baseline",IF(OR(L407&lt;&gt;"Shared system baseline",K407&lt;&gt;""),"Condition scope differs from decision",""),"Parent decision scope missing")),IF(OR(D407="",E407="",F407="",G407=""),"Condition, owner, due date or state missing",IF(NOT(ISNUMBER(F407)),"Due date is not a date",IF(OR(G407="Overdue",G407="Superseded"),"Legacy state — owner review (use the shared five states)",IF(INDEX('Gate events'!$E$4:$E$553,MATCH(B407,'Gate events'!$A$4:$A$553,0))&lt;&gt;"Decision","Parent event is not a Decision",IF(AND(INDEX('Gate events'!$G$4:$G$553,MATCH(B407,'Gate events'!$A$4:$A$553,0))&lt;&gt;"Progress with condition",INDEX('Gate events'!$G$4:$G$553,MATCH(B407,'Gate events'!$A$4:$A$553,0))&lt;&gt;"Re-authorise",INDEX('Gate events'!$G$4:$G$553,MATCH(B407,'Gate events'!$A$4:$A$553,0))&lt;&gt;"Resume"),"Parent outcome is not Progress with condition / Re-authorise / Resume",IF(AND(ISNUMBER(INDEX('Gate events'!$F$4:$F$553,MATCH(B407,'Gate events'!$A$4:$A$553,0))),F407&lt;INDEX('Gate events'!$F$4:$F$553,MATCH(B407,'Gate events'!$A$4:$A$553,0))),"Due date before parent event date",IF(AND(OR(G407="Closed-verified",G407="Waived",G407="Accepted-open"),OR(H407="",I407="")),"Closure evidence missing",IF(AND(H407&lt;&gt;"",NOT(ISNUMBER(H407))),"Closed / waived on is not a date",IF(AND(ISNUMBER(H407),ISNUMBER(INDEX('Gate events'!$F$4:$F$553,MATCH(B407,'Gate events'!$A$4:$A$553,0))),H407&lt;INDEX('Gate events'!$F$4:$F$553,MATCH(B407,'Gate events'!$A$4:$A$553,0))),"Closure date before parent event date",IF(AND(G407="Closed-verified",M407=""),"Verifier / date missing",IF(AND(N407="Yes",G407="Closed-verified",O407=""),"Monitoring condition needs AIG-OPS-02 evidence ref",IF(AND(G407="Open",F407&lt;TODAY()),"OVERDUE (derived) — review",IF(G407="Unknown","State Unknown: owner to confirm","Check against source")))))))))))))))))))</f>
        <v/>
      </c>
      <c r="K407" s="37" t="n"/>
      <c r="L407" s="37" t="n"/>
      <c r="M407" s="40" t="n"/>
      <c r="N407" s="40" t="n"/>
      <c r="O407" s="40" t="n"/>
    </row>
    <row r="408">
      <c r="A408" s="38" t="n"/>
      <c r="B408" s="38" t="n"/>
      <c r="C408" s="38" t="n"/>
      <c r="D408" s="38" t="n"/>
      <c r="E408" s="38" t="n"/>
      <c r="F408" s="39" t="n"/>
      <c r="G408" s="38" t="n"/>
      <c r="H408" s="39" t="n"/>
      <c r="I408" s="38" t="n"/>
      <c r="J408" s="22">
        <f>IF(COUNTA(A408:I408,K408:O408)=0,"",IF(OR(A408="",B408="",C408=""),"ID / parent missing",IF(COUNTIF($A$4:$A$553,A408)&gt;1,"Duplicate condition ID",IF(COUNTIF('Gate events'!$A$4:$A$553,B408)=0,"Event ID not found",IF(INDEX('Gate events'!$B$4:$B$553,MATCH(B408,'Gate events'!$A$4:$A$553,0))&lt;&gt;C408,"AIR-ID differs from event",IF(IF(INDEX('Gate events'!$P$4:$P$553,MATCH(B408,'Gate events'!$A$4:$A$553,0))="UC-ID specific",IF(OR(L408&lt;&gt;"UC-ID specific",K408=""),"Condition UC-ID required",IF(ISNUMBER(SEARCH(","&amp;SUBSTITUTE(K408," ","")&amp;",",","&amp;SUBSTITUTE(INDEX('Gate events'!$O$4:$O$553,MATCH(B408,'Gate events'!$A$4:$A$553,0))," ","")&amp;",")),"","UC-ID differs from decision")),IF(INDEX('Gate events'!$P$4:$P$553,MATCH(B408,'Gate events'!$A$4:$A$553,0))="Shared system baseline",IF(OR(L408&lt;&gt;"Shared system baseline",K408&lt;&gt;""),"Condition scope differs from decision",""),"Parent decision scope missing"))&lt;&gt;"",IF(INDEX('Gate events'!$P$4:$P$553,MATCH(B408,'Gate events'!$A$4:$A$553,0))="UC-ID specific",IF(OR(L408&lt;&gt;"UC-ID specific",K408=""),"Condition UC-ID required",IF(ISNUMBER(SEARCH(","&amp;SUBSTITUTE(K408," ","")&amp;",",","&amp;SUBSTITUTE(INDEX('Gate events'!$O$4:$O$553,MATCH(B408,'Gate events'!$A$4:$A$553,0))," ","")&amp;",")),"","UC-ID differs from decision")),IF(INDEX('Gate events'!$P$4:$P$553,MATCH(B408,'Gate events'!$A$4:$A$553,0))="Shared system baseline",IF(OR(L408&lt;&gt;"Shared system baseline",K408&lt;&gt;""),"Condition scope differs from decision",""),"Parent decision scope missing")),IF(OR(D408="",E408="",F408="",G408=""),"Condition, owner, due date or state missing",IF(NOT(ISNUMBER(F408)),"Due date is not a date",IF(OR(G408="Overdue",G408="Superseded"),"Legacy state — owner review (use the shared five states)",IF(INDEX('Gate events'!$E$4:$E$553,MATCH(B408,'Gate events'!$A$4:$A$553,0))&lt;&gt;"Decision","Parent event is not a Decision",IF(AND(INDEX('Gate events'!$G$4:$G$553,MATCH(B408,'Gate events'!$A$4:$A$553,0))&lt;&gt;"Progress with condition",INDEX('Gate events'!$G$4:$G$553,MATCH(B408,'Gate events'!$A$4:$A$553,0))&lt;&gt;"Re-authorise",INDEX('Gate events'!$G$4:$G$553,MATCH(B408,'Gate events'!$A$4:$A$553,0))&lt;&gt;"Resume"),"Parent outcome is not Progress with condition / Re-authorise / Resume",IF(AND(ISNUMBER(INDEX('Gate events'!$F$4:$F$553,MATCH(B408,'Gate events'!$A$4:$A$553,0))),F408&lt;INDEX('Gate events'!$F$4:$F$553,MATCH(B408,'Gate events'!$A$4:$A$553,0))),"Due date before parent event date",IF(AND(OR(G408="Closed-verified",G408="Waived",G408="Accepted-open"),OR(H408="",I408="")),"Closure evidence missing",IF(AND(H408&lt;&gt;"",NOT(ISNUMBER(H408))),"Closed / waived on is not a date",IF(AND(ISNUMBER(H408),ISNUMBER(INDEX('Gate events'!$F$4:$F$553,MATCH(B408,'Gate events'!$A$4:$A$553,0))),H408&lt;INDEX('Gate events'!$F$4:$F$553,MATCH(B408,'Gate events'!$A$4:$A$553,0))),"Closure date before parent event date",IF(AND(G408="Closed-verified",M408=""),"Verifier / date missing",IF(AND(N408="Yes",G408="Closed-verified",O408=""),"Monitoring condition needs AIG-OPS-02 evidence ref",IF(AND(G408="Open",F408&lt;TODAY()),"OVERDUE (derived) — review",IF(G408="Unknown","State Unknown: owner to confirm","Check against source")))))))))))))))))))</f>
        <v/>
      </c>
      <c r="K408" s="37" t="n"/>
      <c r="L408" s="37" t="n"/>
      <c r="M408" s="38" t="n"/>
      <c r="N408" s="38" t="n"/>
      <c r="O408" s="38" t="n"/>
    </row>
    <row r="409">
      <c r="A409" s="40" t="n"/>
      <c r="B409" s="40" t="n"/>
      <c r="C409" s="40" t="n"/>
      <c r="D409" s="40" t="n"/>
      <c r="E409" s="40" t="n"/>
      <c r="F409" s="41" t="n"/>
      <c r="G409" s="40" t="n"/>
      <c r="H409" s="41" t="n"/>
      <c r="I409" s="40" t="n"/>
      <c r="J409" s="24">
        <f>IF(COUNTA(A409:I409,K409:O409)=0,"",IF(OR(A409="",B409="",C409=""),"ID / parent missing",IF(COUNTIF($A$4:$A$553,A409)&gt;1,"Duplicate condition ID",IF(COUNTIF('Gate events'!$A$4:$A$553,B409)=0,"Event ID not found",IF(INDEX('Gate events'!$B$4:$B$553,MATCH(B409,'Gate events'!$A$4:$A$553,0))&lt;&gt;C409,"AIR-ID differs from event",IF(IF(INDEX('Gate events'!$P$4:$P$553,MATCH(B409,'Gate events'!$A$4:$A$553,0))="UC-ID specific",IF(OR(L409&lt;&gt;"UC-ID specific",K409=""),"Condition UC-ID required",IF(ISNUMBER(SEARCH(","&amp;SUBSTITUTE(K409," ","")&amp;",",","&amp;SUBSTITUTE(INDEX('Gate events'!$O$4:$O$553,MATCH(B409,'Gate events'!$A$4:$A$553,0))," ","")&amp;",")),"","UC-ID differs from decision")),IF(INDEX('Gate events'!$P$4:$P$553,MATCH(B409,'Gate events'!$A$4:$A$553,0))="Shared system baseline",IF(OR(L409&lt;&gt;"Shared system baseline",K409&lt;&gt;""),"Condition scope differs from decision",""),"Parent decision scope missing"))&lt;&gt;"",IF(INDEX('Gate events'!$P$4:$P$553,MATCH(B409,'Gate events'!$A$4:$A$553,0))="UC-ID specific",IF(OR(L409&lt;&gt;"UC-ID specific",K409=""),"Condition UC-ID required",IF(ISNUMBER(SEARCH(","&amp;SUBSTITUTE(K409," ","")&amp;",",","&amp;SUBSTITUTE(INDEX('Gate events'!$O$4:$O$553,MATCH(B409,'Gate events'!$A$4:$A$553,0))," ","")&amp;",")),"","UC-ID differs from decision")),IF(INDEX('Gate events'!$P$4:$P$553,MATCH(B409,'Gate events'!$A$4:$A$553,0))="Shared system baseline",IF(OR(L409&lt;&gt;"Shared system baseline",K409&lt;&gt;""),"Condition scope differs from decision",""),"Parent decision scope missing")),IF(OR(D409="",E409="",F409="",G409=""),"Condition, owner, due date or state missing",IF(NOT(ISNUMBER(F409)),"Due date is not a date",IF(OR(G409="Overdue",G409="Superseded"),"Legacy state — owner review (use the shared five states)",IF(INDEX('Gate events'!$E$4:$E$553,MATCH(B409,'Gate events'!$A$4:$A$553,0))&lt;&gt;"Decision","Parent event is not a Decision",IF(AND(INDEX('Gate events'!$G$4:$G$553,MATCH(B409,'Gate events'!$A$4:$A$553,0))&lt;&gt;"Progress with condition",INDEX('Gate events'!$G$4:$G$553,MATCH(B409,'Gate events'!$A$4:$A$553,0))&lt;&gt;"Re-authorise",INDEX('Gate events'!$G$4:$G$553,MATCH(B409,'Gate events'!$A$4:$A$553,0))&lt;&gt;"Resume"),"Parent outcome is not Progress with condition / Re-authorise / Resume",IF(AND(ISNUMBER(INDEX('Gate events'!$F$4:$F$553,MATCH(B409,'Gate events'!$A$4:$A$553,0))),F409&lt;INDEX('Gate events'!$F$4:$F$553,MATCH(B409,'Gate events'!$A$4:$A$553,0))),"Due date before parent event date",IF(AND(OR(G409="Closed-verified",G409="Waived",G409="Accepted-open"),OR(H409="",I409="")),"Closure evidence missing",IF(AND(H409&lt;&gt;"",NOT(ISNUMBER(H409))),"Closed / waived on is not a date",IF(AND(ISNUMBER(H409),ISNUMBER(INDEX('Gate events'!$F$4:$F$553,MATCH(B409,'Gate events'!$A$4:$A$553,0))),H409&lt;INDEX('Gate events'!$F$4:$F$553,MATCH(B409,'Gate events'!$A$4:$A$553,0))),"Closure date before parent event date",IF(AND(G409="Closed-verified",M409=""),"Verifier / date missing",IF(AND(N409="Yes",G409="Closed-verified",O409=""),"Monitoring condition needs AIG-OPS-02 evidence ref",IF(AND(G409="Open",F409&lt;TODAY()),"OVERDUE (derived) — review",IF(G409="Unknown","State Unknown: owner to confirm","Check against source")))))))))))))))))))</f>
        <v/>
      </c>
      <c r="K409" s="37" t="n"/>
      <c r="L409" s="37" t="n"/>
      <c r="M409" s="40" t="n"/>
      <c r="N409" s="40" t="n"/>
      <c r="O409" s="40" t="n"/>
    </row>
    <row r="410">
      <c r="A410" s="38" t="n"/>
      <c r="B410" s="38" t="n"/>
      <c r="C410" s="38" t="n"/>
      <c r="D410" s="38" t="n"/>
      <c r="E410" s="38" t="n"/>
      <c r="F410" s="39" t="n"/>
      <c r="G410" s="38" t="n"/>
      <c r="H410" s="39" t="n"/>
      <c r="I410" s="38" t="n"/>
      <c r="J410" s="22">
        <f>IF(COUNTA(A410:I410,K410:O410)=0,"",IF(OR(A410="",B410="",C410=""),"ID / parent missing",IF(COUNTIF($A$4:$A$553,A410)&gt;1,"Duplicate condition ID",IF(COUNTIF('Gate events'!$A$4:$A$553,B410)=0,"Event ID not found",IF(INDEX('Gate events'!$B$4:$B$553,MATCH(B410,'Gate events'!$A$4:$A$553,0))&lt;&gt;C410,"AIR-ID differs from event",IF(IF(INDEX('Gate events'!$P$4:$P$553,MATCH(B410,'Gate events'!$A$4:$A$553,0))="UC-ID specific",IF(OR(L410&lt;&gt;"UC-ID specific",K410=""),"Condition UC-ID required",IF(ISNUMBER(SEARCH(","&amp;SUBSTITUTE(K410," ","")&amp;",",","&amp;SUBSTITUTE(INDEX('Gate events'!$O$4:$O$553,MATCH(B410,'Gate events'!$A$4:$A$553,0))," ","")&amp;",")),"","UC-ID differs from decision")),IF(INDEX('Gate events'!$P$4:$P$553,MATCH(B410,'Gate events'!$A$4:$A$553,0))="Shared system baseline",IF(OR(L410&lt;&gt;"Shared system baseline",K410&lt;&gt;""),"Condition scope differs from decision",""),"Parent decision scope missing"))&lt;&gt;"",IF(INDEX('Gate events'!$P$4:$P$553,MATCH(B410,'Gate events'!$A$4:$A$553,0))="UC-ID specific",IF(OR(L410&lt;&gt;"UC-ID specific",K410=""),"Condition UC-ID required",IF(ISNUMBER(SEARCH(","&amp;SUBSTITUTE(K410," ","")&amp;",",","&amp;SUBSTITUTE(INDEX('Gate events'!$O$4:$O$553,MATCH(B410,'Gate events'!$A$4:$A$553,0))," ","")&amp;",")),"","UC-ID differs from decision")),IF(INDEX('Gate events'!$P$4:$P$553,MATCH(B410,'Gate events'!$A$4:$A$553,0))="Shared system baseline",IF(OR(L410&lt;&gt;"Shared system baseline",K410&lt;&gt;""),"Condition scope differs from decision",""),"Parent decision scope missing")),IF(OR(D410="",E410="",F410="",G410=""),"Condition, owner, due date or state missing",IF(NOT(ISNUMBER(F410)),"Due date is not a date",IF(OR(G410="Overdue",G410="Superseded"),"Legacy state — owner review (use the shared five states)",IF(INDEX('Gate events'!$E$4:$E$553,MATCH(B410,'Gate events'!$A$4:$A$553,0))&lt;&gt;"Decision","Parent event is not a Decision",IF(AND(INDEX('Gate events'!$G$4:$G$553,MATCH(B410,'Gate events'!$A$4:$A$553,0))&lt;&gt;"Progress with condition",INDEX('Gate events'!$G$4:$G$553,MATCH(B410,'Gate events'!$A$4:$A$553,0))&lt;&gt;"Re-authorise",INDEX('Gate events'!$G$4:$G$553,MATCH(B410,'Gate events'!$A$4:$A$553,0))&lt;&gt;"Resume"),"Parent outcome is not Progress with condition / Re-authorise / Resume",IF(AND(ISNUMBER(INDEX('Gate events'!$F$4:$F$553,MATCH(B410,'Gate events'!$A$4:$A$553,0))),F410&lt;INDEX('Gate events'!$F$4:$F$553,MATCH(B410,'Gate events'!$A$4:$A$553,0))),"Due date before parent event date",IF(AND(OR(G410="Closed-verified",G410="Waived",G410="Accepted-open"),OR(H410="",I410="")),"Closure evidence missing",IF(AND(H410&lt;&gt;"",NOT(ISNUMBER(H410))),"Closed / waived on is not a date",IF(AND(ISNUMBER(H410),ISNUMBER(INDEX('Gate events'!$F$4:$F$553,MATCH(B410,'Gate events'!$A$4:$A$553,0))),H410&lt;INDEX('Gate events'!$F$4:$F$553,MATCH(B410,'Gate events'!$A$4:$A$553,0))),"Closure date before parent event date",IF(AND(G410="Closed-verified",M410=""),"Verifier / date missing",IF(AND(N410="Yes",G410="Closed-verified",O410=""),"Monitoring condition needs AIG-OPS-02 evidence ref",IF(AND(G410="Open",F410&lt;TODAY()),"OVERDUE (derived) — review",IF(G410="Unknown","State Unknown: owner to confirm","Check against source")))))))))))))))))))</f>
        <v/>
      </c>
      <c r="K410" s="37" t="n"/>
      <c r="L410" s="37" t="n"/>
      <c r="M410" s="38" t="n"/>
      <c r="N410" s="38" t="n"/>
      <c r="O410" s="38" t="n"/>
    </row>
    <row r="411">
      <c r="A411" s="40" t="n"/>
      <c r="B411" s="40" t="n"/>
      <c r="C411" s="40" t="n"/>
      <c r="D411" s="40" t="n"/>
      <c r="E411" s="40" t="n"/>
      <c r="F411" s="41" t="n"/>
      <c r="G411" s="40" t="n"/>
      <c r="H411" s="41" t="n"/>
      <c r="I411" s="40" t="n"/>
      <c r="J411" s="24">
        <f>IF(COUNTA(A411:I411,K411:O411)=0,"",IF(OR(A411="",B411="",C411=""),"ID / parent missing",IF(COUNTIF($A$4:$A$553,A411)&gt;1,"Duplicate condition ID",IF(COUNTIF('Gate events'!$A$4:$A$553,B411)=0,"Event ID not found",IF(INDEX('Gate events'!$B$4:$B$553,MATCH(B411,'Gate events'!$A$4:$A$553,0))&lt;&gt;C411,"AIR-ID differs from event",IF(IF(INDEX('Gate events'!$P$4:$P$553,MATCH(B411,'Gate events'!$A$4:$A$553,0))="UC-ID specific",IF(OR(L411&lt;&gt;"UC-ID specific",K411=""),"Condition UC-ID required",IF(ISNUMBER(SEARCH(","&amp;SUBSTITUTE(K411," ","")&amp;",",","&amp;SUBSTITUTE(INDEX('Gate events'!$O$4:$O$553,MATCH(B411,'Gate events'!$A$4:$A$553,0))," ","")&amp;",")),"","UC-ID differs from decision")),IF(INDEX('Gate events'!$P$4:$P$553,MATCH(B411,'Gate events'!$A$4:$A$553,0))="Shared system baseline",IF(OR(L411&lt;&gt;"Shared system baseline",K411&lt;&gt;""),"Condition scope differs from decision",""),"Parent decision scope missing"))&lt;&gt;"",IF(INDEX('Gate events'!$P$4:$P$553,MATCH(B411,'Gate events'!$A$4:$A$553,0))="UC-ID specific",IF(OR(L411&lt;&gt;"UC-ID specific",K411=""),"Condition UC-ID required",IF(ISNUMBER(SEARCH(","&amp;SUBSTITUTE(K411," ","")&amp;",",","&amp;SUBSTITUTE(INDEX('Gate events'!$O$4:$O$553,MATCH(B411,'Gate events'!$A$4:$A$553,0))," ","")&amp;",")),"","UC-ID differs from decision")),IF(INDEX('Gate events'!$P$4:$P$553,MATCH(B411,'Gate events'!$A$4:$A$553,0))="Shared system baseline",IF(OR(L411&lt;&gt;"Shared system baseline",K411&lt;&gt;""),"Condition scope differs from decision",""),"Parent decision scope missing")),IF(OR(D411="",E411="",F411="",G411=""),"Condition, owner, due date or state missing",IF(NOT(ISNUMBER(F411)),"Due date is not a date",IF(OR(G411="Overdue",G411="Superseded"),"Legacy state — owner review (use the shared five states)",IF(INDEX('Gate events'!$E$4:$E$553,MATCH(B411,'Gate events'!$A$4:$A$553,0))&lt;&gt;"Decision","Parent event is not a Decision",IF(AND(INDEX('Gate events'!$G$4:$G$553,MATCH(B411,'Gate events'!$A$4:$A$553,0))&lt;&gt;"Progress with condition",INDEX('Gate events'!$G$4:$G$553,MATCH(B411,'Gate events'!$A$4:$A$553,0))&lt;&gt;"Re-authorise",INDEX('Gate events'!$G$4:$G$553,MATCH(B411,'Gate events'!$A$4:$A$553,0))&lt;&gt;"Resume"),"Parent outcome is not Progress with condition / Re-authorise / Resume",IF(AND(ISNUMBER(INDEX('Gate events'!$F$4:$F$553,MATCH(B411,'Gate events'!$A$4:$A$553,0))),F411&lt;INDEX('Gate events'!$F$4:$F$553,MATCH(B411,'Gate events'!$A$4:$A$553,0))),"Due date before parent event date",IF(AND(OR(G411="Closed-verified",G411="Waived",G411="Accepted-open"),OR(H411="",I411="")),"Closure evidence missing",IF(AND(H411&lt;&gt;"",NOT(ISNUMBER(H411))),"Closed / waived on is not a date",IF(AND(ISNUMBER(H411),ISNUMBER(INDEX('Gate events'!$F$4:$F$553,MATCH(B411,'Gate events'!$A$4:$A$553,0))),H411&lt;INDEX('Gate events'!$F$4:$F$553,MATCH(B411,'Gate events'!$A$4:$A$553,0))),"Closure date before parent event date",IF(AND(G411="Closed-verified",M411=""),"Verifier / date missing",IF(AND(N411="Yes",G411="Closed-verified",O411=""),"Monitoring condition needs AIG-OPS-02 evidence ref",IF(AND(G411="Open",F411&lt;TODAY()),"OVERDUE (derived) — review",IF(G411="Unknown","State Unknown: owner to confirm","Check against source")))))))))))))))))))</f>
        <v/>
      </c>
      <c r="K411" s="37" t="n"/>
      <c r="L411" s="37" t="n"/>
      <c r="M411" s="40" t="n"/>
      <c r="N411" s="40" t="n"/>
      <c r="O411" s="40" t="n"/>
    </row>
    <row r="412">
      <c r="A412" s="38" t="n"/>
      <c r="B412" s="38" t="n"/>
      <c r="C412" s="38" t="n"/>
      <c r="D412" s="38" t="n"/>
      <c r="E412" s="38" t="n"/>
      <c r="F412" s="39" t="n"/>
      <c r="G412" s="38" t="n"/>
      <c r="H412" s="39" t="n"/>
      <c r="I412" s="38" t="n"/>
      <c r="J412" s="22">
        <f>IF(COUNTA(A412:I412,K412:O412)=0,"",IF(OR(A412="",B412="",C412=""),"ID / parent missing",IF(COUNTIF($A$4:$A$553,A412)&gt;1,"Duplicate condition ID",IF(COUNTIF('Gate events'!$A$4:$A$553,B412)=0,"Event ID not found",IF(INDEX('Gate events'!$B$4:$B$553,MATCH(B412,'Gate events'!$A$4:$A$553,0))&lt;&gt;C412,"AIR-ID differs from event",IF(IF(INDEX('Gate events'!$P$4:$P$553,MATCH(B412,'Gate events'!$A$4:$A$553,0))="UC-ID specific",IF(OR(L412&lt;&gt;"UC-ID specific",K412=""),"Condition UC-ID required",IF(ISNUMBER(SEARCH(","&amp;SUBSTITUTE(K412," ","")&amp;",",","&amp;SUBSTITUTE(INDEX('Gate events'!$O$4:$O$553,MATCH(B412,'Gate events'!$A$4:$A$553,0))," ","")&amp;",")),"","UC-ID differs from decision")),IF(INDEX('Gate events'!$P$4:$P$553,MATCH(B412,'Gate events'!$A$4:$A$553,0))="Shared system baseline",IF(OR(L412&lt;&gt;"Shared system baseline",K412&lt;&gt;""),"Condition scope differs from decision",""),"Parent decision scope missing"))&lt;&gt;"",IF(INDEX('Gate events'!$P$4:$P$553,MATCH(B412,'Gate events'!$A$4:$A$553,0))="UC-ID specific",IF(OR(L412&lt;&gt;"UC-ID specific",K412=""),"Condition UC-ID required",IF(ISNUMBER(SEARCH(","&amp;SUBSTITUTE(K412," ","")&amp;",",","&amp;SUBSTITUTE(INDEX('Gate events'!$O$4:$O$553,MATCH(B412,'Gate events'!$A$4:$A$553,0))," ","")&amp;",")),"","UC-ID differs from decision")),IF(INDEX('Gate events'!$P$4:$P$553,MATCH(B412,'Gate events'!$A$4:$A$553,0))="Shared system baseline",IF(OR(L412&lt;&gt;"Shared system baseline",K412&lt;&gt;""),"Condition scope differs from decision",""),"Parent decision scope missing")),IF(OR(D412="",E412="",F412="",G412=""),"Condition, owner, due date or state missing",IF(NOT(ISNUMBER(F412)),"Due date is not a date",IF(OR(G412="Overdue",G412="Superseded"),"Legacy state — owner review (use the shared five states)",IF(INDEX('Gate events'!$E$4:$E$553,MATCH(B412,'Gate events'!$A$4:$A$553,0))&lt;&gt;"Decision","Parent event is not a Decision",IF(AND(INDEX('Gate events'!$G$4:$G$553,MATCH(B412,'Gate events'!$A$4:$A$553,0))&lt;&gt;"Progress with condition",INDEX('Gate events'!$G$4:$G$553,MATCH(B412,'Gate events'!$A$4:$A$553,0))&lt;&gt;"Re-authorise",INDEX('Gate events'!$G$4:$G$553,MATCH(B412,'Gate events'!$A$4:$A$553,0))&lt;&gt;"Resume"),"Parent outcome is not Progress with condition / Re-authorise / Resume",IF(AND(ISNUMBER(INDEX('Gate events'!$F$4:$F$553,MATCH(B412,'Gate events'!$A$4:$A$553,0))),F412&lt;INDEX('Gate events'!$F$4:$F$553,MATCH(B412,'Gate events'!$A$4:$A$553,0))),"Due date before parent event date",IF(AND(OR(G412="Closed-verified",G412="Waived",G412="Accepted-open"),OR(H412="",I412="")),"Closure evidence missing",IF(AND(H412&lt;&gt;"",NOT(ISNUMBER(H412))),"Closed / waived on is not a date",IF(AND(ISNUMBER(H412),ISNUMBER(INDEX('Gate events'!$F$4:$F$553,MATCH(B412,'Gate events'!$A$4:$A$553,0))),H412&lt;INDEX('Gate events'!$F$4:$F$553,MATCH(B412,'Gate events'!$A$4:$A$553,0))),"Closure date before parent event date",IF(AND(G412="Closed-verified",M412=""),"Verifier / date missing",IF(AND(N412="Yes",G412="Closed-verified",O412=""),"Monitoring condition needs AIG-OPS-02 evidence ref",IF(AND(G412="Open",F412&lt;TODAY()),"OVERDUE (derived) — review",IF(G412="Unknown","State Unknown: owner to confirm","Check against source")))))))))))))))))))</f>
        <v/>
      </c>
      <c r="K412" s="37" t="n"/>
      <c r="L412" s="37" t="n"/>
      <c r="M412" s="38" t="n"/>
      <c r="N412" s="38" t="n"/>
      <c r="O412" s="38" t="n"/>
    </row>
    <row r="413">
      <c r="A413" s="40" t="n"/>
      <c r="B413" s="40" t="n"/>
      <c r="C413" s="40" t="n"/>
      <c r="D413" s="40" t="n"/>
      <c r="E413" s="40" t="n"/>
      <c r="F413" s="41" t="n"/>
      <c r="G413" s="40" t="n"/>
      <c r="H413" s="41" t="n"/>
      <c r="I413" s="40" t="n"/>
      <c r="J413" s="24">
        <f>IF(COUNTA(A413:I413,K413:O413)=0,"",IF(OR(A413="",B413="",C413=""),"ID / parent missing",IF(COUNTIF($A$4:$A$553,A413)&gt;1,"Duplicate condition ID",IF(COUNTIF('Gate events'!$A$4:$A$553,B413)=0,"Event ID not found",IF(INDEX('Gate events'!$B$4:$B$553,MATCH(B413,'Gate events'!$A$4:$A$553,0))&lt;&gt;C413,"AIR-ID differs from event",IF(IF(INDEX('Gate events'!$P$4:$P$553,MATCH(B413,'Gate events'!$A$4:$A$553,0))="UC-ID specific",IF(OR(L413&lt;&gt;"UC-ID specific",K413=""),"Condition UC-ID required",IF(ISNUMBER(SEARCH(","&amp;SUBSTITUTE(K413," ","")&amp;",",","&amp;SUBSTITUTE(INDEX('Gate events'!$O$4:$O$553,MATCH(B413,'Gate events'!$A$4:$A$553,0))," ","")&amp;",")),"","UC-ID differs from decision")),IF(INDEX('Gate events'!$P$4:$P$553,MATCH(B413,'Gate events'!$A$4:$A$553,0))="Shared system baseline",IF(OR(L413&lt;&gt;"Shared system baseline",K413&lt;&gt;""),"Condition scope differs from decision",""),"Parent decision scope missing"))&lt;&gt;"",IF(INDEX('Gate events'!$P$4:$P$553,MATCH(B413,'Gate events'!$A$4:$A$553,0))="UC-ID specific",IF(OR(L413&lt;&gt;"UC-ID specific",K413=""),"Condition UC-ID required",IF(ISNUMBER(SEARCH(","&amp;SUBSTITUTE(K413," ","")&amp;",",","&amp;SUBSTITUTE(INDEX('Gate events'!$O$4:$O$553,MATCH(B413,'Gate events'!$A$4:$A$553,0))," ","")&amp;",")),"","UC-ID differs from decision")),IF(INDEX('Gate events'!$P$4:$P$553,MATCH(B413,'Gate events'!$A$4:$A$553,0))="Shared system baseline",IF(OR(L413&lt;&gt;"Shared system baseline",K413&lt;&gt;""),"Condition scope differs from decision",""),"Parent decision scope missing")),IF(OR(D413="",E413="",F413="",G413=""),"Condition, owner, due date or state missing",IF(NOT(ISNUMBER(F413)),"Due date is not a date",IF(OR(G413="Overdue",G413="Superseded"),"Legacy state — owner review (use the shared five states)",IF(INDEX('Gate events'!$E$4:$E$553,MATCH(B413,'Gate events'!$A$4:$A$553,0))&lt;&gt;"Decision","Parent event is not a Decision",IF(AND(INDEX('Gate events'!$G$4:$G$553,MATCH(B413,'Gate events'!$A$4:$A$553,0))&lt;&gt;"Progress with condition",INDEX('Gate events'!$G$4:$G$553,MATCH(B413,'Gate events'!$A$4:$A$553,0))&lt;&gt;"Re-authorise",INDEX('Gate events'!$G$4:$G$553,MATCH(B413,'Gate events'!$A$4:$A$553,0))&lt;&gt;"Resume"),"Parent outcome is not Progress with condition / Re-authorise / Resume",IF(AND(ISNUMBER(INDEX('Gate events'!$F$4:$F$553,MATCH(B413,'Gate events'!$A$4:$A$553,0))),F413&lt;INDEX('Gate events'!$F$4:$F$553,MATCH(B413,'Gate events'!$A$4:$A$553,0))),"Due date before parent event date",IF(AND(OR(G413="Closed-verified",G413="Waived",G413="Accepted-open"),OR(H413="",I413="")),"Closure evidence missing",IF(AND(H413&lt;&gt;"",NOT(ISNUMBER(H413))),"Closed / waived on is not a date",IF(AND(ISNUMBER(H413),ISNUMBER(INDEX('Gate events'!$F$4:$F$553,MATCH(B413,'Gate events'!$A$4:$A$553,0))),H413&lt;INDEX('Gate events'!$F$4:$F$553,MATCH(B413,'Gate events'!$A$4:$A$553,0))),"Closure date before parent event date",IF(AND(G413="Closed-verified",M413=""),"Verifier / date missing",IF(AND(N413="Yes",G413="Closed-verified",O413=""),"Monitoring condition needs AIG-OPS-02 evidence ref",IF(AND(G413="Open",F413&lt;TODAY()),"OVERDUE (derived) — review",IF(G413="Unknown","State Unknown: owner to confirm","Check against source")))))))))))))))))))</f>
        <v/>
      </c>
      <c r="K413" s="37" t="n"/>
      <c r="L413" s="37" t="n"/>
      <c r="M413" s="40" t="n"/>
      <c r="N413" s="40" t="n"/>
      <c r="O413" s="40" t="n"/>
    </row>
    <row r="414">
      <c r="A414" s="38" t="n"/>
      <c r="B414" s="38" t="n"/>
      <c r="C414" s="38" t="n"/>
      <c r="D414" s="38" t="n"/>
      <c r="E414" s="38" t="n"/>
      <c r="F414" s="39" t="n"/>
      <c r="G414" s="38" t="n"/>
      <c r="H414" s="39" t="n"/>
      <c r="I414" s="38" t="n"/>
      <c r="J414" s="22">
        <f>IF(COUNTA(A414:I414,K414:O414)=0,"",IF(OR(A414="",B414="",C414=""),"ID / parent missing",IF(COUNTIF($A$4:$A$553,A414)&gt;1,"Duplicate condition ID",IF(COUNTIF('Gate events'!$A$4:$A$553,B414)=0,"Event ID not found",IF(INDEX('Gate events'!$B$4:$B$553,MATCH(B414,'Gate events'!$A$4:$A$553,0))&lt;&gt;C414,"AIR-ID differs from event",IF(IF(INDEX('Gate events'!$P$4:$P$553,MATCH(B414,'Gate events'!$A$4:$A$553,0))="UC-ID specific",IF(OR(L414&lt;&gt;"UC-ID specific",K414=""),"Condition UC-ID required",IF(ISNUMBER(SEARCH(","&amp;SUBSTITUTE(K414," ","")&amp;",",","&amp;SUBSTITUTE(INDEX('Gate events'!$O$4:$O$553,MATCH(B414,'Gate events'!$A$4:$A$553,0))," ","")&amp;",")),"","UC-ID differs from decision")),IF(INDEX('Gate events'!$P$4:$P$553,MATCH(B414,'Gate events'!$A$4:$A$553,0))="Shared system baseline",IF(OR(L414&lt;&gt;"Shared system baseline",K414&lt;&gt;""),"Condition scope differs from decision",""),"Parent decision scope missing"))&lt;&gt;"",IF(INDEX('Gate events'!$P$4:$P$553,MATCH(B414,'Gate events'!$A$4:$A$553,0))="UC-ID specific",IF(OR(L414&lt;&gt;"UC-ID specific",K414=""),"Condition UC-ID required",IF(ISNUMBER(SEARCH(","&amp;SUBSTITUTE(K414," ","")&amp;",",","&amp;SUBSTITUTE(INDEX('Gate events'!$O$4:$O$553,MATCH(B414,'Gate events'!$A$4:$A$553,0))," ","")&amp;",")),"","UC-ID differs from decision")),IF(INDEX('Gate events'!$P$4:$P$553,MATCH(B414,'Gate events'!$A$4:$A$553,0))="Shared system baseline",IF(OR(L414&lt;&gt;"Shared system baseline",K414&lt;&gt;""),"Condition scope differs from decision",""),"Parent decision scope missing")),IF(OR(D414="",E414="",F414="",G414=""),"Condition, owner, due date or state missing",IF(NOT(ISNUMBER(F414)),"Due date is not a date",IF(OR(G414="Overdue",G414="Superseded"),"Legacy state — owner review (use the shared five states)",IF(INDEX('Gate events'!$E$4:$E$553,MATCH(B414,'Gate events'!$A$4:$A$553,0))&lt;&gt;"Decision","Parent event is not a Decision",IF(AND(INDEX('Gate events'!$G$4:$G$553,MATCH(B414,'Gate events'!$A$4:$A$553,0))&lt;&gt;"Progress with condition",INDEX('Gate events'!$G$4:$G$553,MATCH(B414,'Gate events'!$A$4:$A$553,0))&lt;&gt;"Re-authorise",INDEX('Gate events'!$G$4:$G$553,MATCH(B414,'Gate events'!$A$4:$A$553,0))&lt;&gt;"Resume"),"Parent outcome is not Progress with condition / Re-authorise / Resume",IF(AND(ISNUMBER(INDEX('Gate events'!$F$4:$F$553,MATCH(B414,'Gate events'!$A$4:$A$553,0))),F414&lt;INDEX('Gate events'!$F$4:$F$553,MATCH(B414,'Gate events'!$A$4:$A$553,0))),"Due date before parent event date",IF(AND(OR(G414="Closed-verified",G414="Waived",G414="Accepted-open"),OR(H414="",I414="")),"Closure evidence missing",IF(AND(H414&lt;&gt;"",NOT(ISNUMBER(H414))),"Closed / waived on is not a date",IF(AND(ISNUMBER(H414),ISNUMBER(INDEX('Gate events'!$F$4:$F$553,MATCH(B414,'Gate events'!$A$4:$A$553,0))),H414&lt;INDEX('Gate events'!$F$4:$F$553,MATCH(B414,'Gate events'!$A$4:$A$553,0))),"Closure date before parent event date",IF(AND(G414="Closed-verified",M414=""),"Verifier / date missing",IF(AND(N414="Yes",G414="Closed-verified",O414=""),"Monitoring condition needs AIG-OPS-02 evidence ref",IF(AND(G414="Open",F414&lt;TODAY()),"OVERDUE (derived) — review",IF(G414="Unknown","State Unknown: owner to confirm","Check against source")))))))))))))))))))</f>
        <v/>
      </c>
      <c r="K414" s="37" t="n"/>
      <c r="L414" s="37" t="n"/>
      <c r="M414" s="38" t="n"/>
      <c r="N414" s="38" t="n"/>
      <c r="O414" s="38" t="n"/>
    </row>
    <row r="415">
      <c r="A415" s="40" t="n"/>
      <c r="B415" s="40" t="n"/>
      <c r="C415" s="40" t="n"/>
      <c r="D415" s="40" t="n"/>
      <c r="E415" s="40" t="n"/>
      <c r="F415" s="41" t="n"/>
      <c r="G415" s="40" t="n"/>
      <c r="H415" s="41" t="n"/>
      <c r="I415" s="40" t="n"/>
      <c r="J415" s="24">
        <f>IF(COUNTA(A415:I415,K415:O415)=0,"",IF(OR(A415="",B415="",C415=""),"ID / parent missing",IF(COUNTIF($A$4:$A$553,A415)&gt;1,"Duplicate condition ID",IF(COUNTIF('Gate events'!$A$4:$A$553,B415)=0,"Event ID not found",IF(INDEX('Gate events'!$B$4:$B$553,MATCH(B415,'Gate events'!$A$4:$A$553,0))&lt;&gt;C415,"AIR-ID differs from event",IF(IF(INDEX('Gate events'!$P$4:$P$553,MATCH(B415,'Gate events'!$A$4:$A$553,0))="UC-ID specific",IF(OR(L415&lt;&gt;"UC-ID specific",K415=""),"Condition UC-ID required",IF(ISNUMBER(SEARCH(","&amp;SUBSTITUTE(K415," ","")&amp;",",","&amp;SUBSTITUTE(INDEX('Gate events'!$O$4:$O$553,MATCH(B415,'Gate events'!$A$4:$A$553,0))," ","")&amp;",")),"","UC-ID differs from decision")),IF(INDEX('Gate events'!$P$4:$P$553,MATCH(B415,'Gate events'!$A$4:$A$553,0))="Shared system baseline",IF(OR(L415&lt;&gt;"Shared system baseline",K415&lt;&gt;""),"Condition scope differs from decision",""),"Parent decision scope missing"))&lt;&gt;"",IF(INDEX('Gate events'!$P$4:$P$553,MATCH(B415,'Gate events'!$A$4:$A$553,0))="UC-ID specific",IF(OR(L415&lt;&gt;"UC-ID specific",K415=""),"Condition UC-ID required",IF(ISNUMBER(SEARCH(","&amp;SUBSTITUTE(K415," ","")&amp;",",","&amp;SUBSTITUTE(INDEX('Gate events'!$O$4:$O$553,MATCH(B415,'Gate events'!$A$4:$A$553,0))," ","")&amp;",")),"","UC-ID differs from decision")),IF(INDEX('Gate events'!$P$4:$P$553,MATCH(B415,'Gate events'!$A$4:$A$553,0))="Shared system baseline",IF(OR(L415&lt;&gt;"Shared system baseline",K415&lt;&gt;""),"Condition scope differs from decision",""),"Parent decision scope missing")),IF(OR(D415="",E415="",F415="",G415=""),"Condition, owner, due date or state missing",IF(NOT(ISNUMBER(F415)),"Due date is not a date",IF(OR(G415="Overdue",G415="Superseded"),"Legacy state — owner review (use the shared five states)",IF(INDEX('Gate events'!$E$4:$E$553,MATCH(B415,'Gate events'!$A$4:$A$553,0))&lt;&gt;"Decision","Parent event is not a Decision",IF(AND(INDEX('Gate events'!$G$4:$G$553,MATCH(B415,'Gate events'!$A$4:$A$553,0))&lt;&gt;"Progress with condition",INDEX('Gate events'!$G$4:$G$553,MATCH(B415,'Gate events'!$A$4:$A$553,0))&lt;&gt;"Re-authorise",INDEX('Gate events'!$G$4:$G$553,MATCH(B415,'Gate events'!$A$4:$A$553,0))&lt;&gt;"Resume"),"Parent outcome is not Progress with condition / Re-authorise / Resume",IF(AND(ISNUMBER(INDEX('Gate events'!$F$4:$F$553,MATCH(B415,'Gate events'!$A$4:$A$553,0))),F415&lt;INDEX('Gate events'!$F$4:$F$553,MATCH(B415,'Gate events'!$A$4:$A$553,0))),"Due date before parent event date",IF(AND(OR(G415="Closed-verified",G415="Waived",G415="Accepted-open"),OR(H415="",I415="")),"Closure evidence missing",IF(AND(H415&lt;&gt;"",NOT(ISNUMBER(H415))),"Closed / waived on is not a date",IF(AND(ISNUMBER(H415),ISNUMBER(INDEX('Gate events'!$F$4:$F$553,MATCH(B415,'Gate events'!$A$4:$A$553,0))),H415&lt;INDEX('Gate events'!$F$4:$F$553,MATCH(B415,'Gate events'!$A$4:$A$553,0))),"Closure date before parent event date",IF(AND(G415="Closed-verified",M415=""),"Verifier / date missing",IF(AND(N415="Yes",G415="Closed-verified",O415=""),"Monitoring condition needs AIG-OPS-02 evidence ref",IF(AND(G415="Open",F415&lt;TODAY()),"OVERDUE (derived) — review",IF(G415="Unknown","State Unknown: owner to confirm","Check against source")))))))))))))))))))</f>
        <v/>
      </c>
      <c r="K415" s="37" t="n"/>
      <c r="L415" s="37" t="n"/>
      <c r="M415" s="40" t="n"/>
      <c r="N415" s="40" t="n"/>
      <c r="O415" s="40" t="n"/>
    </row>
    <row r="416">
      <c r="A416" s="38" t="n"/>
      <c r="B416" s="38" t="n"/>
      <c r="C416" s="38" t="n"/>
      <c r="D416" s="38" t="n"/>
      <c r="E416" s="38" t="n"/>
      <c r="F416" s="39" t="n"/>
      <c r="G416" s="38" t="n"/>
      <c r="H416" s="39" t="n"/>
      <c r="I416" s="38" t="n"/>
      <c r="J416" s="22">
        <f>IF(COUNTA(A416:I416,K416:O416)=0,"",IF(OR(A416="",B416="",C416=""),"ID / parent missing",IF(COUNTIF($A$4:$A$553,A416)&gt;1,"Duplicate condition ID",IF(COUNTIF('Gate events'!$A$4:$A$553,B416)=0,"Event ID not found",IF(INDEX('Gate events'!$B$4:$B$553,MATCH(B416,'Gate events'!$A$4:$A$553,0))&lt;&gt;C416,"AIR-ID differs from event",IF(IF(INDEX('Gate events'!$P$4:$P$553,MATCH(B416,'Gate events'!$A$4:$A$553,0))="UC-ID specific",IF(OR(L416&lt;&gt;"UC-ID specific",K416=""),"Condition UC-ID required",IF(ISNUMBER(SEARCH(","&amp;SUBSTITUTE(K416," ","")&amp;",",","&amp;SUBSTITUTE(INDEX('Gate events'!$O$4:$O$553,MATCH(B416,'Gate events'!$A$4:$A$553,0))," ","")&amp;",")),"","UC-ID differs from decision")),IF(INDEX('Gate events'!$P$4:$P$553,MATCH(B416,'Gate events'!$A$4:$A$553,0))="Shared system baseline",IF(OR(L416&lt;&gt;"Shared system baseline",K416&lt;&gt;""),"Condition scope differs from decision",""),"Parent decision scope missing"))&lt;&gt;"",IF(INDEX('Gate events'!$P$4:$P$553,MATCH(B416,'Gate events'!$A$4:$A$553,0))="UC-ID specific",IF(OR(L416&lt;&gt;"UC-ID specific",K416=""),"Condition UC-ID required",IF(ISNUMBER(SEARCH(","&amp;SUBSTITUTE(K416," ","")&amp;",",","&amp;SUBSTITUTE(INDEX('Gate events'!$O$4:$O$553,MATCH(B416,'Gate events'!$A$4:$A$553,0))," ","")&amp;",")),"","UC-ID differs from decision")),IF(INDEX('Gate events'!$P$4:$P$553,MATCH(B416,'Gate events'!$A$4:$A$553,0))="Shared system baseline",IF(OR(L416&lt;&gt;"Shared system baseline",K416&lt;&gt;""),"Condition scope differs from decision",""),"Parent decision scope missing")),IF(OR(D416="",E416="",F416="",G416=""),"Condition, owner, due date or state missing",IF(NOT(ISNUMBER(F416)),"Due date is not a date",IF(OR(G416="Overdue",G416="Superseded"),"Legacy state — owner review (use the shared five states)",IF(INDEX('Gate events'!$E$4:$E$553,MATCH(B416,'Gate events'!$A$4:$A$553,0))&lt;&gt;"Decision","Parent event is not a Decision",IF(AND(INDEX('Gate events'!$G$4:$G$553,MATCH(B416,'Gate events'!$A$4:$A$553,0))&lt;&gt;"Progress with condition",INDEX('Gate events'!$G$4:$G$553,MATCH(B416,'Gate events'!$A$4:$A$553,0))&lt;&gt;"Re-authorise",INDEX('Gate events'!$G$4:$G$553,MATCH(B416,'Gate events'!$A$4:$A$553,0))&lt;&gt;"Resume"),"Parent outcome is not Progress with condition / Re-authorise / Resume",IF(AND(ISNUMBER(INDEX('Gate events'!$F$4:$F$553,MATCH(B416,'Gate events'!$A$4:$A$553,0))),F416&lt;INDEX('Gate events'!$F$4:$F$553,MATCH(B416,'Gate events'!$A$4:$A$553,0))),"Due date before parent event date",IF(AND(OR(G416="Closed-verified",G416="Waived",G416="Accepted-open"),OR(H416="",I416="")),"Closure evidence missing",IF(AND(H416&lt;&gt;"",NOT(ISNUMBER(H416))),"Closed / waived on is not a date",IF(AND(ISNUMBER(H416),ISNUMBER(INDEX('Gate events'!$F$4:$F$553,MATCH(B416,'Gate events'!$A$4:$A$553,0))),H416&lt;INDEX('Gate events'!$F$4:$F$553,MATCH(B416,'Gate events'!$A$4:$A$553,0))),"Closure date before parent event date",IF(AND(G416="Closed-verified",M416=""),"Verifier / date missing",IF(AND(N416="Yes",G416="Closed-verified",O416=""),"Monitoring condition needs AIG-OPS-02 evidence ref",IF(AND(G416="Open",F416&lt;TODAY()),"OVERDUE (derived) — review",IF(G416="Unknown","State Unknown: owner to confirm","Check against source")))))))))))))))))))</f>
        <v/>
      </c>
      <c r="K416" s="37" t="n"/>
      <c r="L416" s="37" t="n"/>
      <c r="M416" s="38" t="n"/>
      <c r="N416" s="38" t="n"/>
      <c r="O416" s="38" t="n"/>
    </row>
    <row r="417">
      <c r="A417" s="40" t="n"/>
      <c r="B417" s="40" t="n"/>
      <c r="C417" s="40" t="n"/>
      <c r="D417" s="40" t="n"/>
      <c r="E417" s="40" t="n"/>
      <c r="F417" s="41" t="n"/>
      <c r="G417" s="40" t="n"/>
      <c r="H417" s="41" t="n"/>
      <c r="I417" s="40" t="n"/>
      <c r="J417" s="24">
        <f>IF(COUNTA(A417:I417,K417:O417)=0,"",IF(OR(A417="",B417="",C417=""),"ID / parent missing",IF(COUNTIF($A$4:$A$553,A417)&gt;1,"Duplicate condition ID",IF(COUNTIF('Gate events'!$A$4:$A$553,B417)=0,"Event ID not found",IF(INDEX('Gate events'!$B$4:$B$553,MATCH(B417,'Gate events'!$A$4:$A$553,0))&lt;&gt;C417,"AIR-ID differs from event",IF(IF(INDEX('Gate events'!$P$4:$P$553,MATCH(B417,'Gate events'!$A$4:$A$553,0))="UC-ID specific",IF(OR(L417&lt;&gt;"UC-ID specific",K417=""),"Condition UC-ID required",IF(ISNUMBER(SEARCH(","&amp;SUBSTITUTE(K417," ","")&amp;",",","&amp;SUBSTITUTE(INDEX('Gate events'!$O$4:$O$553,MATCH(B417,'Gate events'!$A$4:$A$553,0))," ","")&amp;",")),"","UC-ID differs from decision")),IF(INDEX('Gate events'!$P$4:$P$553,MATCH(B417,'Gate events'!$A$4:$A$553,0))="Shared system baseline",IF(OR(L417&lt;&gt;"Shared system baseline",K417&lt;&gt;""),"Condition scope differs from decision",""),"Parent decision scope missing"))&lt;&gt;"",IF(INDEX('Gate events'!$P$4:$P$553,MATCH(B417,'Gate events'!$A$4:$A$553,0))="UC-ID specific",IF(OR(L417&lt;&gt;"UC-ID specific",K417=""),"Condition UC-ID required",IF(ISNUMBER(SEARCH(","&amp;SUBSTITUTE(K417," ","")&amp;",",","&amp;SUBSTITUTE(INDEX('Gate events'!$O$4:$O$553,MATCH(B417,'Gate events'!$A$4:$A$553,0))," ","")&amp;",")),"","UC-ID differs from decision")),IF(INDEX('Gate events'!$P$4:$P$553,MATCH(B417,'Gate events'!$A$4:$A$553,0))="Shared system baseline",IF(OR(L417&lt;&gt;"Shared system baseline",K417&lt;&gt;""),"Condition scope differs from decision",""),"Parent decision scope missing")),IF(OR(D417="",E417="",F417="",G417=""),"Condition, owner, due date or state missing",IF(NOT(ISNUMBER(F417)),"Due date is not a date",IF(OR(G417="Overdue",G417="Superseded"),"Legacy state — owner review (use the shared five states)",IF(INDEX('Gate events'!$E$4:$E$553,MATCH(B417,'Gate events'!$A$4:$A$553,0))&lt;&gt;"Decision","Parent event is not a Decision",IF(AND(INDEX('Gate events'!$G$4:$G$553,MATCH(B417,'Gate events'!$A$4:$A$553,0))&lt;&gt;"Progress with condition",INDEX('Gate events'!$G$4:$G$553,MATCH(B417,'Gate events'!$A$4:$A$553,0))&lt;&gt;"Re-authorise",INDEX('Gate events'!$G$4:$G$553,MATCH(B417,'Gate events'!$A$4:$A$553,0))&lt;&gt;"Resume"),"Parent outcome is not Progress with condition / Re-authorise / Resume",IF(AND(ISNUMBER(INDEX('Gate events'!$F$4:$F$553,MATCH(B417,'Gate events'!$A$4:$A$553,0))),F417&lt;INDEX('Gate events'!$F$4:$F$553,MATCH(B417,'Gate events'!$A$4:$A$553,0))),"Due date before parent event date",IF(AND(OR(G417="Closed-verified",G417="Waived",G417="Accepted-open"),OR(H417="",I417="")),"Closure evidence missing",IF(AND(H417&lt;&gt;"",NOT(ISNUMBER(H417))),"Closed / waived on is not a date",IF(AND(ISNUMBER(H417),ISNUMBER(INDEX('Gate events'!$F$4:$F$553,MATCH(B417,'Gate events'!$A$4:$A$553,0))),H417&lt;INDEX('Gate events'!$F$4:$F$553,MATCH(B417,'Gate events'!$A$4:$A$553,0))),"Closure date before parent event date",IF(AND(G417="Closed-verified",M417=""),"Verifier / date missing",IF(AND(N417="Yes",G417="Closed-verified",O417=""),"Monitoring condition needs AIG-OPS-02 evidence ref",IF(AND(G417="Open",F417&lt;TODAY()),"OVERDUE (derived) — review",IF(G417="Unknown","State Unknown: owner to confirm","Check against source")))))))))))))))))))</f>
        <v/>
      </c>
      <c r="K417" s="37" t="n"/>
      <c r="L417" s="37" t="n"/>
      <c r="M417" s="40" t="n"/>
      <c r="N417" s="40" t="n"/>
      <c r="O417" s="40" t="n"/>
    </row>
    <row r="418">
      <c r="A418" s="38" t="n"/>
      <c r="B418" s="38" t="n"/>
      <c r="C418" s="38" t="n"/>
      <c r="D418" s="38" t="n"/>
      <c r="E418" s="38" t="n"/>
      <c r="F418" s="39" t="n"/>
      <c r="G418" s="38" t="n"/>
      <c r="H418" s="39" t="n"/>
      <c r="I418" s="38" t="n"/>
      <c r="J418" s="22">
        <f>IF(COUNTA(A418:I418,K418:O418)=0,"",IF(OR(A418="",B418="",C418=""),"ID / parent missing",IF(COUNTIF($A$4:$A$553,A418)&gt;1,"Duplicate condition ID",IF(COUNTIF('Gate events'!$A$4:$A$553,B418)=0,"Event ID not found",IF(INDEX('Gate events'!$B$4:$B$553,MATCH(B418,'Gate events'!$A$4:$A$553,0))&lt;&gt;C418,"AIR-ID differs from event",IF(IF(INDEX('Gate events'!$P$4:$P$553,MATCH(B418,'Gate events'!$A$4:$A$553,0))="UC-ID specific",IF(OR(L418&lt;&gt;"UC-ID specific",K418=""),"Condition UC-ID required",IF(ISNUMBER(SEARCH(","&amp;SUBSTITUTE(K418," ","")&amp;",",","&amp;SUBSTITUTE(INDEX('Gate events'!$O$4:$O$553,MATCH(B418,'Gate events'!$A$4:$A$553,0))," ","")&amp;",")),"","UC-ID differs from decision")),IF(INDEX('Gate events'!$P$4:$P$553,MATCH(B418,'Gate events'!$A$4:$A$553,0))="Shared system baseline",IF(OR(L418&lt;&gt;"Shared system baseline",K418&lt;&gt;""),"Condition scope differs from decision",""),"Parent decision scope missing"))&lt;&gt;"",IF(INDEX('Gate events'!$P$4:$P$553,MATCH(B418,'Gate events'!$A$4:$A$553,0))="UC-ID specific",IF(OR(L418&lt;&gt;"UC-ID specific",K418=""),"Condition UC-ID required",IF(ISNUMBER(SEARCH(","&amp;SUBSTITUTE(K418," ","")&amp;",",","&amp;SUBSTITUTE(INDEX('Gate events'!$O$4:$O$553,MATCH(B418,'Gate events'!$A$4:$A$553,0))," ","")&amp;",")),"","UC-ID differs from decision")),IF(INDEX('Gate events'!$P$4:$P$553,MATCH(B418,'Gate events'!$A$4:$A$553,0))="Shared system baseline",IF(OR(L418&lt;&gt;"Shared system baseline",K418&lt;&gt;""),"Condition scope differs from decision",""),"Parent decision scope missing")),IF(OR(D418="",E418="",F418="",G418=""),"Condition, owner, due date or state missing",IF(NOT(ISNUMBER(F418)),"Due date is not a date",IF(OR(G418="Overdue",G418="Superseded"),"Legacy state — owner review (use the shared five states)",IF(INDEX('Gate events'!$E$4:$E$553,MATCH(B418,'Gate events'!$A$4:$A$553,0))&lt;&gt;"Decision","Parent event is not a Decision",IF(AND(INDEX('Gate events'!$G$4:$G$553,MATCH(B418,'Gate events'!$A$4:$A$553,0))&lt;&gt;"Progress with condition",INDEX('Gate events'!$G$4:$G$553,MATCH(B418,'Gate events'!$A$4:$A$553,0))&lt;&gt;"Re-authorise",INDEX('Gate events'!$G$4:$G$553,MATCH(B418,'Gate events'!$A$4:$A$553,0))&lt;&gt;"Resume"),"Parent outcome is not Progress with condition / Re-authorise / Resume",IF(AND(ISNUMBER(INDEX('Gate events'!$F$4:$F$553,MATCH(B418,'Gate events'!$A$4:$A$553,0))),F418&lt;INDEX('Gate events'!$F$4:$F$553,MATCH(B418,'Gate events'!$A$4:$A$553,0))),"Due date before parent event date",IF(AND(OR(G418="Closed-verified",G418="Waived",G418="Accepted-open"),OR(H418="",I418="")),"Closure evidence missing",IF(AND(H418&lt;&gt;"",NOT(ISNUMBER(H418))),"Closed / waived on is not a date",IF(AND(ISNUMBER(H418),ISNUMBER(INDEX('Gate events'!$F$4:$F$553,MATCH(B418,'Gate events'!$A$4:$A$553,0))),H418&lt;INDEX('Gate events'!$F$4:$F$553,MATCH(B418,'Gate events'!$A$4:$A$553,0))),"Closure date before parent event date",IF(AND(G418="Closed-verified",M418=""),"Verifier / date missing",IF(AND(N418="Yes",G418="Closed-verified",O418=""),"Monitoring condition needs AIG-OPS-02 evidence ref",IF(AND(G418="Open",F418&lt;TODAY()),"OVERDUE (derived) — review",IF(G418="Unknown","State Unknown: owner to confirm","Check against source")))))))))))))))))))</f>
        <v/>
      </c>
      <c r="K418" s="37" t="n"/>
      <c r="L418" s="37" t="n"/>
      <c r="M418" s="38" t="n"/>
      <c r="N418" s="38" t="n"/>
      <c r="O418" s="38" t="n"/>
    </row>
    <row r="419">
      <c r="A419" s="40" t="n"/>
      <c r="B419" s="40" t="n"/>
      <c r="C419" s="40" t="n"/>
      <c r="D419" s="40" t="n"/>
      <c r="E419" s="40" t="n"/>
      <c r="F419" s="41" t="n"/>
      <c r="G419" s="40" t="n"/>
      <c r="H419" s="41" t="n"/>
      <c r="I419" s="40" t="n"/>
      <c r="J419" s="24">
        <f>IF(COUNTA(A419:I419,K419:O419)=0,"",IF(OR(A419="",B419="",C419=""),"ID / parent missing",IF(COUNTIF($A$4:$A$553,A419)&gt;1,"Duplicate condition ID",IF(COUNTIF('Gate events'!$A$4:$A$553,B419)=0,"Event ID not found",IF(INDEX('Gate events'!$B$4:$B$553,MATCH(B419,'Gate events'!$A$4:$A$553,0))&lt;&gt;C419,"AIR-ID differs from event",IF(IF(INDEX('Gate events'!$P$4:$P$553,MATCH(B419,'Gate events'!$A$4:$A$553,0))="UC-ID specific",IF(OR(L419&lt;&gt;"UC-ID specific",K419=""),"Condition UC-ID required",IF(ISNUMBER(SEARCH(","&amp;SUBSTITUTE(K419," ","")&amp;",",","&amp;SUBSTITUTE(INDEX('Gate events'!$O$4:$O$553,MATCH(B419,'Gate events'!$A$4:$A$553,0))," ","")&amp;",")),"","UC-ID differs from decision")),IF(INDEX('Gate events'!$P$4:$P$553,MATCH(B419,'Gate events'!$A$4:$A$553,0))="Shared system baseline",IF(OR(L419&lt;&gt;"Shared system baseline",K419&lt;&gt;""),"Condition scope differs from decision",""),"Parent decision scope missing"))&lt;&gt;"",IF(INDEX('Gate events'!$P$4:$P$553,MATCH(B419,'Gate events'!$A$4:$A$553,0))="UC-ID specific",IF(OR(L419&lt;&gt;"UC-ID specific",K419=""),"Condition UC-ID required",IF(ISNUMBER(SEARCH(","&amp;SUBSTITUTE(K419," ","")&amp;",",","&amp;SUBSTITUTE(INDEX('Gate events'!$O$4:$O$553,MATCH(B419,'Gate events'!$A$4:$A$553,0))," ","")&amp;",")),"","UC-ID differs from decision")),IF(INDEX('Gate events'!$P$4:$P$553,MATCH(B419,'Gate events'!$A$4:$A$553,0))="Shared system baseline",IF(OR(L419&lt;&gt;"Shared system baseline",K419&lt;&gt;""),"Condition scope differs from decision",""),"Parent decision scope missing")),IF(OR(D419="",E419="",F419="",G419=""),"Condition, owner, due date or state missing",IF(NOT(ISNUMBER(F419)),"Due date is not a date",IF(OR(G419="Overdue",G419="Superseded"),"Legacy state — owner review (use the shared five states)",IF(INDEX('Gate events'!$E$4:$E$553,MATCH(B419,'Gate events'!$A$4:$A$553,0))&lt;&gt;"Decision","Parent event is not a Decision",IF(AND(INDEX('Gate events'!$G$4:$G$553,MATCH(B419,'Gate events'!$A$4:$A$553,0))&lt;&gt;"Progress with condition",INDEX('Gate events'!$G$4:$G$553,MATCH(B419,'Gate events'!$A$4:$A$553,0))&lt;&gt;"Re-authorise",INDEX('Gate events'!$G$4:$G$553,MATCH(B419,'Gate events'!$A$4:$A$553,0))&lt;&gt;"Resume"),"Parent outcome is not Progress with condition / Re-authorise / Resume",IF(AND(ISNUMBER(INDEX('Gate events'!$F$4:$F$553,MATCH(B419,'Gate events'!$A$4:$A$553,0))),F419&lt;INDEX('Gate events'!$F$4:$F$553,MATCH(B419,'Gate events'!$A$4:$A$553,0))),"Due date before parent event date",IF(AND(OR(G419="Closed-verified",G419="Waived",G419="Accepted-open"),OR(H419="",I419="")),"Closure evidence missing",IF(AND(H419&lt;&gt;"",NOT(ISNUMBER(H419))),"Closed / waived on is not a date",IF(AND(ISNUMBER(H419),ISNUMBER(INDEX('Gate events'!$F$4:$F$553,MATCH(B419,'Gate events'!$A$4:$A$553,0))),H419&lt;INDEX('Gate events'!$F$4:$F$553,MATCH(B419,'Gate events'!$A$4:$A$553,0))),"Closure date before parent event date",IF(AND(G419="Closed-verified",M419=""),"Verifier / date missing",IF(AND(N419="Yes",G419="Closed-verified",O419=""),"Monitoring condition needs AIG-OPS-02 evidence ref",IF(AND(G419="Open",F419&lt;TODAY()),"OVERDUE (derived) — review",IF(G419="Unknown","State Unknown: owner to confirm","Check against source")))))))))))))))))))</f>
        <v/>
      </c>
      <c r="K419" s="37" t="n"/>
      <c r="L419" s="37" t="n"/>
      <c r="M419" s="40" t="n"/>
      <c r="N419" s="40" t="n"/>
      <c r="O419" s="40" t="n"/>
    </row>
    <row r="420">
      <c r="A420" s="38" t="n"/>
      <c r="B420" s="38" t="n"/>
      <c r="C420" s="38" t="n"/>
      <c r="D420" s="38" t="n"/>
      <c r="E420" s="38" t="n"/>
      <c r="F420" s="39" t="n"/>
      <c r="G420" s="38" t="n"/>
      <c r="H420" s="39" t="n"/>
      <c r="I420" s="38" t="n"/>
      <c r="J420" s="22">
        <f>IF(COUNTA(A420:I420,K420:O420)=0,"",IF(OR(A420="",B420="",C420=""),"ID / parent missing",IF(COUNTIF($A$4:$A$553,A420)&gt;1,"Duplicate condition ID",IF(COUNTIF('Gate events'!$A$4:$A$553,B420)=0,"Event ID not found",IF(INDEX('Gate events'!$B$4:$B$553,MATCH(B420,'Gate events'!$A$4:$A$553,0))&lt;&gt;C420,"AIR-ID differs from event",IF(IF(INDEX('Gate events'!$P$4:$P$553,MATCH(B420,'Gate events'!$A$4:$A$553,0))="UC-ID specific",IF(OR(L420&lt;&gt;"UC-ID specific",K420=""),"Condition UC-ID required",IF(ISNUMBER(SEARCH(","&amp;SUBSTITUTE(K420," ","")&amp;",",","&amp;SUBSTITUTE(INDEX('Gate events'!$O$4:$O$553,MATCH(B420,'Gate events'!$A$4:$A$553,0))," ","")&amp;",")),"","UC-ID differs from decision")),IF(INDEX('Gate events'!$P$4:$P$553,MATCH(B420,'Gate events'!$A$4:$A$553,0))="Shared system baseline",IF(OR(L420&lt;&gt;"Shared system baseline",K420&lt;&gt;""),"Condition scope differs from decision",""),"Parent decision scope missing"))&lt;&gt;"",IF(INDEX('Gate events'!$P$4:$P$553,MATCH(B420,'Gate events'!$A$4:$A$553,0))="UC-ID specific",IF(OR(L420&lt;&gt;"UC-ID specific",K420=""),"Condition UC-ID required",IF(ISNUMBER(SEARCH(","&amp;SUBSTITUTE(K420," ","")&amp;",",","&amp;SUBSTITUTE(INDEX('Gate events'!$O$4:$O$553,MATCH(B420,'Gate events'!$A$4:$A$553,0))," ","")&amp;",")),"","UC-ID differs from decision")),IF(INDEX('Gate events'!$P$4:$P$553,MATCH(B420,'Gate events'!$A$4:$A$553,0))="Shared system baseline",IF(OR(L420&lt;&gt;"Shared system baseline",K420&lt;&gt;""),"Condition scope differs from decision",""),"Parent decision scope missing")),IF(OR(D420="",E420="",F420="",G420=""),"Condition, owner, due date or state missing",IF(NOT(ISNUMBER(F420)),"Due date is not a date",IF(OR(G420="Overdue",G420="Superseded"),"Legacy state — owner review (use the shared five states)",IF(INDEX('Gate events'!$E$4:$E$553,MATCH(B420,'Gate events'!$A$4:$A$553,0))&lt;&gt;"Decision","Parent event is not a Decision",IF(AND(INDEX('Gate events'!$G$4:$G$553,MATCH(B420,'Gate events'!$A$4:$A$553,0))&lt;&gt;"Progress with condition",INDEX('Gate events'!$G$4:$G$553,MATCH(B420,'Gate events'!$A$4:$A$553,0))&lt;&gt;"Re-authorise",INDEX('Gate events'!$G$4:$G$553,MATCH(B420,'Gate events'!$A$4:$A$553,0))&lt;&gt;"Resume"),"Parent outcome is not Progress with condition / Re-authorise / Resume",IF(AND(ISNUMBER(INDEX('Gate events'!$F$4:$F$553,MATCH(B420,'Gate events'!$A$4:$A$553,0))),F420&lt;INDEX('Gate events'!$F$4:$F$553,MATCH(B420,'Gate events'!$A$4:$A$553,0))),"Due date before parent event date",IF(AND(OR(G420="Closed-verified",G420="Waived",G420="Accepted-open"),OR(H420="",I420="")),"Closure evidence missing",IF(AND(H420&lt;&gt;"",NOT(ISNUMBER(H420))),"Closed / waived on is not a date",IF(AND(ISNUMBER(H420),ISNUMBER(INDEX('Gate events'!$F$4:$F$553,MATCH(B420,'Gate events'!$A$4:$A$553,0))),H420&lt;INDEX('Gate events'!$F$4:$F$553,MATCH(B420,'Gate events'!$A$4:$A$553,0))),"Closure date before parent event date",IF(AND(G420="Closed-verified",M420=""),"Verifier / date missing",IF(AND(N420="Yes",G420="Closed-verified",O420=""),"Monitoring condition needs AIG-OPS-02 evidence ref",IF(AND(G420="Open",F420&lt;TODAY()),"OVERDUE (derived) — review",IF(G420="Unknown","State Unknown: owner to confirm","Check against source")))))))))))))))))))</f>
        <v/>
      </c>
      <c r="K420" s="37" t="n"/>
      <c r="L420" s="37" t="n"/>
      <c r="M420" s="38" t="n"/>
      <c r="N420" s="38" t="n"/>
      <c r="O420" s="38" t="n"/>
    </row>
    <row r="421">
      <c r="A421" s="40" t="n"/>
      <c r="B421" s="40" t="n"/>
      <c r="C421" s="40" t="n"/>
      <c r="D421" s="40" t="n"/>
      <c r="E421" s="40" t="n"/>
      <c r="F421" s="41" t="n"/>
      <c r="G421" s="40" t="n"/>
      <c r="H421" s="41" t="n"/>
      <c r="I421" s="40" t="n"/>
      <c r="J421" s="24">
        <f>IF(COUNTA(A421:I421,K421:O421)=0,"",IF(OR(A421="",B421="",C421=""),"ID / parent missing",IF(COUNTIF($A$4:$A$553,A421)&gt;1,"Duplicate condition ID",IF(COUNTIF('Gate events'!$A$4:$A$553,B421)=0,"Event ID not found",IF(INDEX('Gate events'!$B$4:$B$553,MATCH(B421,'Gate events'!$A$4:$A$553,0))&lt;&gt;C421,"AIR-ID differs from event",IF(IF(INDEX('Gate events'!$P$4:$P$553,MATCH(B421,'Gate events'!$A$4:$A$553,0))="UC-ID specific",IF(OR(L421&lt;&gt;"UC-ID specific",K421=""),"Condition UC-ID required",IF(ISNUMBER(SEARCH(","&amp;SUBSTITUTE(K421," ","")&amp;",",","&amp;SUBSTITUTE(INDEX('Gate events'!$O$4:$O$553,MATCH(B421,'Gate events'!$A$4:$A$553,0))," ","")&amp;",")),"","UC-ID differs from decision")),IF(INDEX('Gate events'!$P$4:$P$553,MATCH(B421,'Gate events'!$A$4:$A$553,0))="Shared system baseline",IF(OR(L421&lt;&gt;"Shared system baseline",K421&lt;&gt;""),"Condition scope differs from decision",""),"Parent decision scope missing"))&lt;&gt;"",IF(INDEX('Gate events'!$P$4:$P$553,MATCH(B421,'Gate events'!$A$4:$A$553,0))="UC-ID specific",IF(OR(L421&lt;&gt;"UC-ID specific",K421=""),"Condition UC-ID required",IF(ISNUMBER(SEARCH(","&amp;SUBSTITUTE(K421," ","")&amp;",",","&amp;SUBSTITUTE(INDEX('Gate events'!$O$4:$O$553,MATCH(B421,'Gate events'!$A$4:$A$553,0))," ","")&amp;",")),"","UC-ID differs from decision")),IF(INDEX('Gate events'!$P$4:$P$553,MATCH(B421,'Gate events'!$A$4:$A$553,0))="Shared system baseline",IF(OR(L421&lt;&gt;"Shared system baseline",K421&lt;&gt;""),"Condition scope differs from decision",""),"Parent decision scope missing")),IF(OR(D421="",E421="",F421="",G421=""),"Condition, owner, due date or state missing",IF(NOT(ISNUMBER(F421)),"Due date is not a date",IF(OR(G421="Overdue",G421="Superseded"),"Legacy state — owner review (use the shared five states)",IF(INDEX('Gate events'!$E$4:$E$553,MATCH(B421,'Gate events'!$A$4:$A$553,0))&lt;&gt;"Decision","Parent event is not a Decision",IF(AND(INDEX('Gate events'!$G$4:$G$553,MATCH(B421,'Gate events'!$A$4:$A$553,0))&lt;&gt;"Progress with condition",INDEX('Gate events'!$G$4:$G$553,MATCH(B421,'Gate events'!$A$4:$A$553,0))&lt;&gt;"Re-authorise",INDEX('Gate events'!$G$4:$G$553,MATCH(B421,'Gate events'!$A$4:$A$553,0))&lt;&gt;"Resume"),"Parent outcome is not Progress with condition / Re-authorise / Resume",IF(AND(ISNUMBER(INDEX('Gate events'!$F$4:$F$553,MATCH(B421,'Gate events'!$A$4:$A$553,0))),F421&lt;INDEX('Gate events'!$F$4:$F$553,MATCH(B421,'Gate events'!$A$4:$A$553,0))),"Due date before parent event date",IF(AND(OR(G421="Closed-verified",G421="Waived",G421="Accepted-open"),OR(H421="",I421="")),"Closure evidence missing",IF(AND(H421&lt;&gt;"",NOT(ISNUMBER(H421))),"Closed / waived on is not a date",IF(AND(ISNUMBER(H421),ISNUMBER(INDEX('Gate events'!$F$4:$F$553,MATCH(B421,'Gate events'!$A$4:$A$553,0))),H421&lt;INDEX('Gate events'!$F$4:$F$553,MATCH(B421,'Gate events'!$A$4:$A$553,0))),"Closure date before parent event date",IF(AND(G421="Closed-verified",M421=""),"Verifier / date missing",IF(AND(N421="Yes",G421="Closed-verified",O421=""),"Monitoring condition needs AIG-OPS-02 evidence ref",IF(AND(G421="Open",F421&lt;TODAY()),"OVERDUE (derived) — review",IF(G421="Unknown","State Unknown: owner to confirm","Check against source")))))))))))))))))))</f>
        <v/>
      </c>
      <c r="K421" s="37" t="n"/>
      <c r="L421" s="37" t="n"/>
      <c r="M421" s="40" t="n"/>
      <c r="N421" s="40" t="n"/>
      <c r="O421" s="40" t="n"/>
    </row>
    <row r="422">
      <c r="A422" s="38" t="n"/>
      <c r="B422" s="38" t="n"/>
      <c r="C422" s="38" t="n"/>
      <c r="D422" s="38" t="n"/>
      <c r="E422" s="38" t="n"/>
      <c r="F422" s="39" t="n"/>
      <c r="G422" s="38" t="n"/>
      <c r="H422" s="39" t="n"/>
      <c r="I422" s="38" t="n"/>
      <c r="J422" s="22">
        <f>IF(COUNTA(A422:I422,K422:O422)=0,"",IF(OR(A422="",B422="",C422=""),"ID / parent missing",IF(COUNTIF($A$4:$A$553,A422)&gt;1,"Duplicate condition ID",IF(COUNTIF('Gate events'!$A$4:$A$553,B422)=0,"Event ID not found",IF(INDEX('Gate events'!$B$4:$B$553,MATCH(B422,'Gate events'!$A$4:$A$553,0))&lt;&gt;C422,"AIR-ID differs from event",IF(IF(INDEX('Gate events'!$P$4:$P$553,MATCH(B422,'Gate events'!$A$4:$A$553,0))="UC-ID specific",IF(OR(L422&lt;&gt;"UC-ID specific",K422=""),"Condition UC-ID required",IF(ISNUMBER(SEARCH(","&amp;SUBSTITUTE(K422," ","")&amp;",",","&amp;SUBSTITUTE(INDEX('Gate events'!$O$4:$O$553,MATCH(B422,'Gate events'!$A$4:$A$553,0))," ","")&amp;",")),"","UC-ID differs from decision")),IF(INDEX('Gate events'!$P$4:$P$553,MATCH(B422,'Gate events'!$A$4:$A$553,0))="Shared system baseline",IF(OR(L422&lt;&gt;"Shared system baseline",K422&lt;&gt;""),"Condition scope differs from decision",""),"Parent decision scope missing"))&lt;&gt;"",IF(INDEX('Gate events'!$P$4:$P$553,MATCH(B422,'Gate events'!$A$4:$A$553,0))="UC-ID specific",IF(OR(L422&lt;&gt;"UC-ID specific",K422=""),"Condition UC-ID required",IF(ISNUMBER(SEARCH(","&amp;SUBSTITUTE(K422," ","")&amp;",",","&amp;SUBSTITUTE(INDEX('Gate events'!$O$4:$O$553,MATCH(B422,'Gate events'!$A$4:$A$553,0))," ","")&amp;",")),"","UC-ID differs from decision")),IF(INDEX('Gate events'!$P$4:$P$553,MATCH(B422,'Gate events'!$A$4:$A$553,0))="Shared system baseline",IF(OR(L422&lt;&gt;"Shared system baseline",K422&lt;&gt;""),"Condition scope differs from decision",""),"Parent decision scope missing")),IF(OR(D422="",E422="",F422="",G422=""),"Condition, owner, due date or state missing",IF(NOT(ISNUMBER(F422)),"Due date is not a date",IF(OR(G422="Overdue",G422="Superseded"),"Legacy state — owner review (use the shared five states)",IF(INDEX('Gate events'!$E$4:$E$553,MATCH(B422,'Gate events'!$A$4:$A$553,0))&lt;&gt;"Decision","Parent event is not a Decision",IF(AND(INDEX('Gate events'!$G$4:$G$553,MATCH(B422,'Gate events'!$A$4:$A$553,0))&lt;&gt;"Progress with condition",INDEX('Gate events'!$G$4:$G$553,MATCH(B422,'Gate events'!$A$4:$A$553,0))&lt;&gt;"Re-authorise",INDEX('Gate events'!$G$4:$G$553,MATCH(B422,'Gate events'!$A$4:$A$553,0))&lt;&gt;"Resume"),"Parent outcome is not Progress with condition / Re-authorise / Resume",IF(AND(ISNUMBER(INDEX('Gate events'!$F$4:$F$553,MATCH(B422,'Gate events'!$A$4:$A$553,0))),F422&lt;INDEX('Gate events'!$F$4:$F$553,MATCH(B422,'Gate events'!$A$4:$A$553,0))),"Due date before parent event date",IF(AND(OR(G422="Closed-verified",G422="Waived",G422="Accepted-open"),OR(H422="",I422="")),"Closure evidence missing",IF(AND(H422&lt;&gt;"",NOT(ISNUMBER(H422))),"Closed / waived on is not a date",IF(AND(ISNUMBER(H422),ISNUMBER(INDEX('Gate events'!$F$4:$F$553,MATCH(B422,'Gate events'!$A$4:$A$553,0))),H422&lt;INDEX('Gate events'!$F$4:$F$553,MATCH(B422,'Gate events'!$A$4:$A$553,0))),"Closure date before parent event date",IF(AND(G422="Closed-verified",M422=""),"Verifier / date missing",IF(AND(N422="Yes",G422="Closed-verified",O422=""),"Monitoring condition needs AIG-OPS-02 evidence ref",IF(AND(G422="Open",F422&lt;TODAY()),"OVERDUE (derived) — review",IF(G422="Unknown","State Unknown: owner to confirm","Check against source")))))))))))))))))))</f>
        <v/>
      </c>
      <c r="K422" s="37" t="n"/>
      <c r="L422" s="37" t="n"/>
      <c r="M422" s="38" t="n"/>
      <c r="N422" s="38" t="n"/>
      <c r="O422" s="38" t="n"/>
    </row>
    <row r="423">
      <c r="A423" s="40" t="n"/>
      <c r="B423" s="40" t="n"/>
      <c r="C423" s="40" t="n"/>
      <c r="D423" s="40" t="n"/>
      <c r="E423" s="40" t="n"/>
      <c r="F423" s="41" t="n"/>
      <c r="G423" s="40" t="n"/>
      <c r="H423" s="41" t="n"/>
      <c r="I423" s="40" t="n"/>
      <c r="J423" s="24">
        <f>IF(COUNTA(A423:I423,K423:O423)=0,"",IF(OR(A423="",B423="",C423=""),"ID / parent missing",IF(COUNTIF($A$4:$A$553,A423)&gt;1,"Duplicate condition ID",IF(COUNTIF('Gate events'!$A$4:$A$553,B423)=0,"Event ID not found",IF(INDEX('Gate events'!$B$4:$B$553,MATCH(B423,'Gate events'!$A$4:$A$553,0))&lt;&gt;C423,"AIR-ID differs from event",IF(IF(INDEX('Gate events'!$P$4:$P$553,MATCH(B423,'Gate events'!$A$4:$A$553,0))="UC-ID specific",IF(OR(L423&lt;&gt;"UC-ID specific",K423=""),"Condition UC-ID required",IF(ISNUMBER(SEARCH(","&amp;SUBSTITUTE(K423," ","")&amp;",",","&amp;SUBSTITUTE(INDEX('Gate events'!$O$4:$O$553,MATCH(B423,'Gate events'!$A$4:$A$553,0))," ","")&amp;",")),"","UC-ID differs from decision")),IF(INDEX('Gate events'!$P$4:$P$553,MATCH(B423,'Gate events'!$A$4:$A$553,0))="Shared system baseline",IF(OR(L423&lt;&gt;"Shared system baseline",K423&lt;&gt;""),"Condition scope differs from decision",""),"Parent decision scope missing"))&lt;&gt;"",IF(INDEX('Gate events'!$P$4:$P$553,MATCH(B423,'Gate events'!$A$4:$A$553,0))="UC-ID specific",IF(OR(L423&lt;&gt;"UC-ID specific",K423=""),"Condition UC-ID required",IF(ISNUMBER(SEARCH(","&amp;SUBSTITUTE(K423," ","")&amp;",",","&amp;SUBSTITUTE(INDEX('Gate events'!$O$4:$O$553,MATCH(B423,'Gate events'!$A$4:$A$553,0))," ","")&amp;",")),"","UC-ID differs from decision")),IF(INDEX('Gate events'!$P$4:$P$553,MATCH(B423,'Gate events'!$A$4:$A$553,0))="Shared system baseline",IF(OR(L423&lt;&gt;"Shared system baseline",K423&lt;&gt;""),"Condition scope differs from decision",""),"Parent decision scope missing")),IF(OR(D423="",E423="",F423="",G423=""),"Condition, owner, due date or state missing",IF(NOT(ISNUMBER(F423)),"Due date is not a date",IF(OR(G423="Overdue",G423="Superseded"),"Legacy state — owner review (use the shared five states)",IF(INDEX('Gate events'!$E$4:$E$553,MATCH(B423,'Gate events'!$A$4:$A$553,0))&lt;&gt;"Decision","Parent event is not a Decision",IF(AND(INDEX('Gate events'!$G$4:$G$553,MATCH(B423,'Gate events'!$A$4:$A$553,0))&lt;&gt;"Progress with condition",INDEX('Gate events'!$G$4:$G$553,MATCH(B423,'Gate events'!$A$4:$A$553,0))&lt;&gt;"Re-authorise",INDEX('Gate events'!$G$4:$G$553,MATCH(B423,'Gate events'!$A$4:$A$553,0))&lt;&gt;"Resume"),"Parent outcome is not Progress with condition / Re-authorise / Resume",IF(AND(ISNUMBER(INDEX('Gate events'!$F$4:$F$553,MATCH(B423,'Gate events'!$A$4:$A$553,0))),F423&lt;INDEX('Gate events'!$F$4:$F$553,MATCH(B423,'Gate events'!$A$4:$A$553,0))),"Due date before parent event date",IF(AND(OR(G423="Closed-verified",G423="Waived",G423="Accepted-open"),OR(H423="",I423="")),"Closure evidence missing",IF(AND(H423&lt;&gt;"",NOT(ISNUMBER(H423))),"Closed / waived on is not a date",IF(AND(ISNUMBER(H423),ISNUMBER(INDEX('Gate events'!$F$4:$F$553,MATCH(B423,'Gate events'!$A$4:$A$553,0))),H423&lt;INDEX('Gate events'!$F$4:$F$553,MATCH(B423,'Gate events'!$A$4:$A$553,0))),"Closure date before parent event date",IF(AND(G423="Closed-verified",M423=""),"Verifier / date missing",IF(AND(N423="Yes",G423="Closed-verified",O423=""),"Monitoring condition needs AIG-OPS-02 evidence ref",IF(AND(G423="Open",F423&lt;TODAY()),"OVERDUE (derived) — review",IF(G423="Unknown","State Unknown: owner to confirm","Check against source")))))))))))))))))))</f>
        <v/>
      </c>
      <c r="K423" s="37" t="n"/>
      <c r="L423" s="37" t="n"/>
      <c r="M423" s="40" t="n"/>
      <c r="N423" s="40" t="n"/>
      <c r="O423" s="40" t="n"/>
    </row>
    <row r="424">
      <c r="A424" s="38" t="n"/>
      <c r="B424" s="38" t="n"/>
      <c r="C424" s="38" t="n"/>
      <c r="D424" s="38" t="n"/>
      <c r="E424" s="38" t="n"/>
      <c r="F424" s="39" t="n"/>
      <c r="G424" s="38" t="n"/>
      <c r="H424" s="39" t="n"/>
      <c r="I424" s="38" t="n"/>
      <c r="J424" s="22">
        <f>IF(COUNTA(A424:I424,K424:O424)=0,"",IF(OR(A424="",B424="",C424=""),"ID / parent missing",IF(COUNTIF($A$4:$A$553,A424)&gt;1,"Duplicate condition ID",IF(COUNTIF('Gate events'!$A$4:$A$553,B424)=0,"Event ID not found",IF(INDEX('Gate events'!$B$4:$B$553,MATCH(B424,'Gate events'!$A$4:$A$553,0))&lt;&gt;C424,"AIR-ID differs from event",IF(IF(INDEX('Gate events'!$P$4:$P$553,MATCH(B424,'Gate events'!$A$4:$A$553,0))="UC-ID specific",IF(OR(L424&lt;&gt;"UC-ID specific",K424=""),"Condition UC-ID required",IF(ISNUMBER(SEARCH(","&amp;SUBSTITUTE(K424," ","")&amp;",",","&amp;SUBSTITUTE(INDEX('Gate events'!$O$4:$O$553,MATCH(B424,'Gate events'!$A$4:$A$553,0))," ","")&amp;",")),"","UC-ID differs from decision")),IF(INDEX('Gate events'!$P$4:$P$553,MATCH(B424,'Gate events'!$A$4:$A$553,0))="Shared system baseline",IF(OR(L424&lt;&gt;"Shared system baseline",K424&lt;&gt;""),"Condition scope differs from decision",""),"Parent decision scope missing"))&lt;&gt;"",IF(INDEX('Gate events'!$P$4:$P$553,MATCH(B424,'Gate events'!$A$4:$A$553,0))="UC-ID specific",IF(OR(L424&lt;&gt;"UC-ID specific",K424=""),"Condition UC-ID required",IF(ISNUMBER(SEARCH(","&amp;SUBSTITUTE(K424," ","")&amp;",",","&amp;SUBSTITUTE(INDEX('Gate events'!$O$4:$O$553,MATCH(B424,'Gate events'!$A$4:$A$553,0))," ","")&amp;",")),"","UC-ID differs from decision")),IF(INDEX('Gate events'!$P$4:$P$553,MATCH(B424,'Gate events'!$A$4:$A$553,0))="Shared system baseline",IF(OR(L424&lt;&gt;"Shared system baseline",K424&lt;&gt;""),"Condition scope differs from decision",""),"Parent decision scope missing")),IF(OR(D424="",E424="",F424="",G424=""),"Condition, owner, due date or state missing",IF(NOT(ISNUMBER(F424)),"Due date is not a date",IF(OR(G424="Overdue",G424="Superseded"),"Legacy state — owner review (use the shared five states)",IF(INDEX('Gate events'!$E$4:$E$553,MATCH(B424,'Gate events'!$A$4:$A$553,0))&lt;&gt;"Decision","Parent event is not a Decision",IF(AND(INDEX('Gate events'!$G$4:$G$553,MATCH(B424,'Gate events'!$A$4:$A$553,0))&lt;&gt;"Progress with condition",INDEX('Gate events'!$G$4:$G$553,MATCH(B424,'Gate events'!$A$4:$A$553,0))&lt;&gt;"Re-authorise",INDEX('Gate events'!$G$4:$G$553,MATCH(B424,'Gate events'!$A$4:$A$553,0))&lt;&gt;"Resume"),"Parent outcome is not Progress with condition / Re-authorise / Resume",IF(AND(ISNUMBER(INDEX('Gate events'!$F$4:$F$553,MATCH(B424,'Gate events'!$A$4:$A$553,0))),F424&lt;INDEX('Gate events'!$F$4:$F$553,MATCH(B424,'Gate events'!$A$4:$A$553,0))),"Due date before parent event date",IF(AND(OR(G424="Closed-verified",G424="Waived",G424="Accepted-open"),OR(H424="",I424="")),"Closure evidence missing",IF(AND(H424&lt;&gt;"",NOT(ISNUMBER(H424))),"Closed / waived on is not a date",IF(AND(ISNUMBER(H424),ISNUMBER(INDEX('Gate events'!$F$4:$F$553,MATCH(B424,'Gate events'!$A$4:$A$553,0))),H424&lt;INDEX('Gate events'!$F$4:$F$553,MATCH(B424,'Gate events'!$A$4:$A$553,0))),"Closure date before parent event date",IF(AND(G424="Closed-verified",M424=""),"Verifier / date missing",IF(AND(N424="Yes",G424="Closed-verified",O424=""),"Monitoring condition needs AIG-OPS-02 evidence ref",IF(AND(G424="Open",F424&lt;TODAY()),"OVERDUE (derived) — review",IF(G424="Unknown","State Unknown: owner to confirm","Check against source")))))))))))))))))))</f>
        <v/>
      </c>
      <c r="K424" s="37" t="n"/>
      <c r="L424" s="37" t="n"/>
      <c r="M424" s="38" t="n"/>
      <c r="N424" s="38" t="n"/>
      <c r="O424" s="38" t="n"/>
    </row>
    <row r="425">
      <c r="A425" s="40" t="n"/>
      <c r="B425" s="40" t="n"/>
      <c r="C425" s="40" t="n"/>
      <c r="D425" s="40" t="n"/>
      <c r="E425" s="40" t="n"/>
      <c r="F425" s="41" t="n"/>
      <c r="G425" s="40" t="n"/>
      <c r="H425" s="41" t="n"/>
      <c r="I425" s="40" t="n"/>
      <c r="J425" s="24">
        <f>IF(COUNTA(A425:I425,K425:O425)=0,"",IF(OR(A425="",B425="",C425=""),"ID / parent missing",IF(COUNTIF($A$4:$A$553,A425)&gt;1,"Duplicate condition ID",IF(COUNTIF('Gate events'!$A$4:$A$553,B425)=0,"Event ID not found",IF(INDEX('Gate events'!$B$4:$B$553,MATCH(B425,'Gate events'!$A$4:$A$553,0))&lt;&gt;C425,"AIR-ID differs from event",IF(IF(INDEX('Gate events'!$P$4:$P$553,MATCH(B425,'Gate events'!$A$4:$A$553,0))="UC-ID specific",IF(OR(L425&lt;&gt;"UC-ID specific",K425=""),"Condition UC-ID required",IF(ISNUMBER(SEARCH(","&amp;SUBSTITUTE(K425," ","")&amp;",",","&amp;SUBSTITUTE(INDEX('Gate events'!$O$4:$O$553,MATCH(B425,'Gate events'!$A$4:$A$553,0))," ","")&amp;",")),"","UC-ID differs from decision")),IF(INDEX('Gate events'!$P$4:$P$553,MATCH(B425,'Gate events'!$A$4:$A$553,0))="Shared system baseline",IF(OR(L425&lt;&gt;"Shared system baseline",K425&lt;&gt;""),"Condition scope differs from decision",""),"Parent decision scope missing"))&lt;&gt;"",IF(INDEX('Gate events'!$P$4:$P$553,MATCH(B425,'Gate events'!$A$4:$A$553,0))="UC-ID specific",IF(OR(L425&lt;&gt;"UC-ID specific",K425=""),"Condition UC-ID required",IF(ISNUMBER(SEARCH(","&amp;SUBSTITUTE(K425," ","")&amp;",",","&amp;SUBSTITUTE(INDEX('Gate events'!$O$4:$O$553,MATCH(B425,'Gate events'!$A$4:$A$553,0))," ","")&amp;",")),"","UC-ID differs from decision")),IF(INDEX('Gate events'!$P$4:$P$553,MATCH(B425,'Gate events'!$A$4:$A$553,0))="Shared system baseline",IF(OR(L425&lt;&gt;"Shared system baseline",K425&lt;&gt;""),"Condition scope differs from decision",""),"Parent decision scope missing")),IF(OR(D425="",E425="",F425="",G425=""),"Condition, owner, due date or state missing",IF(NOT(ISNUMBER(F425)),"Due date is not a date",IF(OR(G425="Overdue",G425="Superseded"),"Legacy state — owner review (use the shared five states)",IF(INDEX('Gate events'!$E$4:$E$553,MATCH(B425,'Gate events'!$A$4:$A$553,0))&lt;&gt;"Decision","Parent event is not a Decision",IF(AND(INDEX('Gate events'!$G$4:$G$553,MATCH(B425,'Gate events'!$A$4:$A$553,0))&lt;&gt;"Progress with condition",INDEX('Gate events'!$G$4:$G$553,MATCH(B425,'Gate events'!$A$4:$A$553,0))&lt;&gt;"Re-authorise",INDEX('Gate events'!$G$4:$G$553,MATCH(B425,'Gate events'!$A$4:$A$553,0))&lt;&gt;"Resume"),"Parent outcome is not Progress with condition / Re-authorise / Resume",IF(AND(ISNUMBER(INDEX('Gate events'!$F$4:$F$553,MATCH(B425,'Gate events'!$A$4:$A$553,0))),F425&lt;INDEX('Gate events'!$F$4:$F$553,MATCH(B425,'Gate events'!$A$4:$A$553,0))),"Due date before parent event date",IF(AND(OR(G425="Closed-verified",G425="Waived",G425="Accepted-open"),OR(H425="",I425="")),"Closure evidence missing",IF(AND(H425&lt;&gt;"",NOT(ISNUMBER(H425))),"Closed / waived on is not a date",IF(AND(ISNUMBER(H425),ISNUMBER(INDEX('Gate events'!$F$4:$F$553,MATCH(B425,'Gate events'!$A$4:$A$553,0))),H425&lt;INDEX('Gate events'!$F$4:$F$553,MATCH(B425,'Gate events'!$A$4:$A$553,0))),"Closure date before parent event date",IF(AND(G425="Closed-verified",M425=""),"Verifier / date missing",IF(AND(N425="Yes",G425="Closed-verified",O425=""),"Monitoring condition needs AIG-OPS-02 evidence ref",IF(AND(G425="Open",F425&lt;TODAY()),"OVERDUE (derived) — review",IF(G425="Unknown","State Unknown: owner to confirm","Check against source")))))))))))))))))))</f>
        <v/>
      </c>
      <c r="K425" s="37" t="n"/>
      <c r="L425" s="37" t="n"/>
      <c r="M425" s="40" t="n"/>
      <c r="N425" s="40" t="n"/>
      <c r="O425" s="40" t="n"/>
    </row>
    <row r="426">
      <c r="A426" s="38" t="n"/>
      <c r="B426" s="38" t="n"/>
      <c r="C426" s="38" t="n"/>
      <c r="D426" s="38" t="n"/>
      <c r="E426" s="38" t="n"/>
      <c r="F426" s="39" t="n"/>
      <c r="G426" s="38" t="n"/>
      <c r="H426" s="39" t="n"/>
      <c r="I426" s="38" t="n"/>
      <c r="J426" s="22">
        <f>IF(COUNTA(A426:I426,K426:O426)=0,"",IF(OR(A426="",B426="",C426=""),"ID / parent missing",IF(COUNTIF($A$4:$A$553,A426)&gt;1,"Duplicate condition ID",IF(COUNTIF('Gate events'!$A$4:$A$553,B426)=0,"Event ID not found",IF(INDEX('Gate events'!$B$4:$B$553,MATCH(B426,'Gate events'!$A$4:$A$553,0))&lt;&gt;C426,"AIR-ID differs from event",IF(IF(INDEX('Gate events'!$P$4:$P$553,MATCH(B426,'Gate events'!$A$4:$A$553,0))="UC-ID specific",IF(OR(L426&lt;&gt;"UC-ID specific",K426=""),"Condition UC-ID required",IF(ISNUMBER(SEARCH(","&amp;SUBSTITUTE(K426," ","")&amp;",",","&amp;SUBSTITUTE(INDEX('Gate events'!$O$4:$O$553,MATCH(B426,'Gate events'!$A$4:$A$553,0))," ","")&amp;",")),"","UC-ID differs from decision")),IF(INDEX('Gate events'!$P$4:$P$553,MATCH(B426,'Gate events'!$A$4:$A$553,0))="Shared system baseline",IF(OR(L426&lt;&gt;"Shared system baseline",K426&lt;&gt;""),"Condition scope differs from decision",""),"Parent decision scope missing"))&lt;&gt;"",IF(INDEX('Gate events'!$P$4:$P$553,MATCH(B426,'Gate events'!$A$4:$A$553,0))="UC-ID specific",IF(OR(L426&lt;&gt;"UC-ID specific",K426=""),"Condition UC-ID required",IF(ISNUMBER(SEARCH(","&amp;SUBSTITUTE(K426," ","")&amp;",",","&amp;SUBSTITUTE(INDEX('Gate events'!$O$4:$O$553,MATCH(B426,'Gate events'!$A$4:$A$553,0))," ","")&amp;",")),"","UC-ID differs from decision")),IF(INDEX('Gate events'!$P$4:$P$553,MATCH(B426,'Gate events'!$A$4:$A$553,0))="Shared system baseline",IF(OR(L426&lt;&gt;"Shared system baseline",K426&lt;&gt;""),"Condition scope differs from decision",""),"Parent decision scope missing")),IF(OR(D426="",E426="",F426="",G426=""),"Condition, owner, due date or state missing",IF(NOT(ISNUMBER(F426)),"Due date is not a date",IF(OR(G426="Overdue",G426="Superseded"),"Legacy state — owner review (use the shared five states)",IF(INDEX('Gate events'!$E$4:$E$553,MATCH(B426,'Gate events'!$A$4:$A$553,0))&lt;&gt;"Decision","Parent event is not a Decision",IF(AND(INDEX('Gate events'!$G$4:$G$553,MATCH(B426,'Gate events'!$A$4:$A$553,0))&lt;&gt;"Progress with condition",INDEX('Gate events'!$G$4:$G$553,MATCH(B426,'Gate events'!$A$4:$A$553,0))&lt;&gt;"Re-authorise",INDEX('Gate events'!$G$4:$G$553,MATCH(B426,'Gate events'!$A$4:$A$553,0))&lt;&gt;"Resume"),"Parent outcome is not Progress with condition / Re-authorise / Resume",IF(AND(ISNUMBER(INDEX('Gate events'!$F$4:$F$553,MATCH(B426,'Gate events'!$A$4:$A$553,0))),F426&lt;INDEX('Gate events'!$F$4:$F$553,MATCH(B426,'Gate events'!$A$4:$A$553,0))),"Due date before parent event date",IF(AND(OR(G426="Closed-verified",G426="Waived",G426="Accepted-open"),OR(H426="",I426="")),"Closure evidence missing",IF(AND(H426&lt;&gt;"",NOT(ISNUMBER(H426))),"Closed / waived on is not a date",IF(AND(ISNUMBER(H426),ISNUMBER(INDEX('Gate events'!$F$4:$F$553,MATCH(B426,'Gate events'!$A$4:$A$553,0))),H426&lt;INDEX('Gate events'!$F$4:$F$553,MATCH(B426,'Gate events'!$A$4:$A$553,0))),"Closure date before parent event date",IF(AND(G426="Closed-verified",M426=""),"Verifier / date missing",IF(AND(N426="Yes",G426="Closed-verified",O426=""),"Monitoring condition needs AIG-OPS-02 evidence ref",IF(AND(G426="Open",F426&lt;TODAY()),"OVERDUE (derived) — review",IF(G426="Unknown","State Unknown: owner to confirm","Check against source")))))))))))))))))))</f>
        <v/>
      </c>
      <c r="K426" s="37" t="n"/>
      <c r="L426" s="37" t="n"/>
      <c r="M426" s="38" t="n"/>
      <c r="N426" s="38" t="n"/>
      <c r="O426" s="38" t="n"/>
    </row>
    <row r="427">
      <c r="A427" s="40" t="n"/>
      <c r="B427" s="40" t="n"/>
      <c r="C427" s="40" t="n"/>
      <c r="D427" s="40" t="n"/>
      <c r="E427" s="40" t="n"/>
      <c r="F427" s="41" t="n"/>
      <c r="G427" s="40" t="n"/>
      <c r="H427" s="41" t="n"/>
      <c r="I427" s="40" t="n"/>
      <c r="J427" s="24">
        <f>IF(COUNTA(A427:I427,K427:O427)=0,"",IF(OR(A427="",B427="",C427=""),"ID / parent missing",IF(COUNTIF($A$4:$A$553,A427)&gt;1,"Duplicate condition ID",IF(COUNTIF('Gate events'!$A$4:$A$553,B427)=0,"Event ID not found",IF(INDEX('Gate events'!$B$4:$B$553,MATCH(B427,'Gate events'!$A$4:$A$553,0))&lt;&gt;C427,"AIR-ID differs from event",IF(IF(INDEX('Gate events'!$P$4:$P$553,MATCH(B427,'Gate events'!$A$4:$A$553,0))="UC-ID specific",IF(OR(L427&lt;&gt;"UC-ID specific",K427=""),"Condition UC-ID required",IF(ISNUMBER(SEARCH(","&amp;SUBSTITUTE(K427," ","")&amp;",",","&amp;SUBSTITUTE(INDEX('Gate events'!$O$4:$O$553,MATCH(B427,'Gate events'!$A$4:$A$553,0))," ","")&amp;",")),"","UC-ID differs from decision")),IF(INDEX('Gate events'!$P$4:$P$553,MATCH(B427,'Gate events'!$A$4:$A$553,0))="Shared system baseline",IF(OR(L427&lt;&gt;"Shared system baseline",K427&lt;&gt;""),"Condition scope differs from decision",""),"Parent decision scope missing"))&lt;&gt;"",IF(INDEX('Gate events'!$P$4:$P$553,MATCH(B427,'Gate events'!$A$4:$A$553,0))="UC-ID specific",IF(OR(L427&lt;&gt;"UC-ID specific",K427=""),"Condition UC-ID required",IF(ISNUMBER(SEARCH(","&amp;SUBSTITUTE(K427," ","")&amp;",",","&amp;SUBSTITUTE(INDEX('Gate events'!$O$4:$O$553,MATCH(B427,'Gate events'!$A$4:$A$553,0))," ","")&amp;",")),"","UC-ID differs from decision")),IF(INDEX('Gate events'!$P$4:$P$553,MATCH(B427,'Gate events'!$A$4:$A$553,0))="Shared system baseline",IF(OR(L427&lt;&gt;"Shared system baseline",K427&lt;&gt;""),"Condition scope differs from decision",""),"Parent decision scope missing")),IF(OR(D427="",E427="",F427="",G427=""),"Condition, owner, due date or state missing",IF(NOT(ISNUMBER(F427)),"Due date is not a date",IF(OR(G427="Overdue",G427="Superseded"),"Legacy state — owner review (use the shared five states)",IF(INDEX('Gate events'!$E$4:$E$553,MATCH(B427,'Gate events'!$A$4:$A$553,0))&lt;&gt;"Decision","Parent event is not a Decision",IF(AND(INDEX('Gate events'!$G$4:$G$553,MATCH(B427,'Gate events'!$A$4:$A$553,0))&lt;&gt;"Progress with condition",INDEX('Gate events'!$G$4:$G$553,MATCH(B427,'Gate events'!$A$4:$A$553,0))&lt;&gt;"Re-authorise",INDEX('Gate events'!$G$4:$G$553,MATCH(B427,'Gate events'!$A$4:$A$553,0))&lt;&gt;"Resume"),"Parent outcome is not Progress with condition / Re-authorise / Resume",IF(AND(ISNUMBER(INDEX('Gate events'!$F$4:$F$553,MATCH(B427,'Gate events'!$A$4:$A$553,0))),F427&lt;INDEX('Gate events'!$F$4:$F$553,MATCH(B427,'Gate events'!$A$4:$A$553,0))),"Due date before parent event date",IF(AND(OR(G427="Closed-verified",G427="Waived",G427="Accepted-open"),OR(H427="",I427="")),"Closure evidence missing",IF(AND(H427&lt;&gt;"",NOT(ISNUMBER(H427))),"Closed / waived on is not a date",IF(AND(ISNUMBER(H427),ISNUMBER(INDEX('Gate events'!$F$4:$F$553,MATCH(B427,'Gate events'!$A$4:$A$553,0))),H427&lt;INDEX('Gate events'!$F$4:$F$553,MATCH(B427,'Gate events'!$A$4:$A$553,0))),"Closure date before parent event date",IF(AND(G427="Closed-verified",M427=""),"Verifier / date missing",IF(AND(N427="Yes",G427="Closed-verified",O427=""),"Monitoring condition needs AIG-OPS-02 evidence ref",IF(AND(G427="Open",F427&lt;TODAY()),"OVERDUE (derived) — review",IF(G427="Unknown","State Unknown: owner to confirm","Check against source")))))))))))))))))))</f>
        <v/>
      </c>
      <c r="K427" s="37" t="n"/>
      <c r="L427" s="37" t="n"/>
      <c r="M427" s="40" t="n"/>
      <c r="N427" s="40" t="n"/>
      <c r="O427" s="40" t="n"/>
    </row>
    <row r="428">
      <c r="A428" s="38" t="n"/>
      <c r="B428" s="38" t="n"/>
      <c r="C428" s="38" t="n"/>
      <c r="D428" s="38" t="n"/>
      <c r="E428" s="38" t="n"/>
      <c r="F428" s="39" t="n"/>
      <c r="G428" s="38" t="n"/>
      <c r="H428" s="39" t="n"/>
      <c r="I428" s="38" t="n"/>
      <c r="J428" s="22">
        <f>IF(COUNTA(A428:I428,K428:O428)=0,"",IF(OR(A428="",B428="",C428=""),"ID / parent missing",IF(COUNTIF($A$4:$A$553,A428)&gt;1,"Duplicate condition ID",IF(COUNTIF('Gate events'!$A$4:$A$553,B428)=0,"Event ID not found",IF(INDEX('Gate events'!$B$4:$B$553,MATCH(B428,'Gate events'!$A$4:$A$553,0))&lt;&gt;C428,"AIR-ID differs from event",IF(IF(INDEX('Gate events'!$P$4:$P$553,MATCH(B428,'Gate events'!$A$4:$A$553,0))="UC-ID specific",IF(OR(L428&lt;&gt;"UC-ID specific",K428=""),"Condition UC-ID required",IF(ISNUMBER(SEARCH(","&amp;SUBSTITUTE(K428," ","")&amp;",",","&amp;SUBSTITUTE(INDEX('Gate events'!$O$4:$O$553,MATCH(B428,'Gate events'!$A$4:$A$553,0))," ","")&amp;",")),"","UC-ID differs from decision")),IF(INDEX('Gate events'!$P$4:$P$553,MATCH(B428,'Gate events'!$A$4:$A$553,0))="Shared system baseline",IF(OR(L428&lt;&gt;"Shared system baseline",K428&lt;&gt;""),"Condition scope differs from decision",""),"Parent decision scope missing"))&lt;&gt;"",IF(INDEX('Gate events'!$P$4:$P$553,MATCH(B428,'Gate events'!$A$4:$A$553,0))="UC-ID specific",IF(OR(L428&lt;&gt;"UC-ID specific",K428=""),"Condition UC-ID required",IF(ISNUMBER(SEARCH(","&amp;SUBSTITUTE(K428," ","")&amp;",",","&amp;SUBSTITUTE(INDEX('Gate events'!$O$4:$O$553,MATCH(B428,'Gate events'!$A$4:$A$553,0))," ","")&amp;",")),"","UC-ID differs from decision")),IF(INDEX('Gate events'!$P$4:$P$553,MATCH(B428,'Gate events'!$A$4:$A$553,0))="Shared system baseline",IF(OR(L428&lt;&gt;"Shared system baseline",K428&lt;&gt;""),"Condition scope differs from decision",""),"Parent decision scope missing")),IF(OR(D428="",E428="",F428="",G428=""),"Condition, owner, due date or state missing",IF(NOT(ISNUMBER(F428)),"Due date is not a date",IF(OR(G428="Overdue",G428="Superseded"),"Legacy state — owner review (use the shared five states)",IF(INDEX('Gate events'!$E$4:$E$553,MATCH(B428,'Gate events'!$A$4:$A$553,0))&lt;&gt;"Decision","Parent event is not a Decision",IF(AND(INDEX('Gate events'!$G$4:$G$553,MATCH(B428,'Gate events'!$A$4:$A$553,0))&lt;&gt;"Progress with condition",INDEX('Gate events'!$G$4:$G$553,MATCH(B428,'Gate events'!$A$4:$A$553,0))&lt;&gt;"Re-authorise",INDEX('Gate events'!$G$4:$G$553,MATCH(B428,'Gate events'!$A$4:$A$553,0))&lt;&gt;"Resume"),"Parent outcome is not Progress with condition / Re-authorise / Resume",IF(AND(ISNUMBER(INDEX('Gate events'!$F$4:$F$553,MATCH(B428,'Gate events'!$A$4:$A$553,0))),F428&lt;INDEX('Gate events'!$F$4:$F$553,MATCH(B428,'Gate events'!$A$4:$A$553,0))),"Due date before parent event date",IF(AND(OR(G428="Closed-verified",G428="Waived",G428="Accepted-open"),OR(H428="",I428="")),"Closure evidence missing",IF(AND(H428&lt;&gt;"",NOT(ISNUMBER(H428))),"Closed / waived on is not a date",IF(AND(ISNUMBER(H428),ISNUMBER(INDEX('Gate events'!$F$4:$F$553,MATCH(B428,'Gate events'!$A$4:$A$553,0))),H428&lt;INDEX('Gate events'!$F$4:$F$553,MATCH(B428,'Gate events'!$A$4:$A$553,0))),"Closure date before parent event date",IF(AND(G428="Closed-verified",M428=""),"Verifier / date missing",IF(AND(N428="Yes",G428="Closed-verified",O428=""),"Monitoring condition needs AIG-OPS-02 evidence ref",IF(AND(G428="Open",F428&lt;TODAY()),"OVERDUE (derived) — review",IF(G428="Unknown","State Unknown: owner to confirm","Check against source")))))))))))))))))))</f>
        <v/>
      </c>
      <c r="K428" s="37" t="n"/>
      <c r="L428" s="37" t="n"/>
      <c r="M428" s="38" t="n"/>
      <c r="N428" s="38" t="n"/>
      <c r="O428" s="38" t="n"/>
    </row>
    <row r="429">
      <c r="A429" s="40" t="n"/>
      <c r="B429" s="40" t="n"/>
      <c r="C429" s="40" t="n"/>
      <c r="D429" s="40" t="n"/>
      <c r="E429" s="40" t="n"/>
      <c r="F429" s="41" t="n"/>
      <c r="G429" s="40" t="n"/>
      <c r="H429" s="41" t="n"/>
      <c r="I429" s="40" t="n"/>
      <c r="J429" s="24">
        <f>IF(COUNTA(A429:I429,K429:O429)=0,"",IF(OR(A429="",B429="",C429=""),"ID / parent missing",IF(COUNTIF($A$4:$A$553,A429)&gt;1,"Duplicate condition ID",IF(COUNTIF('Gate events'!$A$4:$A$553,B429)=0,"Event ID not found",IF(INDEX('Gate events'!$B$4:$B$553,MATCH(B429,'Gate events'!$A$4:$A$553,0))&lt;&gt;C429,"AIR-ID differs from event",IF(IF(INDEX('Gate events'!$P$4:$P$553,MATCH(B429,'Gate events'!$A$4:$A$553,0))="UC-ID specific",IF(OR(L429&lt;&gt;"UC-ID specific",K429=""),"Condition UC-ID required",IF(ISNUMBER(SEARCH(","&amp;SUBSTITUTE(K429," ","")&amp;",",","&amp;SUBSTITUTE(INDEX('Gate events'!$O$4:$O$553,MATCH(B429,'Gate events'!$A$4:$A$553,0))," ","")&amp;",")),"","UC-ID differs from decision")),IF(INDEX('Gate events'!$P$4:$P$553,MATCH(B429,'Gate events'!$A$4:$A$553,0))="Shared system baseline",IF(OR(L429&lt;&gt;"Shared system baseline",K429&lt;&gt;""),"Condition scope differs from decision",""),"Parent decision scope missing"))&lt;&gt;"",IF(INDEX('Gate events'!$P$4:$P$553,MATCH(B429,'Gate events'!$A$4:$A$553,0))="UC-ID specific",IF(OR(L429&lt;&gt;"UC-ID specific",K429=""),"Condition UC-ID required",IF(ISNUMBER(SEARCH(","&amp;SUBSTITUTE(K429," ","")&amp;",",","&amp;SUBSTITUTE(INDEX('Gate events'!$O$4:$O$553,MATCH(B429,'Gate events'!$A$4:$A$553,0))," ","")&amp;",")),"","UC-ID differs from decision")),IF(INDEX('Gate events'!$P$4:$P$553,MATCH(B429,'Gate events'!$A$4:$A$553,0))="Shared system baseline",IF(OR(L429&lt;&gt;"Shared system baseline",K429&lt;&gt;""),"Condition scope differs from decision",""),"Parent decision scope missing")),IF(OR(D429="",E429="",F429="",G429=""),"Condition, owner, due date or state missing",IF(NOT(ISNUMBER(F429)),"Due date is not a date",IF(OR(G429="Overdue",G429="Superseded"),"Legacy state — owner review (use the shared five states)",IF(INDEX('Gate events'!$E$4:$E$553,MATCH(B429,'Gate events'!$A$4:$A$553,0))&lt;&gt;"Decision","Parent event is not a Decision",IF(AND(INDEX('Gate events'!$G$4:$G$553,MATCH(B429,'Gate events'!$A$4:$A$553,0))&lt;&gt;"Progress with condition",INDEX('Gate events'!$G$4:$G$553,MATCH(B429,'Gate events'!$A$4:$A$553,0))&lt;&gt;"Re-authorise",INDEX('Gate events'!$G$4:$G$553,MATCH(B429,'Gate events'!$A$4:$A$553,0))&lt;&gt;"Resume"),"Parent outcome is not Progress with condition / Re-authorise / Resume",IF(AND(ISNUMBER(INDEX('Gate events'!$F$4:$F$553,MATCH(B429,'Gate events'!$A$4:$A$553,0))),F429&lt;INDEX('Gate events'!$F$4:$F$553,MATCH(B429,'Gate events'!$A$4:$A$553,0))),"Due date before parent event date",IF(AND(OR(G429="Closed-verified",G429="Waived",G429="Accepted-open"),OR(H429="",I429="")),"Closure evidence missing",IF(AND(H429&lt;&gt;"",NOT(ISNUMBER(H429))),"Closed / waived on is not a date",IF(AND(ISNUMBER(H429),ISNUMBER(INDEX('Gate events'!$F$4:$F$553,MATCH(B429,'Gate events'!$A$4:$A$553,0))),H429&lt;INDEX('Gate events'!$F$4:$F$553,MATCH(B429,'Gate events'!$A$4:$A$553,0))),"Closure date before parent event date",IF(AND(G429="Closed-verified",M429=""),"Verifier / date missing",IF(AND(N429="Yes",G429="Closed-verified",O429=""),"Monitoring condition needs AIG-OPS-02 evidence ref",IF(AND(G429="Open",F429&lt;TODAY()),"OVERDUE (derived) — review",IF(G429="Unknown","State Unknown: owner to confirm","Check against source")))))))))))))))))))</f>
        <v/>
      </c>
      <c r="K429" s="37" t="n"/>
      <c r="L429" s="37" t="n"/>
      <c r="M429" s="40" t="n"/>
      <c r="N429" s="40" t="n"/>
      <c r="O429" s="40" t="n"/>
    </row>
    <row r="430">
      <c r="A430" s="38" t="n"/>
      <c r="B430" s="38" t="n"/>
      <c r="C430" s="38" t="n"/>
      <c r="D430" s="38" t="n"/>
      <c r="E430" s="38" t="n"/>
      <c r="F430" s="39" t="n"/>
      <c r="G430" s="38" t="n"/>
      <c r="H430" s="39" t="n"/>
      <c r="I430" s="38" t="n"/>
      <c r="J430" s="22">
        <f>IF(COUNTA(A430:I430,K430:O430)=0,"",IF(OR(A430="",B430="",C430=""),"ID / parent missing",IF(COUNTIF($A$4:$A$553,A430)&gt;1,"Duplicate condition ID",IF(COUNTIF('Gate events'!$A$4:$A$553,B430)=0,"Event ID not found",IF(INDEX('Gate events'!$B$4:$B$553,MATCH(B430,'Gate events'!$A$4:$A$553,0))&lt;&gt;C430,"AIR-ID differs from event",IF(IF(INDEX('Gate events'!$P$4:$P$553,MATCH(B430,'Gate events'!$A$4:$A$553,0))="UC-ID specific",IF(OR(L430&lt;&gt;"UC-ID specific",K430=""),"Condition UC-ID required",IF(ISNUMBER(SEARCH(","&amp;SUBSTITUTE(K430," ","")&amp;",",","&amp;SUBSTITUTE(INDEX('Gate events'!$O$4:$O$553,MATCH(B430,'Gate events'!$A$4:$A$553,0))," ","")&amp;",")),"","UC-ID differs from decision")),IF(INDEX('Gate events'!$P$4:$P$553,MATCH(B430,'Gate events'!$A$4:$A$553,0))="Shared system baseline",IF(OR(L430&lt;&gt;"Shared system baseline",K430&lt;&gt;""),"Condition scope differs from decision",""),"Parent decision scope missing"))&lt;&gt;"",IF(INDEX('Gate events'!$P$4:$P$553,MATCH(B430,'Gate events'!$A$4:$A$553,0))="UC-ID specific",IF(OR(L430&lt;&gt;"UC-ID specific",K430=""),"Condition UC-ID required",IF(ISNUMBER(SEARCH(","&amp;SUBSTITUTE(K430," ","")&amp;",",","&amp;SUBSTITUTE(INDEX('Gate events'!$O$4:$O$553,MATCH(B430,'Gate events'!$A$4:$A$553,0))," ","")&amp;",")),"","UC-ID differs from decision")),IF(INDEX('Gate events'!$P$4:$P$553,MATCH(B430,'Gate events'!$A$4:$A$553,0))="Shared system baseline",IF(OR(L430&lt;&gt;"Shared system baseline",K430&lt;&gt;""),"Condition scope differs from decision",""),"Parent decision scope missing")),IF(OR(D430="",E430="",F430="",G430=""),"Condition, owner, due date or state missing",IF(NOT(ISNUMBER(F430)),"Due date is not a date",IF(OR(G430="Overdue",G430="Superseded"),"Legacy state — owner review (use the shared five states)",IF(INDEX('Gate events'!$E$4:$E$553,MATCH(B430,'Gate events'!$A$4:$A$553,0))&lt;&gt;"Decision","Parent event is not a Decision",IF(AND(INDEX('Gate events'!$G$4:$G$553,MATCH(B430,'Gate events'!$A$4:$A$553,0))&lt;&gt;"Progress with condition",INDEX('Gate events'!$G$4:$G$553,MATCH(B430,'Gate events'!$A$4:$A$553,0))&lt;&gt;"Re-authorise",INDEX('Gate events'!$G$4:$G$553,MATCH(B430,'Gate events'!$A$4:$A$553,0))&lt;&gt;"Resume"),"Parent outcome is not Progress with condition / Re-authorise / Resume",IF(AND(ISNUMBER(INDEX('Gate events'!$F$4:$F$553,MATCH(B430,'Gate events'!$A$4:$A$553,0))),F430&lt;INDEX('Gate events'!$F$4:$F$553,MATCH(B430,'Gate events'!$A$4:$A$553,0))),"Due date before parent event date",IF(AND(OR(G430="Closed-verified",G430="Waived",G430="Accepted-open"),OR(H430="",I430="")),"Closure evidence missing",IF(AND(H430&lt;&gt;"",NOT(ISNUMBER(H430))),"Closed / waived on is not a date",IF(AND(ISNUMBER(H430),ISNUMBER(INDEX('Gate events'!$F$4:$F$553,MATCH(B430,'Gate events'!$A$4:$A$553,0))),H430&lt;INDEX('Gate events'!$F$4:$F$553,MATCH(B430,'Gate events'!$A$4:$A$553,0))),"Closure date before parent event date",IF(AND(G430="Closed-verified",M430=""),"Verifier / date missing",IF(AND(N430="Yes",G430="Closed-verified",O430=""),"Monitoring condition needs AIG-OPS-02 evidence ref",IF(AND(G430="Open",F430&lt;TODAY()),"OVERDUE (derived) — review",IF(G430="Unknown","State Unknown: owner to confirm","Check against source")))))))))))))))))))</f>
        <v/>
      </c>
      <c r="K430" s="37" t="n"/>
      <c r="L430" s="37" t="n"/>
      <c r="M430" s="38" t="n"/>
      <c r="N430" s="38" t="n"/>
      <c r="O430" s="38" t="n"/>
    </row>
    <row r="431">
      <c r="A431" s="40" t="n"/>
      <c r="B431" s="40" t="n"/>
      <c r="C431" s="40" t="n"/>
      <c r="D431" s="40" t="n"/>
      <c r="E431" s="40" t="n"/>
      <c r="F431" s="41" t="n"/>
      <c r="G431" s="40" t="n"/>
      <c r="H431" s="41" t="n"/>
      <c r="I431" s="40" t="n"/>
      <c r="J431" s="24">
        <f>IF(COUNTA(A431:I431,K431:O431)=0,"",IF(OR(A431="",B431="",C431=""),"ID / parent missing",IF(COUNTIF($A$4:$A$553,A431)&gt;1,"Duplicate condition ID",IF(COUNTIF('Gate events'!$A$4:$A$553,B431)=0,"Event ID not found",IF(INDEX('Gate events'!$B$4:$B$553,MATCH(B431,'Gate events'!$A$4:$A$553,0))&lt;&gt;C431,"AIR-ID differs from event",IF(IF(INDEX('Gate events'!$P$4:$P$553,MATCH(B431,'Gate events'!$A$4:$A$553,0))="UC-ID specific",IF(OR(L431&lt;&gt;"UC-ID specific",K431=""),"Condition UC-ID required",IF(ISNUMBER(SEARCH(","&amp;SUBSTITUTE(K431," ","")&amp;",",","&amp;SUBSTITUTE(INDEX('Gate events'!$O$4:$O$553,MATCH(B431,'Gate events'!$A$4:$A$553,0))," ","")&amp;",")),"","UC-ID differs from decision")),IF(INDEX('Gate events'!$P$4:$P$553,MATCH(B431,'Gate events'!$A$4:$A$553,0))="Shared system baseline",IF(OR(L431&lt;&gt;"Shared system baseline",K431&lt;&gt;""),"Condition scope differs from decision",""),"Parent decision scope missing"))&lt;&gt;"",IF(INDEX('Gate events'!$P$4:$P$553,MATCH(B431,'Gate events'!$A$4:$A$553,0))="UC-ID specific",IF(OR(L431&lt;&gt;"UC-ID specific",K431=""),"Condition UC-ID required",IF(ISNUMBER(SEARCH(","&amp;SUBSTITUTE(K431," ","")&amp;",",","&amp;SUBSTITUTE(INDEX('Gate events'!$O$4:$O$553,MATCH(B431,'Gate events'!$A$4:$A$553,0))," ","")&amp;",")),"","UC-ID differs from decision")),IF(INDEX('Gate events'!$P$4:$P$553,MATCH(B431,'Gate events'!$A$4:$A$553,0))="Shared system baseline",IF(OR(L431&lt;&gt;"Shared system baseline",K431&lt;&gt;""),"Condition scope differs from decision",""),"Parent decision scope missing")),IF(OR(D431="",E431="",F431="",G431=""),"Condition, owner, due date or state missing",IF(NOT(ISNUMBER(F431)),"Due date is not a date",IF(OR(G431="Overdue",G431="Superseded"),"Legacy state — owner review (use the shared five states)",IF(INDEX('Gate events'!$E$4:$E$553,MATCH(B431,'Gate events'!$A$4:$A$553,0))&lt;&gt;"Decision","Parent event is not a Decision",IF(AND(INDEX('Gate events'!$G$4:$G$553,MATCH(B431,'Gate events'!$A$4:$A$553,0))&lt;&gt;"Progress with condition",INDEX('Gate events'!$G$4:$G$553,MATCH(B431,'Gate events'!$A$4:$A$553,0))&lt;&gt;"Re-authorise",INDEX('Gate events'!$G$4:$G$553,MATCH(B431,'Gate events'!$A$4:$A$553,0))&lt;&gt;"Resume"),"Parent outcome is not Progress with condition / Re-authorise / Resume",IF(AND(ISNUMBER(INDEX('Gate events'!$F$4:$F$553,MATCH(B431,'Gate events'!$A$4:$A$553,0))),F431&lt;INDEX('Gate events'!$F$4:$F$553,MATCH(B431,'Gate events'!$A$4:$A$553,0))),"Due date before parent event date",IF(AND(OR(G431="Closed-verified",G431="Waived",G431="Accepted-open"),OR(H431="",I431="")),"Closure evidence missing",IF(AND(H431&lt;&gt;"",NOT(ISNUMBER(H431))),"Closed / waived on is not a date",IF(AND(ISNUMBER(H431),ISNUMBER(INDEX('Gate events'!$F$4:$F$553,MATCH(B431,'Gate events'!$A$4:$A$553,0))),H431&lt;INDEX('Gate events'!$F$4:$F$553,MATCH(B431,'Gate events'!$A$4:$A$553,0))),"Closure date before parent event date",IF(AND(G431="Closed-verified",M431=""),"Verifier / date missing",IF(AND(N431="Yes",G431="Closed-verified",O431=""),"Monitoring condition needs AIG-OPS-02 evidence ref",IF(AND(G431="Open",F431&lt;TODAY()),"OVERDUE (derived) — review",IF(G431="Unknown","State Unknown: owner to confirm","Check against source")))))))))))))))))))</f>
        <v/>
      </c>
      <c r="K431" s="37" t="n"/>
      <c r="L431" s="37" t="n"/>
      <c r="M431" s="40" t="n"/>
      <c r="N431" s="40" t="n"/>
      <c r="O431" s="40" t="n"/>
    </row>
    <row r="432">
      <c r="A432" s="38" t="n"/>
      <c r="B432" s="38" t="n"/>
      <c r="C432" s="38" t="n"/>
      <c r="D432" s="38" t="n"/>
      <c r="E432" s="38" t="n"/>
      <c r="F432" s="39" t="n"/>
      <c r="G432" s="38" t="n"/>
      <c r="H432" s="39" t="n"/>
      <c r="I432" s="38" t="n"/>
      <c r="J432" s="22">
        <f>IF(COUNTA(A432:I432,K432:O432)=0,"",IF(OR(A432="",B432="",C432=""),"ID / parent missing",IF(COUNTIF($A$4:$A$553,A432)&gt;1,"Duplicate condition ID",IF(COUNTIF('Gate events'!$A$4:$A$553,B432)=0,"Event ID not found",IF(INDEX('Gate events'!$B$4:$B$553,MATCH(B432,'Gate events'!$A$4:$A$553,0))&lt;&gt;C432,"AIR-ID differs from event",IF(IF(INDEX('Gate events'!$P$4:$P$553,MATCH(B432,'Gate events'!$A$4:$A$553,0))="UC-ID specific",IF(OR(L432&lt;&gt;"UC-ID specific",K432=""),"Condition UC-ID required",IF(ISNUMBER(SEARCH(","&amp;SUBSTITUTE(K432," ","")&amp;",",","&amp;SUBSTITUTE(INDEX('Gate events'!$O$4:$O$553,MATCH(B432,'Gate events'!$A$4:$A$553,0))," ","")&amp;",")),"","UC-ID differs from decision")),IF(INDEX('Gate events'!$P$4:$P$553,MATCH(B432,'Gate events'!$A$4:$A$553,0))="Shared system baseline",IF(OR(L432&lt;&gt;"Shared system baseline",K432&lt;&gt;""),"Condition scope differs from decision",""),"Parent decision scope missing"))&lt;&gt;"",IF(INDEX('Gate events'!$P$4:$P$553,MATCH(B432,'Gate events'!$A$4:$A$553,0))="UC-ID specific",IF(OR(L432&lt;&gt;"UC-ID specific",K432=""),"Condition UC-ID required",IF(ISNUMBER(SEARCH(","&amp;SUBSTITUTE(K432," ","")&amp;",",","&amp;SUBSTITUTE(INDEX('Gate events'!$O$4:$O$553,MATCH(B432,'Gate events'!$A$4:$A$553,0))," ","")&amp;",")),"","UC-ID differs from decision")),IF(INDEX('Gate events'!$P$4:$P$553,MATCH(B432,'Gate events'!$A$4:$A$553,0))="Shared system baseline",IF(OR(L432&lt;&gt;"Shared system baseline",K432&lt;&gt;""),"Condition scope differs from decision",""),"Parent decision scope missing")),IF(OR(D432="",E432="",F432="",G432=""),"Condition, owner, due date or state missing",IF(NOT(ISNUMBER(F432)),"Due date is not a date",IF(OR(G432="Overdue",G432="Superseded"),"Legacy state — owner review (use the shared five states)",IF(INDEX('Gate events'!$E$4:$E$553,MATCH(B432,'Gate events'!$A$4:$A$553,0))&lt;&gt;"Decision","Parent event is not a Decision",IF(AND(INDEX('Gate events'!$G$4:$G$553,MATCH(B432,'Gate events'!$A$4:$A$553,0))&lt;&gt;"Progress with condition",INDEX('Gate events'!$G$4:$G$553,MATCH(B432,'Gate events'!$A$4:$A$553,0))&lt;&gt;"Re-authorise",INDEX('Gate events'!$G$4:$G$553,MATCH(B432,'Gate events'!$A$4:$A$553,0))&lt;&gt;"Resume"),"Parent outcome is not Progress with condition / Re-authorise / Resume",IF(AND(ISNUMBER(INDEX('Gate events'!$F$4:$F$553,MATCH(B432,'Gate events'!$A$4:$A$553,0))),F432&lt;INDEX('Gate events'!$F$4:$F$553,MATCH(B432,'Gate events'!$A$4:$A$553,0))),"Due date before parent event date",IF(AND(OR(G432="Closed-verified",G432="Waived",G432="Accepted-open"),OR(H432="",I432="")),"Closure evidence missing",IF(AND(H432&lt;&gt;"",NOT(ISNUMBER(H432))),"Closed / waived on is not a date",IF(AND(ISNUMBER(H432),ISNUMBER(INDEX('Gate events'!$F$4:$F$553,MATCH(B432,'Gate events'!$A$4:$A$553,0))),H432&lt;INDEX('Gate events'!$F$4:$F$553,MATCH(B432,'Gate events'!$A$4:$A$553,0))),"Closure date before parent event date",IF(AND(G432="Closed-verified",M432=""),"Verifier / date missing",IF(AND(N432="Yes",G432="Closed-verified",O432=""),"Monitoring condition needs AIG-OPS-02 evidence ref",IF(AND(G432="Open",F432&lt;TODAY()),"OVERDUE (derived) — review",IF(G432="Unknown","State Unknown: owner to confirm","Check against source")))))))))))))))))))</f>
        <v/>
      </c>
      <c r="K432" s="37" t="n"/>
      <c r="L432" s="37" t="n"/>
      <c r="M432" s="38" t="n"/>
      <c r="N432" s="38" t="n"/>
      <c r="O432" s="38" t="n"/>
    </row>
    <row r="433">
      <c r="A433" s="40" t="n"/>
      <c r="B433" s="40" t="n"/>
      <c r="C433" s="40" t="n"/>
      <c r="D433" s="40" t="n"/>
      <c r="E433" s="40" t="n"/>
      <c r="F433" s="41" t="n"/>
      <c r="G433" s="40" t="n"/>
      <c r="H433" s="41" t="n"/>
      <c r="I433" s="40" t="n"/>
      <c r="J433" s="24">
        <f>IF(COUNTA(A433:I433,K433:O433)=0,"",IF(OR(A433="",B433="",C433=""),"ID / parent missing",IF(COUNTIF($A$4:$A$553,A433)&gt;1,"Duplicate condition ID",IF(COUNTIF('Gate events'!$A$4:$A$553,B433)=0,"Event ID not found",IF(INDEX('Gate events'!$B$4:$B$553,MATCH(B433,'Gate events'!$A$4:$A$553,0))&lt;&gt;C433,"AIR-ID differs from event",IF(IF(INDEX('Gate events'!$P$4:$P$553,MATCH(B433,'Gate events'!$A$4:$A$553,0))="UC-ID specific",IF(OR(L433&lt;&gt;"UC-ID specific",K433=""),"Condition UC-ID required",IF(ISNUMBER(SEARCH(","&amp;SUBSTITUTE(K433," ","")&amp;",",","&amp;SUBSTITUTE(INDEX('Gate events'!$O$4:$O$553,MATCH(B433,'Gate events'!$A$4:$A$553,0))," ","")&amp;",")),"","UC-ID differs from decision")),IF(INDEX('Gate events'!$P$4:$P$553,MATCH(B433,'Gate events'!$A$4:$A$553,0))="Shared system baseline",IF(OR(L433&lt;&gt;"Shared system baseline",K433&lt;&gt;""),"Condition scope differs from decision",""),"Parent decision scope missing"))&lt;&gt;"",IF(INDEX('Gate events'!$P$4:$P$553,MATCH(B433,'Gate events'!$A$4:$A$553,0))="UC-ID specific",IF(OR(L433&lt;&gt;"UC-ID specific",K433=""),"Condition UC-ID required",IF(ISNUMBER(SEARCH(","&amp;SUBSTITUTE(K433," ","")&amp;",",","&amp;SUBSTITUTE(INDEX('Gate events'!$O$4:$O$553,MATCH(B433,'Gate events'!$A$4:$A$553,0))," ","")&amp;",")),"","UC-ID differs from decision")),IF(INDEX('Gate events'!$P$4:$P$553,MATCH(B433,'Gate events'!$A$4:$A$553,0))="Shared system baseline",IF(OR(L433&lt;&gt;"Shared system baseline",K433&lt;&gt;""),"Condition scope differs from decision",""),"Parent decision scope missing")),IF(OR(D433="",E433="",F433="",G433=""),"Condition, owner, due date or state missing",IF(NOT(ISNUMBER(F433)),"Due date is not a date",IF(OR(G433="Overdue",G433="Superseded"),"Legacy state — owner review (use the shared five states)",IF(INDEX('Gate events'!$E$4:$E$553,MATCH(B433,'Gate events'!$A$4:$A$553,0))&lt;&gt;"Decision","Parent event is not a Decision",IF(AND(INDEX('Gate events'!$G$4:$G$553,MATCH(B433,'Gate events'!$A$4:$A$553,0))&lt;&gt;"Progress with condition",INDEX('Gate events'!$G$4:$G$553,MATCH(B433,'Gate events'!$A$4:$A$553,0))&lt;&gt;"Re-authorise",INDEX('Gate events'!$G$4:$G$553,MATCH(B433,'Gate events'!$A$4:$A$553,0))&lt;&gt;"Resume"),"Parent outcome is not Progress with condition / Re-authorise / Resume",IF(AND(ISNUMBER(INDEX('Gate events'!$F$4:$F$553,MATCH(B433,'Gate events'!$A$4:$A$553,0))),F433&lt;INDEX('Gate events'!$F$4:$F$553,MATCH(B433,'Gate events'!$A$4:$A$553,0))),"Due date before parent event date",IF(AND(OR(G433="Closed-verified",G433="Waived",G433="Accepted-open"),OR(H433="",I433="")),"Closure evidence missing",IF(AND(H433&lt;&gt;"",NOT(ISNUMBER(H433))),"Closed / waived on is not a date",IF(AND(ISNUMBER(H433),ISNUMBER(INDEX('Gate events'!$F$4:$F$553,MATCH(B433,'Gate events'!$A$4:$A$553,0))),H433&lt;INDEX('Gate events'!$F$4:$F$553,MATCH(B433,'Gate events'!$A$4:$A$553,0))),"Closure date before parent event date",IF(AND(G433="Closed-verified",M433=""),"Verifier / date missing",IF(AND(N433="Yes",G433="Closed-verified",O433=""),"Monitoring condition needs AIG-OPS-02 evidence ref",IF(AND(G433="Open",F433&lt;TODAY()),"OVERDUE (derived) — review",IF(G433="Unknown","State Unknown: owner to confirm","Check against source")))))))))))))))))))</f>
        <v/>
      </c>
      <c r="K433" s="37" t="n"/>
      <c r="L433" s="37" t="n"/>
      <c r="M433" s="40" t="n"/>
      <c r="N433" s="40" t="n"/>
      <c r="O433" s="40" t="n"/>
    </row>
    <row r="434">
      <c r="A434" s="38" t="n"/>
      <c r="B434" s="38" t="n"/>
      <c r="C434" s="38" t="n"/>
      <c r="D434" s="38" t="n"/>
      <c r="E434" s="38" t="n"/>
      <c r="F434" s="39" t="n"/>
      <c r="G434" s="38" t="n"/>
      <c r="H434" s="39" t="n"/>
      <c r="I434" s="38" t="n"/>
      <c r="J434" s="22">
        <f>IF(COUNTA(A434:I434,K434:O434)=0,"",IF(OR(A434="",B434="",C434=""),"ID / parent missing",IF(COUNTIF($A$4:$A$553,A434)&gt;1,"Duplicate condition ID",IF(COUNTIF('Gate events'!$A$4:$A$553,B434)=0,"Event ID not found",IF(INDEX('Gate events'!$B$4:$B$553,MATCH(B434,'Gate events'!$A$4:$A$553,0))&lt;&gt;C434,"AIR-ID differs from event",IF(IF(INDEX('Gate events'!$P$4:$P$553,MATCH(B434,'Gate events'!$A$4:$A$553,0))="UC-ID specific",IF(OR(L434&lt;&gt;"UC-ID specific",K434=""),"Condition UC-ID required",IF(ISNUMBER(SEARCH(","&amp;SUBSTITUTE(K434," ","")&amp;",",","&amp;SUBSTITUTE(INDEX('Gate events'!$O$4:$O$553,MATCH(B434,'Gate events'!$A$4:$A$553,0))," ","")&amp;",")),"","UC-ID differs from decision")),IF(INDEX('Gate events'!$P$4:$P$553,MATCH(B434,'Gate events'!$A$4:$A$553,0))="Shared system baseline",IF(OR(L434&lt;&gt;"Shared system baseline",K434&lt;&gt;""),"Condition scope differs from decision",""),"Parent decision scope missing"))&lt;&gt;"",IF(INDEX('Gate events'!$P$4:$P$553,MATCH(B434,'Gate events'!$A$4:$A$553,0))="UC-ID specific",IF(OR(L434&lt;&gt;"UC-ID specific",K434=""),"Condition UC-ID required",IF(ISNUMBER(SEARCH(","&amp;SUBSTITUTE(K434," ","")&amp;",",","&amp;SUBSTITUTE(INDEX('Gate events'!$O$4:$O$553,MATCH(B434,'Gate events'!$A$4:$A$553,0))," ","")&amp;",")),"","UC-ID differs from decision")),IF(INDEX('Gate events'!$P$4:$P$553,MATCH(B434,'Gate events'!$A$4:$A$553,0))="Shared system baseline",IF(OR(L434&lt;&gt;"Shared system baseline",K434&lt;&gt;""),"Condition scope differs from decision",""),"Parent decision scope missing")),IF(OR(D434="",E434="",F434="",G434=""),"Condition, owner, due date or state missing",IF(NOT(ISNUMBER(F434)),"Due date is not a date",IF(OR(G434="Overdue",G434="Superseded"),"Legacy state — owner review (use the shared five states)",IF(INDEX('Gate events'!$E$4:$E$553,MATCH(B434,'Gate events'!$A$4:$A$553,0))&lt;&gt;"Decision","Parent event is not a Decision",IF(AND(INDEX('Gate events'!$G$4:$G$553,MATCH(B434,'Gate events'!$A$4:$A$553,0))&lt;&gt;"Progress with condition",INDEX('Gate events'!$G$4:$G$553,MATCH(B434,'Gate events'!$A$4:$A$553,0))&lt;&gt;"Re-authorise",INDEX('Gate events'!$G$4:$G$553,MATCH(B434,'Gate events'!$A$4:$A$553,0))&lt;&gt;"Resume"),"Parent outcome is not Progress with condition / Re-authorise / Resume",IF(AND(ISNUMBER(INDEX('Gate events'!$F$4:$F$553,MATCH(B434,'Gate events'!$A$4:$A$553,0))),F434&lt;INDEX('Gate events'!$F$4:$F$553,MATCH(B434,'Gate events'!$A$4:$A$553,0))),"Due date before parent event date",IF(AND(OR(G434="Closed-verified",G434="Waived",G434="Accepted-open"),OR(H434="",I434="")),"Closure evidence missing",IF(AND(H434&lt;&gt;"",NOT(ISNUMBER(H434))),"Closed / waived on is not a date",IF(AND(ISNUMBER(H434),ISNUMBER(INDEX('Gate events'!$F$4:$F$553,MATCH(B434,'Gate events'!$A$4:$A$553,0))),H434&lt;INDEX('Gate events'!$F$4:$F$553,MATCH(B434,'Gate events'!$A$4:$A$553,0))),"Closure date before parent event date",IF(AND(G434="Closed-verified",M434=""),"Verifier / date missing",IF(AND(N434="Yes",G434="Closed-verified",O434=""),"Monitoring condition needs AIG-OPS-02 evidence ref",IF(AND(G434="Open",F434&lt;TODAY()),"OVERDUE (derived) — review",IF(G434="Unknown","State Unknown: owner to confirm","Check against source")))))))))))))))))))</f>
        <v/>
      </c>
      <c r="K434" s="37" t="n"/>
      <c r="L434" s="37" t="n"/>
      <c r="M434" s="38" t="n"/>
      <c r="N434" s="38" t="n"/>
      <c r="O434" s="38" t="n"/>
    </row>
    <row r="435">
      <c r="A435" s="40" t="n"/>
      <c r="B435" s="40" t="n"/>
      <c r="C435" s="40" t="n"/>
      <c r="D435" s="40" t="n"/>
      <c r="E435" s="40" t="n"/>
      <c r="F435" s="41" t="n"/>
      <c r="G435" s="40" t="n"/>
      <c r="H435" s="41" t="n"/>
      <c r="I435" s="40" t="n"/>
      <c r="J435" s="24">
        <f>IF(COUNTA(A435:I435,K435:O435)=0,"",IF(OR(A435="",B435="",C435=""),"ID / parent missing",IF(COUNTIF($A$4:$A$553,A435)&gt;1,"Duplicate condition ID",IF(COUNTIF('Gate events'!$A$4:$A$553,B435)=0,"Event ID not found",IF(INDEX('Gate events'!$B$4:$B$553,MATCH(B435,'Gate events'!$A$4:$A$553,0))&lt;&gt;C435,"AIR-ID differs from event",IF(IF(INDEX('Gate events'!$P$4:$P$553,MATCH(B435,'Gate events'!$A$4:$A$553,0))="UC-ID specific",IF(OR(L435&lt;&gt;"UC-ID specific",K435=""),"Condition UC-ID required",IF(ISNUMBER(SEARCH(","&amp;SUBSTITUTE(K435," ","")&amp;",",","&amp;SUBSTITUTE(INDEX('Gate events'!$O$4:$O$553,MATCH(B435,'Gate events'!$A$4:$A$553,0))," ","")&amp;",")),"","UC-ID differs from decision")),IF(INDEX('Gate events'!$P$4:$P$553,MATCH(B435,'Gate events'!$A$4:$A$553,0))="Shared system baseline",IF(OR(L435&lt;&gt;"Shared system baseline",K435&lt;&gt;""),"Condition scope differs from decision",""),"Parent decision scope missing"))&lt;&gt;"",IF(INDEX('Gate events'!$P$4:$P$553,MATCH(B435,'Gate events'!$A$4:$A$553,0))="UC-ID specific",IF(OR(L435&lt;&gt;"UC-ID specific",K435=""),"Condition UC-ID required",IF(ISNUMBER(SEARCH(","&amp;SUBSTITUTE(K435," ","")&amp;",",","&amp;SUBSTITUTE(INDEX('Gate events'!$O$4:$O$553,MATCH(B435,'Gate events'!$A$4:$A$553,0))," ","")&amp;",")),"","UC-ID differs from decision")),IF(INDEX('Gate events'!$P$4:$P$553,MATCH(B435,'Gate events'!$A$4:$A$553,0))="Shared system baseline",IF(OR(L435&lt;&gt;"Shared system baseline",K435&lt;&gt;""),"Condition scope differs from decision",""),"Parent decision scope missing")),IF(OR(D435="",E435="",F435="",G435=""),"Condition, owner, due date or state missing",IF(NOT(ISNUMBER(F435)),"Due date is not a date",IF(OR(G435="Overdue",G435="Superseded"),"Legacy state — owner review (use the shared five states)",IF(INDEX('Gate events'!$E$4:$E$553,MATCH(B435,'Gate events'!$A$4:$A$553,0))&lt;&gt;"Decision","Parent event is not a Decision",IF(AND(INDEX('Gate events'!$G$4:$G$553,MATCH(B435,'Gate events'!$A$4:$A$553,0))&lt;&gt;"Progress with condition",INDEX('Gate events'!$G$4:$G$553,MATCH(B435,'Gate events'!$A$4:$A$553,0))&lt;&gt;"Re-authorise",INDEX('Gate events'!$G$4:$G$553,MATCH(B435,'Gate events'!$A$4:$A$553,0))&lt;&gt;"Resume"),"Parent outcome is not Progress with condition / Re-authorise / Resume",IF(AND(ISNUMBER(INDEX('Gate events'!$F$4:$F$553,MATCH(B435,'Gate events'!$A$4:$A$553,0))),F435&lt;INDEX('Gate events'!$F$4:$F$553,MATCH(B435,'Gate events'!$A$4:$A$553,0))),"Due date before parent event date",IF(AND(OR(G435="Closed-verified",G435="Waived",G435="Accepted-open"),OR(H435="",I435="")),"Closure evidence missing",IF(AND(H435&lt;&gt;"",NOT(ISNUMBER(H435))),"Closed / waived on is not a date",IF(AND(ISNUMBER(H435),ISNUMBER(INDEX('Gate events'!$F$4:$F$553,MATCH(B435,'Gate events'!$A$4:$A$553,0))),H435&lt;INDEX('Gate events'!$F$4:$F$553,MATCH(B435,'Gate events'!$A$4:$A$553,0))),"Closure date before parent event date",IF(AND(G435="Closed-verified",M435=""),"Verifier / date missing",IF(AND(N435="Yes",G435="Closed-verified",O435=""),"Monitoring condition needs AIG-OPS-02 evidence ref",IF(AND(G435="Open",F435&lt;TODAY()),"OVERDUE (derived) — review",IF(G435="Unknown","State Unknown: owner to confirm","Check against source")))))))))))))))))))</f>
        <v/>
      </c>
      <c r="K435" s="37" t="n"/>
      <c r="L435" s="37" t="n"/>
      <c r="M435" s="40" t="n"/>
      <c r="N435" s="40" t="n"/>
      <c r="O435" s="40" t="n"/>
    </row>
    <row r="436">
      <c r="A436" s="38" t="n"/>
      <c r="B436" s="38" t="n"/>
      <c r="C436" s="38" t="n"/>
      <c r="D436" s="38" t="n"/>
      <c r="E436" s="38" t="n"/>
      <c r="F436" s="39" t="n"/>
      <c r="G436" s="38" t="n"/>
      <c r="H436" s="39" t="n"/>
      <c r="I436" s="38" t="n"/>
      <c r="J436" s="22">
        <f>IF(COUNTA(A436:I436,K436:O436)=0,"",IF(OR(A436="",B436="",C436=""),"ID / parent missing",IF(COUNTIF($A$4:$A$553,A436)&gt;1,"Duplicate condition ID",IF(COUNTIF('Gate events'!$A$4:$A$553,B436)=0,"Event ID not found",IF(INDEX('Gate events'!$B$4:$B$553,MATCH(B436,'Gate events'!$A$4:$A$553,0))&lt;&gt;C436,"AIR-ID differs from event",IF(IF(INDEX('Gate events'!$P$4:$P$553,MATCH(B436,'Gate events'!$A$4:$A$553,0))="UC-ID specific",IF(OR(L436&lt;&gt;"UC-ID specific",K436=""),"Condition UC-ID required",IF(ISNUMBER(SEARCH(","&amp;SUBSTITUTE(K436," ","")&amp;",",","&amp;SUBSTITUTE(INDEX('Gate events'!$O$4:$O$553,MATCH(B436,'Gate events'!$A$4:$A$553,0))," ","")&amp;",")),"","UC-ID differs from decision")),IF(INDEX('Gate events'!$P$4:$P$553,MATCH(B436,'Gate events'!$A$4:$A$553,0))="Shared system baseline",IF(OR(L436&lt;&gt;"Shared system baseline",K436&lt;&gt;""),"Condition scope differs from decision",""),"Parent decision scope missing"))&lt;&gt;"",IF(INDEX('Gate events'!$P$4:$P$553,MATCH(B436,'Gate events'!$A$4:$A$553,0))="UC-ID specific",IF(OR(L436&lt;&gt;"UC-ID specific",K436=""),"Condition UC-ID required",IF(ISNUMBER(SEARCH(","&amp;SUBSTITUTE(K436," ","")&amp;",",","&amp;SUBSTITUTE(INDEX('Gate events'!$O$4:$O$553,MATCH(B436,'Gate events'!$A$4:$A$553,0))," ","")&amp;",")),"","UC-ID differs from decision")),IF(INDEX('Gate events'!$P$4:$P$553,MATCH(B436,'Gate events'!$A$4:$A$553,0))="Shared system baseline",IF(OR(L436&lt;&gt;"Shared system baseline",K436&lt;&gt;""),"Condition scope differs from decision",""),"Parent decision scope missing")),IF(OR(D436="",E436="",F436="",G436=""),"Condition, owner, due date or state missing",IF(NOT(ISNUMBER(F436)),"Due date is not a date",IF(OR(G436="Overdue",G436="Superseded"),"Legacy state — owner review (use the shared five states)",IF(INDEX('Gate events'!$E$4:$E$553,MATCH(B436,'Gate events'!$A$4:$A$553,0))&lt;&gt;"Decision","Parent event is not a Decision",IF(AND(INDEX('Gate events'!$G$4:$G$553,MATCH(B436,'Gate events'!$A$4:$A$553,0))&lt;&gt;"Progress with condition",INDEX('Gate events'!$G$4:$G$553,MATCH(B436,'Gate events'!$A$4:$A$553,0))&lt;&gt;"Re-authorise",INDEX('Gate events'!$G$4:$G$553,MATCH(B436,'Gate events'!$A$4:$A$553,0))&lt;&gt;"Resume"),"Parent outcome is not Progress with condition / Re-authorise / Resume",IF(AND(ISNUMBER(INDEX('Gate events'!$F$4:$F$553,MATCH(B436,'Gate events'!$A$4:$A$553,0))),F436&lt;INDEX('Gate events'!$F$4:$F$553,MATCH(B436,'Gate events'!$A$4:$A$553,0))),"Due date before parent event date",IF(AND(OR(G436="Closed-verified",G436="Waived",G436="Accepted-open"),OR(H436="",I436="")),"Closure evidence missing",IF(AND(H436&lt;&gt;"",NOT(ISNUMBER(H436))),"Closed / waived on is not a date",IF(AND(ISNUMBER(H436),ISNUMBER(INDEX('Gate events'!$F$4:$F$553,MATCH(B436,'Gate events'!$A$4:$A$553,0))),H436&lt;INDEX('Gate events'!$F$4:$F$553,MATCH(B436,'Gate events'!$A$4:$A$553,0))),"Closure date before parent event date",IF(AND(G436="Closed-verified",M436=""),"Verifier / date missing",IF(AND(N436="Yes",G436="Closed-verified",O436=""),"Monitoring condition needs AIG-OPS-02 evidence ref",IF(AND(G436="Open",F436&lt;TODAY()),"OVERDUE (derived) — review",IF(G436="Unknown","State Unknown: owner to confirm","Check against source")))))))))))))))))))</f>
        <v/>
      </c>
      <c r="K436" s="37" t="n"/>
      <c r="L436" s="37" t="n"/>
      <c r="M436" s="38" t="n"/>
      <c r="N436" s="38" t="n"/>
      <c r="O436" s="38" t="n"/>
    </row>
    <row r="437">
      <c r="A437" s="40" t="n"/>
      <c r="B437" s="40" t="n"/>
      <c r="C437" s="40" t="n"/>
      <c r="D437" s="40" t="n"/>
      <c r="E437" s="40" t="n"/>
      <c r="F437" s="41" t="n"/>
      <c r="G437" s="40" t="n"/>
      <c r="H437" s="41" t="n"/>
      <c r="I437" s="40" t="n"/>
      <c r="J437" s="24">
        <f>IF(COUNTA(A437:I437,K437:O437)=0,"",IF(OR(A437="",B437="",C437=""),"ID / parent missing",IF(COUNTIF($A$4:$A$553,A437)&gt;1,"Duplicate condition ID",IF(COUNTIF('Gate events'!$A$4:$A$553,B437)=0,"Event ID not found",IF(INDEX('Gate events'!$B$4:$B$553,MATCH(B437,'Gate events'!$A$4:$A$553,0))&lt;&gt;C437,"AIR-ID differs from event",IF(IF(INDEX('Gate events'!$P$4:$P$553,MATCH(B437,'Gate events'!$A$4:$A$553,0))="UC-ID specific",IF(OR(L437&lt;&gt;"UC-ID specific",K437=""),"Condition UC-ID required",IF(ISNUMBER(SEARCH(","&amp;SUBSTITUTE(K437," ","")&amp;",",","&amp;SUBSTITUTE(INDEX('Gate events'!$O$4:$O$553,MATCH(B437,'Gate events'!$A$4:$A$553,0))," ","")&amp;",")),"","UC-ID differs from decision")),IF(INDEX('Gate events'!$P$4:$P$553,MATCH(B437,'Gate events'!$A$4:$A$553,0))="Shared system baseline",IF(OR(L437&lt;&gt;"Shared system baseline",K437&lt;&gt;""),"Condition scope differs from decision",""),"Parent decision scope missing"))&lt;&gt;"",IF(INDEX('Gate events'!$P$4:$P$553,MATCH(B437,'Gate events'!$A$4:$A$553,0))="UC-ID specific",IF(OR(L437&lt;&gt;"UC-ID specific",K437=""),"Condition UC-ID required",IF(ISNUMBER(SEARCH(","&amp;SUBSTITUTE(K437," ","")&amp;",",","&amp;SUBSTITUTE(INDEX('Gate events'!$O$4:$O$553,MATCH(B437,'Gate events'!$A$4:$A$553,0))," ","")&amp;",")),"","UC-ID differs from decision")),IF(INDEX('Gate events'!$P$4:$P$553,MATCH(B437,'Gate events'!$A$4:$A$553,0))="Shared system baseline",IF(OR(L437&lt;&gt;"Shared system baseline",K437&lt;&gt;""),"Condition scope differs from decision",""),"Parent decision scope missing")),IF(OR(D437="",E437="",F437="",G437=""),"Condition, owner, due date or state missing",IF(NOT(ISNUMBER(F437)),"Due date is not a date",IF(OR(G437="Overdue",G437="Superseded"),"Legacy state — owner review (use the shared five states)",IF(INDEX('Gate events'!$E$4:$E$553,MATCH(B437,'Gate events'!$A$4:$A$553,0))&lt;&gt;"Decision","Parent event is not a Decision",IF(AND(INDEX('Gate events'!$G$4:$G$553,MATCH(B437,'Gate events'!$A$4:$A$553,0))&lt;&gt;"Progress with condition",INDEX('Gate events'!$G$4:$G$553,MATCH(B437,'Gate events'!$A$4:$A$553,0))&lt;&gt;"Re-authorise",INDEX('Gate events'!$G$4:$G$553,MATCH(B437,'Gate events'!$A$4:$A$553,0))&lt;&gt;"Resume"),"Parent outcome is not Progress with condition / Re-authorise / Resume",IF(AND(ISNUMBER(INDEX('Gate events'!$F$4:$F$553,MATCH(B437,'Gate events'!$A$4:$A$553,0))),F437&lt;INDEX('Gate events'!$F$4:$F$553,MATCH(B437,'Gate events'!$A$4:$A$553,0))),"Due date before parent event date",IF(AND(OR(G437="Closed-verified",G437="Waived",G437="Accepted-open"),OR(H437="",I437="")),"Closure evidence missing",IF(AND(H437&lt;&gt;"",NOT(ISNUMBER(H437))),"Closed / waived on is not a date",IF(AND(ISNUMBER(H437),ISNUMBER(INDEX('Gate events'!$F$4:$F$553,MATCH(B437,'Gate events'!$A$4:$A$553,0))),H437&lt;INDEX('Gate events'!$F$4:$F$553,MATCH(B437,'Gate events'!$A$4:$A$553,0))),"Closure date before parent event date",IF(AND(G437="Closed-verified",M437=""),"Verifier / date missing",IF(AND(N437="Yes",G437="Closed-verified",O437=""),"Monitoring condition needs AIG-OPS-02 evidence ref",IF(AND(G437="Open",F437&lt;TODAY()),"OVERDUE (derived) — review",IF(G437="Unknown","State Unknown: owner to confirm","Check against source")))))))))))))))))))</f>
        <v/>
      </c>
      <c r="K437" s="37" t="n"/>
      <c r="L437" s="37" t="n"/>
      <c r="M437" s="40" t="n"/>
      <c r="N437" s="40" t="n"/>
      <c r="O437" s="40" t="n"/>
    </row>
    <row r="438">
      <c r="A438" s="38" t="n"/>
      <c r="B438" s="38" t="n"/>
      <c r="C438" s="38" t="n"/>
      <c r="D438" s="38" t="n"/>
      <c r="E438" s="38" t="n"/>
      <c r="F438" s="39" t="n"/>
      <c r="G438" s="38" t="n"/>
      <c r="H438" s="39" t="n"/>
      <c r="I438" s="38" t="n"/>
      <c r="J438" s="22">
        <f>IF(COUNTA(A438:I438,K438:O438)=0,"",IF(OR(A438="",B438="",C438=""),"ID / parent missing",IF(COUNTIF($A$4:$A$553,A438)&gt;1,"Duplicate condition ID",IF(COUNTIF('Gate events'!$A$4:$A$553,B438)=0,"Event ID not found",IF(INDEX('Gate events'!$B$4:$B$553,MATCH(B438,'Gate events'!$A$4:$A$553,0))&lt;&gt;C438,"AIR-ID differs from event",IF(IF(INDEX('Gate events'!$P$4:$P$553,MATCH(B438,'Gate events'!$A$4:$A$553,0))="UC-ID specific",IF(OR(L438&lt;&gt;"UC-ID specific",K438=""),"Condition UC-ID required",IF(ISNUMBER(SEARCH(","&amp;SUBSTITUTE(K438," ","")&amp;",",","&amp;SUBSTITUTE(INDEX('Gate events'!$O$4:$O$553,MATCH(B438,'Gate events'!$A$4:$A$553,0))," ","")&amp;",")),"","UC-ID differs from decision")),IF(INDEX('Gate events'!$P$4:$P$553,MATCH(B438,'Gate events'!$A$4:$A$553,0))="Shared system baseline",IF(OR(L438&lt;&gt;"Shared system baseline",K438&lt;&gt;""),"Condition scope differs from decision",""),"Parent decision scope missing"))&lt;&gt;"",IF(INDEX('Gate events'!$P$4:$P$553,MATCH(B438,'Gate events'!$A$4:$A$553,0))="UC-ID specific",IF(OR(L438&lt;&gt;"UC-ID specific",K438=""),"Condition UC-ID required",IF(ISNUMBER(SEARCH(","&amp;SUBSTITUTE(K438," ","")&amp;",",","&amp;SUBSTITUTE(INDEX('Gate events'!$O$4:$O$553,MATCH(B438,'Gate events'!$A$4:$A$553,0))," ","")&amp;",")),"","UC-ID differs from decision")),IF(INDEX('Gate events'!$P$4:$P$553,MATCH(B438,'Gate events'!$A$4:$A$553,0))="Shared system baseline",IF(OR(L438&lt;&gt;"Shared system baseline",K438&lt;&gt;""),"Condition scope differs from decision",""),"Parent decision scope missing")),IF(OR(D438="",E438="",F438="",G438=""),"Condition, owner, due date or state missing",IF(NOT(ISNUMBER(F438)),"Due date is not a date",IF(OR(G438="Overdue",G438="Superseded"),"Legacy state — owner review (use the shared five states)",IF(INDEX('Gate events'!$E$4:$E$553,MATCH(B438,'Gate events'!$A$4:$A$553,0))&lt;&gt;"Decision","Parent event is not a Decision",IF(AND(INDEX('Gate events'!$G$4:$G$553,MATCH(B438,'Gate events'!$A$4:$A$553,0))&lt;&gt;"Progress with condition",INDEX('Gate events'!$G$4:$G$553,MATCH(B438,'Gate events'!$A$4:$A$553,0))&lt;&gt;"Re-authorise",INDEX('Gate events'!$G$4:$G$553,MATCH(B438,'Gate events'!$A$4:$A$553,0))&lt;&gt;"Resume"),"Parent outcome is not Progress with condition / Re-authorise / Resume",IF(AND(ISNUMBER(INDEX('Gate events'!$F$4:$F$553,MATCH(B438,'Gate events'!$A$4:$A$553,0))),F438&lt;INDEX('Gate events'!$F$4:$F$553,MATCH(B438,'Gate events'!$A$4:$A$553,0))),"Due date before parent event date",IF(AND(OR(G438="Closed-verified",G438="Waived",G438="Accepted-open"),OR(H438="",I438="")),"Closure evidence missing",IF(AND(H438&lt;&gt;"",NOT(ISNUMBER(H438))),"Closed / waived on is not a date",IF(AND(ISNUMBER(H438),ISNUMBER(INDEX('Gate events'!$F$4:$F$553,MATCH(B438,'Gate events'!$A$4:$A$553,0))),H438&lt;INDEX('Gate events'!$F$4:$F$553,MATCH(B438,'Gate events'!$A$4:$A$553,0))),"Closure date before parent event date",IF(AND(G438="Closed-verified",M438=""),"Verifier / date missing",IF(AND(N438="Yes",G438="Closed-verified",O438=""),"Monitoring condition needs AIG-OPS-02 evidence ref",IF(AND(G438="Open",F438&lt;TODAY()),"OVERDUE (derived) — review",IF(G438="Unknown","State Unknown: owner to confirm","Check against source")))))))))))))))))))</f>
        <v/>
      </c>
      <c r="K438" s="37" t="n"/>
      <c r="L438" s="37" t="n"/>
      <c r="M438" s="38" t="n"/>
      <c r="N438" s="38" t="n"/>
      <c r="O438" s="38" t="n"/>
    </row>
    <row r="439">
      <c r="A439" s="40" t="n"/>
      <c r="B439" s="40" t="n"/>
      <c r="C439" s="40" t="n"/>
      <c r="D439" s="40" t="n"/>
      <c r="E439" s="40" t="n"/>
      <c r="F439" s="41" t="n"/>
      <c r="G439" s="40" t="n"/>
      <c r="H439" s="41" t="n"/>
      <c r="I439" s="40" t="n"/>
      <c r="J439" s="24">
        <f>IF(COUNTA(A439:I439,K439:O439)=0,"",IF(OR(A439="",B439="",C439=""),"ID / parent missing",IF(COUNTIF($A$4:$A$553,A439)&gt;1,"Duplicate condition ID",IF(COUNTIF('Gate events'!$A$4:$A$553,B439)=0,"Event ID not found",IF(INDEX('Gate events'!$B$4:$B$553,MATCH(B439,'Gate events'!$A$4:$A$553,0))&lt;&gt;C439,"AIR-ID differs from event",IF(IF(INDEX('Gate events'!$P$4:$P$553,MATCH(B439,'Gate events'!$A$4:$A$553,0))="UC-ID specific",IF(OR(L439&lt;&gt;"UC-ID specific",K439=""),"Condition UC-ID required",IF(ISNUMBER(SEARCH(","&amp;SUBSTITUTE(K439," ","")&amp;",",","&amp;SUBSTITUTE(INDEX('Gate events'!$O$4:$O$553,MATCH(B439,'Gate events'!$A$4:$A$553,0))," ","")&amp;",")),"","UC-ID differs from decision")),IF(INDEX('Gate events'!$P$4:$P$553,MATCH(B439,'Gate events'!$A$4:$A$553,0))="Shared system baseline",IF(OR(L439&lt;&gt;"Shared system baseline",K439&lt;&gt;""),"Condition scope differs from decision",""),"Parent decision scope missing"))&lt;&gt;"",IF(INDEX('Gate events'!$P$4:$P$553,MATCH(B439,'Gate events'!$A$4:$A$553,0))="UC-ID specific",IF(OR(L439&lt;&gt;"UC-ID specific",K439=""),"Condition UC-ID required",IF(ISNUMBER(SEARCH(","&amp;SUBSTITUTE(K439," ","")&amp;",",","&amp;SUBSTITUTE(INDEX('Gate events'!$O$4:$O$553,MATCH(B439,'Gate events'!$A$4:$A$553,0))," ","")&amp;",")),"","UC-ID differs from decision")),IF(INDEX('Gate events'!$P$4:$P$553,MATCH(B439,'Gate events'!$A$4:$A$553,0))="Shared system baseline",IF(OR(L439&lt;&gt;"Shared system baseline",K439&lt;&gt;""),"Condition scope differs from decision",""),"Parent decision scope missing")),IF(OR(D439="",E439="",F439="",G439=""),"Condition, owner, due date or state missing",IF(NOT(ISNUMBER(F439)),"Due date is not a date",IF(OR(G439="Overdue",G439="Superseded"),"Legacy state — owner review (use the shared five states)",IF(INDEX('Gate events'!$E$4:$E$553,MATCH(B439,'Gate events'!$A$4:$A$553,0))&lt;&gt;"Decision","Parent event is not a Decision",IF(AND(INDEX('Gate events'!$G$4:$G$553,MATCH(B439,'Gate events'!$A$4:$A$553,0))&lt;&gt;"Progress with condition",INDEX('Gate events'!$G$4:$G$553,MATCH(B439,'Gate events'!$A$4:$A$553,0))&lt;&gt;"Re-authorise",INDEX('Gate events'!$G$4:$G$553,MATCH(B439,'Gate events'!$A$4:$A$553,0))&lt;&gt;"Resume"),"Parent outcome is not Progress with condition / Re-authorise / Resume",IF(AND(ISNUMBER(INDEX('Gate events'!$F$4:$F$553,MATCH(B439,'Gate events'!$A$4:$A$553,0))),F439&lt;INDEX('Gate events'!$F$4:$F$553,MATCH(B439,'Gate events'!$A$4:$A$553,0))),"Due date before parent event date",IF(AND(OR(G439="Closed-verified",G439="Waived",G439="Accepted-open"),OR(H439="",I439="")),"Closure evidence missing",IF(AND(H439&lt;&gt;"",NOT(ISNUMBER(H439))),"Closed / waived on is not a date",IF(AND(ISNUMBER(H439),ISNUMBER(INDEX('Gate events'!$F$4:$F$553,MATCH(B439,'Gate events'!$A$4:$A$553,0))),H439&lt;INDEX('Gate events'!$F$4:$F$553,MATCH(B439,'Gate events'!$A$4:$A$553,0))),"Closure date before parent event date",IF(AND(G439="Closed-verified",M439=""),"Verifier / date missing",IF(AND(N439="Yes",G439="Closed-verified",O439=""),"Monitoring condition needs AIG-OPS-02 evidence ref",IF(AND(G439="Open",F439&lt;TODAY()),"OVERDUE (derived) — review",IF(G439="Unknown","State Unknown: owner to confirm","Check against source")))))))))))))))))))</f>
        <v/>
      </c>
      <c r="K439" s="37" t="n"/>
      <c r="L439" s="37" t="n"/>
      <c r="M439" s="40" t="n"/>
      <c r="N439" s="40" t="n"/>
      <c r="O439" s="40" t="n"/>
    </row>
    <row r="440">
      <c r="A440" s="38" t="n"/>
      <c r="B440" s="38" t="n"/>
      <c r="C440" s="38" t="n"/>
      <c r="D440" s="38" t="n"/>
      <c r="E440" s="38" t="n"/>
      <c r="F440" s="39" t="n"/>
      <c r="G440" s="38" t="n"/>
      <c r="H440" s="39" t="n"/>
      <c r="I440" s="38" t="n"/>
      <c r="J440" s="22">
        <f>IF(COUNTA(A440:I440,K440:O440)=0,"",IF(OR(A440="",B440="",C440=""),"ID / parent missing",IF(COUNTIF($A$4:$A$553,A440)&gt;1,"Duplicate condition ID",IF(COUNTIF('Gate events'!$A$4:$A$553,B440)=0,"Event ID not found",IF(INDEX('Gate events'!$B$4:$B$553,MATCH(B440,'Gate events'!$A$4:$A$553,0))&lt;&gt;C440,"AIR-ID differs from event",IF(IF(INDEX('Gate events'!$P$4:$P$553,MATCH(B440,'Gate events'!$A$4:$A$553,0))="UC-ID specific",IF(OR(L440&lt;&gt;"UC-ID specific",K440=""),"Condition UC-ID required",IF(ISNUMBER(SEARCH(","&amp;SUBSTITUTE(K440," ","")&amp;",",","&amp;SUBSTITUTE(INDEX('Gate events'!$O$4:$O$553,MATCH(B440,'Gate events'!$A$4:$A$553,0))," ","")&amp;",")),"","UC-ID differs from decision")),IF(INDEX('Gate events'!$P$4:$P$553,MATCH(B440,'Gate events'!$A$4:$A$553,0))="Shared system baseline",IF(OR(L440&lt;&gt;"Shared system baseline",K440&lt;&gt;""),"Condition scope differs from decision",""),"Parent decision scope missing"))&lt;&gt;"",IF(INDEX('Gate events'!$P$4:$P$553,MATCH(B440,'Gate events'!$A$4:$A$553,0))="UC-ID specific",IF(OR(L440&lt;&gt;"UC-ID specific",K440=""),"Condition UC-ID required",IF(ISNUMBER(SEARCH(","&amp;SUBSTITUTE(K440," ","")&amp;",",","&amp;SUBSTITUTE(INDEX('Gate events'!$O$4:$O$553,MATCH(B440,'Gate events'!$A$4:$A$553,0))," ","")&amp;",")),"","UC-ID differs from decision")),IF(INDEX('Gate events'!$P$4:$P$553,MATCH(B440,'Gate events'!$A$4:$A$553,0))="Shared system baseline",IF(OR(L440&lt;&gt;"Shared system baseline",K440&lt;&gt;""),"Condition scope differs from decision",""),"Parent decision scope missing")),IF(OR(D440="",E440="",F440="",G440=""),"Condition, owner, due date or state missing",IF(NOT(ISNUMBER(F440)),"Due date is not a date",IF(OR(G440="Overdue",G440="Superseded"),"Legacy state — owner review (use the shared five states)",IF(INDEX('Gate events'!$E$4:$E$553,MATCH(B440,'Gate events'!$A$4:$A$553,0))&lt;&gt;"Decision","Parent event is not a Decision",IF(AND(INDEX('Gate events'!$G$4:$G$553,MATCH(B440,'Gate events'!$A$4:$A$553,0))&lt;&gt;"Progress with condition",INDEX('Gate events'!$G$4:$G$553,MATCH(B440,'Gate events'!$A$4:$A$553,0))&lt;&gt;"Re-authorise",INDEX('Gate events'!$G$4:$G$553,MATCH(B440,'Gate events'!$A$4:$A$553,0))&lt;&gt;"Resume"),"Parent outcome is not Progress with condition / Re-authorise / Resume",IF(AND(ISNUMBER(INDEX('Gate events'!$F$4:$F$553,MATCH(B440,'Gate events'!$A$4:$A$553,0))),F440&lt;INDEX('Gate events'!$F$4:$F$553,MATCH(B440,'Gate events'!$A$4:$A$553,0))),"Due date before parent event date",IF(AND(OR(G440="Closed-verified",G440="Waived",G440="Accepted-open"),OR(H440="",I440="")),"Closure evidence missing",IF(AND(H440&lt;&gt;"",NOT(ISNUMBER(H440))),"Closed / waived on is not a date",IF(AND(ISNUMBER(H440),ISNUMBER(INDEX('Gate events'!$F$4:$F$553,MATCH(B440,'Gate events'!$A$4:$A$553,0))),H440&lt;INDEX('Gate events'!$F$4:$F$553,MATCH(B440,'Gate events'!$A$4:$A$553,0))),"Closure date before parent event date",IF(AND(G440="Closed-verified",M440=""),"Verifier / date missing",IF(AND(N440="Yes",G440="Closed-verified",O440=""),"Monitoring condition needs AIG-OPS-02 evidence ref",IF(AND(G440="Open",F440&lt;TODAY()),"OVERDUE (derived) — review",IF(G440="Unknown","State Unknown: owner to confirm","Check against source")))))))))))))))))))</f>
        <v/>
      </c>
      <c r="K440" s="37" t="n"/>
      <c r="L440" s="37" t="n"/>
      <c r="M440" s="38" t="n"/>
      <c r="N440" s="38" t="n"/>
      <c r="O440" s="38" t="n"/>
    </row>
    <row r="441">
      <c r="A441" s="40" t="n"/>
      <c r="B441" s="40" t="n"/>
      <c r="C441" s="40" t="n"/>
      <c r="D441" s="40" t="n"/>
      <c r="E441" s="40" t="n"/>
      <c r="F441" s="41" t="n"/>
      <c r="G441" s="40" t="n"/>
      <c r="H441" s="41" t="n"/>
      <c r="I441" s="40" t="n"/>
      <c r="J441" s="24">
        <f>IF(COUNTA(A441:I441,K441:O441)=0,"",IF(OR(A441="",B441="",C441=""),"ID / parent missing",IF(COUNTIF($A$4:$A$553,A441)&gt;1,"Duplicate condition ID",IF(COUNTIF('Gate events'!$A$4:$A$553,B441)=0,"Event ID not found",IF(INDEX('Gate events'!$B$4:$B$553,MATCH(B441,'Gate events'!$A$4:$A$553,0))&lt;&gt;C441,"AIR-ID differs from event",IF(IF(INDEX('Gate events'!$P$4:$P$553,MATCH(B441,'Gate events'!$A$4:$A$553,0))="UC-ID specific",IF(OR(L441&lt;&gt;"UC-ID specific",K441=""),"Condition UC-ID required",IF(ISNUMBER(SEARCH(","&amp;SUBSTITUTE(K441," ","")&amp;",",","&amp;SUBSTITUTE(INDEX('Gate events'!$O$4:$O$553,MATCH(B441,'Gate events'!$A$4:$A$553,0))," ","")&amp;",")),"","UC-ID differs from decision")),IF(INDEX('Gate events'!$P$4:$P$553,MATCH(B441,'Gate events'!$A$4:$A$553,0))="Shared system baseline",IF(OR(L441&lt;&gt;"Shared system baseline",K441&lt;&gt;""),"Condition scope differs from decision",""),"Parent decision scope missing"))&lt;&gt;"",IF(INDEX('Gate events'!$P$4:$P$553,MATCH(B441,'Gate events'!$A$4:$A$553,0))="UC-ID specific",IF(OR(L441&lt;&gt;"UC-ID specific",K441=""),"Condition UC-ID required",IF(ISNUMBER(SEARCH(","&amp;SUBSTITUTE(K441," ","")&amp;",",","&amp;SUBSTITUTE(INDEX('Gate events'!$O$4:$O$553,MATCH(B441,'Gate events'!$A$4:$A$553,0))," ","")&amp;",")),"","UC-ID differs from decision")),IF(INDEX('Gate events'!$P$4:$P$553,MATCH(B441,'Gate events'!$A$4:$A$553,0))="Shared system baseline",IF(OR(L441&lt;&gt;"Shared system baseline",K441&lt;&gt;""),"Condition scope differs from decision",""),"Parent decision scope missing")),IF(OR(D441="",E441="",F441="",G441=""),"Condition, owner, due date or state missing",IF(NOT(ISNUMBER(F441)),"Due date is not a date",IF(OR(G441="Overdue",G441="Superseded"),"Legacy state — owner review (use the shared five states)",IF(INDEX('Gate events'!$E$4:$E$553,MATCH(B441,'Gate events'!$A$4:$A$553,0))&lt;&gt;"Decision","Parent event is not a Decision",IF(AND(INDEX('Gate events'!$G$4:$G$553,MATCH(B441,'Gate events'!$A$4:$A$553,0))&lt;&gt;"Progress with condition",INDEX('Gate events'!$G$4:$G$553,MATCH(B441,'Gate events'!$A$4:$A$553,0))&lt;&gt;"Re-authorise",INDEX('Gate events'!$G$4:$G$553,MATCH(B441,'Gate events'!$A$4:$A$553,0))&lt;&gt;"Resume"),"Parent outcome is not Progress with condition / Re-authorise / Resume",IF(AND(ISNUMBER(INDEX('Gate events'!$F$4:$F$553,MATCH(B441,'Gate events'!$A$4:$A$553,0))),F441&lt;INDEX('Gate events'!$F$4:$F$553,MATCH(B441,'Gate events'!$A$4:$A$553,0))),"Due date before parent event date",IF(AND(OR(G441="Closed-verified",G441="Waived",G441="Accepted-open"),OR(H441="",I441="")),"Closure evidence missing",IF(AND(H441&lt;&gt;"",NOT(ISNUMBER(H441))),"Closed / waived on is not a date",IF(AND(ISNUMBER(H441),ISNUMBER(INDEX('Gate events'!$F$4:$F$553,MATCH(B441,'Gate events'!$A$4:$A$553,0))),H441&lt;INDEX('Gate events'!$F$4:$F$553,MATCH(B441,'Gate events'!$A$4:$A$553,0))),"Closure date before parent event date",IF(AND(G441="Closed-verified",M441=""),"Verifier / date missing",IF(AND(N441="Yes",G441="Closed-verified",O441=""),"Monitoring condition needs AIG-OPS-02 evidence ref",IF(AND(G441="Open",F441&lt;TODAY()),"OVERDUE (derived) — review",IF(G441="Unknown","State Unknown: owner to confirm","Check against source")))))))))))))))))))</f>
        <v/>
      </c>
      <c r="K441" s="37" t="n"/>
      <c r="L441" s="37" t="n"/>
      <c r="M441" s="40" t="n"/>
      <c r="N441" s="40" t="n"/>
      <c r="O441" s="40" t="n"/>
    </row>
    <row r="442">
      <c r="A442" s="38" t="n"/>
      <c r="B442" s="38" t="n"/>
      <c r="C442" s="38" t="n"/>
      <c r="D442" s="38" t="n"/>
      <c r="E442" s="38" t="n"/>
      <c r="F442" s="39" t="n"/>
      <c r="G442" s="38" t="n"/>
      <c r="H442" s="39" t="n"/>
      <c r="I442" s="38" t="n"/>
      <c r="J442" s="22">
        <f>IF(COUNTA(A442:I442,K442:O442)=0,"",IF(OR(A442="",B442="",C442=""),"ID / parent missing",IF(COUNTIF($A$4:$A$553,A442)&gt;1,"Duplicate condition ID",IF(COUNTIF('Gate events'!$A$4:$A$553,B442)=0,"Event ID not found",IF(INDEX('Gate events'!$B$4:$B$553,MATCH(B442,'Gate events'!$A$4:$A$553,0))&lt;&gt;C442,"AIR-ID differs from event",IF(IF(INDEX('Gate events'!$P$4:$P$553,MATCH(B442,'Gate events'!$A$4:$A$553,0))="UC-ID specific",IF(OR(L442&lt;&gt;"UC-ID specific",K442=""),"Condition UC-ID required",IF(ISNUMBER(SEARCH(","&amp;SUBSTITUTE(K442," ","")&amp;",",","&amp;SUBSTITUTE(INDEX('Gate events'!$O$4:$O$553,MATCH(B442,'Gate events'!$A$4:$A$553,0))," ","")&amp;",")),"","UC-ID differs from decision")),IF(INDEX('Gate events'!$P$4:$P$553,MATCH(B442,'Gate events'!$A$4:$A$553,0))="Shared system baseline",IF(OR(L442&lt;&gt;"Shared system baseline",K442&lt;&gt;""),"Condition scope differs from decision",""),"Parent decision scope missing"))&lt;&gt;"",IF(INDEX('Gate events'!$P$4:$P$553,MATCH(B442,'Gate events'!$A$4:$A$553,0))="UC-ID specific",IF(OR(L442&lt;&gt;"UC-ID specific",K442=""),"Condition UC-ID required",IF(ISNUMBER(SEARCH(","&amp;SUBSTITUTE(K442," ","")&amp;",",","&amp;SUBSTITUTE(INDEX('Gate events'!$O$4:$O$553,MATCH(B442,'Gate events'!$A$4:$A$553,0))," ","")&amp;",")),"","UC-ID differs from decision")),IF(INDEX('Gate events'!$P$4:$P$553,MATCH(B442,'Gate events'!$A$4:$A$553,0))="Shared system baseline",IF(OR(L442&lt;&gt;"Shared system baseline",K442&lt;&gt;""),"Condition scope differs from decision",""),"Parent decision scope missing")),IF(OR(D442="",E442="",F442="",G442=""),"Condition, owner, due date or state missing",IF(NOT(ISNUMBER(F442)),"Due date is not a date",IF(OR(G442="Overdue",G442="Superseded"),"Legacy state — owner review (use the shared five states)",IF(INDEX('Gate events'!$E$4:$E$553,MATCH(B442,'Gate events'!$A$4:$A$553,0))&lt;&gt;"Decision","Parent event is not a Decision",IF(AND(INDEX('Gate events'!$G$4:$G$553,MATCH(B442,'Gate events'!$A$4:$A$553,0))&lt;&gt;"Progress with condition",INDEX('Gate events'!$G$4:$G$553,MATCH(B442,'Gate events'!$A$4:$A$553,0))&lt;&gt;"Re-authorise",INDEX('Gate events'!$G$4:$G$553,MATCH(B442,'Gate events'!$A$4:$A$553,0))&lt;&gt;"Resume"),"Parent outcome is not Progress with condition / Re-authorise / Resume",IF(AND(ISNUMBER(INDEX('Gate events'!$F$4:$F$553,MATCH(B442,'Gate events'!$A$4:$A$553,0))),F442&lt;INDEX('Gate events'!$F$4:$F$553,MATCH(B442,'Gate events'!$A$4:$A$553,0))),"Due date before parent event date",IF(AND(OR(G442="Closed-verified",G442="Waived",G442="Accepted-open"),OR(H442="",I442="")),"Closure evidence missing",IF(AND(H442&lt;&gt;"",NOT(ISNUMBER(H442))),"Closed / waived on is not a date",IF(AND(ISNUMBER(H442),ISNUMBER(INDEX('Gate events'!$F$4:$F$553,MATCH(B442,'Gate events'!$A$4:$A$553,0))),H442&lt;INDEX('Gate events'!$F$4:$F$553,MATCH(B442,'Gate events'!$A$4:$A$553,0))),"Closure date before parent event date",IF(AND(G442="Closed-verified",M442=""),"Verifier / date missing",IF(AND(N442="Yes",G442="Closed-verified",O442=""),"Monitoring condition needs AIG-OPS-02 evidence ref",IF(AND(G442="Open",F442&lt;TODAY()),"OVERDUE (derived) — review",IF(G442="Unknown","State Unknown: owner to confirm","Check against source")))))))))))))))))))</f>
        <v/>
      </c>
      <c r="K442" s="37" t="n"/>
      <c r="L442" s="37" t="n"/>
      <c r="M442" s="38" t="n"/>
      <c r="N442" s="38" t="n"/>
      <c r="O442" s="38" t="n"/>
    </row>
    <row r="443">
      <c r="A443" s="40" t="n"/>
      <c r="B443" s="40" t="n"/>
      <c r="C443" s="40" t="n"/>
      <c r="D443" s="40" t="n"/>
      <c r="E443" s="40" t="n"/>
      <c r="F443" s="41" t="n"/>
      <c r="G443" s="40" t="n"/>
      <c r="H443" s="41" t="n"/>
      <c r="I443" s="40" t="n"/>
      <c r="J443" s="24">
        <f>IF(COUNTA(A443:I443,K443:O443)=0,"",IF(OR(A443="",B443="",C443=""),"ID / parent missing",IF(COUNTIF($A$4:$A$553,A443)&gt;1,"Duplicate condition ID",IF(COUNTIF('Gate events'!$A$4:$A$553,B443)=0,"Event ID not found",IF(INDEX('Gate events'!$B$4:$B$553,MATCH(B443,'Gate events'!$A$4:$A$553,0))&lt;&gt;C443,"AIR-ID differs from event",IF(IF(INDEX('Gate events'!$P$4:$P$553,MATCH(B443,'Gate events'!$A$4:$A$553,0))="UC-ID specific",IF(OR(L443&lt;&gt;"UC-ID specific",K443=""),"Condition UC-ID required",IF(ISNUMBER(SEARCH(","&amp;SUBSTITUTE(K443," ","")&amp;",",","&amp;SUBSTITUTE(INDEX('Gate events'!$O$4:$O$553,MATCH(B443,'Gate events'!$A$4:$A$553,0))," ","")&amp;",")),"","UC-ID differs from decision")),IF(INDEX('Gate events'!$P$4:$P$553,MATCH(B443,'Gate events'!$A$4:$A$553,0))="Shared system baseline",IF(OR(L443&lt;&gt;"Shared system baseline",K443&lt;&gt;""),"Condition scope differs from decision",""),"Parent decision scope missing"))&lt;&gt;"",IF(INDEX('Gate events'!$P$4:$P$553,MATCH(B443,'Gate events'!$A$4:$A$553,0))="UC-ID specific",IF(OR(L443&lt;&gt;"UC-ID specific",K443=""),"Condition UC-ID required",IF(ISNUMBER(SEARCH(","&amp;SUBSTITUTE(K443," ","")&amp;",",","&amp;SUBSTITUTE(INDEX('Gate events'!$O$4:$O$553,MATCH(B443,'Gate events'!$A$4:$A$553,0))," ","")&amp;",")),"","UC-ID differs from decision")),IF(INDEX('Gate events'!$P$4:$P$553,MATCH(B443,'Gate events'!$A$4:$A$553,0))="Shared system baseline",IF(OR(L443&lt;&gt;"Shared system baseline",K443&lt;&gt;""),"Condition scope differs from decision",""),"Parent decision scope missing")),IF(OR(D443="",E443="",F443="",G443=""),"Condition, owner, due date or state missing",IF(NOT(ISNUMBER(F443)),"Due date is not a date",IF(OR(G443="Overdue",G443="Superseded"),"Legacy state — owner review (use the shared five states)",IF(INDEX('Gate events'!$E$4:$E$553,MATCH(B443,'Gate events'!$A$4:$A$553,0))&lt;&gt;"Decision","Parent event is not a Decision",IF(AND(INDEX('Gate events'!$G$4:$G$553,MATCH(B443,'Gate events'!$A$4:$A$553,0))&lt;&gt;"Progress with condition",INDEX('Gate events'!$G$4:$G$553,MATCH(B443,'Gate events'!$A$4:$A$553,0))&lt;&gt;"Re-authorise",INDEX('Gate events'!$G$4:$G$553,MATCH(B443,'Gate events'!$A$4:$A$553,0))&lt;&gt;"Resume"),"Parent outcome is not Progress with condition / Re-authorise / Resume",IF(AND(ISNUMBER(INDEX('Gate events'!$F$4:$F$553,MATCH(B443,'Gate events'!$A$4:$A$553,0))),F443&lt;INDEX('Gate events'!$F$4:$F$553,MATCH(B443,'Gate events'!$A$4:$A$553,0))),"Due date before parent event date",IF(AND(OR(G443="Closed-verified",G443="Waived",G443="Accepted-open"),OR(H443="",I443="")),"Closure evidence missing",IF(AND(H443&lt;&gt;"",NOT(ISNUMBER(H443))),"Closed / waived on is not a date",IF(AND(ISNUMBER(H443),ISNUMBER(INDEX('Gate events'!$F$4:$F$553,MATCH(B443,'Gate events'!$A$4:$A$553,0))),H443&lt;INDEX('Gate events'!$F$4:$F$553,MATCH(B443,'Gate events'!$A$4:$A$553,0))),"Closure date before parent event date",IF(AND(G443="Closed-verified",M443=""),"Verifier / date missing",IF(AND(N443="Yes",G443="Closed-verified",O443=""),"Monitoring condition needs AIG-OPS-02 evidence ref",IF(AND(G443="Open",F443&lt;TODAY()),"OVERDUE (derived) — review",IF(G443="Unknown","State Unknown: owner to confirm","Check against source")))))))))))))))))))</f>
        <v/>
      </c>
      <c r="K443" s="37" t="n"/>
      <c r="L443" s="37" t="n"/>
      <c r="M443" s="40" t="n"/>
      <c r="N443" s="40" t="n"/>
      <c r="O443" s="40" t="n"/>
    </row>
    <row r="444">
      <c r="A444" s="38" t="n"/>
      <c r="B444" s="38" t="n"/>
      <c r="C444" s="38" t="n"/>
      <c r="D444" s="38" t="n"/>
      <c r="E444" s="38" t="n"/>
      <c r="F444" s="39" t="n"/>
      <c r="G444" s="38" t="n"/>
      <c r="H444" s="39" t="n"/>
      <c r="I444" s="38" t="n"/>
      <c r="J444" s="22">
        <f>IF(COUNTA(A444:I444,K444:O444)=0,"",IF(OR(A444="",B444="",C444=""),"ID / parent missing",IF(COUNTIF($A$4:$A$553,A444)&gt;1,"Duplicate condition ID",IF(COUNTIF('Gate events'!$A$4:$A$553,B444)=0,"Event ID not found",IF(INDEX('Gate events'!$B$4:$B$553,MATCH(B444,'Gate events'!$A$4:$A$553,0))&lt;&gt;C444,"AIR-ID differs from event",IF(IF(INDEX('Gate events'!$P$4:$P$553,MATCH(B444,'Gate events'!$A$4:$A$553,0))="UC-ID specific",IF(OR(L444&lt;&gt;"UC-ID specific",K444=""),"Condition UC-ID required",IF(ISNUMBER(SEARCH(","&amp;SUBSTITUTE(K444," ","")&amp;",",","&amp;SUBSTITUTE(INDEX('Gate events'!$O$4:$O$553,MATCH(B444,'Gate events'!$A$4:$A$553,0))," ","")&amp;",")),"","UC-ID differs from decision")),IF(INDEX('Gate events'!$P$4:$P$553,MATCH(B444,'Gate events'!$A$4:$A$553,0))="Shared system baseline",IF(OR(L444&lt;&gt;"Shared system baseline",K444&lt;&gt;""),"Condition scope differs from decision",""),"Parent decision scope missing"))&lt;&gt;"",IF(INDEX('Gate events'!$P$4:$P$553,MATCH(B444,'Gate events'!$A$4:$A$553,0))="UC-ID specific",IF(OR(L444&lt;&gt;"UC-ID specific",K444=""),"Condition UC-ID required",IF(ISNUMBER(SEARCH(","&amp;SUBSTITUTE(K444," ","")&amp;",",","&amp;SUBSTITUTE(INDEX('Gate events'!$O$4:$O$553,MATCH(B444,'Gate events'!$A$4:$A$553,0))," ","")&amp;",")),"","UC-ID differs from decision")),IF(INDEX('Gate events'!$P$4:$P$553,MATCH(B444,'Gate events'!$A$4:$A$553,0))="Shared system baseline",IF(OR(L444&lt;&gt;"Shared system baseline",K444&lt;&gt;""),"Condition scope differs from decision",""),"Parent decision scope missing")),IF(OR(D444="",E444="",F444="",G444=""),"Condition, owner, due date or state missing",IF(NOT(ISNUMBER(F444)),"Due date is not a date",IF(OR(G444="Overdue",G444="Superseded"),"Legacy state — owner review (use the shared five states)",IF(INDEX('Gate events'!$E$4:$E$553,MATCH(B444,'Gate events'!$A$4:$A$553,0))&lt;&gt;"Decision","Parent event is not a Decision",IF(AND(INDEX('Gate events'!$G$4:$G$553,MATCH(B444,'Gate events'!$A$4:$A$553,0))&lt;&gt;"Progress with condition",INDEX('Gate events'!$G$4:$G$553,MATCH(B444,'Gate events'!$A$4:$A$553,0))&lt;&gt;"Re-authorise",INDEX('Gate events'!$G$4:$G$553,MATCH(B444,'Gate events'!$A$4:$A$553,0))&lt;&gt;"Resume"),"Parent outcome is not Progress with condition / Re-authorise / Resume",IF(AND(ISNUMBER(INDEX('Gate events'!$F$4:$F$553,MATCH(B444,'Gate events'!$A$4:$A$553,0))),F444&lt;INDEX('Gate events'!$F$4:$F$553,MATCH(B444,'Gate events'!$A$4:$A$553,0))),"Due date before parent event date",IF(AND(OR(G444="Closed-verified",G444="Waived",G444="Accepted-open"),OR(H444="",I444="")),"Closure evidence missing",IF(AND(H444&lt;&gt;"",NOT(ISNUMBER(H444))),"Closed / waived on is not a date",IF(AND(ISNUMBER(H444),ISNUMBER(INDEX('Gate events'!$F$4:$F$553,MATCH(B444,'Gate events'!$A$4:$A$553,0))),H444&lt;INDEX('Gate events'!$F$4:$F$553,MATCH(B444,'Gate events'!$A$4:$A$553,0))),"Closure date before parent event date",IF(AND(G444="Closed-verified",M444=""),"Verifier / date missing",IF(AND(N444="Yes",G444="Closed-verified",O444=""),"Monitoring condition needs AIG-OPS-02 evidence ref",IF(AND(G444="Open",F444&lt;TODAY()),"OVERDUE (derived) — review",IF(G444="Unknown","State Unknown: owner to confirm","Check against source")))))))))))))))))))</f>
        <v/>
      </c>
      <c r="K444" s="37" t="n"/>
      <c r="L444" s="37" t="n"/>
      <c r="M444" s="38" t="n"/>
      <c r="N444" s="38" t="n"/>
      <c r="O444" s="38" t="n"/>
    </row>
    <row r="445">
      <c r="A445" s="40" t="n"/>
      <c r="B445" s="40" t="n"/>
      <c r="C445" s="40" t="n"/>
      <c r="D445" s="40" t="n"/>
      <c r="E445" s="40" t="n"/>
      <c r="F445" s="41" t="n"/>
      <c r="G445" s="40" t="n"/>
      <c r="H445" s="41" t="n"/>
      <c r="I445" s="40" t="n"/>
      <c r="J445" s="24">
        <f>IF(COUNTA(A445:I445,K445:O445)=0,"",IF(OR(A445="",B445="",C445=""),"ID / parent missing",IF(COUNTIF($A$4:$A$553,A445)&gt;1,"Duplicate condition ID",IF(COUNTIF('Gate events'!$A$4:$A$553,B445)=0,"Event ID not found",IF(INDEX('Gate events'!$B$4:$B$553,MATCH(B445,'Gate events'!$A$4:$A$553,0))&lt;&gt;C445,"AIR-ID differs from event",IF(IF(INDEX('Gate events'!$P$4:$P$553,MATCH(B445,'Gate events'!$A$4:$A$553,0))="UC-ID specific",IF(OR(L445&lt;&gt;"UC-ID specific",K445=""),"Condition UC-ID required",IF(ISNUMBER(SEARCH(","&amp;SUBSTITUTE(K445," ","")&amp;",",","&amp;SUBSTITUTE(INDEX('Gate events'!$O$4:$O$553,MATCH(B445,'Gate events'!$A$4:$A$553,0))," ","")&amp;",")),"","UC-ID differs from decision")),IF(INDEX('Gate events'!$P$4:$P$553,MATCH(B445,'Gate events'!$A$4:$A$553,0))="Shared system baseline",IF(OR(L445&lt;&gt;"Shared system baseline",K445&lt;&gt;""),"Condition scope differs from decision",""),"Parent decision scope missing"))&lt;&gt;"",IF(INDEX('Gate events'!$P$4:$P$553,MATCH(B445,'Gate events'!$A$4:$A$553,0))="UC-ID specific",IF(OR(L445&lt;&gt;"UC-ID specific",K445=""),"Condition UC-ID required",IF(ISNUMBER(SEARCH(","&amp;SUBSTITUTE(K445," ","")&amp;",",","&amp;SUBSTITUTE(INDEX('Gate events'!$O$4:$O$553,MATCH(B445,'Gate events'!$A$4:$A$553,0))," ","")&amp;",")),"","UC-ID differs from decision")),IF(INDEX('Gate events'!$P$4:$P$553,MATCH(B445,'Gate events'!$A$4:$A$553,0))="Shared system baseline",IF(OR(L445&lt;&gt;"Shared system baseline",K445&lt;&gt;""),"Condition scope differs from decision",""),"Parent decision scope missing")),IF(OR(D445="",E445="",F445="",G445=""),"Condition, owner, due date or state missing",IF(NOT(ISNUMBER(F445)),"Due date is not a date",IF(OR(G445="Overdue",G445="Superseded"),"Legacy state — owner review (use the shared five states)",IF(INDEX('Gate events'!$E$4:$E$553,MATCH(B445,'Gate events'!$A$4:$A$553,0))&lt;&gt;"Decision","Parent event is not a Decision",IF(AND(INDEX('Gate events'!$G$4:$G$553,MATCH(B445,'Gate events'!$A$4:$A$553,0))&lt;&gt;"Progress with condition",INDEX('Gate events'!$G$4:$G$553,MATCH(B445,'Gate events'!$A$4:$A$553,0))&lt;&gt;"Re-authorise",INDEX('Gate events'!$G$4:$G$553,MATCH(B445,'Gate events'!$A$4:$A$553,0))&lt;&gt;"Resume"),"Parent outcome is not Progress with condition / Re-authorise / Resume",IF(AND(ISNUMBER(INDEX('Gate events'!$F$4:$F$553,MATCH(B445,'Gate events'!$A$4:$A$553,0))),F445&lt;INDEX('Gate events'!$F$4:$F$553,MATCH(B445,'Gate events'!$A$4:$A$553,0))),"Due date before parent event date",IF(AND(OR(G445="Closed-verified",G445="Waived",G445="Accepted-open"),OR(H445="",I445="")),"Closure evidence missing",IF(AND(H445&lt;&gt;"",NOT(ISNUMBER(H445))),"Closed / waived on is not a date",IF(AND(ISNUMBER(H445),ISNUMBER(INDEX('Gate events'!$F$4:$F$553,MATCH(B445,'Gate events'!$A$4:$A$553,0))),H445&lt;INDEX('Gate events'!$F$4:$F$553,MATCH(B445,'Gate events'!$A$4:$A$553,0))),"Closure date before parent event date",IF(AND(G445="Closed-verified",M445=""),"Verifier / date missing",IF(AND(N445="Yes",G445="Closed-verified",O445=""),"Monitoring condition needs AIG-OPS-02 evidence ref",IF(AND(G445="Open",F445&lt;TODAY()),"OVERDUE (derived) — review",IF(G445="Unknown","State Unknown: owner to confirm","Check against source")))))))))))))))))))</f>
        <v/>
      </c>
      <c r="K445" s="37" t="n"/>
      <c r="L445" s="37" t="n"/>
      <c r="M445" s="40" t="n"/>
      <c r="N445" s="40" t="n"/>
      <c r="O445" s="40" t="n"/>
    </row>
    <row r="446">
      <c r="A446" s="38" t="n"/>
      <c r="B446" s="38" t="n"/>
      <c r="C446" s="38" t="n"/>
      <c r="D446" s="38" t="n"/>
      <c r="E446" s="38" t="n"/>
      <c r="F446" s="39" t="n"/>
      <c r="G446" s="38" t="n"/>
      <c r="H446" s="39" t="n"/>
      <c r="I446" s="38" t="n"/>
      <c r="J446" s="22">
        <f>IF(COUNTA(A446:I446,K446:O446)=0,"",IF(OR(A446="",B446="",C446=""),"ID / parent missing",IF(COUNTIF($A$4:$A$553,A446)&gt;1,"Duplicate condition ID",IF(COUNTIF('Gate events'!$A$4:$A$553,B446)=0,"Event ID not found",IF(INDEX('Gate events'!$B$4:$B$553,MATCH(B446,'Gate events'!$A$4:$A$553,0))&lt;&gt;C446,"AIR-ID differs from event",IF(IF(INDEX('Gate events'!$P$4:$P$553,MATCH(B446,'Gate events'!$A$4:$A$553,0))="UC-ID specific",IF(OR(L446&lt;&gt;"UC-ID specific",K446=""),"Condition UC-ID required",IF(ISNUMBER(SEARCH(","&amp;SUBSTITUTE(K446," ","")&amp;",",","&amp;SUBSTITUTE(INDEX('Gate events'!$O$4:$O$553,MATCH(B446,'Gate events'!$A$4:$A$553,0))," ","")&amp;",")),"","UC-ID differs from decision")),IF(INDEX('Gate events'!$P$4:$P$553,MATCH(B446,'Gate events'!$A$4:$A$553,0))="Shared system baseline",IF(OR(L446&lt;&gt;"Shared system baseline",K446&lt;&gt;""),"Condition scope differs from decision",""),"Parent decision scope missing"))&lt;&gt;"",IF(INDEX('Gate events'!$P$4:$P$553,MATCH(B446,'Gate events'!$A$4:$A$553,0))="UC-ID specific",IF(OR(L446&lt;&gt;"UC-ID specific",K446=""),"Condition UC-ID required",IF(ISNUMBER(SEARCH(","&amp;SUBSTITUTE(K446," ","")&amp;",",","&amp;SUBSTITUTE(INDEX('Gate events'!$O$4:$O$553,MATCH(B446,'Gate events'!$A$4:$A$553,0))," ","")&amp;",")),"","UC-ID differs from decision")),IF(INDEX('Gate events'!$P$4:$P$553,MATCH(B446,'Gate events'!$A$4:$A$553,0))="Shared system baseline",IF(OR(L446&lt;&gt;"Shared system baseline",K446&lt;&gt;""),"Condition scope differs from decision",""),"Parent decision scope missing")),IF(OR(D446="",E446="",F446="",G446=""),"Condition, owner, due date or state missing",IF(NOT(ISNUMBER(F446)),"Due date is not a date",IF(OR(G446="Overdue",G446="Superseded"),"Legacy state — owner review (use the shared five states)",IF(INDEX('Gate events'!$E$4:$E$553,MATCH(B446,'Gate events'!$A$4:$A$553,0))&lt;&gt;"Decision","Parent event is not a Decision",IF(AND(INDEX('Gate events'!$G$4:$G$553,MATCH(B446,'Gate events'!$A$4:$A$553,0))&lt;&gt;"Progress with condition",INDEX('Gate events'!$G$4:$G$553,MATCH(B446,'Gate events'!$A$4:$A$553,0))&lt;&gt;"Re-authorise",INDEX('Gate events'!$G$4:$G$553,MATCH(B446,'Gate events'!$A$4:$A$553,0))&lt;&gt;"Resume"),"Parent outcome is not Progress with condition / Re-authorise / Resume",IF(AND(ISNUMBER(INDEX('Gate events'!$F$4:$F$553,MATCH(B446,'Gate events'!$A$4:$A$553,0))),F446&lt;INDEX('Gate events'!$F$4:$F$553,MATCH(B446,'Gate events'!$A$4:$A$553,0))),"Due date before parent event date",IF(AND(OR(G446="Closed-verified",G446="Waived",G446="Accepted-open"),OR(H446="",I446="")),"Closure evidence missing",IF(AND(H446&lt;&gt;"",NOT(ISNUMBER(H446))),"Closed / waived on is not a date",IF(AND(ISNUMBER(H446),ISNUMBER(INDEX('Gate events'!$F$4:$F$553,MATCH(B446,'Gate events'!$A$4:$A$553,0))),H446&lt;INDEX('Gate events'!$F$4:$F$553,MATCH(B446,'Gate events'!$A$4:$A$553,0))),"Closure date before parent event date",IF(AND(G446="Closed-verified",M446=""),"Verifier / date missing",IF(AND(N446="Yes",G446="Closed-verified",O446=""),"Monitoring condition needs AIG-OPS-02 evidence ref",IF(AND(G446="Open",F446&lt;TODAY()),"OVERDUE (derived) — review",IF(G446="Unknown","State Unknown: owner to confirm","Check against source")))))))))))))))))))</f>
        <v/>
      </c>
      <c r="K446" s="37" t="n"/>
      <c r="L446" s="37" t="n"/>
      <c r="M446" s="38" t="n"/>
      <c r="N446" s="38" t="n"/>
      <c r="O446" s="38" t="n"/>
    </row>
    <row r="447">
      <c r="A447" s="40" t="n"/>
      <c r="B447" s="40" t="n"/>
      <c r="C447" s="40" t="n"/>
      <c r="D447" s="40" t="n"/>
      <c r="E447" s="40" t="n"/>
      <c r="F447" s="41" t="n"/>
      <c r="G447" s="40" t="n"/>
      <c r="H447" s="41" t="n"/>
      <c r="I447" s="40" t="n"/>
      <c r="J447" s="24">
        <f>IF(COUNTA(A447:I447,K447:O447)=0,"",IF(OR(A447="",B447="",C447=""),"ID / parent missing",IF(COUNTIF($A$4:$A$553,A447)&gt;1,"Duplicate condition ID",IF(COUNTIF('Gate events'!$A$4:$A$553,B447)=0,"Event ID not found",IF(INDEX('Gate events'!$B$4:$B$553,MATCH(B447,'Gate events'!$A$4:$A$553,0))&lt;&gt;C447,"AIR-ID differs from event",IF(IF(INDEX('Gate events'!$P$4:$P$553,MATCH(B447,'Gate events'!$A$4:$A$553,0))="UC-ID specific",IF(OR(L447&lt;&gt;"UC-ID specific",K447=""),"Condition UC-ID required",IF(ISNUMBER(SEARCH(","&amp;SUBSTITUTE(K447," ","")&amp;",",","&amp;SUBSTITUTE(INDEX('Gate events'!$O$4:$O$553,MATCH(B447,'Gate events'!$A$4:$A$553,0))," ","")&amp;",")),"","UC-ID differs from decision")),IF(INDEX('Gate events'!$P$4:$P$553,MATCH(B447,'Gate events'!$A$4:$A$553,0))="Shared system baseline",IF(OR(L447&lt;&gt;"Shared system baseline",K447&lt;&gt;""),"Condition scope differs from decision",""),"Parent decision scope missing"))&lt;&gt;"",IF(INDEX('Gate events'!$P$4:$P$553,MATCH(B447,'Gate events'!$A$4:$A$553,0))="UC-ID specific",IF(OR(L447&lt;&gt;"UC-ID specific",K447=""),"Condition UC-ID required",IF(ISNUMBER(SEARCH(","&amp;SUBSTITUTE(K447," ","")&amp;",",","&amp;SUBSTITUTE(INDEX('Gate events'!$O$4:$O$553,MATCH(B447,'Gate events'!$A$4:$A$553,0))," ","")&amp;",")),"","UC-ID differs from decision")),IF(INDEX('Gate events'!$P$4:$P$553,MATCH(B447,'Gate events'!$A$4:$A$553,0))="Shared system baseline",IF(OR(L447&lt;&gt;"Shared system baseline",K447&lt;&gt;""),"Condition scope differs from decision",""),"Parent decision scope missing")),IF(OR(D447="",E447="",F447="",G447=""),"Condition, owner, due date or state missing",IF(NOT(ISNUMBER(F447)),"Due date is not a date",IF(OR(G447="Overdue",G447="Superseded"),"Legacy state — owner review (use the shared five states)",IF(INDEX('Gate events'!$E$4:$E$553,MATCH(B447,'Gate events'!$A$4:$A$553,0))&lt;&gt;"Decision","Parent event is not a Decision",IF(AND(INDEX('Gate events'!$G$4:$G$553,MATCH(B447,'Gate events'!$A$4:$A$553,0))&lt;&gt;"Progress with condition",INDEX('Gate events'!$G$4:$G$553,MATCH(B447,'Gate events'!$A$4:$A$553,0))&lt;&gt;"Re-authorise",INDEX('Gate events'!$G$4:$G$553,MATCH(B447,'Gate events'!$A$4:$A$553,0))&lt;&gt;"Resume"),"Parent outcome is not Progress with condition / Re-authorise / Resume",IF(AND(ISNUMBER(INDEX('Gate events'!$F$4:$F$553,MATCH(B447,'Gate events'!$A$4:$A$553,0))),F447&lt;INDEX('Gate events'!$F$4:$F$553,MATCH(B447,'Gate events'!$A$4:$A$553,0))),"Due date before parent event date",IF(AND(OR(G447="Closed-verified",G447="Waived",G447="Accepted-open"),OR(H447="",I447="")),"Closure evidence missing",IF(AND(H447&lt;&gt;"",NOT(ISNUMBER(H447))),"Closed / waived on is not a date",IF(AND(ISNUMBER(H447),ISNUMBER(INDEX('Gate events'!$F$4:$F$553,MATCH(B447,'Gate events'!$A$4:$A$553,0))),H447&lt;INDEX('Gate events'!$F$4:$F$553,MATCH(B447,'Gate events'!$A$4:$A$553,0))),"Closure date before parent event date",IF(AND(G447="Closed-verified",M447=""),"Verifier / date missing",IF(AND(N447="Yes",G447="Closed-verified",O447=""),"Monitoring condition needs AIG-OPS-02 evidence ref",IF(AND(G447="Open",F447&lt;TODAY()),"OVERDUE (derived) — review",IF(G447="Unknown","State Unknown: owner to confirm","Check against source")))))))))))))))))))</f>
        <v/>
      </c>
      <c r="K447" s="37" t="n"/>
      <c r="L447" s="37" t="n"/>
      <c r="M447" s="40" t="n"/>
      <c r="N447" s="40" t="n"/>
      <c r="O447" s="40" t="n"/>
    </row>
    <row r="448">
      <c r="A448" s="38" t="n"/>
      <c r="B448" s="38" t="n"/>
      <c r="C448" s="38" t="n"/>
      <c r="D448" s="38" t="n"/>
      <c r="E448" s="38" t="n"/>
      <c r="F448" s="39" t="n"/>
      <c r="G448" s="38" t="n"/>
      <c r="H448" s="39" t="n"/>
      <c r="I448" s="38" t="n"/>
      <c r="J448" s="22">
        <f>IF(COUNTA(A448:I448,K448:O448)=0,"",IF(OR(A448="",B448="",C448=""),"ID / parent missing",IF(COUNTIF($A$4:$A$553,A448)&gt;1,"Duplicate condition ID",IF(COUNTIF('Gate events'!$A$4:$A$553,B448)=0,"Event ID not found",IF(INDEX('Gate events'!$B$4:$B$553,MATCH(B448,'Gate events'!$A$4:$A$553,0))&lt;&gt;C448,"AIR-ID differs from event",IF(IF(INDEX('Gate events'!$P$4:$P$553,MATCH(B448,'Gate events'!$A$4:$A$553,0))="UC-ID specific",IF(OR(L448&lt;&gt;"UC-ID specific",K448=""),"Condition UC-ID required",IF(ISNUMBER(SEARCH(","&amp;SUBSTITUTE(K448," ","")&amp;",",","&amp;SUBSTITUTE(INDEX('Gate events'!$O$4:$O$553,MATCH(B448,'Gate events'!$A$4:$A$553,0))," ","")&amp;",")),"","UC-ID differs from decision")),IF(INDEX('Gate events'!$P$4:$P$553,MATCH(B448,'Gate events'!$A$4:$A$553,0))="Shared system baseline",IF(OR(L448&lt;&gt;"Shared system baseline",K448&lt;&gt;""),"Condition scope differs from decision",""),"Parent decision scope missing"))&lt;&gt;"",IF(INDEX('Gate events'!$P$4:$P$553,MATCH(B448,'Gate events'!$A$4:$A$553,0))="UC-ID specific",IF(OR(L448&lt;&gt;"UC-ID specific",K448=""),"Condition UC-ID required",IF(ISNUMBER(SEARCH(","&amp;SUBSTITUTE(K448," ","")&amp;",",","&amp;SUBSTITUTE(INDEX('Gate events'!$O$4:$O$553,MATCH(B448,'Gate events'!$A$4:$A$553,0))," ","")&amp;",")),"","UC-ID differs from decision")),IF(INDEX('Gate events'!$P$4:$P$553,MATCH(B448,'Gate events'!$A$4:$A$553,0))="Shared system baseline",IF(OR(L448&lt;&gt;"Shared system baseline",K448&lt;&gt;""),"Condition scope differs from decision",""),"Parent decision scope missing")),IF(OR(D448="",E448="",F448="",G448=""),"Condition, owner, due date or state missing",IF(NOT(ISNUMBER(F448)),"Due date is not a date",IF(OR(G448="Overdue",G448="Superseded"),"Legacy state — owner review (use the shared five states)",IF(INDEX('Gate events'!$E$4:$E$553,MATCH(B448,'Gate events'!$A$4:$A$553,0))&lt;&gt;"Decision","Parent event is not a Decision",IF(AND(INDEX('Gate events'!$G$4:$G$553,MATCH(B448,'Gate events'!$A$4:$A$553,0))&lt;&gt;"Progress with condition",INDEX('Gate events'!$G$4:$G$553,MATCH(B448,'Gate events'!$A$4:$A$553,0))&lt;&gt;"Re-authorise",INDEX('Gate events'!$G$4:$G$553,MATCH(B448,'Gate events'!$A$4:$A$553,0))&lt;&gt;"Resume"),"Parent outcome is not Progress with condition / Re-authorise / Resume",IF(AND(ISNUMBER(INDEX('Gate events'!$F$4:$F$553,MATCH(B448,'Gate events'!$A$4:$A$553,0))),F448&lt;INDEX('Gate events'!$F$4:$F$553,MATCH(B448,'Gate events'!$A$4:$A$553,0))),"Due date before parent event date",IF(AND(OR(G448="Closed-verified",G448="Waived",G448="Accepted-open"),OR(H448="",I448="")),"Closure evidence missing",IF(AND(H448&lt;&gt;"",NOT(ISNUMBER(H448))),"Closed / waived on is not a date",IF(AND(ISNUMBER(H448),ISNUMBER(INDEX('Gate events'!$F$4:$F$553,MATCH(B448,'Gate events'!$A$4:$A$553,0))),H448&lt;INDEX('Gate events'!$F$4:$F$553,MATCH(B448,'Gate events'!$A$4:$A$553,0))),"Closure date before parent event date",IF(AND(G448="Closed-verified",M448=""),"Verifier / date missing",IF(AND(N448="Yes",G448="Closed-verified",O448=""),"Monitoring condition needs AIG-OPS-02 evidence ref",IF(AND(G448="Open",F448&lt;TODAY()),"OVERDUE (derived) — review",IF(G448="Unknown","State Unknown: owner to confirm","Check against source")))))))))))))))))))</f>
        <v/>
      </c>
      <c r="K448" s="37" t="n"/>
      <c r="L448" s="37" t="n"/>
      <c r="M448" s="38" t="n"/>
      <c r="N448" s="38" t="n"/>
      <c r="O448" s="38" t="n"/>
    </row>
    <row r="449">
      <c r="A449" s="40" t="n"/>
      <c r="B449" s="40" t="n"/>
      <c r="C449" s="40" t="n"/>
      <c r="D449" s="40" t="n"/>
      <c r="E449" s="40" t="n"/>
      <c r="F449" s="41" t="n"/>
      <c r="G449" s="40" t="n"/>
      <c r="H449" s="41" t="n"/>
      <c r="I449" s="40" t="n"/>
      <c r="J449" s="24">
        <f>IF(COUNTA(A449:I449,K449:O449)=0,"",IF(OR(A449="",B449="",C449=""),"ID / parent missing",IF(COUNTIF($A$4:$A$553,A449)&gt;1,"Duplicate condition ID",IF(COUNTIF('Gate events'!$A$4:$A$553,B449)=0,"Event ID not found",IF(INDEX('Gate events'!$B$4:$B$553,MATCH(B449,'Gate events'!$A$4:$A$553,0))&lt;&gt;C449,"AIR-ID differs from event",IF(IF(INDEX('Gate events'!$P$4:$P$553,MATCH(B449,'Gate events'!$A$4:$A$553,0))="UC-ID specific",IF(OR(L449&lt;&gt;"UC-ID specific",K449=""),"Condition UC-ID required",IF(ISNUMBER(SEARCH(","&amp;SUBSTITUTE(K449," ","")&amp;",",","&amp;SUBSTITUTE(INDEX('Gate events'!$O$4:$O$553,MATCH(B449,'Gate events'!$A$4:$A$553,0))," ","")&amp;",")),"","UC-ID differs from decision")),IF(INDEX('Gate events'!$P$4:$P$553,MATCH(B449,'Gate events'!$A$4:$A$553,0))="Shared system baseline",IF(OR(L449&lt;&gt;"Shared system baseline",K449&lt;&gt;""),"Condition scope differs from decision",""),"Parent decision scope missing"))&lt;&gt;"",IF(INDEX('Gate events'!$P$4:$P$553,MATCH(B449,'Gate events'!$A$4:$A$553,0))="UC-ID specific",IF(OR(L449&lt;&gt;"UC-ID specific",K449=""),"Condition UC-ID required",IF(ISNUMBER(SEARCH(","&amp;SUBSTITUTE(K449," ","")&amp;",",","&amp;SUBSTITUTE(INDEX('Gate events'!$O$4:$O$553,MATCH(B449,'Gate events'!$A$4:$A$553,0))," ","")&amp;",")),"","UC-ID differs from decision")),IF(INDEX('Gate events'!$P$4:$P$553,MATCH(B449,'Gate events'!$A$4:$A$553,0))="Shared system baseline",IF(OR(L449&lt;&gt;"Shared system baseline",K449&lt;&gt;""),"Condition scope differs from decision",""),"Parent decision scope missing")),IF(OR(D449="",E449="",F449="",G449=""),"Condition, owner, due date or state missing",IF(NOT(ISNUMBER(F449)),"Due date is not a date",IF(OR(G449="Overdue",G449="Superseded"),"Legacy state — owner review (use the shared five states)",IF(INDEX('Gate events'!$E$4:$E$553,MATCH(B449,'Gate events'!$A$4:$A$553,0))&lt;&gt;"Decision","Parent event is not a Decision",IF(AND(INDEX('Gate events'!$G$4:$G$553,MATCH(B449,'Gate events'!$A$4:$A$553,0))&lt;&gt;"Progress with condition",INDEX('Gate events'!$G$4:$G$553,MATCH(B449,'Gate events'!$A$4:$A$553,0))&lt;&gt;"Re-authorise",INDEX('Gate events'!$G$4:$G$553,MATCH(B449,'Gate events'!$A$4:$A$553,0))&lt;&gt;"Resume"),"Parent outcome is not Progress with condition / Re-authorise / Resume",IF(AND(ISNUMBER(INDEX('Gate events'!$F$4:$F$553,MATCH(B449,'Gate events'!$A$4:$A$553,0))),F449&lt;INDEX('Gate events'!$F$4:$F$553,MATCH(B449,'Gate events'!$A$4:$A$553,0))),"Due date before parent event date",IF(AND(OR(G449="Closed-verified",G449="Waived",G449="Accepted-open"),OR(H449="",I449="")),"Closure evidence missing",IF(AND(H449&lt;&gt;"",NOT(ISNUMBER(H449))),"Closed / waived on is not a date",IF(AND(ISNUMBER(H449),ISNUMBER(INDEX('Gate events'!$F$4:$F$553,MATCH(B449,'Gate events'!$A$4:$A$553,0))),H449&lt;INDEX('Gate events'!$F$4:$F$553,MATCH(B449,'Gate events'!$A$4:$A$553,0))),"Closure date before parent event date",IF(AND(G449="Closed-verified",M449=""),"Verifier / date missing",IF(AND(N449="Yes",G449="Closed-verified",O449=""),"Monitoring condition needs AIG-OPS-02 evidence ref",IF(AND(G449="Open",F449&lt;TODAY()),"OVERDUE (derived) — review",IF(G449="Unknown","State Unknown: owner to confirm","Check against source")))))))))))))))))))</f>
        <v/>
      </c>
      <c r="K449" s="37" t="n"/>
      <c r="L449" s="37" t="n"/>
      <c r="M449" s="40" t="n"/>
      <c r="N449" s="40" t="n"/>
      <c r="O449" s="40" t="n"/>
    </row>
    <row r="450">
      <c r="A450" s="38" t="n"/>
      <c r="B450" s="38" t="n"/>
      <c r="C450" s="38" t="n"/>
      <c r="D450" s="38" t="n"/>
      <c r="E450" s="38" t="n"/>
      <c r="F450" s="39" t="n"/>
      <c r="G450" s="38" t="n"/>
      <c r="H450" s="39" t="n"/>
      <c r="I450" s="38" t="n"/>
      <c r="J450" s="22">
        <f>IF(COUNTA(A450:I450,K450:O450)=0,"",IF(OR(A450="",B450="",C450=""),"ID / parent missing",IF(COUNTIF($A$4:$A$553,A450)&gt;1,"Duplicate condition ID",IF(COUNTIF('Gate events'!$A$4:$A$553,B450)=0,"Event ID not found",IF(INDEX('Gate events'!$B$4:$B$553,MATCH(B450,'Gate events'!$A$4:$A$553,0))&lt;&gt;C450,"AIR-ID differs from event",IF(IF(INDEX('Gate events'!$P$4:$P$553,MATCH(B450,'Gate events'!$A$4:$A$553,0))="UC-ID specific",IF(OR(L450&lt;&gt;"UC-ID specific",K450=""),"Condition UC-ID required",IF(ISNUMBER(SEARCH(","&amp;SUBSTITUTE(K450," ","")&amp;",",","&amp;SUBSTITUTE(INDEX('Gate events'!$O$4:$O$553,MATCH(B450,'Gate events'!$A$4:$A$553,0))," ","")&amp;",")),"","UC-ID differs from decision")),IF(INDEX('Gate events'!$P$4:$P$553,MATCH(B450,'Gate events'!$A$4:$A$553,0))="Shared system baseline",IF(OR(L450&lt;&gt;"Shared system baseline",K450&lt;&gt;""),"Condition scope differs from decision",""),"Parent decision scope missing"))&lt;&gt;"",IF(INDEX('Gate events'!$P$4:$P$553,MATCH(B450,'Gate events'!$A$4:$A$553,0))="UC-ID specific",IF(OR(L450&lt;&gt;"UC-ID specific",K450=""),"Condition UC-ID required",IF(ISNUMBER(SEARCH(","&amp;SUBSTITUTE(K450," ","")&amp;",",","&amp;SUBSTITUTE(INDEX('Gate events'!$O$4:$O$553,MATCH(B450,'Gate events'!$A$4:$A$553,0))," ","")&amp;",")),"","UC-ID differs from decision")),IF(INDEX('Gate events'!$P$4:$P$553,MATCH(B450,'Gate events'!$A$4:$A$553,0))="Shared system baseline",IF(OR(L450&lt;&gt;"Shared system baseline",K450&lt;&gt;""),"Condition scope differs from decision",""),"Parent decision scope missing")),IF(OR(D450="",E450="",F450="",G450=""),"Condition, owner, due date or state missing",IF(NOT(ISNUMBER(F450)),"Due date is not a date",IF(OR(G450="Overdue",G450="Superseded"),"Legacy state — owner review (use the shared five states)",IF(INDEX('Gate events'!$E$4:$E$553,MATCH(B450,'Gate events'!$A$4:$A$553,0))&lt;&gt;"Decision","Parent event is not a Decision",IF(AND(INDEX('Gate events'!$G$4:$G$553,MATCH(B450,'Gate events'!$A$4:$A$553,0))&lt;&gt;"Progress with condition",INDEX('Gate events'!$G$4:$G$553,MATCH(B450,'Gate events'!$A$4:$A$553,0))&lt;&gt;"Re-authorise",INDEX('Gate events'!$G$4:$G$553,MATCH(B450,'Gate events'!$A$4:$A$553,0))&lt;&gt;"Resume"),"Parent outcome is not Progress with condition / Re-authorise / Resume",IF(AND(ISNUMBER(INDEX('Gate events'!$F$4:$F$553,MATCH(B450,'Gate events'!$A$4:$A$553,0))),F450&lt;INDEX('Gate events'!$F$4:$F$553,MATCH(B450,'Gate events'!$A$4:$A$553,0))),"Due date before parent event date",IF(AND(OR(G450="Closed-verified",G450="Waived",G450="Accepted-open"),OR(H450="",I450="")),"Closure evidence missing",IF(AND(H450&lt;&gt;"",NOT(ISNUMBER(H450))),"Closed / waived on is not a date",IF(AND(ISNUMBER(H450),ISNUMBER(INDEX('Gate events'!$F$4:$F$553,MATCH(B450,'Gate events'!$A$4:$A$553,0))),H450&lt;INDEX('Gate events'!$F$4:$F$553,MATCH(B450,'Gate events'!$A$4:$A$553,0))),"Closure date before parent event date",IF(AND(G450="Closed-verified",M450=""),"Verifier / date missing",IF(AND(N450="Yes",G450="Closed-verified",O450=""),"Monitoring condition needs AIG-OPS-02 evidence ref",IF(AND(G450="Open",F450&lt;TODAY()),"OVERDUE (derived) — review",IF(G450="Unknown","State Unknown: owner to confirm","Check against source")))))))))))))))))))</f>
        <v/>
      </c>
      <c r="K450" s="37" t="n"/>
      <c r="L450" s="37" t="n"/>
      <c r="M450" s="38" t="n"/>
      <c r="N450" s="38" t="n"/>
      <c r="O450" s="38" t="n"/>
    </row>
    <row r="451">
      <c r="A451" s="40" t="n"/>
      <c r="B451" s="40" t="n"/>
      <c r="C451" s="40" t="n"/>
      <c r="D451" s="40" t="n"/>
      <c r="E451" s="40" t="n"/>
      <c r="F451" s="41" t="n"/>
      <c r="G451" s="40" t="n"/>
      <c r="H451" s="41" t="n"/>
      <c r="I451" s="40" t="n"/>
      <c r="J451" s="24">
        <f>IF(COUNTA(A451:I451,K451:O451)=0,"",IF(OR(A451="",B451="",C451=""),"ID / parent missing",IF(COUNTIF($A$4:$A$553,A451)&gt;1,"Duplicate condition ID",IF(COUNTIF('Gate events'!$A$4:$A$553,B451)=0,"Event ID not found",IF(INDEX('Gate events'!$B$4:$B$553,MATCH(B451,'Gate events'!$A$4:$A$553,0))&lt;&gt;C451,"AIR-ID differs from event",IF(IF(INDEX('Gate events'!$P$4:$P$553,MATCH(B451,'Gate events'!$A$4:$A$553,0))="UC-ID specific",IF(OR(L451&lt;&gt;"UC-ID specific",K451=""),"Condition UC-ID required",IF(ISNUMBER(SEARCH(","&amp;SUBSTITUTE(K451," ","")&amp;",",","&amp;SUBSTITUTE(INDEX('Gate events'!$O$4:$O$553,MATCH(B451,'Gate events'!$A$4:$A$553,0))," ","")&amp;",")),"","UC-ID differs from decision")),IF(INDEX('Gate events'!$P$4:$P$553,MATCH(B451,'Gate events'!$A$4:$A$553,0))="Shared system baseline",IF(OR(L451&lt;&gt;"Shared system baseline",K451&lt;&gt;""),"Condition scope differs from decision",""),"Parent decision scope missing"))&lt;&gt;"",IF(INDEX('Gate events'!$P$4:$P$553,MATCH(B451,'Gate events'!$A$4:$A$553,0))="UC-ID specific",IF(OR(L451&lt;&gt;"UC-ID specific",K451=""),"Condition UC-ID required",IF(ISNUMBER(SEARCH(","&amp;SUBSTITUTE(K451," ","")&amp;",",","&amp;SUBSTITUTE(INDEX('Gate events'!$O$4:$O$553,MATCH(B451,'Gate events'!$A$4:$A$553,0))," ","")&amp;",")),"","UC-ID differs from decision")),IF(INDEX('Gate events'!$P$4:$P$553,MATCH(B451,'Gate events'!$A$4:$A$553,0))="Shared system baseline",IF(OR(L451&lt;&gt;"Shared system baseline",K451&lt;&gt;""),"Condition scope differs from decision",""),"Parent decision scope missing")),IF(OR(D451="",E451="",F451="",G451=""),"Condition, owner, due date or state missing",IF(NOT(ISNUMBER(F451)),"Due date is not a date",IF(OR(G451="Overdue",G451="Superseded"),"Legacy state — owner review (use the shared five states)",IF(INDEX('Gate events'!$E$4:$E$553,MATCH(B451,'Gate events'!$A$4:$A$553,0))&lt;&gt;"Decision","Parent event is not a Decision",IF(AND(INDEX('Gate events'!$G$4:$G$553,MATCH(B451,'Gate events'!$A$4:$A$553,0))&lt;&gt;"Progress with condition",INDEX('Gate events'!$G$4:$G$553,MATCH(B451,'Gate events'!$A$4:$A$553,0))&lt;&gt;"Re-authorise",INDEX('Gate events'!$G$4:$G$553,MATCH(B451,'Gate events'!$A$4:$A$553,0))&lt;&gt;"Resume"),"Parent outcome is not Progress with condition / Re-authorise / Resume",IF(AND(ISNUMBER(INDEX('Gate events'!$F$4:$F$553,MATCH(B451,'Gate events'!$A$4:$A$553,0))),F451&lt;INDEX('Gate events'!$F$4:$F$553,MATCH(B451,'Gate events'!$A$4:$A$553,0))),"Due date before parent event date",IF(AND(OR(G451="Closed-verified",G451="Waived",G451="Accepted-open"),OR(H451="",I451="")),"Closure evidence missing",IF(AND(H451&lt;&gt;"",NOT(ISNUMBER(H451))),"Closed / waived on is not a date",IF(AND(ISNUMBER(H451),ISNUMBER(INDEX('Gate events'!$F$4:$F$553,MATCH(B451,'Gate events'!$A$4:$A$553,0))),H451&lt;INDEX('Gate events'!$F$4:$F$553,MATCH(B451,'Gate events'!$A$4:$A$553,0))),"Closure date before parent event date",IF(AND(G451="Closed-verified",M451=""),"Verifier / date missing",IF(AND(N451="Yes",G451="Closed-verified",O451=""),"Monitoring condition needs AIG-OPS-02 evidence ref",IF(AND(G451="Open",F451&lt;TODAY()),"OVERDUE (derived) — review",IF(G451="Unknown","State Unknown: owner to confirm","Check against source")))))))))))))))))))</f>
        <v/>
      </c>
      <c r="K451" s="37" t="n"/>
      <c r="L451" s="37" t="n"/>
      <c r="M451" s="40" t="n"/>
      <c r="N451" s="40" t="n"/>
      <c r="O451" s="40" t="n"/>
    </row>
    <row r="452">
      <c r="A452" s="38" t="n"/>
      <c r="B452" s="38" t="n"/>
      <c r="C452" s="38" t="n"/>
      <c r="D452" s="38" t="n"/>
      <c r="E452" s="38" t="n"/>
      <c r="F452" s="39" t="n"/>
      <c r="G452" s="38" t="n"/>
      <c r="H452" s="39" t="n"/>
      <c r="I452" s="38" t="n"/>
      <c r="J452" s="22">
        <f>IF(COUNTA(A452:I452,K452:O452)=0,"",IF(OR(A452="",B452="",C452=""),"ID / parent missing",IF(COUNTIF($A$4:$A$553,A452)&gt;1,"Duplicate condition ID",IF(COUNTIF('Gate events'!$A$4:$A$553,B452)=0,"Event ID not found",IF(INDEX('Gate events'!$B$4:$B$553,MATCH(B452,'Gate events'!$A$4:$A$553,0))&lt;&gt;C452,"AIR-ID differs from event",IF(IF(INDEX('Gate events'!$P$4:$P$553,MATCH(B452,'Gate events'!$A$4:$A$553,0))="UC-ID specific",IF(OR(L452&lt;&gt;"UC-ID specific",K452=""),"Condition UC-ID required",IF(ISNUMBER(SEARCH(","&amp;SUBSTITUTE(K452," ","")&amp;",",","&amp;SUBSTITUTE(INDEX('Gate events'!$O$4:$O$553,MATCH(B452,'Gate events'!$A$4:$A$553,0))," ","")&amp;",")),"","UC-ID differs from decision")),IF(INDEX('Gate events'!$P$4:$P$553,MATCH(B452,'Gate events'!$A$4:$A$553,0))="Shared system baseline",IF(OR(L452&lt;&gt;"Shared system baseline",K452&lt;&gt;""),"Condition scope differs from decision",""),"Parent decision scope missing"))&lt;&gt;"",IF(INDEX('Gate events'!$P$4:$P$553,MATCH(B452,'Gate events'!$A$4:$A$553,0))="UC-ID specific",IF(OR(L452&lt;&gt;"UC-ID specific",K452=""),"Condition UC-ID required",IF(ISNUMBER(SEARCH(","&amp;SUBSTITUTE(K452," ","")&amp;",",","&amp;SUBSTITUTE(INDEX('Gate events'!$O$4:$O$553,MATCH(B452,'Gate events'!$A$4:$A$553,0))," ","")&amp;",")),"","UC-ID differs from decision")),IF(INDEX('Gate events'!$P$4:$P$553,MATCH(B452,'Gate events'!$A$4:$A$553,0))="Shared system baseline",IF(OR(L452&lt;&gt;"Shared system baseline",K452&lt;&gt;""),"Condition scope differs from decision",""),"Parent decision scope missing")),IF(OR(D452="",E452="",F452="",G452=""),"Condition, owner, due date or state missing",IF(NOT(ISNUMBER(F452)),"Due date is not a date",IF(OR(G452="Overdue",G452="Superseded"),"Legacy state — owner review (use the shared five states)",IF(INDEX('Gate events'!$E$4:$E$553,MATCH(B452,'Gate events'!$A$4:$A$553,0))&lt;&gt;"Decision","Parent event is not a Decision",IF(AND(INDEX('Gate events'!$G$4:$G$553,MATCH(B452,'Gate events'!$A$4:$A$553,0))&lt;&gt;"Progress with condition",INDEX('Gate events'!$G$4:$G$553,MATCH(B452,'Gate events'!$A$4:$A$553,0))&lt;&gt;"Re-authorise",INDEX('Gate events'!$G$4:$G$553,MATCH(B452,'Gate events'!$A$4:$A$553,0))&lt;&gt;"Resume"),"Parent outcome is not Progress with condition / Re-authorise / Resume",IF(AND(ISNUMBER(INDEX('Gate events'!$F$4:$F$553,MATCH(B452,'Gate events'!$A$4:$A$553,0))),F452&lt;INDEX('Gate events'!$F$4:$F$553,MATCH(B452,'Gate events'!$A$4:$A$553,0))),"Due date before parent event date",IF(AND(OR(G452="Closed-verified",G452="Waived",G452="Accepted-open"),OR(H452="",I452="")),"Closure evidence missing",IF(AND(H452&lt;&gt;"",NOT(ISNUMBER(H452))),"Closed / waived on is not a date",IF(AND(ISNUMBER(H452),ISNUMBER(INDEX('Gate events'!$F$4:$F$553,MATCH(B452,'Gate events'!$A$4:$A$553,0))),H452&lt;INDEX('Gate events'!$F$4:$F$553,MATCH(B452,'Gate events'!$A$4:$A$553,0))),"Closure date before parent event date",IF(AND(G452="Closed-verified",M452=""),"Verifier / date missing",IF(AND(N452="Yes",G452="Closed-verified",O452=""),"Monitoring condition needs AIG-OPS-02 evidence ref",IF(AND(G452="Open",F452&lt;TODAY()),"OVERDUE (derived) — review",IF(G452="Unknown","State Unknown: owner to confirm","Check against source")))))))))))))))))))</f>
        <v/>
      </c>
      <c r="K452" s="37" t="n"/>
      <c r="L452" s="37" t="n"/>
      <c r="M452" s="38" t="n"/>
      <c r="N452" s="38" t="n"/>
      <c r="O452" s="38" t="n"/>
    </row>
    <row r="453">
      <c r="A453" s="40" t="n"/>
      <c r="B453" s="40" t="n"/>
      <c r="C453" s="40" t="n"/>
      <c r="D453" s="40" t="n"/>
      <c r="E453" s="40" t="n"/>
      <c r="F453" s="41" t="n"/>
      <c r="G453" s="40" t="n"/>
      <c r="H453" s="41" t="n"/>
      <c r="I453" s="40" t="n"/>
      <c r="J453" s="24">
        <f>IF(COUNTA(A453:I453,K453:O453)=0,"",IF(OR(A453="",B453="",C453=""),"ID / parent missing",IF(COUNTIF($A$4:$A$553,A453)&gt;1,"Duplicate condition ID",IF(COUNTIF('Gate events'!$A$4:$A$553,B453)=0,"Event ID not found",IF(INDEX('Gate events'!$B$4:$B$553,MATCH(B453,'Gate events'!$A$4:$A$553,0))&lt;&gt;C453,"AIR-ID differs from event",IF(IF(INDEX('Gate events'!$P$4:$P$553,MATCH(B453,'Gate events'!$A$4:$A$553,0))="UC-ID specific",IF(OR(L453&lt;&gt;"UC-ID specific",K453=""),"Condition UC-ID required",IF(ISNUMBER(SEARCH(","&amp;SUBSTITUTE(K453," ","")&amp;",",","&amp;SUBSTITUTE(INDEX('Gate events'!$O$4:$O$553,MATCH(B453,'Gate events'!$A$4:$A$553,0))," ","")&amp;",")),"","UC-ID differs from decision")),IF(INDEX('Gate events'!$P$4:$P$553,MATCH(B453,'Gate events'!$A$4:$A$553,0))="Shared system baseline",IF(OR(L453&lt;&gt;"Shared system baseline",K453&lt;&gt;""),"Condition scope differs from decision",""),"Parent decision scope missing"))&lt;&gt;"",IF(INDEX('Gate events'!$P$4:$P$553,MATCH(B453,'Gate events'!$A$4:$A$553,0))="UC-ID specific",IF(OR(L453&lt;&gt;"UC-ID specific",K453=""),"Condition UC-ID required",IF(ISNUMBER(SEARCH(","&amp;SUBSTITUTE(K453," ","")&amp;",",","&amp;SUBSTITUTE(INDEX('Gate events'!$O$4:$O$553,MATCH(B453,'Gate events'!$A$4:$A$553,0))," ","")&amp;",")),"","UC-ID differs from decision")),IF(INDEX('Gate events'!$P$4:$P$553,MATCH(B453,'Gate events'!$A$4:$A$553,0))="Shared system baseline",IF(OR(L453&lt;&gt;"Shared system baseline",K453&lt;&gt;""),"Condition scope differs from decision",""),"Parent decision scope missing")),IF(OR(D453="",E453="",F453="",G453=""),"Condition, owner, due date or state missing",IF(NOT(ISNUMBER(F453)),"Due date is not a date",IF(OR(G453="Overdue",G453="Superseded"),"Legacy state — owner review (use the shared five states)",IF(INDEX('Gate events'!$E$4:$E$553,MATCH(B453,'Gate events'!$A$4:$A$553,0))&lt;&gt;"Decision","Parent event is not a Decision",IF(AND(INDEX('Gate events'!$G$4:$G$553,MATCH(B453,'Gate events'!$A$4:$A$553,0))&lt;&gt;"Progress with condition",INDEX('Gate events'!$G$4:$G$553,MATCH(B453,'Gate events'!$A$4:$A$553,0))&lt;&gt;"Re-authorise",INDEX('Gate events'!$G$4:$G$553,MATCH(B453,'Gate events'!$A$4:$A$553,0))&lt;&gt;"Resume"),"Parent outcome is not Progress with condition / Re-authorise / Resume",IF(AND(ISNUMBER(INDEX('Gate events'!$F$4:$F$553,MATCH(B453,'Gate events'!$A$4:$A$553,0))),F453&lt;INDEX('Gate events'!$F$4:$F$553,MATCH(B453,'Gate events'!$A$4:$A$553,0))),"Due date before parent event date",IF(AND(OR(G453="Closed-verified",G453="Waived",G453="Accepted-open"),OR(H453="",I453="")),"Closure evidence missing",IF(AND(H453&lt;&gt;"",NOT(ISNUMBER(H453))),"Closed / waived on is not a date",IF(AND(ISNUMBER(H453),ISNUMBER(INDEX('Gate events'!$F$4:$F$553,MATCH(B453,'Gate events'!$A$4:$A$553,0))),H453&lt;INDEX('Gate events'!$F$4:$F$553,MATCH(B453,'Gate events'!$A$4:$A$553,0))),"Closure date before parent event date",IF(AND(G453="Closed-verified",M453=""),"Verifier / date missing",IF(AND(N453="Yes",G453="Closed-verified",O453=""),"Monitoring condition needs AIG-OPS-02 evidence ref",IF(AND(G453="Open",F453&lt;TODAY()),"OVERDUE (derived) — review",IF(G453="Unknown","State Unknown: owner to confirm","Check against source")))))))))))))))))))</f>
        <v/>
      </c>
      <c r="K453" s="37" t="n"/>
      <c r="L453" s="37" t="n"/>
      <c r="M453" s="40" t="n"/>
      <c r="N453" s="40" t="n"/>
      <c r="O453" s="40" t="n"/>
    </row>
    <row r="454">
      <c r="A454" s="38" t="n"/>
      <c r="B454" s="38" t="n"/>
      <c r="C454" s="38" t="n"/>
      <c r="D454" s="38" t="n"/>
      <c r="E454" s="38" t="n"/>
      <c r="F454" s="39" t="n"/>
      <c r="G454" s="38" t="n"/>
      <c r="H454" s="39" t="n"/>
      <c r="I454" s="38" t="n"/>
      <c r="J454" s="22">
        <f>IF(COUNTA(A454:I454,K454:O454)=0,"",IF(OR(A454="",B454="",C454=""),"ID / parent missing",IF(COUNTIF($A$4:$A$553,A454)&gt;1,"Duplicate condition ID",IF(COUNTIF('Gate events'!$A$4:$A$553,B454)=0,"Event ID not found",IF(INDEX('Gate events'!$B$4:$B$553,MATCH(B454,'Gate events'!$A$4:$A$553,0))&lt;&gt;C454,"AIR-ID differs from event",IF(IF(INDEX('Gate events'!$P$4:$P$553,MATCH(B454,'Gate events'!$A$4:$A$553,0))="UC-ID specific",IF(OR(L454&lt;&gt;"UC-ID specific",K454=""),"Condition UC-ID required",IF(ISNUMBER(SEARCH(","&amp;SUBSTITUTE(K454," ","")&amp;",",","&amp;SUBSTITUTE(INDEX('Gate events'!$O$4:$O$553,MATCH(B454,'Gate events'!$A$4:$A$553,0))," ","")&amp;",")),"","UC-ID differs from decision")),IF(INDEX('Gate events'!$P$4:$P$553,MATCH(B454,'Gate events'!$A$4:$A$553,0))="Shared system baseline",IF(OR(L454&lt;&gt;"Shared system baseline",K454&lt;&gt;""),"Condition scope differs from decision",""),"Parent decision scope missing"))&lt;&gt;"",IF(INDEX('Gate events'!$P$4:$P$553,MATCH(B454,'Gate events'!$A$4:$A$553,0))="UC-ID specific",IF(OR(L454&lt;&gt;"UC-ID specific",K454=""),"Condition UC-ID required",IF(ISNUMBER(SEARCH(","&amp;SUBSTITUTE(K454," ","")&amp;",",","&amp;SUBSTITUTE(INDEX('Gate events'!$O$4:$O$553,MATCH(B454,'Gate events'!$A$4:$A$553,0))," ","")&amp;",")),"","UC-ID differs from decision")),IF(INDEX('Gate events'!$P$4:$P$553,MATCH(B454,'Gate events'!$A$4:$A$553,0))="Shared system baseline",IF(OR(L454&lt;&gt;"Shared system baseline",K454&lt;&gt;""),"Condition scope differs from decision",""),"Parent decision scope missing")),IF(OR(D454="",E454="",F454="",G454=""),"Condition, owner, due date or state missing",IF(NOT(ISNUMBER(F454)),"Due date is not a date",IF(OR(G454="Overdue",G454="Superseded"),"Legacy state — owner review (use the shared five states)",IF(INDEX('Gate events'!$E$4:$E$553,MATCH(B454,'Gate events'!$A$4:$A$553,0))&lt;&gt;"Decision","Parent event is not a Decision",IF(AND(INDEX('Gate events'!$G$4:$G$553,MATCH(B454,'Gate events'!$A$4:$A$553,0))&lt;&gt;"Progress with condition",INDEX('Gate events'!$G$4:$G$553,MATCH(B454,'Gate events'!$A$4:$A$553,0))&lt;&gt;"Re-authorise",INDEX('Gate events'!$G$4:$G$553,MATCH(B454,'Gate events'!$A$4:$A$553,0))&lt;&gt;"Resume"),"Parent outcome is not Progress with condition / Re-authorise / Resume",IF(AND(ISNUMBER(INDEX('Gate events'!$F$4:$F$553,MATCH(B454,'Gate events'!$A$4:$A$553,0))),F454&lt;INDEX('Gate events'!$F$4:$F$553,MATCH(B454,'Gate events'!$A$4:$A$553,0))),"Due date before parent event date",IF(AND(OR(G454="Closed-verified",G454="Waived",G454="Accepted-open"),OR(H454="",I454="")),"Closure evidence missing",IF(AND(H454&lt;&gt;"",NOT(ISNUMBER(H454))),"Closed / waived on is not a date",IF(AND(ISNUMBER(H454),ISNUMBER(INDEX('Gate events'!$F$4:$F$553,MATCH(B454,'Gate events'!$A$4:$A$553,0))),H454&lt;INDEX('Gate events'!$F$4:$F$553,MATCH(B454,'Gate events'!$A$4:$A$553,0))),"Closure date before parent event date",IF(AND(G454="Closed-verified",M454=""),"Verifier / date missing",IF(AND(N454="Yes",G454="Closed-verified",O454=""),"Monitoring condition needs AIG-OPS-02 evidence ref",IF(AND(G454="Open",F454&lt;TODAY()),"OVERDUE (derived) — review",IF(G454="Unknown","State Unknown: owner to confirm","Check against source")))))))))))))))))))</f>
        <v/>
      </c>
      <c r="K454" s="37" t="n"/>
      <c r="L454" s="37" t="n"/>
      <c r="M454" s="38" t="n"/>
      <c r="N454" s="38" t="n"/>
      <c r="O454" s="38" t="n"/>
    </row>
    <row r="455">
      <c r="A455" s="40" t="n"/>
      <c r="B455" s="40" t="n"/>
      <c r="C455" s="40" t="n"/>
      <c r="D455" s="40" t="n"/>
      <c r="E455" s="40" t="n"/>
      <c r="F455" s="41" t="n"/>
      <c r="G455" s="40" t="n"/>
      <c r="H455" s="41" t="n"/>
      <c r="I455" s="40" t="n"/>
      <c r="J455" s="24">
        <f>IF(COUNTA(A455:I455,K455:O455)=0,"",IF(OR(A455="",B455="",C455=""),"ID / parent missing",IF(COUNTIF($A$4:$A$553,A455)&gt;1,"Duplicate condition ID",IF(COUNTIF('Gate events'!$A$4:$A$553,B455)=0,"Event ID not found",IF(INDEX('Gate events'!$B$4:$B$553,MATCH(B455,'Gate events'!$A$4:$A$553,0))&lt;&gt;C455,"AIR-ID differs from event",IF(IF(INDEX('Gate events'!$P$4:$P$553,MATCH(B455,'Gate events'!$A$4:$A$553,0))="UC-ID specific",IF(OR(L455&lt;&gt;"UC-ID specific",K455=""),"Condition UC-ID required",IF(ISNUMBER(SEARCH(","&amp;SUBSTITUTE(K455," ","")&amp;",",","&amp;SUBSTITUTE(INDEX('Gate events'!$O$4:$O$553,MATCH(B455,'Gate events'!$A$4:$A$553,0))," ","")&amp;",")),"","UC-ID differs from decision")),IF(INDEX('Gate events'!$P$4:$P$553,MATCH(B455,'Gate events'!$A$4:$A$553,0))="Shared system baseline",IF(OR(L455&lt;&gt;"Shared system baseline",K455&lt;&gt;""),"Condition scope differs from decision",""),"Parent decision scope missing"))&lt;&gt;"",IF(INDEX('Gate events'!$P$4:$P$553,MATCH(B455,'Gate events'!$A$4:$A$553,0))="UC-ID specific",IF(OR(L455&lt;&gt;"UC-ID specific",K455=""),"Condition UC-ID required",IF(ISNUMBER(SEARCH(","&amp;SUBSTITUTE(K455," ","")&amp;",",","&amp;SUBSTITUTE(INDEX('Gate events'!$O$4:$O$553,MATCH(B455,'Gate events'!$A$4:$A$553,0))," ","")&amp;",")),"","UC-ID differs from decision")),IF(INDEX('Gate events'!$P$4:$P$553,MATCH(B455,'Gate events'!$A$4:$A$553,0))="Shared system baseline",IF(OR(L455&lt;&gt;"Shared system baseline",K455&lt;&gt;""),"Condition scope differs from decision",""),"Parent decision scope missing")),IF(OR(D455="",E455="",F455="",G455=""),"Condition, owner, due date or state missing",IF(NOT(ISNUMBER(F455)),"Due date is not a date",IF(OR(G455="Overdue",G455="Superseded"),"Legacy state — owner review (use the shared five states)",IF(INDEX('Gate events'!$E$4:$E$553,MATCH(B455,'Gate events'!$A$4:$A$553,0))&lt;&gt;"Decision","Parent event is not a Decision",IF(AND(INDEX('Gate events'!$G$4:$G$553,MATCH(B455,'Gate events'!$A$4:$A$553,0))&lt;&gt;"Progress with condition",INDEX('Gate events'!$G$4:$G$553,MATCH(B455,'Gate events'!$A$4:$A$553,0))&lt;&gt;"Re-authorise",INDEX('Gate events'!$G$4:$G$553,MATCH(B455,'Gate events'!$A$4:$A$553,0))&lt;&gt;"Resume"),"Parent outcome is not Progress with condition / Re-authorise / Resume",IF(AND(ISNUMBER(INDEX('Gate events'!$F$4:$F$553,MATCH(B455,'Gate events'!$A$4:$A$553,0))),F455&lt;INDEX('Gate events'!$F$4:$F$553,MATCH(B455,'Gate events'!$A$4:$A$553,0))),"Due date before parent event date",IF(AND(OR(G455="Closed-verified",G455="Waived",G455="Accepted-open"),OR(H455="",I455="")),"Closure evidence missing",IF(AND(H455&lt;&gt;"",NOT(ISNUMBER(H455))),"Closed / waived on is not a date",IF(AND(ISNUMBER(H455),ISNUMBER(INDEX('Gate events'!$F$4:$F$553,MATCH(B455,'Gate events'!$A$4:$A$553,0))),H455&lt;INDEX('Gate events'!$F$4:$F$553,MATCH(B455,'Gate events'!$A$4:$A$553,0))),"Closure date before parent event date",IF(AND(G455="Closed-verified",M455=""),"Verifier / date missing",IF(AND(N455="Yes",G455="Closed-verified",O455=""),"Monitoring condition needs AIG-OPS-02 evidence ref",IF(AND(G455="Open",F455&lt;TODAY()),"OVERDUE (derived) — review",IF(G455="Unknown","State Unknown: owner to confirm","Check against source")))))))))))))))))))</f>
        <v/>
      </c>
      <c r="K455" s="37" t="n"/>
      <c r="L455" s="37" t="n"/>
      <c r="M455" s="40" t="n"/>
      <c r="N455" s="40" t="n"/>
      <c r="O455" s="40" t="n"/>
    </row>
    <row r="456">
      <c r="A456" s="38" t="n"/>
      <c r="B456" s="38" t="n"/>
      <c r="C456" s="38" t="n"/>
      <c r="D456" s="38" t="n"/>
      <c r="E456" s="38" t="n"/>
      <c r="F456" s="39" t="n"/>
      <c r="G456" s="38" t="n"/>
      <c r="H456" s="39" t="n"/>
      <c r="I456" s="38" t="n"/>
      <c r="J456" s="22">
        <f>IF(COUNTA(A456:I456,K456:O456)=0,"",IF(OR(A456="",B456="",C456=""),"ID / parent missing",IF(COUNTIF($A$4:$A$553,A456)&gt;1,"Duplicate condition ID",IF(COUNTIF('Gate events'!$A$4:$A$553,B456)=0,"Event ID not found",IF(INDEX('Gate events'!$B$4:$B$553,MATCH(B456,'Gate events'!$A$4:$A$553,0))&lt;&gt;C456,"AIR-ID differs from event",IF(IF(INDEX('Gate events'!$P$4:$P$553,MATCH(B456,'Gate events'!$A$4:$A$553,0))="UC-ID specific",IF(OR(L456&lt;&gt;"UC-ID specific",K456=""),"Condition UC-ID required",IF(ISNUMBER(SEARCH(","&amp;SUBSTITUTE(K456," ","")&amp;",",","&amp;SUBSTITUTE(INDEX('Gate events'!$O$4:$O$553,MATCH(B456,'Gate events'!$A$4:$A$553,0))," ","")&amp;",")),"","UC-ID differs from decision")),IF(INDEX('Gate events'!$P$4:$P$553,MATCH(B456,'Gate events'!$A$4:$A$553,0))="Shared system baseline",IF(OR(L456&lt;&gt;"Shared system baseline",K456&lt;&gt;""),"Condition scope differs from decision",""),"Parent decision scope missing"))&lt;&gt;"",IF(INDEX('Gate events'!$P$4:$P$553,MATCH(B456,'Gate events'!$A$4:$A$553,0))="UC-ID specific",IF(OR(L456&lt;&gt;"UC-ID specific",K456=""),"Condition UC-ID required",IF(ISNUMBER(SEARCH(","&amp;SUBSTITUTE(K456," ","")&amp;",",","&amp;SUBSTITUTE(INDEX('Gate events'!$O$4:$O$553,MATCH(B456,'Gate events'!$A$4:$A$553,0))," ","")&amp;",")),"","UC-ID differs from decision")),IF(INDEX('Gate events'!$P$4:$P$553,MATCH(B456,'Gate events'!$A$4:$A$553,0))="Shared system baseline",IF(OR(L456&lt;&gt;"Shared system baseline",K456&lt;&gt;""),"Condition scope differs from decision",""),"Parent decision scope missing")),IF(OR(D456="",E456="",F456="",G456=""),"Condition, owner, due date or state missing",IF(NOT(ISNUMBER(F456)),"Due date is not a date",IF(OR(G456="Overdue",G456="Superseded"),"Legacy state — owner review (use the shared five states)",IF(INDEX('Gate events'!$E$4:$E$553,MATCH(B456,'Gate events'!$A$4:$A$553,0))&lt;&gt;"Decision","Parent event is not a Decision",IF(AND(INDEX('Gate events'!$G$4:$G$553,MATCH(B456,'Gate events'!$A$4:$A$553,0))&lt;&gt;"Progress with condition",INDEX('Gate events'!$G$4:$G$553,MATCH(B456,'Gate events'!$A$4:$A$553,0))&lt;&gt;"Re-authorise",INDEX('Gate events'!$G$4:$G$553,MATCH(B456,'Gate events'!$A$4:$A$553,0))&lt;&gt;"Resume"),"Parent outcome is not Progress with condition / Re-authorise / Resume",IF(AND(ISNUMBER(INDEX('Gate events'!$F$4:$F$553,MATCH(B456,'Gate events'!$A$4:$A$553,0))),F456&lt;INDEX('Gate events'!$F$4:$F$553,MATCH(B456,'Gate events'!$A$4:$A$553,0))),"Due date before parent event date",IF(AND(OR(G456="Closed-verified",G456="Waived",G456="Accepted-open"),OR(H456="",I456="")),"Closure evidence missing",IF(AND(H456&lt;&gt;"",NOT(ISNUMBER(H456))),"Closed / waived on is not a date",IF(AND(ISNUMBER(H456),ISNUMBER(INDEX('Gate events'!$F$4:$F$553,MATCH(B456,'Gate events'!$A$4:$A$553,0))),H456&lt;INDEX('Gate events'!$F$4:$F$553,MATCH(B456,'Gate events'!$A$4:$A$553,0))),"Closure date before parent event date",IF(AND(G456="Closed-verified",M456=""),"Verifier / date missing",IF(AND(N456="Yes",G456="Closed-verified",O456=""),"Monitoring condition needs AIG-OPS-02 evidence ref",IF(AND(G456="Open",F456&lt;TODAY()),"OVERDUE (derived) — review",IF(G456="Unknown","State Unknown: owner to confirm","Check against source")))))))))))))))))))</f>
        <v/>
      </c>
      <c r="K456" s="37" t="n"/>
      <c r="L456" s="37" t="n"/>
      <c r="M456" s="38" t="n"/>
      <c r="N456" s="38" t="n"/>
      <c r="O456" s="38" t="n"/>
    </row>
    <row r="457">
      <c r="A457" s="40" t="n"/>
      <c r="B457" s="40" t="n"/>
      <c r="C457" s="40" t="n"/>
      <c r="D457" s="40" t="n"/>
      <c r="E457" s="40" t="n"/>
      <c r="F457" s="41" t="n"/>
      <c r="G457" s="40" t="n"/>
      <c r="H457" s="41" t="n"/>
      <c r="I457" s="40" t="n"/>
      <c r="J457" s="24">
        <f>IF(COUNTA(A457:I457,K457:O457)=0,"",IF(OR(A457="",B457="",C457=""),"ID / parent missing",IF(COUNTIF($A$4:$A$553,A457)&gt;1,"Duplicate condition ID",IF(COUNTIF('Gate events'!$A$4:$A$553,B457)=0,"Event ID not found",IF(INDEX('Gate events'!$B$4:$B$553,MATCH(B457,'Gate events'!$A$4:$A$553,0))&lt;&gt;C457,"AIR-ID differs from event",IF(IF(INDEX('Gate events'!$P$4:$P$553,MATCH(B457,'Gate events'!$A$4:$A$553,0))="UC-ID specific",IF(OR(L457&lt;&gt;"UC-ID specific",K457=""),"Condition UC-ID required",IF(ISNUMBER(SEARCH(","&amp;SUBSTITUTE(K457," ","")&amp;",",","&amp;SUBSTITUTE(INDEX('Gate events'!$O$4:$O$553,MATCH(B457,'Gate events'!$A$4:$A$553,0))," ","")&amp;",")),"","UC-ID differs from decision")),IF(INDEX('Gate events'!$P$4:$P$553,MATCH(B457,'Gate events'!$A$4:$A$553,0))="Shared system baseline",IF(OR(L457&lt;&gt;"Shared system baseline",K457&lt;&gt;""),"Condition scope differs from decision",""),"Parent decision scope missing"))&lt;&gt;"",IF(INDEX('Gate events'!$P$4:$P$553,MATCH(B457,'Gate events'!$A$4:$A$553,0))="UC-ID specific",IF(OR(L457&lt;&gt;"UC-ID specific",K457=""),"Condition UC-ID required",IF(ISNUMBER(SEARCH(","&amp;SUBSTITUTE(K457," ","")&amp;",",","&amp;SUBSTITUTE(INDEX('Gate events'!$O$4:$O$553,MATCH(B457,'Gate events'!$A$4:$A$553,0))," ","")&amp;",")),"","UC-ID differs from decision")),IF(INDEX('Gate events'!$P$4:$P$553,MATCH(B457,'Gate events'!$A$4:$A$553,0))="Shared system baseline",IF(OR(L457&lt;&gt;"Shared system baseline",K457&lt;&gt;""),"Condition scope differs from decision",""),"Parent decision scope missing")),IF(OR(D457="",E457="",F457="",G457=""),"Condition, owner, due date or state missing",IF(NOT(ISNUMBER(F457)),"Due date is not a date",IF(OR(G457="Overdue",G457="Superseded"),"Legacy state — owner review (use the shared five states)",IF(INDEX('Gate events'!$E$4:$E$553,MATCH(B457,'Gate events'!$A$4:$A$553,0))&lt;&gt;"Decision","Parent event is not a Decision",IF(AND(INDEX('Gate events'!$G$4:$G$553,MATCH(B457,'Gate events'!$A$4:$A$553,0))&lt;&gt;"Progress with condition",INDEX('Gate events'!$G$4:$G$553,MATCH(B457,'Gate events'!$A$4:$A$553,0))&lt;&gt;"Re-authorise",INDEX('Gate events'!$G$4:$G$553,MATCH(B457,'Gate events'!$A$4:$A$553,0))&lt;&gt;"Resume"),"Parent outcome is not Progress with condition / Re-authorise / Resume",IF(AND(ISNUMBER(INDEX('Gate events'!$F$4:$F$553,MATCH(B457,'Gate events'!$A$4:$A$553,0))),F457&lt;INDEX('Gate events'!$F$4:$F$553,MATCH(B457,'Gate events'!$A$4:$A$553,0))),"Due date before parent event date",IF(AND(OR(G457="Closed-verified",G457="Waived",G457="Accepted-open"),OR(H457="",I457="")),"Closure evidence missing",IF(AND(H457&lt;&gt;"",NOT(ISNUMBER(H457))),"Closed / waived on is not a date",IF(AND(ISNUMBER(H457),ISNUMBER(INDEX('Gate events'!$F$4:$F$553,MATCH(B457,'Gate events'!$A$4:$A$553,0))),H457&lt;INDEX('Gate events'!$F$4:$F$553,MATCH(B457,'Gate events'!$A$4:$A$553,0))),"Closure date before parent event date",IF(AND(G457="Closed-verified",M457=""),"Verifier / date missing",IF(AND(N457="Yes",G457="Closed-verified",O457=""),"Monitoring condition needs AIG-OPS-02 evidence ref",IF(AND(G457="Open",F457&lt;TODAY()),"OVERDUE (derived) — review",IF(G457="Unknown","State Unknown: owner to confirm","Check against source")))))))))))))))))))</f>
        <v/>
      </c>
      <c r="K457" s="37" t="n"/>
      <c r="L457" s="37" t="n"/>
      <c r="M457" s="40" t="n"/>
      <c r="N457" s="40" t="n"/>
      <c r="O457" s="40" t="n"/>
    </row>
    <row r="458">
      <c r="A458" s="38" t="n"/>
      <c r="B458" s="38" t="n"/>
      <c r="C458" s="38" t="n"/>
      <c r="D458" s="38" t="n"/>
      <c r="E458" s="38" t="n"/>
      <c r="F458" s="39" t="n"/>
      <c r="G458" s="38" t="n"/>
      <c r="H458" s="39" t="n"/>
      <c r="I458" s="38" t="n"/>
      <c r="J458" s="22">
        <f>IF(COUNTA(A458:I458,K458:O458)=0,"",IF(OR(A458="",B458="",C458=""),"ID / parent missing",IF(COUNTIF($A$4:$A$553,A458)&gt;1,"Duplicate condition ID",IF(COUNTIF('Gate events'!$A$4:$A$553,B458)=0,"Event ID not found",IF(INDEX('Gate events'!$B$4:$B$553,MATCH(B458,'Gate events'!$A$4:$A$553,0))&lt;&gt;C458,"AIR-ID differs from event",IF(IF(INDEX('Gate events'!$P$4:$P$553,MATCH(B458,'Gate events'!$A$4:$A$553,0))="UC-ID specific",IF(OR(L458&lt;&gt;"UC-ID specific",K458=""),"Condition UC-ID required",IF(ISNUMBER(SEARCH(","&amp;SUBSTITUTE(K458," ","")&amp;",",","&amp;SUBSTITUTE(INDEX('Gate events'!$O$4:$O$553,MATCH(B458,'Gate events'!$A$4:$A$553,0))," ","")&amp;",")),"","UC-ID differs from decision")),IF(INDEX('Gate events'!$P$4:$P$553,MATCH(B458,'Gate events'!$A$4:$A$553,0))="Shared system baseline",IF(OR(L458&lt;&gt;"Shared system baseline",K458&lt;&gt;""),"Condition scope differs from decision",""),"Parent decision scope missing"))&lt;&gt;"",IF(INDEX('Gate events'!$P$4:$P$553,MATCH(B458,'Gate events'!$A$4:$A$553,0))="UC-ID specific",IF(OR(L458&lt;&gt;"UC-ID specific",K458=""),"Condition UC-ID required",IF(ISNUMBER(SEARCH(","&amp;SUBSTITUTE(K458," ","")&amp;",",","&amp;SUBSTITUTE(INDEX('Gate events'!$O$4:$O$553,MATCH(B458,'Gate events'!$A$4:$A$553,0))," ","")&amp;",")),"","UC-ID differs from decision")),IF(INDEX('Gate events'!$P$4:$P$553,MATCH(B458,'Gate events'!$A$4:$A$553,0))="Shared system baseline",IF(OR(L458&lt;&gt;"Shared system baseline",K458&lt;&gt;""),"Condition scope differs from decision",""),"Parent decision scope missing")),IF(OR(D458="",E458="",F458="",G458=""),"Condition, owner, due date or state missing",IF(NOT(ISNUMBER(F458)),"Due date is not a date",IF(OR(G458="Overdue",G458="Superseded"),"Legacy state — owner review (use the shared five states)",IF(INDEX('Gate events'!$E$4:$E$553,MATCH(B458,'Gate events'!$A$4:$A$553,0))&lt;&gt;"Decision","Parent event is not a Decision",IF(AND(INDEX('Gate events'!$G$4:$G$553,MATCH(B458,'Gate events'!$A$4:$A$553,0))&lt;&gt;"Progress with condition",INDEX('Gate events'!$G$4:$G$553,MATCH(B458,'Gate events'!$A$4:$A$553,0))&lt;&gt;"Re-authorise",INDEX('Gate events'!$G$4:$G$553,MATCH(B458,'Gate events'!$A$4:$A$553,0))&lt;&gt;"Resume"),"Parent outcome is not Progress with condition / Re-authorise / Resume",IF(AND(ISNUMBER(INDEX('Gate events'!$F$4:$F$553,MATCH(B458,'Gate events'!$A$4:$A$553,0))),F458&lt;INDEX('Gate events'!$F$4:$F$553,MATCH(B458,'Gate events'!$A$4:$A$553,0))),"Due date before parent event date",IF(AND(OR(G458="Closed-verified",G458="Waived",G458="Accepted-open"),OR(H458="",I458="")),"Closure evidence missing",IF(AND(H458&lt;&gt;"",NOT(ISNUMBER(H458))),"Closed / waived on is not a date",IF(AND(ISNUMBER(H458),ISNUMBER(INDEX('Gate events'!$F$4:$F$553,MATCH(B458,'Gate events'!$A$4:$A$553,0))),H458&lt;INDEX('Gate events'!$F$4:$F$553,MATCH(B458,'Gate events'!$A$4:$A$553,0))),"Closure date before parent event date",IF(AND(G458="Closed-verified",M458=""),"Verifier / date missing",IF(AND(N458="Yes",G458="Closed-verified",O458=""),"Monitoring condition needs AIG-OPS-02 evidence ref",IF(AND(G458="Open",F458&lt;TODAY()),"OVERDUE (derived) — review",IF(G458="Unknown","State Unknown: owner to confirm","Check against source")))))))))))))))))))</f>
        <v/>
      </c>
      <c r="K458" s="37" t="n"/>
      <c r="L458" s="37" t="n"/>
      <c r="M458" s="38" t="n"/>
      <c r="N458" s="38" t="n"/>
      <c r="O458" s="38" t="n"/>
    </row>
    <row r="459">
      <c r="A459" s="40" t="n"/>
      <c r="B459" s="40" t="n"/>
      <c r="C459" s="40" t="n"/>
      <c r="D459" s="40" t="n"/>
      <c r="E459" s="40" t="n"/>
      <c r="F459" s="41" t="n"/>
      <c r="G459" s="40" t="n"/>
      <c r="H459" s="41" t="n"/>
      <c r="I459" s="40" t="n"/>
      <c r="J459" s="24">
        <f>IF(COUNTA(A459:I459,K459:O459)=0,"",IF(OR(A459="",B459="",C459=""),"ID / parent missing",IF(COUNTIF($A$4:$A$553,A459)&gt;1,"Duplicate condition ID",IF(COUNTIF('Gate events'!$A$4:$A$553,B459)=0,"Event ID not found",IF(INDEX('Gate events'!$B$4:$B$553,MATCH(B459,'Gate events'!$A$4:$A$553,0))&lt;&gt;C459,"AIR-ID differs from event",IF(IF(INDEX('Gate events'!$P$4:$P$553,MATCH(B459,'Gate events'!$A$4:$A$553,0))="UC-ID specific",IF(OR(L459&lt;&gt;"UC-ID specific",K459=""),"Condition UC-ID required",IF(ISNUMBER(SEARCH(","&amp;SUBSTITUTE(K459," ","")&amp;",",","&amp;SUBSTITUTE(INDEX('Gate events'!$O$4:$O$553,MATCH(B459,'Gate events'!$A$4:$A$553,0))," ","")&amp;",")),"","UC-ID differs from decision")),IF(INDEX('Gate events'!$P$4:$P$553,MATCH(B459,'Gate events'!$A$4:$A$553,0))="Shared system baseline",IF(OR(L459&lt;&gt;"Shared system baseline",K459&lt;&gt;""),"Condition scope differs from decision",""),"Parent decision scope missing"))&lt;&gt;"",IF(INDEX('Gate events'!$P$4:$P$553,MATCH(B459,'Gate events'!$A$4:$A$553,0))="UC-ID specific",IF(OR(L459&lt;&gt;"UC-ID specific",K459=""),"Condition UC-ID required",IF(ISNUMBER(SEARCH(","&amp;SUBSTITUTE(K459," ","")&amp;",",","&amp;SUBSTITUTE(INDEX('Gate events'!$O$4:$O$553,MATCH(B459,'Gate events'!$A$4:$A$553,0))," ","")&amp;",")),"","UC-ID differs from decision")),IF(INDEX('Gate events'!$P$4:$P$553,MATCH(B459,'Gate events'!$A$4:$A$553,0))="Shared system baseline",IF(OR(L459&lt;&gt;"Shared system baseline",K459&lt;&gt;""),"Condition scope differs from decision",""),"Parent decision scope missing")),IF(OR(D459="",E459="",F459="",G459=""),"Condition, owner, due date or state missing",IF(NOT(ISNUMBER(F459)),"Due date is not a date",IF(OR(G459="Overdue",G459="Superseded"),"Legacy state — owner review (use the shared five states)",IF(INDEX('Gate events'!$E$4:$E$553,MATCH(B459,'Gate events'!$A$4:$A$553,0))&lt;&gt;"Decision","Parent event is not a Decision",IF(AND(INDEX('Gate events'!$G$4:$G$553,MATCH(B459,'Gate events'!$A$4:$A$553,0))&lt;&gt;"Progress with condition",INDEX('Gate events'!$G$4:$G$553,MATCH(B459,'Gate events'!$A$4:$A$553,0))&lt;&gt;"Re-authorise",INDEX('Gate events'!$G$4:$G$553,MATCH(B459,'Gate events'!$A$4:$A$553,0))&lt;&gt;"Resume"),"Parent outcome is not Progress with condition / Re-authorise / Resume",IF(AND(ISNUMBER(INDEX('Gate events'!$F$4:$F$553,MATCH(B459,'Gate events'!$A$4:$A$553,0))),F459&lt;INDEX('Gate events'!$F$4:$F$553,MATCH(B459,'Gate events'!$A$4:$A$553,0))),"Due date before parent event date",IF(AND(OR(G459="Closed-verified",G459="Waived",G459="Accepted-open"),OR(H459="",I459="")),"Closure evidence missing",IF(AND(H459&lt;&gt;"",NOT(ISNUMBER(H459))),"Closed / waived on is not a date",IF(AND(ISNUMBER(H459),ISNUMBER(INDEX('Gate events'!$F$4:$F$553,MATCH(B459,'Gate events'!$A$4:$A$553,0))),H459&lt;INDEX('Gate events'!$F$4:$F$553,MATCH(B459,'Gate events'!$A$4:$A$553,0))),"Closure date before parent event date",IF(AND(G459="Closed-verified",M459=""),"Verifier / date missing",IF(AND(N459="Yes",G459="Closed-verified",O459=""),"Monitoring condition needs AIG-OPS-02 evidence ref",IF(AND(G459="Open",F459&lt;TODAY()),"OVERDUE (derived) — review",IF(G459="Unknown","State Unknown: owner to confirm","Check against source")))))))))))))))))))</f>
        <v/>
      </c>
      <c r="K459" s="37" t="n"/>
      <c r="L459" s="37" t="n"/>
      <c r="M459" s="40" t="n"/>
      <c r="N459" s="40" t="n"/>
      <c r="O459" s="40" t="n"/>
    </row>
    <row r="460">
      <c r="A460" s="38" t="n"/>
      <c r="B460" s="38" t="n"/>
      <c r="C460" s="38" t="n"/>
      <c r="D460" s="38" t="n"/>
      <c r="E460" s="38" t="n"/>
      <c r="F460" s="39" t="n"/>
      <c r="G460" s="38" t="n"/>
      <c r="H460" s="39" t="n"/>
      <c r="I460" s="38" t="n"/>
      <c r="J460" s="22">
        <f>IF(COUNTA(A460:I460,K460:O460)=0,"",IF(OR(A460="",B460="",C460=""),"ID / parent missing",IF(COUNTIF($A$4:$A$553,A460)&gt;1,"Duplicate condition ID",IF(COUNTIF('Gate events'!$A$4:$A$553,B460)=0,"Event ID not found",IF(INDEX('Gate events'!$B$4:$B$553,MATCH(B460,'Gate events'!$A$4:$A$553,0))&lt;&gt;C460,"AIR-ID differs from event",IF(IF(INDEX('Gate events'!$P$4:$P$553,MATCH(B460,'Gate events'!$A$4:$A$553,0))="UC-ID specific",IF(OR(L460&lt;&gt;"UC-ID specific",K460=""),"Condition UC-ID required",IF(ISNUMBER(SEARCH(","&amp;SUBSTITUTE(K460," ","")&amp;",",","&amp;SUBSTITUTE(INDEX('Gate events'!$O$4:$O$553,MATCH(B460,'Gate events'!$A$4:$A$553,0))," ","")&amp;",")),"","UC-ID differs from decision")),IF(INDEX('Gate events'!$P$4:$P$553,MATCH(B460,'Gate events'!$A$4:$A$553,0))="Shared system baseline",IF(OR(L460&lt;&gt;"Shared system baseline",K460&lt;&gt;""),"Condition scope differs from decision",""),"Parent decision scope missing"))&lt;&gt;"",IF(INDEX('Gate events'!$P$4:$P$553,MATCH(B460,'Gate events'!$A$4:$A$553,0))="UC-ID specific",IF(OR(L460&lt;&gt;"UC-ID specific",K460=""),"Condition UC-ID required",IF(ISNUMBER(SEARCH(","&amp;SUBSTITUTE(K460," ","")&amp;",",","&amp;SUBSTITUTE(INDEX('Gate events'!$O$4:$O$553,MATCH(B460,'Gate events'!$A$4:$A$553,0))," ","")&amp;",")),"","UC-ID differs from decision")),IF(INDEX('Gate events'!$P$4:$P$553,MATCH(B460,'Gate events'!$A$4:$A$553,0))="Shared system baseline",IF(OR(L460&lt;&gt;"Shared system baseline",K460&lt;&gt;""),"Condition scope differs from decision",""),"Parent decision scope missing")),IF(OR(D460="",E460="",F460="",G460=""),"Condition, owner, due date or state missing",IF(NOT(ISNUMBER(F460)),"Due date is not a date",IF(OR(G460="Overdue",G460="Superseded"),"Legacy state — owner review (use the shared five states)",IF(INDEX('Gate events'!$E$4:$E$553,MATCH(B460,'Gate events'!$A$4:$A$553,0))&lt;&gt;"Decision","Parent event is not a Decision",IF(AND(INDEX('Gate events'!$G$4:$G$553,MATCH(B460,'Gate events'!$A$4:$A$553,0))&lt;&gt;"Progress with condition",INDEX('Gate events'!$G$4:$G$553,MATCH(B460,'Gate events'!$A$4:$A$553,0))&lt;&gt;"Re-authorise",INDEX('Gate events'!$G$4:$G$553,MATCH(B460,'Gate events'!$A$4:$A$553,0))&lt;&gt;"Resume"),"Parent outcome is not Progress with condition / Re-authorise / Resume",IF(AND(ISNUMBER(INDEX('Gate events'!$F$4:$F$553,MATCH(B460,'Gate events'!$A$4:$A$553,0))),F460&lt;INDEX('Gate events'!$F$4:$F$553,MATCH(B460,'Gate events'!$A$4:$A$553,0))),"Due date before parent event date",IF(AND(OR(G460="Closed-verified",G460="Waived",G460="Accepted-open"),OR(H460="",I460="")),"Closure evidence missing",IF(AND(H460&lt;&gt;"",NOT(ISNUMBER(H460))),"Closed / waived on is not a date",IF(AND(ISNUMBER(H460),ISNUMBER(INDEX('Gate events'!$F$4:$F$553,MATCH(B460,'Gate events'!$A$4:$A$553,0))),H460&lt;INDEX('Gate events'!$F$4:$F$553,MATCH(B460,'Gate events'!$A$4:$A$553,0))),"Closure date before parent event date",IF(AND(G460="Closed-verified",M460=""),"Verifier / date missing",IF(AND(N460="Yes",G460="Closed-verified",O460=""),"Monitoring condition needs AIG-OPS-02 evidence ref",IF(AND(G460="Open",F460&lt;TODAY()),"OVERDUE (derived) — review",IF(G460="Unknown","State Unknown: owner to confirm","Check against source")))))))))))))))))))</f>
        <v/>
      </c>
      <c r="K460" s="37" t="n"/>
      <c r="L460" s="37" t="n"/>
      <c r="M460" s="38" t="n"/>
      <c r="N460" s="38" t="n"/>
      <c r="O460" s="38" t="n"/>
    </row>
    <row r="461">
      <c r="A461" s="40" t="n"/>
      <c r="B461" s="40" t="n"/>
      <c r="C461" s="40" t="n"/>
      <c r="D461" s="40" t="n"/>
      <c r="E461" s="40" t="n"/>
      <c r="F461" s="41" t="n"/>
      <c r="G461" s="40" t="n"/>
      <c r="H461" s="41" t="n"/>
      <c r="I461" s="40" t="n"/>
      <c r="J461" s="24">
        <f>IF(COUNTA(A461:I461,K461:O461)=0,"",IF(OR(A461="",B461="",C461=""),"ID / parent missing",IF(COUNTIF($A$4:$A$553,A461)&gt;1,"Duplicate condition ID",IF(COUNTIF('Gate events'!$A$4:$A$553,B461)=0,"Event ID not found",IF(INDEX('Gate events'!$B$4:$B$553,MATCH(B461,'Gate events'!$A$4:$A$553,0))&lt;&gt;C461,"AIR-ID differs from event",IF(IF(INDEX('Gate events'!$P$4:$P$553,MATCH(B461,'Gate events'!$A$4:$A$553,0))="UC-ID specific",IF(OR(L461&lt;&gt;"UC-ID specific",K461=""),"Condition UC-ID required",IF(ISNUMBER(SEARCH(","&amp;SUBSTITUTE(K461," ","")&amp;",",","&amp;SUBSTITUTE(INDEX('Gate events'!$O$4:$O$553,MATCH(B461,'Gate events'!$A$4:$A$553,0))," ","")&amp;",")),"","UC-ID differs from decision")),IF(INDEX('Gate events'!$P$4:$P$553,MATCH(B461,'Gate events'!$A$4:$A$553,0))="Shared system baseline",IF(OR(L461&lt;&gt;"Shared system baseline",K461&lt;&gt;""),"Condition scope differs from decision",""),"Parent decision scope missing"))&lt;&gt;"",IF(INDEX('Gate events'!$P$4:$P$553,MATCH(B461,'Gate events'!$A$4:$A$553,0))="UC-ID specific",IF(OR(L461&lt;&gt;"UC-ID specific",K461=""),"Condition UC-ID required",IF(ISNUMBER(SEARCH(","&amp;SUBSTITUTE(K461," ","")&amp;",",","&amp;SUBSTITUTE(INDEX('Gate events'!$O$4:$O$553,MATCH(B461,'Gate events'!$A$4:$A$553,0))," ","")&amp;",")),"","UC-ID differs from decision")),IF(INDEX('Gate events'!$P$4:$P$553,MATCH(B461,'Gate events'!$A$4:$A$553,0))="Shared system baseline",IF(OR(L461&lt;&gt;"Shared system baseline",K461&lt;&gt;""),"Condition scope differs from decision",""),"Parent decision scope missing")),IF(OR(D461="",E461="",F461="",G461=""),"Condition, owner, due date or state missing",IF(NOT(ISNUMBER(F461)),"Due date is not a date",IF(OR(G461="Overdue",G461="Superseded"),"Legacy state — owner review (use the shared five states)",IF(INDEX('Gate events'!$E$4:$E$553,MATCH(B461,'Gate events'!$A$4:$A$553,0))&lt;&gt;"Decision","Parent event is not a Decision",IF(AND(INDEX('Gate events'!$G$4:$G$553,MATCH(B461,'Gate events'!$A$4:$A$553,0))&lt;&gt;"Progress with condition",INDEX('Gate events'!$G$4:$G$553,MATCH(B461,'Gate events'!$A$4:$A$553,0))&lt;&gt;"Re-authorise",INDEX('Gate events'!$G$4:$G$553,MATCH(B461,'Gate events'!$A$4:$A$553,0))&lt;&gt;"Resume"),"Parent outcome is not Progress with condition / Re-authorise / Resume",IF(AND(ISNUMBER(INDEX('Gate events'!$F$4:$F$553,MATCH(B461,'Gate events'!$A$4:$A$553,0))),F461&lt;INDEX('Gate events'!$F$4:$F$553,MATCH(B461,'Gate events'!$A$4:$A$553,0))),"Due date before parent event date",IF(AND(OR(G461="Closed-verified",G461="Waived",G461="Accepted-open"),OR(H461="",I461="")),"Closure evidence missing",IF(AND(H461&lt;&gt;"",NOT(ISNUMBER(H461))),"Closed / waived on is not a date",IF(AND(ISNUMBER(H461),ISNUMBER(INDEX('Gate events'!$F$4:$F$553,MATCH(B461,'Gate events'!$A$4:$A$553,0))),H461&lt;INDEX('Gate events'!$F$4:$F$553,MATCH(B461,'Gate events'!$A$4:$A$553,0))),"Closure date before parent event date",IF(AND(G461="Closed-verified",M461=""),"Verifier / date missing",IF(AND(N461="Yes",G461="Closed-verified",O461=""),"Monitoring condition needs AIG-OPS-02 evidence ref",IF(AND(G461="Open",F461&lt;TODAY()),"OVERDUE (derived) — review",IF(G461="Unknown","State Unknown: owner to confirm","Check against source")))))))))))))))))))</f>
        <v/>
      </c>
      <c r="K461" s="37" t="n"/>
      <c r="L461" s="37" t="n"/>
      <c r="M461" s="40" t="n"/>
      <c r="N461" s="40" t="n"/>
      <c r="O461" s="40" t="n"/>
    </row>
    <row r="462">
      <c r="A462" s="38" t="n"/>
      <c r="B462" s="38" t="n"/>
      <c r="C462" s="38" t="n"/>
      <c r="D462" s="38" t="n"/>
      <c r="E462" s="38" t="n"/>
      <c r="F462" s="39" t="n"/>
      <c r="G462" s="38" t="n"/>
      <c r="H462" s="39" t="n"/>
      <c r="I462" s="38" t="n"/>
      <c r="J462" s="22">
        <f>IF(COUNTA(A462:I462,K462:O462)=0,"",IF(OR(A462="",B462="",C462=""),"ID / parent missing",IF(COUNTIF($A$4:$A$553,A462)&gt;1,"Duplicate condition ID",IF(COUNTIF('Gate events'!$A$4:$A$553,B462)=0,"Event ID not found",IF(INDEX('Gate events'!$B$4:$B$553,MATCH(B462,'Gate events'!$A$4:$A$553,0))&lt;&gt;C462,"AIR-ID differs from event",IF(IF(INDEX('Gate events'!$P$4:$P$553,MATCH(B462,'Gate events'!$A$4:$A$553,0))="UC-ID specific",IF(OR(L462&lt;&gt;"UC-ID specific",K462=""),"Condition UC-ID required",IF(ISNUMBER(SEARCH(","&amp;SUBSTITUTE(K462," ","")&amp;",",","&amp;SUBSTITUTE(INDEX('Gate events'!$O$4:$O$553,MATCH(B462,'Gate events'!$A$4:$A$553,0))," ","")&amp;",")),"","UC-ID differs from decision")),IF(INDEX('Gate events'!$P$4:$P$553,MATCH(B462,'Gate events'!$A$4:$A$553,0))="Shared system baseline",IF(OR(L462&lt;&gt;"Shared system baseline",K462&lt;&gt;""),"Condition scope differs from decision",""),"Parent decision scope missing"))&lt;&gt;"",IF(INDEX('Gate events'!$P$4:$P$553,MATCH(B462,'Gate events'!$A$4:$A$553,0))="UC-ID specific",IF(OR(L462&lt;&gt;"UC-ID specific",K462=""),"Condition UC-ID required",IF(ISNUMBER(SEARCH(","&amp;SUBSTITUTE(K462," ","")&amp;",",","&amp;SUBSTITUTE(INDEX('Gate events'!$O$4:$O$553,MATCH(B462,'Gate events'!$A$4:$A$553,0))," ","")&amp;",")),"","UC-ID differs from decision")),IF(INDEX('Gate events'!$P$4:$P$553,MATCH(B462,'Gate events'!$A$4:$A$553,0))="Shared system baseline",IF(OR(L462&lt;&gt;"Shared system baseline",K462&lt;&gt;""),"Condition scope differs from decision",""),"Parent decision scope missing")),IF(OR(D462="",E462="",F462="",G462=""),"Condition, owner, due date or state missing",IF(NOT(ISNUMBER(F462)),"Due date is not a date",IF(OR(G462="Overdue",G462="Superseded"),"Legacy state — owner review (use the shared five states)",IF(INDEX('Gate events'!$E$4:$E$553,MATCH(B462,'Gate events'!$A$4:$A$553,0))&lt;&gt;"Decision","Parent event is not a Decision",IF(AND(INDEX('Gate events'!$G$4:$G$553,MATCH(B462,'Gate events'!$A$4:$A$553,0))&lt;&gt;"Progress with condition",INDEX('Gate events'!$G$4:$G$553,MATCH(B462,'Gate events'!$A$4:$A$553,0))&lt;&gt;"Re-authorise",INDEX('Gate events'!$G$4:$G$553,MATCH(B462,'Gate events'!$A$4:$A$553,0))&lt;&gt;"Resume"),"Parent outcome is not Progress with condition / Re-authorise / Resume",IF(AND(ISNUMBER(INDEX('Gate events'!$F$4:$F$553,MATCH(B462,'Gate events'!$A$4:$A$553,0))),F462&lt;INDEX('Gate events'!$F$4:$F$553,MATCH(B462,'Gate events'!$A$4:$A$553,0))),"Due date before parent event date",IF(AND(OR(G462="Closed-verified",G462="Waived",G462="Accepted-open"),OR(H462="",I462="")),"Closure evidence missing",IF(AND(H462&lt;&gt;"",NOT(ISNUMBER(H462))),"Closed / waived on is not a date",IF(AND(ISNUMBER(H462),ISNUMBER(INDEX('Gate events'!$F$4:$F$553,MATCH(B462,'Gate events'!$A$4:$A$553,0))),H462&lt;INDEX('Gate events'!$F$4:$F$553,MATCH(B462,'Gate events'!$A$4:$A$553,0))),"Closure date before parent event date",IF(AND(G462="Closed-verified",M462=""),"Verifier / date missing",IF(AND(N462="Yes",G462="Closed-verified",O462=""),"Monitoring condition needs AIG-OPS-02 evidence ref",IF(AND(G462="Open",F462&lt;TODAY()),"OVERDUE (derived) — review",IF(G462="Unknown","State Unknown: owner to confirm","Check against source")))))))))))))))))))</f>
        <v/>
      </c>
      <c r="K462" s="37" t="n"/>
      <c r="L462" s="37" t="n"/>
      <c r="M462" s="38" t="n"/>
      <c r="N462" s="38" t="n"/>
      <c r="O462" s="38" t="n"/>
    </row>
    <row r="463">
      <c r="A463" s="40" t="n"/>
      <c r="B463" s="40" t="n"/>
      <c r="C463" s="40" t="n"/>
      <c r="D463" s="40" t="n"/>
      <c r="E463" s="40" t="n"/>
      <c r="F463" s="41" t="n"/>
      <c r="G463" s="40" t="n"/>
      <c r="H463" s="41" t="n"/>
      <c r="I463" s="40" t="n"/>
      <c r="J463" s="24">
        <f>IF(COUNTA(A463:I463,K463:O463)=0,"",IF(OR(A463="",B463="",C463=""),"ID / parent missing",IF(COUNTIF($A$4:$A$553,A463)&gt;1,"Duplicate condition ID",IF(COUNTIF('Gate events'!$A$4:$A$553,B463)=0,"Event ID not found",IF(INDEX('Gate events'!$B$4:$B$553,MATCH(B463,'Gate events'!$A$4:$A$553,0))&lt;&gt;C463,"AIR-ID differs from event",IF(IF(INDEX('Gate events'!$P$4:$P$553,MATCH(B463,'Gate events'!$A$4:$A$553,0))="UC-ID specific",IF(OR(L463&lt;&gt;"UC-ID specific",K463=""),"Condition UC-ID required",IF(ISNUMBER(SEARCH(","&amp;SUBSTITUTE(K463," ","")&amp;",",","&amp;SUBSTITUTE(INDEX('Gate events'!$O$4:$O$553,MATCH(B463,'Gate events'!$A$4:$A$553,0))," ","")&amp;",")),"","UC-ID differs from decision")),IF(INDEX('Gate events'!$P$4:$P$553,MATCH(B463,'Gate events'!$A$4:$A$553,0))="Shared system baseline",IF(OR(L463&lt;&gt;"Shared system baseline",K463&lt;&gt;""),"Condition scope differs from decision",""),"Parent decision scope missing"))&lt;&gt;"",IF(INDEX('Gate events'!$P$4:$P$553,MATCH(B463,'Gate events'!$A$4:$A$553,0))="UC-ID specific",IF(OR(L463&lt;&gt;"UC-ID specific",K463=""),"Condition UC-ID required",IF(ISNUMBER(SEARCH(","&amp;SUBSTITUTE(K463," ","")&amp;",",","&amp;SUBSTITUTE(INDEX('Gate events'!$O$4:$O$553,MATCH(B463,'Gate events'!$A$4:$A$553,0))," ","")&amp;",")),"","UC-ID differs from decision")),IF(INDEX('Gate events'!$P$4:$P$553,MATCH(B463,'Gate events'!$A$4:$A$553,0))="Shared system baseline",IF(OR(L463&lt;&gt;"Shared system baseline",K463&lt;&gt;""),"Condition scope differs from decision",""),"Parent decision scope missing")),IF(OR(D463="",E463="",F463="",G463=""),"Condition, owner, due date or state missing",IF(NOT(ISNUMBER(F463)),"Due date is not a date",IF(OR(G463="Overdue",G463="Superseded"),"Legacy state — owner review (use the shared five states)",IF(INDEX('Gate events'!$E$4:$E$553,MATCH(B463,'Gate events'!$A$4:$A$553,0))&lt;&gt;"Decision","Parent event is not a Decision",IF(AND(INDEX('Gate events'!$G$4:$G$553,MATCH(B463,'Gate events'!$A$4:$A$553,0))&lt;&gt;"Progress with condition",INDEX('Gate events'!$G$4:$G$553,MATCH(B463,'Gate events'!$A$4:$A$553,0))&lt;&gt;"Re-authorise",INDEX('Gate events'!$G$4:$G$553,MATCH(B463,'Gate events'!$A$4:$A$553,0))&lt;&gt;"Resume"),"Parent outcome is not Progress with condition / Re-authorise / Resume",IF(AND(ISNUMBER(INDEX('Gate events'!$F$4:$F$553,MATCH(B463,'Gate events'!$A$4:$A$553,0))),F463&lt;INDEX('Gate events'!$F$4:$F$553,MATCH(B463,'Gate events'!$A$4:$A$553,0))),"Due date before parent event date",IF(AND(OR(G463="Closed-verified",G463="Waived",G463="Accepted-open"),OR(H463="",I463="")),"Closure evidence missing",IF(AND(H463&lt;&gt;"",NOT(ISNUMBER(H463))),"Closed / waived on is not a date",IF(AND(ISNUMBER(H463),ISNUMBER(INDEX('Gate events'!$F$4:$F$553,MATCH(B463,'Gate events'!$A$4:$A$553,0))),H463&lt;INDEX('Gate events'!$F$4:$F$553,MATCH(B463,'Gate events'!$A$4:$A$553,0))),"Closure date before parent event date",IF(AND(G463="Closed-verified",M463=""),"Verifier / date missing",IF(AND(N463="Yes",G463="Closed-verified",O463=""),"Monitoring condition needs AIG-OPS-02 evidence ref",IF(AND(G463="Open",F463&lt;TODAY()),"OVERDUE (derived) — review",IF(G463="Unknown","State Unknown: owner to confirm","Check against source")))))))))))))))))))</f>
        <v/>
      </c>
      <c r="K463" s="37" t="n"/>
      <c r="L463" s="37" t="n"/>
      <c r="M463" s="40" t="n"/>
      <c r="N463" s="40" t="n"/>
      <c r="O463" s="40" t="n"/>
    </row>
    <row r="464">
      <c r="A464" s="38" t="n"/>
      <c r="B464" s="38" t="n"/>
      <c r="C464" s="38" t="n"/>
      <c r="D464" s="38" t="n"/>
      <c r="E464" s="38" t="n"/>
      <c r="F464" s="39" t="n"/>
      <c r="G464" s="38" t="n"/>
      <c r="H464" s="39" t="n"/>
      <c r="I464" s="38" t="n"/>
      <c r="J464" s="22">
        <f>IF(COUNTA(A464:I464,K464:O464)=0,"",IF(OR(A464="",B464="",C464=""),"ID / parent missing",IF(COUNTIF($A$4:$A$553,A464)&gt;1,"Duplicate condition ID",IF(COUNTIF('Gate events'!$A$4:$A$553,B464)=0,"Event ID not found",IF(INDEX('Gate events'!$B$4:$B$553,MATCH(B464,'Gate events'!$A$4:$A$553,0))&lt;&gt;C464,"AIR-ID differs from event",IF(IF(INDEX('Gate events'!$P$4:$P$553,MATCH(B464,'Gate events'!$A$4:$A$553,0))="UC-ID specific",IF(OR(L464&lt;&gt;"UC-ID specific",K464=""),"Condition UC-ID required",IF(ISNUMBER(SEARCH(","&amp;SUBSTITUTE(K464," ","")&amp;",",","&amp;SUBSTITUTE(INDEX('Gate events'!$O$4:$O$553,MATCH(B464,'Gate events'!$A$4:$A$553,0))," ","")&amp;",")),"","UC-ID differs from decision")),IF(INDEX('Gate events'!$P$4:$P$553,MATCH(B464,'Gate events'!$A$4:$A$553,0))="Shared system baseline",IF(OR(L464&lt;&gt;"Shared system baseline",K464&lt;&gt;""),"Condition scope differs from decision",""),"Parent decision scope missing"))&lt;&gt;"",IF(INDEX('Gate events'!$P$4:$P$553,MATCH(B464,'Gate events'!$A$4:$A$553,0))="UC-ID specific",IF(OR(L464&lt;&gt;"UC-ID specific",K464=""),"Condition UC-ID required",IF(ISNUMBER(SEARCH(","&amp;SUBSTITUTE(K464," ","")&amp;",",","&amp;SUBSTITUTE(INDEX('Gate events'!$O$4:$O$553,MATCH(B464,'Gate events'!$A$4:$A$553,0))," ","")&amp;",")),"","UC-ID differs from decision")),IF(INDEX('Gate events'!$P$4:$P$553,MATCH(B464,'Gate events'!$A$4:$A$553,0))="Shared system baseline",IF(OR(L464&lt;&gt;"Shared system baseline",K464&lt;&gt;""),"Condition scope differs from decision",""),"Parent decision scope missing")),IF(OR(D464="",E464="",F464="",G464=""),"Condition, owner, due date or state missing",IF(NOT(ISNUMBER(F464)),"Due date is not a date",IF(OR(G464="Overdue",G464="Superseded"),"Legacy state — owner review (use the shared five states)",IF(INDEX('Gate events'!$E$4:$E$553,MATCH(B464,'Gate events'!$A$4:$A$553,0))&lt;&gt;"Decision","Parent event is not a Decision",IF(AND(INDEX('Gate events'!$G$4:$G$553,MATCH(B464,'Gate events'!$A$4:$A$553,0))&lt;&gt;"Progress with condition",INDEX('Gate events'!$G$4:$G$553,MATCH(B464,'Gate events'!$A$4:$A$553,0))&lt;&gt;"Re-authorise",INDEX('Gate events'!$G$4:$G$553,MATCH(B464,'Gate events'!$A$4:$A$553,0))&lt;&gt;"Resume"),"Parent outcome is not Progress with condition / Re-authorise / Resume",IF(AND(ISNUMBER(INDEX('Gate events'!$F$4:$F$553,MATCH(B464,'Gate events'!$A$4:$A$553,0))),F464&lt;INDEX('Gate events'!$F$4:$F$553,MATCH(B464,'Gate events'!$A$4:$A$553,0))),"Due date before parent event date",IF(AND(OR(G464="Closed-verified",G464="Waived",G464="Accepted-open"),OR(H464="",I464="")),"Closure evidence missing",IF(AND(H464&lt;&gt;"",NOT(ISNUMBER(H464))),"Closed / waived on is not a date",IF(AND(ISNUMBER(H464),ISNUMBER(INDEX('Gate events'!$F$4:$F$553,MATCH(B464,'Gate events'!$A$4:$A$553,0))),H464&lt;INDEX('Gate events'!$F$4:$F$553,MATCH(B464,'Gate events'!$A$4:$A$553,0))),"Closure date before parent event date",IF(AND(G464="Closed-verified",M464=""),"Verifier / date missing",IF(AND(N464="Yes",G464="Closed-verified",O464=""),"Monitoring condition needs AIG-OPS-02 evidence ref",IF(AND(G464="Open",F464&lt;TODAY()),"OVERDUE (derived) — review",IF(G464="Unknown","State Unknown: owner to confirm","Check against source")))))))))))))))))))</f>
        <v/>
      </c>
      <c r="K464" s="37" t="n"/>
      <c r="L464" s="37" t="n"/>
      <c r="M464" s="38" t="n"/>
      <c r="N464" s="38" t="n"/>
      <c r="O464" s="38" t="n"/>
    </row>
    <row r="465">
      <c r="A465" s="40" t="n"/>
      <c r="B465" s="40" t="n"/>
      <c r="C465" s="40" t="n"/>
      <c r="D465" s="40" t="n"/>
      <c r="E465" s="40" t="n"/>
      <c r="F465" s="41" t="n"/>
      <c r="G465" s="40" t="n"/>
      <c r="H465" s="41" t="n"/>
      <c r="I465" s="40" t="n"/>
      <c r="J465" s="24">
        <f>IF(COUNTA(A465:I465,K465:O465)=0,"",IF(OR(A465="",B465="",C465=""),"ID / parent missing",IF(COUNTIF($A$4:$A$553,A465)&gt;1,"Duplicate condition ID",IF(COUNTIF('Gate events'!$A$4:$A$553,B465)=0,"Event ID not found",IF(INDEX('Gate events'!$B$4:$B$553,MATCH(B465,'Gate events'!$A$4:$A$553,0))&lt;&gt;C465,"AIR-ID differs from event",IF(IF(INDEX('Gate events'!$P$4:$P$553,MATCH(B465,'Gate events'!$A$4:$A$553,0))="UC-ID specific",IF(OR(L465&lt;&gt;"UC-ID specific",K465=""),"Condition UC-ID required",IF(ISNUMBER(SEARCH(","&amp;SUBSTITUTE(K465," ","")&amp;",",","&amp;SUBSTITUTE(INDEX('Gate events'!$O$4:$O$553,MATCH(B465,'Gate events'!$A$4:$A$553,0))," ","")&amp;",")),"","UC-ID differs from decision")),IF(INDEX('Gate events'!$P$4:$P$553,MATCH(B465,'Gate events'!$A$4:$A$553,0))="Shared system baseline",IF(OR(L465&lt;&gt;"Shared system baseline",K465&lt;&gt;""),"Condition scope differs from decision",""),"Parent decision scope missing"))&lt;&gt;"",IF(INDEX('Gate events'!$P$4:$P$553,MATCH(B465,'Gate events'!$A$4:$A$553,0))="UC-ID specific",IF(OR(L465&lt;&gt;"UC-ID specific",K465=""),"Condition UC-ID required",IF(ISNUMBER(SEARCH(","&amp;SUBSTITUTE(K465," ","")&amp;",",","&amp;SUBSTITUTE(INDEX('Gate events'!$O$4:$O$553,MATCH(B465,'Gate events'!$A$4:$A$553,0))," ","")&amp;",")),"","UC-ID differs from decision")),IF(INDEX('Gate events'!$P$4:$P$553,MATCH(B465,'Gate events'!$A$4:$A$553,0))="Shared system baseline",IF(OR(L465&lt;&gt;"Shared system baseline",K465&lt;&gt;""),"Condition scope differs from decision",""),"Parent decision scope missing")),IF(OR(D465="",E465="",F465="",G465=""),"Condition, owner, due date or state missing",IF(NOT(ISNUMBER(F465)),"Due date is not a date",IF(OR(G465="Overdue",G465="Superseded"),"Legacy state — owner review (use the shared five states)",IF(INDEX('Gate events'!$E$4:$E$553,MATCH(B465,'Gate events'!$A$4:$A$553,0))&lt;&gt;"Decision","Parent event is not a Decision",IF(AND(INDEX('Gate events'!$G$4:$G$553,MATCH(B465,'Gate events'!$A$4:$A$553,0))&lt;&gt;"Progress with condition",INDEX('Gate events'!$G$4:$G$553,MATCH(B465,'Gate events'!$A$4:$A$553,0))&lt;&gt;"Re-authorise",INDEX('Gate events'!$G$4:$G$553,MATCH(B465,'Gate events'!$A$4:$A$553,0))&lt;&gt;"Resume"),"Parent outcome is not Progress with condition / Re-authorise / Resume",IF(AND(ISNUMBER(INDEX('Gate events'!$F$4:$F$553,MATCH(B465,'Gate events'!$A$4:$A$553,0))),F465&lt;INDEX('Gate events'!$F$4:$F$553,MATCH(B465,'Gate events'!$A$4:$A$553,0))),"Due date before parent event date",IF(AND(OR(G465="Closed-verified",G465="Waived",G465="Accepted-open"),OR(H465="",I465="")),"Closure evidence missing",IF(AND(H465&lt;&gt;"",NOT(ISNUMBER(H465))),"Closed / waived on is not a date",IF(AND(ISNUMBER(H465),ISNUMBER(INDEX('Gate events'!$F$4:$F$553,MATCH(B465,'Gate events'!$A$4:$A$553,0))),H465&lt;INDEX('Gate events'!$F$4:$F$553,MATCH(B465,'Gate events'!$A$4:$A$553,0))),"Closure date before parent event date",IF(AND(G465="Closed-verified",M465=""),"Verifier / date missing",IF(AND(N465="Yes",G465="Closed-verified",O465=""),"Monitoring condition needs AIG-OPS-02 evidence ref",IF(AND(G465="Open",F465&lt;TODAY()),"OVERDUE (derived) — review",IF(G465="Unknown","State Unknown: owner to confirm","Check against source")))))))))))))))))))</f>
        <v/>
      </c>
      <c r="K465" s="37" t="n"/>
      <c r="L465" s="37" t="n"/>
      <c r="M465" s="40" t="n"/>
      <c r="N465" s="40" t="n"/>
      <c r="O465" s="40" t="n"/>
    </row>
    <row r="466">
      <c r="A466" s="38" t="n"/>
      <c r="B466" s="38" t="n"/>
      <c r="C466" s="38" t="n"/>
      <c r="D466" s="38" t="n"/>
      <c r="E466" s="38" t="n"/>
      <c r="F466" s="39" t="n"/>
      <c r="G466" s="38" t="n"/>
      <c r="H466" s="39" t="n"/>
      <c r="I466" s="38" t="n"/>
      <c r="J466" s="22">
        <f>IF(COUNTA(A466:I466,K466:O466)=0,"",IF(OR(A466="",B466="",C466=""),"ID / parent missing",IF(COUNTIF($A$4:$A$553,A466)&gt;1,"Duplicate condition ID",IF(COUNTIF('Gate events'!$A$4:$A$553,B466)=0,"Event ID not found",IF(INDEX('Gate events'!$B$4:$B$553,MATCH(B466,'Gate events'!$A$4:$A$553,0))&lt;&gt;C466,"AIR-ID differs from event",IF(IF(INDEX('Gate events'!$P$4:$P$553,MATCH(B466,'Gate events'!$A$4:$A$553,0))="UC-ID specific",IF(OR(L466&lt;&gt;"UC-ID specific",K466=""),"Condition UC-ID required",IF(ISNUMBER(SEARCH(","&amp;SUBSTITUTE(K466," ","")&amp;",",","&amp;SUBSTITUTE(INDEX('Gate events'!$O$4:$O$553,MATCH(B466,'Gate events'!$A$4:$A$553,0))," ","")&amp;",")),"","UC-ID differs from decision")),IF(INDEX('Gate events'!$P$4:$P$553,MATCH(B466,'Gate events'!$A$4:$A$553,0))="Shared system baseline",IF(OR(L466&lt;&gt;"Shared system baseline",K466&lt;&gt;""),"Condition scope differs from decision",""),"Parent decision scope missing"))&lt;&gt;"",IF(INDEX('Gate events'!$P$4:$P$553,MATCH(B466,'Gate events'!$A$4:$A$553,0))="UC-ID specific",IF(OR(L466&lt;&gt;"UC-ID specific",K466=""),"Condition UC-ID required",IF(ISNUMBER(SEARCH(","&amp;SUBSTITUTE(K466," ","")&amp;",",","&amp;SUBSTITUTE(INDEX('Gate events'!$O$4:$O$553,MATCH(B466,'Gate events'!$A$4:$A$553,0))," ","")&amp;",")),"","UC-ID differs from decision")),IF(INDEX('Gate events'!$P$4:$P$553,MATCH(B466,'Gate events'!$A$4:$A$553,0))="Shared system baseline",IF(OR(L466&lt;&gt;"Shared system baseline",K466&lt;&gt;""),"Condition scope differs from decision",""),"Parent decision scope missing")),IF(OR(D466="",E466="",F466="",G466=""),"Condition, owner, due date or state missing",IF(NOT(ISNUMBER(F466)),"Due date is not a date",IF(OR(G466="Overdue",G466="Superseded"),"Legacy state — owner review (use the shared five states)",IF(INDEX('Gate events'!$E$4:$E$553,MATCH(B466,'Gate events'!$A$4:$A$553,0))&lt;&gt;"Decision","Parent event is not a Decision",IF(AND(INDEX('Gate events'!$G$4:$G$553,MATCH(B466,'Gate events'!$A$4:$A$553,0))&lt;&gt;"Progress with condition",INDEX('Gate events'!$G$4:$G$553,MATCH(B466,'Gate events'!$A$4:$A$553,0))&lt;&gt;"Re-authorise",INDEX('Gate events'!$G$4:$G$553,MATCH(B466,'Gate events'!$A$4:$A$553,0))&lt;&gt;"Resume"),"Parent outcome is not Progress with condition / Re-authorise / Resume",IF(AND(ISNUMBER(INDEX('Gate events'!$F$4:$F$553,MATCH(B466,'Gate events'!$A$4:$A$553,0))),F466&lt;INDEX('Gate events'!$F$4:$F$553,MATCH(B466,'Gate events'!$A$4:$A$553,0))),"Due date before parent event date",IF(AND(OR(G466="Closed-verified",G466="Waived",G466="Accepted-open"),OR(H466="",I466="")),"Closure evidence missing",IF(AND(H466&lt;&gt;"",NOT(ISNUMBER(H466))),"Closed / waived on is not a date",IF(AND(ISNUMBER(H466),ISNUMBER(INDEX('Gate events'!$F$4:$F$553,MATCH(B466,'Gate events'!$A$4:$A$553,0))),H466&lt;INDEX('Gate events'!$F$4:$F$553,MATCH(B466,'Gate events'!$A$4:$A$553,0))),"Closure date before parent event date",IF(AND(G466="Closed-verified",M466=""),"Verifier / date missing",IF(AND(N466="Yes",G466="Closed-verified",O466=""),"Monitoring condition needs AIG-OPS-02 evidence ref",IF(AND(G466="Open",F466&lt;TODAY()),"OVERDUE (derived) — review",IF(G466="Unknown","State Unknown: owner to confirm","Check against source")))))))))))))))))))</f>
        <v/>
      </c>
      <c r="K466" s="37" t="n"/>
      <c r="L466" s="37" t="n"/>
      <c r="M466" s="38" t="n"/>
      <c r="N466" s="38" t="n"/>
      <c r="O466" s="38" t="n"/>
    </row>
    <row r="467">
      <c r="A467" s="40" t="n"/>
      <c r="B467" s="40" t="n"/>
      <c r="C467" s="40" t="n"/>
      <c r="D467" s="40" t="n"/>
      <c r="E467" s="40" t="n"/>
      <c r="F467" s="41" t="n"/>
      <c r="G467" s="40" t="n"/>
      <c r="H467" s="41" t="n"/>
      <c r="I467" s="40" t="n"/>
      <c r="J467" s="24">
        <f>IF(COUNTA(A467:I467,K467:O467)=0,"",IF(OR(A467="",B467="",C467=""),"ID / parent missing",IF(COUNTIF($A$4:$A$553,A467)&gt;1,"Duplicate condition ID",IF(COUNTIF('Gate events'!$A$4:$A$553,B467)=0,"Event ID not found",IF(INDEX('Gate events'!$B$4:$B$553,MATCH(B467,'Gate events'!$A$4:$A$553,0))&lt;&gt;C467,"AIR-ID differs from event",IF(IF(INDEX('Gate events'!$P$4:$P$553,MATCH(B467,'Gate events'!$A$4:$A$553,0))="UC-ID specific",IF(OR(L467&lt;&gt;"UC-ID specific",K467=""),"Condition UC-ID required",IF(ISNUMBER(SEARCH(","&amp;SUBSTITUTE(K467," ","")&amp;",",","&amp;SUBSTITUTE(INDEX('Gate events'!$O$4:$O$553,MATCH(B467,'Gate events'!$A$4:$A$553,0))," ","")&amp;",")),"","UC-ID differs from decision")),IF(INDEX('Gate events'!$P$4:$P$553,MATCH(B467,'Gate events'!$A$4:$A$553,0))="Shared system baseline",IF(OR(L467&lt;&gt;"Shared system baseline",K467&lt;&gt;""),"Condition scope differs from decision",""),"Parent decision scope missing"))&lt;&gt;"",IF(INDEX('Gate events'!$P$4:$P$553,MATCH(B467,'Gate events'!$A$4:$A$553,0))="UC-ID specific",IF(OR(L467&lt;&gt;"UC-ID specific",K467=""),"Condition UC-ID required",IF(ISNUMBER(SEARCH(","&amp;SUBSTITUTE(K467," ","")&amp;",",","&amp;SUBSTITUTE(INDEX('Gate events'!$O$4:$O$553,MATCH(B467,'Gate events'!$A$4:$A$553,0))," ","")&amp;",")),"","UC-ID differs from decision")),IF(INDEX('Gate events'!$P$4:$P$553,MATCH(B467,'Gate events'!$A$4:$A$553,0))="Shared system baseline",IF(OR(L467&lt;&gt;"Shared system baseline",K467&lt;&gt;""),"Condition scope differs from decision",""),"Parent decision scope missing")),IF(OR(D467="",E467="",F467="",G467=""),"Condition, owner, due date or state missing",IF(NOT(ISNUMBER(F467)),"Due date is not a date",IF(OR(G467="Overdue",G467="Superseded"),"Legacy state — owner review (use the shared five states)",IF(INDEX('Gate events'!$E$4:$E$553,MATCH(B467,'Gate events'!$A$4:$A$553,0))&lt;&gt;"Decision","Parent event is not a Decision",IF(AND(INDEX('Gate events'!$G$4:$G$553,MATCH(B467,'Gate events'!$A$4:$A$553,0))&lt;&gt;"Progress with condition",INDEX('Gate events'!$G$4:$G$553,MATCH(B467,'Gate events'!$A$4:$A$553,0))&lt;&gt;"Re-authorise",INDEX('Gate events'!$G$4:$G$553,MATCH(B467,'Gate events'!$A$4:$A$553,0))&lt;&gt;"Resume"),"Parent outcome is not Progress with condition / Re-authorise / Resume",IF(AND(ISNUMBER(INDEX('Gate events'!$F$4:$F$553,MATCH(B467,'Gate events'!$A$4:$A$553,0))),F467&lt;INDEX('Gate events'!$F$4:$F$553,MATCH(B467,'Gate events'!$A$4:$A$553,0))),"Due date before parent event date",IF(AND(OR(G467="Closed-verified",G467="Waived",G467="Accepted-open"),OR(H467="",I467="")),"Closure evidence missing",IF(AND(H467&lt;&gt;"",NOT(ISNUMBER(H467))),"Closed / waived on is not a date",IF(AND(ISNUMBER(H467),ISNUMBER(INDEX('Gate events'!$F$4:$F$553,MATCH(B467,'Gate events'!$A$4:$A$553,0))),H467&lt;INDEX('Gate events'!$F$4:$F$553,MATCH(B467,'Gate events'!$A$4:$A$553,0))),"Closure date before parent event date",IF(AND(G467="Closed-verified",M467=""),"Verifier / date missing",IF(AND(N467="Yes",G467="Closed-verified",O467=""),"Monitoring condition needs AIG-OPS-02 evidence ref",IF(AND(G467="Open",F467&lt;TODAY()),"OVERDUE (derived) — review",IF(G467="Unknown","State Unknown: owner to confirm","Check against source")))))))))))))))))))</f>
        <v/>
      </c>
      <c r="K467" s="37" t="n"/>
      <c r="L467" s="37" t="n"/>
      <c r="M467" s="40" t="n"/>
      <c r="N467" s="40" t="n"/>
      <c r="O467" s="40" t="n"/>
    </row>
    <row r="468">
      <c r="A468" s="38" t="n"/>
      <c r="B468" s="38" t="n"/>
      <c r="C468" s="38" t="n"/>
      <c r="D468" s="38" t="n"/>
      <c r="E468" s="38" t="n"/>
      <c r="F468" s="39" t="n"/>
      <c r="G468" s="38" t="n"/>
      <c r="H468" s="39" t="n"/>
      <c r="I468" s="38" t="n"/>
      <c r="J468" s="22">
        <f>IF(COUNTA(A468:I468,K468:O468)=0,"",IF(OR(A468="",B468="",C468=""),"ID / parent missing",IF(COUNTIF($A$4:$A$553,A468)&gt;1,"Duplicate condition ID",IF(COUNTIF('Gate events'!$A$4:$A$553,B468)=0,"Event ID not found",IF(INDEX('Gate events'!$B$4:$B$553,MATCH(B468,'Gate events'!$A$4:$A$553,0))&lt;&gt;C468,"AIR-ID differs from event",IF(IF(INDEX('Gate events'!$P$4:$P$553,MATCH(B468,'Gate events'!$A$4:$A$553,0))="UC-ID specific",IF(OR(L468&lt;&gt;"UC-ID specific",K468=""),"Condition UC-ID required",IF(ISNUMBER(SEARCH(","&amp;SUBSTITUTE(K468," ","")&amp;",",","&amp;SUBSTITUTE(INDEX('Gate events'!$O$4:$O$553,MATCH(B468,'Gate events'!$A$4:$A$553,0))," ","")&amp;",")),"","UC-ID differs from decision")),IF(INDEX('Gate events'!$P$4:$P$553,MATCH(B468,'Gate events'!$A$4:$A$553,0))="Shared system baseline",IF(OR(L468&lt;&gt;"Shared system baseline",K468&lt;&gt;""),"Condition scope differs from decision",""),"Parent decision scope missing"))&lt;&gt;"",IF(INDEX('Gate events'!$P$4:$P$553,MATCH(B468,'Gate events'!$A$4:$A$553,0))="UC-ID specific",IF(OR(L468&lt;&gt;"UC-ID specific",K468=""),"Condition UC-ID required",IF(ISNUMBER(SEARCH(","&amp;SUBSTITUTE(K468," ","")&amp;",",","&amp;SUBSTITUTE(INDEX('Gate events'!$O$4:$O$553,MATCH(B468,'Gate events'!$A$4:$A$553,0))," ","")&amp;",")),"","UC-ID differs from decision")),IF(INDEX('Gate events'!$P$4:$P$553,MATCH(B468,'Gate events'!$A$4:$A$553,0))="Shared system baseline",IF(OR(L468&lt;&gt;"Shared system baseline",K468&lt;&gt;""),"Condition scope differs from decision",""),"Parent decision scope missing")),IF(OR(D468="",E468="",F468="",G468=""),"Condition, owner, due date or state missing",IF(NOT(ISNUMBER(F468)),"Due date is not a date",IF(OR(G468="Overdue",G468="Superseded"),"Legacy state — owner review (use the shared five states)",IF(INDEX('Gate events'!$E$4:$E$553,MATCH(B468,'Gate events'!$A$4:$A$553,0))&lt;&gt;"Decision","Parent event is not a Decision",IF(AND(INDEX('Gate events'!$G$4:$G$553,MATCH(B468,'Gate events'!$A$4:$A$553,0))&lt;&gt;"Progress with condition",INDEX('Gate events'!$G$4:$G$553,MATCH(B468,'Gate events'!$A$4:$A$553,0))&lt;&gt;"Re-authorise",INDEX('Gate events'!$G$4:$G$553,MATCH(B468,'Gate events'!$A$4:$A$553,0))&lt;&gt;"Resume"),"Parent outcome is not Progress with condition / Re-authorise / Resume",IF(AND(ISNUMBER(INDEX('Gate events'!$F$4:$F$553,MATCH(B468,'Gate events'!$A$4:$A$553,0))),F468&lt;INDEX('Gate events'!$F$4:$F$553,MATCH(B468,'Gate events'!$A$4:$A$553,0))),"Due date before parent event date",IF(AND(OR(G468="Closed-verified",G468="Waived",G468="Accepted-open"),OR(H468="",I468="")),"Closure evidence missing",IF(AND(H468&lt;&gt;"",NOT(ISNUMBER(H468))),"Closed / waived on is not a date",IF(AND(ISNUMBER(H468),ISNUMBER(INDEX('Gate events'!$F$4:$F$553,MATCH(B468,'Gate events'!$A$4:$A$553,0))),H468&lt;INDEX('Gate events'!$F$4:$F$553,MATCH(B468,'Gate events'!$A$4:$A$553,0))),"Closure date before parent event date",IF(AND(G468="Closed-verified",M468=""),"Verifier / date missing",IF(AND(N468="Yes",G468="Closed-verified",O468=""),"Monitoring condition needs AIG-OPS-02 evidence ref",IF(AND(G468="Open",F468&lt;TODAY()),"OVERDUE (derived) — review",IF(G468="Unknown","State Unknown: owner to confirm","Check against source")))))))))))))))))))</f>
        <v/>
      </c>
      <c r="K468" s="37" t="n"/>
      <c r="L468" s="37" t="n"/>
      <c r="M468" s="38" t="n"/>
      <c r="N468" s="38" t="n"/>
      <c r="O468" s="38" t="n"/>
    </row>
    <row r="469">
      <c r="A469" s="40" t="n"/>
      <c r="B469" s="40" t="n"/>
      <c r="C469" s="40" t="n"/>
      <c r="D469" s="40" t="n"/>
      <c r="E469" s="40" t="n"/>
      <c r="F469" s="41" t="n"/>
      <c r="G469" s="40" t="n"/>
      <c r="H469" s="41" t="n"/>
      <c r="I469" s="40" t="n"/>
      <c r="J469" s="24">
        <f>IF(COUNTA(A469:I469,K469:O469)=0,"",IF(OR(A469="",B469="",C469=""),"ID / parent missing",IF(COUNTIF($A$4:$A$553,A469)&gt;1,"Duplicate condition ID",IF(COUNTIF('Gate events'!$A$4:$A$553,B469)=0,"Event ID not found",IF(INDEX('Gate events'!$B$4:$B$553,MATCH(B469,'Gate events'!$A$4:$A$553,0))&lt;&gt;C469,"AIR-ID differs from event",IF(IF(INDEX('Gate events'!$P$4:$P$553,MATCH(B469,'Gate events'!$A$4:$A$553,0))="UC-ID specific",IF(OR(L469&lt;&gt;"UC-ID specific",K469=""),"Condition UC-ID required",IF(ISNUMBER(SEARCH(","&amp;SUBSTITUTE(K469," ","")&amp;",",","&amp;SUBSTITUTE(INDEX('Gate events'!$O$4:$O$553,MATCH(B469,'Gate events'!$A$4:$A$553,0))," ","")&amp;",")),"","UC-ID differs from decision")),IF(INDEX('Gate events'!$P$4:$P$553,MATCH(B469,'Gate events'!$A$4:$A$553,0))="Shared system baseline",IF(OR(L469&lt;&gt;"Shared system baseline",K469&lt;&gt;""),"Condition scope differs from decision",""),"Parent decision scope missing"))&lt;&gt;"",IF(INDEX('Gate events'!$P$4:$P$553,MATCH(B469,'Gate events'!$A$4:$A$553,0))="UC-ID specific",IF(OR(L469&lt;&gt;"UC-ID specific",K469=""),"Condition UC-ID required",IF(ISNUMBER(SEARCH(","&amp;SUBSTITUTE(K469," ","")&amp;",",","&amp;SUBSTITUTE(INDEX('Gate events'!$O$4:$O$553,MATCH(B469,'Gate events'!$A$4:$A$553,0))," ","")&amp;",")),"","UC-ID differs from decision")),IF(INDEX('Gate events'!$P$4:$P$553,MATCH(B469,'Gate events'!$A$4:$A$553,0))="Shared system baseline",IF(OR(L469&lt;&gt;"Shared system baseline",K469&lt;&gt;""),"Condition scope differs from decision",""),"Parent decision scope missing")),IF(OR(D469="",E469="",F469="",G469=""),"Condition, owner, due date or state missing",IF(NOT(ISNUMBER(F469)),"Due date is not a date",IF(OR(G469="Overdue",G469="Superseded"),"Legacy state — owner review (use the shared five states)",IF(INDEX('Gate events'!$E$4:$E$553,MATCH(B469,'Gate events'!$A$4:$A$553,0))&lt;&gt;"Decision","Parent event is not a Decision",IF(AND(INDEX('Gate events'!$G$4:$G$553,MATCH(B469,'Gate events'!$A$4:$A$553,0))&lt;&gt;"Progress with condition",INDEX('Gate events'!$G$4:$G$553,MATCH(B469,'Gate events'!$A$4:$A$553,0))&lt;&gt;"Re-authorise",INDEX('Gate events'!$G$4:$G$553,MATCH(B469,'Gate events'!$A$4:$A$553,0))&lt;&gt;"Resume"),"Parent outcome is not Progress with condition / Re-authorise / Resume",IF(AND(ISNUMBER(INDEX('Gate events'!$F$4:$F$553,MATCH(B469,'Gate events'!$A$4:$A$553,0))),F469&lt;INDEX('Gate events'!$F$4:$F$553,MATCH(B469,'Gate events'!$A$4:$A$553,0))),"Due date before parent event date",IF(AND(OR(G469="Closed-verified",G469="Waived",G469="Accepted-open"),OR(H469="",I469="")),"Closure evidence missing",IF(AND(H469&lt;&gt;"",NOT(ISNUMBER(H469))),"Closed / waived on is not a date",IF(AND(ISNUMBER(H469),ISNUMBER(INDEX('Gate events'!$F$4:$F$553,MATCH(B469,'Gate events'!$A$4:$A$553,0))),H469&lt;INDEX('Gate events'!$F$4:$F$553,MATCH(B469,'Gate events'!$A$4:$A$553,0))),"Closure date before parent event date",IF(AND(G469="Closed-verified",M469=""),"Verifier / date missing",IF(AND(N469="Yes",G469="Closed-verified",O469=""),"Monitoring condition needs AIG-OPS-02 evidence ref",IF(AND(G469="Open",F469&lt;TODAY()),"OVERDUE (derived) — review",IF(G469="Unknown","State Unknown: owner to confirm","Check against source")))))))))))))))))))</f>
        <v/>
      </c>
      <c r="K469" s="37" t="n"/>
      <c r="L469" s="37" t="n"/>
      <c r="M469" s="40" t="n"/>
      <c r="N469" s="40" t="n"/>
      <c r="O469" s="40" t="n"/>
    </row>
    <row r="470">
      <c r="A470" s="38" t="n"/>
      <c r="B470" s="38" t="n"/>
      <c r="C470" s="38" t="n"/>
      <c r="D470" s="38" t="n"/>
      <c r="E470" s="38" t="n"/>
      <c r="F470" s="39" t="n"/>
      <c r="G470" s="38" t="n"/>
      <c r="H470" s="39" t="n"/>
      <c r="I470" s="38" t="n"/>
      <c r="J470" s="22">
        <f>IF(COUNTA(A470:I470,K470:O470)=0,"",IF(OR(A470="",B470="",C470=""),"ID / parent missing",IF(COUNTIF($A$4:$A$553,A470)&gt;1,"Duplicate condition ID",IF(COUNTIF('Gate events'!$A$4:$A$553,B470)=0,"Event ID not found",IF(INDEX('Gate events'!$B$4:$B$553,MATCH(B470,'Gate events'!$A$4:$A$553,0))&lt;&gt;C470,"AIR-ID differs from event",IF(IF(INDEX('Gate events'!$P$4:$P$553,MATCH(B470,'Gate events'!$A$4:$A$553,0))="UC-ID specific",IF(OR(L470&lt;&gt;"UC-ID specific",K470=""),"Condition UC-ID required",IF(ISNUMBER(SEARCH(","&amp;SUBSTITUTE(K470," ","")&amp;",",","&amp;SUBSTITUTE(INDEX('Gate events'!$O$4:$O$553,MATCH(B470,'Gate events'!$A$4:$A$553,0))," ","")&amp;",")),"","UC-ID differs from decision")),IF(INDEX('Gate events'!$P$4:$P$553,MATCH(B470,'Gate events'!$A$4:$A$553,0))="Shared system baseline",IF(OR(L470&lt;&gt;"Shared system baseline",K470&lt;&gt;""),"Condition scope differs from decision",""),"Parent decision scope missing"))&lt;&gt;"",IF(INDEX('Gate events'!$P$4:$P$553,MATCH(B470,'Gate events'!$A$4:$A$553,0))="UC-ID specific",IF(OR(L470&lt;&gt;"UC-ID specific",K470=""),"Condition UC-ID required",IF(ISNUMBER(SEARCH(","&amp;SUBSTITUTE(K470," ","")&amp;",",","&amp;SUBSTITUTE(INDEX('Gate events'!$O$4:$O$553,MATCH(B470,'Gate events'!$A$4:$A$553,0))," ","")&amp;",")),"","UC-ID differs from decision")),IF(INDEX('Gate events'!$P$4:$P$553,MATCH(B470,'Gate events'!$A$4:$A$553,0))="Shared system baseline",IF(OR(L470&lt;&gt;"Shared system baseline",K470&lt;&gt;""),"Condition scope differs from decision",""),"Parent decision scope missing")),IF(OR(D470="",E470="",F470="",G470=""),"Condition, owner, due date or state missing",IF(NOT(ISNUMBER(F470)),"Due date is not a date",IF(OR(G470="Overdue",G470="Superseded"),"Legacy state — owner review (use the shared five states)",IF(INDEX('Gate events'!$E$4:$E$553,MATCH(B470,'Gate events'!$A$4:$A$553,0))&lt;&gt;"Decision","Parent event is not a Decision",IF(AND(INDEX('Gate events'!$G$4:$G$553,MATCH(B470,'Gate events'!$A$4:$A$553,0))&lt;&gt;"Progress with condition",INDEX('Gate events'!$G$4:$G$553,MATCH(B470,'Gate events'!$A$4:$A$553,0))&lt;&gt;"Re-authorise",INDEX('Gate events'!$G$4:$G$553,MATCH(B470,'Gate events'!$A$4:$A$553,0))&lt;&gt;"Resume"),"Parent outcome is not Progress with condition / Re-authorise / Resume",IF(AND(ISNUMBER(INDEX('Gate events'!$F$4:$F$553,MATCH(B470,'Gate events'!$A$4:$A$553,0))),F470&lt;INDEX('Gate events'!$F$4:$F$553,MATCH(B470,'Gate events'!$A$4:$A$553,0))),"Due date before parent event date",IF(AND(OR(G470="Closed-verified",G470="Waived",G470="Accepted-open"),OR(H470="",I470="")),"Closure evidence missing",IF(AND(H470&lt;&gt;"",NOT(ISNUMBER(H470))),"Closed / waived on is not a date",IF(AND(ISNUMBER(H470),ISNUMBER(INDEX('Gate events'!$F$4:$F$553,MATCH(B470,'Gate events'!$A$4:$A$553,0))),H470&lt;INDEX('Gate events'!$F$4:$F$553,MATCH(B470,'Gate events'!$A$4:$A$553,0))),"Closure date before parent event date",IF(AND(G470="Closed-verified",M470=""),"Verifier / date missing",IF(AND(N470="Yes",G470="Closed-verified",O470=""),"Monitoring condition needs AIG-OPS-02 evidence ref",IF(AND(G470="Open",F470&lt;TODAY()),"OVERDUE (derived) — review",IF(G470="Unknown","State Unknown: owner to confirm","Check against source")))))))))))))))))))</f>
        <v/>
      </c>
      <c r="K470" s="37" t="n"/>
      <c r="L470" s="37" t="n"/>
      <c r="M470" s="38" t="n"/>
      <c r="N470" s="38" t="n"/>
      <c r="O470" s="38" t="n"/>
    </row>
    <row r="471">
      <c r="A471" s="40" t="n"/>
      <c r="B471" s="40" t="n"/>
      <c r="C471" s="40" t="n"/>
      <c r="D471" s="40" t="n"/>
      <c r="E471" s="40" t="n"/>
      <c r="F471" s="41" t="n"/>
      <c r="G471" s="40" t="n"/>
      <c r="H471" s="41" t="n"/>
      <c r="I471" s="40" t="n"/>
      <c r="J471" s="24">
        <f>IF(COUNTA(A471:I471,K471:O471)=0,"",IF(OR(A471="",B471="",C471=""),"ID / parent missing",IF(COUNTIF($A$4:$A$553,A471)&gt;1,"Duplicate condition ID",IF(COUNTIF('Gate events'!$A$4:$A$553,B471)=0,"Event ID not found",IF(INDEX('Gate events'!$B$4:$B$553,MATCH(B471,'Gate events'!$A$4:$A$553,0))&lt;&gt;C471,"AIR-ID differs from event",IF(IF(INDEX('Gate events'!$P$4:$P$553,MATCH(B471,'Gate events'!$A$4:$A$553,0))="UC-ID specific",IF(OR(L471&lt;&gt;"UC-ID specific",K471=""),"Condition UC-ID required",IF(ISNUMBER(SEARCH(","&amp;SUBSTITUTE(K471," ","")&amp;",",","&amp;SUBSTITUTE(INDEX('Gate events'!$O$4:$O$553,MATCH(B471,'Gate events'!$A$4:$A$553,0))," ","")&amp;",")),"","UC-ID differs from decision")),IF(INDEX('Gate events'!$P$4:$P$553,MATCH(B471,'Gate events'!$A$4:$A$553,0))="Shared system baseline",IF(OR(L471&lt;&gt;"Shared system baseline",K471&lt;&gt;""),"Condition scope differs from decision",""),"Parent decision scope missing"))&lt;&gt;"",IF(INDEX('Gate events'!$P$4:$P$553,MATCH(B471,'Gate events'!$A$4:$A$553,0))="UC-ID specific",IF(OR(L471&lt;&gt;"UC-ID specific",K471=""),"Condition UC-ID required",IF(ISNUMBER(SEARCH(","&amp;SUBSTITUTE(K471," ","")&amp;",",","&amp;SUBSTITUTE(INDEX('Gate events'!$O$4:$O$553,MATCH(B471,'Gate events'!$A$4:$A$553,0))," ","")&amp;",")),"","UC-ID differs from decision")),IF(INDEX('Gate events'!$P$4:$P$553,MATCH(B471,'Gate events'!$A$4:$A$553,0))="Shared system baseline",IF(OR(L471&lt;&gt;"Shared system baseline",K471&lt;&gt;""),"Condition scope differs from decision",""),"Parent decision scope missing")),IF(OR(D471="",E471="",F471="",G471=""),"Condition, owner, due date or state missing",IF(NOT(ISNUMBER(F471)),"Due date is not a date",IF(OR(G471="Overdue",G471="Superseded"),"Legacy state — owner review (use the shared five states)",IF(INDEX('Gate events'!$E$4:$E$553,MATCH(B471,'Gate events'!$A$4:$A$553,0))&lt;&gt;"Decision","Parent event is not a Decision",IF(AND(INDEX('Gate events'!$G$4:$G$553,MATCH(B471,'Gate events'!$A$4:$A$553,0))&lt;&gt;"Progress with condition",INDEX('Gate events'!$G$4:$G$553,MATCH(B471,'Gate events'!$A$4:$A$553,0))&lt;&gt;"Re-authorise",INDEX('Gate events'!$G$4:$G$553,MATCH(B471,'Gate events'!$A$4:$A$553,0))&lt;&gt;"Resume"),"Parent outcome is not Progress with condition / Re-authorise / Resume",IF(AND(ISNUMBER(INDEX('Gate events'!$F$4:$F$553,MATCH(B471,'Gate events'!$A$4:$A$553,0))),F471&lt;INDEX('Gate events'!$F$4:$F$553,MATCH(B471,'Gate events'!$A$4:$A$553,0))),"Due date before parent event date",IF(AND(OR(G471="Closed-verified",G471="Waived",G471="Accepted-open"),OR(H471="",I471="")),"Closure evidence missing",IF(AND(H471&lt;&gt;"",NOT(ISNUMBER(H471))),"Closed / waived on is not a date",IF(AND(ISNUMBER(H471),ISNUMBER(INDEX('Gate events'!$F$4:$F$553,MATCH(B471,'Gate events'!$A$4:$A$553,0))),H471&lt;INDEX('Gate events'!$F$4:$F$553,MATCH(B471,'Gate events'!$A$4:$A$553,0))),"Closure date before parent event date",IF(AND(G471="Closed-verified",M471=""),"Verifier / date missing",IF(AND(N471="Yes",G471="Closed-verified",O471=""),"Monitoring condition needs AIG-OPS-02 evidence ref",IF(AND(G471="Open",F471&lt;TODAY()),"OVERDUE (derived) — review",IF(G471="Unknown","State Unknown: owner to confirm","Check against source")))))))))))))))))))</f>
        <v/>
      </c>
      <c r="K471" s="37" t="n"/>
      <c r="L471" s="37" t="n"/>
      <c r="M471" s="40" t="n"/>
      <c r="N471" s="40" t="n"/>
      <c r="O471" s="40" t="n"/>
    </row>
    <row r="472">
      <c r="A472" s="38" t="n"/>
      <c r="B472" s="38" t="n"/>
      <c r="C472" s="38" t="n"/>
      <c r="D472" s="38" t="n"/>
      <c r="E472" s="38" t="n"/>
      <c r="F472" s="39" t="n"/>
      <c r="G472" s="38" t="n"/>
      <c r="H472" s="39" t="n"/>
      <c r="I472" s="38" t="n"/>
      <c r="J472" s="22">
        <f>IF(COUNTA(A472:I472,K472:O472)=0,"",IF(OR(A472="",B472="",C472=""),"ID / parent missing",IF(COUNTIF($A$4:$A$553,A472)&gt;1,"Duplicate condition ID",IF(COUNTIF('Gate events'!$A$4:$A$553,B472)=0,"Event ID not found",IF(INDEX('Gate events'!$B$4:$B$553,MATCH(B472,'Gate events'!$A$4:$A$553,0))&lt;&gt;C472,"AIR-ID differs from event",IF(IF(INDEX('Gate events'!$P$4:$P$553,MATCH(B472,'Gate events'!$A$4:$A$553,0))="UC-ID specific",IF(OR(L472&lt;&gt;"UC-ID specific",K472=""),"Condition UC-ID required",IF(ISNUMBER(SEARCH(","&amp;SUBSTITUTE(K472," ","")&amp;",",","&amp;SUBSTITUTE(INDEX('Gate events'!$O$4:$O$553,MATCH(B472,'Gate events'!$A$4:$A$553,0))," ","")&amp;",")),"","UC-ID differs from decision")),IF(INDEX('Gate events'!$P$4:$P$553,MATCH(B472,'Gate events'!$A$4:$A$553,0))="Shared system baseline",IF(OR(L472&lt;&gt;"Shared system baseline",K472&lt;&gt;""),"Condition scope differs from decision",""),"Parent decision scope missing"))&lt;&gt;"",IF(INDEX('Gate events'!$P$4:$P$553,MATCH(B472,'Gate events'!$A$4:$A$553,0))="UC-ID specific",IF(OR(L472&lt;&gt;"UC-ID specific",K472=""),"Condition UC-ID required",IF(ISNUMBER(SEARCH(","&amp;SUBSTITUTE(K472," ","")&amp;",",","&amp;SUBSTITUTE(INDEX('Gate events'!$O$4:$O$553,MATCH(B472,'Gate events'!$A$4:$A$553,0))," ","")&amp;",")),"","UC-ID differs from decision")),IF(INDEX('Gate events'!$P$4:$P$553,MATCH(B472,'Gate events'!$A$4:$A$553,0))="Shared system baseline",IF(OR(L472&lt;&gt;"Shared system baseline",K472&lt;&gt;""),"Condition scope differs from decision",""),"Parent decision scope missing")),IF(OR(D472="",E472="",F472="",G472=""),"Condition, owner, due date or state missing",IF(NOT(ISNUMBER(F472)),"Due date is not a date",IF(OR(G472="Overdue",G472="Superseded"),"Legacy state — owner review (use the shared five states)",IF(INDEX('Gate events'!$E$4:$E$553,MATCH(B472,'Gate events'!$A$4:$A$553,0))&lt;&gt;"Decision","Parent event is not a Decision",IF(AND(INDEX('Gate events'!$G$4:$G$553,MATCH(B472,'Gate events'!$A$4:$A$553,0))&lt;&gt;"Progress with condition",INDEX('Gate events'!$G$4:$G$553,MATCH(B472,'Gate events'!$A$4:$A$553,0))&lt;&gt;"Re-authorise",INDEX('Gate events'!$G$4:$G$553,MATCH(B472,'Gate events'!$A$4:$A$553,0))&lt;&gt;"Resume"),"Parent outcome is not Progress with condition / Re-authorise / Resume",IF(AND(ISNUMBER(INDEX('Gate events'!$F$4:$F$553,MATCH(B472,'Gate events'!$A$4:$A$553,0))),F472&lt;INDEX('Gate events'!$F$4:$F$553,MATCH(B472,'Gate events'!$A$4:$A$553,0))),"Due date before parent event date",IF(AND(OR(G472="Closed-verified",G472="Waived",G472="Accepted-open"),OR(H472="",I472="")),"Closure evidence missing",IF(AND(H472&lt;&gt;"",NOT(ISNUMBER(H472))),"Closed / waived on is not a date",IF(AND(ISNUMBER(H472),ISNUMBER(INDEX('Gate events'!$F$4:$F$553,MATCH(B472,'Gate events'!$A$4:$A$553,0))),H472&lt;INDEX('Gate events'!$F$4:$F$553,MATCH(B472,'Gate events'!$A$4:$A$553,0))),"Closure date before parent event date",IF(AND(G472="Closed-verified",M472=""),"Verifier / date missing",IF(AND(N472="Yes",G472="Closed-verified",O472=""),"Monitoring condition needs AIG-OPS-02 evidence ref",IF(AND(G472="Open",F472&lt;TODAY()),"OVERDUE (derived) — review",IF(G472="Unknown","State Unknown: owner to confirm","Check against source")))))))))))))))))))</f>
        <v/>
      </c>
      <c r="K472" s="37" t="n"/>
      <c r="L472" s="37" t="n"/>
      <c r="M472" s="38" t="n"/>
      <c r="N472" s="38" t="n"/>
      <c r="O472" s="38" t="n"/>
    </row>
    <row r="473">
      <c r="A473" s="40" t="n"/>
      <c r="B473" s="40" t="n"/>
      <c r="C473" s="40" t="n"/>
      <c r="D473" s="40" t="n"/>
      <c r="E473" s="40" t="n"/>
      <c r="F473" s="41" t="n"/>
      <c r="G473" s="40" t="n"/>
      <c r="H473" s="41" t="n"/>
      <c r="I473" s="40" t="n"/>
      <c r="J473" s="24">
        <f>IF(COUNTA(A473:I473,K473:O473)=0,"",IF(OR(A473="",B473="",C473=""),"ID / parent missing",IF(COUNTIF($A$4:$A$553,A473)&gt;1,"Duplicate condition ID",IF(COUNTIF('Gate events'!$A$4:$A$553,B473)=0,"Event ID not found",IF(INDEX('Gate events'!$B$4:$B$553,MATCH(B473,'Gate events'!$A$4:$A$553,0))&lt;&gt;C473,"AIR-ID differs from event",IF(IF(INDEX('Gate events'!$P$4:$P$553,MATCH(B473,'Gate events'!$A$4:$A$553,0))="UC-ID specific",IF(OR(L473&lt;&gt;"UC-ID specific",K473=""),"Condition UC-ID required",IF(ISNUMBER(SEARCH(","&amp;SUBSTITUTE(K473," ","")&amp;",",","&amp;SUBSTITUTE(INDEX('Gate events'!$O$4:$O$553,MATCH(B473,'Gate events'!$A$4:$A$553,0))," ","")&amp;",")),"","UC-ID differs from decision")),IF(INDEX('Gate events'!$P$4:$P$553,MATCH(B473,'Gate events'!$A$4:$A$553,0))="Shared system baseline",IF(OR(L473&lt;&gt;"Shared system baseline",K473&lt;&gt;""),"Condition scope differs from decision",""),"Parent decision scope missing"))&lt;&gt;"",IF(INDEX('Gate events'!$P$4:$P$553,MATCH(B473,'Gate events'!$A$4:$A$553,0))="UC-ID specific",IF(OR(L473&lt;&gt;"UC-ID specific",K473=""),"Condition UC-ID required",IF(ISNUMBER(SEARCH(","&amp;SUBSTITUTE(K473," ","")&amp;",",","&amp;SUBSTITUTE(INDEX('Gate events'!$O$4:$O$553,MATCH(B473,'Gate events'!$A$4:$A$553,0))," ","")&amp;",")),"","UC-ID differs from decision")),IF(INDEX('Gate events'!$P$4:$P$553,MATCH(B473,'Gate events'!$A$4:$A$553,0))="Shared system baseline",IF(OR(L473&lt;&gt;"Shared system baseline",K473&lt;&gt;""),"Condition scope differs from decision",""),"Parent decision scope missing")),IF(OR(D473="",E473="",F473="",G473=""),"Condition, owner, due date or state missing",IF(NOT(ISNUMBER(F473)),"Due date is not a date",IF(OR(G473="Overdue",G473="Superseded"),"Legacy state — owner review (use the shared five states)",IF(INDEX('Gate events'!$E$4:$E$553,MATCH(B473,'Gate events'!$A$4:$A$553,0))&lt;&gt;"Decision","Parent event is not a Decision",IF(AND(INDEX('Gate events'!$G$4:$G$553,MATCH(B473,'Gate events'!$A$4:$A$553,0))&lt;&gt;"Progress with condition",INDEX('Gate events'!$G$4:$G$553,MATCH(B473,'Gate events'!$A$4:$A$553,0))&lt;&gt;"Re-authorise",INDEX('Gate events'!$G$4:$G$553,MATCH(B473,'Gate events'!$A$4:$A$553,0))&lt;&gt;"Resume"),"Parent outcome is not Progress with condition / Re-authorise / Resume",IF(AND(ISNUMBER(INDEX('Gate events'!$F$4:$F$553,MATCH(B473,'Gate events'!$A$4:$A$553,0))),F473&lt;INDEX('Gate events'!$F$4:$F$553,MATCH(B473,'Gate events'!$A$4:$A$553,0))),"Due date before parent event date",IF(AND(OR(G473="Closed-verified",G473="Waived",G473="Accepted-open"),OR(H473="",I473="")),"Closure evidence missing",IF(AND(H473&lt;&gt;"",NOT(ISNUMBER(H473))),"Closed / waived on is not a date",IF(AND(ISNUMBER(H473),ISNUMBER(INDEX('Gate events'!$F$4:$F$553,MATCH(B473,'Gate events'!$A$4:$A$553,0))),H473&lt;INDEX('Gate events'!$F$4:$F$553,MATCH(B473,'Gate events'!$A$4:$A$553,0))),"Closure date before parent event date",IF(AND(G473="Closed-verified",M473=""),"Verifier / date missing",IF(AND(N473="Yes",G473="Closed-verified",O473=""),"Monitoring condition needs AIG-OPS-02 evidence ref",IF(AND(G473="Open",F473&lt;TODAY()),"OVERDUE (derived) — review",IF(G473="Unknown","State Unknown: owner to confirm","Check against source")))))))))))))))))))</f>
        <v/>
      </c>
      <c r="K473" s="37" t="n"/>
      <c r="L473" s="37" t="n"/>
      <c r="M473" s="40" t="n"/>
      <c r="N473" s="40" t="n"/>
      <c r="O473" s="40" t="n"/>
    </row>
    <row r="474">
      <c r="A474" s="38" t="n"/>
      <c r="B474" s="38" t="n"/>
      <c r="C474" s="38" t="n"/>
      <c r="D474" s="38" t="n"/>
      <c r="E474" s="38" t="n"/>
      <c r="F474" s="39" t="n"/>
      <c r="G474" s="38" t="n"/>
      <c r="H474" s="39" t="n"/>
      <c r="I474" s="38" t="n"/>
      <c r="J474" s="22">
        <f>IF(COUNTA(A474:I474,K474:O474)=0,"",IF(OR(A474="",B474="",C474=""),"ID / parent missing",IF(COUNTIF($A$4:$A$553,A474)&gt;1,"Duplicate condition ID",IF(COUNTIF('Gate events'!$A$4:$A$553,B474)=0,"Event ID not found",IF(INDEX('Gate events'!$B$4:$B$553,MATCH(B474,'Gate events'!$A$4:$A$553,0))&lt;&gt;C474,"AIR-ID differs from event",IF(IF(INDEX('Gate events'!$P$4:$P$553,MATCH(B474,'Gate events'!$A$4:$A$553,0))="UC-ID specific",IF(OR(L474&lt;&gt;"UC-ID specific",K474=""),"Condition UC-ID required",IF(ISNUMBER(SEARCH(","&amp;SUBSTITUTE(K474," ","")&amp;",",","&amp;SUBSTITUTE(INDEX('Gate events'!$O$4:$O$553,MATCH(B474,'Gate events'!$A$4:$A$553,0))," ","")&amp;",")),"","UC-ID differs from decision")),IF(INDEX('Gate events'!$P$4:$P$553,MATCH(B474,'Gate events'!$A$4:$A$553,0))="Shared system baseline",IF(OR(L474&lt;&gt;"Shared system baseline",K474&lt;&gt;""),"Condition scope differs from decision",""),"Parent decision scope missing"))&lt;&gt;"",IF(INDEX('Gate events'!$P$4:$P$553,MATCH(B474,'Gate events'!$A$4:$A$553,0))="UC-ID specific",IF(OR(L474&lt;&gt;"UC-ID specific",K474=""),"Condition UC-ID required",IF(ISNUMBER(SEARCH(","&amp;SUBSTITUTE(K474," ","")&amp;",",","&amp;SUBSTITUTE(INDEX('Gate events'!$O$4:$O$553,MATCH(B474,'Gate events'!$A$4:$A$553,0))," ","")&amp;",")),"","UC-ID differs from decision")),IF(INDEX('Gate events'!$P$4:$P$553,MATCH(B474,'Gate events'!$A$4:$A$553,0))="Shared system baseline",IF(OR(L474&lt;&gt;"Shared system baseline",K474&lt;&gt;""),"Condition scope differs from decision",""),"Parent decision scope missing")),IF(OR(D474="",E474="",F474="",G474=""),"Condition, owner, due date or state missing",IF(NOT(ISNUMBER(F474)),"Due date is not a date",IF(OR(G474="Overdue",G474="Superseded"),"Legacy state — owner review (use the shared five states)",IF(INDEX('Gate events'!$E$4:$E$553,MATCH(B474,'Gate events'!$A$4:$A$553,0))&lt;&gt;"Decision","Parent event is not a Decision",IF(AND(INDEX('Gate events'!$G$4:$G$553,MATCH(B474,'Gate events'!$A$4:$A$553,0))&lt;&gt;"Progress with condition",INDEX('Gate events'!$G$4:$G$553,MATCH(B474,'Gate events'!$A$4:$A$553,0))&lt;&gt;"Re-authorise",INDEX('Gate events'!$G$4:$G$553,MATCH(B474,'Gate events'!$A$4:$A$553,0))&lt;&gt;"Resume"),"Parent outcome is not Progress with condition / Re-authorise / Resume",IF(AND(ISNUMBER(INDEX('Gate events'!$F$4:$F$553,MATCH(B474,'Gate events'!$A$4:$A$553,0))),F474&lt;INDEX('Gate events'!$F$4:$F$553,MATCH(B474,'Gate events'!$A$4:$A$553,0))),"Due date before parent event date",IF(AND(OR(G474="Closed-verified",G474="Waived",G474="Accepted-open"),OR(H474="",I474="")),"Closure evidence missing",IF(AND(H474&lt;&gt;"",NOT(ISNUMBER(H474))),"Closed / waived on is not a date",IF(AND(ISNUMBER(H474),ISNUMBER(INDEX('Gate events'!$F$4:$F$553,MATCH(B474,'Gate events'!$A$4:$A$553,0))),H474&lt;INDEX('Gate events'!$F$4:$F$553,MATCH(B474,'Gate events'!$A$4:$A$553,0))),"Closure date before parent event date",IF(AND(G474="Closed-verified",M474=""),"Verifier / date missing",IF(AND(N474="Yes",G474="Closed-verified",O474=""),"Monitoring condition needs AIG-OPS-02 evidence ref",IF(AND(G474="Open",F474&lt;TODAY()),"OVERDUE (derived) — review",IF(G474="Unknown","State Unknown: owner to confirm","Check against source")))))))))))))))))))</f>
        <v/>
      </c>
      <c r="K474" s="37" t="n"/>
      <c r="L474" s="37" t="n"/>
      <c r="M474" s="38" t="n"/>
      <c r="N474" s="38" t="n"/>
      <c r="O474" s="38" t="n"/>
    </row>
    <row r="475">
      <c r="A475" s="40" t="n"/>
      <c r="B475" s="40" t="n"/>
      <c r="C475" s="40" t="n"/>
      <c r="D475" s="40" t="n"/>
      <c r="E475" s="40" t="n"/>
      <c r="F475" s="41" t="n"/>
      <c r="G475" s="40" t="n"/>
      <c r="H475" s="41" t="n"/>
      <c r="I475" s="40" t="n"/>
      <c r="J475" s="24">
        <f>IF(COUNTA(A475:I475,K475:O475)=0,"",IF(OR(A475="",B475="",C475=""),"ID / parent missing",IF(COUNTIF($A$4:$A$553,A475)&gt;1,"Duplicate condition ID",IF(COUNTIF('Gate events'!$A$4:$A$553,B475)=0,"Event ID not found",IF(INDEX('Gate events'!$B$4:$B$553,MATCH(B475,'Gate events'!$A$4:$A$553,0))&lt;&gt;C475,"AIR-ID differs from event",IF(IF(INDEX('Gate events'!$P$4:$P$553,MATCH(B475,'Gate events'!$A$4:$A$553,0))="UC-ID specific",IF(OR(L475&lt;&gt;"UC-ID specific",K475=""),"Condition UC-ID required",IF(ISNUMBER(SEARCH(","&amp;SUBSTITUTE(K475," ","")&amp;",",","&amp;SUBSTITUTE(INDEX('Gate events'!$O$4:$O$553,MATCH(B475,'Gate events'!$A$4:$A$553,0))," ","")&amp;",")),"","UC-ID differs from decision")),IF(INDEX('Gate events'!$P$4:$P$553,MATCH(B475,'Gate events'!$A$4:$A$553,0))="Shared system baseline",IF(OR(L475&lt;&gt;"Shared system baseline",K475&lt;&gt;""),"Condition scope differs from decision",""),"Parent decision scope missing"))&lt;&gt;"",IF(INDEX('Gate events'!$P$4:$P$553,MATCH(B475,'Gate events'!$A$4:$A$553,0))="UC-ID specific",IF(OR(L475&lt;&gt;"UC-ID specific",K475=""),"Condition UC-ID required",IF(ISNUMBER(SEARCH(","&amp;SUBSTITUTE(K475," ","")&amp;",",","&amp;SUBSTITUTE(INDEX('Gate events'!$O$4:$O$553,MATCH(B475,'Gate events'!$A$4:$A$553,0))," ","")&amp;",")),"","UC-ID differs from decision")),IF(INDEX('Gate events'!$P$4:$P$553,MATCH(B475,'Gate events'!$A$4:$A$553,0))="Shared system baseline",IF(OR(L475&lt;&gt;"Shared system baseline",K475&lt;&gt;""),"Condition scope differs from decision",""),"Parent decision scope missing")),IF(OR(D475="",E475="",F475="",G475=""),"Condition, owner, due date or state missing",IF(NOT(ISNUMBER(F475)),"Due date is not a date",IF(OR(G475="Overdue",G475="Superseded"),"Legacy state — owner review (use the shared five states)",IF(INDEX('Gate events'!$E$4:$E$553,MATCH(B475,'Gate events'!$A$4:$A$553,0))&lt;&gt;"Decision","Parent event is not a Decision",IF(AND(INDEX('Gate events'!$G$4:$G$553,MATCH(B475,'Gate events'!$A$4:$A$553,0))&lt;&gt;"Progress with condition",INDEX('Gate events'!$G$4:$G$553,MATCH(B475,'Gate events'!$A$4:$A$553,0))&lt;&gt;"Re-authorise",INDEX('Gate events'!$G$4:$G$553,MATCH(B475,'Gate events'!$A$4:$A$553,0))&lt;&gt;"Resume"),"Parent outcome is not Progress with condition / Re-authorise / Resume",IF(AND(ISNUMBER(INDEX('Gate events'!$F$4:$F$553,MATCH(B475,'Gate events'!$A$4:$A$553,0))),F475&lt;INDEX('Gate events'!$F$4:$F$553,MATCH(B475,'Gate events'!$A$4:$A$553,0))),"Due date before parent event date",IF(AND(OR(G475="Closed-verified",G475="Waived",G475="Accepted-open"),OR(H475="",I475="")),"Closure evidence missing",IF(AND(H475&lt;&gt;"",NOT(ISNUMBER(H475))),"Closed / waived on is not a date",IF(AND(ISNUMBER(H475),ISNUMBER(INDEX('Gate events'!$F$4:$F$553,MATCH(B475,'Gate events'!$A$4:$A$553,0))),H475&lt;INDEX('Gate events'!$F$4:$F$553,MATCH(B475,'Gate events'!$A$4:$A$553,0))),"Closure date before parent event date",IF(AND(G475="Closed-verified",M475=""),"Verifier / date missing",IF(AND(N475="Yes",G475="Closed-verified",O475=""),"Monitoring condition needs AIG-OPS-02 evidence ref",IF(AND(G475="Open",F475&lt;TODAY()),"OVERDUE (derived) — review",IF(G475="Unknown","State Unknown: owner to confirm","Check against source")))))))))))))))))))</f>
        <v/>
      </c>
      <c r="K475" s="37" t="n"/>
      <c r="L475" s="37" t="n"/>
      <c r="M475" s="40" t="n"/>
      <c r="N475" s="40" t="n"/>
      <c r="O475" s="40" t="n"/>
    </row>
    <row r="476">
      <c r="A476" s="38" t="n"/>
      <c r="B476" s="38" t="n"/>
      <c r="C476" s="38" t="n"/>
      <c r="D476" s="38" t="n"/>
      <c r="E476" s="38" t="n"/>
      <c r="F476" s="39" t="n"/>
      <c r="G476" s="38" t="n"/>
      <c r="H476" s="39" t="n"/>
      <c r="I476" s="38" t="n"/>
      <c r="J476" s="22">
        <f>IF(COUNTA(A476:I476,K476:O476)=0,"",IF(OR(A476="",B476="",C476=""),"ID / parent missing",IF(COUNTIF($A$4:$A$553,A476)&gt;1,"Duplicate condition ID",IF(COUNTIF('Gate events'!$A$4:$A$553,B476)=0,"Event ID not found",IF(INDEX('Gate events'!$B$4:$B$553,MATCH(B476,'Gate events'!$A$4:$A$553,0))&lt;&gt;C476,"AIR-ID differs from event",IF(IF(INDEX('Gate events'!$P$4:$P$553,MATCH(B476,'Gate events'!$A$4:$A$553,0))="UC-ID specific",IF(OR(L476&lt;&gt;"UC-ID specific",K476=""),"Condition UC-ID required",IF(ISNUMBER(SEARCH(","&amp;SUBSTITUTE(K476," ","")&amp;",",","&amp;SUBSTITUTE(INDEX('Gate events'!$O$4:$O$553,MATCH(B476,'Gate events'!$A$4:$A$553,0))," ","")&amp;",")),"","UC-ID differs from decision")),IF(INDEX('Gate events'!$P$4:$P$553,MATCH(B476,'Gate events'!$A$4:$A$553,0))="Shared system baseline",IF(OR(L476&lt;&gt;"Shared system baseline",K476&lt;&gt;""),"Condition scope differs from decision",""),"Parent decision scope missing"))&lt;&gt;"",IF(INDEX('Gate events'!$P$4:$P$553,MATCH(B476,'Gate events'!$A$4:$A$553,0))="UC-ID specific",IF(OR(L476&lt;&gt;"UC-ID specific",K476=""),"Condition UC-ID required",IF(ISNUMBER(SEARCH(","&amp;SUBSTITUTE(K476," ","")&amp;",",","&amp;SUBSTITUTE(INDEX('Gate events'!$O$4:$O$553,MATCH(B476,'Gate events'!$A$4:$A$553,0))," ","")&amp;",")),"","UC-ID differs from decision")),IF(INDEX('Gate events'!$P$4:$P$553,MATCH(B476,'Gate events'!$A$4:$A$553,0))="Shared system baseline",IF(OR(L476&lt;&gt;"Shared system baseline",K476&lt;&gt;""),"Condition scope differs from decision",""),"Parent decision scope missing")),IF(OR(D476="",E476="",F476="",G476=""),"Condition, owner, due date or state missing",IF(NOT(ISNUMBER(F476)),"Due date is not a date",IF(OR(G476="Overdue",G476="Superseded"),"Legacy state — owner review (use the shared five states)",IF(INDEX('Gate events'!$E$4:$E$553,MATCH(B476,'Gate events'!$A$4:$A$553,0))&lt;&gt;"Decision","Parent event is not a Decision",IF(AND(INDEX('Gate events'!$G$4:$G$553,MATCH(B476,'Gate events'!$A$4:$A$553,0))&lt;&gt;"Progress with condition",INDEX('Gate events'!$G$4:$G$553,MATCH(B476,'Gate events'!$A$4:$A$553,0))&lt;&gt;"Re-authorise",INDEX('Gate events'!$G$4:$G$553,MATCH(B476,'Gate events'!$A$4:$A$553,0))&lt;&gt;"Resume"),"Parent outcome is not Progress with condition / Re-authorise / Resume",IF(AND(ISNUMBER(INDEX('Gate events'!$F$4:$F$553,MATCH(B476,'Gate events'!$A$4:$A$553,0))),F476&lt;INDEX('Gate events'!$F$4:$F$553,MATCH(B476,'Gate events'!$A$4:$A$553,0))),"Due date before parent event date",IF(AND(OR(G476="Closed-verified",G476="Waived",G476="Accepted-open"),OR(H476="",I476="")),"Closure evidence missing",IF(AND(H476&lt;&gt;"",NOT(ISNUMBER(H476))),"Closed / waived on is not a date",IF(AND(ISNUMBER(H476),ISNUMBER(INDEX('Gate events'!$F$4:$F$553,MATCH(B476,'Gate events'!$A$4:$A$553,0))),H476&lt;INDEX('Gate events'!$F$4:$F$553,MATCH(B476,'Gate events'!$A$4:$A$553,0))),"Closure date before parent event date",IF(AND(G476="Closed-verified",M476=""),"Verifier / date missing",IF(AND(N476="Yes",G476="Closed-verified",O476=""),"Monitoring condition needs AIG-OPS-02 evidence ref",IF(AND(G476="Open",F476&lt;TODAY()),"OVERDUE (derived) — review",IF(G476="Unknown","State Unknown: owner to confirm","Check against source")))))))))))))))))))</f>
        <v/>
      </c>
      <c r="K476" s="37" t="n"/>
      <c r="L476" s="37" t="n"/>
      <c r="M476" s="38" t="n"/>
      <c r="N476" s="38" t="n"/>
      <c r="O476" s="38" t="n"/>
    </row>
    <row r="477">
      <c r="A477" s="40" t="n"/>
      <c r="B477" s="40" t="n"/>
      <c r="C477" s="40" t="n"/>
      <c r="D477" s="40" t="n"/>
      <c r="E477" s="40" t="n"/>
      <c r="F477" s="41" t="n"/>
      <c r="G477" s="40" t="n"/>
      <c r="H477" s="41" t="n"/>
      <c r="I477" s="40" t="n"/>
      <c r="J477" s="24">
        <f>IF(COUNTA(A477:I477,K477:O477)=0,"",IF(OR(A477="",B477="",C477=""),"ID / parent missing",IF(COUNTIF($A$4:$A$553,A477)&gt;1,"Duplicate condition ID",IF(COUNTIF('Gate events'!$A$4:$A$553,B477)=0,"Event ID not found",IF(INDEX('Gate events'!$B$4:$B$553,MATCH(B477,'Gate events'!$A$4:$A$553,0))&lt;&gt;C477,"AIR-ID differs from event",IF(IF(INDEX('Gate events'!$P$4:$P$553,MATCH(B477,'Gate events'!$A$4:$A$553,0))="UC-ID specific",IF(OR(L477&lt;&gt;"UC-ID specific",K477=""),"Condition UC-ID required",IF(ISNUMBER(SEARCH(","&amp;SUBSTITUTE(K477," ","")&amp;",",","&amp;SUBSTITUTE(INDEX('Gate events'!$O$4:$O$553,MATCH(B477,'Gate events'!$A$4:$A$553,0))," ","")&amp;",")),"","UC-ID differs from decision")),IF(INDEX('Gate events'!$P$4:$P$553,MATCH(B477,'Gate events'!$A$4:$A$553,0))="Shared system baseline",IF(OR(L477&lt;&gt;"Shared system baseline",K477&lt;&gt;""),"Condition scope differs from decision",""),"Parent decision scope missing"))&lt;&gt;"",IF(INDEX('Gate events'!$P$4:$P$553,MATCH(B477,'Gate events'!$A$4:$A$553,0))="UC-ID specific",IF(OR(L477&lt;&gt;"UC-ID specific",K477=""),"Condition UC-ID required",IF(ISNUMBER(SEARCH(","&amp;SUBSTITUTE(K477," ","")&amp;",",","&amp;SUBSTITUTE(INDEX('Gate events'!$O$4:$O$553,MATCH(B477,'Gate events'!$A$4:$A$553,0))," ","")&amp;",")),"","UC-ID differs from decision")),IF(INDEX('Gate events'!$P$4:$P$553,MATCH(B477,'Gate events'!$A$4:$A$553,0))="Shared system baseline",IF(OR(L477&lt;&gt;"Shared system baseline",K477&lt;&gt;""),"Condition scope differs from decision",""),"Parent decision scope missing")),IF(OR(D477="",E477="",F477="",G477=""),"Condition, owner, due date or state missing",IF(NOT(ISNUMBER(F477)),"Due date is not a date",IF(OR(G477="Overdue",G477="Superseded"),"Legacy state — owner review (use the shared five states)",IF(INDEX('Gate events'!$E$4:$E$553,MATCH(B477,'Gate events'!$A$4:$A$553,0))&lt;&gt;"Decision","Parent event is not a Decision",IF(AND(INDEX('Gate events'!$G$4:$G$553,MATCH(B477,'Gate events'!$A$4:$A$553,0))&lt;&gt;"Progress with condition",INDEX('Gate events'!$G$4:$G$553,MATCH(B477,'Gate events'!$A$4:$A$553,0))&lt;&gt;"Re-authorise",INDEX('Gate events'!$G$4:$G$553,MATCH(B477,'Gate events'!$A$4:$A$553,0))&lt;&gt;"Resume"),"Parent outcome is not Progress with condition / Re-authorise / Resume",IF(AND(ISNUMBER(INDEX('Gate events'!$F$4:$F$553,MATCH(B477,'Gate events'!$A$4:$A$553,0))),F477&lt;INDEX('Gate events'!$F$4:$F$553,MATCH(B477,'Gate events'!$A$4:$A$553,0))),"Due date before parent event date",IF(AND(OR(G477="Closed-verified",G477="Waived",G477="Accepted-open"),OR(H477="",I477="")),"Closure evidence missing",IF(AND(H477&lt;&gt;"",NOT(ISNUMBER(H477))),"Closed / waived on is not a date",IF(AND(ISNUMBER(H477),ISNUMBER(INDEX('Gate events'!$F$4:$F$553,MATCH(B477,'Gate events'!$A$4:$A$553,0))),H477&lt;INDEX('Gate events'!$F$4:$F$553,MATCH(B477,'Gate events'!$A$4:$A$553,0))),"Closure date before parent event date",IF(AND(G477="Closed-verified",M477=""),"Verifier / date missing",IF(AND(N477="Yes",G477="Closed-verified",O477=""),"Monitoring condition needs AIG-OPS-02 evidence ref",IF(AND(G477="Open",F477&lt;TODAY()),"OVERDUE (derived) — review",IF(G477="Unknown","State Unknown: owner to confirm","Check against source")))))))))))))))))))</f>
        <v/>
      </c>
      <c r="K477" s="37" t="n"/>
      <c r="L477" s="37" t="n"/>
      <c r="M477" s="40" t="n"/>
      <c r="N477" s="40" t="n"/>
      <c r="O477" s="40" t="n"/>
    </row>
    <row r="478">
      <c r="A478" s="38" t="n"/>
      <c r="B478" s="38" t="n"/>
      <c r="C478" s="38" t="n"/>
      <c r="D478" s="38" t="n"/>
      <c r="E478" s="38" t="n"/>
      <c r="F478" s="39" t="n"/>
      <c r="G478" s="38" t="n"/>
      <c r="H478" s="39" t="n"/>
      <c r="I478" s="38" t="n"/>
      <c r="J478" s="22">
        <f>IF(COUNTA(A478:I478,K478:O478)=0,"",IF(OR(A478="",B478="",C478=""),"ID / parent missing",IF(COUNTIF($A$4:$A$553,A478)&gt;1,"Duplicate condition ID",IF(COUNTIF('Gate events'!$A$4:$A$553,B478)=0,"Event ID not found",IF(INDEX('Gate events'!$B$4:$B$553,MATCH(B478,'Gate events'!$A$4:$A$553,0))&lt;&gt;C478,"AIR-ID differs from event",IF(IF(INDEX('Gate events'!$P$4:$P$553,MATCH(B478,'Gate events'!$A$4:$A$553,0))="UC-ID specific",IF(OR(L478&lt;&gt;"UC-ID specific",K478=""),"Condition UC-ID required",IF(ISNUMBER(SEARCH(","&amp;SUBSTITUTE(K478," ","")&amp;",",","&amp;SUBSTITUTE(INDEX('Gate events'!$O$4:$O$553,MATCH(B478,'Gate events'!$A$4:$A$553,0))," ","")&amp;",")),"","UC-ID differs from decision")),IF(INDEX('Gate events'!$P$4:$P$553,MATCH(B478,'Gate events'!$A$4:$A$553,0))="Shared system baseline",IF(OR(L478&lt;&gt;"Shared system baseline",K478&lt;&gt;""),"Condition scope differs from decision",""),"Parent decision scope missing"))&lt;&gt;"",IF(INDEX('Gate events'!$P$4:$P$553,MATCH(B478,'Gate events'!$A$4:$A$553,0))="UC-ID specific",IF(OR(L478&lt;&gt;"UC-ID specific",K478=""),"Condition UC-ID required",IF(ISNUMBER(SEARCH(","&amp;SUBSTITUTE(K478," ","")&amp;",",","&amp;SUBSTITUTE(INDEX('Gate events'!$O$4:$O$553,MATCH(B478,'Gate events'!$A$4:$A$553,0))," ","")&amp;",")),"","UC-ID differs from decision")),IF(INDEX('Gate events'!$P$4:$P$553,MATCH(B478,'Gate events'!$A$4:$A$553,0))="Shared system baseline",IF(OR(L478&lt;&gt;"Shared system baseline",K478&lt;&gt;""),"Condition scope differs from decision",""),"Parent decision scope missing")),IF(OR(D478="",E478="",F478="",G478=""),"Condition, owner, due date or state missing",IF(NOT(ISNUMBER(F478)),"Due date is not a date",IF(OR(G478="Overdue",G478="Superseded"),"Legacy state — owner review (use the shared five states)",IF(INDEX('Gate events'!$E$4:$E$553,MATCH(B478,'Gate events'!$A$4:$A$553,0))&lt;&gt;"Decision","Parent event is not a Decision",IF(AND(INDEX('Gate events'!$G$4:$G$553,MATCH(B478,'Gate events'!$A$4:$A$553,0))&lt;&gt;"Progress with condition",INDEX('Gate events'!$G$4:$G$553,MATCH(B478,'Gate events'!$A$4:$A$553,0))&lt;&gt;"Re-authorise",INDEX('Gate events'!$G$4:$G$553,MATCH(B478,'Gate events'!$A$4:$A$553,0))&lt;&gt;"Resume"),"Parent outcome is not Progress with condition / Re-authorise / Resume",IF(AND(ISNUMBER(INDEX('Gate events'!$F$4:$F$553,MATCH(B478,'Gate events'!$A$4:$A$553,0))),F478&lt;INDEX('Gate events'!$F$4:$F$553,MATCH(B478,'Gate events'!$A$4:$A$553,0))),"Due date before parent event date",IF(AND(OR(G478="Closed-verified",G478="Waived",G478="Accepted-open"),OR(H478="",I478="")),"Closure evidence missing",IF(AND(H478&lt;&gt;"",NOT(ISNUMBER(H478))),"Closed / waived on is not a date",IF(AND(ISNUMBER(H478),ISNUMBER(INDEX('Gate events'!$F$4:$F$553,MATCH(B478,'Gate events'!$A$4:$A$553,0))),H478&lt;INDEX('Gate events'!$F$4:$F$553,MATCH(B478,'Gate events'!$A$4:$A$553,0))),"Closure date before parent event date",IF(AND(G478="Closed-verified",M478=""),"Verifier / date missing",IF(AND(N478="Yes",G478="Closed-verified",O478=""),"Monitoring condition needs AIG-OPS-02 evidence ref",IF(AND(G478="Open",F478&lt;TODAY()),"OVERDUE (derived) — review",IF(G478="Unknown","State Unknown: owner to confirm","Check against source")))))))))))))))))))</f>
        <v/>
      </c>
      <c r="K478" s="37" t="n"/>
      <c r="L478" s="37" t="n"/>
      <c r="M478" s="38" t="n"/>
      <c r="N478" s="38" t="n"/>
      <c r="O478" s="38" t="n"/>
    </row>
    <row r="479">
      <c r="A479" s="40" t="n"/>
      <c r="B479" s="40" t="n"/>
      <c r="C479" s="40" t="n"/>
      <c r="D479" s="40" t="n"/>
      <c r="E479" s="40" t="n"/>
      <c r="F479" s="41" t="n"/>
      <c r="G479" s="40" t="n"/>
      <c r="H479" s="41" t="n"/>
      <c r="I479" s="40" t="n"/>
      <c r="J479" s="24">
        <f>IF(COUNTA(A479:I479,K479:O479)=0,"",IF(OR(A479="",B479="",C479=""),"ID / parent missing",IF(COUNTIF($A$4:$A$553,A479)&gt;1,"Duplicate condition ID",IF(COUNTIF('Gate events'!$A$4:$A$553,B479)=0,"Event ID not found",IF(INDEX('Gate events'!$B$4:$B$553,MATCH(B479,'Gate events'!$A$4:$A$553,0))&lt;&gt;C479,"AIR-ID differs from event",IF(IF(INDEX('Gate events'!$P$4:$P$553,MATCH(B479,'Gate events'!$A$4:$A$553,0))="UC-ID specific",IF(OR(L479&lt;&gt;"UC-ID specific",K479=""),"Condition UC-ID required",IF(ISNUMBER(SEARCH(","&amp;SUBSTITUTE(K479," ","")&amp;",",","&amp;SUBSTITUTE(INDEX('Gate events'!$O$4:$O$553,MATCH(B479,'Gate events'!$A$4:$A$553,0))," ","")&amp;",")),"","UC-ID differs from decision")),IF(INDEX('Gate events'!$P$4:$P$553,MATCH(B479,'Gate events'!$A$4:$A$553,0))="Shared system baseline",IF(OR(L479&lt;&gt;"Shared system baseline",K479&lt;&gt;""),"Condition scope differs from decision",""),"Parent decision scope missing"))&lt;&gt;"",IF(INDEX('Gate events'!$P$4:$P$553,MATCH(B479,'Gate events'!$A$4:$A$553,0))="UC-ID specific",IF(OR(L479&lt;&gt;"UC-ID specific",K479=""),"Condition UC-ID required",IF(ISNUMBER(SEARCH(","&amp;SUBSTITUTE(K479," ","")&amp;",",","&amp;SUBSTITUTE(INDEX('Gate events'!$O$4:$O$553,MATCH(B479,'Gate events'!$A$4:$A$553,0))," ","")&amp;",")),"","UC-ID differs from decision")),IF(INDEX('Gate events'!$P$4:$P$553,MATCH(B479,'Gate events'!$A$4:$A$553,0))="Shared system baseline",IF(OR(L479&lt;&gt;"Shared system baseline",K479&lt;&gt;""),"Condition scope differs from decision",""),"Parent decision scope missing")),IF(OR(D479="",E479="",F479="",G479=""),"Condition, owner, due date or state missing",IF(NOT(ISNUMBER(F479)),"Due date is not a date",IF(OR(G479="Overdue",G479="Superseded"),"Legacy state — owner review (use the shared five states)",IF(INDEX('Gate events'!$E$4:$E$553,MATCH(B479,'Gate events'!$A$4:$A$553,0))&lt;&gt;"Decision","Parent event is not a Decision",IF(AND(INDEX('Gate events'!$G$4:$G$553,MATCH(B479,'Gate events'!$A$4:$A$553,0))&lt;&gt;"Progress with condition",INDEX('Gate events'!$G$4:$G$553,MATCH(B479,'Gate events'!$A$4:$A$553,0))&lt;&gt;"Re-authorise",INDEX('Gate events'!$G$4:$G$553,MATCH(B479,'Gate events'!$A$4:$A$553,0))&lt;&gt;"Resume"),"Parent outcome is not Progress with condition / Re-authorise / Resume",IF(AND(ISNUMBER(INDEX('Gate events'!$F$4:$F$553,MATCH(B479,'Gate events'!$A$4:$A$553,0))),F479&lt;INDEX('Gate events'!$F$4:$F$553,MATCH(B479,'Gate events'!$A$4:$A$553,0))),"Due date before parent event date",IF(AND(OR(G479="Closed-verified",G479="Waived",G479="Accepted-open"),OR(H479="",I479="")),"Closure evidence missing",IF(AND(H479&lt;&gt;"",NOT(ISNUMBER(H479))),"Closed / waived on is not a date",IF(AND(ISNUMBER(H479),ISNUMBER(INDEX('Gate events'!$F$4:$F$553,MATCH(B479,'Gate events'!$A$4:$A$553,0))),H479&lt;INDEX('Gate events'!$F$4:$F$553,MATCH(B479,'Gate events'!$A$4:$A$553,0))),"Closure date before parent event date",IF(AND(G479="Closed-verified",M479=""),"Verifier / date missing",IF(AND(N479="Yes",G479="Closed-verified",O479=""),"Monitoring condition needs AIG-OPS-02 evidence ref",IF(AND(G479="Open",F479&lt;TODAY()),"OVERDUE (derived) — review",IF(G479="Unknown","State Unknown: owner to confirm","Check against source")))))))))))))))))))</f>
        <v/>
      </c>
      <c r="K479" s="37" t="n"/>
      <c r="L479" s="37" t="n"/>
      <c r="M479" s="40" t="n"/>
      <c r="N479" s="40" t="n"/>
      <c r="O479" s="40" t="n"/>
    </row>
    <row r="480">
      <c r="A480" s="38" t="n"/>
      <c r="B480" s="38" t="n"/>
      <c r="C480" s="38" t="n"/>
      <c r="D480" s="38" t="n"/>
      <c r="E480" s="38" t="n"/>
      <c r="F480" s="39" t="n"/>
      <c r="G480" s="38" t="n"/>
      <c r="H480" s="39" t="n"/>
      <c r="I480" s="38" t="n"/>
      <c r="J480" s="22">
        <f>IF(COUNTA(A480:I480,K480:O480)=0,"",IF(OR(A480="",B480="",C480=""),"ID / parent missing",IF(COUNTIF($A$4:$A$553,A480)&gt;1,"Duplicate condition ID",IF(COUNTIF('Gate events'!$A$4:$A$553,B480)=0,"Event ID not found",IF(INDEX('Gate events'!$B$4:$B$553,MATCH(B480,'Gate events'!$A$4:$A$553,0))&lt;&gt;C480,"AIR-ID differs from event",IF(IF(INDEX('Gate events'!$P$4:$P$553,MATCH(B480,'Gate events'!$A$4:$A$553,0))="UC-ID specific",IF(OR(L480&lt;&gt;"UC-ID specific",K480=""),"Condition UC-ID required",IF(ISNUMBER(SEARCH(","&amp;SUBSTITUTE(K480," ","")&amp;",",","&amp;SUBSTITUTE(INDEX('Gate events'!$O$4:$O$553,MATCH(B480,'Gate events'!$A$4:$A$553,0))," ","")&amp;",")),"","UC-ID differs from decision")),IF(INDEX('Gate events'!$P$4:$P$553,MATCH(B480,'Gate events'!$A$4:$A$553,0))="Shared system baseline",IF(OR(L480&lt;&gt;"Shared system baseline",K480&lt;&gt;""),"Condition scope differs from decision",""),"Parent decision scope missing"))&lt;&gt;"",IF(INDEX('Gate events'!$P$4:$P$553,MATCH(B480,'Gate events'!$A$4:$A$553,0))="UC-ID specific",IF(OR(L480&lt;&gt;"UC-ID specific",K480=""),"Condition UC-ID required",IF(ISNUMBER(SEARCH(","&amp;SUBSTITUTE(K480," ","")&amp;",",","&amp;SUBSTITUTE(INDEX('Gate events'!$O$4:$O$553,MATCH(B480,'Gate events'!$A$4:$A$553,0))," ","")&amp;",")),"","UC-ID differs from decision")),IF(INDEX('Gate events'!$P$4:$P$553,MATCH(B480,'Gate events'!$A$4:$A$553,0))="Shared system baseline",IF(OR(L480&lt;&gt;"Shared system baseline",K480&lt;&gt;""),"Condition scope differs from decision",""),"Parent decision scope missing")),IF(OR(D480="",E480="",F480="",G480=""),"Condition, owner, due date or state missing",IF(NOT(ISNUMBER(F480)),"Due date is not a date",IF(OR(G480="Overdue",G480="Superseded"),"Legacy state — owner review (use the shared five states)",IF(INDEX('Gate events'!$E$4:$E$553,MATCH(B480,'Gate events'!$A$4:$A$553,0))&lt;&gt;"Decision","Parent event is not a Decision",IF(AND(INDEX('Gate events'!$G$4:$G$553,MATCH(B480,'Gate events'!$A$4:$A$553,0))&lt;&gt;"Progress with condition",INDEX('Gate events'!$G$4:$G$553,MATCH(B480,'Gate events'!$A$4:$A$553,0))&lt;&gt;"Re-authorise",INDEX('Gate events'!$G$4:$G$553,MATCH(B480,'Gate events'!$A$4:$A$553,0))&lt;&gt;"Resume"),"Parent outcome is not Progress with condition / Re-authorise / Resume",IF(AND(ISNUMBER(INDEX('Gate events'!$F$4:$F$553,MATCH(B480,'Gate events'!$A$4:$A$553,0))),F480&lt;INDEX('Gate events'!$F$4:$F$553,MATCH(B480,'Gate events'!$A$4:$A$553,0))),"Due date before parent event date",IF(AND(OR(G480="Closed-verified",G480="Waived",G480="Accepted-open"),OR(H480="",I480="")),"Closure evidence missing",IF(AND(H480&lt;&gt;"",NOT(ISNUMBER(H480))),"Closed / waived on is not a date",IF(AND(ISNUMBER(H480),ISNUMBER(INDEX('Gate events'!$F$4:$F$553,MATCH(B480,'Gate events'!$A$4:$A$553,0))),H480&lt;INDEX('Gate events'!$F$4:$F$553,MATCH(B480,'Gate events'!$A$4:$A$553,0))),"Closure date before parent event date",IF(AND(G480="Closed-verified",M480=""),"Verifier / date missing",IF(AND(N480="Yes",G480="Closed-verified",O480=""),"Monitoring condition needs AIG-OPS-02 evidence ref",IF(AND(G480="Open",F480&lt;TODAY()),"OVERDUE (derived) — review",IF(G480="Unknown","State Unknown: owner to confirm","Check against source")))))))))))))))))))</f>
        <v/>
      </c>
      <c r="K480" s="37" t="n"/>
      <c r="L480" s="37" t="n"/>
      <c r="M480" s="38" t="n"/>
      <c r="N480" s="38" t="n"/>
      <c r="O480" s="38" t="n"/>
    </row>
    <row r="481">
      <c r="A481" s="40" t="n"/>
      <c r="B481" s="40" t="n"/>
      <c r="C481" s="40" t="n"/>
      <c r="D481" s="40" t="n"/>
      <c r="E481" s="40" t="n"/>
      <c r="F481" s="41" t="n"/>
      <c r="G481" s="40" t="n"/>
      <c r="H481" s="41" t="n"/>
      <c r="I481" s="40" t="n"/>
      <c r="J481" s="24">
        <f>IF(COUNTA(A481:I481,K481:O481)=0,"",IF(OR(A481="",B481="",C481=""),"ID / parent missing",IF(COUNTIF($A$4:$A$553,A481)&gt;1,"Duplicate condition ID",IF(COUNTIF('Gate events'!$A$4:$A$553,B481)=0,"Event ID not found",IF(INDEX('Gate events'!$B$4:$B$553,MATCH(B481,'Gate events'!$A$4:$A$553,0))&lt;&gt;C481,"AIR-ID differs from event",IF(IF(INDEX('Gate events'!$P$4:$P$553,MATCH(B481,'Gate events'!$A$4:$A$553,0))="UC-ID specific",IF(OR(L481&lt;&gt;"UC-ID specific",K481=""),"Condition UC-ID required",IF(ISNUMBER(SEARCH(","&amp;SUBSTITUTE(K481," ","")&amp;",",","&amp;SUBSTITUTE(INDEX('Gate events'!$O$4:$O$553,MATCH(B481,'Gate events'!$A$4:$A$553,0))," ","")&amp;",")),"","UC-ID differs from decision")),IF(INDEX('Gate events'!$P$4:$P$553,MATCH(B481,'Gate events'!$A$4:$A$553,0))="Shared system baseline",IF(OR(L481&lt;&gt;"Shared system baseline",K481&lt;&gt;""),"Condition scope differs from decision",""),"Parent decision scope missing"))&lt;&gt;"",IF(INDEX('Gate events'!$P$4:$P$553,MATCH(B481,'Gate events'!$A$4:$A$553,0))="UC-ID specific",IF(OR(L481&lt;&gt;"UC-ID specific",K481=""),"Condition UC-ID required",IF(ISNUMBER(SEARCH(","&amp;SUBSTITUTE(K481," ","")&amp;",",","&amp;SUBSTITUTE(INDEX('Gate events'!$O$4:$O$553,MATCH(B481,'Gate events'!$A$4:$A$553,0))," ","")&amp;",")),"","UC-ID differs from decision")),IF(INDEX('Gate events'!$P$4:$P$553,MATCH(B481,'Gate events'!$A$4:$A$553,0))="Shared system baseline",IF(OR(L481&lt;&gt;"Shared system baseline",K481&lt;&gt;""),"Condition scope differs from decision",""),"Parent decision scope missing")),IF(OR(D481="",E481="",F481="",G481=""),"Condition, owner, due date or state missing",IF(NOT(ISNUMBER(F481)),"Due date is not a date",IF(OR(G481="Overdue",G481="Superseded"),"Legacy state — owner review (use the shared five states)",IF(INDEX('Gate events'!$E$4:$E$553,MATCH(B481,'Gate events'!$A$4:$A$553,0))&lt;&gt;"Decision","Parent event is not a Decision",IF(AND(INDEX('Gate events'!$G$4:$G$553,MATCH(B481,'Gate events'!$A$4:$A$553,0))&lt;&gt;"Progress with condition",INDEX('Gate events'!$G$4:$G$553,MATCH(B481,'Gate events'!$A$4:$A$553,0))&lt;&gt;"Re-authorise",INDEX('Gate events'!$G$4:$G$553,MATCH(B481,'Gate events'!$A$4:$A$553,0))&lt;&gt;"Resume"),"Parent outcome is not Progress with condition / Re-authorise / Resume",IF(AND(ISNUMBER(INDEX('Gate events'!$F$4:$F$553,MATCH(B481,'Gate events'!$A$4:$A$553,0))),F481&lt;INDEX('Gate events'!$F$4:$F$553,MATCH(B481,'Gate events'!$A$4:$A$553,0))),"Due date before parent event date",IF(AND(OR(G481="Closed-verified",G481="Waived",G481="Accepted-open"),OR(H481="",I481="")),"Closure evidence missing",IF(AND(H481&lt;&gt;"",NOT(ISNUMBER(H481))),"Closed / waived on is not a date",IF(AND(ISNUMBER(H481),ISNUMBER(INDEX('Gate events'!$F$4:$F$553,MATCH(B481,'Gate events'!$A$4:$A$553,0))),H481&lt;INDEX('Gate events'!$F$4:$F$553,MATCH(B481,'Gate events'!$A$4:$A$553,0))),"Closure date before parent event date",IF(AND(G481="Closed-verified",M481=""),"Verifier / date missing",IF(AND(N481="Yes",G481="Closed-verified",O481=""),"Monitoring condition needs AIG-OPS-02 evidence ref",IF(AND(G481="Open",F481&lt;TODAY()),"OVERDUE (derived) — review",IF(G481="Unknown","State Unknown: owner to confirm","Check against source")))))))))))))))))))</f>
        <v/>
      </c>
      <c r="K481" s="37" t="n"/>
      <c r="L481" s="37" t="n"/>
      <c r="M481" s="40" t="n"/>
      <c r="N481" s="40" t="n"/>
      <c r="O481" s="40" t="n"/>
    </row>
    <row r="482">
      <c r="A482" s="38" t="n"/>
      <c r="B482" s="38" t="n"/>
      <c r="C482" s="38" t="n"/>
      <c r="D482" s="38" t="n"/>
      <c r="E482" s="38" t="n"/>
      <c r="F482" s="39" t="n"/>
      <c r="G482" s="38" t="n"/>
      <c r="H482" s="39" t="n"/>
      <c r="I482" s="38" t="n"/>
      <c r="J482" s="22">
        <f>IF(COUNTA(A482:I482,K482:O482)=0,"",IF(OR(A482="",B482="",C482=""),"ID / parent missing",IF(COUNTIF($A$4:$A$553,A482)&gt;1,"Duplicate condition ID",IF(COUNTIF('Gate events'!$A$4:$A$553,B482)=0,"Event ID not found",IF(INDEX('Gate events'!$B$4:$B$553,MATCH(B482,'Gate events'!$A$4:$A$553,0))&lt;&gt;C482,"AIR-ID differs from event",IF(IF(INDEX('Gate events'!$P$4:$P$553,MATCH(B482,'Gate events'!$A$4:$A$553,0))="UC-ID specific",IF(OR(L482&lt;&gt;"UC-ID specific",K482=""),"Condition UC-ID required",IF(ISNUMBER(SEARCH(","&amp;SUBSTITUTE(K482," ","")&amp;",",","&amp;SUBSTITUTE(INDEX('Gate events'!$O$4:$O$553,MATCH(B482,'Gate events'!$A$4:$A$553,0))," ","")&amp;",")),"","UC-ID differs from decision")),IF(INDEX('Gate events'!$P$4:$P$553,MATCH(B482,'Gate events'!$A$4:$A$553,0))="Shared system baseline",IF(OR(L482&lt;&gt;"Shared system baseline",K482&lt;&gt;""),"Condition scope differs from decision",""),"Parent decision scope missing"))&lt;&gt;"",IF(INDEX('Gate events'!$P$4:$P$553,MATCH(B482,'Gate events'!$A$4:$A$553,0))="UC-ID specific",IF(OR(L482&lt;&gt;"UC-ID specific",K482=""),"Condition UC-ID required",IF(ISNUMBER(SEARCH(","&amp;SUBSTITUTE(K482," ","")&amp;",",","&amp;SUBSTITUTE(INDEX('Gate events'!$O$4:$O$553,MATCH(B482,'Gate events'!$A$4:$A$553,0))," ","")&amp;",")),"","UC-ID differs from decision")),IF(INDEX('Gate events'!$P$4:$P$553,MATCH(B482,'Gate events'!$A$4:$A$553,0))="Shared system baseline",IF(OR(L482&lt;&gt;"Shared system baseline",K482&lt;&gt;""),"Condition scope differs from decision",""),"Parent decision scope missing")),IF(OR(D482="",E482="",F482="",G482=""),"Condition, owner, due date or state missing",IF(NOT(ISNUMBER(F482)),"Due date is not a date",IF(OR(G482="Overdue",G482="Superseded"),"Legacy state — owner review (use the shared five states)",IF(INDEX('Gate events'!$E$4:$E$553,MATCH(B482,'Gate events'!$A$4:$A$553,0))&lt;&gt;"Decision","Parent event is not a Decision",IF(AND(INDEX('Gate events'!$G$4:$G$553,MATCH(B482,'Gate events'!$A$4:$A$553,0))&lt;&gt;"Progress with condition",INDEX('Gate events'!$G$4:$G$553,MATCH(B482,'Gate events'!$A$4:$A$553,0))&lt;&gt;"Re-authorise",INDEX('Gate events'!$G$4:$G$553,MATCH(B482,'Gate events'!$A$4:$A$553,0))&lt;&gt;"Resume"),"Parent outcome is not Progress with condition / Re-authorise / Resume",IF(AND(ISNUMBER(INDEX('Gate events'!$F$4:$F$553,MATCH(B482,'Gate events'!$A$4:$A$553,0))),F482&lt;INDEX('Gate events'!$F$4:$F$553,MATCH(B482,'Gate events'!$A$4:$A$553,0))),"Due date before parent event date",IF(AND(OR(G482="Closed-verified",G482="Waived",G482="Accepted-open"),OR(H482="",I482="")),"Closure evidence missing",IF(AND(H482&lt;&gt;"",NOT(ISNUMBER(H482))),"Closed / waived on is not a date",IF(AND(ISNUMBER(H482),ISNUMBER(INDEX('Gate events'!$F$4:$F$553,MATCH(B482,'Gate events'!$A$4:$A$553,0))),H482&lt;INDEX('Gate events'!$F$4:$F$553,MATCH(B482,'Gate events'!$A$4:$A$553,0))),"Closure date before parent event date",IF(AND(G482="Closed-verified",M482=""),"Verifier / date missing",IF(AND(N482="Yes",G482="Closed-verified",O482=""),"Monitoring condition needs AIG-OPS-02 evidence ref",IF(AND(G482="Open",F482&lt;TODAY()),"OVERDUE (derived) — review",IF(G482="Unknown","State Unknown: owner to confirm","Check against source")))))))))))))))))))</f>
        <v/>
      </c>
      <c r="K482" s="37" t="n"/>
      <c r="L482" s="37" t="n"/>
      <c r="M482" s="38" t="n"/>
      <c r="N482" s="38" t="n"/>
      <c r="O482" s="38" t="n"/>
    </row>
    <row r="483">
      <c r="A483" s="40" t="n"/>
      <c r="B483" s="40" t="n"/>
      <c r="C483" s="40" t="n"/>
      <c r="D483" s="40" t="n"/>
      <c r="E483" s="40" t="n"/>
      <c r="F483" s="41" t="n"/>
      <c r="G483" s="40" t="n"/>
      <c r="H483" s="41" t="n"/>
      <c r="I483" s="40" t="n"/>
      <c r="J483" s="24">
        <f>IF(COUNTA(A483:I483,K483:O483)=0,"",IF(OR(A483="",B483="",C483=""),"ID / parent missing",IF(COUNTIF($A$4:$A$553,A483)&gt;1,"Duplicate condition ID",IF(COUNTIF('Gate events'!$A$4:$A$553,B483)=0,"Event ID not found",IF(INDEX('Gate events'!$B$4:$B$553,MATCH(B483,'Gate events'!$A$4:$A$553,0))&lt;&gt;C483,"AIR-ID differs from event",IF(IF(INDEX('Gate events'!$P$4:$P$553,MATCH(B483,'Gate events'!$A$4:$A$553,0))="UC-ID specific",IF(OR(L483&lt;&gt;"UC-ID specific",K483=""),"Condition UC-ID required",IF(ISNUMBER(SEARCH(","&amp;SUBSTITUTE(K483," ","")&amp;",",","&amp;SUBSTITUTE(INDEX('Gate events'!$O$4:$O$553,MATCH(B483,'Gate events'!$A$4:$A$553,0))," ","")&amp;",")),"","UC-ID differs from decision")),IF(INDEX('Gate events'!$P$4:$P$553,MATCH(B483,'Gate events'!$A$4:$A$553,0))="Shared system baseline",IF(OR(L483&lt;&gt;"Shared system baseline",K483&lt;&gt;""),"Condition scope differs from decision",""),"Parent decision scope missing"))&lt;&gt;"",IF(INDEX('Gate events'!$P$4:$P$553,MATCH(B483,'Gate events'!$A$4:$A$553,0))="UC-ID specific",IF(OR(L483&lt;&gt;"UC-ID specific",K483=""),"Condition UC-ID required",IF(ISNUMBER(SEARCH(","&amp;SUBSTITUTE(K483," ","")&amp;",",","&amp;SUBSTITUTE(INDEX('Gate events'!$O$4:$O$553,MATCH(B483,'Gate events'!$A$4:$A$553,0))," ","")&amp;",")),"","UC-ID differs from decision")),IF(INDEX('Gate events'!$P$4:$P$553,MATCH(B483,'Gate events'!$A$4:$A$553,0))="Shared system baseline",IF(OR(L483&lt;&gt;"Shared system baseline",K483&lt;&gt;""),"Condition scope differs from decision",""),"Parent decision scope missing")),IF(OR(D483="",E483="",F483="",G483=""),"Condition, owner, due date or state missing",IF(NOT(ISNUMBER(F483)),"Due date is not a date",IF(OR(G483="Overdue",G483="Superseded"),"Legacy state — owner review (use the shared five states)",IF(INDEX('Gate events'!$E$4:$E$553,MATCH(B483,'Gate events'!$A$4:$A$553,0))&lt;&gt;"Decision","Parent event is not a Decision",IF(AND(INDEX('Gate events'!$G$4:$G$553,MATCH(B483,'Gate events'!$A$4:$A$553,0))&lt;&gt;"Progress with condition",INDEX('Gate events'!$G$4:$G$553,MATCH(B483,'Gate events'!$A$4:$A$553,0))&lt;&gt;"Re-authorise",INDEX('Gate events'!$G$4:$G$553,MATCH(B483,'Gate events'!$A$4:$A$553,0))&lt;&gt;"Resume"),"Parent outcome is not Progress with condition / Re-authorise / Resume",IF(AND(ISNUMBER(INDEX('Gate events'!$F$4:$F$553,MATCH(B483,'Gate events'!$A$4:$A$553,0))),F483&lt;INDEX('Gate events'!$F$4:$F$553,MATCH(B483,'Gate events'!$A$4:$A$553,0))),"Due date before parent event date",IF(AND(OR(G483="Closed-verified",G483="Waived",G483="Accepted-open"),OR(H483="",I483="")),"Closure evidence missing",IF(AND(H483&lt;&gt;"",NOT(ISNUMBER(H483))),"Closed / waived on is not a date",IF(AND(ISNUMBER(H483),ISNUMBER(INDEX('Gate events'!$F$4:$F$553,MATCH(B483,'Gate events'!$A$4:$A$553,0))),H483&lt;INDEX('Gate events'!$F$4:$F$553,MATCH(B483,'Gate events'!$A$4:$A$553,0))),"Closure date before parent event date",IF(AND(G483="Closed-verified",M483=""),"Verifier / date missing",IF(AND(N483="Yes",G483="Closed-verified",O483=""),"Monitoring condition needs AIG-OPS-02 evidence ref",IF(AND(G483="Open",F483&lt;TODAY()),"OVERDUE (derived) — review",IF(G483="Unknown","State Unknown: owner to confirm","Check against source")))))))))))))))))))</f>
        <v/>
      </c>
      <c r="K483" s="37" t="n"/>
      <c r="L483" s="37" t="n"/>
      <c r="M483" s="40" t="n"/>
      <c r="N483" s="40" t="n"/>
      <c r="O483" s="40" t="n"/>
    </row>
    <row r="484">
      <c r="A484" s="38" t="n"/>
      <c r="B484" s="38" t="n"/>
      <c r="C484" s="38" t="n"/>
      <c r="D484" s="38" t="n"/>
      <c r="E484" s="38" t="n"/>
      <c r="F484" s="39" t="n"/>
      <c r="G484" s="38" t="n"/>
      <c r="H484" s="39" t="n"/>
      <c r="I484" s="38" t="n"/>
      <c r="J484" s="22">
        <f>IF(COUNTA(A484:I484,K484:O484)=0,"",IF(OR(A484="",B484="",C484=""),"ID / parent missing",IF(COUNTIF($A$4:$A$553,A484)&gt;1,"Duplicate condition ID",IF(COUNTIF('Gate events'!$A$4:$A$553,B484)=0,"Event ID not found",IF(INDEX('Gate events'!$B$4:$B$553,MATCH(B484,'Gate events'!$A$4:$A$553,0))&lt;&gt;C484,"AIR-ID differs from event",IF(IF(INDEX('Gate events'!$P$4:$P$553,MATCH(B484,'Gate events'!$A$4:$A$553,0))="UC-ID specific",IF(OR(L484&lt;&gt;"UC-ID specific",K484=""),"Condition UC-ID required",IF(ISNUMBER(SEARCH(","&amp;SUBSTITUTE(K484," ","")&amp;",",","&amp;SUBSTITUTE(INDEX('Gate events'!$O$4:$O$553,MATCH(B484,'Gate events'!$A$4:$A$553,0))," ","")&amp;",")),"","UC-ID differs from decision")),IF(INDEX('Gate events'!$P$4:$P$553,MATCH(B484,'Gate events'!$A$4:$A$553,0))="Shared system baseline",IF(OR(L484&lt;&gt;"Shared system baseline",K484&lt;&gt;""),"Condition scope differs from decision",""),"Parent decision scope missing"))&lt;&gt;"",IF(INDEX('Gate events'!$P$4:$P$553,MATCH(B484,'Gate events'!$A$4:$A$553,0))="UC-ID specific",IF(OR(L484&lt;&gt;"UC-ID specific",K484=""),"Condition UC-ID required",IF(ISNUMBER(SEARCH(","&amp;SUBSTITUTE(K484," ","")&amp;",",","&amp;SUBSTITUTE(INDEX('Gate events'!$O$4:$O$553,MATCH(B484,'Gate events'!$A$4:$A$553,0))," ","")&amp;",")),"","UC-ID differs from decision")),IF(INDEX('Gate events'!$P$4:$P$553,MATCH(B484,'Gate events'!$A$4:$A$553,0))="Shared system baseline",IF(OR(L484&lt;&gt;"Shared system baseline",K484&lt;&gt;""),"Condition scope differs from decision",""),"Parent decision scope missing")),IF(OR(D484="",E484="",F484="",G484=""),"Condition, owner, due date or state missing",IF(NOT(ISNUMBER(F484)),"Due date is not a date",IF(OR(G484="Overdue",G484="Superseded"),"Legacy state — owner review (use the shared five states)",IF(INDEX('Gate events'!$E$4:$E$553,MATCH(B484,'Gate events'!$A$4:$A$553,0))&lt;&gt;"Decision","Parent event is not a Decision",IF(AND(INDEX('Gate events'!$G$4:$G$553,MATCH(B484,'Gate events'!$A$4:$A$553,0))&lt;&gt;"Progress with condition",INDEX('Gate events'!$G$4:$G$553,MATCH(B484,'Gate events'!$A$4:$A$553,0))&lt;&gt;"Re-authorise",INDEX('Gate events'!$G$4:$G$553,MATCH(B484,'Gate events'!$A$4:$A$553,0))&lt;&gt;"Resume"),"Parent outcome is not Progress with condition / Re-authorise / Resume",IF(AND(ISNUMBER(INDEX('Gate events'!$F$4:$F$553,MATCH(B484,'Gate events'!$A$4:$A$553,0))),F484&lt;INDEX('Gate events'!$F$4:$F$553,MATCH(B484,'Gate events'!$A$4:$A$553,0))),"Due date before parent event date",IF(AND(OR(G484="Closed-verified",G484="Waived",G484="Accepted-open"),OR(H484="",I484="")),"Closure evidence missing",IF(AND(H484&lt;&gt;"",NOT(ISNUMBER(H484))),"Closed / waived on is not a date",IF(AND(ISNUMBER(H484),ISNUMBER(INDEX('Gate events'!$F$4:$F$553,MATCH(B484,'Gate events'!$A$4:$A$553,0))),H484&lt;INDEX('Gate events'!$F$4:$F$553,MATCH(B484,'Gate events'!$A$4:$A$553,0))),"Closure date before parent event date",IF(AND(G484="Closed-verified",M484=""),"Verifier / date missing",IF(AND(N484="Yes",G484="Closed-verified",O484=""),"Monitoring condition needs AIG-OPS-02 evidence ref",IF(AND(G484="Open",F484&lt;TODAY()),"OVERDUE (derived) — review",IF(G484="Unknown","State Unknown: owner to confirm","Check against source")))))))))))))))))))</f>
        <v/>
      </c>
      <c r="K484" s="37" t="n"/>
      <c r="L484" s="37" t="n"/>
      <c r="M484" s="38" t="n"/>
      <c r="N484" s="38" t="n"/>
      <c r="O484" s="38" t="n"/>
    </row>
    <row r="485">
      <c r="A485" s="40" t="n"/>
      <c r="B485" s="40" t="n"/>
      <c r="C485" s="40" t="n"/>
      <c r="D485" s="40" t="n"/>
      <c r="E485" s="40" t="n"/>
      <c r="F485" s="41" t="n"/>
      <c r="G485" s="40" t="n"/>
      <c r="H485" s="41" t="n"/>
      <c r="I485" s="40" t="n"/>
      <c r="J485" s="24">
        <f>IF(COUNTA(A485:I485,K485:O485)=0,"",IF(OR(A485="",B485="",C485=""),"ID / parent missing",IF(COUNTIF($A$4:$A$553,A485)&gt;1,"Duplicate condition ID",IF(COUNTIF('Gate events'!$A$4:$A$553,B485)=0,"Event ID not found",IF(INDEX('Gate events'!$B$4:$B$553,MATCH(B485,'Gate events'!$A$4:$A$553,0))&lt;&gt;C485,"AIR-ID differs from event",IF(IF(INDEX('Gate events'!$P$4:$P$553,MATCH(B485,'Gate events'!$A$4:$A$553,0))="UC-ID specific",IF(OR(L485&lt;&gt;"UC-ID specific",K485=""),"Condition UC-ID required",IF(ISNUMBER(SEARCH(","&amp;SUBSTITUTE(K485," ","")&amp;",",","&amp;SUBSTITUTE(INDEX('Gate events'!$O$4:$O$553,MATCH(B485,'Gate events'!$A$4:$A$553,0))," ","")&amp;",")),"","UC-ID differs from decision")),IF(INDEX('Gate events'!$P$4:$P$553,MATCH(B485,'Gate events'!$A$4:$A$553,0))="Shared system baseline",IF(OR(L485&lt;&gt;"Shared system baseline",K485&lt;&gt;""),"Condition scope differs from decision",""),"Parent decision scope missing"))&lt;&gt;"",IF(INDEX('Gate events'!$P$4:$P$553,MATCH(B485,'Gate events'!$A$4:$A$553,0))="UC-ID specific",IF(OR(L485&lt;&gt;"UC-ID specific",K485=""),"Condition UC-ID required",IF(ISNUMBER(SEARCH(","&amp;SUBSTITUTE(K485," ","")&amp;",",","&amp;SUBSTITUTE(INDEX('Gate events'!$O$4:$O$553,MATCH(B485,'Gate events'!$A$4:$A$553,0))," ","")&amp;",")),"","UC-ID differs from decision")),IF(INDEX('Gate events'!$P$4:$P$553,MATCH(B485,'Gate events'!$A$4:$A$553,0))="Shared system baseline",IF(OR(L485&lt;&gt;"Shared system baseline",K485&lt;&gt;""),"Condition scope differs from decision",""),"Parent decision scope missing")),IF(OR(D485="",E485="",F485="",G485=""),"Condition, owner, due date or state missing",IF(NOT(ISNUMBER(F485)),"Due date is not a date",IF(OR(G485="Overdue",G485="Superseded"),"Legacy state — owner review (use the shared five states)",IF(INDEX('Gate events'!$E$4:$E$553,MATCH(B485,'Gate events'!$A$4:$A$553,0))&lt;&gt;"Decision","Parent event is not a Decision",IF(AND(INDEX('Gate events'!$G$4:$G$553,MATCH(B485,'Gate events'!$A$4:$A$553,0))&lt;&gt;"Progress with condition",INDEX('Gate events'!$G$4:$G$553,MATCH(B485,'Gate events'!$A$4:$A$553,0))&lt;&gt;"Re-authorise",INDEX('Gate events'!$G$4:$G$553,MATCH(B485,'Gate events'!$A$4:$A$553,0))&lt;&gt;"Resume"),"Parent outcome is not Progress with condition / Re-authorise / Resume",IF(AND(ISNUMBER(INDEX('Gate events'!$F$4:$F$553,MATCH(B485,'Gate events'!$A$4:$A$553,0))),F485&lt;INDEX('Gate events'!$F$4:$F$553,MATCH(B485,'Gate events'!$A$4:$A$553,0))),"Due date before parent event date",IF(AND(OR(G485="Closed-verified",G485="Waived",G485="Accepted-open"),OR(H485="",I485="")),"Closure evidence missing",IF(AND(H485&lt;&gt;"",NOT(ISNUMBER(H485))),"Closed / waived on is not a date",IF(AND(ISNUMBER(H485),ISNUMBER(INDEX('Gate events'!$F$4:$F$553,MATCH(B485,'Gate events'!$A$4:$A$553,0))),H485&lt;INDEX('Gate events'!$F$4:$F$553,MATCH(B485,'Gate events'!$A$4:$A$553,0))),"Closure date before parent event date",IF(AND(G485="Closed-verified",M485=""),"Verifier / date missing",IF(AND(N485="Yes",G485="Closed-verified",O485=""),"Monitoring condition needs AIG-OPS-02 evidence ref",IF(AND(G485="Open",F485&lt;TODAY()),"OVERDUE (derived) — review",IF(G485="Unknown","State Unknown: owner to confirm","Check against source")))))))))))))))))))</f>
        <v/>
      </c>
      <c r="K485" s="37" t="n"/>
      <c r="L485" s="37" t="n"/>
      <c r="M485" s="40" t="n"/>
      <c r="N485" s="40" t="n"/>
      <c r="O485" s="40" t="n"/>
    </row>
    <row r="486">
      <c r="A486" s="38" t="n"/>
      <c r="B486" s="38" t="n"/>
      <c r="C486" s="38" t="n"/>
      <c r="D486" s="38" t="n"/>
      <c r="E486" s="38" t="n"/>
      <c r="F486" s="39" t="n"/>
      <c r="G486" s="38" t="n"/>
      <c r="H486" s="39" t="n"/>
      <c r="I486" s="38" t="n"/>
      <c r="J486" s="22">
        <f>IF(COUNTA(A486:I486,K486:O486)=0,"",IF(OR(A486="",B486="",C486=""),"ID / parent missing",IF(COUNTIF($A$4:$A$553,A486)&gt;1,"Duplicate condition ID",IF(COUNTIF('Gate events'!$A$4:$A$553,B486)=0,"Event ID not found",IF(INDEX('Gate events'!$B$4:$B$553,MATCH(B486,'Gate events'!$A$4:$A$553,0))&lt;&gt;C486,"AIR-ID differs from event",IF(IF(INDEX('Gate events'!$P$4:$P$553,MATCH(B486,'Gate events'!$A$4:$A$553,0))="UC-ID specific",IF(OR(L486&lt;&gt;"UC-ID specific",K486=""),"Condition UC-ID required",IF(ISNUMBER(SEARCH(","&amp;SUBSTITUTE(K486," ","")&amp;",",","&amp;SUBSTITUTE(INDEX('Gate events'!$O$4:$O$553,MATCH(B486,'Gate events'!$A$4:$A$553,0))," ","")&amp;",")),"","UC-ID differs from decision")),IF(INDEX('Gate events'!$P$4:$P$553,MATCH(B486,'Gate events'!$A$4:$A$553,0))="Shared system baseline",IF(OR(L486&lt;&gt;"Shared system baseline",K486&lt;&gt;""),"Condition scope differs from decision",""),"Parent decision scope missing"))&lt;&gt;"",IF(INDEX('Gate events'!$P$4:$P$553,MATCH(B486,'Gate events'!$A$4:$A$553,0))="UC-ID specific",IF(OR(L486&lt;&gt;"UC-ID specific",K486=""),"Condition UC-ID required",IF(ISNUMBER(SEARCH(","&amp;SUBSTITUTE(K486," ","")&amp;",",","&amp;SUBSTITUTE(INDEX('Gate events'!$O$4:$O$553,MATCH(B486,'Gate events'!$A$4:$A$553,0))," ","")&amp;",")),"","UC-ID differs from decision")),IF(INDEX('Gate events'!$P$4:$P$553,MATCH(B486,'Gate events'!$A$4:$A$553,0))="Shared system baseline",IF(OR(L486&lt;&gt;"Shared system baseline",K486&lt;&gt;""),"Condition scope differs from decision",""),"Parent decision scope missing")),IF(OR(D486="",E486="",F486="",G486=""),"Condition, owner, due date or state missing",IF(NOT(ISNUMBER(F486)),"Due date is not a date",IF(OR(G486="Overdue",G486="Superseded"),"Legacy state — owner review (use the shared five states)",IF(INDEX('Gate events'!$E$4:$E$553,MATCH(B486,'Gate events'!$A$4:$A$553,0))&lt;&gt;"Decision","Parent event is not a Decision",IF(AND(INDEX('Gate events'!$G$4:$G$553,MATCH(B486,'Gate events'!$A$4:$A$553,0))&lt;&gt;"Progress with condition",INDEX('Gate events'!$G$4:$G$553,MATCH(B486,'Gate events'!$A$4:$A$553,0))&lt;&gt;"Re-authorise",INDEX('Gate events'!$G$4:$G$553,MATCH(B486,'Gate events'!$A$4:$A$553,0))&lt;&gt;"Resume"),"Parent outcome is not Progress with condition / Re-authorise / Resume",IF(AND(ISNUMBER(INDEX('Gate events'!$F$4:$F$553,MATCH(B486,'Gate events'!$A$4:$A$553,0))),F486&lt;INDEX('Gate events'!$F$4:$F$553,MATCH(B486,'Gate events'!$A$4:$A$553,0))),"Due date before parent event date",IF(AND(OR(G486="Closed-verified",G486="Waived",G486="Accepted-open"),OR(H486="",I486="")),"Closure evidence missing",IF(AND(H486&lt;&gt;"",NOT(ISNUMBER(H486))),"Closed / waived on is not a date",IF(AND(ISNUMBER(H486),ISNUMBER(INDEX('Gate events'!$F$4:$F$553,MATCH(B486,'Gate events'!$A$4:$A$553,0))),H486&lt;INDEX('Gate events'!$F$4:$F$553,MATCH(B486,'Gate events'!$A$4:$A$553,0))),"Closure date before parent event date",IF(AND(G486="Closed-verified",M486=""),"Verifier / date missing",IF(AND(N486="Yes",G486="Closed-verified",O486=""),"Monitoring condition needs AIG-OPS-02 evidence ref",IF(AND(G486="Open",F486&lt;TODAY()),"OVERDUE (derived) — review",IF(G486="Unknown","State Unknown: owner to confirm","Check against source")))))))))))))))))))</f>
        <v/>
      </c>
      <c r="K486" s="37" t="n"/>
      <c r="L486" s="37" t="n"/>
      <c r="M486" s="38" t="n"/>
      <c r="N486" s="38" t="n"/>
      <c r="O486" s="38" t="n"/>
    </row>
    <row r="487">
      <c r="A487" s="40" t="n"/>
      <c r="B487" s="40" t="n"/>
      <c r="C487" s="40" t="n"/>
      <c r="D487" s="40" t="n"/>
      <c r="E487" s="40" t="n"/>
      <c r="F487" s="41" t="n"/>
      <c r="G487" s="40" t="n"/>
      <c r="H487" s="41" t="n"/>
      <c r="I487" s="40" t="n"/>
      <c r="J487" s="24">
        <f>IF(COUNTA(A487:I487,K487:O487)=0,"",IF(OR(A487="",B487="",C487=""),"ID / parent missing",IF(COUNTIF($A$4:$A$553,A487)&gt;1,"Duplicate condition ID",IF(COUNTIF('Gate events'!$A$4:$A$553,B487)=0,"Event ID not found",IF(INDEX('Gate events'!$B$4:$B$553,MATCH(B487,'Gate events'!$A$4:$A$553,0))&lt;&gt;C487,"AIR-ID differs from event",IF(IF(INDEX('Gate events'!$P$4:$P$553,MATCH(B487,'Gate events'!$A$4:$A$553,0))="UC-ID specific",IF(OR(L487&lt;&gt;"UC-ID specific",K487=""),"Condition UC-ID required",IF(ISNUMBER(SEARCH(","&amp;SUBSTITUTE(K487," ","")&amp;",",","&amp;SUBSTITUTE(INDEX('Gate events'!$O$4:$O$553,MATCH(B487,'Gate events'!$A$4:$A$553,0))," ","")&amp;",")),"","UC-ID differs from decision")),IF(INDEX('Gate events'!$P$4:$P$553,MATCH(B487,'Gate events'!$A$4:$A$553,0))="Shared system baseline",IF(OR(L487&lt;&gt;"Shared system baseline",K487&lt;&gt;""),"Condition scope differs from decision",""),"Parent decision scope missing"))&lt;&gt;"",IF(INDEX('Gate events'!$P$4:$P$553,MATCH(B487,'Gate events'!$A$4:$A$553,0))="UC-ID specific",IF(OR(L487&lt;&gt;"UC-ID specific",K487=""),"Condition UC-ID required",IF(ISNUMBER(SEARCH(","&amp;SUBSTITUTE(K487," ","")&amp;",",","&amp;SUBSTITUTE(INDEX('Gate events'!$O$4:$O$553,MATCH(B487,'Gate events'!$A$4:$A$553,0))," ","")&amp;",")),"","UC-ID differs from decision")),IF(INDEX('Gate events'!$P$4:$P$553,MATCH(B487,'Gate events'!$A$4:$A$553,0))="Shared system baseline",IF(OR(L487&lt;&gt;"Shared system baseline",K487&lt;&gt;""),"Condition scope differs from decision",""),"Parent decision scope missing")),IF(OR(D487="",E487="",F487="",G487=""),"Condition, owner, due date or state missing",IF(NOT(ISNUMBER(F487)),"Due date is not a date",IF(OR(G487="Overdue",G487="Superseded"),"Legacy state — owner review (use the shared five states)",IF(INDEX('Gate events'!$E$4:$E$553,MATCH(B487,'Gate events'!$A$4:$A$553,0))&lt;&gt;"Decision","Parent event is not a Decision",IF(AND(INDEX('Gate events'!$G$4:$G$553,MATCH(B487,'Gate events'!$A$4:$A$553,0))&lt;&gt;"Progress with condition",INDEX('Gate events'!$G$4:$G$553,MATCH(B487,'Gate events'!$A$4:$A$553,0))&lt;&gt;"Re-authorise",INDEX('Gate events'!$G$4:$G$553,MATCH(B487,'Gate events'!$A$4:$A$553,0))&lt;&gt;"Resume"),"Parent outcome is not Progress with condition / Re-authorise / Resume",IF(AND(ISNUMBER(INDEX('Gate events'!$F$4:$F$553,MATCH(B487,'Gate events'!$A$4:$A$553,0))),F487&lt;INDEX('Gate events'!$F$4:$F$553,MATCH(B487,'Gate events'!$A$4:$A$553,0))),"Due date before parent event date",IF(AND(OR(G487="Closed-verified",G487="Waived",G487="Accepted-open"),OR(H487="",I487="")),"Closure evidence missing",IF(AND(H487&lt;&gt;"",NOT(ISNUMBER(H487))),"Closed / waived on is not a date",IF(AND(ISNUMBER(H487),ISNUMBER(INDEX('Gate events'!$F$4:$F$553,MATCH(B487,'Gate events'!$A$4:$A$553,0))),H487&lt;INDEX('Gate events'!$F$4:$F$553,MATCH(B487,'Gate events'!$A$4:$A$553,0))),"Closure date before parent event date",IF(AND(G487="Closed-verified",M487=""),"Verifier / date missing",IF(AND(N487="Yes",G487="Closed-verified",O487=""),"Monitoring condition needs AIG-OPS-02 evidence ref",IF(AND(G487="Open",F487&lt;TODAY()),"OVERDUE (derived) — review",IF(G487="Unknown","State Unknown: owner to confirm","Check against source")))))))))))))))))))</f>
        <v/>
      </c>
      <c r="K487" s="37" t="n"/>
      <c r="L487" s="37" t="n"/>
      <c r="M487" s="40" t="n"/>
      <c r="N487" s="40" t="n"/>
      <c r="O487" s="40" t="n"/>
    </row>
    <row r="488">
      <c r="A488" s="38" t="n"/>
      <c r="B488" s="38" t="n"/>
      <c r="C488" s="38" t="n"/>
      <c r="D488" s="38" t="n"/>
      <c r="E488" s="38" t="n"/>
      <c r="F488" s="39" t="n"/>
      <c r="G488" s="38" t="n"/>
      <c r="H488" s="39" t="n"/>
      <c r="I488" s="38" t="n"/>
      <c r="J488" s="22">
        <f>IF(COUNTA(A488:I488,K488:O488)=0,"",IF(OR(A488="",B488="",C488=""),"ID / parent missing",IF(COUNTIF($A$4:$A$553,A488)&gt;1,"Duplicate condition ID",IF(COUNTIF('Gate events'!$A$4:$A$553,B488)=0,"Event ID not found",IF(INDEX('Gate events'!$B$4:$B$553,MATCH(B488,'Gate events'!$A$4:$A$553,0))&lt;&gt;C488,"AIR-ID differs from event",IF(IF(INDEX('Gate events'!$P$4:$P$553,MATCH(B488,'Gate events'!$A$4:$A$553,0))="UC-ID specific",IF(OR(L488&lt;&gt;"UC-ID specific",K488=""),"Condition UC-ID required",IF(ISNUMBER(SEARCH(","&amp;SUBSTITUTE(K488," ","")&amp;",",","&amp;SUBSTITUTE(INDEX('Gate events'!$O$4:$O$553,MATCH(B488,'Gate events'!$A$4:$A$553,0))," ","")&amp;",")),"","UC-ID differs from decision")),IF(INDEX('Gate events'!$P$4:$P$553,MATCH(B488,'Gate events'!$A$4:$A$553,0))="Shared system baseline",IF(OR(L488&lt;&gt;"Shared system baseline",K488&lt;&gt;""),"Condition scope differs from decision",""),"Parent decision scope missing"))&lt;&gt;"",IF(INDEX('Gate events'!$P$4:$P$553,MATCH(B488,'Gate events'!$A$4:$A$553,0))="UC-ID specific",IF(OR(L488&lt;&gt;"UC-ID specific",K488=""),"Condition UC-ID required",IF(ISNUMBER(SEARCH(","&amp;SUBSTITUTE(K488," ","")&amp;",",","&amp;SUBSTITUTE(INDEX('Gate events'!$O$4:$O$553,MATCH(B488,'Gate events'!$A$4:$A$553,0))," ","")&amp;",")),"","UC-ID differs from decision")),IF(INDEX('Gate events'!$P$4:$P$553,MATCH(B488,'Gate events'!$A$4:$A$553,0))="Shared system baseline",IF(OR(L488&lt;&gt;"Shared system baseline",K488&lt;&gt;""),"Condition scope differs from decision",""),"Parent decision scope missing")),IF(OR(D488="",E488="",F488="",G488=""),"Condition, owner, due date or state missing",IF(NOT(ISNUMBER(F488)),"Due date is not a date",IF(OR(G488="Overdue",G488="Superseded"),"Legacy state — owner review (use the shared five states)",IF(INDEX('Gate events'!$E$4:$E$553,MATCH(B488,'Gate events'!$A$4:$A$553,0))&lt;&gt;"Decision","Parent event is not a Decision",IF(AND(INDEX('Gate events'!$G$4:$G$553,MATCH(B488,'Gate events'!$A$4:$A$553,0))&lt;&gt;"Progress with condition",INDEX('Gate events'!$G$4:$G$553,MATCH(B488,'Gate events'!$A$4:$A$553,0))&lt;&gt;"Re-authorise",INDEX('Gate events'!$G$4:$G$553,MATCH(B488,'Gate events'!$A$4:$A$553,0))&lt;&gt;"Resume"),"Parent outcome is not Progress with condition / Re-authorise / Resume",IF(AND(ISNUMBER(INDEX('Gate events'!$F$4:$F$553,MATCH(B488,'Gate events'!$A$4:$A$553,0))),F488&lt;INDEX('Gate events'!$F$4:$F$553,MATCH(B488,'Gate events'!$A$4:$A$553,0))),"Due date before parent event date",IF(AND(OR(G488="Closed-verified",G488="Waived",G488="Accepted-open"),OR(H488="",I488="")),"Closure evidence missing",IF(AND(H488&lt;&gt;"",NOT(ISNUMBER(H488))),"Closed / waived on is not a date",IF(AND(ISNUMBER(H488),ISNUMBER(INDEX('Gate events'!$F$4:$F$553,MATCH(B488,'Gate events'!$A$4:$A$553,0))),H488&lt;INDEX('Gate events'!$F$4:$F$553,MATCH(B488,'Gate events'!$A$4:$A$553,0))),"Closure date before parent event date",IF(AND(G488="Closed-verified",M488=""),"Verifier / date missing",IF(AND(N488="Yes",G488="Closed-verified",O488=""),"Monitoring condition needs AIG-OPS-02 evidence ref",IF(AND(G488="Open",F488&lt;TODAY()),"OVERDUE (derived) — review",IF(G488="Unknown","State Unknown: owner to confirm","Check against source")))))))))))))))))))</f>
        <v/>
      </c>
      <c r="K488" s="37" t="n"/>
      <c r="L488" s="37" t="n"/>
      <c r="M488" s="38" t="n"/>
      <c r="N488" s="38" t="n"/>
      <c r="O488" s="38" t="n"/>
    </row>
    <row r="489">
      <c r="A489" s="40" t="n"/>
      <c r="B489" s="40" t="n"/>
      <c r="C489" s="40" t="n"/>
      <c r="D489" s="40" t="n"/>
      <c r="E489" s="40" t="n"/>
      <c r="F489" s="41" t="n"/>
      <c r="G489" s="40" t="n"/>
      <c r="H489" s="41" t="n"/>
      <c r="I489" s="40" t="n"/>
      <c r="J489" s="24">
        <f>IF(COUNTA(A489:I489,K489:O489)=0,"",IF(OR(A489="",B489="",C489=""),"ID / parent missing",IF(COUNTIF($A$4:$A$553,A489)&gt;1,"Duplicate condition ID",IF(COUNTIF('Gate events'!$A$4:$A$553,B489)=0,"Event ID not found",IF(INDEX('Gate events'!$B$4:$B$553,MATCH(B489,'Gate events'!$A$4:$A$553,0))&lt;&gt;C489,"AIR-ID differs from event",IF(IF(INDEX('Gate events'!$P$4:$P$553,MATCH(B489,'Gate events'!$A$4:$A$553,0))="UC-ID specific",IF(OR(L489&lt;&gt;"UC-ID specific",K489=""),"Condition UC-ID required",IF(ISNUMBER(SEARCH(","&amp;SUBSTITUTE(K489," ","")&amp;",",","&amp;SUBSTITUTE(INDEX('Gate events'!$O$4:$O$553,MATCH(B489,'Gate events'!$A$4:$A$553,0))," ","")&amp;",")),"","UC-ID differs from decision")),IF(INDEX('Gate events'!$P$4:$P$553,MATCH(B489,'Gate events'!$A$4:$A$553,0))="Shared system baseline",IF(OR(L489&lt;&gt;"Shared system baseline",K489&lt;&gt;""),"Condition scope differs from decision",""),"Parent decision scope missing"))&lt;&gt;"",IF(INDEX('Gate events'!$P$4:$P$553,MATCH(B489,'Gate events'!$A$4:$A$553,0))="UC-ID specific",IF(OR(L489&lt;&gt;"UC-ID specific",K489=""),"Condition UC-ID required",IF(ISNUMBER(SEARCH(","&amp;SUBSTITUTE(K489," ","")&amp;",",","&amp;SUBSTITUTE(INDEX('Gate events'!$O$4:$O$553,MATCH(B489,'Gate events'!$A$4:$A$553,0))," ","")&amp;",")),"","UC-ID differs from decision")),IF(INDEX('Gate events'!$P$4:$P$553,MATCH(B489,'Gate events'!$A$4:$A$553,0))="Shared system baseline",IF(OR(L489&lt;&gt;"Shared system baseline",K489&lt;&gt;""),"Condition scope differs from decision",""),"Parent decision scope missing")),IF(OR(D489="",E489="",F489="",G489=""),"Condition, owner, due date or state missing",IF(NOT(ISNUMBER(F489)),"Due date is not a date",IF(OR(G489="Overdue",G489="Superseded"),"Legacy state — owner review (use the shared five states)",IF(INDEX('Gate events'!$E$4:$E$553,MATCH(B489,'Gate events'!$A$4:$A$553,0))&lt;&gt;"Decision","Parent event is not a Decision",IF(AND(INDEX('Gate events'!$G$4:$G$553,MATCH(B489,'Gate events'!$A$4:$A$553,0))&lt;&gt;"Progress with condition",INDEX('Gate events'!$G$4:$G$553,MATCH(B489,'Gate events'!$A$4:$A$553,0))&lt;&gt;"Re-authorise",INDEX('Gate events'!$G$4:$G$553,MATCH(B489,'Gate events'!$A$4:$A$553,0))&lt;&gt;"Resume"),"Parent outcome is not Progress with condition / Re-authorise / Resume",IF(AND(ISNUMBER(INDEX('Gate events'!$F$4:$F$553,MATCH(B489,'Gate events'!$A$4:$A$553,0))),F489&lt;INDEX('Gate events'!$F$4:$F$553,MATCH(B489,'Gate events'!$A$4:$A$553,0))),"Due date before parent event date",IF(AND(OR(G489="Closed-verified",G489="Waived",G489="Accepted-open"),OR(H489="",I489="")),"Closure evidence missing",IF(AND(H489&lt;&gt;"",NOT(ISNUMBER(H489))),"Closed / waived on is not a date",IF(AND(ISNUMBER(H489),ISNUMBER(INDEX('Gate events'!$F$4:$F$553,MATCH(B489,'Gate events'!$A$4:$A$553,0))),H489&lt;INDEX('Gate events'!$F$4:$F$553,MATCH(B489,'Gate events'!$A$4:$A$553,0))),"Closure date before parent event date",IF(AND(G489="Closed-verified",M489=""),"Verifier / date missing",IF(AND(N489="Yes",G489="Closed-verified",O489=""),"Monitoring condition needs AIG-OPS-02 evidence ref",IF(AND(G489="Open",F489&lt;TODAY()),"OVERDUE (derived) — review",IF(G489="Unknown","State Unknown: owner to confirm","Check against source")))))))))))))))))))</f>
        <v/>
      </c>
      <c r="K489" s="37" t="n"/>
      <c r="L489" s="37" t="n"/>
      <c r="M489" s="40" t="n"/>
      <c r="N489" s="40" t="n"/>
      <c r="O489" s="40" t="n"/>
    </row>
    <row r="490">
      <c r="A490" s="38" t="n"/>
      <c r="B490" s="38" t="n"/>
      <c r="C490" s="38" t="n"/>
      <c r="D490" s="38" t="n"/>
      <c r="E490" s="38" t="n"/>
      <c r="F490" s="39" t="n"/>
      <c r="G490" s="38" t="n"/>
      <c r="H490" s="39" t="n"/>
      <c r="I490" s="38" t="n"/>
      <c r="J490" s="22">
        <f>IF(COUNTA(A490:I490,K490:O490)=0,"",IF(OR(A490="",B490="",C490=""),"ID / parent missing",IF(COUNTIF($A$4:$A$553,A490)&gt;1,"Duplicate condition ID",IF(COUNTIF('Gate events'!$A$4:$A$553,B490)=0,"Event ID not found",IF(INDEX('Gate events'!$B$4:$B$553,MATCH(B490,'Gate events'!$A$4:$A$553,0))&lt;&gt;C490,"AIR-ID differs from event",IF(IF(INDEX('Gate events'!$P$4:$P$553,MATCH(B490,'Gate events'!$A$4:$A$553,0))="UC-ID specific",IF(OR(L490&lt;&gt;"UC-ID specific",K490=""),"Condition UC-ID required",IF(ISNUMBER(SEARCH(","&amp;SUBSTITUTE(K490," ","")&amp;",",","&amp;SUBSTITUTE(INDEX('Gate events'!$O$4:$O$553,MATCH(B490,'Gate events'!$A$4:$A$553,0))," ","")&amp;",")),"","UC-ID differs from decision")),IF(INDEX('Gate events'!$P$4:$P$553,MATCH(B490,'Gate events'!$A$4:$A$553,0))="Shared system baseline",IF(OR(L490&lt;&gt;"Shared system baseline",K490&lt;&gt;""),"Condition scope differs from decision",""),"Parent decision scope missing"))&lt;&gt;"",IF(INDEX('Gate events'!$P$4:$P$553,MATCH(B490,'Gate events'!$A$4:$A$553,0))="UC-ID specific",IF(OR(L490&lt;&gt;"UC-ID specific",K490=""),"Condition UC-ID required",IF(ISNUMBER(SEARCH(","&amp;SUBSTITUTE(K490," ","")&amp;",",","&amp;SUBSTITUTE(INDEX('Gate events'!$O$4:$O$553,MATCH(B490,'Gate events'!$A$4:$A$553,0))," ","")&amp;",")),"","UC-ID differs from decision")),IF(INDEX('Gate events'!$P$4:$P$553,MATCH(B490,'Gate events'!$A$4:$A$553,0))="Shared system baseline",IF(OR(L490&lt;&gt;"Shared system baseline",K490&lt;&gt;""),"Condition scope differs from decision",""),"Parent decision scope missing")),IF(OR(D490="",E490="",F490="",G490=""),"Condition, owner, due date or state missing",IF(NOT(ISNUMBER(F490)),"Due date is not a date",IF(OR(G490="Overdue",G490="Superseded"),"Legacy state — owner review (use the shared five states)",IF(INDEX('Gate events'!$E$4:$E$553,MATCH(B490,'Gate events'!$A$4:$A$553,0))&lt;&gt;"Decision","Parent event is not a Decision",IF(AND(INDEX('Gate events'!$G$4:$G$553,MATCH(B490,'Gate events'!$A$4:$A$553,0))&lt;&gt;"Progress with condition",INDEX('Gate events'!$G$4:$G$553,MATCH(B490,'Gate events'!$A$4:$A$553,0))&lt;&gt;"Re-authorise",INDEX('Gate events'!$G$4:$G$553,MATCH(B490,'Gate events'!$A$4:$A$553,0))&lt;&gt;"Resume"),"Parent outcome is not Progress with condition / Re-authorise / Resume",IF(AND(ISNUMBER(INDEX('Gate events'!$F$4:$F$553,MATCH(B490,'Gate events'!$A$4:$A$553,0))),F490&lt;INDEX('Gate events'!$F$4:$F$553,MATCH(B490,'Gate events'!$A$4:$A$553,0))),"Due date before parent event date",IF(AND(OR(G490="Closed-verified",G490="Waived",G490="Accepted-open"),OR(H490="",I490="")),"Closure evidence missing",IF(AND(H490&lt;&gt;"",NOT(ISNUMBER(H490))),"Closed / waived on is not a date",IF(AND(ISNUMBER(H490),ISNUMBER(INDEX('Gate events'!$F$4:$F$553,MATCH(B490,'Gate events'!$A$4:$A$553,0))),H490&lt;INDEX('Gate events'!$F$4:$F$553,MATCH(B490,'Gate events'!$A$4:$A$553,0))),"Closure date before parent event date",IF(AND(G490="Closed-verified",M490=""),"Verifier / date missing",IF(AND(N490="Yes",G490="Closed-verified",O490=""),"Monitoring condition needs AIG-OPS-02 evidence ref",IF(AND(G490="Open",F490&lt;TODAY()),"OVERDUE (derived) — review",IF(G490="Unknown","State Unknown: owner to confirm","Check against source")))))))))))))))))))</f>
        <v/>
      </c>
      <c r="K490" s="37" t="n"/>
      <c r="L490" s="37" t="n"/>
      <c r="M490" s="38" t="n"/>
      <c r="N490" s="38" t="n"/>
      <c r="O490" s="38" t="n"/>
    </row>
    <row r="491">
      <c r="A491" s="40" t="n"/>
      <c r="B491" s="40" t="n"/>
      <c r="C491" s="40" t="n"/>
      <c r="D491" s="40" t="n"/>
      <c r="E491" s="40" t="n"/>
      <c r="F491" s="41" t="n"/>
      <c r="G491" s="40" t="n"/>
      <c r="H491" s="41" t="n"/>
      <c r="I491" s="40" t="n"/>
      <c r="J491" s="24">
        <f>IF(COUNTA(A491:I491,K491:O491)=0,"",IF(OR(A491="",B491="",C491=""),"ID / parent missing",IF(COUNTIF($A$4:$A$553,A491)&gt;1,"Duplicate condition ID",IF(COUNTIF('Gate events'!$A$4:$A$553,B491)=0,"Event ID not found",IF(INDEX('Gate events'!$B$4:$B$553,MATCH(B491,'Gate events'!$A$4:$A$553,0))&lt;&gt;C491,"AIR-ID differs from event",IF(IF(INDEX('Gate events'!$P$4:$P$553,MATCH(B491,'Gate events'!$A$4:$A$553,0))="UC-ID specific",IF(OR(L491&lt;&gt;"UC-ID specific",K491=""),"Condition UC-ID required",IF(ISNUMBER(SEARCH(","&amp;SUBSTITUTE(K491," ","")&amp;",",","&amp;SUBSTITUTE(INDEX('Gate events'!$O$4:$O$553,MATCH(B491,'Gate events'!$A$4:$A$553,0))," ","")&amp;",")),"","UC-ID differs from decision")),IF(INDEX('Gate events'!$P$4:$P$553,MATCH(B491,'Gate events'!$A$4:$A$553,0))="Shared system baseline",IF(OR(L491&lt;&gt;"Shared system baseline",K491&lt;&gt;""),"Condition scope differs from decision",""),"Parent decision scope missing"))&lt;&gt;"",IF(INDEX('Gate events'!$P$4:$P$553,MATCH(B491,'Gate events'!$A$4:$A$553,0))="UC-ID specific",IF(OR(L491&lt;&gt;"UC-ID specific",K491=""),"Condition UC-ID required",IF(ISNUMBER(SEARCH(","&amp;SUBSTITUTE(K491," ","")&amp;",",","&amp;SUBSTITUTE(INDEX('Gate events'!$O$4:$O$553,MATCH(B491,'Gate events'!$A$4:$A$553,0))," ","")&amp;",")),"","UC-ID differs from decision")),IF(INDEX('Gate events'!$P$4:$P$553,MATCH(B491,'Gate events'!$A$4:$A$553,0))="Shared system baseline",IF(OR(L491&lt;&gt;"Shared system baseline",K491&lt;&gt;""),"Condition scope differs from decision",""),"Parent decision scope missing")),IF(OR(D491="",E491="",F491="",G491=""),"Condition, owner, due date or state missing",IF(NOT(ISNUMBER(F491)),"Due date is not a date",IF(OR(G491="Overdue",G491="Superseded"),"Legacy state — owner review (use the shared five states)",IF(INDEX('Gate events'!$E$4:$E$553,MATCH(B491,'Gate events'!$A$4:$A$553,0))&lt;&gt;"Decision","Parent event is not a Decision",IF(AND(INDEX('Gate events'!$G$4:$G$553,MATCH(B491,'Gate events'!$A$4:$A$553,0))&lt;&gt;"Progress with condition",INDEX('Gate events'!$G$4:$G$553,MATCH(B491,'Gate events'!$A$4:$A$553,0))&lt;&gt;"Re-authorise",INDEX('Gate events'!$G$4:$G$553,MATCH(B491,'Gate events'!$A$4:$A$553,0))&lt;&gt;"Resume"),"Parent outcome is not Progress with condition / Re-authorise / Resume",IF(AND(ISNUMBER(INDEX('Gate events'!$F$4:$F$553,MATCH(B491,'Gate events'!$A$4:$A$553,0))),F491&lt;INDEX('Gate events'!$F$4:$F$553,MATCH(B491,'Gate events'!$A$4:$A$553,0))),"Due date before parent event date",IF(AND(OR(G491="Closed-verified",G491="Waived",G491="Accepted-open"),OR(H491="",I491="")),"Closure evidence missing",IF(AND(H491&lt;&gt;"",NOT(ISNUMBER(H491))),"Closed / waived on is not a date",IF(AND(ISNUMBER(H491),ISNUMBER(INDEX('Gate events'!$F$4:$F$553,MATCH(B491,'Gate events'!$A$4:$A$553,0))),H491&lt;INDEX('Gate events'!$F$4:$F$553,MATCH(B491,'Gate events'!$A$4:$A$553,0))),"Closure date before parent event date",IF(AND(G491="Closed-verified",M491=""),"Verifier / date missing",IF(AND(N491="Yes",G491="Closed-verified",O491=""),"Monitoring condition needs AIG-OPS-02 evidence ref",IF(AND(G491="Open",F491&lt;TODAY()),"OVERDUE (derived) — review",IF(G491="Unknown","State Unknown: owner to confirm","Check against source")))))))))))))))))))</f>
        <v/>
      </c>
      <c r="K491" s="37" t="n"/>
      <c r="L491" s="37" t="n"/>
      <c r="M491" s="40" t="n"/>
      <c r="N491" s="40" t="n"/>
      <c r="O491" s="40" t="n"/>
    </row>
    <row r="492">
      <c r="A492" s="38" t="n"/>
      <c r="B492" s="38" t="n"/>
      <c r="C492" s="38" t="n"/>
      <c r="D492" s="38" t="n"/>
      <c r="E492" s="38" t="n"/>
      <c r="F492" s="39" t="n"/>
      <c r="G492" s="38" t="n"/>
      <c r="H492" s="39" t="n"/>
      <c r="I492" s="38" t="n"/>
      <c r="J492" s="22">
        <f>IF(COUNTA(A492:I492,K492:O492)=0,"",IF(OR(A492="",B492="",C492=""),"ID / parent missing",IF(COUNTIF($A$4:$A$553,A492)&gt;1,"Duplicate condition ID",IF(COUNTIF('Gate events'!$A$4:$A$553,B492)=0,"Event ID not found",IF(INDEX('Gate events'!$B$4:$B$553,MATCH(B492,'Gate events'!$A$4:$A$553,0))&lt;&gt;C492,"AIR-ID differs from event",IF(IF(INDEX('Gate events'!$P$4:$P$553,MATCH(B492,'Gate events'!$A$4:$A$553,0))="UC-ID specific",IF(OR(L492&lt;&gt;"UC-ID specific",K492=""),"Condition UC-ID required",IF(ISNUMBER(SEARCH(","&amp;SUBSTITUTE(K492," ","")&amp;",",","&amp;SUBSTITUTE(INDEX('Gate events'!$O$4:$O$553,MATCH(B492,'Gate events'!$A$4:$A$553,0))," ","")&amp;",")),"","UC-ID differs from decision")),IF(INDEX('Gate events'!$P$4:$P$553,MATCH(B492,'Gate events'!$A$4:$A$553,0))="Shared system baseline",IF(OR(L492&lt;&gt;"Shared system baseline",K492&lt;&gt;""),"Condition scope differs from decision",""),"Parent decision scope missing"))&lt;&gt;"",IF(INDEX('Gate events'!$P$4:$P$553,MATCH(B492,'Gate events'!$A$4:$A$553,0))="UC-ID specific",IF(OR(L492&lt;&gt;"UC-ID specific",K492=""),"Condition UC-ID required",IF(ISNUMBER(SEARCH(","&amp;SUBSTITUTE(K492," ","")&amp;",",","&amp;SUBSTITUTE(INDEX('Gate events'!$O$4:$O$553,MATCH(B492,'Gate events'!$A$4:$A$553,0))," ","")&amp;",")),"","UC-ID differs from decision")),IF(INDEX('Gate events'!$P$4:$P$553,MATCH(B492,'Gate events'!$A$4:$A$553,0))="Shared system baseline",IF(OR(L492&lt;&gt;"Shared system baseline",K492&lt;&gt;""),"Condition scope differs from decision",""),"Parent decision scope missing")),IF(OR(D492="",E492="",F492="",G492=""),"Condition, owner, due date or state missing",IF(NOT(ISNUMBER(F492)),"Due date is not a date",IF(OR(G492="Overdue",G492="Superseded"),"Legacy state — owner review (use the shared five states)",IF(INDEX('Gate events'!$E$4:$E$553,MATCH(B492,'Gate events'!$A$4:$A$553,0))&lt;&gt;"Decision","Parent event is not a Decision",IF(AND(INDEX('Gate events'!$G$4:$G$553,MATCH(B492,'Gate events'!$A$4:$A$553,0))&lt;&gt;"Progress with condition",INDEX('Gate events'!$G$4:$G$553,MATCH(B492,'Gate events'!$A$4:$A$553,0))&lt;&gt;"Re-authorise",INDEX('Gate events'!$G$4:$G$553,MATCH(B492,'Gate events'!$A$4:$A$553,0))&lt;&gt;"Resume"),"Parent outcome is not Progress with condition / Re-authorise / Resume",IF(AND(ISNUMBER(INDEX('Gate events'!$F$4:$F$553,MATCH(B492,'Gate events'!$A$4:$A$553,0))),F492&lt;INDEX('Gate events'!$F$4:$F$553,MATCH(B492,'Gate events'!$A$4:$A$553,0))),"Due date before parent event date",IF(AND(OR(G492="Closed-verified",G492="Waived",G492="Accepted-open"),OR(H492="",I492="")),"Closure evidence missing",IF(AND(H492&lt;&gt;"",NOT(ISNUMBER(H492))),"Closed / waived on is not a date",IF(AND(ISNUMBER(H492),ISNUMBER(INDEX('Gate events'!$F$4:$F$553,MATCH(B492,'Gate events'!$A$4:$A$553,0))),H492&lt;INDEX('Gate events'!$F$4:$F$553,MATCH(B492,'Gate events'!$A$4:$A$553,0))),"Closure date before parent event date",IF(AND(G492="Closed-verified",M492=""),"Verifier / date missing",IF(AND(N492="Yes",G492="Closed-verified",O492=""),"Monitoring condition needs AIG-OPS-02 evidence ref",IF(AND(G492="Open",F492&lt;TODAY()),"OVERDUE (derived) — review",IF(G492="Unknown","State Unknown: owner to confirm","Check against source")))))))))))))))))))</f>
        <v/>
      </c>
      <c r="K492" s="37" t="n"/>
      <c r="L492" s="37" t="n"/>
      <c r="M492" s="38" t="n"/>
      <c r="N492" s="38" t="n"/>
      <c r="O492" s="38" t="n"/>
    </row>
    <row r="493">
      <c r="A493" s="40" t="n"/>
      <c r="B493" s="40" t="n"/>
      <c r="C493" s="40" t="n"/>
      <c r="D493" s="40" t="n"/>
      <c r="E493" s="40" t="n"/>
      <c r="F493" s="41" t="n"/>
      <c r="G493" s="40" t="n"/>
      <c r="H493" s="41" t="n"/>
      <c r="I493" s="40" t="n"/>
      <c r="J493" s="24">
        <f>IF(COUNTA(A493:I493,K493:O493)=0,"",IF(OR(A493="",B493="",C493=""),"ID / parent missing",IF(COUNTIF($A$4:$A$553,A493)&gt;1,"Duplicate condition ID",IF(COUNTIF('Gate events'!$A$4:$A$553,B493)=0,"Event ID not found",IF(INDEX('Gate events'!$B$4:$B$553,MATCH(B493,'Gate events'!$A$4:$A$553,0))&lt;&gt;C493,"AIR-ID differs from event",IF(IF(INDEX('Gate events'!$P$4:$P$553,MATCH(B493,'Gate events'!$A$4:$A$553,0))="UC-ID specific",IF(OR(L493&lt;&gt;"UC-ID specific",K493=""),"Condition UC-ID required",IF(ISNUMBER(SEARCH(","&amp;SUBSTITUTE(K493," ","")&amp;",",","&amp;SUBSTITUTE(INDEX('Gate events'!$O$4:$O$553,MATCH(B493,'Gate events'!$A$4:$A$553,0))," ","")&amp;",")),"","UC-ID differs from decision")),IF(INDEX('Gate events'!$P$4:$P$553,MATCH(B493,'Gate events'!$A$4:$A$553,0))="Shared system baseline",IF(OR(L493&lt;&gt;"Shared system baseline",K493&lt;&gt;""),"Condition scope differs from decision",""),"Parent decision scope missing"))&lt;&gt;"",IF(INDEX('Gate events'!$P$4:$P$553,MATCH(B493,'Gate events'!$A$4:$A$553,0))="UC-ID specific",IF(OR(L493&lt;&gt;"UC-ID specific",K493=""),"Condition UC-ID required",IF(ISNUMBER(SEARCH(","&amp;SUBSTITUTE(K493," ","")&amp;",",","&amp;SUBSTITUTE(INDEX('Gate events'!$O$4:$O$553,MATCH(B493,'Gate events'!$A$4:$A$553,0))," ","")&amp;",")),"","UC-ID differs from decision")),IF(INDEX('Gate events'!$P$4:$P$553,MATCH(B493,'Gate events'!$A$4:$A$553,0))="Shared system baseline",IF(OR(L493&lt;&gt;"Shared system baseline",K493&lt;&gt;""),"Condition scope differs from decision",""),"Parent decision scope missing")),IF(OR(D493="",E493="",F493="",G493=""),"Condition, owner, due date or state missing",IF(NOT(ISNUMBER(F493)),"Due date is not a date",IF(OR(G493="Overdue",G493="Superseded"),"Legacy state — owner review (use the shared five states)",IF(INDEX('Gate events'!$E$4:$E$553,MATCH(B493,'Gate events'!$A$4:$A$553,0))&lt;&gt;"Decision","Parent event is not a Decision",IF(AND(INDEX('Gate events'!$G$4:$G$553,MATCH(B493,'Gate events'!$A$4:$A$553,0))&lt;&gt;"Progress with condition",INDEX('Gate events'!$G$4:$G$553,MATCH(B493,'Gate events'!$A$4:$A$553,0))&lt;&gt;"Re-authorise",INDEX('Gate events'!$G$4:$G$553,MATCH(B493,'Gate events'!$A$4:$A$553,0))&lt;&gt;"Resume"),"Parent outcome is not Progress with condition / Re-authorise / Resume",IF(AND(ISNUMBER(INDEX('Gate events'!$F$4:$F$553,MATCH(B493,'Gate events'!$A$4:$A$553,0))),F493&lt;INDEX('Gate events'!$F$4:$F$553,MATCH(B493,'Gate events'!$A$4:$A$553,0))),"Due date before parent event date",IF(AND(OR(G493="Closed-verified",G493="Waived",G493="Accepted-open"),OR(H493="",I493="")),"Closure evidence missing",IF(AND(H493&lt;&gt;"",NOT(ISNUMBER(H493))),"Closed / waived on is not a date",IF(AND(ISNUMBER(H493),ISNUMBER(INDEX('Gate events'!$F$4:$F$553,MATCH(B493,'Gate events'!$A$4:$A$553,0))),H493&lt;INDEX('Gate events'!$F$4:$F$553,MATCH(B493,'Gate events'!$A$4:$A$553,0))),"Closure date before parent event date",IF(AND(G493="Closed-verified",M493=""),"Verifier / date missing",IF(AND(N493="Yes",G493="Closed-verified",O493=""),"Monitoring condition needs AIG-OPS-02 evidence ref",IF(AND(G493="Open",F493&lt;TODAY()),"OVERDUE (derived) — review",IF(G493="Unknown","State Unknown: owner to confirm","Check against source")))))))))))))))))))</f>
        <v/>
      </c>
      <c r="K493" s="37" t="n"/>
      <c r="L493" s="37" t="n"/>
      <c r="M493" s="40" t="n"/>
      <c r="N493" s="40" t="n"/>
      <c r="O493" s="40" t="n"/>
    </row>
    <row r="494">
      <c r="A494" s="38" t="n"/>
      <c r="B494" s="38" t="n"/>
      <c r="C494" s="38" t="n"/>
      <c r="D494" s="38" t="n"/>
      <c r="E494" s="38" t="n"/>
      <c r="F494" s="39" t="n"/>
      <c r="G494" s="38" t="n"/>
      <c r="H494" s="39" t="n"/>
      <c r="I494" s="38" t="n"/>
      <c r="J494" s="22">
        <f>IF(COUNTA(A494:I494,K494:O494)=0,"",IF(OR(A494="",B494="",C494=""),"ID / parent missing",IF(COUNTIF($A$4:$A$553,A494)&gt;1,"Duplicate condition ID",IF(COUNTIF('Gate events'!$A$4:$A$553,B494)=0,"Event ID not found",IF(INDEX('Gate events'!$B$4:$B$553,MATCH(B494,'Gate events'!$A$4:$A$553,0))&lt;&gt;C494,"AIR-ID differs from event",IF(IF(INDEX('Gate events'!$P$4:$P$553,MATCH(B494,'Gate events'!$A$4:$A$553,0))="UC-ID specific",IF(OR(L494&lt;&gt;"UC-ID specific",K494=""),"Condition UC-ID required",IF(ISNUMBER(SEARCH(","&amp;SUBSTITUTE(K494," ","")&amp;",",","&amp;SUBSTITUTE(INDEX('Gate events'!$O$4:$O$553,MATCH(B494,'Gate events'!$A$4:$A$553,0))," ","")&amp;",")),"","UC-ID differs from decision")),IF(INDEX('Gate events'!$P$4:$P$553,MATCH(B494,'Gate events'!$A$4:$A$553,0))="Shared system baseline",IF(OR(L494&lt;&gt;"Shared system baseline",K494&lt;&gt;""),"Condition scope differs from decision",""),"Parent decision scope missing"))&lt;&gt;"",IF(INDEX('Gate events'!$P$4:$P$553,MATCH(B494,'Gate events'!$A$4:$A$553,0))="UC-ID specific",IF(OR(L494&lt;&gt;"UC-ID specific",K494=""),"Condition UC-ID required",IF(ISNUMBER(SEARCH(","&amp;SUBSTITUTE(K494," ","")&amp;",",","&amp;SUBSTITUTE(INDEX('Gate events'!$O$4:$O$553,MATCH(B494,'Gate events'!$A$4:$A$553,0))," ","")&amp;",")),"","UC-ID differs from decision")),IF(INDEX('Gate events'!$P$4:$P$553,MATCH(B494,'Gate events'!$A$4:$A$553,0))="Shared system baseline",IF(OR(L494&lt;&gt;"Shared system baseline",K494&lt;&gt;""),"Condition scope differs from decision",""),"Parent decision scope missing")),IF(OR(D494="",E494="",F494="",G494=""),"Condition, owner, due date or state missing",IF(NOT(ISNUMBER(F494)),"Due date is not a date",IF(OR(G494="Overdue",G494="Superseded"),"Legacy state — owner review (use the shared five states)",IF(INDEX('Gate events'!$E$4:$E$553,MATCH(B494,'Gate events'!$A$4:$A$553,0))&lt;&gt;"Decision","Parent event is not a Decision",IF(AND(INDEX('Gate events'!$G$4:$G$553,MATCH(B494,'Gate events'!$A$4:$A$553,0))&lt;&gt;"Progress with condition",INDEX('Gate events'!$G$4:$G$553,MATCH(B494,'Gate events'!$A$4:$A$553,0))&lt;&gt;"Re-authorise",INDEX('Gate events'!$G$4:$G$553,MATCH(B494,'Gate events'!$A$4:$A$553,0))&lt;&gt;"Resume"),"Parent outcome is not Progress with condition / Re-authorise / Resume",IF(AND(ISNUMBER(INDEX('Gate events'!$F$4:$F$553,MATCH(B494,'Gate events'!$A$4:$A$553,0))),F494&lt;INDEX('Gate events'!$F$4:$F$553,MATCH(B494,'Gate events'!$A$4:$A$553,0))),"Due date before parent event date",IF(AND(OR(G494="Closed-verified",G494="Waived",G494="Accepted-open"),OR(H494="",I494="")),"Closure evidence missing",IF(AND(H494&lt;&gt;"",NOT(ISNUMBER(H494))),"Closed / waived on is not a date",IF(AND(ISNUMBER(H494),ISNUMBER(INDEX('Gate events'!$F$4:$F$553,MATCH(B494,'Gate events'!$A$4:$A$553,0))),H494&lt;INDEX('Gate events'!$F$4:$F$553,MATCH(B494,'Gate events'!$A$4:$A$553,0))),"Closure date before parent event date",IF(AND(G494="Closed-verified",M494=""),"Verifier / date missing",IF(AND(N494="Yes",G494="Closed-verified",O494=""),"Monitoring condition needs AIG-OPS-02 evidence ref",IF(AND(G494="Open",F494&lt;TODAY()),"OVERDUE (derived) — review",IF(G494="Unknown","State Unknown: owner to confirm","Check against source")))))))))))))))))))</f>
        <v/>
      </c>
      <c r="K494" s="37" t="n"/>
      <c r="L494" s="37" t="n"/>
      <c r="M494" s="38" t="n"/>
      <c r="N494" s="38" t="n"/>
      <c r="O494" s="38" t="n"/>
    </row>
    <row r="495">
      <c r="A495" s="40" t="n"/>
      <c r="B495" s="40" t="n"/>
      <c r="C495" s="40" t="n"/>
      <c r="D495" s="40" t="n"/>
      <c r="E495" s="40" t="n"/>
      <c r="F495" s="41" t="n"/>
      <c r="G495" s="40" t="n"/>
      <c r="H495" s="41" t="n"/>
      <c r="I495" s="40" t="n"/>
      <c r="J495" s="24">
        <f>IF(COUNTA(A495:I495,K495:O495)=0,"",IF(OR(A495="",B495="",C495=""),"ID / parent missing",IF(COUNTIF($A$4:$A$553,A495)&gt;1,"Duplicate condition ID",IF(COUNTIF('Gate events'!$A$4:$A$553,B495)=0,"Event ID not found",IF(INDEX('Gate events'!$B$4:$B$553,MATCH(B495,'Gate events'!$A$4:$A$553,0))&lt;&gt;C495,"AIR-ID differs from event",IF(IF(INDEX('Gate events'!$P$4:$P$553,MATCH(B495,'Gate events'!$A$4:$A$553,0))="UC-ID specific",IF(OR(L495&lt;&gt;"UC-ID specific",K495=""),"Condition UC-ID required",IF(ISNUMBER(SEARCH(","&amp;SUBSTITUTE(K495," ","")&amp;",",","&amp;SUBSTITUTE(INDEX('Gate events'!$O$4:$O$553,MATCH(B495,'Gate events'!$A$4:$A$553,0))," ","")&amp;",")),"","UC-ID differs from decision")),IF(INDEX('Gate events'!$P$4:$P$553,MATCH(B495,'Gate events'!$A$4:$A$553,0))="Shared system baseline",IF(OR(L495&lt;&gt;"Shared system baseline",K495&lt;&gt;""),"Condition scope differs from decision",""),"Parent decision scope missing"))&lt;&gt;"",IF(INDEX('Gate events'!$P$4:$P$553,MATCH(B495,'Gate events'!$A$4:$A$553,0))="UC-ID specific",IF(OR(L495&lt;&gt;"UC-ID specific",K495=""),"Condition UC-ID required",IF(ISNUMBER(SEARCH(","&amp;SUBSTITUTE(K495," ","")&amp;",",","&amp;SUBSTITUTE(INDEX('Gate events'!$O$4:$O$553,MATCH(B495,'Gate events'!$A$4:$A$553,0))," ","")&amp;",")),"","UC-ID differs from decision")),IF(INDEX('Gate events'!$P$4:$P$553,MATCH(B495,'Gate events'!$A$4:$A$553,0))="Shared system baseline",IF(OR(L495&lt;&gt;"Shared system baseline",K495&lt;&gt;""),"Condition scope differs from decision",""),"Parent decision scope missing")),IF(OR(D495="",E495="",F495="",G495=""),"Condition, owner, due date or state missing",IF(NOT(ISNUMBER(F495)),"Due date is not a date",IF(OR(G495="Overdue",G495="Superseded"),"Legacy state — owner review (use the shared five states)",IF(INDEX('Gate events'!$E$4:$E$553,MATCH(B495,'Gate events'!$A$4:$A$553,0))&lt;&gt;"Decision","Parent event is not a Decision",IF(AND(INDEX('Gate events'!$G$4:$G$553,MATCH(B495,'Gate events'!$A$4:$A$553,0))&lt;&gt;"Progress with condition",INDEX('Gate events'!$G$4:$G$553,MATCH(B495,'Gate events'!$A$4:$A$553,0))&lt;&gt;"Re-authorise",INDEX('Gate events'!$G$4:$G$553,MATCH(B495,'Gate events'!$A$4:$A$553,0))&lt;&gt;"Resume"),"Parent outcome is not Progress with condition / Re-authorise / Resume",IF(AND(ISNUMBER(INDEX('Gate events'!$F$4:$F$553,MATCH(B495,'Gate events'!$A$4:$A$553,0))),F495&lt;INDEX('Gate events'!$F$4:$F$553,MATCH(B495,'Gate events'!$A$4:$A$553,0))),"Due date before parent event date",IF(AND(OR(G495="Closed-verified",G495="Waived",G495="Accepted-open"),OR(H495="",I495="")),"Closure evidence missing",IF(AND(H495&lt;&gt;"",NOT(ISNUMBER(H495))),"Closed / waived on is not a date",IF(AND(ISNUMBER(H495),ISNUMBER(INDEX('Gate events'!$F$4:$F$553,MATCH(B495,'Gate events'!$A$4:$A$553,0))),H495&lt;INDEX('Gate events'!$F$4:$F$553,MATCH(B495,'Gate events'!$A$4:$A$553,0))),"Closure date before parent event date",IF(AND(G495="Closed-verified",M495=""),"Verifier / date missing",IF(AND(N495="Yes",G495="Closed-verified",O495=""),"Monitoring condition needs AIG-OPS-02 evidence ref",IF(AND(G495="Open",F495&lt;TODAY()),"OVERDUE (derived) — review",IF(G495="Unknown","State Unknown: owner to confirm","Check against source")))))))))))))))))))</f>
        <v/>
      </c>
      <c r="K495" s="37" t="n"/>
      <c r="L495" s="37" t="n"/>
      <c r="M495" s="40" t="n"/>
      <c r="N495" s="40" t="n"/>
      <c r="O495" s="40" t="n"/>
    </row>
    <row r="496">
      <c r="A496" s="38" t="n"/>
      <c r="B496" s="38" t="n"/>
      <c r="C496" s="38" t="n"/>
      <c r="D496" s="38" t="n"/>
      <c r="E496" s="38" t="n"/>
      <c r="F496" s="39" t="n"/>
      <c r="G496" s="38" t="n"/>
      <c r="H496" s="39" t="n"/>
      <c r="I496" s="38" t="n"/>
      <c r="J496" s="22">
        <f>IF(COUNTA(A496:I496,K496:O496)=0,"",IF(OR(A496="",B496="",C496=""),"ID / parent missing",IF(COUNTIF($A$4:$A$553,A496)&gt;1,"Duplicate condition ID",IF(COUNTIF('Gate events'!$A$4:$A$553,B496)=0,"Event ID not found",IF(INDEX('Gate events'!$B$4:$B$553,MATCH(B496,'Gate events'!$A$4:$A$553,0))&lt;&gt;C496,"AIR-ID differs from event",IF(IF(INDEX('Gate events'!$P$4:$P$553,MATCH(B496,'Gate events'!$A$4:$A$553,0))="UC-ID specific",IF(OR(L496&lt;&gt;"UC-ID specific",K496=""),"Condition UC-ID required",IF(ISNUMBER(SEARCH(","&amp;SUBSTITUTE(K496," ","")&amp;",",","&amp;SUBSTITUTE(INDEX('Gate events'!$O$4:$O$553,MATCH(B496,'Gate events'!$A$4:$A$553,0))," ","")&amp;",")),"","UC-ID differs from decision")),IF(INDEX('Gate events'!$P$4:$P$553,MATCH(B496,'Gate events'!$A$4:$A$553,0))="Shared system baseline",IF(OR(L496&lt;&gt;"Shared system baseline",K496&lt;&gt;""),"Condition scope differs from decision",""),"Parent decision scope missing"))&lt;&gt;"",IF(INDEX('Gate events'!$P$4:$P$553,MATCH(B496,'Gate events'!$A$4:$A$553,0))="UC-ID specific",IF(OR(L496&lt;&gt;"UC-ID specific",K496=""),"Condition UC-ID required",IF(ISNUMBER(SEARCH(","&amp;SUBSTITUTE(K496," ","")&amp;",",","&amp;SUBSTITUTE(INDEX('Gate events'!$O$4:$O$553,MATCH(B496,'Gate events'!$A$4:$A$553,0))," ","")&amp;",")),"","UC-ID differs from decision")),IF(INDEX('Gate events'!$P$4:$P$553,MATCH(B496,'Gate events'!$A$4:$A$553,0))="Shared system baseline",IF(OR(L496&lt;&gt;"Shared system baseline",K496&lt;&gt;""),"Condition scope differs from decision",""),"Parent decision scope missing")),IF(OR(D496="",E496="",F496="",G496=""),"Condition, owner, due date or state missing",IF(NOT(ISNUMBER(F496)),"Due date is not a date",IF(OR(G496="Overdue",G496="Superseded"),"Legacy state — owner review (use the shared five states)",IF(INDEX('Gate events'!$E$4:$E$553,MATCH(B496,'Gate events'!$A$4:$A$553,0))&lt;&gt;"Decision","Parent event is not a Decision",IF(AND(INDEX('Gate events'!$G$4:$G$553,MATCH(B496,'Gate events'!$A$4:$A$553,0))&lt;&gt;"Progress with condition",INDEX('Gate events'!$G$4:$G$553,MATCH(B496,'Gate events'!$A$4:$A$553,0))&lt;&gt;"Re-authorise",INDEX('Gate events'!$G$4:$G$553,MATCH(B496,'Gate events'!$A$4:$A$553,0))&lt;&gt;"Resume"),"Parent outcome is not Progress with condition / Re-authorise / Resume",IF(AND(ISNUMBER(INDEX('Gate events'!$F$4:$F$553,MATCH(B496,'Gate events'!$A$4:$A$553,0))),F496&lt;INDEX('Gate events'!$F$4:$F$553,MATCH(B496,'Gate events'!$A$4:$A$553,0))),"Due date before parent event date",IF(AND(OR(G496="Closed-verified",G496="Waived",G496="Accepted-open"),OR(H496="",I496="")),"Closure evidence missing",IF(AND(H496&lt;&gt;"",NOT(ISNUMBER(H496))),"Closed / waived on is not a date",IF(AND(ISNUMBER(H496),ISNUMBER(INDEX('Gate events'!$F$4:$F$553,MATCH(B496,'Gate events'!$A$4:$A$553,0))),H496&lt;INDEX('Gate events'!$F$4:$F$553,MATCH(B496,'Gate events'!$A$4:$A$553,0))),"Closure date before parent event date",IF(AND(G496="Closed-verified",M496=""),"Verifier / date missing",IF(AND(N496="Yes",G496="Closed-verified",O496=""),"Monitoring condition needs AIG-OPS-02 evidence ref",IF(AND(G496="Open",F496&lt;TODAY()),"OVERDUE (derived) — review",IF(G496="Unknown","State Unknown: owner to confirm","Check against source")))))))))))))))))))</f>
        <v/>
      </c>
      <c r="K496" s="37" t="n"/>
      <c r="L496" s="37" t="n"/>
      <c r="M496" s="38" t="n"/>
      <c r="N496" s="38" t="n"/>
      <c r="O496" s="38" t="n"/>
    </row>
    <row r="497">
      <c r="A497" s="40" t="n"/>
      <c r="B497" s="40" t="n"/>
      <c r="C497" s="40" t="n"/>
      <c r="D497" s="40" t="n"/>
      <c r="E497" s="40" t="n"/>
      <c r="F497" s="41" t="n"/>
      <c r="G497" s="40" t="n"/>
      <c r="H497" s="41" t="n"/>
      <c r="I497" s="40" t="n"/>
      <c r="J497" s="24">
        <f>IF(COUNTA(A497:I497,K497:O497)=0,"",IF(OR(A497="",B497="",C497=""),"ID / parent missing",IF(COUNTIF($A$4:$A$553,A497)&gt;1,"Duplicate condition ID",IF(COUNTIF('Gate events'!$A$4:$A$553,B497)=0,"Event ID not found",IF(INDEX('Gate events'!$B$4:$B$553,MATCH(B497,'Gate events'!$A$4:$A$553,0))&lt;&gt;C497,"AIR-ID differs from event",IF(IF(INDEX('Gate events'!$P$4:$P$553,MATCH(B497,'Gate events'!$A$4:$A$553,0))="UC-ID specific",IF(OR(L497&lt;&gt;"UC-ID specific",K497=""),"Condition UC-ID required",IF(ISNUMBER(SEARCH(","&amp;SUBSTITUTE(K497," ","")&amp;",",","&amp;SUBSTITUTE(INDEX('Gate events'!$O$4:$O$553,MATCH(B497,'Gate events'!$A$4:$A$553,0))," ","")&amp;",")),"","UC-ID differs from decision")),IF(INDEX('Gate events'!$P$4:$P$553,MATCH(B497,'Gate events'!$A$4:$A$553,0))="Shared system baseline",IF(OR(L497&lt;&gt;"Shared system baseline",K497&lt;&gt;""),"Condition scope differs from decision",""),"Parent decision scope missing"))&lt;&gt;"",IF(INDEX('Gate events'!$P$4:$P$553,MATCH(B497,'Gate events'!$A$4:$A$553,0))="UC-ID specific",IF(OR(L497&lt;&gt;"UC-ID specific",K497=""),"Condition UC-ID required",IF(ISNUMBER(SEARCH(","&amp;SUBSTITUTE(K497," ","")&amp;",",","&amp;SUBSTITUTE(INDEX('Gate events'!$O$4:$O$553,MATCH(B497,'Gate events'!$A$4:$A$553,0))," ","")&amp;",")),"","UC-ID differs from decision")),IF(INDEX('Gate events'!$P$4:$P$553,MATCH(B497,'Gate events'!$A$4:$A$553,0))="Shared system baseline",IF(OR(L497&lt;&gt;"Shared system baseline",K497&lt;&gt;""),"Condition scope differs from decision",""),"Parent decision scope missing")),IF(OR(D497="",E497="",F497="",G497=""),"Condition, owner, due date or state missing",IF(NOT(ISNUMBER(F497)),"Due date is not a date",IF(OR(G497="Overdue",G497="Superseded"),"Legacy state — owner review (use the shared five states)",IF(INDEX('Gate events'!$E$4:$E$553,MATCH(B497,'Gate events'!$A$4:$A$553,0))&lt;&gt;"Decision","Parent event is not a Decision",IF(AND(INDEX('Gate events'!$G$4:$G$553,MATCH(B497,'Gate events'!$A$4:$A$553,0))&lt;&gt;"Progress with condition",INDEX('Gate events'!$G$4:$G$553,MATCH(B497,'Gate events'!$A$4:$A$553,0))&lt;&gt;"Re-authorise",INDEX('Gate events'!$G$4:$G$553,MATCH(B497,'Gate events'!$A$4:$A$553,0))&lt;&gt;"Resume"),"Parent outcome is not Progress with condition / Re-authorise / Resume",IF(AND(ISNUMBER(INDEX('Gate events'!$F$4:$F$553,MATCH(B497,'Gate events'!$A$4:$A$553,0))),F497&lt;INDEX('Gate events'!$F$4:$F$553,MATCH(B497,'Gate events'!$A$4:$A$553,0))),"Due date before parent event date",IF(AND(OR(G497="Closed-verified",G497="Waived",G497="Accepted-open"),OR(H497="",I497="")),"Closure evidence missing",IF(AND(H497&lt;&gt;"",NOT(ISNUMBER(H497))),"Closed / waived on is not a date",IF(AND(ISNUMBER(H497),ISNUMBER(INDEX('Gate events'!$F$4:$F$553,MATCH(B497,'Gate events'!$A$4:$A$553,0))),H497&lt;INDEX('Gate events'!$F$4:$F$553,MATCH(B497,'Gate events'!$A$4:$A$553,0))),"Closure date before parent event date",IF(AND(G497="Closed-verified",M497=""),"Verifier / date missing",IF(AND(N497="Yes",G497="Closed-verified",O497=""),"Monitoring condition needs AIG-OPS-02 evidence ref",IF(AND(G497="Open",F497&lt;TODAY()),"OVERDUE (derived) — review",IF(G497="Unknown","State Unknown: owner to confirm","Check against source")))))))))))))))))))</f>
        <v/>
      </c>
      <c r="K497" s="37" t="n"/>
      <c r="L497" s="37" t="n"/>
      <c r="M497" s="40" t="n"/>
      <c r="N497" s="40" t="n"/>
      <c r="O497" s="40" t="n"/>
    </row>
    <row r="498">
      <c r="A498" s="38" t="n"/>
      <c r="B498" s="38" t="n"/>
      <c r="C498" s="38" t="n"/>
      <c r="D498" s="38" t="n"/>
      <c r="E498" s="38" t="n"/>
      <c r="F498" s="39" t="n"/>
      <c r="G498" s="38" t="n"/>
      <c r="H498" s="39" t="n"/>
      <c r="I498" s="38" t="n"/>
      <c r="J498" s="22">
        <f>IF(COUNTA(A498:I498,K498:O498)=0,"",IF(OR(A498="",B498="",C498=""),"ID / parent missing",IF(COUNTIF($A$4:$A$553,A498)&gt;1,"Duplicate condition ID",IF(COUNTIF('Gate events'!$A$4:$A$553,B498)=0,"Event ID not found",IF(INDEX('Gate events'!$B$4:$B$553,MATCH(B498,'Gate events'!$A$4:$A$553,0))&lt;&gt;C498,"AIR-ID differs from event",IF(IF(INDEX('Gate events'!$P$4:$P$553,MATCH(B498,'Gate events'!$A$4:$A$553,0))="UC-ID specific",IF(OR(L498&lt;&gt;"UC-ID specific",K498=""),"Condition UC-ID required",IF(ISNUMBER(SEARCH(","&amp;SUBSTITUTE(K498," ","")&amp;",",","&amp;SUBSTITUTE(INDEX('Gate events'!$O$4:$O$553,MATCH(B498,'Gate events'!$A$4:$A$553,0))," ","")&amp;",")),"","UC-ID differs from decision")),IF(INDEX('Gate events'!$P$4:$P$553,MATCH(B498,'Gate events'!$A$4:$A$553,0))="Shared system baseline",IF(OR(L498&lt;&gt;"Shared system baseline",K498&lt;&gt;""),"Condition scope differs from decision",""),"Parent decision scope missing"))&lt;&gt;"",IF(INDEX('Gate events'!$P$4:$P$553,MATCH(B498,'Gate events'!$A$4:$A$553,0))="UC-ID specific",IF(OR(L498&lt;&gt;"UC-ID specific",K498=""),"Condition UC-ID required",IF(ISNUMBER(SEARCH(","&amp;SUBSTITUTE(K498," ","")&amp;",",","&amp;SUBSTITUTE(INDEX('Gate events'!$O$4:$O$553,MATCH(B498,'Gate events'!$A$4:$A$553,0))," ","")&amp;",")),"","UC-ID differs from decision")),IF(INDEX('Gate events'!$P$4:$P$553,MATCH(B498,'Gate events'!$A$4:$A$553,0))="Shared system baseline",IF(OR(L498&lt;&gt;"Shared system baseline",K498&lt;&gt;""),"Condition scope differs from decision",""),"Parent decision scope missing")),IF(OR(D498="",E498="",F498="",G498=""),"Condition, owner, due date or state missing",IF(NOT(ISNUMBER(F498)),"Due date is not a date",IF(OR(G498="Overdue",G498="Superseded"),"Legacy state — owner review (use the shared five states)",IF(INDEX('Gate events'!$E$4:$E$553,MATCH(B498,'Gate events'!$A$4:$A$553,0))&lt;&gt;"Decision","Parent event is not a Decision",IF(AND(INDEX('Gate events'!$G$4:$G$553,MATCH(B498,'Gate events'!$A$4:$A$553,0))&lt;&gt;"Progress with condition",INDEX('Gate events'!$G$4:$G$553,MATCH(B498,'Gate events'!$A$4:$A$553,0))&lt;&gt;"Re-authorise",INDEX('Gate events'!$G$4:$G$553,MATCH(B498,'Gate events'!$A$4:$A$553,0))&lt;&gt;"Resume"),"Parent outcome is not Progress with condition / Re-authorise / Resume",IF(AND(ISNUMBER(INDEX('Gate events'!$F$4:$F$553,MATCH(B498,'Gate events'!$A$4:$A$553,0))),F498&lt;INDEX('Gate events'!$F$4:$F$553,MATCH(B498,'Gate events'!$A$4:$A$553,0))),"Due date before parent event date",IF(AND(OR(G498="Closed-verified",G498="Waived",G498="Accepted-open"),OR(H498="",I498="")),"Closure evidence missing",IF(AND(H498&lt;&gt;"",NOT(ISNUMBER(H498))),"Closed / waived on is not a date",IF(AND(ISNUMBER(H498),ISNUMBER(INDEX('Gate events'!$F$4:$F$553,MATCH(B498,'Gate events'!$A$4:$A$553,0))),H498&lt;INDEX('Gate events'!$F$4:$F$553,MATCH(B498,'Gate events'!$A$4:$A$553,0))),"Closure date before parent event date",IF(AND(G498="Closed-verified",M498=""),"Verifier / date missing",IF(AND(N498="Yes",G498="Closed-verified",O498=""),"Monitoring condition needs AIG-OPS-02 evidence ref",IF(AND(G498="Open",F498&lt;TODAY()),"OVERDUE (derived) — review",IF(G498="Unknown","State Unknown: owner to confirm","Check against source")))))))))))))))))))</f>
        <v/>
      </c>
      <c r="K498" s="37" t="n"/>
      <c r="L498" s="37" t="n"/>
      <c r="M498" s="38" t="n"/>
      <c r="N498" s="38" t="n"/>
      <c r="O498" s="38" t="n"/>
    </row>
    <row r="499">
      <c r="A499" s="40" t="n"/>
      <c r="B499" s="40" t="n"/>
      <c r="C499" s="40" t="n"/>
      <c r="D499" s="40" t="n"/>
      <c r="E499" s="40" t="n"/>
      <c r="F499" s="41" t="n"/>
      <c r="G499" s="40" t="n"/>
      <c r="H499" s="41" t="n"/>
      <c r="I499" s="40" t="n"/>
      <c r="J499" s="24">
        <f>IF(COUNTA(A499:I499,K499:O499)=0,"",IF(OR(A499="",B499="",C499=""),"ID / parent missing",IF(COUNTIF($A$4:$A$553,A499)&gt;1,"Duplicate condition ID",IF(COUNTIF('Gate events'!$A$4:$A$553,B499)=0,"Event ID not found",IF(INDEX('Gate events'!$B$4:$B$553,MATCH(B499,'Gate events'!$A$4:$A$553,0))&lt;&gt;C499,"AIR-ID differs from event",IF(IF(INDEX('Gate events'!$P$4:$P$553,MATCH(B499,'Gate events'!$A$4:$A$553,0))="UC-ID specific",IF(OR(L499&lt;&gt;"UC-ID specific",K499=""),"Condition UC-ID required",IF(ISNUMBER(SEARCH(","&amp;SUBSTITUTE(K499," ","")&amp;",",","&amp;SUBSTITUTE(INDEX('Gate events'!$O$4:$O$553,MATCH(B499,'Gate events'!$A$4:$A$553,0))," ","")&amp;",")),"","UC-ID differs from decision")),IF(INDEX('Gate events'!$P$4:$P$553,MATCH(B499,'Gate events'!$A$4:$A$553,0))="Shared system baseline",IF(OR(L499&lt;&gt;"Shared system baseline",K499&lt;&gt;""),"Condition scope differs from decision",""),"Parent decision scope missing"))&lt;&gt;"",IF(INDEX('Gate events'!$P$4:$P$553,MATCH(B499,'Gate events'!$A$4:$A$553,0))="UC-ID specific",IF(OR(L499&lt;&gt;"UC-ID specific",K499=""),"Condition UC-ID required",IF(ISNUMBER(SEARCH(","&amp;SUBSTITUTE(K499," ","")&amp;",",","&amp;SUBSTITUTE(INDEX('Gate events'!$O$4:$O$553,MATCH(B499,'Gate events'!$A$4:$A$553,0))," ","")&amp;",")),"","UC-ID differs from decision")),IF(INDEX('Gate events'!$P$4:$P$553,MATCH(B499,'Gate events'!$A$4:$A$553,0))="Shared system baseline",IF(OR(L499&lt;&gt;"Shared system baseline",K499&lt;&gt;""),"Condition scope differs from decision",""),"Parent decision scope missing")),IF(OR(D499="",E499="",F499="",G499=""),"Condition, owner, due date or state missing",IF(NOT(ISNUMBER(F499)),"Due date is not a date",IF(OR(G499="Overdue",G499="Superseded"),"Legacy state — owner review (use the shared five states)",IF(INDEX('Gate events'!$E$4:$E$553,MATCH(B499,'Gate events'!$A$4:$A$553,0))&lt;&gt;"Decision","Parent event is not a Decision",IF(AND(INDEX('Gate events'!$G$4:$G$553,MATCH(B499,'Gate events'!$A$4:$A$553,0))&lt;&gt;"Progress with condition",INDEX('Gate events'!$G$4:$G$553,MATCH(B499,'Gate events'!$A$4:$A$553,0))&lt;&gt;"Re-authorise",INDEX('Gate events'!$G$4:$G$553,MATCH(B499,'Gate events'!$A$4:$A$553,0))&lt;&gt;"Resume"),"Parent outcome is not Progress with condition / Re-authorise / Resume",IF(AND(ISNUMBER(INDEX('Gate events'!$F$4:$F$553,MATCH(B499,'Gate events'!$A$4:$A$553,0))),F499&lt;INDEX('Gate events'!$F$4:$F$553,MATCH(B499,'Gate events'!$A$4:$A$553,0))),"Due date before parent event date",IF(AND(OR(G499="Closed-verified",G499="Waived",G499="Accepted-open"),OR(H499="",I499="")),"Closure evidence missing",IF(AND(H499&lt;&gt;"",NOT(ISNUMBER(H499))),"Closed / waived on is not a date",IF(AND(ISNUMBER(H499),ISNUMBER(INDEX('Gate events'!$F$4:$F$553,MATCH(B499,'Gate events'!$A$4:$A$553,0))),H499&lt;INDEX('Gate events'!$F$4:$F$553,MATCH(B499,'Gate events'!$A$4:$A$553,0))),"Closure date before parent event date",IF(AND(G499="Closed-verified",M499=""),"Verifier / date missing",IF(AND(N499="Yes",G499="Closed-verified",O499=""),"Monitoring condition needs AIG-OPS-02 evidence ref",IF(AND(G499="Open",F499&lt;TODAY()),"OVERDUE (derived) — review",IF(G499="Unknown","State Unknown: owner to confirm","Check against source")))))))))))))))))))</f>
        <v/>
      </c>
      <c r="K499" s="37" t="n"/>
      <c r="L499" s="37" t="n"/>
      <c r="M499" s="40" t="n"/>
      <c r="N499" s="40" t="n"/>
      <c r="O499" s="40" t="n"/>
    </row>
    <row r="500">
      <c r="A500" s="38" t="n"/>
      <c r="B500" s="38" t="n"/>
      <c r="C500" s="38" t="n"/>
      <c r="D500" s="38" t="n"/>
      <c r="E500" s="38" t="n"/>
      <c r="F500" s="39" t="n"/>
      <c r="G500" s="38" t="n"/>
      <c r="H500" s="39" t="n"/>
      <c r="I500" s="38" t="n"/>
      <c r="J500" s="22">
        <f>IF(COUNTA(A500:I500,K500:O500)=0,"",IF(OR(A500="",B500="",C500=""),"ID / parent missing",IF(COUNTIF($A$4:$A$553,A500)&gt;1,"Duplicate condition ID",IF(COUNTIF('Gate events'!$A$4:$A$553,B500)=0,"Event ID not found",IF(INDEX('Gate events'!$B$4:$B$553,MATCH(B500,'Gate events'!$A$4:$A$553,0))&lt;&gt;C500,"AIR-ID differs from event",IF(IF(INDEX('Gate events'!$P$4:$P$553,MATCH(B500,'Gate events'!$A$4:$A$553,0))="UC-ID specific",IF(OR(L500&lt;&gt;"UC-ID specific",K500=""),"Condition UC-ID required",IF(ISNUMBER(SEARCH(","&amp;SUBSTITUTE(K500," ","")&amp;",",","&amp;SUBSTITUTE(INDEX('Gate events'!$O$4:$O$553,MATCH(B500,'Gate events'!$A$4:$A$553,0))," ","")&amp;",")),"","UC-ID differs from decision")),IF(INDEX('Gate events'!$P$4:$P$553,MATCH(B500,'Gate events'!$A$4:$A$553,0))="Shared system baseline",IF(OR(L500&lt;&gt;"Shared system baseline",K500&lt;&gt;""),"Condition scope differs from decision",""),"Parent decision scope missing"))&lt;&gt;"",IF(INDEX('Gate events'!$P$4:$P$553,MATCH(B500,'Gate events'!$A$4:$A$553,0))="UC-ID specific",IF(OR(L500&lt;&gt;"UC-ID specific",K500=""),"Condition UC-ID required",IF(ISNUMBER(SEARCH(","&amp;SUBSTITUTE(K500," ","")&amp;",",","&amp;SUBSTITUTE(INDEX('Gate events'!$O$4:$O$553,MATCH(B500,'Gate events'!$A$4:$A$553,0))," ","")&amp;",")),"","UC-ID differs from decision")),IF(INDEX('Gate events'!$P$4:$P$553,MATCH(B500,'Gate events'!$A$4:$A$553,0))="Shared system baseline",IF(OR(L500&lt;&gt;"Shared system baseline",K500&lt;&gt;""),"Condition scope differs from decision",""),"Parent decision scope missing")),IF(OR(D500="",E500="",F500="",G500=""),"Condition, owner, due date or state missing",IF(NOT(ISNUMBER(F500)),"Due date is not a date",IF(OR(G500="Overdue",G500="Superseded"),"Legacy state — owner review (use the shared five states)",IF(INDEX('Gate events'!$E$4:$E$553,MATCH(B500,'Gate events'!$A$4:$A$553,0))&lt;&gt;"Decision","Parent event is not a Decision",IF(AND(INDEX('Gate events'!$G$4:$G$553,MATCH(B500,'Gate events'!$A$4:$A$553,0))&lt;&gt;"Progress with condition",INDEX('Gate events'!$G$4:$G$553,MATCH(B500,'Gate events'!$A$4:$A$553,0))&lt;&gt;"Re-authorise",INDEX('Gate events'!$G$4:$G$553,MATCH(B500,'Gate events'!$A$4:$A$553,0))&lt;&gt;"Resume"),"Parent outcome is not Progress with condition / Re-authorise / Resume",IF(AND(ISNUMBER(INDEX('Gate events'!$F$4:$F$553,MATCH(B500,'Gate events'!$A$4:$A$553,0))),F500&lt;INDEX('Gate events'!$F$4:$F$553,MATCH(B500,'Gate events'!$A$4:$A$553,0))),"Due date before parent event date",IF(AND(OR(G500="Closed-verified",G500="Waived",G500="Accepted-open"),OR(H500="",I500="")),"Closure evidence missing",IF(AND(H500&lt;&gt;"",NOT(ISNUMBER(H500))),"Closed / waived on is not a date",IF(AND(ISNUMBER(H500),ISNUMBER(INDEX('Gate events'!$F$4:$F$553,MATCH(B500,'Gate events'!$A$4:$A$553,0))),H500&lt;INDEX('Gate events'!$F$4:$F$553,MATCH(B500,'Gate events'!$A$4:$A$553,0))),"Closure date before parent event date",IF(AND(G500="Closed-verified",M500=""),"Verifier / date missing",IF(AND(N500="Yes",G500="Closed-verified",O500=""),"Monitoring condition needs AIG-OPS-02 evidence ref",IF(AND(G500="Open",F500&lt;TODAY()),"OVERDUE (derived) — review",IF(G500="Unknown","State Unknown: owner to confirm","Check against source")))))))))))))))))))</f>
        <v/>
      </c>
      <c r="K500" s="37" t="n"/>
      <c r="L500" s="37" t="n"/>
      <c r="M500" s="38" t="n"/>
      <c r="N500" s="38" t="n"/>
      <c r="O500" s="38" t="n"/>
    </row>
    <row r="501">
      <c r="A501" s="40" t="n"/>
      <c r="B501" s="40" t="n"/>
      <c r="C501" s="40" t="n"/>
      <c r="D501" s="40" t="n"/>
      <c r="E501" s="40" t="n"/>
      <c r="F501" s="41" t="n"/>
      <c r="G501" s="40" t="n"/>
      <c r="H501" s="41" t="n"/>
      <c r="I501" s="40" t="n"/>
      <c r="J501" s="24">
        <f>IF(COUNTA(A501:I501,K501:O501)=0,"",IF(OR(A501="",B501="",C501=""),"ID / parent missing",IF(COUNTIF($A$4:$A$553,A501)&gt;1,"Duplicate condition ID",IF(COUNTIF('Gate events'!$A$4:$A$553,B501)=0,"Event ID not found",IF(INDEX('Gate events'!$B$4:$B$553,MATCH(B501,'Gate events'!$A$4:$A$553,0))&lt;&gt;C501,"AIR-ID differs from event",IF(IF(INDEX('Gate events'!$P$4:$P$553,MATCH(B501,'Gate events'!$A$4:$A$553,0))="UC-ID specific",IF(OR(L501&lt;&gt;"UC-ID specific",K501=""),"Condition UC-ID required",IF(ISNUMBER(SEARCH(","&amp;SUBSTITUTE(K501," ","")&amp;",",","&amp;SUBSTITUTE(INDEX('Gate events'!$O$4:$O$553,MATCH(B501,'Gate events'!$A$4:$A$553,0))," ","")&amp;",")),"","UC-ID differs from decision")),IF(INDEX('Gate events'!$P$4:$P$553,MATCH(B501,'Gate events'!$A$4:$A$553,0))="Shared system baseline",IF(OR(L501&lt;&gt;"Shared system baseline",K501&lt;&gt;""),"Condition scope differs from decision",""),"Parent decision scope missing"))&lt;&gt;"",IF(INDEX('Gate events'!$P$4:$P$553,MATCH(B501,'Gate events'!$A$4:$A$553,0))="UC-ID specific",IF(OR(L501&lt;&gt;"UC-ID specific",K501=""),"Condition UC-ID required",IF(ISNUMBER(SEARCH(","&amp;SUBSTITUTE(K501," ","")&amp;",",","&amp;SUBSTITUTE(INDEX('Gate events'!$O$4:$O$553,MATCH(B501,'Gate events'!$A$4:$A$553,0))," ","")&amp;",")),"","UC-ID differs from decision")),IF(INDEX('Gate events'!$P$4:$P$553,MATCH(B501,'Gate events'!$A$4:$A$553,0))="Shared system baseline",IF(OR(L501&lt;&gt;"Shared system baseline",K501&lt;&gt;""),"Condition scope differs from decision",""),"Parent decision scope missing")),IF(OR(D501="",E501="",F501="",G501=""),"Condition, owner, due date or state missing",IF(NOT(ISNUMBER(F501)),"Due date is not a date",IF(OR(G501="Overdue",G501="Superseded"),"Legacy state — owner review (use the shared five states)",IF(INDEX('Gate events'!$E$4:$E$553,MATCH(B501,'Gate events'!$A$4:$A$553,0))&lt;&gt;"Decision","Parent event is not a Decision",IF(AND(INDEX('Gate events'!$G$4:$G$553,MATCH(B501,'Gate events'!$A$4:$A$553,0))&lt;&gt;"Progress with condition",INDEX('Gate events'!$G$4:$G$553,MATCH(B501,'Gate events'!$A$4:$A$553,0))&lt;&gt;"Re-authorise",INDEX('Gate events'!$G$4:$G$553,MATCH(B501,'Gate events'!$A$4:$A$553,0))&lt;&gt;"Resume"),"Parent outcome is not Progress with condition / Re-authorise / Resume",IF(AND(ISNUMBER(INDEX('Gate events'!$F$4:$F$553,MATCH(B501,'Gate events'!$A$4:$A$553,0))),F501&lt;INDEX('Gate events'!$F$4:$F$553,MATCH(B501,'Gate events'!$A$4:$A$553,0))),"Due date before parent event date",IF(AND(OR(G501="Closed-verified",G501="Waived",G501="Accepted-open"),OR(H501="",I501="")),"Closure evidence missing",IF(AND(H501&lt;&gt;"",NOT(ISNUMBER(H501))),"Closed / waived on is not a date",IF(AND(ISNUMBER(H501),ISNUMBER(INDEX('Gate events'!$F$4:$F$553,MATCH(B501,'Gate events'!$A$4:$A$553,0))),H501&lt;INDEX('Gate events'!$F$4:$F$553,MATCH(B501,'Gate events'!$A$4:$A$553,0))),"Closure date before parent event date",IF(AND(G501="Closed-verified",M501=""),"Verifier / date missing",IF(AND(N501="Yes",G501="Closed-verified",O501=""),"Monitoring condition needs AIG-OPS-02 evidence ref",IF(AND(G501="Open",F501&lt;TODAY()),"OVERDUE (derived) — review",IF(G501="Unknown","State Unknown: owner to confirm","Check against source")))))))))))))))))))</f>
        <v/>
      </c>
      <c r="K501" s="37" t="n"/>
      <c r="L501" s="37" t="n"/>
      <c r="M501" s="40" t="n"/>
      <c r="N501" s="40" t="n"/>
      <c r="O501" s="40" t="n"/>
    </row>
    <row r="502">
      <c r="A502" s="38" t="n"/>
      <c r="B502" s="38" t="n"/>
      <c r="C502" s="38" t="n"/>
      <c r="D502" s="38" t="n"/>
      <c r="E502" s="38" t="n"/>
      <c r="F502" s="39" t="n"/>
      <c r="G502" s="38" t="n"/>
      <c r="H502" s="39" t="n"/>
      <c r="I502" s="38" t="n"/>
      <c r="J502" s="22">
        <f>IF(COUNTA(A502:I502,K502:O502)=0,"",IF(OR(A502="",B502="",C502=""),"ID / parent missing",IF(COUNTIF($A$4:$A$553,A502)&gt;1,"Duplicate condition ID",IF(COUNTIF('Gate events'!$A$4:$A$553,B502)=0,"Event ID not found",IF(INDEX('Gate events'!$B$4:$B$553,MATCH(B502,'Gate events'!$A$4:$A$553,0))&lt;&gt;C502,"AIR-ID differs from event",IF(IF(INDEX('Gate events'!$P$4:$P$553,MATCH(B502,'Gate events'!$A$4:$A$553,0))="UC-ID specific",IF(OR(L502&lt;&gt;"UC-ID specific",K502=""),"Condition UC-ID required",IF(ISNUMBER(SEARCH(","&amp;SUBSTITUTE(K502," ","")&amp;",",","&amp;SUBSTITUTE(INDEX('Gate events'!$O$4:$O$553,MATCH(B502,'Gate events'!$A$4:$A$553,0))," ","")&amp;",")),"","UC-ID differs from decision")),IF(INDEX('Gate events'!$P$4:$P$553,MATCH(B502,'Gate events'!$A$4:$A$553,0))="Shared system baseline",IF(OR(L502&lt;&gt;"Shared system baseline",K502&lt;&gt;""),"Condition scope differs from decision",""),"Parent decision scope missing"))&lt;&gt;"",IF(INDEX('Gate events'!$P$4:$P$553,MATCH(B502,'Gate events'!$A$4:$A$553,0))="UC-ID specific",IF(OR(L502&lt;&gt;"UC-ID specific",K502=""),"Condition UC-ID required",IF(ISNUMBER(SEARCH(","&amp;SUBSTITUTE(K502," ","")&amp;",",","&amp;SUBSTITUTE(INDEX('Gate events'!$O$4:$O$553,MATCH(B502,'Gate events'!$A$4:$A$553,0))," ","")&amp;",")),"","UC-ID differs from decision")),IF(INDEX('Gate events'!$P$4:$P$553,MATCH(B502,'Gate events'!$A$4:$A$553,0))="Shared system baseline",IF(OR(L502&lt;&gt;"Shared system baseline",K502&lt;&gt;""),"Condition scope differs from decision",""),"Parent decision scope missing")),IF(OR(D502="",E502="",F502="",G502=""),"Condition, owner, due date or state missing",IF(NOT(ISNUMBER(F502)),"Due date is not a date",IF(OR(G502="Overdue",G502="Superseded"),"Legacy state — owner review (use the shared five states)",IF(INDEX('Gate events'!$E$4:$E$553,MATCH(B502,'Gate events'!$A$4:$A$553,0))&lt;&gt;"Decision","Parent event is not a Decision",IF(AND(INDEX('Gate events'!$G$4:$G$553,MATCH(B502,'Gate events'!$A$4:$A$553,0))&lt;&gt;"Progress with condition",INDEX('Gate events'!$G$4:$G$553,MATCH(B502,'Gate events'!$A$4:$A$553,0))&lt;&gt;"Re-authorise",INDEX('Gate events'!$G$4:$G$553,MATCH(B502,'Gate events'!$A$4:$A$553,0))&lt;&gt;"Resume"),"Parent outcome is not Progress with condition / Re-authorise / Resume",IF(AND(ISNUMBER(INDEX('Gate events'!$F$4:$F$553,MATCH(B502,'Gate events'!$A$4:$A$553,0))),F502&lt;INDEX('Gate events'!$F$4:$F$553,MATCH(B502,'Gate events'!$A$4:$A$553,0))),"Due date before parent event date",IF(AND(OR(G502="Closed-verified",G502="Waived",G502="Accepted-open"),OR(H502="",I502="")),"Closure evidence missing",IF(AND(H502&lt;&gt;"",NOT(ISNUMBER(H502))),"Closed / waived on is not a date",IF(AND(ISNUMBER(H502),ISNUMBER(INDEX('Gate events'!$F$4:$F$553,MATCH(B502,'Gate events'!$A$4:$A$553,0))),H502&lt;INDEX('Gate events'!$F$4:$F$553,MATCH(B502,'Gate events'!$A$4:$A$553,0))),"Closure date before parent event date",IF(AND(G502="Closed-verified",M502=""),"Verifier / date missing",IF(AND(N502="Yes",G502="Closed-verified",O502=""),"Monitoring condition needs AIG-OPS-02 evidence ref",IF(AND(G502="Open",F502&lt;TODAY()),"OVERDUE (derived) — review",IF(G502="Unknown","State Unknown: owner to confirm","Check against source")))))))))))))))))))</f>
        <v/>
      </c>
      <c r="K502" s="37" t="n"/>
      <c r="L502" s="37" t="n"/>
      <c r="M502" s="38" t="n"/>
      <c r="N502" s="38" t="n"/>
      <c r="O502" s="38" t="n"/>
    </row>
    <row r="503">
      <c r="A503" s="40" t="n"/>
      <c r="B503" s="40" t="n"/>
      <c r="C503" s="40" t="n"/>
      <c r="D503" s="40" t="n"/>
      <c r="E503" s="40" t="n"/>
      <c r="F503" s="41" t="n"/>
      <c r="G503" s="40" t="n"/>
      <c r="H503" s="41" t="n"/>
      <c r="I503" s="40" t="n"/>
      <c r="J503" s="24">
        <f>IF(COUNTA(A503:I503,K503:O503)=0,"",IF(OR(A503="",B503="",C503=""),"ID / parent missing",IF(COUNTIF($A$4:$A$553,A503)&gt;1,"Duplicate condition ID",IF(COUNTIF('Gate events'!$A$4:$A$553,B503)=0,"Event ID not found",IF(INDEX('Gate events'!$B$4:$B$553,MATCH(B503,'Gate events'!$A$4:$A$553,0))&lt;&gt;C503,"AIR-ID differs from event",IF(IF(INDEX('Gate events'!$P$4:$P$553,MATCH(B503,'Gate events'!$A$4:$A$553,0))="UC-ID specific",IF(OR(L503&lt;&gt;"UC-ID specific",K503=""),"Condition UC-ID required",IF(ISNUMBER(SEARCH(","&amp;SUBSTITUTE(K503," ","")&amp;",",","&amp;SUBSTITUTE(INDEX('Gate events'!$O$4:$O$553,MATCH(B503,'Gate events'!$A$4:$A$553,0))," ","")&amp;",")),"","UC-ID differs from decision")),IF(INDEX('Gate events'!$P$4:$P$553,MATCH(B503,'Gate events'!$A$4:$A$553,0))="Shared system baseline",IF(OR(L503&lt;&gt;"Shared system baseline",K503&lt;&gt;""),"Condition scope differs from decision",""),"Parent decision scope missing"))&lt;&gt;"",IF(INDEX('Gate events'!$P$4:$P$553,MATCH(B503,'Gate events'!$A$4:$A$553,0))="UC-ID specific",IF(OR(L503&lt;&gt;"UC-ID specific",K503=""),"Condition UC-ID required",IF(ISNUMBER(SEARCH(","&amp;SUBSTITUTE(K503," ","")&amp;",",","&amp;SUBSTITUTE(INDEX('Gate events'!$O$4:$O$553,MATCH(B503,'Gate events'!$A$4:$A$553,0))," ","")&amp;",")),"","UC-ID differs from decision")),IF(INDEX('Gate events'!$P$4:$P$553,MATCH(B503,'Gate events'!$A$4:$A$553,0))="Shared system baseline",IF(OR(L503&lt;&gt;"Shared system baseline",K503&lt;&gt;""),"Condition scope differs from decision",""),"Parent decision scope missing")),IF(OR(D503="",E503="",F503="",G503=""),"Condition, owner, due date or state missing",IF(NOT(ISNUMBER(F503)),"Due date is not a date",IF(OR(G503="Overdue",G503="Superseded"),"Legacy state — owner review (use the shared five states)",IF(INDEX('Gate events'!$E$4:$E$553,MATCH(B503,'Gate events'!$A$4:$A$553,0))&lt;&gt;"Decision","Parent event is not a Decision",IF(AND(INDEX('Gate events'!$G$4:$G$553,MATCH(B503,'Gate events'!$A$4:$A$553,0))&lt;&gt;"Progress with condition",INDEX('Gate events'!$G$4:$G$553,MATCH(B503,'Gate events'!$A$4:$A$553,0))&lt;&gt;"Re-authorise",INDEX('Gate events'!$G$4:$G$553,MATCH(B503,'Gate events'!$A$4:$A$553,0))&lt;&gt;"Resume"),"Parent outcome is not Progress with condition / Re-authorise / Resume",IF(AND(ISNUMBER(INDEX('Gate events'!$F$4:$F$553,MATCH(B503,'Gate events'!$A$4:$A$553,0))),F503&lt;INDEX('Gate events'!$F$4:$F$553,MATCH(B503,'Gate events'!$A$4:$A$553,0))),"Due date before parent event date",IF(AND(OR(G503="Closed-verified",G503="Waived",G503="Accepted-open"),OR(H503="",I503="")),"Closure evidence missing",IF(AND(H503&lt;&gt;"",NOT(ISNUMBER(H503))),"Closed / waived on is not a date",IF(AND(ISNUMBER(H503),ISNUMBER(INDEX('Gate events'!$F$4:$F$553,MATCH(B503,'Gate events'!$A$4:$A$553,0))),H503&lt;INDEX('Gate events'!$F$4:$F$553,MATCH(B503,'Gate events'!$A$4:$A$553,0))),"Closure date before parent event date",IF(AND(G503="Closed-verified",M503=""),"Verifier / date missing",IF(AND(N503="Yes",G503="Closed-verified",O503=""),"Monitoring condition needs AIG-OPS-02 evidence ref",IF(AND(G503="Open",F503&lt;TODAY()),"OVERDUE (derived) — review",IF(G503="Unknown","State Unknown: owner to confirm","Check against source")))))))))))))))))))</f>
        <v/>
      </c>
      <c r="K503" s="37" t="n"/>
      <c r="L503" s="37" t="n"/>
      <c r="M503" s="40" t="n"/>
      <c r="N503" s="40" t="n"/>
      <c r="O503" s="40" t="n"/>
    </row>
    <row r="504">
      <c r="A504" s="38" t="n"/>
      <c r="B504" s="38" t="n"/>
      <c r="C504" s="38" t="n"/>
      <c r="D504" s="38" t="n"/>
      <c r="E504" s="38" t="n"/>
      <c r="F504" s="39" t="n"/>
      <c r="G504" s="38" t="n"/>
      <c r="H504" s="39" t="n"/>
      <c r="I504" s="38" t="n"/>
      <c r="J504" s="22">
        <f>IF(COUNTA(A504:I504,K504:O504)=0,"",IF(OR(A504="",B504="",C504=""),"ID / parent missing",IF(COUNTIF($A$4:$A$553,A504)&gt;1,"Duplicate condition ID",IF(COUNTIF('Gate events'!$A$4:$A$553,B504)=0,"Event ID not found",IF(INDEX('Gate events'!$B$4:$B$553,MATCH(B504,'Gate events'!$A$4:$A$553,0))&lt;&gt;C504,"AIR-ID differs from event",IF(IF(INDEX('Gate events'!$P$4:$P$553,MATCH(B504,'Gate events'!$A$4:$A$553,0))="UC-ID specific",IF(OR(L504&lt;&gt;"UC-ID specific",K504=""),"Condition UC-ID required",IF(ISNUMBER(SEARCH(","&amp;SUBSTITUTE(K504," ","")&amp;",",","&amp;SUBSTITUTE(INDEX('Gate events'!$O$4:$O$553,MATCH(B504,'Gate events'!$A$4:$A$553,0))," ","")&amp;",")),"","UC-ID differs from decision")),IF(INDEX('Gate events'!$P$4:$P$553,MATCH(B504,'Gate events'!$A$4:$A$553,0))="Shared system baseline",IF(OR(L504&lt;&gt;"Shared system baseline",K504&lt;&gt;""),"Condition scope differs from decision",""),"Parent decision scope missing"))&lt;&gt;"",IF(INDEX('Gate events'!$P$4:$P$553,MATCH(B504,'Gate events'!$A$4:$A$553,0))="UC-ID specific",IF(OR(L504&lt;&gt;"UC-ID specific",K504=""),"Condition UC-ID required",IF(ISNUMBER(SEARCH(","&amp;SUBSTITUTE(K504," ","")&amp;",",","&amp;SUBSTITUTE(INDEX('Gate events'!$O$4:$O$553,MATCH(B504,'Gate events'!$A$4:$A$553,0))," ","")&amp;",")),"","UC-ID differs from decision")),IF(INDEX('Gate events'!$P$4:$P$553,MATCH(B504,'Gate events'!$A$4:$A$553,0))="Shared system baseline",IF(OR(L504&lt;&gt;"Shared system baseline",K504&lt;&gt;""),"Condition scope differs from decision",""),"Parent decision scope missing")),IF(OR(D504="",E504="",F504="",G504=""),"Condition, owner, due date or state missing",IF(NOT(ISNUMBER(F504)),"Due date is not a date",IF(OR(G504="Overdue",G504="Superseded"),"Legacy state — owner review (use the shared five states)",IF(INDEX('Gate events'!$E$4:$E$553,MATCH(B504,'Gate events'!$A$4:$A$553,0))&lt;&gt;"Decision","Parent event is not a Decision",IF(AND(INDEX('Gate events'!$G$4:$G$553,MATCH(B504,'Gate events'!$A$4:$A$553,0))&lt;&gt;"Progress with condition",INDEX('Gate events'!$G$4:$G$553,MATCH(B504,'Gate events'!$A$4:$A$553,0))&lt;&gt;"Re-authorise",INDEX('Gate events'!$G$4:$G$553,MATCH(B504,'Gate events'!$A$4:$A$553,0))&lt;&gt;"Resume"),"Parent outcome is not Progress with condition / Re-authorise / Resume",IF(AND(ISNUMBER(INDEX('Gate events'!$F$4:$F$553,MATCH(B504,'Gate events'!$A$4:$A$553,0))),F504&lt;INDEX('Gate events'!$F$4:$F$553,MATCH(B504,'Gate events'!$A$4:$A$553,0))),"Due date before parent event date",IF(AND(OR(G504="Closed-verified",G504="Waived",G504="Accepted-open"),OR(H504="",I504="")),"Closure evidence missing",IF(AND(H504&lt;&gt;"",NOT(ISNUMBER(H504))),"Closed / waived on is not a date",IF(AND(ISNUMBER(H504),ISNUMBER(INDEX('Gate events'!$F$4:$F$553,MATCH(B504,'Gate events'!$A$4:$A$553,0))),H504&lt;INDEX('Gate events'!$F$4:$F$553,MATCH(B504,'Gate events'!$A$4:$A$553,0))),"Closure date before parent event date",IF(AND(G504="Closed-verified",M504=""),"Verifier / date missing",IF(AND(N504="Yes",G504="Closed-verified",O504=""),"Monitoring condition needs AIG-OPS-02 evidence ref",IF(AND(G504="Open",F504&lt;TODAY()),"OVERDUE (derived) — review",IF(G504="Unknown","State Unknown: owner to confirm","Check against source")))))))))))))))))))</f>
        <v/>
      </c>
      <c r="K504" s="37" t="n"/>
      <c r="L504" s="37" t="n"/>
      <c r="M504" s="38" t="n"/>
      <c r="N504" s="38" t="n"/>
      <c r="O504" s="38" t="n"/>
    </row>
    <row r="505">
      <c r="A505" s="40" t="n"/>
      <c r="B505" s="40" t="n"/>
      <c r="C505" s="40" t="n"/>
      <c r="D505" s="40" t="n"/>
      <c r="E505" s="40" t="n"/>
      <c r="F505" s="41" t="n"/>
      <c r="G505" s="40" t="n"/>
      <c r="H505" s="41" t="n"/>
      <c r="I505" s="40" t="n"/>
      <c r="J505" s="24">
        <f>IF(COUNTA(A505:I505,K505:O505)=0,"",IF(OR(A505="",B505="",C505=""),"ID / parent missing",IF(COUNTIF($A$4:$A$553,A505)&gt;1,"Duplicate condition ID",IF(COUNTIF('Gate events'!$A$4:$A$553,B505)=0,"Event ID not found",IF(INDEX('Gate events'!$B$4:$B$553,MATCH(B505,'Gate events'!$A$4:$A$553,0))&lt;&gt;C505,"AIR-ID differs from event",IF(IF(INDEX('Gate events'!$P$4:$P$553,MATCH(B505,'Gate events'!$A$4:$A$553,0))="UC-ID specific",IF(OR(L505&lt;&gt;"UC-ID specific",K505=""),"Condition UC-ID required",IF(ISNUMBER(SEARCH(","&amp;SUBSTITUTE(K505," ","")&amp;",",","&amp;SUBSTITUTE(INDEX('Gate events'!$O$4:$O$553,MATCH(B505,'Gate events'!$A$4:$A$553,0))," ","")&amp;",")),"","UC-ID differs from decision")),IF(INDEX('Gate events'!$P$4:$P$553,MATCH(B505,'Gate events'!$A$4:$A$553,0))="Shared system baseline",IF(OR(L505&lt;&gt;"Shared system baseline",K505&lt;&gt;""),"Condition scope differs from decision",""),"Parent decision scope missing"))&lt;&gt;"",IF(INDEX('Gate events'!$P$4:$P$553,MATCH(B505,'Gate events'!$A$4:$A$553,0))="UC-ID specific",IF(OR(L505&lt;&gt;"UC-ID specific",K505=""),"Condition UC-ID required",IF(ISNUMBER(SEARCH(","&amp;SUBSTITUTE(K505," ","")&amp;",",","&amp;SUBSTITUTE(INDEX('Gate events'!$O$4:$O$553,MATCH(B505,'Gate events'!$A$4:$A$553,0))," ","")&amp;",")),"","UC-ID differs from decision")),IF(INDEX('Gate events'!$P$4:$P$553,MATCH(B505,'Gate events'!$A$4:$A$553,0))="Shared system baseline",IF(OR(L505&lt;&gt;"Shared system baseline",K505&lt;&gt;""),"Condition scope differs from decision",""),"Parent decision scope missing")),IF(OR(D505="",E505="",F505="",G505=""),"Condition, owner, due date or state missing",IF(NOT(ISNUMBER(F505)),"Due date is not a date",IF(OR(G505="Overdue",G505="Superseded"),"Legacy state — owner review (use the shared five states)",IF(INDEX('Gate events'!$E$4:$E$553,MATCH(B505,'Gate events'!$A$4:$A$553,0))&lt;&gt;"Decision","Parent event is not a Decision",IF(AND(INDEX('Gate events'!$G$4:$G$553,MATCH(B505,'Gate events'!$A$4:$A$553,0))&lt;&gt;"Progress with condition",INDEX('Gate events'!$G$4:$G$553,MATCH(B505,'Gate events'!$A$4:$A$553,0))&lt;&gt;"Re-authorise",INDEX('Gate events'!$G$4:$G$553,MATCH(B505,'Gate events'!$A$4:$A$553,0))&lt;&gt;"Resume"),"Parent outcome is not Progress with condition / Re-authorise / Resume",IF(AND(ISNUMBER(INDEX('Gate events'!$F$4:$F$553,MATCH(B505,'Gate events'!$A$4:$A$553,0))),F505&lt;INDEX('Gate events'!$F$4:$F$553,MATCH(B505,'Gate events'!$A$4:$A$553,0))),"Due date before parent event date",IF(AND(OR(G505="Closed-verified",G505="Waived",G505="Accepted-open"),OR(H505="",I505="")),"Closure evidence missing",IF(AND(H505&lt;&gt;"",NOT(ISNUMBER(H505))),"Closed / waived on is not a date",IF(AND(ISNUMBER(H505),ISNUMBER(INDEX('Gate events'!$F$4:$F$553,MATCH(B505,'Gate events'!$A$4:$A$553,0))),H505&lt;INDEX('Gate events'!$F$4:$F$553,MATCH(B505,'Gate events'!$A$4:$A$553,0))),"Closure date before parent event date",IF(AND(G505="Closed-verified",M505=""),"Verifier / date missing",IF(AND(N505="Yes",G505="Closed-verified",O505=""),"Monitoring condition needs AIG-OPS-02 evidence ref",IF(AND(G505="Open",F505&lt;TODAY()),"OVERDUE (derived) — review",IF(G505="Unknown","State Unknown: owner to confirm","Check against source")))))))))))))))))))</f>
        <v/>
      </c>
      <c r="K505" s="37" t="n"/>
      <c r="L505" s="37" t="n"/>
      <c r="M505" s="40" t="n"/>
      <c r="N505" s="40" t="n"/>
      <c r="O505" s="40" t="n"/>
    </row>
    <row r="506">
      <c r="A506" s="38" t="n"/>
      <c r="B506" s="38" t="n"/>
      <c r="C506" s="38" t="n"/>
      <c r="D506" s="38" t="n"/>
      <c r="E506" s="38" t="n"/>
      <c r="F506" s="39" t="n"/>
      <c r="G506" s="38" t="n"/>
      <c r="H506" s="39" t="n"/>
      <c r="I506" s="38" t="n"/>
      <c r="J506" s="22">
        <f>IF(COUNTA(A506:I506,K506:O506)=0,"",IF(OR(A506="",B506="",C506=""),"ID / parent missing",IF(COUNTIF($A$4:$A$553,A506)&gt;1,"Duplicate condition ID",IF(COUNTIF('Gate events'!$A$4:$A$553,B506)=0,"Event ID not found",IF(INDEX('Gate events'!$B$4:$B$553,MATCH(B506,'Gate events'!$A$4:$A$553,0))&lt;&gt;C506,"AIR-ID differs from event",IF(IF(INDEX('Gate events'!$P$4:$P$553,MATCH(B506,'Gate events'!$A$4:$A$553,0))="UC-ID specific",IF(OR(L506&lt;&gt;"UC-ID specific",K506=""),"Condition UC-ID required",IF(ISNUMBER(SEARCH(","&amp;SUBSTITUTE(K506," ","")&amp;",",","&amp;SUBSTITUTE(INDEX('Gate events'!$O$4:$O$553,MATCH(B506,'Gate events'!$A$4:$A$553,0))," ","")&amp;",")),"","UC-ID differs from decision")),IF(INDEX('Gate events'!$P$4:$P$553,MATCH(B506,'Gate events'!$A$4:$A$553,0))="Shared system baseline",IF(OR(L506&lt;&gt;"Shared system baseline",K506&lt;&gt;""),"Condition scope differs from decision",""),"Parent decision scope missing"))&lt;&gt;"",IF(INDEX('Gate events'!$P$4:$P$553,MATCH(B506,'Gate events'!$A$4:$A$553,0))="UC-ID specific",IF(OR(L506&lt;&gt;"UC-ID specific",K506=""),"Condition UC-ID required",IF(ISNUMBER(SEARCH(","&amp;SUBSTITUTE(K506," ","")&amp;",",","&amp;SUBSTITUTE(INDEX('Gate events'!$O$4:$O$553,MATCH(B506,'Gate events'!$A$4:$A$553,0))," ","")&amp;",")),"","UC-ID differs from decision")),IF(INDEX('Gate events'!$P$4:$P$553,MATCH(B506,'Gate events'!$A$4:$A$553,0))="Shared system baseline",IF(OR(L506&lt;&gt;"Shared system baseline",K506&lt;&gt;""),"Condition scope differs from decision",""),"Parent decision scope missing")),IF(OR(D506="",E506="",F506="",G506=""),"Condition, owner, due date or state missing",IF(NOT(ISNUMBER(F506)),"Due date is not a date",IF(OR(G506="Overdue",G506="Superseded"),"Legacy state — owner review (use the shared five states)",IF(INDEX('Gate events'!$E$4:$E$553,MATCH(B506,'Gate events'!$A$4:$A$553,0))&lt;&gt;"Decision","Parent event is not a Decision",IF(AND(INDEX('Gate events'!$G$4:$G$553,MATCH(B506,'Gate events'!$A$4:$A$553,0))&lt;&gt;"Progress with condition",INDEX('Gate events'!$G$4:$G$553,MATCH(B506,'Gate events'!$A$4:$A$553,0))&lt;&gt;"Re-authorise",INDEX('Gate events'!$G$4:$G$553,MATCH(B506,'Gate events'!$A$4:$A$553,0))&lt;&gt;"Resume"),"Parent outcome is not Progress with condition / Re-authorise / Resume",IF(AND(ISNUMBER(INDEX('Gate events'!$F$4:$F$553,MATCH(B506,'Gate events'!$A$4:$A$553,0))),F506&lt;INDEX('Gate events'!$F$4:$F$553,MATCH(B506,'Gate events'!$A$4:$A$553,0))),"Due date before parent event date",IF(AND(OR(G506="Closed-verified",G506="Waived",G506="Accepted-open"),OR(H506="",I506="")),"Closure evidence missing",IF(AND(H506&lt;&gt;"",NOT(ISNUMBER(H506))),"Closed / waived on is not a date",IF(AND(ISNUMBER(H506),ISNUMBER(INDEX('Gate events'!$F$4:$F$553,MATCH(B506,'Gate events'!$A$4:$A$553,0))),H506&lt;INDEX('Gate events'!$F$4:$F$553,MATCH(B506,'Gate events'!$A$4:$A$553,0))),"Closure date before parent event date",IF(AND(G506="Closed-verified",M506=""),"Verifier / date missing",IF(AND(N506="Yes",G506="Closed-verified",O506=""),"Monitoring condition needs AIG-OPS-02 evidence ref",IF(AND(G506="Open",F506&lt;TODAY()),"OVERDUE (derived) — review",IF(G506="Unknown","State Unknown: owner to confirm","Check against source")))))))))))))))))))</f>
        <v/>
      </c>
      <c r="K506" s="37" t="n"/>
      <c r="L506" s="37" t="n"/>
      <c r="M506" s="38" t="n"/>
      <c r="N506" s="38" t="n"/>
      <c r="O506" s="38" t="n"/>
    </row>
    <row r="507">
      <c r="A507" s="40" t="n"/>
      <c r="B507" s="40" t="n"/>
      <c r="C507" s="40" t="n"/>
      <c r="D507" s="40" t="n"/>
      <c r="E507" s="40" t="n"/>
      <c r="F507" s="41" t="n"/>
      <c r="G507" s="40" t="n"/>
      <c r="H507" s="41" t="n"/>
      <c r="I507" s="40" t="n"/>
      <c r="J507" s="24">
        <f>IF(COUNTA(A507:I507,K507:O507)=0,"",IF(OR(A507="",B507="",C507=""),"ID / parent missing",IF(COUNTIF($A$4:$A$553,A507)&gt;1,"Duplicate condition ID",IF(COUNTIF('Gate events'!$A$4:$A$553,B507)=0,"Event ID not found",IF(INDEX('Gate events'!$B$4:$B$553,MATCH(B507,'Gate events'!$A$4:$A$553,0))&lt;&gt;C507,"AIR-ID differs from event",IF(IF(INDEX('Gate events'!$P$4:$P$553,MATCH(B507,'Gate events'!$A$4:$A$553,0))="UC-ID specific",IF(OR(L507&lt;&gt;"UC-ID specific",K507=""),"Condition UC-ID required",IF(ISNUMBER(SEARCH(","&amp;SUBSTITUTE(K507," ","")&amp;",",","&amp;SUBSTITUTE(INDEX('Gate events'!$O$4:$O$553,MATCH(B507,'Gate events'!$A$4:$A$553,0))," ","")&amp;",")),"","UC-ID differs from decision")),IF(INDEX('Gate events'!$P$4:$P$553,MATCH(B507,'Gate events'!$A$4:$A$553,0))="Shared system baseline",IF(OR(L507&lt;&gt;"Shared system baseline",K507&lt;&gt;""),"Condition scope differs from decision",""),"Parent decision scope missing"))&lt;&gt;"",IF(INDEX('Gate events'!$P$4:$P$553,MATCH(B507,'Gate events'!$A$4:$A$553,0))="UC-ID specific",IF(OR(L507&lt;&gt;"UC-ID specific",K507=""),"Condition UC-ID required",IF(ISNUMBER(SEARCH(","&amp;SUBSTITUTE(K507," ","")&amp;",",","&amp;SUBSTITUTE(INDEX('Gate events'!$O$4:$O$553,MATCH(B507,'Gate events'!$A$4:$A$553,0))," ","")&amp;",")),"","UC-ID differs from decision")),IF(INDEX('Gate events'!$P$4:$P$553,MATCH(B507,'Gate events'!$A$4:$A$553,0))="Shared system baseline",IF(OR(L507&lt;&gt;"Shared system baseline",K507&lt;&gt;""),"Condition scope differs from decision",""),"Parent decision scope missing")),IF(OR(D507="",E507="",F507="",G507=""),"Condition, owner, due date or state missing",IF(NOT(ISNUMBER(F507)),"Due date is not a date",IF(OR(G507="Overdue",G507="Superseded"),"Legacy state — owner review (use the shared five states)",IF(INDEX('Gate events'!$E$4:$E$553,MATCH(B507,'Gate events'!$A$4:$A$553,0))&lt;&gt;"Decision","Parent event is not a Decision",IF(AND(INDEX('Gate events'!$G$4:$G$553,MATCH(B507,'Gate events'!$A$4:$A$553,0))&lt;&gt;"Progress with condition",INDEX('Gate events'!$G$4:$G$553,MATCH(B507,'Gate events'!$A$4:$A$553,0))&lt;&gt;"Re-authorise",INDEX('Gate events'!$G$4:$G$553,MATCH(B507,'Gate events'!$A$4:$A$553,0))&lt;&gt;"Resume"),"Parent outcome is not Progress with condition / Re-authorise / Resume",IF(AND(ISNUMBER(INDEX('Gate events'!$F$4:$F$553,MATCH(B507,'Gate events'!$A$4:$A$553,0))),F507&lt;INDEX('Gate events'!$F$4:$F$553,MATCH(B507,'Gate events'!$A$4:$A$553,0))),"Due date before parent event date",IF(AND(OR(G507="Closed-verified",G507="Waived",G507="Accepted-open"),OR(H507="",I507="")),"Closure evidence missing",IF(AND(H507&lt;&gt;"",NOT(ISNUMBER(H507))),"Closed / waived on is not a date",IF(AND(ISNUMBER(H507),ISNUMBER(INDEX('Gate events'!$F$4:$F$553,MATCH(B507,'Gate events'!$A$4:$A$553,0))),H507&lt;INDEX('Gate events'!$F$4:$F$553,MATCH(B507,'Gate events'!$A$4:$A$553,0))),"Closure date before parent event date",IF(AND(G507="Closed-verified",M507=""),"Verifier / date missing",IF(AND(N507="Yes",G507="Closed-verified",O507=""),"Monitoring condition needs AIG-OPS-02 evidence ref",IF(AND(G507="Open",F507&lt;TODAY()),"OVERDUE (derived) — review",IF(G507="Unknown","State Unknown: owner to confirm","Check against source")))))))))))))))))))</f>
        <v/>
      </c>
      <c r="K507" s="37" t="n"/>
      <c r="L507" s="37" t="n"/>
      <c r="M507" s="40" t="n"/>
      <c r="N507" s="40" t="n"/>
      <c r="O507" s="40" t="n"/>
    </row>
    <row r="508">
      <c r="A508" s="38" t="n"/>
      <c r="B508" s="38" t="n"/>
      <c r="C508" s="38" t="n"/>
      <c r="D508" s="38" t="n"/>
      <c r="E508" s="38" t="n"/>
      <c r="F508" s="39" t="n"/>
      <c r="G508" s="38" t="n"/>
      <c r="H508" s="39" t="n"/>
      <c r="I508" s="38" t="n"/>
      <c r="J508" s="22">
        <f>IF(COUNTA(A508:I508,K508:O508)=0,"",IF(OR(A508="",B508="",C508=""),"ID / parent missing",IF(COUNTIF($A$4:$A$553,A508)&gt;1,"Duplicate condition ID",IF(COUNTIF('Gate events'!$A$4:$A$553,B508)=0,"Event ID not found",IF(INDEX('Gate events'!$B$4:$B$553,MATCH(B508,'Gate events'!$A$4:$A$553,0))&lt;&gt;C508,"AIR-ID differs from event",IF(IF(INDEX('Gate events'!$P$4:$P$553,MATCH(B508,'Gate events'!$A$4:$A$553,0))="UC-ID specific",IF(OR(L508&lt;&gt;"UC-ID specific",K508=""),"Condition UC-ID required",IF(ISNUMBER(SEARCH(","&amp;SUBSTITUTE(K508," ","")&amp;",",","&amp;SUBSTITUTE(INDEX('Gate events'!$O$4:$O$553,MATCH(B508,'Gate events'!$A$4:$A$553,0))," ","")&amp;",")),"","UC-ID differs from decision")),IF(INDEX('Gate events'!$P$4:$P$553,MATCH(B508,'Gate events'!$A$4:$A$553,0))="Shared system baseline",IF(OR(L508&lt;&gt;"Shared system baseline",K508&lt;&gt;""),"Condition scope differs from decision",""),"Parent decision scope missing"))&lt;&gt;"",IF(INDEX('Gate events'!$P$4:$P$553,MATCH(B508,'Gate events'!$A$4:$A$553,0))="UC-ID specific",IF(OR(L508&lt;&gt;"UC-ID specific",K508=""),"Condition UC-ID required",IF(ISNUMBER(SEARCH(","&amp;SUBSTITUTE(K508," ","")&amp;",",","&amp;SUBSTITUTE(INDEX('Gate events'!$O$4:$O$553,MATCH(B508,'Gate events'!$A$4:$A$553,0))," ","")&amp;",")),"","UC-ID differs from decision")),IF(INDEX('Gate events'!$P$4:$P$553,MATCH(B508,'Gate events'!$A$4:$A$553,0))="Shared system baseline",IF(OR(L508&lt;&gt;"Shared system baseline",K508&lt;&gt;""),"Condition scope differs from decision",""),"Parent decision scope missing")),IF(OR(D508="",E508="",F508="",G508=""),"Condition, owner, due date or state missing",IF(NOT(ISNUMBER(F508)),"Due date is not a date",IF(OR(G508="Overdue",G508="Superseded"),"Legacy state — owner review (use the shared five states)",IF(INDEX('Gate events'!$E$4:$E$553,MATCH(B508,'Gate events'!$A$4:$A$553,0))&lt;&gt;"Decision","Parent event is not a Decision",IF(AND(INDEX('Gate events'!$G$4:$G$553,MATCH(B508,'Gate events'!$A$4:$A$553,0))&lt;&gt;"Progress with condition",INDEX('Gate events'!$G$4:$G$553,MATCH(B508,'Gate events'!$A$4:$A$553,0))&lt;&gt;"Re-authorise",INDEX('Gate events'!$G$4:$G$553,MATCH(B508,'Gate events'!$A$4:$A$553,0))&lt;&gt;"Resume"),"Parent outcome is not Progress with condition / Re-authorise / Resume",IF(AND(ISNUMBER(INDEX('Gate events'!$F$4:$F$553,MATCH(B508,'Gate events'!$A$4:$A$553,0))),F508&lt;INDEX('Gate events'!$F$4:$F$553,MATCH(B508,'Gate events'!$A$4:$A$553,0))),"Due date before parent event date",IF(AND(OR(G508="Closed-verified",G508="Waived",G508="Accepted-open"),OR(H508="",I508="")),"Closure evidence missing",IF(AND(H508&lt;&gt;"",NOT(ISNUMBER(H508))),"Closed / waived on is not a date",IF(AND(ISNUMBER(H508),ISNUMBER(INDEX('Gate events'!$F$4:$F$553,MATCH(B508,'Gate events'!$A$4:$A$553,0))),H508&lt;INDEX('Gate events'!$F$4:$F$553,MATCH(B508,'Gate events'!$A$4:$A$553,0))),"Closure date before parent event date",IF(AND(G508="Closed-verified",M508=""),"Verifier / date missing",IF(AND(N508="Yes",G508="Closed-verified",O508=""),"Monitoring condition needs AIG-OPS-02 evidence ref",IF(AND(G508="Open",F508&lt;TODAY()),"OVERDUE (derived) — review",IF(G508="Unknown","State Unknown: owner to confirm","Check against source")))))))))))))))))))</f>
        <v/>
      </c>
      <c r="K508" s="37" t="n"/>
      <c r="L508" s="37" t="n"/>
      <c r="M508" s="38" t="n"/>
      <c r="N508" s="38" t="n"/>
      <c r="O508" s="38" t="n"/>
    </row>
    <row r="509">
      <c r="A509" s="40" t="n"/>
      <c r="B509" s="40" t="n"/>
      <c r="C509" s="40" t="n"/>
      <c r="D509" s="40" t="n"/>
      <c r="E509" s="40" t="n"/>
      <c r="F509" s="41" t="n"/>
      <c r="G509" s="40" t="n"/>
      <c r="H509" s="41" t="n"/>
      <c r="I509" s="40" t="n"/>
      <c r="J509" s="24">
        <f>IF(COUNTA(A509:I509,K509:O509)=0,"",IF(OR(A509="",B509="",C509=""),"ID / parent missing",IF(COUNTIF($A$4:$A$553,A509)&gt;1,"Duplicate condition ID",IF(COUNTIF('Gate events'!$A$4:$A$553,B509)=0,"Event ID not found",IF(INDEX('Gate events'!$B$4:$B$553,MATCH(B509,'Gate events'!$A$4:$A$553,0))&lt;&gt;C509,"AIR-ID differs from event",IF(IF(INDEX('Gate events'!$P$4:$P$553,MATCH(B509,'Gate events'!$A$4:$A$553,0))="UC-ID specific",IF(OR(L509&lt;&gt;"UC-ID specific",K509=""),"Condition UC-ID required",IF(ISNUMBER(SEARCH(","&amp;SUBSTITUTE(K509," ","")&amp;",",","&amp;SUBSTITUTE(INDEX('Gate events'!$O$4:$O$553,MATCH(B509,'Gate events'!$A$4:$A$553,0))," ","")&amp;",")),"","UC-ID differs from decision")),IF(INDEX('Gate events'!$P$4:$P$553,MATCH(B509,'Gate events'!$A$4:$A$553,0))="Shared system baseline",IF(OR(L509&lt;&gt;"Shared system baseline",K509&lt;&gt;""),"Condition scope differs from decision",""),"Parent decision scope missing"))&lt;&gt;"",IF(INDEX('Gate events'!$P$4:$P$553,MATCH(B509,'Gate events'!$A$4:$A$553,0))="UC-ID specific",IF(OR(L509&lt;&gt;"UC-ID specific",K509=""),"Condition UC-ID required",IF(ISNUMBER(SEARCH(","&amp;SUBSTITUTE(K509," ","")&amp;",",","&amp;SUBSTITUTE(INDEX('Gate events'!$O$4:$O$553,MATCH(B509,'Gate events'!$A$4:$A$553,0))," ","")&amp;",")),"","UC-ID differs from decision")),IF(INDEX('Gate events'!$P$4:$P$553,MATCH(B509,'Gate events'!$A$4:$A$553,0))="Shared system baseline",IF(OR(L509&lt;&gt;"Shared system baseline",K509&lt;&gt;""),"Condition scope differs from decision",""),"Parent decision scope missing")),IF(OR(D509="",E509="",F509="",G509=""),"Condition, owner, due date or state missing",IF(NOT(ISNUMBER(F509)),"Due date is not a date",IF(OR(G509="Overdue",G509="Superseded"),"Legacy state — owner review (use the shared five states)",IF(INDEX('Gate events'!$E$4:$E$553,MATCH(B509,'Gate events'!$A$4:$A$553,0))&lt;&gt;"Decision","Parent event is not a Decision",IF(AND(INDEX('Gate events'!$G$4:$G$553,MATCH(B509,'Gate events'!$A$4:$A$553,0))&lt;&gt;"Progress with condition",INDEX('Gate events'!$G$4:$G$553,MATCH(B509,'Gate events'!$A$4:$A$553,0))&lt;&gt;"Re-authorise",INDEX('Gate events'!$G$4:$G$553,MATCH(B509,'Gate events'!$A$4:$A$553,0))&lt;&gt;"Resume"),"Parent outcome is not Progress with condition / Re-authorise / Resume",IF(AND(ISNUMBER(INDEX('Gate events'!$F$4:$F$553,MATCH(B509,'Gate events'!$A$4:$A$553,0))),F509&lt;INDEX('Gate events'!$F$4:$F$553,MATCH(B509,'Gate events'!$A$4:$A$553,0))),"Due date before parent event date",IF(AND(OR(G509="Closed-verified",G509="Waived",G509="Accepted-open"),OR(H509="",I509="")),"Closure evidence missing",IF(AND(H509&lt;&gt;"",NOT(ISNUMBER(H509))),"Closed / waived on is not a date",IF(AND(ISNUMBER(H509),ISNUMBER(INDEX('Gate events'!$F$4:$F$553,MATCH(B509,'Gate events'!$A$4:$A$553,0))),H509&lt;INDEX('Gate events'!$F$4:$F$553,MATCH(B509,'Gate events'!$A$4:$A$553,0))),"Closure date before parent event date",IF(AND(G509="Closed-verified",M509=""),"Verifier / date missing",IF(AND(N509="Yes",G509="Closed-verified",O509=""),"Monitoring condition needs AIG-OPS-02 evidence ref",IF(AND(G509="Open",F509&lt;TODAY()),"OVERDUE (derived) — review",IF(G509="Unknown","State Unknown: owner to confirm","Check against source")))))))))))))))))))</f>
        <v/>
      </c>
      <c r="K509" s="37" t="n"/>
      <c r="L509" s="37" t="n"/>
      <c r="M509" s="40" t="n"/>
      <c r="N509" s="40" t="n"/>
      <c r="O509" s="40" t="n"/>
    </row>
    <row r="510">
      <c r="A510" s="38" t="n"/>
      <c r="B510" s="38" t="n"/>
      <c r="C510" s="38" t="n"/>
      <c r="D510" s="38" t="n"/>
      <c r="E510" s="38" t="n"/>
      <c r="F510" s="39" t="n"/>
      <c r="G510" s="38" t="n"/>
      <c r="H510" s="39" t="n"/>
      <c r="I510" s="38" t="n"/>
      <c r="J510" s="22">
        <f>IF(COUNTA(A510:I510,K510:O510)=0,"",IF(OR(A510="",B510="",C510=""),"ID / parent missing",IF(COUNTIF($A$4:$A$553,A510)&gt;1,"Duplicate condition ID",IF(COUNTIF('Gate events'!$A$4:$A$553,B510)=0,"Event ID not found",IF(INDEX('Gate events'!$B$4:$B$553,MATCH(B510,'Gate events'!$A$4:$A$553,0))&lt;&gt;C510,"AIR-ID differs from event",IF(IF(INDEX('Gate events'!$P$4:$P$553,MATCH(B510,'Gate events'!$A$4:$A$553,0))="UC-ID specific",IF(OR(L510&lt;&gt;"UC-ID specific",K510=""),"Condition UC-ID required",IF(ISNUMBER(SEARCH(","&amp;SUBSTITUTE(K510," ","")&amp;",",","&amp;SUBSTITUTE(INDEX('Gate events'!$O$4:$O$553,MATCH(B510,'Gate events'!$A$4:$A$553,0))," ","")&amp;",")),"","UC-ID differs from decision")),IF(INDEX('Gate events'!$P$4:$P$553,MATCH(B510,'Gate events'!$A$4:$A$553,0))="Shared system baseline",IF(OR(L510&lt;&gt;"Shared system baseline",K510&lt;&gt;""),"Condition scope differs from decision",""),"Parent decision scope missing"))&lt;&gt;"",IF(INDEX('Gate events'!$P$4:$P$553,MATCH(B510,'Gate events'!$A$4:$A$553,0))="UC-ID specific",IF(OR(L510&lt;&gt;"UC-ID specific",K510=""),"Condition UC-ID required",IF(ISNUMBER(SEARCH(","&amp;SUBSTITUTE(K510," ","")&amp;",",","&amp;SUBSTITUTE(INDEX('Gate events'!$O$4:$O$553,MATCH(B510,'Gate events'!$A$4:$A$553,0))," ","")&amp;",")),"","UC-ID differs from decision")),IF(INDEX('Gate events'!$P$4:$P$553,MATCH(B510,'Gate events'!$A$4:$A$553,0))="Shared system baseline",IF(OR(L510&lt;&gt;"Shared system baseline",K510&lt;&gt;""),"Condition scope differs from decision",""),"Parent decision scope missing")),IF(OR(D510="",E510="",F510="",G510=""),"Condition, owner, due date or state missing",IF(NOT(ISNUMBER(F510)),"Due date is not a date",IF(OR(G510="Overdue",G510="Superseded"),"Legacy state — owner review (use the shared five states)",IF(INDEX('Gate events'!$E$4:$E$553,MATCH(B510,'Gate events'!$A$4:$A$553,0))&lt;&gt;"Decision","Parent event is not a Decision",IF(AND(INDEX('Gate events'!$G$4:$G$553,MATCH(B510,'Gate events'!$A$4:$A$553,0))&lt;&gt;"Progress with condition",INDEX('Gate events'!$G$4:$G$553,MATCH(B510,'Gate events'!$A$4:$A$553,0))&lt;&gt;"Re-authorise",INDEX('Gate events'!$G$4:$G$553,MATCH(B510,'Gate events'!$A$4:$A$553,0))&lt;&gt;"Resume"),"Parent outcome is not Progress with condition / Re-authorise / Resume",IF(AND(ISNUMBER(INDEX('Gate events'!$F$4:$F$553,MATCH(B510,'Gate events'!$A$4:$A$553,0))),F510&lt;INDEX('Gate events'!$F$4:$F$553,MATCH(B510,'Gate events'!$A$4:$A$553,0))),"Due date before parent event date",IF(AND(OR(G510="Closed-verified",G510="Waived",G510="Accepted-open"),OR(H510="",I510="")),"Closure evidence missing",IF(AND(H510&lt;&gt;"",NOT(ISNUMBER(H510))),"Closed / waived on is not a date",IF(AND(ISNUMBER(H510),ISNUMBER(INDEX('Gate events'!$F$4:$F$553,MATCH(B510,'Gate events'!$A$4:$A$553,0))),H510&lt;INDEX('Gate events'!$F$4:$F$553,MATCH(B510,'Gate events'!$A$4:$A$553,0))),"Closure date before parent event date",IF(AND(G510="Closed-verified",M510=""),"Verifier / date missing",IF(AND(N510="Yes",G510="Closed-verified",O510=""),"Monitoring condition needs AIG-OPS-02 evidence ref",IF(AND(G510="Open",F510&lt;TODAY()),"OVERDUE (derived) — review",IF(G510="Unknown","State Unknown: owner to confirm","Check against source")))))))))))))))))))</f>
        <v/>
      </c>
      <c r="K510" s="37" t="n"/>
      <c r="L510" s="37" t="n"/>
      <c r="M510" s="38" t="n"/>
      <c r="N510" s="38" t="n"/>
      <c r="O510" s="38" t="n"/>
    </row>
    <row r="511">
      <c r="A511" s="40" t="n"/>
      <c r="B511" s="40" t="n"/>
      <c r="C511" s="40" t="n"/>
      <c r="D511" s="40" t="n"/>
      <c r="E511" s="40" t="n"/>
      <c r="F511" s="41" t="n"/>
      <c r="G511" s="40" t="n"/>
      <c r="H511" s="41" t="n"/>
      <c r="I511" s="40" t="n"/>
      <c r="J511" s="24">
        <f>IF(COUNTA(A511:I511,K511:O511)=0,"",IF(OR(A511="",B511="",C511=""),"ID / parent missing",IF(COUNTIF($A$4:$A$553,A511)&gt;1,"Duplicate condition ID",IF(COUNTIF('Gate events'!$A$4:$A$553,B511)=0,"Event ID not found",IF(INDEX('Gate events'!$B$4:$B$553,MATCH(B511,'Gate events'!$A$4:$A$553,0))&lt;&gt;C511,"AIR-ID differs from event",IF(IF(INDEX('Gate events'!$P$4:$P$553,MATCH(B511,'Gate events'!$A$4:$A$553,0))="UC-ID specific",IF(OR(L511&lt;&gt;"UC-ID specific",K511=""),"Condition UC-ID required",IF(ISNUMBER(SEARCH(","&amp;SUBSTITUTE(K511," ","")&amp;",",","&amp;SUBSTITUTE(INDEX('Gate events'!$O$4:$O$553,MATCH(B511,'Gate events'!$A$4:$A$553,0))," ","")&amp;",")),"","UC-ID differs from decision")),IF(INDEX('Gate events'!$P$4:$P$553,MATCH(B511,'Gate events'!$A$4:$A$553,0))="Shared system baseline",IF(OR(L511&lt;&gt;"Shared system baseline",K511&lt;&gt;""),"Condition scope differs from decision",""),"Parent decision scope missing"))&lt;&gt;"",IF(INDEX('Gate events'!$P$4:$P$553,MATCH(B511,'Gate events'!$A$4:$A$553,0))="UC-ID specific",IF(OR(L511&lt;&gt;"UC-ID specific",K511=""),"Condition UC-ID required",IF(ISNUMBER(SEARCH(","&amp;SUBSTITUTE(K511," ","")&amp;",",","&amp;SUBSTITUTE(INDEX('Gate events'!$O$4:$O$553,MATCH(B511,'Gate events'!$A$4:$A$553,0))," ","")&amp;",")),"","UC-ID differs from decision")),IF(INDEX('Gate events'!$P$4:$P$553,MATCH(B511,'Gate events'!$A$4:$A$553,0))="Shared system baseline",IF(OR(L511&lt;&gt;"Shared system baseline",K511&lt;&gt;""),"Condition scope differs from decision",""),"Parent decision scope missing")),IF(OR(D511="",E511="",F511="",G511=""),"Condition, owner, due date or state missing",IF(NOT(ISNUMBER(F511)),"Due date is not a date",IF(OR(G511="Overdue",G511="Superseded"),"Legacy state — owner review (use the shared five states)",IF(INDEX('Gate events'!$E$4:$E$553,MATCH(B511,'Gate events'!$A$4:$A$553,0))&lt;&gt;"Decision","Parent event is not a Decision",IF(AND(INDEX('Gate events'!$G$4:$G$553,MATCH(B511,'Gate events'!$A$4:$A$553,0))&lt;&gt;"Progress with condition",INDEX('Gate events'!$G$4:$G$553,MATCH(B511,'Gate events'!$A$4:$A$553,0))&lt;&gt;"Re-authorise",INDEX('Gate events'!$G$4:$G$553,MATCH(B511,'Gate events'!$A$4:$A$553,0))&lt;&gt;"Resume"),"Parent outcome is not Progress with condition / Re-authorise / Resume",IF(AND(ISNUMBER(INDEX('Gate events'!$F$4:$F$553,MATCH(B511,'Gate events'!$A$4:$A$553,0))),F511&lt;INDEX('Gate events'!$F$4:$F$553,MATCH(B511,'Gate events'!$A$4:$A$553,0))),"Due date before parent event date",IF(AND(OR(G511="Closed-verified",G511="Waived",G511="Accepted-open"),OR(H511="",I511="")),"Closure evidence missing",IF(AND(H511&lt;&gt;"",NOT(ISNUMBER(H511))),"Closed / waived on is not a date",IF(AND(ISNUMBER(H511),ISNUMBER(INDEX('Gate events'!$F$4:$F$553,MATCH(B511,'Gate events'!$A$4:$A$553,0))),H511&lt;INDEX('Gate events'!$F$4:$F$553,MATCH(B511,'Gate events'!$A$4:$A$553,0))),"Closure date before parent event date",IF(AND(G511="Closed-verified",M511=""),"Verifier / date missing",IF(AND(N511="Yes",G511="Closed-verified",O511=""),"Monitoring condition needs AIG-OPS-02 evidence ref",IF(AND(G511="Open",F511&lt;TODAY()),"OVERDUE (derived) — review",IF(G511="Unknown","State Unknown: owner to confirm","Check against source")))))))))))))))))))</f>
        <v/>
      </c>
      <c r="K511" s="37" t="n"/>
      <c r="L511" s="37" t="n"/>
      <c r="M511" s="40" t="n"/>
      <c r="N511" s="40" t="n"/>
      <c r="O511" s="40" t="n"/>
    </row>
    <row r="512">
      <c r="A512" s="38" t="n"/>
      <c r="B512" s="38" t="n"/>
      <c r="C512" s="38" t="n"/>
      <c r="D512" s="38" t="n"/>
      <c r="E512" s="38" t="n"/>
      <c r="F512" s="39" t="n"/>
      <c r="G512" s="38" t="n"/>
      <c r="H512" s="39" t="n"/>
      <c r="I512" s="38" t="n"/>
      <c r="J512" s="22">
        <f>IF(COUNTA(A512:I512,K512:O512)=0,"",IF(OR(A512="",B512="",C512=""),"ID / parent missing",IF(COUNTIF($A$4:$A$553,A512)&gt;1,"Duplicate condition ID",IF(COUNTIF('Gate events'!$A$4:$A$553,B512)=0,"Event ID not found",IF(INDEX('Gate events'!$B$4:$B$553,MATCH(B512,'Gate events'!$A$4:$A$553,0))&lt;&gt;C512,"AIR-ID differs from event",IF(IF(INDEX('Gate events'!$P$4:$P$553,MATCH(B512,'Gate events'!$A$4:$A$553,0))="UC-ID specific",IF(OR(L512&lt;&gt;"UC-ID specific",K512=""),"Condition UC-ID required",IF(ISNUMBER(SEARCH(","&amp;SUBSTITUTE(K512," ","")&amp;",",","&amp;SUBSTITUTE(INDEX('Gate events'!$O$4:$O$553,MATCH(B512,'Gate events'!$A$4:$A$553,0))," ","")&amp;",")),"","UC-ID differs from decision")),IF(INDEX('Gate events'!$P$4:$P$553,MATCH(B512,'Gate events'!$A$4:$A$553,0))="Shared system baseline",IF(OR(L512&lt;&gt;"Shared system baseline",K512&lt;&gt;""),"Condition scope differs from decision",""),"Parent decision scope missing"))&lt;&gt;"",IF(INDEX('Gate events'!$P$4:$P$553,MATCH(B512,'Gate events'!$A$4:$A$553,0))="UC-ID specific",IF(OR(L512&lt;&gt;"UC-ID specific",K512=""),"Condition UC-ID required",IF(ISNUMBER(SEARCH(","&amp;SUBSTITUTE(K512," ","")&amp;",",","&amp;SUBSTITUTE(INDEX('Gate events'!$O$4:$O$553,MATCH(B512,'Gate events'!$A$4:$A$553,0))," ","")&amp;",")),"","UC-ID differs from decision")),IF(INDEX('Gate events'!$P$4:$P$553,MATCH(B512,'Gate events'!$A$4:$A$553,0))="Shared system baseline",IF(OR(L512&lt;&gt;"Shared system baseline",K512&lt;&gt;""),"Condition scope differs from decision",""),"Parent decision scope missing")),IF(OR(D512="",E512="",F512="",G512=""),"Condition, owner, due date or state missing",IF(NOT(ISNUMBER(F512)),"Due date is not a date",IF(OR(G512="Overdue",G512="Superseded"),"Legacy state — owner review (use the shared five states)",IF(INDEX('Gate events'!$E$4:$E$553,MATCH(B512,'Gate events'!$A$4:$A$553,0))&lt;&gt;"Decision","Parent event is not a Decision",IF(AND(INDEX('Gate events'!$G$4:$G$553,MATCH(B512,'Gate events'!$A$4:$A$553,0))&lt;&gt;"Progress with condition",INDEX('Gate events'!$G$4:$G$553,MATCH(B512,'Gate events'!$A$4:$A$553,0))&lt;&gt;"Re-authorise",INDEX('Gate events'!$G$4:$G$553,MATCH(B512,'Gate events'!$A$4:$A$553,0))&lt;&gt;"Resume"),"Parent outcome is not Progress with condition / Re-authorise / Resume",IF(AND(ISNUMBER(INDEX('Gate events'!$F$4:$F$553,MATCH(B512,'Gate events'!$A$4:$A$553,0))),F512&lt;INDEX('Gate events'!$F$4:$F$553,MATCH(B512,'Gate events'!$A$4:$A$553,0))),"Due date before parent event date",IF(AND(OR(G512="Closed-verified",G512="Waived",G512="Accepted-open"),OR(H512="",I512="")),"Closure evidence missing",IF(AND(H512&lt;&gt;"",NOT(ISNUMBER(H512))),"Closed / waived on is not a date",IF(AND(ISNUMBER(H512),ISNUMBER(INDEX('Gate events'!$F$4:$F$553,MATCH(B512,'Gate events'!$A$4:$A$553,0))),H512&lt;INDEX('Gate events'!$F$4:$F$553,MATCH(B512,'Gate events'!$A$4:$A$553,0))),"Closure date before parent event date",IF(AND(G512="Closed-verified",M512=""),"Verifier / date missing",IF(AND(N512="Yes",G512="Closed-verified",O512=""),"Monitoring condition needs AIG-OPS-02 evidence ref",IF(AND(G512="Open",F512&lt;TODAY()),"OVERDUE (derived) — review",IF(G512="Unknown","State Unknown: owner to confirm","Check against source")))))))))))))))))))</f>
        <v/>
      </c>
      <c r="K512" s="37" t="n"/>
      <c r="L512" s="37" t="n"/>
      <c r="M512" s="38" t="n"/>
      <c r="N512" s="38" t="n"/>
      <c r="O512" s="38" t="n"/>
    </row>
    <row r="513">
      <c r="A513" s="40" t="n"/>
      <c r="B513" s="40" t="n"/>
      <c r="C513" s="40" t="n"/>
      <c r="D513" s="40" t="n"/>
      <c r="E513" s="40" t="n"/>
      <c r="F513" s="41" t="n"/>
      <c r="G513" s="40" t="n"/>
      <c r="H513" s="41" t="n"/>
      <c r="I513" s="40" t="n"/>
      <c r="J513" s="24">
        <f>IF(COUNTA(A513:I513,K513:O513)=0,"",IF(OR(A513="",B513="",C513=""),"ID / parent missing",IF(COUNTIF($A$4:$A$553,A513)&gt;1,"Duplicate condition ID",IF(COUNTIF('Gate events'!$A$4:$A$553,B513)=0,"Event ID not found",IF(INDEX('Gate events'!$B$4:$B$553,MATCH(B513,'Gate events'!$A$4:$A$553,0))&lt;&gt;C513,"AIR-ID differs from event",IF(IF(INDEX('Gate events'!$P$4:$P$553,MATCH(B513,'Gate events'!$A$4:$A$553,0))="UC-ID specific",IF(OR(L513&lt;&gt;"UC-ID specific",K513=""),"Condition UC-ID required",IF(ISNUMBER(SEARCH(","&amp;SUBSTITUTE(K513," ","")&amp;",",","&amp;SUBSTITUTE(INDEX('Gate events'!$O$4:$O$553,MATCH(B513,'Gate events'!$A$4:$A$553,0))," ","")&amp;",")),"","UC-ID differs from decision")),IF(INDEX('Gate events'!$P$4:$P$553,MATCH(B513,'Gate events'!$A$4:$A$553,0))="Shared system baseline",IF(OR(L513&lt;&gt;"Shared system baseline",K513&lt;&gt;""),"Condition scope differs from decision",""),"Parent decision scope missing"))&lt;&gt;"",IF(INDEX('Gate events'!$P$4:$P$553,MATCH(B513,'Gate events'!$A$4:$A$553,0))="UC-ID specific",IF(OR(L513&lt;&gt;"UC-ID specific",K513=""),"Condition UC-ID required",IF(ISNUMBER(SEARCH(","&amp;SUBSTITUTE(K513," ","")&amp;",",","&amp;SUBSTITUTE(INDEX('Gate events'!$O$4:$O$553,MATCH(B513,'Gate events'!$A$4:$A$553,0))," ","")&amp;",")),"","UC-ID differs from decision")),IF(INDEX('Gate events'!$P$4:$P$553,MATCH(B513,'Gate events'!$A$4:$A$553,0))="Shared system baseline",IF(OR(L513&lt;&gt;"Shared system baseline",K513&lt;&gt;""),"Condition scope differs from decision",""),"Parent decision scope missing")),IF(OR(D513="",E513="",F513="",G513=""),"Condition, owner, due date or state missing",IF(NOT(ISNUMBER(F513)),"Due date is not a date",IF(OR(G513="Overdue",G513="Superseded"),"Legacy state — owner review (use the shared five states)",IF(INDEX('Gate events'!$E$4:$E$553,MATCH(B513,'Gate events'!$A$4:$A$553,0))&lt;&gt;"Decision","Parent event is not a Decision",IF(AND(INDEX('Gate events'!$G$4:$G$553,MATCH(B513,'Gate events'!$A$4:$A$553,0))&lt;&gt;"Progress with condition",INDEX('Gate events'!$G$4:$G$553,MATCH(B513,'Gate events'!$A$4:$A$553,0))&lt;&gt;"Re-authorise",INDEX('Gate events'!$G$4:$G$553,MATCH(B513,'Gate events'!$A$4:$A$553,0))&lt;&gt;"Resume"),"Parent outcome is not Progress with condition / Re-authorise / Resume",IF(AND(ISNUMBER(INDEX('Gate events'!$F$4:$F$553,MATCH(B513,'Gate events'!$A$4:$A$553,0))),F513&lt;INDEX('Gate events'!$F$4:$F$553,MATCH(B513,'Gate events'!$A$4:$A$553,0))),"Due date before parent event date",IF(AND(OR(G513="Closed-verified",G513="Waived",G513="Accepted-open"),OR(H513="",I513="")),"Closure evidence missing",IF(AND(H513&lt;&gt;"",NOT(ISNUMBER(H513))),"Closed / waived on is not a date",IF(AND(ISNUMBER(H513),ISNUMBER(INDEX('Gate events'!$F$4:$F$553,MATCH(B513,'Gate events'!$A$4:$A$553,0))),H513&lt;INDEX('Gate events'!$F$4:$F$553,MATCH(B513,'Gate events'!$A$4:$A$553,0))),"Closure date before parent event date",IF(AND(G513="Closed-verified",M513=""),"Verifier / date missing",IF(AND(N513="Yes",G513="Closed-verified",O513=""),"Monitoring condition needs AIG-OPS-02 evidence ref",IF(AND(G513="Open",F513&lt;TODAY()),"OVERDUE (derived) — review",IF(G513="Unknown","State Unknown: owner to confirm","Check against source")))))))))))))))))))</f>
        <v/>
      </c>
      <c r="K513" s="37" t="n"/>
      <c r="L513" s="37" t="n"/>
      <c r="M513" s="40" t="n"/>
      <c r="N513" s="40" t="n"/>
      <c r="O513" s="40" t="n"/>
    </row>
    <row r="514">
      <c r="A514" s="38" t="n"/>
      <c r="B514" s="38" t="n"/>
      <c r="C514" s="38" t="n"/>
      <c r="D514" s="38" t="n"/>
      <c r="E514" s="38" t="n"/>
      <c r="F514" s="39" t="n"/>
      <c r="G514" s="38" t="n"/>
      <c r="H514" s="39" t="n"/>
      <c r="I514" s="38" t="n"/>
      <c r="J514" s="22">
        <f>IF(COUNTA(A514:I514,K514:O514)=0,"",IF(OR(A514="",B514="",C514=""),"ID / parent missing",IF(COUNTIF($A$4:$A$553,A514)&gt;1,"Duplicate condition ID",IF(COUNTIF('Gate events'!$A$4:$A$553,B514)=0,"Event ID not found",IF(INDEX('Gate events'!$B$4:$B$553,MATCH(B514,'Gate events'!$A$4:$A$553,0))&lt;&gt;C514,"AIR-ID differs from event",IF(IF(INDEX('Gate events'!$P$4:$P$553,MATCH(B514,'Gate events'!$A$4:$A$553,0))="UC-ID specific",IF(OR(L514&lt;&gt;"UC-ID specific",K514=""),"Condition UC-ID required",IF(ISNUMBER(SEARCH(","&amp;SUBSTITUTE(K514," ","")&amp;",",","&amp;SUBSTITUTE(INDEX('Gate events'!$O$4:$O$553,MATCH(B514,'Gate events'!$A$4:$A$553,0))," ","")&amp;",")),"","UC-ID differs from decision")),IF(INDEX('Gate events'!$P$4:$P$553,MATCH(B514,'Gate events'!$A$4:$A$553,0))="Shared system baseline",IF(OR(L514&lt;&gt;"Shared system baseline",K514&lt;&gt;""),"Condition scope differs from decision",""),"Parent decision scope missing"))&lt;&gt;"",IF(INDEX('Gate events'!$P$4:$P$553,MATCH(B514,'Gate events'!$A$4:$A$553,0))="UC-ID specific",IF(OR(L514&lt;&gt;"UC-ID specific",K514=""),"Condition UC-ID required",IF(ISNUMBER(SEARCH(","&amp;SUBSTITUTE(K514," ","")&amp;",",","&amp;SUBSTITUTE(INDEX('Gate events'!$O$4:$O$553,MATCH(B514,'Gate events'!$A$4:$A$553,0))," ","")&amp;",")),"","UC-ID differs from decision")),IF(INDEX('Gate events'!$P$4:$P$553,MATCH(B514,'Gate events'!$A$4:$A$553,0))="Shared system baseline",IF(OR(L514&lt;&gt;"Shared system baseline",K514&lt;&gt;""),"Condition scope differs from decision",""),"Parent decision scope missing")),IF(OR(D514="",E514="",F514="",G514=""),"Condition, owner, due date or state missing",IF(NOT(ISNUMBER(F514)),"Due date is not a date",IF(OR(G514="Overdue",G514="Superseded"),"Legacy state — owner review (use the shared five states)",IF(INDEX('Gate events'!$E$4:$E$553,MATCH(B514,'Gate events'!$A$4:$A$553,0))&lt;&gt;"Decision","Parent event is not a Decision",IF(AND(INDEX('Gate events'!$G$4:$G$553,MATCH(B514,'Gate events'!$A$4:$A$553,0))&lt;&gt;"Progress with condition",INDEX('Gate events'!$G$4:$G$553,MATCH(B514,'Gate events'!$A$4:$A$553,0))&lt;&gt;"Re-authorise",INDEX('Gate events'!$G$4:$G$553,MATCH(B514,'Gate events'!$A$4:$A$553,0))&lt;&gt;"Resume"),"Parent outcome is not Progress with condition / Re-authorise / Resume",IF(AND(ISNUMBER(INDEX('Gate events'!$F$4:$F$553,MATCH(B514,'Gate events'!$A$4:$A$553,0))),F514&lt;INDEX('Gate events'!$F$4:$F$553,MATCH(B514,'Gate events'!$A$4:$A$553,0))),"Due date before parent event date",IF(AND(OR(G514="Closed-verified",G514="Waived",G514="Accepted-open"),OR(H514="",I514="")),"Closure evidence missing",IF(AND(H514&lt;&gt;"",NOT(ISNUMBER(H514))),"Closed / waived on is not a date",IF(AND(ISNUMBER(H514),ISNUMBER(INDEX('Gate events'!$F$4:$F$553,MATCH(B514,'Gate events'!$A$4:$A$553,0))),H514&lt;INDEX('Gate events'!$F$4:$F$553,MATCH(B514,'Gate events'!$A$4:$A$553,0))),"Closure date before parent event date",IF(AND(G514="Closed-verified",M514=""),"Verifier / date missing",IF(AND(N514="Yes",G514="Closed-verified",O514=""),"Monitoring condition needs AIG-OPS-02 evidence ref",IF(AND(G514="Open",F514&lt;TODAY()),"OVERDUE (derived) — review",IF(G514="Unknown","State Unknown: owner to confirm","Check against source")))))))))))))))))))</f>
        <v/>
      </c>
      <c r="K514" s="37" t="n"/>
      <c r="L514" s="37" t="n"/>
      <c r="M514" s="38" t="n"/>
      <c r="N514" s="38" t="n"/>
      <c r="O514" s="38" t="n"/>
    </row>
    <row r="515">
      <c r="A515" s="40" t="n"/>
      <c r="B515" s="40" t="n"/>
      <c r="C515" s="40" t="n"/>
      <c r="D515" s="40" t="n"/>
      <c r="E515" s="40" t="n"/>
      <c r="F515" s="41" t="n"/>
      <c r="G515" s="40" t="n"/>
      <c r="H515" s="41" t="n"/>
      <c r="I515" s="40" t="n"/>
      <c r="J515" s="24">
        <f>IF(COUNTA(A515:I515,K515:O515)=0,"",IF(OR(A515="",B515="",C515=""),"ID / parent missing",IF(COUNTIF($A$4:$A$553,A515)&gt;1,"Duplicate condition ID",IF(COUNTIF('Gate events'!$A$4:$A$553,B515)=0,"Event ID not found",IF(INDEX('Gate events'!$B$4:$B$553,MATCH(B515,'Gate events'!$A$4:$A$553,0))&lt;&gt;C515,"AIR-ID differs from event",IF(IF(INDEX('Gate events'!$P$4:$P$553,MATCH(B515,'Gate events'!$A$4:$A$553,0))="UC-ID specific",IF(OR(L515&lt;&gt;"UC-ID specific",K515=""),"Condition UC-ID required",IF(ISNUMBER(SEARCH(","&amp;SUBSTITUTE(K515," ","")&amp;",",","&amp;SUBSTITUTE(INDEX('Gate events'!$O$4:$O$553,MATCH(B515,'Gate events'!$A$4:$A$553,0))," ","")&amp;",")),"","UC-ID differs from decision")),IF(INDEX('Gate events'!$P$4:$P$553,MATCH(B515,'Gate events'!$A$4:$A$553,0))="Shared system baseline",IF(OR(L515&lt;&gt;"Shared system baseline",K515&lt;&gt;""),"Condition scope differs from decision",""),"Parent decision scope missing"))&lt;&gt;"",IF(INDEX('Gate events'!$P$4:$P$553,MATCH(B515,'Gate events'!$A$4:$A$553,0))="UC-ID specific",IF(OR(L515&lt;&gt;"UC-ID specific",K515=""),"Condition UC-ID required",IF(ISNUMBER(SEARCH(","&amp;SUBSTITUTE(K515," ","")&amp;",",","&amp;SUBSTITUTE(INDEX('Gate events'!$O$4:$O$553,MATCH(B515,'Gate events'!$A$4:$A$553,0))," ","")&amp;",")),"","UC-ID differs from decision")),IF(INDEX('Gate events'!$P$4:$P$553,MATCH(B515,'Gate events'!$A$4:$A$553,0))="Shared system baseline",IF(OR(L515&lt;&gt;"Shared system baseline",K515&lt;&gt;""),"Condition scope differs from decision",""),"Parent decision scope missing")),IF(OR(D515="",E515="",F515="",G515=""),"Condition, owner, due date or state missing",IF(NOT(ISNUMBER(F515)),"Due date is not a date",IF(OR(G515="Overdue",G515="Superseded"),"Legacy state — owner review (use the shared five states)",IF(INDEX('Gate events'!$E$4:$E$553,MATCH(B515,'Gate events'!$A$4:$A$553,0))&lt;&gt;"Decision","Parent event is not a Decision",IF(AND(INDEX('Gate events'!$G$4:$G$553,MATCH(B515,'Gate events'!$A$4:$A$553,0))&lt;&gt;"Progress with condition",INDEX('Gate events'!$G$4:$G$553,MATCH(B515,'Gate events'!$A$4:$A$553,0))&lt;&gt;"Re-authorise",INDEX('Gate events'!$G$4:$G$553,MATCH(B515,'Gate events'!$A$4:$A$553,0))&lt;&gt;"Resume"),"Parent outcome is not Progress with condition / Re-authorise / Resume",IF(AND(ISNUMBER(INDEX('Gate events'!$F$4:$F$553,MATCH(B515,'Gate events'!$A$4:$A$553,0))),F515&lt;INDEX('Gate events'!$F$4:$F$553,MATCH(B515,'Gate events'!$A$4:$A$553,0))),"Due date before parent event date",IF(AND(OR(G515="Closed-verified",G515="Waived",G515="Accepted-open"),OR(H515="",I515="")),"Closure evidence missing",IF(AND(H515&lt;&gt;"",NOT(ISNUMBER(H515))),"Closed / waived on is not a date",IF(AND(ISNUMBER(H515),ISNUMBER(INDEX('Gate events'!$F$4:$F$553,MATCH(B515,'Gate events'!$A$4:$A$553,0))),H515&lt;INDEX('Gate events'!$F$4:$F$553,MATCH(B515,'Gate events'!$A$4:$A$553,0))),"Closure date before parent event date",IF(AND(G515="Closed-verified",M515=""),"Verifier / date missing",IF(AND(N515="Yes",G515="Closed-verified",O515=""),"Monitoring condition needs AIG-OPS-02 evidence ref",IF(AND(G515="Open",F515&lt;TODAY()),"OVERDUE (derived) — review",IF(G515="Unknown","State Unknown: owner to confirm","Check against source")))))))))))))))))))</f>
        <v/>
      </c>
      <c r="K515" s="37" t="n"/>
      <c r="L515" s="37" t="n"/>
      <c r="M515" s="40" t="n"/>
      <c r="N515" s="40" t="n"/>
      <c r="O515" s="40" t="n"/>
    </row>
    <row r="516">
      <c r="A516" s="38" t="n"/>
      <c r="B516" s="38" t="n"/>
      <c r="C516" s="38" t="n"/>
      <c r="D516" s="38" t="n"/>
      <c r="E516" s="38" t="n"/>
      <c r="F516" s="39" t="n"/>
      <c r="G516" s="38" t="n"/>
      <c r="H516" s="39" t="n"/>
      <c r="I516" s="38" t="n"/>
      <c r="J516" s="22">
        <f>IF(COUNTA(A516:I516,K516:O516)=0,"",IF(OR(A516="",B516="",C516=""),"ID / parent missing",IF(COUNTIF($A$4:$A$553,A516)&gt;1,"Duplicate condition ID",IF(COUNTIF('Gate events'!$A$4:$A$553,B516)=0,"Event ID not found",IF(INDEX('Gate events'!$B$4:$B$553,MATCH(B516,'Gate events'!$A$4:$A$553,0))&lt;&gt;C516,"AIR-ID differs from event",IF(IF(INDEX('Gate events'!$P$4:$P$553,MATCH(B516,'Gate events'!$A$4:$A$553,0))="UC-ID specific",IF(OR(L516&lt;&gt;"UC-ID specific",K516=""),"Condition UC-ID required",IF(ISNUMBER(SEARCH(","&amp;SUBSTITUTE(K516," ","")&amp;",",","&amp;SUBSTITUTE(INDEX('Gate events'!$O$4:$O$553,MATCH(B516,'Gate events'!$A$4:$A$553,0))," ","")&amp;",")),"","UC-ID differs from decision")),IF(INDEX('Gate events'!$P$4:$P$553,MATCH(B516,'Gate events'!$A$4:$A$553,0))="Shared system baseline",IF(OR(L516&lt;&gt;"Shared system baseline",K516&lt;&gt;""),"Condition scope differs from decision",""),"Parent decision scope missing"))&lt;&gt;"",IF(INDEX('Gate events'!$P$4:$P$553,MATCH(B516,'Gate events'!$A$4:$A$553,0))="UC-ID specific",IF(OR(L516&lt;&gt;"UC-ID specific",K516=""),"Condition UC-ID required",IF(ISNUMBER(SEARCH(","&amp;SUBSTITUTE(K516," ","")&amp;",",","&amp;SUBSTITUTE(INDEX('Gate events'!$O$4:$O$553,MATCH(B516,'Gate events'!$A$4:$A$553,0))," ","")&amp;",")),"","UC-ID differs from decision")),IF(INDEX('Gate events'!$P$4:$P$553,MATCH(B516,'Gate events'!$A$4:$A$553,0))="Shared system baseline",IF(OR(L516&lt;&gt;"Shared system baseline",K516&lt;&gt;""),"Condition scope differs from decision",""),"Parent decision scope missing")),IF(OR(D516="",E516="",F516="",G516=""),"Condition, owner, due date or state missing",IF(NOT(ISNUMBER(F516)),"Due date is not a date",IF(OR(G516="Overdue",G516="Superseded"),"Legacy state — owner review (use the shared five states)",IF(INDEX('Gate events'!$E$4:$E$553,MATCH(B516,'Gate events'!$A$4:$A$553,0))&lt;&gt;"Decision","Parent event is not a Decision",IF(AND(INDEX('Gate events'!$G$4:$G$553,MATCH(B516,'Gate events'!$A$4:$A$553,0))&lt;&gt;"Progress with condition",INDEX('Gate events'!$G$4:$G$553,MATCH(B516,'Gate events'!$A$4:$A$553,0))&lt;&gt;"Re-authorise",INDEX('Gate events'!$G$4:$G$553,MATCH(B516,'Gate events'!$A$4:$A$553,0))&lt;&gt;"Resume"),"Parent outcome is not Progress with condition / Re-authorise / Resume",IF(AND(ISNUMBER(INDEX('Gate events'!$F$4:$F$553,MATCH(B516,'Gate events'!$A$4:$A$553,0))),F516&lt;INDEX('Gate events'!$F$4:$F$553,MATCH(B516,'Gate events'!$A$4:$A$553,0))),"Due date before parent event date",IF(AND(OR(G516="Closed-verified",G516="Waived",G516="Accepted-open"),OR(H516="",I516="")),"Closure evidence missing",IF(AND(H516&lt;&gt;"",NOT(ISNUMBER(H516))),"Closed / waived on is not a date",IF(AND(ISNUMBER(H516),ISNUMBER(INDEX('Gate events'!$F$4:$F$553,MATCH(B516,'Gate events'!$A$4:$A$553,0))),H516&lt;INDEX('Gate events'!$F$4:$F$553,MATCH(B516,'Gate events'!$A$4:$A$553,0))),"Closure date before parent event date",IF(AND(G516="Closed-verified",M516=""),"Verifier / date missing",IF(AND(N516="Yes",G516="Closed-verified",O516=""),"Monitoring condition needs AIG-OPS-02 evidence ref",IF(AND(G516="Open",F516&lt;TODAY()),"OVERDUE (derived) — review",IF(G516="Unknown","State Unknown: owner to confirm","Check against source")))))))))))))))))))</f>
        <v/>
      </c>
      <c r="K516" s="37" t="n"/>
      <c r="L516" s="37" t="n"/>
      <c r="M516" s="38" t="n"/>
      <c r="N516" s="38" t="n"/>
      <c r="O516" s="38" t="n"/>
    </row>
    <row r="517">
      <c r="A517" s="40" t="n"/>
      <c r="B517" s="40" t="n"/>
      <c r="C517" s="40" t="n"/>
      <c r="D517" s="40" t="n"/>
      <c r="E517" s="40" t="n"/>
      <c r="F517" s="41" t="n"/>
      <c r="G517" s="40" t="n"/>
      <c r="H517" s="41" t="n"/>
      <c r="I517" s="40" t="n"/>
      <c r="J517" s="24">
        <f>IF(COUNTA(A517:I517,K517:O517)=0,"",IF(OR(A517="",B517="",C517=""),"ID / parent missing",IF(COUNTIF($A$4:$A$553,A517)&gt;1,"Duplicate condition ID",IF(COUNTIF('Gate events'!$A$4:$A$553,B517)=0,"Event ID not found",IF(INDEX('Gate events'!$B$4:$B$553,MATCH(B517,'Gate events'!$A$4:$A$553,0))&lt;&gt;C517,"AIR-ID differs from event",IF(IF(INDEX('Gate events'!$P$4:$P$553,MATCH(B517,'Gate events'!$A$4:$A$553,0))="UC-ID specific",IF(OR(L517&lt;&gt;"UC-ID specific",K517=""),"Condition UC-ID required",IF(ISNUMBER(SEARCH(","&amp;SUBSTITUTE(K517," ","")&amp;",",","&amp;SUBSTITUTE(INDEX('Gate events'!$O$4:$O$553,MATCH(B517,'Gate events'!$A$4:$A$553,0))," ","")&amp;",")),"","UC-ID differs from decision")),IF(INDEX('Gate events'!$P$4:$P$553,MATCH(B517,'Gate events'!$A$4:$A$553,0))="Shared system baseline",IF(OR(L517&lt;&gt;"Shared system baseline",K517&lt;&gt;""),"Condition scope differs from decision",""),"Parent decision scope missing"))&lt;&gt;"",IF(INDEX('Gate events'!$P$4:$P$553,MATCH(B517,'Gate events'!$A$4:$A$553,0))="UC-ID specific",IF(OR(L517&lt;&gt;"UC-ID specific",K517=""),"Condition UC-ID required",IF(ISNUMBER(SEARCH(","&amp;SUBSTITUTE(K517," ","")&amp;",",","&amp;SUBSTITUTE(INDEX('Gate events'!$O$4:$O$553,MATCH(B517,'Gate events'!$A$4:$A$553,0))," ","")&amp;",")),"","UC-ID differs from decision")),IF(INDEX('Gate events'!$P$4:$P$553,MATCH(B517,'Gate events'!$A$4:$A$553,0))="Shared system baseline",IF(OR(L517&lt;&gt;"Shared system baseline",K517&lt;&gt;""),"Condition scope differs from decision",""),"Parent decision scope missing")),IF(OR(D517="",E517="",F517="",G517=""),"Condition, owner, due date or state missing",IF(NOT(ISNUMBER(F517)),"Due date is not a date",IF(OR(G517="Overdue",G517="Superseded"),"Legacy state — owner review (use the shared five states)",IF(INDEX('Gate events'!$E$4:$E$553,MATCH(B517,'Gate events'!$A$4:$A$553,0))&lt;&gt;"Decision","Parent event is not a Decision",IF(AND(INDEX('Gate events'!$G$4:$G$553,MATCH(B517,'Gate events'!$A$4:$A$553,0))&lt;&gt;"Progress with condition",INDEX('Gate events'!$G$4:$G$553,MATCH(B517,'Gate events'!$A$4:$A$553,0))&lt;&gt;"Re-authorise",INDEX('Gate events'!$G$4:$G$553,MATCH(B517,'Gate events'!$A$4:$A$553,0))&lt;&gt;"Resume"),"Parent outcome is not Progress with condition / Re-authorise / Resume",IF(AND(ISNUMBER(INDEX('Gate events'!$F$4:$F$553,MATCH(B517,'Gate events'!$A$4:$A$553,0))),F517&lt;INDEX('Gate events'!$F$4:$F$553,MATCH(B517,'Gate events'!$A$4:$A$553,0))),"Due date before parent event date",IF(AND(OR(G517="Closed-verified",G517="Waived",G517="Accepted-open"),OR(H517="",I517="")),"Closure evidence missing",IF(AND(H517&lt;&gt;"",NOT(ISNUMBER(H517))),"Closed / waived on is not a date",IF(AND(ISNUMBER(H517),ISNUMBER(INDEX('Gate events'!$F$4:$F$553,MATCH(B517,'Gate events'!$A$4:$A$553,0))),H517&lt;INDEX('Gate events'!$F$4:$F$553,MATCH(B517,'Gate events'!$A$4:$A$553,0))),"Closure date before parent event date",IF(AND(G517="Closed-verified",M517=""),"Verifier / date missing",IF(AND(N517="Yes",G517="Closed-verified",O517=""),"Monitoring condition needs AIG-OPS-02 evidence ref",IF(AND(G517="Open",F517&lt;TODAY()),"OVERDUE (derived) — review",IF(G517="Unknown","State Unknown: owner to confirm","Check against source")))))))))))))))))))</f>
        <v/>
      </c>
      <c r="K517" s="37" t="n"/>
      <c r="L517" s="37" t="n"/>
      <c r="M517" s="40" t="n"/>
      <c r="N517" s="40" t="n"/>
      <c r="O517" s="40" t="n"/>
    </row>
    <row r="518">
      <c r="A518" s="38" t="n"/>
      <c r="B518" s="38" t="n"/>
      <c r="C518" s="38" t="n"/>
      <c r="D518" s="38" t="n"/>
      <c r="E518" s="38" t="n"/>
      <c r="F518" s="39" t="n"/>
      <c r="G518" s="38" t="n"/>
      <c r="H518" s="39" t="n"/>
      <c r="I518" s="38" t="n"/>
      <c r="J518" s="22">
        <f>IF(COUNTA(A518:I518,K518:O518)=0,"",IF(OR(A518="",B518="",C518=""),"ID / parent missing",IF(COUNTIF($A$4:$A$553,A518)&gt;1,"Duplicate condition ID",IF(COUNTIF('Gate events'!$A$4:$A$553,B518)=0,"Event ID not found",IF(INDEX('Gate events'!$B$4:$B$553,MATCH(B518,'Gate events'!$A$4:$A$553,0))&lt;&gt;C518,"AIR-ID differs from event",IF(IF(INDEX('Gate events'!$P$4:$P$553,MATCH(B518,'Gate events'!$A$4:$A$553,0))="UC-ID specific",IF(OR(L518&lt;&gt;"UC-ID specific",K518=""),"Condition UC-ID required",IF(ISNUMBER(SEARCH(","&amp;SUBSTITUTE(K518," ","")&amp;",",","&amp;SUBSTITUTE(INDEX('Gate events'!$O$4:$O$553,MATCH(B518,'Gate events'!$A$4:$A$553,0))," ","")&amp;",")),"","UC-ID differs from decision")),IF(INDEX('Gate events'!$P$4:$P$553,MATCH(B518,'Gate events'!$A$4:$A$553,0))="Shared system baseline",IF(OR(L518&lt;&gt;"Shared system baseline",K518&lt;&gt;""),"Condition scope differs from decision",""),"Parent decision scope missing"))&lt;&gt;"",IF(INDEX('Gate events'!$P$4:$P$553,MATCH(B518,'Gate events'!$A$4:$A$553,0))="UC-ID specific",IF(OR(L518&lt;&gt;"UC-ID specific",K518=""),"Condition UC-ID required",IF(ISNUMBER(SEARCH(","&amp;SUBSTITUTE(K518," ","")&amp;",",","&amp;SUBSTITUTE(INDEX('Gate events'!$O$4:$O$553,MATCH(B518,'Gate events'!$A$4:$A$553,0))," ","")&amp;",")),"","UC-ID differs from decision")),IF(INDEX('Gate events'!$P$4:$P$553,MATCH(B518,'Gate events'!$A$4:$A$553,0))="Shared system baseline",IF(OR(L518&lt;&gt;"Shared system baseline",K518&lt;&gt;""),"Condition scope differs from decision",""),"Parent decision scope missing")),IF(OR(D518="",E518="",F518="",G518=""),"Condition, owner, due date or state missing",IF(NOT(ISNUMBER(F518)),"Due date is not a date",IF(OR(G518="Overdue",G518="Superseded"),"Legacy state — owner review (use the shared five states)",IF(INDEX('Gate events'!$E$4:$E$553,MATCH(B518,'Gate events'!$A$4:$A$553,0))&lt;&gt;"Decision","Parent event is not a Decision",IF(AND(INDEX('Gate events'!$G$4:$G$553,MATCH(B518,'Gate events'!$A$4:$A$553,0))&lt;&gt;"Progress with condition",INDEX('Gate events'!$G$4:$G$553,MATCH(B518,'Gate events'!$A$4:$A$553,0))&lt;&gt;"Re-authorise",INDEX('Gate events'!$G$4:$G$553,MATCH(B518,'Gate events'!$A$4:$A$553,0))&lt;&gt;"Resume"),"Parent outcome is not Progress with condition / Re-authorise / Resume",IF(AND(ISNUMBER(INDEX('Gate events'!$F$4:$F$553,MATCH(B518,'Gate events'!$A$4:$A$553,0))),F518&lt;INDEX('Gate events'!$F$4:$F$553,MATCH(B518,'Gate events'!$A$4:$A$553,0))),"Due date before parent event date",IF(AND(OR(G518="Closed-verified",G518="Waived",G518="Accepted-open"),OR(H518="",I518="")),"Closure evidence missing",IF(AND(H518&lt;&gt;"",NOT(ISNUMBER(H518))),"Closed / waived on is not a date",IF(AND(ISNUMBER(H518),ISNUMBER(INDEX('Gate events'!$F$4:$F$553,MATCH(B518,'Gate events'!$A$4:$A$553,0))),H518&lt;INDEX('Gate events'!$F$4:$F$553,MATCH(B518,'Gate events'!$A$4:$A$553,0))),"Closure date before parent event date",IF(AND(G518="Closed-verified",M518=""),"Verifier / date missing",IF(AND(N518="Yes",G518="Closed-verified",O518=""),"Monitoring condition needs AIG-OPS-02 evidence ref",IF(AND(G518="Open",F518&lt;TODAY()),"OVERDUE (derived) — review",IF(G518="Unknown","State Unknown: owner to confirm","Check against source")))))))))))))))))))</f>
        <v/>
      </c>
      <c r="K518" s="37" t="n"/>
      <c r="L518" s="37" t="n"/>
      <c r="M518" s="38" t="n"/>
      <c r="N518" s="38" t="n"/>
      <c r="O518" s="38" t="n"/>
    </row>
    <row r="519">
      <c r="A519" s="40" t="n"/>
      <c r="B519" s="40" t="n"/>
      <c r="C519" s="40" t="n"/>
      <c r="D519" s="40" t="n"/>
      <c r="E519" s="40" t="n"/>
      <c r="F519" s="41" t="n"/>
      <c r="G519" s="40" t="n"/>
      <c r="H519" s="41" t="n"/>
      <c r="I519" s="40" t="n"/>
      <c r="J519" s="24">
        <f>IF(COUNTA(A519:I519,K519:O519)=0,"",IF(OR(A519="",B519="",C519=""),"ID / parent missing",IF(COUNTIF($A$4:$A$553,A519)&gt;1,"Duplicate condition ID",IF(COUNTIF('Gate events'!$A$4:$A$553,B519)=0,"Event ID not found",IF(INDEX('Gate events'!$B$4:$B$553,MATCH(B519,'Gate events'!$A$4:$A$553,0))&lt;&gt;C519,"AIR-ID differs from event",IF(IF(INDEX('Gate events'!$P$4:$P$553,MATCH(B519,'Gate events'!$A$4:$A$553,0))="UC-ID specific",IF(OR(L519&lt;&gt;"UC-ID specific",K519=""),"Condition UC-ID required",IF(ISNUMBER(SEARCH(","&amp;SUBSTITUTE(K519," ","")&amp;",",","&amp;SUBSTITUTE(INDEX('Gate events'!$O$4:$O$553,MATCH(B519,'Gate events'!$A$4:$A$553,0))," ","")&amp;",")),"","UC-ID differs from decision")),IF(INDEX('Gate events'!$P$4:$P$553,MATCH(B519,'Gate events'!$A$4:$A$553,0))="Shared system baseline",IF(OR(L519&lt;&gt;"Shared system baseline",K519&lt;&gt;""),"Condition scope differs from decision",""),"Parent decision scope missing"))&lt;&gt;"",IF(INDEX('Gate events'!$P$4:$P$553,MATCH(B519,'Gate events'!$A$4:$A$553,0))="UC-ID specific",IF(OR(L519&lt;&gt;"UC-ID specific",K519=""),"Condition UC-ID required",IF(ISNUMBER(SEARCH(","&amp;SUBSTITUTE(K519," ","")&amp;",",","&amp;SUBSTITUTE(INDEX('Gate events'!$O$4:$O$553,MATCH(B519,'Gate events'!$A$4:$A$553,0))," ","")&amp;",")),"","UC-ID differs from decision")),IF(INDEX('Gate events'!$P$4:$P$553,MATCH(B519,'Gate events'!$A$4:$A$553,0))="Shared system baseline",IF(OR(L519&lt;&gt;"Shared system baseline",K519&lt;&gt;""),"Condition scope differs from decision",""),"Parent decision scope missing")),IF(OR(D519="",E519="",F519="",G519=""),"Condition, owner, due date or state missing",IF(NOT(ISNUMBER(F519)),"Due date is not a date",IF(OR(G519="Overdue",G519="Superseded"),"Legacy state — owner review (use the shared five states)",IF(INDEX('Gate events'!$E$4:$E$553,MATCH(B519,'Gate events'!$A$4:$A$553,0))&lt;&gt;"Decision","Parent event is not a Decision",IF(AND(INDEX('Gate events'!$G$4:$G$553,MATCH(B519,'Gate events'!$A$4:$A$553,0))&lt;&gt;"Progress with condition",INDEX('Gate events'!$G$4:$G$553,MATCH(B519,'Gate events'!$A$4:$A$553,0))&lt;&gt;"Re-authorise",INDEX('Gate events'!$G$4:$G$553,MATCH(B519,'Gate events'!$A$4:$A$553,0))&lt;&gt;"Resume"),"Parent outcome is not Progress with condition / Re-authorise / Resume",IF(AND(ISNUMBER(INDEX('Gate events'!$F$4:$F$553,MATCH(B519,'Gate events'!$A$4:$A$553,0))),F519&lt;INDEX('Gate events'!$F$4:$F$553,MATCH(B519,'Gate events'!$A$4:$A$553,0))),"Due date before parent event date",IF(AND(OR(G519="Closed-verified",G519="Waived",G519="Accepted-open"),OR(H519="",I519="")),"Closure evidence missing",IF(AND(H519&lt;&gt;"",NOT(ISNUMBER(H519))),"Closed / waived on is not a date",IF(AND(ISNUMBER(H519),ISNUMBER(INDEX('Gate events'!$F$4:$F$553,MATCH(B519,'Gate events'!$A$4:$A$553,0))),H519&lt;INDEX('Gate events'!$F$4:$F$553,MATCH(B519,'Gate events'!$A$4:$A$553,0))),"Closure date before parent event date",IF(AND(G519="Closed-verified",M519=""),"Verifier / date missing",IF(AND(N519="Yes",G519="Closed-verified",O519=""),"Monitoring condition needs AIG-OPS-02 evidence ref",IF(AND(G519="Open",F519&lt;TODAY()),"OVERDUE (derived) — review",IF(G519="Unknown","State Unknown: owner to confirm","Check against source")))))))))))))))))))</f>
        <v/>
      </c>
      <c r="K519" s="37" t="n"/>
      <c r="L519" s="37" t="n"/>
      <c r="M519" s="40" t="n"/>
      <c r="N519" s="40" t="n"/>
      <c r="O519" s="40" t="n"/>
    </row>
    <row r="520">
      <c r="A520" s="38" t="n"/>
      <c r="B520" s="38" t="n"/>
      <c r="C520" s="38" t="n"/>
      <c r="D520" s="38" t="n"/>
      <c r="E520" s="38" t="n"/>
      <c r="F520" s="39" t="n"/>
      <c r="G520" s="38" t="n"/>
      <c r="H520" s="39" t="n"/>
      <c r="I520" s="38" t="n"/>
      <c r="J520" s="22">
        <f>IF(COUNTA(A520:I520,K520:O520)=0,"",IF(OR(A520="",B520="",C520=""),"ID / parent missing",IF(COUNTIF($A$4:$A$553,A520)&gt;1,"Duplicate condition ID",IF(COUNTIF('Gate events'!$A$4:$A$553,B520)=0,"Event ID not found",IF(INDEX('Gate events'!$B$4:$B$553,MATCH(B520,'Gate events'!$A$4:$A$553,0))&lt;&gt;C520,"AIR-ID differs from event",IF(IF(INDEX('Gate events'!$P$4:$P$553,MATCH(B520,'Gate events'!$A$4:$A$553,0))="UC-ID specific",IF(OR(L520&lt;&gt;"UC-ID specific",K520=""),"Condition UC-ID required",IF(ISNUMBER(SEARCH(","&amp;SUBSTITUTE(K520," ","")&amp;",",","&amp;SUBSTITUTE(INDEX('Gate events'!$O$4:$O$553,MATCH(B520,'Gate events'!$A$4:$A$553,0))," ","")&amp;",")),"","UC-ID differs from decision")),IF(INDEX('Gate events'!$P$4:$P$553,MATCH(B520,'Gate events'!$A$4:$A$553,0))="Shared system baseline",IF(OR(L520&lt;&gt;"Shared system baseline",K520&lt;&gt;""),"Condition scope differs from decision",""),"Parent decision scope missing"))&lt;&gt;"",IF(INDEX('Gate events'!$P$4:$P$553,MATCH(B520,'Gate events'!$A$4:$A$553,0))="UC-ID specific",IF(OR(L520&lt;&gt;"UC-ID specific",K520=""),"Condition UC-ID required",IF(ISNUMBER(SEARCH(","&amp;SUBSTITUTE(K520," ","")&amp;",",","&amp;SUBSTITUTE(INDEX('Gate events'!$O$4:$O$553,MATCH(B520,'Gate events'!$A$4:$A$553,0))," ","")&amp;",")),"","UC-ID differs from decision")),IF(INDEX('Gate events'!$P$4:$P$553,MATCH(B520,'Gate events'!$A$4:$A$553,0))="Shared system baseline",IF(OR(L520&lt;&gt;"Shared system baseline",K520&lt;&gt;""),"Condition scope differs from decision",""),"Parent decision scope missing")),IF(OR(D520="",E520="",F520="",G520=""),"Condition, owner, due date or state missing",IF(NOT(ISNUMBER(F520)),"Due date is not a date",IF(OR(G520="Overdue",G520="Superseded"),"Legacy state — owner review (use the shared five states)",IF(INDEX('Gate events'!$E$4:$E$553,MATCH(B520,'Gate events'!$A$4:$A$553,0))&lt;&gt;"Decision","Parent event is not a Decision",IF(AND(INDEX('Gate events'!$G$4:$G$553,MATCH(B520,'Gate events'!$A$4:$A$553,0))&lt;&gt;"Progress with condition",INDEX('Gate events'!$G$4:$G$553,MATCH(B520,'Gate events'!$A$4:$A$553,0))&lt;&gt;"Re-authorise",INDEX('Gate events'!$G$4:$G$553,MATCH(B520,'Gate events'!$A$4:$A$553,0))&lt;&gt;"Resume"),"Parent outcome is not Progress with condition / Re-authorise / Resume",IF(AND(ISNUMBER(INDEX('Gate events'!$F$4:$F$553,MATCH(B520,'Gate events'!$A$4:$A$553,0))),F520&lt;INDEX('Gate events'!$F$4:$F$553,MATCH(B520,'Gate events'!$A$4:$A$553,0))),"Due date before parent event date",IF(AND(OR(G520="Closed-verified",G520="Waived",G520="Accepted-open"),OR(H520="",I520="")),"Closure evidence missing",IF(AND(H520&lt;&gt;"",NOT(ISNUMBER(H520))),"Closed / waived on is not a date",IF(AND(ISNUMBER(H520),ISNUMBER(INDEX('Gate events'!$F$4:$F$553,MATCH(B520,'Gate events'!$A$4:$A$553,0))),H520&lt;INDEX('Gate events'!$F$4:$F$553,MATCH(B520,'Gate events'!$A$4:$A$553,0))),"Closure date before parent event date",IF(AND(G520="Closed-verified",M520=""),"Verifier / date missing",IF(AND(N520="Yes",G520="Closed-verified",O520=""),"Monitoring condition needs AIG-OPS-02 evidence ref",IF(AND(G520="Open",F520&lt;TODAY()),"OVERDUE (derived) — review",IF(G520="Unknown","State Unknown: owner to confirm","Check against source")))))))))))))))))))</f>
        <v/>
      </c>
      <c r="K520" s="37" t="n"/>
      <c r="L520" s="37" t="n"/>
      <c r="M520" s="38" t="n"/>
      <c r="N520" s="38" t="n"/>
      <c r="O520" s="38" t="n"/>
    </row>
    <row r="521">
      <c r="A521" s="40" t="n"/>
      <c r="B521" s="40" t="n"/>
      <c r="C521" s="40" t="n"/>
      <c r="D521" s="40" t="n"/>
      <c r="E521" s="40" t="n"/>
      <c r="F521" s="41" t="n"/>
      <c r="G521" s="40" t="n"/>
      <c r="H521" s="41" t="n"/>
      <c r="I521" s="40" t="n"/>
      <c r="J521" s="24">
        <f>IF(COUNTA(A521:I521,K521:O521)=0,"",IF(OR(A521="",B521="",C521=""),"ID / parent missing",IF(COUNTIF($A$4:$A$553,A521)&gt;1,"Duplicate condition ID",IF(COUNTIF('Gate events'!$A$4:$A$553,B521)=0,"Event ID not found",IF(INDEX('Gate events'!$B$4:$B$553,MATCH(B521,'Gate events'!$A$4:$A$553,0))&lt;&gt;C521,"AIR-ID differs from event",IF(IF(INDEX('Gate events'!$P$4:$P$553,MATCH(B521,'Gate events'!$A$4:$A$553,0))="UC-ID specific",IF(OR(L521&lt;&gt;"UC-ID specific",K521=""),"Condition UC-ID required",IF(ISNUMBER(SEARCH(","&amp;SUBSTITUTE(K521," ","")&amp;",",","&amp;SUBSTITUTE(INDEX('Gate events'!$O$4:$O$553,MATCH(B521,'Gate events'!$A$4:$A$553,0))," ","")&amp;",")),"","UC-ID differs from decision")),IF(INDEX('Gate events'!$P$4:$P$553,MATCH(B521,'Gate events'!$A$4:$A$553,0))="Shared system baseline",IF(OR(L521&lt;&gt;"Shared system baseline",K521&lt;&gt;""),"Condition scope differs from decision",""),"Parent decision scope missing"))&lt;&gt;"",IF(INDEX('Gate events'!$P$4:$P$553,MATCH(B521,'Gate events'!$A$4:$A$553,0))="UC-ID specific",IF(OR(L521&lt;&gt;"UC-ID specific",K521=""),"Condition UC-ID required",IF(ISNUMBER(SEARCH(","&amp;SUBSTITUTE(K521," ","")&amp;",",","&amp;SUBSTITUTE(INDEX('Gate events'!$O$4:$O$553,MATCH(B521,'Gate events'!$A$4:$A$553,0))," ","")&amp;",")),"","UC-ID differs from decision")),IF(INDEX('Gate events'!$P$4:$P$553,MATCH(B521,'Gate events'!$A$4:$A$553,0))="Shared system baseline",IF(OR(L521&lt;&gt;"Shared system baseline",K521&lt;&gt;""),"Condition scope differs from decision",""),"Parent decision scope missing")),IF(OR(D521="",E521="",F521="",G521=""),"Condition, owner, due date or state missing",IF(NOT(ISNUMBER(F521)),"Due date is not a date",IF(OR(G521="Overdue",G521="Superseded"),"Legacy state — owner review (use the shared five states)",IF(INDEX('Gate events'!$E$4:$E$553,MATCH(B521,'Gate events'!$A$4:$A$553,0))&lt;&gt;"Decision","Parent event is not a Decision",IF(AND(INDEX('Gate events'!$G$4:$G$553,MATCH(B521,'Gate events'!$A$4:$A$553,0))&lt;&gt;"Progress with condition",INDEX('Gate events'!$G$4:$G$553,MATCH(B521,'Gate events'!$A$4:$A$553,0))&lt;&gt;"Re-authorise",INDEX('Gate events'!$G$4:$G$553,MATCH(B521,'Gate events'!$A$4:$A$553,0))&lt;&gt;"Resume"),"Parent outcome is not Progress with condition / Re-authorise / Resume",IF(AND(ISNUMBER(INDEX('Gate events'!$F$4:$F$553,MATCH(B521,'Gate events'!$A$4:$A$553,0))),F521&lt;INDEX('Gate events'!$F$4:$F$553,MATCH(B521,'Gate events'!$A$4:$A$553,0))),"Due date before parent event date",IF(AND(OR(G521="Closed-verified",G521="Waived",G521="Accepted-open"),OR(H521="",I521="")),"Closure evidence missing",IF(AND(H521&lt;&gt;"",NOT(ISNUMBER(H521))),"Closed / waived on is not a date",IF(AND(ISNUMBER(H521),ISNUMBER(INDEX('Gate events'!$F$4:$F$553,MATCH(B521,'Gate events'!$A$4:$A$553,0))),H521&lt;INDEX('Gate events'!$F$4:$F$553,MATCH(B521,'Gate events'!$A$4:$A$553,0))),"Closure date before parent event date",IF(AND(G521="Closed-verified",M521=""),"Verifier / date missing",IF(AND(N521="Yes",G521="Closed-verified",O521=""),"Monitoring condition needs AIG-OPS-02 evidence ref",IF(AND(G521="Open",F521&lt;TODAY()),"OVERDUE (derived) — review",IF(G521="Unknown","State Unknown: owner to confirm","Check against source")))))))))))))))))))</f>
        <v/>
      </c>
      <c r="K521" s="37" t="n"/>
      <c r="L521" s="37" t="n"/>
      <c r="M521" s="40" t="n"/>
      <c r="N521" s="40" t="n"/>
      <c r="O521" s="40" t="n"/>
    </row>
    <row r="522">
      <c r="A522" s="38" t="n"/>
      <c r="B522" s="38" t="n"/>
      <c r="C522" s="38" t="n"/>
      <c r="D522" s="38" t="n"/>
      <c r="E522" s="38" t="n"/>
      <c r="F522" s="39" t="n"/>
      <c r="G522" s="38" t="n"/>
      <c r="H522" s="39" t="n"/>
      <c r="I522" s="38" t="n"/>
      <c r="J522" s="22">
        <f>IF(COUNTA(A522:I522,K522:O522)=0,"",IF(OR(A522="",B522="",C522=""),"ID / parent missing",IF(COUNTIF($A$4:$A$553,A522)&gt;1,"Duplicate condition ID",IF(COUNTIF('Gate events'!$A$4:$A$553,B522)=0,"Event ID not found",IF(INDEX('Gate events'!$B$4:$B$553,MATCH(B522,'Gate events'!$A$4:$A$553,0))&lt;&gt;C522,"AIR-ID differs from event",IF(IF(INDEX('Gate events'!$P$4:$P$553,MATCH(B522,'Gate events'!$A$4:$A$553,0))="UC-ID specific",IF(OR(L522&lt;&gt;"UC-ID specific",K522=""),"Condition UC-ID required",IF(ISNUMBER(SEARCH(","&amp;SUBSTITUTE(K522," ","")&amp;",",","&amp;SUBSTITUTE(INDEX('Gate events'!$O$4:$O$553,MATCH(B522,'Gate events'!$A$4:$A$553,0))," ","")&amp;",")),"","UC-ID differs from decision")),IF(INDEX('Gate events'!$P$4:$P$553,MATCH(B522,'Gate events'!$A$4:$A$553,0))="Shared system baseline",IF(OR(L522&lt;&gt;"Shared system baseline",K522&lt;&gt;""),"Condition scope differs from decision",""),"Parent decision scope missing"))&lt;&gt;"",IF(INDEX('Gate events'!$P$4:$P$553,MATCH(B522,'Gate events'!$A$4:$A$553,0))="UC-ID specific",IF(OR(L522&lt;&gt;"UC-ID specific",K522=""),"Condition UC-ID required",IF(ISNUMBER(SEARCH(","&amp;SUBSTITUTE(K522," ","")&amp;",",","&amp;SUBSTITUTE(INDEX('Gate events'!$O$4:$O$553,MATCH(B522,'Gate events'!$A$4:$A$553,0))," ","")&amp;",")),"","UC-ID differs from decision")),IF(INDEX('Gate events'!$P$4:$P$553,MATCH(B522,'Gate events'!$A$4:$A$553,0))="Shared system baseline",IF(OR(L522&lt;&gt;"Shared system baseline",K522&lt;&gt;""),"Condition scope differs from decision",""),"Parent decision scope missing")),IF(OR(D522="",E522="",F522="",G522=""),"Condition, owner, due date or state missing",IF(NOT(ISNUMBER(F522)),"Due date is not a date",IF(OR(G522="Overdue",G522="Superseded"),"Legacy state — owner review (use the shared five states)",IF(INDEX('Gate events'!$E$4:$E$553,MATCH(B522,'Gate events'!$A$4:$A$553,0))&lt;&gt;"Decision","Parent event is not a Decision",IF(AND(INDEX('Gate events'!$G$4:$G$553,MATCH(B522,'Gate events'!$A$4:$A$553,0))&lt;&gt;"Progress with condition",INDEX('Gate events'!$G$4:$G$553,MATCH(B522,'Gate events'!$A$4:$A$553,0))&lt;&gt;"Re-authorise",INDEX('Gate events'!$G$4:$G$553,MATCH(B522,'Gate events'!$A$4:$A$553,0))&lt;&gt;"Resume"),"Parent outcome is not Progress with condition / Re-authorise / Resume",IF(AND(ISNUMBER(INDEX('Gate events'!$F$4:$F$553,MATCH(B522,'Gate events'!$A$4:$A$553,0))),F522&lt;INDEX('Gate events'!$F$4:$F$553,MATCH(B522,'Gate events'!$A$4:$A$553,0))),"Due date before parent event date",IF(AND(OR(G522="Closed-verified",G522="Waived",G522="Accepted-open"),OR(H522="",I522="")),"Closure evidence missing",IF(AND(H522&lt;&gt;"",NOT(ISNUMBER(H522))),"Closed / waived on is not a date",IF(AND(ISNUMBER(H522),ISNUMBER(INDEX('Gate events'!$F$4:$F$553,MATCH(B522,'Gate events'!$A$4:$A$553,0))),H522&lt;INDEX('Gate events'!$F$4:$F$553,MATCH(B522,'Gate events'!$A$4:$A$553,0))),"Closure date before parent event date",IF(AND(G522="Closed-verified",M522=""),"Verifier / date missing",IF(AND(N522="Yes",G522="Closed-verified",O522=""),"Monitoring condition needs AIG-OPS-02 evidence ref",IF(AND(G522="Open",F522&lt;TODAY()),"OVERDUE (derived) — review",IF(G522="Unknown","State Unknown: owner to confirm","Check against source")))))))))))))))))))</f>
        <v/>
      </c>
      <c r="K522" s="37" t="n"/>
      <c r="L522" s="37" t="n"/>
      <c r="M522" s="38" t="n"/>
      <c r="N522" s="38" t="n"/>
      <c r="O522" s="38" t="n"/>
    </row>
    <row r="523">
      <c r="A523" s="40" t="n"/>
      <c r="B523" s="40" t="n"/>
      <c r="C523" s="40" t="n"/>
      <c r="D523" s="40" t="n"/>
      <c r="E523" s="40" t="n"/>
      <c r="F523" s="41" t="n"/>
      <c r="G523" s="40" t="n"/>
      <c r="H523" s="41" t="n"/>
      <c r="I523" s="40" t="n"/>
      <c r="J523" s="24">
        <f>IF(COUNTA(A523:I523,K523:O523)=0,"",IF(OR(A523="",B523="",C523=""),"ID / parent missing",IF(COUNTIF($A$4:$A$553,A523)&gt;1,"Duplicate condition ID",IF(COUNTIF('Gate events'!$A$4:$A$553,B523)=0,"Event ID not found",IF(INDEX('Gate events'!$B$4:$B$553,MATCH(B523,'Gate events'!$A$4:$A$553,0))&lt;&gt;C523,"AIR-ID differs from event",IF(IF(INDEX('Gate events'!$P$4:$P$553,MATCH(B523,'Gate events'!$A$4:$A$553,0))="UC-ID specific",IF(OR(L523&lt;&gt;"UC-ID specific",K523=""),"Condition UC-ID required",IF(ISNUMBER(SEARCH(","&amp;SUBSTITUTE(K523," ","")&amp;",",","&amp;SUBSTITUTE(INDEX('Gate events'!$O$4:$O$553,MATCH(B523,'Gate events'!$A$4:$A$553,0))," ","")&amp;",")),"","UC-ID differs from decision")),IF(INDEX('Gate events'!$P$4:$P$553,MATCH(B523,'Gate events'!$A$4:$A$553,0))="Shared system baseline",IF(OR(L523&lt;&gt;"Shared system baseline",K523&lt;&gt;""),"Condition scope differs from decision",""),"Parent decision scope missing"))&lt;&gt;"",IF(INDEX('Gate events'!$P$4:$P$553,MATCH(B523,'Gate events'!$A$4:$A$553,0))="UC-ID specific",IF(OR(L523&lt;&gt;"UC-ID specific",K523=""),"Condition UC-ID required",IF(ISNUMBER(SEARCH(","&amp;SUBSTITUTE(K523," ","")&amp;",",","&amp;SUBSTITUTE(INDEX('Gate events'!$O$4:$O$553,MATCH(B523,'Gate events'!$A$4:$A$553,0))," ","")&amp;",")),"","UC-ID differs from decision")),IF(INDEX('Gate events'!$P$4:$P$553,MATCH(B523,'Gate events'!$A$4:$A$553,0))="Shared system baseline",IF(OR(L523&lt;&gt;"Shared system baseline",K523&lt;&gt;""),"Condition scope differs from decision",""),"Parent decision scope missing")),IF(OR(D523="",E523="",F523="",G523=""),"Condition, owner, due date or state missing",IF(NOT(ISNUMBER(F523)),"Due date is not a date",IF(OR(G523="Overdue",G523="Superseded"),"Legacy state — owner review (use the shared five states)",IF(INDEX('Gate events'!$E$4:$E$553,MATCH(B523,'Gate events'!$A$4:$A$553,0))&lt;&gt;"Decision","Parent event is not a Decision",IF(AND(INDEX('Gate events'!$G$4:$G$553,MATCH(B523,'Gate events'!$A$4:$A$553,0))&lt;&gt;"Progress with condition",INDEX('Gate events'!$G$4:$G$553,MATCH(B523,'Gate events'!$A$4:$A$553,0))&lt;&gt;"Re-authorise",INDEX('Gate events'!$G$4:$G$553,MATCH(B523,'Gate events'!$A$4:$A$553,0))&lt;&gt;"Resume"),"Parent outcome is not Progress with condition / Re-authorise / Resume",IF(AND(ISNUMBER(INDEX('Gate events'!$F$4:$F$553,MATCH(B523,'Gate events'!$A$4:$A$553,0))),F523&lt;INDEX('Gate events'!$F$4:$F$553,MATCH(B523,'Gate events'!$A$4:$A$553,0))),"Due date before parent event date",IF(AND(OR(G523="Closed-verified",G523="Waived",G523="Accepted-open"),OR(H523="",I523="")),"Closure evidence missing",IF(AND(H523&lt;&gt;"",NOT(ISNUMBER(H523))),"Closed / waived on is not a date",IF(AND(ISNUMBER(H523),ISNUMBER(INDEX('Gate events'!$F$4:$F$553,MATCH(B523,'Gate events'!$A$4:$A$553,0))),H523&lt;INDEX('Gate events'!$F$4:$F$553,MATCH(B523,'Gate events'!$A$4:$A$553,0))),"Closure date before parent event date",IF(AND(G523="Closed-verified",M523=""),"Verifier / date missing",IF(AND(N523="Yes",G523="Closed-verified",O523=""),"Monitoring condition needs AIG-OPS-02 evidence ref",IF(AND(G523="Open",F523&lt;TODAY()),"OVERDUE (derived) — review",IF(G523="Unknown","State Unknown: owner to confirm","Check against source")))))))))))))))))))</f>
        <v/>
      </c>
      <c r="K523" s="37" t="n"/>
      <c r="L523" s="37" t="n"/>
      <c r="M523" s="40" t="n"/>
      <c r="N523" s="40" t="n"/>
      <c r="O523" s="40" t="n"/>
    </row>
    <row r="524">
      <c r="A524" s="38" t="n"/>
      <c r="B524" s="38" t="n"/>
      <c r="C524" s="38" t="n"/>
      <c r="D524" s="38" t="n"/>
      <c r="E524" s="38" t="n"/>
      <c r="F524" s="39" t="n"/>
      <c r="G524" s="38" t="n"/>
      <c r="H524" s="39" t="n"/>
      <c r="I524" s="38" t="n"/>
      <c r="J524" s="22">
        <f>IF(COUNTA(A524:I524,K524:O524)=0,"",IF(OR(A524="",B524="",C524=""),"ID / parent missing",IF(COUNTIF($A$4:$A$553,A524)&gt;1,"Duplicate condition ID",IF(COUNTIF('Gate events'!$A$4:$A$553,B524)=0,"Event ID not found",IF(INDEX('Gate events'!$B$4:$B$553,MATCH(B524,'Gate events'!$A$4:$A$553,0))&lt;&gt;C524,"AIR-ID differs from event",IF(IF(INDEX('Gate events'!$P$4:$P$553,MATCH(B524,'Gate events'!$A$4:$A$553,0))="UC-ID specific",IF(OR(L524&lt;&gt;"UC-ID specific",K524=""),"Condition UC-ID required",IF(ISNUMBER(SEARCH(","&amp;SUBSTITUTE(K524," ","")&amp;",",","&amp;SUBSTITUTE(INDEX('Gate events'!$O$4:$O$553,MATCH(B524,'Gate events'!$A$4:$A$553,0))," ","")&amp;",")),"","UC-ID differs from decision")),IF(INDEX('Gate events'!$P$4:$P$553,MATCH(B524,'Gate events'!$A$4:$A$553,0))="Shared system baseline",IF(OR(L524&lt;&gt;"Shared system baseline",K524&lt;&gt;""),"Condition scope differs from decision",""),"Parent decision scope missing"))&lt;&gt;"",IF(INDEX('Gate events'!$P$4:$P$553,MATCH(B524,'Gate events'!$A$4:$A$553,0))="UC-ID specific",IF(OR(L524&lt;&gt;"UC-ID specific",K524=""),"Condition UC-ID required",IF(ISNUMBER(SEARCH(","&amp;SUBSTITUTE(K524," ","")&amp;",",","&amp;SUBSTITUTE(INDEX('Gate events'!$O$4:$O$553,MATCH(B524,'Gate events'!$A$4:$A$553,0))," ","")&amp;",")),"","UC-ID differs from decision")),IF(INDEX('Gate events'!$P$4:$P$553,MATCH(B524,'Gate events'!$A$4:$A$553,0))="Shared system baseline",IF(OR(L524&lt;&gt;"Shared system baseline",K524&lt;&gt;""),"Condition scope differs from decision",""),"Parent decision scope missing")),IF(OR(D524="",E524="",F524="",G524=""),"Condition, owner, due date or state missing",IF(NOT(ISNUMBER(F524)),"Due date is not a date",IF(OR(G524="Overdue",G524="Superseded"),"Legacy state — owner review (use the shared five states)",IF(INDEX('Gate events'!$E$4:$E$553,MATCH(B524,'Gate events'!$A$4:$A$553,0))&lt;&gt;"Decision","Parent event is not a Decision",IF(AND(INDEX('Gate events'!$G$4:$G$553,MATCH(B524,'Gate events'!$A$4:$A$553,0))&lt;&gt;"Progress with condition",INDEX('Gate events'!$G$4:$G$553,MATCH(B524,'Gate events'!$A$4:$A$553,0))&lt;&gt;"Re-authorise",INDEX('Gate events'!$G$4:$G$553,MATCH(B524,'Gate events'!$A$4:$A$553,0))&lt;&gt;"Resume"),"Parent outcome is not Progress with condition / Re-authorise / Resume",IF(AND(ISNUMBER(INDEX('Gate events'!$F$4:$F$553,MATCH(B524,'Gate events'!$A$4:$A$553,0))),F524&lt;INDEX('Gate events'!$F$4:$F$553,MATCH(B524,'Gate events'!$A$4:$A$553,0))),"Due date before parent event date",IF(AND(OR(G524="Closed-verified",G524="Waived",G524="Accepted-open"),OR(H524="",I524="")),"Closure evidence missing",IF(AND(H524&lt;&gt;"",NOT(ISNUMBER(H524))),"Closed / waived on is not a date",IF(AND(ISNUMBER(H524),ISNUMBER(INDEX('Gate events'!$F$4:$F$553,MATCH(B524,'Gate events'!$A$4:$A$553,0))),H524&lt;INDEX('Gate events'!$F$4:$F$553,MATCH(B524,'Gate events'!$A$4:$A$553,0))),"Closure date before parent event date",IF(AND(G524="Closed-verified",M524=""),"Verifier / date missing",IF(AND(N524="Yes",G524="Closed-verified",O524=""),"Monitoring condition needs AIG-OPS-02 evidence ref",IF(AND(G524="Open",F524&lt;TODAY()),"OVERDUE (derived) — review",IF(G524="Unknown","State Unknown: owner to confirm","Check against source")))))))))))))))))))</f>
        <v/>
      </c>
      <c r="K524" s="37" t="n"/>
      <c r="L524" s="37" t="n"/>
      <c r="M524" s="38" t="n"/>
      <c r="N524" s="38" t="n"/>
      <c r="O524" s="38" t="n"/>
    </row>
    <row r="525">
      <c r="A525" s="40" t="n"/>
      <c r="B525" s="40" t="n"/>
      <c r="C525" s="40" t="n"/>
      <c r="D525" s="40" t="n"/>
      <c r="E525" s="40" t="n"/>
      <c r="F525" s="41" t="n"/>
      <c r="G525" s="40" t="n"/>
      <c r="H525" s="41" t="n"/>
      <c r="I525" s="40" t="n"/>
      <c r="J525" s="24">
        <f>IF(COUNTA(A525:I525,K525:O525)=0,"",IF(OR(A525="",B525="",C525=""),"ID / parent missing",IF(COUNTIF($A$4:$A$553,A525)&gt;1,"Duplicate condition ID",IF(COUNTIF('Gate events'!$A$4:$A$553,B525)=0,"Event ID not found",IF(INDEX('Gate events'!$B$4:$B$553,MATCH(B525,'Gate events'!$A$4:$A$553,0))&lt;&gt;C525,"AIR-ID differs from event",IF(IF(INDEX('Gate events'!$P$4:$P$553,MATCH(B525,'Gate events'!$A$4:$A$553,0))="UC-ID specific",IF(OR(L525&lt;&gt;"UC-ID specific",K525=""),"Condition UC-ID required",IF(ISNUMBER(SEARCH(","&amp;SUBSTITUTE(K525," ","")&amp;",",","&amp;SUBSTITUTE(INDEX('Gate events'!$O$4:$O$553,MATCH(B525,'Gate events'!$A$4:$A$553,0))," ","")&amp;",")),"","UC-ID differs from decision")),IF(INDEX('Gate events'!$P$4:$P$553,MATCH(B525,'Gate events'!$A$4:$A$553,0))="Shared system baseline",IF(OR(L525&lt;&gt;"Shared system baseline",K525&lt;&gt;""),"Condition scope differs from decision",""),"Parent decision scope missing"))&lt;&gt;"",IF(INDEX('Gate events'!$P$4:$P$553,MATCH(B525,'Gate events'!$A$4:$A$553,0))="UC-ID specific",IF(OR(L525&lt;&gt;"UC-ID specific",K525=""),"Condition UC-ID required",IF(ISNUMBER(SEARCH(","&amp;SUBSTITUTE(K525," ","")&amp;",",","&amp;SUBSTITUTE(INDEX('Gate events'!$O$4:$O$553,MATCH(B525,'Gate events'!$A$4:$A$553,0))," ","")&amp;",")),"","UC-ID differs from decision")),IF(INDEX('Gate events'!$P$4:$P$553,MATCH(B525,'Gate events'!$A$4:$A$553,0))="Shared system baseline",IF(OR(L525&lt;&gt;"Shared system baseline",K525&lt;&gt;""),"Condition scope differs from decision",""),"Parent decision scope missing")),IF(OR(D525="",E525="",F525="",G525=""),"Condition, owner, due date or state missing",IF(NOT(ISNUMBER(F525)),"Due date is not a date",IF(OR(G525="Overdue",G525="Superseded"),"Legacy state — owner review (use the shared five states)",IF(INDEX('Gate events'!$E$4:$E$553,MATCH(B525,'Gate events'!$A$4:$A$553,0))&lt;&gt;"Decision","Parent event is not a Decision",IF(AND(INDEX('Gate events'!$G$4:$G$553,MATCH(B525,'Gate events'!$A$4:$A$553,0))&lt;&gt;"Progress with condition",INDEX('Gate events'!$G$4:$G$553,MATCH(B525,'Gate events'!$A$4:$A$553,0))&lt;&gt;"Re-authorise",INDEX('Gate events'!$G$4:$G$553,MATCH(B525,'Gate events'!$A$4:$A$553,0))&lt;&gt;"Resume"),"Parent outcome is not Progress with condition / Re-authorise / Resume",IF(AND(ISNUMBER(INDEX('Gate events'!$F$4:$F$553,MATCH(B525,'Gate events'!$A$4:$A$553,0))),F525&lt;INDEX('Gate events'!$F$4:$F$553,MATCH(B525,'Gate events'!$A$4:$A$553,0))),"Due date before parent event date",IF(AND(OR(G525="Closed-verified",G525="Waived",G525="Accepted-open"),OR(H525="",I525="")),"Closure evidence missing",IF(AND(H525&lt;&gt;"",NOT(ISNUMBER(H525))),"Closed / waived on is not a date",IF(AND(ISNUMBER(H525),ISNUMBER(INDEX('Gate events'!$F$4:$F$553,MATCH(B525,'Gate events'!$A$4:$A$553,0))),H525&lt;INDEX('Gate events'!$F$4:$F$553,MATCH(B525,'Gate events'!$A$4:$A$553,0))),"Closure date before parent event date",IF(AND(G525="Closed-verified",M525=""),"Verifier / date missing",IF(AND(N525="Yes",G525="Closed-verified",O525=""),"Monitoring condition needs AIG-OPS-02 evidence ref",IF(AND(G525="Open",F525&lt;TODAY()),"OVERDUE (derived) — review",IF(G525="Unknown","State Unknown: owner to confirm","Check against source")))))))))))))))))))</f>
        <v/>
      </c>
      <c r="K525" s="37" t="n"/>
      <c r="L525" s="37" t="n"/>
      <c r="M525" s="40" t="n"/>
      <c r="N525" s="40" t="n"/>
      <c r="O525" s="40" t="n"/>
    </row>
    <row r="526">
      <c r="A526" s="38" t="n"/>
      <c r="B526" s="38" t="n"/>
      <c r="C526" s="38" t="n"/>
      <c r="D526" s="38" t="n"/>
      <c r="E526" s="38" t="n"/>
      <c r="F526" s="39" t="n"/>
      <c r="G526" s="38" t="n"/>
      <c r="H526" s="39" t="n"/>
      <c r="I526" s="38" t="n"/>
      <c r="J526" s="22">
        <f>IF(COUNTA(A526:I526,K526:O526)=0,"",IF(OR(A526="",B526="",C526=""),"ID / parent missing",IF(COUNTIF($A$4:$A$553,A526)&gt;1,"Duplicate condition ID",IF(COUNTIF('Gate events'!$A$4:$A$553,B526)=0,"Event ID not found",IF(INDEX('Gate events'!$B$4:$B$553,MATCH(B526,'Gate events'!$A$4:$A$553,0))&lt;&gt;C526,"AIR-ID differs from event",IF(IF(INDEX('Gate events'!$P$4:$P$553,MATCH(B526,'Gate events'!$A$4:$A$553,0))="UC-ID specific",IF(OR(L526&lt;&gt;"UC-ID specific",K526=""),"Condition UC-ID required",IF(ISNUMBER(SEARCH(","&amp;SUBSTITUTE(K526," ","")&amp;",",","&amp;SUBSTITUTE(INDEX('Gate events'!$O$4:$O$553,MATCH(B526,'Gate events'!$A$4:$A$553,0))," ","")&amp;",")),"","UC-ID differs from decision")),IF(INDEX('Gate events'!$P$4:$P$553,MATCH(B526,'Gate events'!$A$4:$A$553,0))="Shared system baseline",IF(OR(L526&lt;&gt;"Shared system baseline",K526&lt;&gt;""),"Condition scope differs from decision",""),"Parent decision scope missing"))&lt;&gt;"",IF(INDEX('Gate events'!$P$4:$P$553,MATCH(B526,'Gate events'!$A$4:$A$553,0))="UC-ID specific",IF(OR(L526&lt;&gt;"UC-ID specific",K526=""),"Condition UC-ID required",IF(ISNUMBER(SEARCH(","&amp;SUBSTITUTE(K526," ","")&amp;",",","&amp;SUBSTITUTE(INDEX('Gate events'!$O$4:$O$553,MATCH(B526,'Gate events'!$A$4:$A$553,0))," ","")&amp;",")),"","UC-ID differs from decision")),IF(INDEX('Gate events'!$P$4:$P$553,MATCH(B526,'Gate events'!$A$4:$A$553,0))="Shared system baseline",IF(OR(L526&lt;&gt;"Shared system baseline",K526&lt;&gt;""),"Condition scope differs from decision",""),"Parent decision scope missing")),IF(OR(D526="",E526="",F526="",G526=""),"Condition, owner, due date or state missing",IF(NOT(ISNUMBER(F526)),"Due date is not a date",IF(OR(G526="Overdue",G526="Superseded"),"Legacy state — owner review (use the shared five states)",IF(INDEX('Gate events'!$E$4:$E$553,MATCH(B526,'Gate events'!$A$4:$A$553,0))&lt;&gt;"Decision","Parent event is not a Decision",IF(AND(INDEX('Gate events'!$G$4:$G$553,MATCH(B526,'Gate events'!$A$4:$A$553,0))&lt;&gt;"Progress with condition",INDEX('Gate events'!$G$4:$G$553,MATCH(B526,'Gate events'!$A$4:$A$553,0))&lt;&gt;"Re-authorise",INDEX('Gate events'!$G$4:$G$553,MATCH(B526,'Gate events'!$A$4:$A$553,0))&lt;&gt;"Resume"),"Parent outcome is not Progress with condition / Re-authorise / Resume",IF(AND(ISNUMBER(INDEX('Gate events'!$F$4:$F$553,MATCH(B526,'Gate events'!$A$4:$A$553,0))),F526&lt;INDEX('Gate events'!$F$4:$F$553,MATCH(B526,'Gate events'!$A$4:$A$553,0))),"Due date before parent event date",IF(AND(OR(G526="Closed-verified",G526="Waived",G526="Accepted-open"),OR(H526="",I526="")),"Closure evidence missing",IF(AND(H526&lt;&gt;"",NOT(ISNUMBER(H526))),"Closed / waived on is not a date",IF(AND(ISNUMBER(H526),ISNUMBER(INDEX('Gate events'!$F$4:$F$553,MATCH(B526,'Gate events'!$A$4:$A$553,0))),H526&lt;INDEX('Gate events'!$F$4:$F$553,MATCH(B526,'Gate events'!$A$4:$A$553,0))),"Closure date before parent event date",IF(AND(G526="Closed-verified",M526=""),"Verifier / date missing",IF(AND(N526="Yes",G526="Closed-verified",O526=""),"Monitoring condition needs AIG-OPS-02 evidence ref",IF(AND(G526="Open",F526&lt;TODAY()),"OVERDUE (derived) — review",IF(G526="Unknown","State Unknown: owner to confirm","Check against source")))))))))))))))))))</f>
        <v/>
      </c>
      <c r="K526" s="37" t="n"/>
      <c r="L526" s="37" t="n"/>
      <c r="M526" s="38" t="n"/>
      <c r="N526" s="38" t="n"/>
      <c r="O526" s="38" t="n"/>
    </row>
    <row r="527">
      <c r="A527" s="40" t="n"/>
      <c r="B527" s="40" t="n"/>
      <c r="C527" s="40" t="n"/>
      <c r="D527" s="40" t="n"/>
      <c r="E527" s="40" t="n"/>
      <c r="F527" s="41" t="n"/>
      <c r="G527" s="40" t="n"/>
      <c r="H527" s="41" t="n"/>
      <c r="I527" s="40" t="n"/>
      <c r="J527" s="24">
        <f>IF(COUNTA(A527:I527,K527:O527)=0,"",IF(OR(A527="",B527="",C527=""),"ID / parent missing",IF(COUNTIF($A$4:$A$553,A527)&gt;1,"Duplicate condition ID",IF(COUNTIF('Gate events'!$A$4:$A$553,B527)=0,"Event ID not found",IF(INDEX('Gate events'!$B$4:$B$553,MATCH(B527,'Gate events'!$A$4:$A$553,0))&lt;&gt;C527,"AIR-ID differs from event",IF(IF(INDEX('Gate events'!$P$4:$P$553,MATCH(B527,'Gate events'!$A$4:$A$553,0))="UC-ID specific",IF(OR(L527&lt;&gt;"UC-ID specific",K527=""),"Condition UC-ID required",IF(ISNUMBER(SEARCH(","&amp;SUBSTITUTE(K527," ","")&amp;",",","&amp;SUBSTITUTE(INDEX('Gate events'!$O$4:$O$553,MATCH(B527,'Gate events'!$A$4:$A$553,0))," ","")&amp;",")),"","UC-ID differs from decision")),IF(INDEX('Gate events'!$P$4:$P$553,MATCH(B527,'Gate events'!$A$4:$A$553,0))="Shared system baseline",IF(OR(L527&lt;&gt;"Shared system baseline",K527&lt;&gt;""),"Condition scope differs from decision",""),"Parent decision scope missing"))&lt;&gt;"",IF(INDEX('Gate events'!$P$4:$P$553,MATCH(B527,'Gate events'!$A$4:$A$553,0))="UC-ID specific",IF(OR(L527&lt;&gt;"UC-ID specific",K527=""),"Condition UC-ID required",IF(ISNUMBER(SEARCH(","&amp;SUBSTITUTE(K527," ","")&amp;",",","&amp;SUBSTITUTE(INDEX('Gate events'!$O$4:$O$553,MATCH(B527,'Gate events'!$A$4:$A$553,0))," ","")&amp;",")),"","UC-ID differs from decision")),IF(INDEX('Gate events'!$P$4:$P$553,MATCH(B527,'Gate events'!$A$4:$A$553,0))="Shared system baseline",IF(OR(L527&lt;&gt;"Shared system baseline",K527&lt;&gt;""),"Condition scope differs from decision",""),"Parent decision scope missing")),IF(OR(D527="",E527="",F527="",G527=""),"Condition, owner, due date or state missing",IF(NOT(ISNUMBER(F527)),"Due date is not a date",IF(OR(G527="Overdue",G527="Superseded"),"Legacy state — owner review (use the shared five states)",IF(INDEX('Gate events'!$E$4:$E$553,MATCH(B527,'Gate events'!$A$4:$A$553,0))&lt;&gt;"Decision","Parent event is not a Decision",IF(AND(INDEX('Gate events'!$G$4:$G$553,MATCH(B527,'Gate events'!$A$4:$A$553,0))&lt;&gt;"Progress with condition",INDEX('Gate events'!$G$4:$G$553,MATCH(B527,'Gate events'!$A$4:$A$553,0))&lt;&gt;"Re-authorise",INDEX('Gate events'!$G$4:$G$553,MATCH(B527,'Gate events'!$A$4:$A$553,0))&lt;&gt;"Resume"),"Parent outcome is not Progress with condition / Re-authorise / Resume",IF(AND(ISNUMBER(INDEX('Gate events'!$F$4:$F$553,MATCH(B527,'Gate events'!$A$4:$A$553,0))),F527&lt;INDEX('Gate events'!$F$4:$F$553,MATCH(B527,'Gate events'!$A$4:$A$553,0))),"Due date before parent event date",IF(AND(OR(G527="Closed-verified",G527="Waived",G527="Accepted-open"),OR(H527="",I527="")),"Closure evidence missing",IF(AND(H527&lt;&gt;"",NOT(ISNUMBER(H527))),"Closed / waived on is not a date",IF(AND(ISNUMBER(H527),ISNUMBER(INDEX('Gate events'!$F$4:$F$553,MATCH(B527,'Gate events'!$A$4:$A$553,0))),H527&lt;INDEX('Gate events'!$F$4:$F$553,MATCH(B527,'Gate events'!$A$4:$A$553,0))),"Closure date before parent event date",IF(AND(G527="Closed-verified",M527=""),"Verifier / date missing",IF(AND(N527="Yes",G527="Closed-verified",O527=""),"Monitoring condition needs AIG-OPS-02 evidence ref",IF(AND(G527="Open",F527&lt;TODAY()),"OVERDUE (derived) — review",IF(G527="Unknown","State Unknown: owner to confirm","Check against source")))))))))))))))))))</f>
        <v/>
      </c>
      <c r="K527" s="37" t="n"/>
      <c r="L527" s="37" t="n"/>
      <c r="M527" s="40" t="n"/>
      <c r="N527" s="40" t="n"/>
      <c r="O527" s="40" t="n"/>
    </row>
    <row r="528">
      <c r="A528" s="38" t="n"/>
      <c r="B528" s="38" t="n"/>
      <c r="C528" s="38" t="n"/>
      <c r="D528" s="38" t="n"/>
      <c r="E528" s="38" t="n"/>
      <c r="F528" s="39" t="n"/>
      <c r="G528" s="38" t="n"/>
      <c r="H528" s="39" t="n"/>
      <c r="I528" s="38" t="n"/>
      <c r="J528" s="22">
        <f>IF(COUNTA(A528:I528,K528:O528)=0,"",IF(OR(A528="",B528="",C528=""),"ID / parent missing",IF(COUNTIF($A$4:$A$553,A528)&gt;1,"Duplicate condition ID",IF(COUNTIF('Gate events'!$A$4:$A$553,B528)=0,"Event ID not found",IF(INDEX('Gate events'!$B$4:$B$553,MATCH(B528,'Gate events'!$A$4:$A$553,0))&lt;&gt;C528,"AIR-ID differs from event",IF(IF(INDEX('Gate events'!$P$4:$P$553,MATCH(B528,'Gate events'!$A$4:$A$553,0))="UC-ID specific",IF(OR(L528&lt;&gt;"UC-ID specific",K528=""),"Condition UC-ID required",IF(ISNUMBER(SEARCH(","&amp;SUBSTITUTE(K528," ","")&amp;",",","&amp;SUBSTITUTE(INDEX('Gate events'!$O$4:$O$553,MATCH(B528,'Gate events'!$A$4:$A$553,0))," ","")&amp;",")),"","UC-ID differs from decision")),IF(INDEX('Gate events'!$P$4:$P$553,MATCH(B528,'Gate events'!$A$4:$A$553,0))="Shared system baseline",IF(OR(L528&lt;&gt;"Shared system baseline",K528&lt;&gt;""),"Condition scope differs from decision",""),"Parent decision scope missing"))&lt;&gt;"",IF(INDEX('Gate events'!$P$4:$P$553,MATCH(B528,'Gate events'!$A$4:$A$553,0))="UC-ID specific",IF(OR(L528&lt;&gt;"UC-ID specific",K528=""),"Condition UC-ID required",IF(ISNUMBER(SEARCH(","&amp;SUBSTITUTE(K528," ","")&amp;",",","&amp;SUBSTITUTE(INDEX('Gate events'!$O$4:$O$553,MATCH(B528,'Gate events'!$A$4:$A$553,0))," ","")&amp;",")),"","UC-ID differs from decision")),IF(INDEX('Gate events'!$P$4:$P$553,MATCH(B528,'Gate events'!$A$4:$A$553,0))="Shared system baseline",IF(OR(L528&lt;&gt;"Shared system baseline",K528&lt;&gt;""),"Condition scope differs from decision",""),"Parent decision scope missing")),IF(OR(D528="",E528="",F528="",G528=""),"Condition, owner, due date or state missing",IF(NOT(ISNUMBER(F528)),"Due date is not a date",IF(OR(G528="Overdue",G528="Superseded"),"Legacy state — owner review (use the shared five states)",IF(INDEX('Gate events'!$E$4:$E$553,MATCH(B528,'Gate events'!$A$4:$A$553,0))&lt;&gt;"Decision","Parent event is not a Decision",IF(AND(INDEX('Gate events'!$G$4:$G$553,MATCH(B528,'Gate events'!$A$4:$A$553,0))&lt;&gt;"Progress with condition",INDEX('Gate events'!$G$4:$G$553,MATCH(B528,'Gate events'!$A$4:$A$553,0))&lt;&gt;"Re-authorise",INDEX('Gate events'!$G$4:$G$553,MATCH(B528,'Gate events'!$A$4:$A$553,0))&lt;&gt;"Resume"),"Parent outcome is not Progress with condition / Re-authorise / Resume",IF(AND(ISNUMBER(INDEX('Gate events'!$F$4:$F$553,MATCH(B528,'Gate events'!$A$4:$A$553,0))),F528&lt;INDEX('Gate events'!$F$4:$F$553,MATCH(B528,'Gate events'!$A$4:$A$553,0))),"Due date before parent event date",IF(AND(OR(G528="Closed-verified",G528="Waived",G528="Accepted-open"),OR(H528="",I528="")),"Closure evidence missing",IF(AND(H528&lt;&gt;"",NOT(ISNUMBER(H528))),"Closed / waived on is not a date",IF(AND(ISNUMBER(H528),ISNUMBER(INDEX('Gate events'!$F$4:$F$553,MATCH(B528,'Gate events'!$A$4:$A$553,0))),H528&lt;INDEX('Gate events'!$F$4:$F$553,MATCH(B528,'Gate events'!$A$4:$A$553,0))),"Closure date before parent event date",IF(AND(G528="Closed-verified",M528=""),"Verifier / date missing",IF(AND(N528="Yes",G528="Closed-verified",O528=""),"Monitoring condition needs AIG-OPS-02 evidence ref",IF(AND(G528="Open",F528&lt;TODAY()),"OVERDUE (derived) — review",IF(G528="Unknown","State Unknown: owner to confirm","Check against source")))))))))))))))))))</f>
        <v/>
      </c>
      <c r="K528" s="37" t="n"/>
      <c r="L528" s="37" t="n"/>
      <c r="M528" s="38" t="n"/>
      <c r="N528" s="38" t="n"/>
      <c r="O528" s="38" t="n"/>
    </row>
    <row r="529">
      <c r="A529" s="40" t="n"/>
      <c r="B529" s="40" t="n"/>
      <c r="C529" s="40" t="n"/>
      <c r="D529" s="40" t="n"/>
      <c r="E529" s="40" t="n"/>
      <c r="F529" s="41" t="n"/>
      <c r="G529" s="40" t="n"/>
      <c r="H529" s="41" t="n"/>
      <c r="I529" s="40" t="n"/>
      <c r="J529" s="24">
        <f>IF(COUNTA(A529:I529,K529:O529)=0,"",IF(OR(A529="",B529="",C529=""),"ID / parent missing",IF(COUNTIF($A$4:$A$553,A529)&gt;1,"Duplicate condition ID",IF(COUNTIF('Gate events'!$A$4:$A$553,B529)=0,"Event ID not found",IF(INDEX('Gate events'!$B$4:$B$553,MATCH(B529,'Gate events'!$A$4:$A$553,0))&lt;&gt;C529,"AIR-ID differs from event",IF(IF(INDEX('Gate events'!$P$4:$P$553,MATCH(B529,'Gate events'!$A$4:$A$553,0))="UC-ID specific",IF(OR(L529&lt;&gt;"UC-ID specific",K529=""),"Condition UC-ID required",IF(ISNUMBER(SEARCH(","&amp;SUBSTITUTE(K529," ","")&amp;",",","&amp;SUBSTITUTE(INDEX('Gate events'!$O$4:$O$553,MATCH(B529,'Gate events'!$A$4:$A$553,0))," ","")&amp;",")),"","UC-ID differs from decision")),IF(INDEX('Gate events'!$P$4:$P$553,MATCH(B529,'Gate events'!$A$4:$A$553,0))="Shared system baseline",IF(OR(L529&lt;&gt;"Shared system baseline",K529&lt;&gt;""),"Condition scope differs from decision",""),"Parent decision scope missing"))&lt;&gt;"",IF(INDEX('Gate events'!$P$4:$P$553,MATCH(B529,'Gate events'!$A$4:$A$553,0))="UC-ID specific",IF(OR(L529&lt;&gt;"UC-ID specific",K529=""),"Condition UC-ID required",IF(ISNUMBER(SEARCH(","&amp;SUBSTITUTE(K529," ","")&amp;",",","&amp;SUBSTITUTE(INDEX('Gate events'!$O$4:$O$553,MATCH(B529,'Gate events'!$A$4:$A$553,0))," ","")&amp;",")),"","UC-ID differs from decision")),IF(INDEX('Gate events'!$P$4:$P$553,MATCH(B529,'Gate events'!$A$4:$A$553,0))="Shared system baseline",IF(OR(L529&lt;&gt;"Shared system baseline",K529&lt;&gt;""),"Condition scope differs from decision",""),"Parent decision scope missing")),IF(OR(D529="",E529="",F529="",G529=""),"Condition, owner, due date or state missing",IF(NOT(ISNUMBER(F529)),"Due date is not a date",IF(OR(G529="Overdue",G529="Superseded"),"Legacy state — owner review (use the shared five states)",IF(INDEX('Gate events'!$E$4:$E$553,MATCH(B529,'Gate events'!$A$4:$A$553,0))&lt;&gt;"Decision","Parent event is not a Decision",IF(AND(INDEX('Gate events'!$G$4:$G$553,MATCH(B529,'Gate events'!$A$4:$A$553,0))&lt;&gt;"Progress with condition",INDEX('Gate events'!$G$4:$G$553,MATCH(B529,'Gate events'!$A$4:$A$553,0))&lt;&gt;"Re-authorise",INDEX('Gate events'!$G$4:$G$553,MATCH(B529,'Gate events'!$A$4:$A$553,0))&lt;&gt;"Resume"),"Parent outcome is not Progress with condition / Re-authorise / Resume",IF(AND(ISNUMBER(INDEX('Gate events'!$F$4:$F$553,MATCH(B529,'Gate events'!$A$4:$A$553,0))),F529&lt;INDEX('Gate events'!$F$4:$F$553,MATCH(B529,'Gate events'!$A$4:$A$553,0))),"Due date before parent event date",IF(AND(OR(G529="Closed-verified",G529="Waived",G529="Accepted-open"),OR(H529="",I529="")),"Closure evidence missing",IF(AND(H529&lt;&gt;"",NOT(ISNUMBER(H529))),"Closed / waived on is not a date",IF(AND(ISNUMBER(H529),ISNUMBER(INDEX('Gate events'!$F$4:$F$553,MATCH(B529,'Gate events'!$A$4:$A$553,0))),H529&lt;INDEX('Gate events'!$F$4:$F$553,MATCH(B529,'Gate events'!$A$4:$A$553,0))),"Closure date before parent event date",IF(AND(G529="Closed-verified",M529=""),"Verifier / date missing",IF(AND(N529="Yes",G529="Closed-verified",O529=""),"Monitoring condition needs AIG-OPS-02 evidence ref",IF(AND(G529="Open",F529&lt;TODAY()),"OVERDUE (derived) — review",IF(G529="Unknown","State Unknown: owner to confirm","Check against source")))))))))))))))))))</f>
        <v/>
      </c>
      <c r="K529" s="37" t="n"/>
      <c r="L529" s="37" t="n"/>
      <c r="M529" s="40" t="n"/>
      <c r="N529" s="40" t="n"/>
      <c r="O529" s="40" t="n"/>
    </row>
    <row r="530">
      <c r="A530" s="38" t="n"/>
      <c r="B530" s="38" t="n"/>
      <c r="C530" s="38" t="n"/>
      <c r="D530" s="38" t="n"/>
      <c r="E530" s="38" t="n"/>
      <c r="F530" s="39" t="n"/>
      <c r="G530" s="38" t="n"/>
      <c r="H530" s="39" t="n"/>
      <c r="I530" s="38" t="n"/>
      <c r="J530" s="22">
        <f>IF(COUNTA(A530:I530,K530:O530)=0,"",IF(OR(A530="",B530="",C530=""),"ID / parent missing",IF(COUNTIF($A$4:$A$553,A530)&gt;1,"Duplicate condition ID",IF(COUNTIF('Gate events'!$A$4:$A$553,B530)=0,"Event ID not found",IF(INDEX('Gate events'!$B$4:$B$553,MATCH(B530,'Gate events'!$A$4:$A$553,0))&lt;&gt;C530,"AIR-ID differs from event",IF(IF(INDEX('Gate events'!$P$4:$P$553,MATCH(B530,'Gate events'!$A$4:$A$553,0))="UC-ID specific",IF(OR(L530&lt;&gt;"UC-ID specific",K530=""),"Condition UC-ID required",IF(ISNUMBER(SEARCH(","&amp;SUBSTITUTE(K530," ","")&amp;",",","&amp;SUBSTITUTE(INDEX('Gate events'!$O$4:$O$553,MATCH(B530,'Gate events'!$A$4:$A$553,0))," ","")&amp;",")),"","UC-ID differs from decision")),IF(INDEX('Gate events'!$P$4:$P$553,MATCH(B530,'Gate events'!$A$4:$A$553,0))="Shared system baseline",IF(OR(L530&lt;&gt;"Shared system baseline",K530&lt;&gt;""),"Condition scope differs from decision",""),"Parent decision scope missing"))&lt;&gt;"",IF(INDEX('Gate events'!$P$4:$P$553,MATCH(B530,'Gate events'!$A$4:$A$553,0))="UC-ID specific",IF(OR(L530&lt;&gt;"UC-ID specific",K530=""),"Condition UC-ID required",IF(ISNUMBER(SEARCH(","&amp;SUBSTITUTE(K530," ","")&amp;",",","&amp;SUBSTITUTE(INDEX('Gate events'!$O$4:$O$553,MATCH(B530,'Gate events'!$A$4:$A$553,0))," ","")&amp;",")),"","UC-ID differs from decision")),IF(INDEX('Gate events'!$P$4:$P$553,MATCH(B530,'Gate events'!$A$4:$A$553,0))="Shared system baseline",IF(OR(L530&lt;&gt;"Shared system baseline",K530&lt;&gt;""),"Condition scope differs from decision",""),"Parent decision scope missing")),IF(OR(D530="",E530="",F530="",G530=""),"Condition, owner, due date or state missing",IF(NOT(ISNUMBER(F530)),"Due date is not a date",IF(OR(G530="Overdue",G530="Superseded"),"Legacy state — owner review (use the shared five states)",IF(INDEX('Gate events'!$E$4:$E$553,MATCH(B530,'Gate events'!$A$4:$A$553,0))&lt;&gt;"Decision","Parent event is not a Decision",IF(AND(INDEX('Gate events'!$G$4:$G$553,MATCH(B530,'Gate events'!$A$4:$A$553,0))&lt;&gt;"Progress with condition",INDEX('Gate events'!$G$4:$G$553,MATCH(B530,'Gate events'!$A$4:$A$553,0))&lt;&gt;"Re-authorise",INDEX('Gate events'!$G$4:$G$553,MATCH(B530,'Gate events'!$A$4:$A$553,0))&lt;&gt;"Resume"),"Parent outcome is not Progress with condition / Re-authorise / Resume",IF(AND(ISNUMBER(INDEX('Gate events'!$F$4:$F$553,MATCH(B530,'Gate events'!$A$4:$A$553,0))),F530&lt;INDEX('Gate events'!$F$4:$F$553,MATCH(B530,'Gate events'!$A$4:$A$553,0))),"Due date before parent event date",IF(AND(OR(G530="Closed-verified",G530="Waived",G530="Accepted-open"),OR(H530="",I530="")),"Closure evidence missing",IF(AND(H530&lt;&gt;"",NOT(ISNUMBER(H530))),"Closed / waived on is not a date",IF(AND(ISNUMBER(H530),ISNUMBER(INDEX('Gate events'!$F$4:$F$553,MATCH(B530,'Gate events'!$A$4:$A$553,0))),H530&lt;INDEX('Gate events'!$F$4:$F$553,MATCH(B530,'Gate events'!$A$4:$A$553,0))),"Closure date before parent event date",IF(AND(G530="Closed-verified",M530=""),"Verifier / date missing",IF(AND(N530="Yes",G530="Closed-verified",O530=""),"Monitoring condition needs AIG-OPS-02 evidence ref",IF(AND(G530="Open",F530&lt;TODAY()),"OVERDUE (derived) — review",IF(G530="Unknown","State Unknown: owner to confirm","Check against source")))))))))))))))))))</f>
        <v/>
      </c>
      <c r="K530" s="37" t="n"/>
      <c r="L530" s="37" t="n"/>
      <c r="M530" s="38" t="n"/>
      <c r="N530" s="38" t="n"/>
      <c r="O530" s="38" t="n"/>
    </row>
    <row r="531">
      <c r="A531" s="40" t="n"/>
      <c r="B531" s="40" t="n"/>
      <c r="C531" s="40" t="n"/>
      <c r="D531" s="40" t="n"/>
      <c r="E531" s="40" t="n"/>
      <c r="F531" s="41" t="n"/>
      <c r="G531" s="40" t="n"/>
      <c r="H531" s="41" t="n"/>
      <c r="I531" s="40" t="n"/>
      <c r="J531" s="24">
        <f>IF(COUNTA(A531:I531,K531:O531)=0,"",IF(OR(A531="",B531="",C531=""),"ID / parent missing",IF(COUNTIF($A$4:$A$553,A531)&gt;1,"Duplicate condition ID",IF(COUNTIF('Gate events'!$A$4:$A$553,B531)=0,"Event ID not found",IF(INDEX('Gate events'!$B$4:$B$553,MATCH(B531,'Gate events'!$A$4:$A$553,0))&lt;&gt;C531,"AIR-ID differs from event",IF(IF(INDEX('Gate events'!$P$4:$P$553,MATCH(B531,'Gate events'!$A$4:$A$553,0))="UC-ID specific",IF(OR(L531&lt;&gt;"UC-ID specific",K531=""),"Condition UC-ID required",IF(ISNUMBER(SEARCH(","&amp;SUBSTITUTE(K531," ","")&amp;",",","&amp;SUBSTITUTE(INDEX('Gate events'!$O$4:$O$553,MATCH(B531,'Gate events'!$A$4:$A$553,0))," ","")&amp;",")),"","UC-ID differs from decision")),IF(INDEX('Gate events'!$P$4:$P$553,MATCH(B531,'Gate events'!$A$4:$A$553,0))="Shared system baseline",IF(OR(L531&lt;&gt;"Shared system baseline",K531&lt;&gt;""),"Condition scope differs from decision",""),"Parent decision scope missing"))&lt;&gt;"",IF(INDEX('Gate events'!$P$4:$P$553,MATCH(B531,'Gate events'!$A$4:$A$553,0))="UC-ID specific",IF(OR(L531&lt;&gt;"UC-ID specific",K531=""),"Condition UC-ID required",IF(ISNUMBER(SEARCH(","&amp;SUBSTITUTE(K531," ","")&amp;",",","&amp;SUBSTITUTE(INDEX('Gate events'!$O$4:$O$553,MATCH(B531,'Gate events'!$A$4:$A$553,0))," ","")&amp;",")),"","UC-ID differs from decision")),IF(INDEX('Gate events'!$P$4:$P$553,MATCH(B531,'Gate events'!$A$4:$A$553,0))="Shared system baseline",IF(OR(L531&lt;&gt;"Shared system baseline",K531&lt;&gt;""),"Condition scope differs from decision",""),"Parent decision scope missing")),IF(OR(D531="",E531="",F531="",G531=""),"Condition, owner, due date or state missing",IF(NOT(ISNUMBER(F531)),"Due date is not a date",IF(OR(G531="Overdue",G531="Superseded"),"Legacy state — owner review (use the shared five states)",IF(INDEX('Gate events'!$E$4:$E$553,MATCH(B531,'Gate events'!$A$4:$A$553,0))&lt;&gt;"Decision","Parent event is not a Decision",IF(AND(INDEX('Gate events'!$G$4:$G$553,MATCH(B531,'Gate events'!$A$4:$A$553,0))&lt;&gt;"Progress with condition",INDEX('Gate events'!$G$4:$G$553,MATCH(B531,'Gate events'!$A$4:$A$553,0))&lt;&gt;"Re-authorise",INDEX('Gate events'!$G$4:$G$553,MATCH(B531,'Gate events'!$A$4:$A$553,0))&lt;&gt;"Resume"),"Parent outcome is not Progress with condition / Re-authorise / Resume",IF(AND(ISNUMBER(INDEX('Gate events'!$F$4:$F$553,MATCH(B531,'Gate events'!$A$4:$A$553,0))),F531&lt;INDEX('Gate events'!$F$4:$F$553,MATCH(B531,'Gate events'!$A$4:$A$553,0))),"Due date before parent event date",IF(AND(OR(G531="Closed-verified",G531="Waived",G531="Accepted-open"),OR(H531="",I531="")),"Closure evidence missing",IF(AND(H531&lt;&gt;"",NOT(ISNUMBER(H531))),"Closed / waived on is not a date",IF(AND(ISNUMBER(H531),ISNUMBER(INDEX('Gate events'!$F$4:$F$553,MATCH(B531,'Gate events'!$A$4:$A$553,0))),H531&lt;INDEX('Gate events'!$F$4:$F$553,MATCH(B531,'Gate events'!$A$4:$A$553,0))),"Closure date before parent event date",IF(AND(G531="Closed-verified",M531=""),"Verifier / date missing",IF(AND(N531="Yes",G531="Closed-verified",O531=""),"Monitoring condition needs AIG-OPS-02 evidence ref",IF(AND(G531="Open",F531&lt;TODAY()),"OVERDUE (derived) — review",IF(G531="Unknown","State Unknown: owner to confirm","Check against source")))))))))))))))))))</f>
        <v/>
      </c>
      <c r="K531" s="37" t="n"/>
      <c r="L531" s="37" t="n"/>
      <c r="M531" s="40" t="n"/>
      <c r="N531" s="40" t="n"/>
      <c r="O531" s="40" t="n"/>
    </row>
    <row r="532">
      <c r="A532" s="38" t="n"/>
      <c r="B532" s="38" t="n"/>
      <c r="C532" s="38" t="n"/>
      <c r="D532" s="38" t="n"/>
      <c r="E532" s="38" t="n"/>
      <c r="F532" s="39" t="n"/>
      <c r="G532" s="38" t="n"/>
      <c r="H532" s="39" t="n"/>
      <c r="I532" s="38" t="n"/>
      <c r="J532" s="22">
        <f>IF(COUNTA(A532:I532,K532:O532)=0,"",IF(OR(A532="",B532="",C532=""),"ID / parent missing",IF(COUNTIF($A$4:$A$553,A532)&gt;1,"Duplicate condition ID",IF(COUNTIF('Gate events'!$A$4:$A$553,B532)=0,"Event ID not found",IF(INDEX('Gate events'!$B$4:$B$553,MATCH(B532,'Gate events'!$A$4:$A$553,0))&lt;&gt;C532,"AIR-ID differs from event",IF(IF(INDEX('Gate events'!$P$4:$P$553,MATCH(B532,'Gate events'!$A$4:$A$553,0))="UC-ID specific",IF(OR(L532&lt;&gt;"UC-ID specific",K532=""),"Condition UC-ID required",IF(ISNUMBER(SEARCH(","&amp;SUBSTITUTE(K532," ","")&amp;",",","&amp;SUBSTITUTE(INDEX('Gate events'!$O$4:$O$553,MATCH(B532,'Gate events'!$A$4:$A$553,0))," ","")&amp;",")),"","UC-ID differs from decision")),IF(INDEX('Gate events'!$P$4:$P$553,MATCH(B532,'Gate events'!$A$4:$A$553,0))="Shared system baseline",IF(OR(L532&lt;&gt;"Shared system baseline",K532&lt;&gt;""),"Condition scope differs from decision",""),"Parent decision scope missing"))&lt;&gt;"",IF(INDEX('Gate events'!$P$4:$P$553,MATCH(B532,'Gate events'!$A$4:$A$553,0))="UC-ID specific",IF(OR(L532&lt;&gt;"UC-ID specific",K532=""),"Condition UC-ID required",IF(ISNUMBER(SEARCH(","&amp;SUBSTITUTE(K532," ","")&amp;",",","&amp;SUBSTITUTE(INDEX('Gate events'!$O$4:$O$553,MATCH(B532,'Gate events'!$A$4:$A$553,0))," ","")&amp;",")),"","UC-ID differs from decision")),IF(INDEX('Gate events'!$P$4:$P$553,MATCH(B532,'Gate events'!$A$4:$A$553,0))="Shared system baseline",IF(OR(L532&lt;&gt;"Shared system baseline",K532&lt;&gt;""),"Condition scope differs from decision",""),"Parent decision scope missing")),IF(OR(D532="",E532="",F532="",G532=""),"Condition, owner, due date or state missing",IF(NOT(ISNUMBER(F532)),"Due date is not a date",IF(OR(G532="Overdue",G532="Superseded"),"Legacy state — owner review (use the shared five states)",IF(INDEX('Gate events'!$E$4:$E$553,MATCH(B532,'Gate events'!$A$4:$A$553,0))&lt;&gt;"Decision","Parent event is not a Decision",IF(AND(INDEX('Gate events'!$G$4:$G$553,MATCH(B532,'Gate events'!$A$4:$A$553,0))&lt;&gt;"Progress with condition",INDEX('Gate events'!$G$4:$G$553,MATCH(B532,'Gate events'!$A$4:$A$553,0))&lt;&gt;"Re-authorise",INDEX('Gate events'!$G$4:$G$553,MATCH(B532,'Gate events'!$A$4:$A$553,0))&lt;&gt;"Resume"),"Parent outcome is not Progress with condition / Re-authorise / Resume",IF(AND(ISNUMBER(INDEX('Gate events'!$F$4:$F$553,MATCH(B532,'Gate events'!$A$4:$A$553,0))),F532&lt;INDEX('Gate events'!$F$4:$F$553,MATCH(B532,'Gate events'!$A$4:$A$553,0))),"Due date before parent event date",IF(AND(OR(G532="Closed-verified",G532="Waived",G532="Accepted-open"),OR(H532="",I532="")),"Closure evidence missing",IF(AND(H532&lt;&gt;"",NOT(ISNUMBER(H532))),"Closed / waived on is not a date",IF(AND(ISNUMBER(H532),ISNUMBER(INDEX('Gate events'!$F$4:$F$553,MATCH(B532,'Gate events'!$A$4:$A$553,0))),H532&lt;INDEX('Gate events'!$F$4:$F$553,MATCH(B532,'Gate events'!$A$4:$A$553,0))),"Closure date before parent event date",IF(AND(G532="Closed-verified",M532=""),"Verifier / date missing",IF(AND(N532="Yes",G532="Closed-verified",O532=""),"Monitoring condition needs AIG-OPS-02 evidence ref",IF(AND(G532="Open",F532&lt;TODAY()),"OVERDUE (derived) — review",IF(G532="Unknown","State Unknown: owner to confirm","Check against source")))))))))))))))))))</f>
        <v/>
      </c>
      <c r="K532" s="37" t="n"/>
      <c r="L532" s="37" t="n"/>
      <c r="M532" s="38" t="n"/>
      <c r="N532" s="38" t="n"/>
      <c r="O532" s="38" t="n"/>
    </row>
    <row r="533">
      <c r="A533" s="40" t="n"/>
      <c r="B533" s="40" t="n"/>
      <c r="C533" s="40" t="n"/>
      <c r="D533" s="40" t="n"/>
      <c r="E533" s="40" t="n"/>
      <c r="F533" s="41" t="n"/>
      <c r="G533" s="40" t="n"/>
      <c r="H533" s="41" t="n"/>
      <c r="I533" s="40" t="n"/>
      <c r="J533" s="24">
        <f>IF(COUNTA(A533:I533,K533:O533)=0,"",IF(OR(A533="",B533="",C533=""),"ID / parent missing",IF(COUNTIF($A$4:$A$553,A533)&gt;1,"Duplicate condition ID",IF(COUNTIF('Gate events'!$A$4:$A$553,B533)=0,"Event ID not found",IF(INDEX('Gate events'!$B$4:$B$553,MATCH(B533,'Gate events'!$A$4:$A$553,0))&lt;&gt;C533,"AIR-ID differs from event",IF(IF(INDEX('Gate events'!$P$4:$P$553,MATCH(B533,'Gate events'!$A$4:$A$553,0))="UC-ID specific",IF(OR(L533&lt;&gt;"UC-ID specific",K533=""),"Condition UC-ID required",IF(ISNUMBER(SEARCH(","&amp;SUBSTITUTE(K533," ","")&amp;",",","&amp;SUBSTITUTE(INDEX('Gate events'!$O$4:$O$553,MATCH(B533,'Gate events'!$A$4:$A$553,0))," ","")&amp;",")),"","UC-ID differs from decision")),IF(INDEX('Gate events'!$P$4:$P$553,MATCH(B533,'Gate events'!$A$4:$A$553,0))="Shared system baseline",IF(OR(L533&lt;&gt;"Shared system baseline",K533&lt;&gt;""),"Condition scope differs from decision",""),"Parent decision scope missing"))&lt;&gt;"",IF(INDEX('Gate events'!$P$4:$P$553,MATCH(B533,'Gate events'!$A$4:$A$553,0))="UC-ID specific",IF(OR(L533&lt;&gt;"UC-ID specific",K533=""),"Condition UC-ID required",IF(ISNUMBER(SEARCH(","&amp;SUBSTITUTE(K533," ","")&amp;",",","&amp;SUBSTITUTE(INDEX('Gate events'!$O$4:$O$553,MATCH(B533,'Gate events'!$A$4:$A$553,0))," ","")&amp;",")),"","UC-ID differs from decision")),IF(INDEX('Gate events'!$P$4:$P$553,MATCH(B533,'Gate events'!$A$4:$A$553,0))="Shared system baseline",IF(OR(L533&lt;&gt;"Shared system baseline",K533&lt;&gt;""),"Condition scope differs from decision",""),"Parent decision scope missing")),IF(OR(D533="",E533="",F533="",G533=""),"Condition, owner, due date or state missing",IF(NOT(ISNUMBER(F533)),"Due date is not a date",IF(OR(G533="Overdue",G533="Superseded"),"Legacy state — owner review (use the shared five states)",IF(INDEX('Gate events'!$E$4:$E$553,MATCH(B533,'Gate events'!$A$4:$A$553,0))&lt;&gt;"Decision","Parent event is not a Decision",IF(AND(INDEX('Gate events'!$G$4:$G$553,MATCH(B533,'Gate events'!$A$4:$A$553,0))&lt;&gt;"Progress with condition",INDEX('Gate events'!$G$4:$G$553,MATCH(B533,'Gate events'!$A$4:$A$553,0))&lt;&gt;"Re-authorise",INDEX('Gate events'!$G$4:$G$553,MATCH(B533,'Gate events'!$A$4:$A$553,0))&lt;&gt;"Resume"),"Parent outcome is not Progress with condition / Re-authorise / Resume",IF(AND(ISNUMBER(INDEX('Gate events'!$F$4:$F$553,MATCH(B533,'Gate events'!$A$4:$A$553,0))),F533&lt;INDEX('Gate events'!$F$4:$F$553,MATCH(B533,'Gate events'!$A$4:$A$553,0))),"Due date before parent event date",IF(AND(OR(G533="Closed-verified",G533="Waived",G533="Accepted-open"),OR(H533="",I533="")),"Closure evidence missing",IF(AND(H533&lt;&gt;"",NOT(ISNUMBER(H533))),"Closed / waived on is not a date",IF(AND(ISNUMBER(H533),ISNUMBER(INDEX('Gate events'!$F$4:$F$553,MATCH(B533,'Gate events'!$A$4:$A$553,0))),H533&lt;INDEX('Gate events'!$F$4:$F$553,MATCH(B533,'Gate events'!$A$4:$A$553,0))),"Closure date before parent event date",IF(AND(G533="Closed-verified",M533=""),"Verifier / date missing",IF(AND(N533="Yes",G533="Closed-verified",O533=""),"Monitoring condition needs AIG-OPS-02 evidence ref",IF(AND(G533="Open",F533&lt;TODAY()),"OVERDUE (derived) — review",IF(G533="Unknown","State Unknown: owner to confirm","Check against source")))))))))))))))))))</f>
        <v/>
      </c>
      <c r="K533" s="37" t="n"/>
      <c r="L533" s="37" t="n"/>
      <c r="M533" s="40" t="n"/>
      <c r="N533" s="40" t="n"/>
      <c r="O533" s="40" t="n"/>
    </row>
    <row r="534">
      <c r="A534" s="38" t="n"/>
      <c r="B534" s="38" t="n"/>
      <c r="C534" s="38" t="n"/>
      <c r="D534" s="38" t="n"/>
      <c r="E534" s="38" t="n"/>
      <c r="F534" s="39" t="n"/>
      <c r="G534" s="38" t="n"/>
      <c r="H534" s="39" t="n"/>
      <c r="I534" s="38" t="n"/>
      <c r="J534" s="22">
        <f>IF(COUNTA(A534:I534,K534:O534)=0,"",IF(OR(A534="",B534="",C534=""),"ID / parent missing",IF(COUNTIF($A$4:$A$553,A534)&gt;1,"Duplicate condition ID",IF(COUNTIF('Gate events'!$A$4:$A$553,B534)=0,"Event ID not found",IF(INDEX('Gate events'!$B$4:$B$553,MATCH(B534,'Gate events'!$A$4:$A$553,0))&lt;&gt;C534,"AIR-ID differs from event",IF(IF(INDEX('Gate events'!$P$4:$P$553,MATCH(B534,'Gate events'!$A$4:$A$553,0))="UC-ID specific",IF(OR(L534&lt;&gt;"UC-ID specific",K534=""),"Condition UC-ID required",IF(ISNUMBER(SEARCH(","&amp;SUBSTITUTE(K534," ","")&amp;",",","&amp;SUBSTITUTE(INDEX('Gate events'!$O$4:$O$553,MATCH(B534,'Gate events'!$A$4:$A$553,0))," ","")&amp;",")),"","UC-ID differs from decision")),IF(INDEX('Gate events'!$P$4:$P$553,MATCH(B534,'Gate events'!$A$4:$A$553,0))="Shared system baseline",IF(OR(L534&lt;&gt;"Shared system baseline",K534&lt;&gt;""),"Condition scope differs from decision",""),"Parent decision scope missing"))&lt;&gt;"",IF(INDEX('Gate events'!$P$4:$P$553,MATCH(B534,'Gate events'!$A$4:$A$553,0))="UC-ID specific",IF(OR(L534&lt;&gt;"UC-ID specific",K534=""),"Condition UC-ID required",IF(ISNUMBER(SEARCH(","&amp;SUBSTITUTE(K534," ","")&amp;",",","&amp;SUBSTITUTE(INDEX('Gate events'!$O$4:$O$553,MATCH(B534,'Gate events'!$A$4:$A$553,0))," ","")&amp;",")),"","UC-ID differs from decision")),IF(INDEX('Gate events'!$P$4:$P$553,MATCH(B534,'Gate events'!$A$4:$A$553,0))="Shared system baseline",IF(OR(L534&lt;&gt;"Shared system baseline",K534&lt;&gt;""),"Condition scope differs from decision",""),"Parent decision scope missing")),IF(OR(D534="",E534="",F534="",G534=""),"Condition, owner, due date or state missing",IF(NOT(ISNUMBER(F534)),"Due date is not a date",IF(OR(G534="Overdue",G534="Superseded"),"Legacy state — owner review (use the shared five states)",IF(INDEX('Gate events'!$E$4:$E$553,MATCH(B534,'Gate events'!$A$4:$A$553,0))&lt;&gt;"Decision","Parent event is not a Decision",IF(AND(INDEX('Gate events'!$G$4:$G$553,MATCH(B534,'Gate events'!$A$4:$A$553,0))&lt;&gt;"Progress with condition",INDEX('Gate events'!$G$4:$G$553,MATCH(B534,'Gate events'!$A$4:$A$553,0))&lt;&gt;"Re-authorise",INDEX('Gate events'!$G$4:$G$553,MATCH(B534,'Gate events'!$A$4:$A$553,0))&lt;&gt;"Resume"),"Parent outcome is not Progress with condition / Re-authorise / Resume",IF(AND(ISNUMBER(INDEX('Gate events'!$F$4:$F$553,MATCH(B534,'Gate events'!$A$4:$A$553,0))),F534&lt;INDEX('Gate events'!$F$4:$F$553,MATCH(B534,'Gate events'!$A$4:$A$553,0))),"Due date before parent event date",IF(AND(OR(G534="Closed-verified",G534="Waived",G534="Accepted-open"),OR(H534="",I534="")),"Closure evidence missing",IF(AND(H534&lt;&gt;"",NOT(ISNUMBER(H534))),"Closed / waived on is not a date",IF(AND(ISNUMBER(H534),ISNUMBER(INDEX('Gate events'!$F$4:$F$553,MATCH(B534,'Gate events'!$A$4:$A$553,0))),H534&lt;INDEX('Gate events'!$F$4:$F$553,MATCH(B534,'Gate events'!$A$4:$A$553,0))),"Closure date before parent event date",IF(AND(G534="Closed-verified",M534=""),"Verifier / date missing",IF(AND(N534="Yes",G534="Closed-verified",O534=""),"Monitoring condition needs AIG-OPS-02 evidence ref",IF(AND(G534="Open",F534&lt;TODAY()),"OVERDUE (derived) — review",IF(G534="Unknown","State Unknown: owner to confirm","Check against source")))))))))))))))))))</f>
        <v/>
      </c>
      <c r="K534" s="37" t="n"/>
      <c r="L534" s="37" t="n"/>
      <c r="M534" s="38" t="n"/>
      <c r="N534" s="38" t="n"/>
      <c r="O534" s="38" t="n"/>
    </row>
    <row r="535">
      <c r="A535" s="40" t="n"/>
      <c r="B535" s="40" t="n"/>
      <c r="C535" s="40" t="n"/>
      <c r="D535" s="40" t="n"/>
      <c r="E535" s="40" t="n"/>
      <c r="F535" s="41" t="n"/>
      <c r="G535" s="40" t="n"/>
      <c r="H535" s="41" t="n"/>
      <c r="I535" s="40" t="n"/>
      <c r="J535" s="24">
        <f>IF(COUNTA(A535:I535,K535:O535)=0,"",IF(OR(A535="",B535="",C535=""),"ID / parent missing",IF(COUNTIF($A$4:$A$553,A535)&gt;1,"Duplicate condition ID",IF(COUNTIF('Gate events'!$A$4:$A$553,B535)=0,"Event ID not found",IF(INDEX('Gate events'!$B$4:$B$553,MATCH(B535,'Gate events'!$A$4:$A$553,0))&lt;&gt;C535,"AIR-ID differs from event",IF(IF(INDEX('Gate events'!$P$4:$P$553,MATCH(B535,'Gate events'!$A$4:$A$553,0))="UC-ID specific",IF(OR(L535&lt;&gt;"UC-ID specific",K535=""),"Condition UC-ID required",IF(ISNUMBER(SEARCH(","&amp;SUBSTITUTE(K535," ","")&amp;",",","&amp;SUBSTITUTE(INDEX('Gate events'!$O$4:$O$553,MATCH(B535,'Gate events'!$A$4:$A$553,0))," ","")&amp;",")),"","UC-ID differs from decision")),IF(INDEX('Gate events'!$P$4:$P$553,MATCH(B535,'Gate events'!$A$4:$A$553,0))="Shared system baseline",IF(OR(L535&lt;&gt;"Shared system baseline",K535&lt;&gt;""),"Condition scope differs from decision",""),"Parent decision scope missing"))&lt;&gt;"",IF(INDEX('Gate events'!$P$4:$P$553,MATCH(B535,'Gate events'!$A$4:$A$553,0))="UC-ID specific",IF(OR(L535&lt;&gt;"UC-ID specific",K535=""),"Condition UC-ID required",IF(ISNUMBER(SEARCH(","&amp;SUBSTITUTE(K535," ","")&amp;",",","&amp;SUBSTITUTE(INDEX('Gate events'!$O$4:$O$553,MATCH(B535,'Gate events'!$A$4:$A$553,0))," ","")&amp;",")),"","UC-ID differs from decision")),IF(INDEX('Gate events'!$P$4:$P$553,MATCH(B535,'Gate events'!$A$4:$A$553,0))="Shared system baseline",IF(OR(L535&lt;&gt;"Shared system baseline",K535&lt;&gt;""),"Condition scope differs from decision",""),"Parent decision scope missing")),IF(OR(D535="",E535="",F535="",G535=""),"Condition, owner, due date or state missing",IF(NOT(ISNUMBER(F535)),"Due date is not a date",IF(OR(G535="Overdue",G535="Superseded"),"Legacy state — owner review (use the shared five states)",IF(INDEX('Gate events'!$E$4:$E$553,MATCH(B535,'Gate events'!$A$4:$A$553,0))&lt;&gt;"Decision","Parent event is not a Decision",IF(AND(INDEX('Gate events'!$G$4:$G$553,MATCH(B535,'Gate events'!$A$4:$A$553,0))&lt;&gt;"Progress with condition",INDEX('Gate events'!$G$4:$G$553,MATCH(B535,'Gate events'!$A$4:$A$553,0))&lt;&gt;"Re-authorise",INDEX('Gate events'!$G$4:$G$553,MATCH(B535,'Gate events'!$A$4:$A$553,0))&lt;&gt;"Resume"),"Parent outcome is not Progress with condition / Re-authorise / Resume",IF(AND(ISNUMBER(INDEX('Gate events'!$F$4:$F$553,MATCH(B535,'Gate events'!$A$4:$A$553,0))),F535&lt;INDEX('Gate events'!$F$4:$F$553,MATCH(B535,'Gate events'!$A$4:$A$553,0))),"Due date before parent event date",IF(AND(OR(G535="Closed-verified",G535="Waived",G535="Accepted-open"),OR(H535="",I535="")),"Closure evidence missing",IF(AND(H535&lt;&gt;"",NOT(ISNUMBER(H535))),"Closed / waived on is not a date",IF(AND(ISNUMBER(H535),ISNUMBER(INDEX('Gate events'!$F$4:$F$553,MATCH(B535,'Gate events'!$A$4:$A$553,0))),H535&lt;INDEX('Gate events'!$F$4:$F$553,MATCH(B535,'Gate events'!$A$4:$A$553,0))),"Closure date before parent event date",IF(AND(G535="Closed-verified",M535=""),"Verifier / date missing",IF(AND(N535="Yes",G535="Closed-verified",O535=""),"Monitoring condition needs AIG-OPS-02 evidence ref",IF(AND(G535="Open",F535&lt;TODAY()),"OVERDUE (derived) — review",IF(G535="Unknown","State Unknown: owner to confirm","Check against source")))))))))))))))))))</f>
        <v/>
      </c>
      <c r="K535" s="37" t="n"/>
      <c r="L535" s="37" t="n"/>
      <c r="M535" s="40" t="n"/>
      <c r="N535" s="40" t="n"/>
      <c r="O535" s="40" t="n"/>
    </row>
    <row r="536">
      <c r="A536" s="38" t="n"/>
      <c r="B536" s="38" t="n"/>
      <c r="C536" s="38" t="n"/>
      <c r="D536" s="38" t="n"/>
      <c r="E536" s="38" t="n"/>
      <c r="F536" s="39" t="n"/>
      <c r="G536" s="38" t="n"/>
      <c r="H536" s="39" t="n"/>
      <c r="I536" s="38" t="n"/>
      <c r="J536" s="22">
        <f>IF(COUNTA(A536:I536,K536:O536)=0,"",IF(OR(A536="",B536="",C536=""),"ID / parent missing",IF(COUNTIF($A$4:$A$553,A536)&gt;1,"Duplicate condition ID",IF(COUNTIF('Gate events'!$A$4:$A$553,B536)=0,"Event ID not found",IF(INDEX('Gate events'!$B$4:$B$553,MATCH(B536,'Gate events'!$A$4:$A$553,0))&lt;&gt;C536,"AIR-ID differs from event",IF(IF(INDEX('Gate events'!$P$4:$P$553,MATCH(B536,'Gate events'!$A$4:$A$553,0))="UC-ID specific",IF(OR(L536&lt;&gt;"UC-ID specific",K536=""),"Condition UC-ID required",IF(ISNUMBER(SEARCH(","&amp;SUBSTITUTE(K536," ","")&amp;",",","&amp;SUBSTITUTE(INDEX('Gate events'!$O$4:$O$553,MATCH(B536,'Gate events'!$A$4:$A$553,0))," ","")&amp;",")),"","UC-ID differs from decision")),IF(INDEX('Gate events'!$P$4:$P$553,MATCH(B536,'Gate events'!$A$4:$A$553,0))="Shared system baseline",IF(OR(L536&lt;&gt;"Shared system baseline",K536&lt;&gt;""),"Condition scope differs from decision",""),"Parent decision scope missing"))&lt;&gt;"",IF(INDEX('Gate events'!$P$4:$P$553,MATCH(B536,'Gate events'!$A$4:$A$553,0))="UC-ID specific",IF(OR(L536&lt;&gt;"UC-ID specific",K536=""),"Condition UC-ID required",IF(ISNUMBER(SEARCH(","&amp;SUBSTITUTE(K536," ","")&amp;",",","&amp;SUBSTITUTE(INDEX('Gate events'!$O$4:$O$553,MATCH(B536,'Gate events'!$A$4:$A$553,0))," ","")&amp;",")),"","UC-ID differs from decision")),IF(INDEX('Gate events'!$P$4:$P$553,MATCH(B536,'Gate events'!$A$4:$A$553,0))="Shared system baseline",IF(OR(L536&lt;&gt;"Shared system baseline",K536&lt;&gt;""),"Condition scope differs from decision",""),"Parent decision scope missing")),IF(OR(D536="",E536="",F536="",G536=""),"Condition, owner, due date or state missing",IF(NOT(ISNUMBER(F536)),"Due date is not a date",IF(OR(G536="Overdue",G536="Superseded"),"Legacy state — owner review (use the shared five states)",IF(INDEX('Gate events'!$E$4:$E$553,MATCH(B536,'Gate events'!$A$4:$A$553,0))&lt;&gt;"Decision","Parent event is not a Decision",IF(AND(INDEX('Gate events'!$G$4:$G$553,MATCH(B536,'Gate events'!$A$4:$A$553,0))&lt;&gt;"Progress with condition",INDEX('Gate events'!$G$4:$G$553,MATCH(B536,'Gate events'!$A$4:$A$553,0))&lt;&gt;"Re-authorise",INDEX('Gate events'!$G$4:$G$553,MATCH(B536,'Gate events'!$A$4:$A$553,0))&lt;&gt;"Resume"),"Parent outcome is not Progress with condition / Re-authorise / Resume",IF(AND(ISNUMBER(INDEX('Gate events'!$F$4:$F$553,MATCH(B536,'Gate events'!$A$4:$A$553,0))),F536&lt;INDEX('Gate events'!$F$4:$F$553,MATCH(B536,'Gate events'!$A$4:$A$553,0))),"Due date before parent event date",IF(AND(OR(G536="Closed-verified",G536="Waived",G536="Accepted-open"),OR(H536="",I536="")),"Closure evidence missing",IF(AND(H536&lt;&gt;"",NOT(ISNUMBER(H536))),"Closed / waived on is not a date",IF(AND(ISNUMBER(H536),ISNUMBER(INDEX('Gate events'!$F$4:$F$553,MATCH(B536,'Gate events'!$A$4:$A$553,0))),H536&lt;INDEX('Gate events'!$F$4:$F$553,MATCH(B536,'Gate events'!$A$4:$A$553,0))),"Closure date before parent event date",IF(AND(G536="Closed-verified",M536=""),"Verifier / date missing",IF(AND(N536="Yes",G536="Closed-verified",O536=""),"Monitoring condition needs AIG-OPS-02 evidence ref",IF(AND(G536="Open",F536&lt;TODAY()),"OVERDUE (derived) — review",IF(G536="Unknown","State Unknown: owner to confirm","Check against source")))))))))))))))))))</f>
        <v/>
      </c>
      <c r="K536" s="37" t="n"/>
      <c r="L536" s="37" t="n"/>
      <c r="M536" s="38" t="n"/>
      <c r="N536" s="38" t="n"/>
      <c r="O536" s="38" t="n"/>
    </row>
    <row r="537">
      <c r="A537" s="40" t="n"/>
      <c r="B537" s="40" t="n"/>
      <c r="C537" s="40" t="n"/>
      <c r="D537" s="40" t="n"/>
      <c r="E537" s="40" t="n"/>
      <c r="F537" s="41" t="n"/>
      <c r="G537" s="40" t="n"/>
      <c r="H537" s="41" t="n"/>
      <c r="I537" s="40" t="n"/>
      <c r="J537" s="24">
        <f>IF(COUNTA(A537:I537,K537:O537)=0,"",IF(OR(A537="",B537="",C537=""),"ID / parent missing",IF(COUNTIF($A$4:$A$553,A537)&gt;1,"Duplicate condition ID",IF(COUNTIF('Gate events'!$A$4:$A$553,B537)=0,"Event ID not found",IF(INDEX('Gate events'!$B$4:$B$553,MATCH(B537,'Gate events'!$A$4:$A$553,0))&lt;&gt;C537,"AIR-ID differs from event",IF(IF(INDEX('Gate events'!$P$4:$P$553,MATCH(B537,'Gate events'!$A$4:$A$553,0))="UC-ID specific",IF(OR(L537&lt;&gt;"UC-ID specific",K537=""),"Condition UC-ID required",IF(ISNUMBER(SEARCH(","&amp;SUBSTITUTE(K537," ","")&amp;",",","&amp;SUBSTITUTE(INDEX('Gate events'!$O$4:$O$553,MATCH(B537,'Gate events'!$A$4:$A$553,0))," ","")&amp;",")),"","UC-ID differs from decision")),IF(INDEX('Gate events'!$P$4:$P$553,MATCH(B537,'Gate events'!$A$4:$A$553,0))="Shared system baseline",IF(OR(L537&lt;&gt;"Shared system baseline",K537&lt;&gt;""),"Condition scope differs from decision",""),"Parent decision scope missing"))&lt;&gt;"",IF(INDEX('Gate events'!$P$4:$P$553,MATCH(B537,'Gate events'!$A$4:$A$553,0))="UC-ID specific",IF(OR(L537&lt;&gt;"UC-ID specific",K537=""),"Condition UC-ID required",IF(ISNUMBER(SEARCH(","&amp;SUBSTITUTE(K537," ","")&amp;",",","&amp;SUBSTITUTE(INDEX('Gate events'!$O$4:$O$553,MATCH(B537,'Gate events'!$A$4:$A$553,0))," ","")&amp;",")),"","UC-ID differs from decision")),IF(INDEX('Gate events'!$P$4:$P$553,MATCH(B537,'Gate events'!$A$4:$A$553,0))="Shared system baseline",IF(OR(L537&lt;&gt;"Shared system baseline",K537&lt;&gt;""),"Condition scope differs from decision",""),"Parent decision scope missing")),IF(OR(D537="",E537="",F537="",G537=""),"Condition, owner, due date or state missing",IF(NOT(ISNUMBER(F537)),"Due date is not a date",IF(OR(G537="Overdue",G537="Superseded"),"Legacy state — owner review (use the shared five states)",IF(INDEX('Gate events'!$E$4:$E$553,MATCH(B537,'Gate events'!$A$4:$A$553,0))&lt;&gt;"Decision","Parent event is not a Decision",IF(AND(INDEX('Gate events'!$G$4:$G$553,MATCH(B537,'Gate events'!$A$4:$A$553,0))&lt;&gt;"Progress with condition",INDEX('Gate events'!$G$4:$G$553,MATCH(B537,'Gate events'!$A$4:$A$553,0))&lt;&gt;"Re-authorise",INDEX('Gate events'!$G$4:$G$553,MATCH(B537,'Gate events'!$A$4:$A$553,0))&lt;&gt;"Resume"),"Parent outcome is not Progress with condition / Re-authorise / Resume",IF(AND(ISNUMBER(INDEX('Gate events'!$F$4:$F$553,MATCH(B537,'Gate events'!$A$4:$A$553,0))),F537&lt;INDEX('Gate events'!$F$4:$F$553,MATCH(B537,'Gate events'!$A$4:$A$553,0))),"Due date before parent event date",IF(AND(OR(G537="Closed-verified",G537="Waived",G537="Accepted-open"),OR(H537="",I537="")),"Closure evidence missing",IF(AND(H537&lt;&gt;"",NOT(ISNUMBER(H537))),"Closed / waived on is not a date",IF(AND(ISNUMBER(H537),ISNUMBER(INDEX('Gate events'!$F$4:$F$553,MATCH(B537,'Gate events'!$A$4:$A$553,0))),H537&lt;INDEX('Gate events'!$F$4:$F$553,MATCH(B537,'Gate events'!$A$4:$A$553,0))),"Closure date before parent event date",IF(AND(G537="Closed-verified",M537=""),"Verifier / date missing",IF(AND(N537="Yes",G537="Closed-verified",O537=""),"Monitoring condition needs AIG-OPS-02 evidence ref",IF(AND(G537="Open",F537&lt;TODAY()),"OVERDUE (derived) — review",IF(G537="Unknown","State Unknown: owner to confirm","Check against source")))))))))))))))))))</f>
        <v/>
      </c>
      <c r="K537" s="37" t="n"/>
      <c r="L537" s="37" t="n"/>
      <c r="M537" s="40" t="n"/>
      <c r="N537" s="40" t="n"/>
      <c r="O537" s="40" t="n"/>
    </row>
    <row r="538">
      <c r="A538" s="38" t="n"/>
      <c r="B538" s="38" t="n"/>
      <c r="C538" s="38" t="n"/>
      <c r="D538" s="38" t="n"/>
      <c r="E538" s="38" t="n"/>
      <c r="F538" s="39" t="n"/>
      <c r="G538" s="38" t="n"/>
      <c r="H538" s="39" t="n"/>
      <c r="I538" s="38" t="n"/>
      <c r="J538" s="22">
        <f>IF(COUNTA(A538:I538,K538:O538)=0,"",IF(OR(A538="",B538="",C538=""),"ID / parent missing",IF(COUNTIF($A$4:$A$553,A538)&gt;1,"Duplicate condition ID",IF(COUNTIF('Gate events'!$A$4:$A$553,B538)=0,"Event ID not found",IF(INDEX('Gate events'!$B$4:$B$553,MATCH(B538,'Gate events'!$A$4:$A$553,0))&lt;&gt;C538,"AIR-ID differs from event",IF(IF(INDEX('Gate events'!$P$4:$P$553,MATCH(B538,'Gate events'!$A$4:$A$553,0))="UC-ID specific",IF(OR(L538&lt;&gt;"UC-ID specific",K538=""),"Condition UC-ID required",IF(ISNUMBER(SEARCH(","&amp;SUBSTITUTE(K538," ","")&amp;",",","&amp;SUBSTITUTE(INDEX('Gate events'!$O$4:$O$553,MATCH(B538,'Gate events'!$A$4:$A$553,0))," ","")&amp;",")),"","UC-ID differs from decision")),IF(INDEX('Gate events'!$P$4:$P$553,MATCH(B538,'Gate events'!$A$4:$A$553,0))="Shared system baseline",IF(OR(L538&lt;&gt;"Shared system baseline",K538&lt;&gt;""),"Condition scope differs from decision",""),"Parent decision scope missing"))&lt;&gt;"",IF(INDEX('Gate events'!$P$4:$P$553,MATCH(B538,'Gate events'!$A$4:$A$553,0))="UC-ID specific",IF(OR(L538&lt;&gt;"UC-ID specific",K538=""),"Condition UC-ID required",IF(ISNUMBER(SEARCH(","&amp;SUBSTITUTE(K538," ","")&amp;",",","&amp;SUBSTITUTE(INDEX('Gate events'!$O$4:$O$553,MATCH(B538,'Gate events'!$A$4:$A$553,0))," ","")&amp;",")),"","UC-ID differs from decision")),IF(INDEX('Gate events'!$P$4:$P$553,MATCH(B538,'Gate events'!$A$4:$A$553,0))="Shared system baseline",IF(OR(L538&lt;&gt;"Shared system baseline",K538&lt;&gt;""),"Condition scope differs from decision",""),"Parent decision scope missing")),IF(OR(D538="",E538="",F538="",G538=""),"Condition, owner, due date or state missing",IF(NOT(ISNUMBER(F538)),"Due date is not a date",IF(OR(G538="Overdue",G538="Superseded"),"Legacy state — owner review (use the shared five states)",IF(INDEX('Gate events'!$E$4:$E$553,MATCH(B538,'Gate events'!$A$4:$A$553,0))&lt;&gt;"Decision","Parent event is not a Decision",IF(AND(INDEX('Gate events'!$G$4:$G$553,MATCH(B538,'Gate events'!$A$4:$A$553,0))&lt;&gt;"Progress with condition",INDEX('Gate events'!$G$4:$G$553,MATCH(B538,'Gate events'!$A$4:$A$553,0))&lt;&gt;"Re-authorise",INDEX('Gate events'!$G$4:$G$553,MATCH(B538,'Gate events'!$A$4:$A$553,0))&lt;&gt;"Resume"),"Parent outcome is not Progress with condition / Re-authorise / Resume",IF(AND(ISNUMBER(INDEX('Gate events'!$F$4:$F$553,MATCH(B538,'Gate events'!$A$4:$A$553,0))),F538&lt;INDEX('Gate events'!$F$4:$F$553,MATCH(B538,'Gate events'!$A$4:$A$553,0))),"Due date before parent event date",IF(AND(OR(G538="Closed-verified",G538="Waived",G538="Accepted-open"),OR(H538="",I538="")),"Closure evidence missing",IF(AND(H538&lt;&gt;"",NOT(ISNUMBER(H538))),"Closed / waived on is not a date",IF(AND(ISNUMBER(H538),ISNUMBER(INDEX('Gate events'!$F$4:$F$553,MATCH(B538,'Gate events'!$A$4:$A$553,0))),H538&lt;INDEX('Gate events'!$F$4:$F$553,MATCH(B538,'Gate events'!$A$4:$A$553,0))),"Closure date before parent event date",IF(AND(G538="Closed-verified",M538=""),"Verifier / date missing",IF(AND(N538="Yes",G538="Closed-verified",O538=""),"Monitoring condition needs AIG-OPS-02 evidence ref",IF(AND(G538="Open",F538&lt;TODAY()),"OVERDUE (derived) — review",IF(G538="Unknown","State Unknown: owner to confirm","Check against source")))))))))))))))))))</f>
        <v/>
      </c>
      <c r="K538" s="37" t="n"/>
      <c r="L538" s="37" t="n"/>
      <c r="M538" s="38" t="n"/>
      <c r="N538" s="38" t="n"/>
      <c r="O538" s="38" t="n"/>
    </row>
    <row r="539">
      <c r="A539" s="40" t="n"/>
      <c r="B539" s="40" t="n"/>
      <c r="C539" s="40" t="n"/>
      <c r="D539" s="40" t="n"/>
      <c r="E539" s="40" t="n"/>
      <c r="F539" s="41" t="n"/>
      <c r="G539" s="40" t="n"/>
      <c r="H539" s="41" t="n"/>
      <c r="I539" s="40" t="n"/>
      <c r="J539" s="24">
        <f>IF(COUNTA(A539:I539,K539:O539)=0,"",IF(OR(A539="",B539="",C539=""),"ID / parent missing",IF(COUNTIF($A$4:$A$553,A539)&gt;1,"Duplicate condition ID",IF(COUNTIF('Gate events'!$A$4:$A$553,B539)=0,"Event ID not found",IF(INDEX('Gate events'!$B$4:$B$553,MATCH(B539,'Gate events'!$A$4:$A$553,0))&lt;&gt;C539,"AIR-ID differs from event",IF(IF(INDEX('Gate events'!$P$4:$P$553,MATCH(B539,'Gate events'!$A$4:$A$553,0))="UC-ID specific",IF(OR(L539&lt;&gt;"UC-ID specific",K539=""),"Condition UC-ID required",IF(ISNUMBER(SEARCH(","&amp;SUBSTITUTE(K539," ","")&amp;",",","&amp;SUBSTITUTE(INDEX('Gate events'!$O$4:$O$553,MATCH(B539,'Gate events'!$A$4:$A$553,0))," ","")&amp;",")),"","UC-ID differs from decision")),IF(INDEX('Gate events'!$P$4:$P$553,MATCH(B539,'Gate events'!$A$4:$A$553,0))="Shared system baseline",IF(OR(L539&lt;&gt;"Shared system baseline",K539&lt;&gt;""),"Condition scope differs from decision",""),"Parent decision scope missing"))&lt;&gt;"",IF(INDEX('Gate events'!$P$4:$P$553,MATCH(B539,'Gate events'!$A$4:$A$553,0))="UC-ID specific",IF(OR(L539&lt;&gt;"UC-ID specific",K539=""),"Condition UC-ID required",IF(ISNUMBER(SEARCH(","&amp;SUBSTITUTE(K539," ","")&amp;",",","&amp;SUBSTITUTE(INDEX('Gate events'!$O$4:$O$553,MATCH(B539,'Gate events'!$A$4:$A$553,0))," ","")&amp;",")),"","UC-ID differs from decision")),IF(INDEX('Gate events'!$P$4:$P$553,MATCH(B539,'Gate events'!$A$4:$A$553,0))="Shared system baseline",IF(OR(L539&lt;&gt;"Shared system baseline",K539&lt;&gt;""),"Condition scope differs from decision",""),"Parent decision scope missing")),IF(OR(D539="",E539="",F539="",G539=""),"Condition, owner, due date or state missing",IF(NOT(ISNUMBER(F539)),"Due date is not a date",IF(OR(G539="Overdue",G539="Superseded"),"Legacy state — owner review (use the shared five states)",IF(INDEX('Gate events'!$E$4:$E$553,MATCH(B539,'Gate events'!$A$4:$A$553,0))&lt;&gt;"Decision","Parent event is not a Decision",IF(AND(INDEX('Gate events'!$G$4:$G$553,MATCH(B539,'Gate events'!$A$4:$A$553,0))&lt;&gt;"Progress with condition",INDEX('Gate events'!$G$4:$G$553,MATCH(B539,'Gate events'!$A$4:$A$553,0))&lt;&gt;"Re-authorise",INDEX('Gate events'!$G$4:$G$553,MATCH(B539,'Gate events'!$A$4:$A$553,0))&lt;&gt;"Resume"),"Parent outcome is not Progress with condition / Re-authorise / Resume",IF(AND(ISNUMBER(INDEX('Gate events'!$F$4:$F$553,MATCH(B539,'Gate events'!$A$4:$A$553,0))),F539&lt;INDEX('Gate events'!$F$4:$F$553,MATCH(B539,'Gate events'!$A$4:$A$553,0))),"Due date before parent event date",IF(AND(OR(G539="Closed-verified",G539="Waived",G539="Accepted-open"),OR(H539="",I539="")),"Closure evidence missing",IF(AND(H539&lt;&gt;"",NOT(ISNUMBER(H539))),"Closed / waived on is not a date",IF(AND(ISNUMBER(H539),ISNUMBER(INDEX('Gate events'!$F$4:$F$553,MATCH(B539,'Gate events'!$A$4:$A$553,0))),H539&lt;INDEX('Gate events'!$F$4:$F$553,MATCH(B539,'Gate events'!$A$4:$A$553,0))),"Closure date before parent event date",IF(AND(G539="Closed-verified",M539=""),"Verifier / date missing",IF(AND(N539="Yes",G539="Closed-verified",O539=""),"Monitoring condition needs AIG-OPS-02 evidence ref",IF(AND(G539="Open",F539&lt;TODAY()),"OVERDUE (derived) — review",IF(G539="Unknown","State Unknown: owner to confirm","Check against source")))))))))))))))))))</f>
        <v/>
      </c>
      <c r="K539" s="37" t="n"/>
      <c r="L539" s="37" t="n"/>
      <c r="M539" s="40" t="n"/>
      <c r="N539" s="40" t="n"/>
      <c r="O539" s="40" t="n"/>
    </row>
    <row r="540">
      <c r="A540" s="38" t="n"/>
      <c r="B540" s="38" t="n"/>
      <c r="C540" s="38" t="n"/>
      <c r="D540" s="38" t="n"/>
      <c r="E540" s="38" t="n"/>
      <c r="F540" s="39" t="n"/>
      <c r="G540" s="38" t="n"/>
      <c r="H540" s="39" t="n"/>
      <c r="I540" s="38" t="n"/>
      <c r="J540" s="22">
        <f>IF(COUNTA(A540:I540,K540:O540)=0,"",IF(OR(A540="",B540="",C540=""),"ID / parent missing",IF(COUNTIF($A$4:$A$553,A540)&gt;1,"Duplicate condition ID",IF(COUNTIF('Gate events'!$A$4:$A$553,B540)=0,"Event ID not found",IF(INDEX('Gate events'!$B$4:$B$553,MATCH(B540,'Gate events'!$A$4:$A$553,0))&lt;&gt;C540,"AIR-ID differs from event",IF(IF(INDEX('Gate events'!$P$4:$P$553,MATCH(B540,'Gate events'!$A$4:$A$553,0))="UC-ID specific",IF(OR(L540&lt;&gt;"UC-ID specific",K540=""),"Condition UC-ID required",IF(ISNUMBER(SEARCH(","&amp;SUBSTITUTE(K540," ","")&amp;",",","&amp;SUBSTITUTE(INDEX('Gate events'!$O$4:$O$553,MATCH(B540,'Gate events'!$A$4:$A$553,0))," ","")&amp;",")),"","UC-ID differs from decision")),IF(INDEX('Gate events'!$P$4:$P$553,MATCH(B540,'Gate events'!$A$4:$A$553,0))="Shared system baseline",IF(OR(L540&lt;&gt;"Shared system baseline",K540&lt;&gt;""),"Condition scope differs from decision",""),"Parent decision scope missing"))&lt;&gt;"",IF(INDEX('Gate events'!$P$4:$P$553,MATCH(B540,'Gate events'!$A$4:$A$553,0))="UC-ID specific",IF(OR(L540&lt;&gt;"UC-ID specific",K540=""),"Condition UC-ID required",IF(ISNUMBER(SEARCH(","&amp;SUBSTITUTE(K540," ","")&amp;",",","&amp;SUBSTITUTE(INDEX('Gate events'!$O$4:$O$553,MATCH(B540,'Gate events'!$A$4:$A$553,0))," ","")&amp;",")),"","UC-ID differs from decision")),IF(INDEX('Gate events'!$P$4:$P$553,MATCH(B540,'Gate events'!$A$4:$A$553,0))="Shared system baseline",IF(OR(L540&lt;&gt;"Shared system baseline",K540&lt;&gt;""),"Condition scope differs from decision",""),"Parent decision scope missing")),IF(OR(D540="",E540="",F540="",G540=""),"Condition, owner, due date or state missing",IF(NOT(ISNUMBER(F540)),"Due date is not a date",IF(OR(G540="Overdue",G540="Superseded"),"Legacy state — owner review (use the shared five states)",IF(INDEX('Gate events'!$E$4:$E$553,MATCH(B540,'Gate events'!$A$4:$A$553,0))&lt;&gt;"Decision","Parent event is not a Decision",IF(AND(INDEX('Gate events'!$G$4:$G$553,MATCH(B540,'Gate events'!$A$4:$A$553,0))&lt;&gt;"Progress with condition",INDEX('Gate events'!$G$4:$G$553,MATCH(B540,'Gate events'!$A$4:$A$553,0))&lt;&gt;"Re-authorise",INDEX('Gate events'!$G$4:$G$553,MATCH(B540,'Gate events'!$A$4:$A$553,0))&lt;&gt;"Resume"),"Parent outcome is not Progress with condition / Re-authorise / Resume",IF(AND(ISNUMBER(INDEX('Gate events'!$F$4:$F$553,MATCH(B540,'Gate events'!$A$4:$A$553,0))),F540&lt;INDEX('Gate events'!$F$4:$F$553,MATCH(B540,'Gate events'!$A$4:$A$553,0))),"Due date before parent event date",IF(AND(OR(G540="Closed-verified",G540="Waived",G540="Accepted-open"),OR(H540="",I540="")),"Closure evidence missing",IF(AND(H540&lt;&gt;"",NOT(ISNUMBER(H540))),"Closed / waived on is not a date",IF(AND(ISNUMBER(H540),ISNUMBER(INDEX('Gate events'!$F$4:$F$553,MATCH(B540,'Gate events'!$A$4:$A$553,0))),H540&lt;INDEX('Gate events'!$F$4:$F$553,MATCH(B540,'Gate events'!$A$4:$A$553,0))),"Closure date before parent event date",IF(AND(G540="Closed-verified",M540=""),"Verifier / date missing",IF(AND(N540="Yes",G540="Closed-verified",O540=""),"Monitoring condition needs AIG-OPS-02 evidence ref",IF(AND(G540="Open",F540&lt;TODAY()),"OVERDUE (derived) — review",IF(G540="Unknown","State Unknown: owner to confirm","Check against source")))))))))))))))))))</f>
        <v/>
      </c>
      <c r="K540" s="37" t="n"/>
      <c r="L540" s="37" t="n"/>
      <c r="M540" s="38" t="n"/>
      <c r="N540" s="38" t="n"/>
      <c r="O540" s="38" t="n"/>
    </row>
    <row r="541">
      <c r="A541" s="40" t="n"/>
      <c r="B541" s="40" t="n"/>
      <c r="C541" s="40" t="n"/>
      <c r="D541" s="40" t="n"/>
      <c r="E541" s="40" t="n"/>
      <c r="F541" s="41" t="n"/>
      <c r="G541" s="40" t="n"/>
      <c r="H541" s="41" t="n"/>
      <c r="I541" s="40" t="n"/>
      <c r="J541" s="24">
        <f>IF(COUNTA(A541:I541,K541:O541)=0,"",IF(OR(A541="",B541="",C541=""),"ID / parent missing",IF(COUNTIF($A$4:$A$553,A541)&gt;1,"Duplicate condition ID",IF(COUNTIF('Gate events'!$A$4:$A$553,B541)=0,"Event ID not found",IF(INDEX('Gate events'!$B$4:$B$553,MATCH(B541,'Gate events'!$A$4:$A$553,0))&lt;&gt;C541,"AIR-ID differs from event",IF(IF(INDEX('Gate events'!$P$4:$P$553,MATCH(B541,'Gate events'!$A$4:$A$553,0))="UC-ID specific",IF(OR(L541&lt;&gt;"UC-ID specific",K541=""),"Condition UC-ID required",IF(ISNUMBER(SEARCH(","&amp;SUBSTITUTE(K541," ","")&amp;",",","&amp;SUBSTITUTE(INDEX('Gate events'!$O$4:$O$553,MATCH(B541,'Gate events'!$A$4:$A$553,0))," ","")&amp;",")),"","UC-ID differs from decision")),IF(INDEX('Gate events'!$P$4:$P$553,MATCH(B541,'Gate events'!$A$4:$A$553,0))="Shared system baseline",IF(OR(L541&lt;&gt;"Shared system baseline",K541&lt;&gt;""),"Condition scope differs from decision",""),"Parent decision scope missing"))&lt;&gt;"",IF(INDEX('Gate events'!$P$4:$P$553,MATCH(B541,'Gate events'!$A$4:$A$553,0))="UC-ID specific",IF(OR(L541&lt;&gt;"UC-ID specific",K541=""),"Condition UC-ID required",IF(ISNUMBER(SEARCH(","&amp;SUBSTITUTE(K541," ","")&amp;",",","&amp;SUBSTITUTE(INDEX('Gate events'!$O$4:$O$553,MATCH(B541,'Gate events'!$A$4:$A$553,0))," ","")&amp;",")),"","UC-ID differs from decision")),IF(INDEX('Gate events'!$P$4:$P$553,MATCH(B541,'Gate events'!$A$4:$A$553,0))="Shared system baseline",IF(OR(L541&lt;&gt;"Shared system baseline",K541&lt;&gt;""),"Condition scope differs from decision",""),"Parent decision scope missing")),IF(OR(D541="",E541="",F541="",G541=""),"Condition, owner, due date or state missing",IF(NOT(ISNUMBER(F541)),"Due date is not a date",IF(OR(G541="Overdue",G541="Superseded"),"Legacy state — owner review (use the shared five states)",IF(INDEX('Gate events'!$E$4:$E$553,MATCH(B541,'Gate events'!$A$4:$A$553,0))&lt;&gt;"Decision","Parent event is not a Decision",IF(AND(INDEX('Gate events'!$G$4:$G$553,MATCH(B541,'Gate events'!$A$4:$A$553,0))&lt;&gt;"Progress with condition",INDEX('Gate events'!$G$4:$G$553,MATCH(B541,'Gate events'!$A$4:$A$553,0))&lt;&gt;"Re-authorise",INDEX('Gate events'!$G$4:$G$553,MATCH(B541,'Gate events'!$A$4:$A$553,0))&lt;&gt;"Resume"),"Parent outcome is not Progress with condition / Re-authorise / Resume",IF(AND(ISNUMBER(INDEX('Gate events'!$F$4:$F$553,MATCH(B541,'Gate events'!$A$4:$A$553,0))),F541&lt;INDEX('Gate events'!$F$4:$F$553,MATCH(B541,'Gate events'!$A$4:$A$553,0))),"Due date before parent event date",IF(AND(OR(G541="Closed-verified",G541="Waived",G541="Accepted-open"),OR(H541="",I541="")),"Closure evidence missing",IF(AND(H541&lt;&gt;"",NOT(ISNUMBER(H541))),"Closed / waived on is not a date",IF(AND(ISNUMBER(H541),ISNUMBER(INDEX('Gate events'!$F$4:$F$553,MATCH(B541,'Gate events'!$A$4:$A$553,0))),H541&lt;INDEX('Gate events'!$F$4:$F$553,MATCH(B541,'Gate events'!$A$4:$A$553,0))),"Closure date before parent event date",IF(AND(G541="Closed-verified",M541=""),"Verifier / date missing",IF(AND(N541="Yes",G541="Closed-verified",O541=""),"Monitoring condition needs AIG-OPS-02 evidence ref",IF(AND(G541="Open",F541&lt;TODAY()),"OVERDUE (derived) — review",IF(G541="Unknown","State Unknown: owner to confirm","Check against source")))))))))))))))))))</f>
        <v/>
      </c>
      <c r="K541" s="37" t="n"/>
      <c r="L541" s="37" t="n"/>
      <c r="M541" s="40" t="n"/>
      <c r="N541" s="40" t="n"/>
      <c r="O541" s="40" t="n"/>
    </row>
    <row r="542">
      <c r="A542" s="38" t="n"/>
      <c r="B542" s="38" t="n"/>
      <c r="C542" s="38" t="n"/>
      <c r="D542" s="38" t="n"/>
      <c r="E542" s="38" t="n"/>
      <c r="F542" s="39" t="n"/>
      <c r="G542" s="38" t="n"/>
      <c r="H542" s="39" t="n"/>
      <c r="I542" s="38" t="n"/>
      <c r="J542" s="22">
        <f>IF(COUNTA(A542:I542,K542:O542)=0,"",IF(OR(A542="",B542="",C542=""),"ID / parent missing",IF(COUNTIF($A$4:$A$553,A542)&gt;1,"Duplicate condition ID",IF(COUNTIF('Gate events'!$A$4:$A$553,B542)=0,"Event ID not found",IF(INDEX('Gate events'!$B$4:$B$553,MATCH(B542,'Gate events'!$A$4:$A$553,0))&lt;&gt;C542,"AIR-ID differs from event",IF(IF(INDEX('Gate events'!$P$4:$P$553,MATCH(B542,'Gate events'!$A$4:$A$553,0))="UC-ID specific",IF(OR(L542&lt;&gt;"UC-ID specific",K542=""),"Condition UC-ID required",IF(ISNUMBER(SEARCH(","&amp;SUBSTITUTE(K542," ","")&amp;",",","&amp;SUBSTITUTE(INDEX('Gate events'!$O$4:$O$553,MATCH(B542,'Gate events'!$A$4:$A$553,0))," ","")&amp;",")),"","UC-ID differs from decision")),IF(INDEX('Gate events'!$P$4:$P$553,MATCH(B542,'Gate events'!$A$4:$A$553,0))="Shared system baseline",IF(OR(L542&lt;&gt;"Shared system baseline",K542&lt;&gt;""),"Condition scope differs from decision",""),"Parent decision scope missing"))&lt;&gt;"",IF(INDEX('Gate events'!$P$4:$P$553,MATCH(B542,'Gate events'!$A$4:$A$553,0))="UC-ID specific",IF(OR(L542&lt;&gt;"UC-ID specific",K542=""),"Condition UC-ID required",IF(ISNUMBER(SEARCH(","&amp;SUBSTITUTE(K542," ","")&amp;",",","&amp;SUBSTITUTE(INDEX('Gate events'!$O$4:$O$553,MATCH(B542,'Gate events'!$A$4:$A$553,0))," ","")&amp;",")),"","UC-ID differs from decision")),IF(INDEX('Gate events'!$P$4:$P$553,MATCH(B542,'Gate events'!$A$4:$A$553,0))="Shared system baseline",IF(OR(L542&lt;&gt;"Shared system baseline",K542&lt;&gt;""),"Condition scope differs from decision",""),"Parent decision scope missing")),IF(OR(D542="",E542="",F542="",G542=""),"Condition, owner, due date or state missing",IF(NOT(ISNUMBER(F542)),"Due date is not a date",IF(OR(G542="Overdue",G542="Superseded"),"Legacy state — owner review (use the shared five states)",IF(INDEX('Gate events'!$E$4:$E$553,MATCH(B542,'Gate events'!$A$4:$A$553,0))&lt;&gt;"Decision","Parent event is not a Decision",IF(AND(INDEX('Gate events'!$G$4:$G$553,MATCH(B542,'Gate events'!$A$4:$A$553,0))&lt;&gt;"Progress with condition",INDEX('Gate events'!$G$4:$G$553,MATCH(B542,'Gate events'!$A$4:$A$553,0))&lt;&gt;"Re-authorise",INDEX('Gate events'!$G$4:$G$553,MATCH(B542,'Gate events'!$A$4:$A$553,0))&lt;&gt;"Resume"),"Parent outcome is not Progress with condition / Re-authorise / Resume",IF(AND(ISNUMBER(INDEX('Gate events'!$F$4:$F$553,MATCH(B542,'Gate events'!$A$4:$A$553,0))),F542&lt;INDEX('Gate events'!$F$4:$F$553,MATCH(B542,'Gate events'!$A$4:$A$553,0))),"Due date before parent event date",IF(AND(OR(G542="Closed-verified",G542="Waived",G542="Accepted-open"),OR(H542="",I542="")),"Closure evidence missing",IF(AND(H542&lt;&gt;"",NOT(ISNUMBER(H542))),"Closed / waived on is not a date",IF(AND(ISNUMBER(H542),ISNUMBER(INDEX('Gate events'!$F$4:$F$553,MATCH(B542,'Gate events'!$A$4:$A$553,0))),H542&lt;INDEX('Gate events'!$F$4:$F$553,MATCH(B542,'Gate events'!$A$4:$A$553,0))),"Closure date before parent event date",IF(AND(G542="Closed-verified",M542=""),"Verifier / date missing",IF(AND(N542="Yes",G542="Closed-verified",O542=""),"Monitoring condition needs AIG-OPS-02 evidence ref",IF(AND(G542="Open",F542&lt;TODAY()),"OVERDUE (derived) — review",IF(G542="Unknown","State Unknown: owner to confirm","Check against source")))))))))))))))))))</f>
        <v/>
      </c>
      <c r="K542" s="37" t="n"/>
      <c r="L542" s="37" t="n"/>
      <c r="M542" s="38" t="n"/>
      <c r="N542" s="38" t="n"/>
      <c r="O542" s="38" t="n"/>
    </row>
    <row r="543">
      <c r="A543" s="40" t="n"/>
      <c r="B543" s="40" t="n"/>
      <c r="C543" s="40" t="n"/>
      <c r="D543" s="40" t="n"/>
      <c r="E543" s="40" t="n"/>
      <c r="F543" s="41" t="n"/>
      <c r="G543" s="40" t="n"/>
      <c r="H543" s="41" t="n"/>
      <c r="I543" s="40" t="n"/>
      <c r="J543" s="24">
        <f>IF(COUNTA(A543:I543,K543:O543)=0,"",IF(OR(A543="",B543="",C543=""),"ID / parent missing",IF(COUNTIF($A$4:$A$553,A543)&gt;1,"Duplicate condition ID",IF(COUNTIF('Gate events'!$A$4:$A$553,B543)=0,"Event ID not found",IF(INDEX('Gate events'!$B$4:$B$553,MATCH(B543,'Gate events'!$A$4:$A$553,0))&lt;&gt;C543,"AIR-ID differs from event",IF(IF(INDEX('Gate events'!$P$4:$P$553,MATCH(B543,'Gate events'!$A$4:$A$553,0))="UC-ID specific",IF(OR(L543&lt;&gt;"UC-ID specific",K543=""),"Condition UC-ID required",IF(ISNUMBER(SEARCH(","&amp;SUBSTITUTE(K543," ","")&amp;",",","&amp;SUBSTITUTE(INDEX('Gate events'!$O$4:$O$553,MATCH(B543,'Gate events'!$A$4:$A$553,0))," ","")&amp;",")),"","UC-ID differs from decision")),IF(INDEX('Gate events'!$P$4:$P$553,MATCH(B543,'Gate events'!$A$4:$A$553,0))="Shared system baseline",IF(OR(L543&lt;&gt;"Shared system baseline",K543&lt;&gt;""),"Condition scope differs from decision",""),"Parent decision scope missing"))&lt;&gt;"",IF(INDEX('Gate events'!$P$4:$P$553,MATCH(B543,'Gate events'!$A$4:$A$553,0))="UC-ID specific",IF(OR(L543&lt;&gt;"UC-ID specific",K543=""),"Condition UC-ID required",IF(ISNUMBER(SEARCH(","&amp;SUBSTITUTE(K543," ","")&amp;",",","&amp;SUBSTITUTE(INDEX('Gate events'!$O$4:$O$553,MATCH(B543,'Gate events'!$A$4:$A$553,0))," ","")&amp;",")),"","UC-ID differs from decision")),IF(INDEX('Gate events'!$P$4:$P$553,MATCH(B543,'Gate events'!$A$4:$A$553,0))="Shared system baseline",IF(OR(L543&lt;&gt;"Shared system baseline",K543&lt;&gt;""),"Condition scope differs from decision",""),"Parent decision scope missing")),IF(OR(D543="",E543="",F543="",G543=""),"Condition, owner, due date or state missing",IF(NOT(ISNUMBER(F543)),"Due date is not a date",IF(OR(G543="Overdue",G543="Superseded"),"Legacy state — owner review (use the shared five states)",IF(INDEX('Gate events'!$E$4:$E$553,MATCH(B543,'Gate events'!$A$4:$A$553,0))&lt;&gt;"Decision","Parent event is not a Decision",IF(AND(INDEX('Gate events'!$G$4:$G$553,MATCH(B543,'Gate events'!$A$4:$A$553,0))&lt;&gt;"Progress with condition",INDEX('Gate events'!$G$4:$G$553,MATCH(B543,'Gate events'!$A$4:$A$553,0))&lt;&gt;"Re-authorise",INDEX('Gate events'!$G$4:$G$553,MATCH(B543,'Gate events'!$A$4:$A$553,0))&lt;&gt;"Resume"),"Parent outcome is not Progress with condition / Re-authorise / Resume",IF(AND(ISNUMBER(INDEX('Gate events'!$F$4:$F$553,MATCH(B543,'Gate events'!$A$4:$A$553,0))),F543&lt;INDEX('Gate events'!$F$4:$F$553,MATCH(B543,'Gate events'!$A$4:$A$553,0))),"Due date before parent event date",IF(AND(OR(G543="Closed-verified",G543="Waived",G543="Accepted-open"),OR(H543="",I543="")),"Closure evidence missing",IF(AND(H543&lt;&gt;"",NOT(ISNUMBER(H543))),"Closed / waived on is not a date",IF(AND(ISNUMBER(H543),ISNUMBER(INDEX('Gate events'!$F$4:$F$553,MATCH(B543,'Gate events'!$A$4:$A$553,0))),H543&lt;INDEX('Gate events'!$F$4:$F$553,MATCH(B543,'Gate events'!$A$4:$A$553,0))),"Closure date before parent event date",IF(AND(G543="Closed-verified",M543=""),"Verifier / date missing",IF(AND(N543="Yes",G543="Closed-verified",O543=""),"Monitoring condition needs AIG-OPS-02 evidence ref",IF(AND(G543="Open",F543&lt;TODAY()),"OVERDUE (derived) — review",IF(G543="Unknown","State Unknown: owner to confirm","Check against source")))))))))))))))))))</f>
        <v/>
      </c>
      <c r="K543" s="37" t="n"/>
      <c r="L543" s="37" t="n"/>
      <c r="M543" s="40" t="n"/>
      <c r="N543" s="40" t="n"/>
      <c r="O543" s="40" t="n"/>
    </row>
    <row r="544">
      <c r="A544" s="38" t="n"/>
      <c r="B544" s="38" t="n"/>
      <c r="C544" s="38" t="n"/>
      <c r="D544" s="38" t="n"/>
      <c r="E544" s="38" t="n"/>
      <c r="F544" s="39" t="n"/>
      <c r="G544" s="38" t="n"/>
      <c r="H544" s="39" t="n"/>
      <c r="I544" s="38" t="n"/>
      <c r="J544" s="22">
        <f>IF(COUNTA(A544:I544,K544:O544)=0,"",IF(OR(A544="",B544="",C544=""),"ID / parent missing",IF(COUNTIF($A$4:$A$553,A544)&gt;1,"Duplicate condition ID",IF(COUNTIF('Gate events'!$A$4:$A$553,B544)=0,"Event ID not found",IF(INDEX('Gate events'!$B$4:$B$553,MATCH(B544,'Gate events'!$A$4:$A$553,0))&lt;&gt;C544,"AIR-ID differs from event",IF(IF(INDEX('Gate events'!$P$4:$P$553,MATCH(B544,'Gate events'!$A$4:$A$553,0))="UC-ID specific",IF(OR(L544&lt;&gt;"UC-ID specific",K544=""),"Condition UC-ID required",IF(ISNUMBER(SEARCH(","&amp;SUBSTITUTE(K544," ","")&amp;",",","&amp;SUBSTITUTE(INDEX('Gate events'!$O$4:$O$553,MATCH(B544,'Gate events'!$A$4:$A$553,0))," ","")&amp;",")),"","UC-ID differs from decision")),IF(INDEX('Gate events'!$P$4:$P$553,MATCH(B544,'Gate events'!$A$4:$A$553,0))="Shared system baseline",IF(OR(L544&lt;&gt;"Shared system baseline",K544&lt;&gt;""),"Condition scope differs from decision",""),"Parent decision scope missing"))&lt;&gt;"",IF(INDEX('Gate events'!$P$4:$P$553,MATCH(B544,'Gate events'!$A$4:$A$553,0))="UC-ID specific",IF(OR(L544&lt;&gt;"UC-ID specific",K544=""),"Condition UC-ID required",IF(ISNUMBER(SEARCH(","&amp;SUBSTITUTE(K544," ","")&amp;",",","&amp;SUBSTITUTE(INDEX('Gate events'!$O$4:$O$553,MATCH(B544,'Gate events'!$A$4:$A$553,0))," ","")&amp;",")),"","UC-ID differs from decision")),IF(INDEX('Gate events'!$P$4:$P$553,MATCH(B544,'Gate events'!$A$4:$A$553,0))="Shared system baseline",IF(OR(L544&lt;&gt;"Shared system baseline",K544&lt;&gt;""),"Condition scope differs from decision",""),"Parent decision scope missing")),IF(OR(D544="",E544="",F544="",G544=""),"Condition, owner, due date or state missing",IF(NOT(ISNUMBER(F544)),"Due date is not a date",IF(OR(G544="Overdue",G544="Superseded"),"Legacy state — owner review (use the shared five states)",IF(INDEX('Gate events'!$E$4:$E$553,MATCH(B544,'Gate events'!$A$4:$A$553,0))&lt;&gt;"Decision","Parent event is not a Decision",IF(AND(INDEX('Gate events'!$G$4:$G$553,MATCH(B544,'Gate events'!$A$4:$A$553,0))&lt;&gt;"Progress with condition",INDEX('Gate events'!$G$4:$G$553,MATCH(B544,'Gate events'!$A$4:$A$553,0))&lt;&gt;"Re-authorise",INDEX('Gate events'!$G$4:$G$553,MATCH(B544,'Gate events'!$A$4:$A$553,0))&lt;&gt;"Resume"),"Parent outcome is not Progress with condition / Re-authorise / Resume",IF(AND(ISNUMBER(INDEX('Gate events'!$F$4:$F$553,MATCH(B544,'Gate events'!$A$4:$A$553,0))),F544&lt;INDEX('Gate events'!$F$4:$F$553,MATCH(B544,'Gate events'!$A$4:$A$553,0))),"Due date before parent event date",IF(AND(OR(G544="Closed-verified",G544="Waived",G544="Accepted-open"),OR(H544="",I544="")),"Closure evidence missing",IF(AND(H544&lt;&gt;"",NOT(ISNUMBER(H544))),"Closed / waived on is not a date",IF(AND(ISNUMBER(H544),ISNUMBER(INDEX('Gate events'!$F$4:$F$553,MATCH(B544,'Gate events'!$A$4:$A$553,0))),H544&lt;INDEX('Gate events'!$F$4:$F$553,MATCH(B544,'Gate events'!$A$4:$A$553,0))),"Closure date before parent event date",IF(AND(G544="Closed-verified",M544=""),"Verifier / date missing",IF(AND(N544="Yes",G544="Closed-verified",O544=""),"Monitoring condition needs AIG-OPS-02 evidence ref",IF(AND(G544="Open",F544&lt;TODAY()),"OVERDUE (derived) — review",IF(G544="Unknown","State Unknown: owner to confirm","Check against source")))))))))))))))))))</f>
        <v/>
      </c>
      <c r="K544" s="37" t="n"/>
      <c r="L544" s="37" t="n"/>
      <c r="M544" s="38" t="n"/>
      <c r="N544" s="38" t="n"/>
      <c r="O544" s="38" t="n"/>
    </row>
    <row r="545">
      <c r="A545" s="40" t="n"/>
      <c r="B545" s="40" t="n"/>
      <c r="C545" s="40" t="n"/>
      <c r="D545" s="40" t="n"/>
      <c r="E545" s="40" t="n"/>
      <c r="F545" s="41" t="n"/>
      <c r="G545" s="40" t="n"/>
      <c r="H545" s="41" t="n"/>
      <c r="I545" s="40" t="n"/>
      <c r="J545" s="24">
        <f>IF(COUNTA(A545:I545,K545:O545)=0,"",IF(OR(A545="",B545="",C545=""),"ID / parent missing",IF(COUNTIF($A$4:$A$553,A545)&gt;1,"Duplicate condition ID",IF(COUNTIF('Gate events'!$A$4:$A$553,B545)=0,"Event ID not found",IF(INDEX('Gate events'!$B$4:$B$553,MATCH(B545,'Gate events'!$A$4:$A$553,0))&lt;&gt;C545,"AIR-ID differs from event",IF(IF(INDEX('Gate events'!$P$4:$P$553,MATCH(B545,'Gate events'!$A$4:$A$553,0))="UC-ID specific",IF(OR(L545&lt;&gt;"UC-ID specific",K545=""),"Condition UC-ID required",IF(ISNUMBER(SEARCH(","&amp;SUBSTITUTE(K545," ","")&amp;",",","&amp;SUBSTITUTE(INDEX('Gate events'!$O$4:$O$553,MATCH(B545,'Gate events'!$A$4:$A$553,0))," ","")&amp;",")),"","UC-ID differs from decision")),IF(INDEX('Gate events'!$P$4:$P$553,MATCH(B545,'Gate events'!$A$4:$A$553,0))="Shared system baseline",IF(OR(L545&lt;&gt;"Shared system baseline",K545&lt;&gt;""),"Condition scope differs from decision",""),"Parent decision scope missing"))&lt;&gt;"",IF(INDEX('Gate events'!$P$4:$P$553,MATCH(B545,'Gate events'!$A$4:$A$553,0))="UC-ID specific",IF(OR(L545&lt;&gt;"UC-ID specific",K545=""),"Condition UC-ID required",IF(ISNUMBER(SEARCH(","&amp;SUBSTITUTE(K545," ","")&amp;",",","&amp;SUBSTITUTE(INDEX('Gate events'!$O$4:$O$553,MATCH(B545,'Gate events'!$A$4:$A$553,0))," ","")&amp;",")),"","UC-ID differs from decision")),IF(INDEX('Gate events'!$P$4:$P$553,MATCH(B545,'Gate events'!$A$4:$A$553,0))="Shared system baseline",IF(OR(L545&lt;&gt;"Shared system baseline",K545&lt;&gt;""),"Condition scope differs from decision",""),"Parent decision scope missing")),IF(OR(D545="",E545="",F545="",G545=""),"Condition, owner, due date or state missing",IF(NOT(ISNUMBER(F545)),"Due date is not a date",IF(OR(G545="Overdue",G545="Superseded"),"Legacy state — owner review (use the shared five states)",IF(INDEX('Gate events'!$E$4:$E$553,MATCH(B545,'Gate events'!$A$4:$A$553,0))&lt;&gt;"Decision","Parent event is not a Decision",IF(AND(INDEX('Gate events'!$G$4:$G$553,MATCH(B545,'Gate events'!$A$4:$A$553,0))&lt;&gt;"Progress with condition",INDEX('Gate events'!$G$4:$G$553,MATCH(B545,'Gate events'!$A$4:$A$553,0))&lt;&gt;"Re-authorise",INDEX('Gate events'!$G$4:$G$553,MATCH(B545,'Gate events'!$A$4:$A$553,0))&lt;&gt;"Resume"),"Parent outcome is not Progress with condition / Re-authorise / Resume",IF(AND(ISNUMBER(INDEX('Gate events'!$F$4:$F$553,MATCH(B545,'Gate events'!$A$4:$A$553,0))),F545&lt;INDEX('Gate events'!$F$4:$F$553,MATCH(B545,'Gate events'!$A$4:$A$553,0))),"Due date before parent event date",IF(AND(OR(G545="Closed-verified",G545="Waived",G545="Accepted-open"),OR(H545="",I545="")),"Closure evidence missing",IF(AND(H545&lt;&gt;"",NOT(ISNUMBER(H545))),"Closed / waived on is not a date",IF(AND(ISNUMBER(H545),ISNUMBER(INDEX('Gate events'!$F$4:$F$553,MATCH(B545,'Gate events'!$A$4:$A$553,0))),H545&lt;INDEX('Gate events'!$F$4:$F$553,MATCH(B545,'Gate events'!$A$4:$A$553,0))),"Closure date before parent event date",IF(AND(G545="Closed-verified",M545=""),"Verifier / date missing",IF(AND(N545="Yes",G545="Closed-verified",O545=""),"Monitoring condition needs AIG-OPS-02 evidence ref",IF(AND(G545="Open",F545&lt;TODAY()),"OVERDUE (derived) — review",IF(G545="Unknown","State Unknown: owner to confirm","Check against source")))))))))))))))))))</f>
        <v/>
      </c>
      <c r="K545" s="37" t="n"/>
      <c r="L545" s="37" t="n"/>
      <c r="M545" s="40" t="n"/>
      <c r="N545" s="40" t="n"/>
      <c r="O545" s="40" t="n"/>
    </row>
    <row r="546">
      <c r="A546" s="38" t="n"/>
      <c r="B546" s="38" t="n"/>
      <c r="C546" s="38" t="n"/>
      <c r="D546" s="38" t="n"/>
      <c r="E546" s="38" t="n"/>
      <c r="F546" s="39" t="n"/>
      <c r="G546" s="38" t="n"/>
      <c r="H546" s="39" t="n"/>
      <c r="I546" s="38" t="n"/>
      <c r="J546" s="22">
        <f>IF(COUNTA(A546:I546,K546:O546)=0,"",IF(OR(A546="",B546="",C546=""),"ID / parent missing",IF(COUNTIF($A$4:$A$553,A546)&gt;1,"Duplicate condition ID",IF(COUNTIF('Gate events'!$A$4:$A$553,B546)=0,"Event ID not found",IF(INDEX('Gate events'!$B$4:$B$553,MATCH(B546,'Gate events'!$A$4:$A$553,0))&lt;&gt;C546,"AIR-ID differs from event",IF(IF(INDEX('Gate events'!$P$4:$P$553,MATCH(B546,'Gate events'!$A$4:$A$553,0))="UC-ID specific",IF(OR(L546&lt;&gt;"UC-ID specific",K546=""),"Condition UC-ID required",IF(ISNUMBER(SEARCH(","&amp;SUBSTITUTE(K546," ","")&amp;",",","&amp;SUBSTITUTE(INDEX('Gate events'!$O$4:$O$553,MATCH(B546,'Gate events'!$A$4:$A$553,0))," ","")&amp;",")),"","UC-ID differs from decision")),IF(INDEX('Gate events'!$P$4:$P$553,MATCH(B546,'Gate events'!$A$4:$A$553,0))="Shared system baseline",IF(OR(L546&lt;&gt;"Shared system baseline",K546&lt;&gt;""),"Condition scope differs from decision",""),"Parent decision scope missing"))&lt;&gt;"",IF(INDEX('Gate events'!$P$4:$P$553,MATCH(B546,'Gate events'!$A$4:$A$553,0))="UC-ID specific",IF(OR(L546&lt;&gt;"UC-ID specific",K546=""),"Condition UC-ID required",IF(ISNUMBER(SEARCH(","&amp;SUBSTITUTE(K546," ","")&amp;",",","&amp;SUBSTITUTE(INDEX('Gate events'!$O$4:$O$553,MATCH(B546,'Gate events'!$A$4:$A$553,0))," ","")&amp;",")),"","UC-ID differs from decision")),IF(INDEX('Gate events'!$P$4:$P$553,MATCH(B546,'Gate events'!$A$4:$A$553,0))="Shared system baseline",IF(OR(L546&lt;&gt;"Shared system baseline",K546&lt;&gt;""),"Condition scope differs from decision",""),"Parent decision scope missing")),IF(OR(D546="",E546="",F546="",G546=""),"Condition, owner, due date or state missing",IF(NOT(ISNUMBER(F546)),"Due date is not a date",IF(OR(G546="Overdue",G546="Superseded"),"Legacy state — owner review (use the shared five states)",IF(INDEX('Gate events'!$E$4:$E$553,MATCH(B546,'Gate events'!$A$4:$A$553,0))&lt;&gt;"Decision","Parent event is not a Decision",IF(AND(INDEX('Gate events'!$G$4:$G$553,MATCH(B546,'Gate events'!$A$4:$A$553,0))&lt;&gt;"Progress with condition",INDEX('Gate events'!$G$4:$G$553,MATCH(B546,'Gate events'!$A$4:$A$553,0))&lt;&gt;"Re-authorise",INDEX('Gate events'!$G$4:$G$553,MATCH(B546,'Gate events'!$A$4:$A$553,0))&lt;&gt;"Resume"),"Parent outcome is not Progress with condition / Re-authorise / Resume",IF(AND(ISNUMBER(INDEX('Gate events'!$F$4:$F$553,MATCH(B546,'Gate events'!$A$4:$A$553,0))),F546&lt;INDEX('Gate events'!$F$4:$F$553,MATCH(B546,'Gate events'!$A$4:$A$553,0))),"Due date before parent event date",IF(AND(OR(G546="Closed-verified",G546="Waived",G546="Accepted-open"),OR(H546="",I546="")),"Closure evidence missing",IF(AND(H546&lt;&gt;"",NOT(ISNUMBER(H546))),"Closed / waived on is not a date",IF(AND(ISNUMBER(H546),ISNUMBER(INDEX('Gate events'!$F$4:$F$553,MATCH(B546,'Gate events'!$A$4:$A$553,0))),H546&lt;INDEX('Gate events'!$F$4:$F$553,MATCH(B546,'Gate events'!$A$4:$A$553,0))),"Closure date before parent event date",IF(AND(G546="Closed-verified",M546=""),"Verifier / date missing",IF(AND(N546="Yes",G546="Closed-verified",O546=""),"Monitoring condition needs AIG-OPS-02 evidence ref",IF(AND(G546="Open",F546&lt;TODAY()),"OVERDUE (derived) — review",IF(G546="Unknown","State Unknown: owner to confirm","Check against source")))))))))))))))))))</f>
        <v/>
      </c>
      <c r="K546" s="37" t="n"/>
      <c r="L546" s="37" t="n"/>
      <c r="M546" s="38" t="n"/>
      <c r="N546" s="38" t="n"/>
      <c r="O546" s="38" t="n"/>
    </row>
    <row r="547">
      <c r="A547" s="40" t="n"/>
      <c r="B547" s="40" t="n"/>
      <c r="C547" s="40" t="n"/>
      <c r="D547" s="40" t="n"/>
      <c r="E547" s="40" t="n"/>
      <c r="F547" s="41" t="n"/>
      <c r="G547" s="40" t="n"/>
      <c r="H547" s="41" t="n"/>
      <c r="I547" s="40" t="n"/>
      <c r="J547" s="24">
        <f>IF(COUNTA(A547:I547,K547:O547)=0,"",IF(OR(A547="",B547="",C547=""),"ID / parent missing",IF(COUNTIF($A$4:$A$553,A547)&gt;1,"Duplicate condition ID",IF(COUNTIF('Gate events'!$A$4:$A$553,B547)=0,"Event ID not found",IF(INDEX('Gate events'!$B$4:$B$553,MATCH(B547,'Gate events'!$A$4:$A$553,0))&lt;&gt;C547,"AIR-ID differs from event",IF(IF(INDEX('Gate events'!$P$4:$P$553,MATCH(B547,'Gate events'!$A$4:$A$553,0))="UC-ID specific",IF(OR(L547&lt;&gt;"UC-ID specific",K547=""),"Condition UC-ID required",IF(ISNUMBER(SEARCH(","&amp;SUBSTITUTE(K547," ","")&amp;",",","&amp;SUBSTITUTE(INDEX('Gate events'!$O$4:$O$553,MATCH(B547,'Gate events'!$A$4:$A$553,0))," ","")&amp;",")),"","UC-ID differs from decision")),IF(INDEX('Gate events'!$P$4:$P$553,MATCH(B547,'Gate events'!$A$4:$A$553,0))="Shared system baseline",IF(OR(L547&lt;&gt;"Shared system baseline",K547&lt;&gt;""),"Condition scope differs from decision",""),"Parent decision scope missing"))&lt;&gt;"",IF(INDEX('Gate events'!$P$4:$P$553,MATCH(B547,'Gate events'!$A$4:$A$553,0))="UC-ID specific",IF(OR(L547&lt;&gt;"UC-ID specific",K547=""),"Condition UC-ID required",IF(ISNUMBER(SEARCH(","&amp;SUBSTITUTE(K547," ","")&amp;",",","&amp;SUBSTITUTE(INDEX('Gate events'!$O$4:$O$553,MATCH(B547,'Gate events'!$A$4:$A$553,0))," ","")&amp;",")),"","UC-ID differs from decision")),IF(INDEX('Gate events'!$P$4:$P$553,MATCH(B547,'Gate events'!$A$4:$A$553,0))="Shared system baseline",IF(OR(L547&lt;&gt;"Shared system baseline",K547&lt;&gt;""),"Condition scope differs from decision",""),"Parent decision scope missing")),IF(OR(D547="",E547="",F547="",G547=""),"Condition, owner, due date or state missing",IF(NOT(ISNUMBER(F547)),"Due date is not a date",IF(OR(G547="Overdue",G547="Superseded"),"Legacy state — owner review (use the shared five states)",IF(INDEX('Gate events'!$E$4:$E$553,MATCH(B547,'Gate events'!$A$4:$A$553,0))&lt;&gt;"Decision","Parent event is not a Decision",IF(AND(INDEX('Gate events'!$G$4:$G$553,MATCH(B547,'Gate events'!$A$4:$A$553,0))&lt;&gt;"Progress with condition",INDEX('Gate events'!$G$4:$G$553,MATCH(B547,'Gate events'!$A$4:$A$553,0))&lt;&gt;"Re-authorise",INDEX('Gate events'!$G$4:$G$553,MATCH(B547,'Gate events'!$A$4:$A$553,0))&lt;&gt;"Resume"),"Parent outcome is not Progress with condition / Re-authorise / Resume",IF(AND(ISNUMBER(INDEX('Gate events'!$F$4:$F$553,MATCH(B547,'Gate events'!$A$4:$A$553,0))),F547&lt;INDEX('Gate events'!$F$4:$F$553,MATCH(B547,'Gate events'!$A$4:$A$553,0))),"Due date before parent event date",IF(AND(OR(G547="Closed-verified",G547="Waived",G547="Accepted-open"),OR(H547="",I547="")),"Closure evidence missing",IF(AND(H547&lt;&gt;"",NOT(ISNUMBER(H547))),"Closed / waived on is not a date",IF(AND(ISNUMBER(H547),ISNUMBER(INDEX('Gate events'!$F$4:$F$553,MATCH(B547,'Gate events'!$A$4:$A$553,0))),H547&lt;INDEX('Gate events'!$F$4:$F$553,MATCH(B547,'Gate events'!$A$4:$A$553,0))),"Closure date before parent event date",IF(AND(G547="Closed-verified",M547=""),"Verifier / date missing",IF(AND(N547="Yes",G547="Closed-verified",O547=""),"Monitoring condition needs AIG-OPS-02 evidence ref",IF(AND(G547="Open",F547&lt;TODAY()),"OVERDUE (derived) — review",IF(G547="Unknown","State Unknown: owner to confirm","Check against source")))))))))))))))))))</f>
        <v/>
      </c>
      <c r="K547" s="37" t="n"/>
      <c r="L547" s="37" t="n"/>
      <c r="M547" s="40" t="n"/>
      <c r="N547" s="40" t="n"/>
      <c r="O547" s="40" t="n"/>
    </row>
    <row r="548">
      <c r="A548" s="38" t="n"/>
      <c r="B548" s="38" t="n"/>
      <c r="C548" s="38" t="n"/>
      <c r="D548" s="38" t="n"/>
      <c r="E548" s="38" t="n"/>
      <c r="F548" s="39" t="n"/>
      <c r="G548" s="38" t="n"/>
      <c r="H548" s="39" t="n"/>
      <c r="I548" s="38" t="n"/>
      <c r="J548" s="22">
        <f>IF(COUNTA(A548:I548,K548:O548)=0,"",IF(OR(A548="",B548="",C548=""),"ID / parent missing",IF(COUNTIF($A$4:$A$553,A548)&gt;1,"Duplicate condition ID",IF(COUNTIF('Gate events'!$A$4:$A$553,B548)=0,"Event ID not found",IF(INDEX('Gate events'!$B$4:$B$553,MATCH(B548,'Gate events'!$A$4:$A$553,0))&lt;&gt;C548,"AIR-ID differs from event",IF(IF(INDEX('Gate events'!$P$4:$P$553,MATCH(B548,'Gate events'!$A$4:$A$553,0))="UC-ID specific",IF(OR(L548&lt;&gt;"UC-ID specific",K548=""),"Condition UC-ID required",IF(ISNUMBER(SEARCH(","&amp;SUBSTITUTE(K548," ","")&amp;",",","&amp;SUBSTITUTE(INDEX('Gate events'!$O$4:$O$553,MATCH(B548,'Gate events'!$A$4:$A$553,0))," ","")&amp;",")),"","UC-ID differs from decision")),IF(INDEX('Gate events'!$P$4:$P$553,MATCH(B548,'Gate events'!$A$4:$A$553,0))="Shared system baseline",IF(OR(L548&lt;&gt;"Shared system baseline",K548&lt;&gt;""),"Condition scope differs from decision",""),"Parent decision scope missing"))&lt;&gt;"",IF(INDEX('Gate events'!$P$4:$P$553,MATCH(B548,'Gate events'!$A$4:$A$553,0))="UC-ID specific",IF(OR(L548&lt;&gt;"UC-ID specific",K548=""),"Condition UC-ID required",IF(ISNUMBER(SEARCH(","&amp;SUBSTITUTE(K548," ","")&amp;",",","&amp;SUBSTITUTE(INDEX('Gate events'!$O$4:$O$553,MATCH(B548,'Gate events'!$A$4:$A$553,0))," ","")&amp;",")),"","UC-ID differs from decision")),IF(INDEX('Gate events'!$P$4:$P$553,MATCH(B548,'Gate events'!$A$4:$A$553,0))="Shared system baseline",IF(OR(L548&lt;&gt;"Shared system baseline",K548&lt;&gt;""),"Condition scope differs from decision",""),"Parent decision scope missing")),IF(OR(D548="",E548="",F548="",G548=""),"Condition, owner, due date or state missing",IF(NOT(ISNUMBER(F548)),"Due date is not a date",IF(OR(G548="Overdue",G548="Superseded"),"Legacy state — owner review (use the shared five states)",IF(INDEX('Gate events'!$E$4:$E$553,MATCH(B548,'Gate events'!$A$4:$A$553,0))&lt;&gt;"Decision","Parent event is not a Decision",IF(AND(INDEX('Gate events'!$G$4:$G$553,MATCH(B548,'Gate events'!$A$4:$A$553,0))&lt;&gt;"Progress with condition",INDEX('Gate events'!$G$4:$G$553,MATCH(B548,'Gate events'!$A$4:$A$553,0))&lt;&gt;"Re-authorise",INDEX('Gate events'!$G$4:$G$553,MATCH(B548,'Gate events'!$A$4:$A$553,0))&lt;&gt;"Resume"),"Parent outcome is not Progress with condition / Re-authorise / Resume",IF(AND(ISNUMBER(INDEX('Gate events'!$F$4:$F$553,MATCH(B548,'Gate events'!$A$4:$A$553,0))),F548&lt;INDEX('Gate events'!$F$4:$F$553,MATCH(B548,'Gate events'!$A$4:$A$553,0))),"Due date before parent event date",IF(AND(OR(G548="Closed-verified",G548="Waived",G548="Accepted-open"),OR(H548="",I548="")),"Closure evidence missing",IF(AND(H548&lt;&gt;"",NOT(ISNUMBER(H548))),"Closed / waived on is not a date",IF(AND(ISNUMBER(H548),ISNUMBER(INDEX('Gate events'!$F$4:$F$553,MATCH(B548,'Gate events'!$A$4:$A$553,0))),H548&lt;INDEX('Gate events'!$F$4:$F$553,MATCH(B548,'Gate events'!$A$4:$A$553,0))),"Closure date before parent event date",IF(AND(G548="Closed-verified",M548=""),"Verifier / date missing",IF(AND(N548="Yes",G548="Closed-verified",O548=""),"Monitoring condition needs AIG-OPS-02 evidence ref",IF(AND(G548="Open",F548&lt;TODAY()),"OVERDUE (derived) — review",IF(G548="Unknown","State Unknown: owner to confirm","Check against source")))))))))))))))))))</f>
        <v/>
      </c>
      <c r="K548" s="37" t="n"/>
      <c r="L548" s="37" t="n"/>
      <c r="M548" s="38" t="n"/>
      <c r="N548" s="38" t="n"/>
      <c r="O548" s="38" t="n"/>
    </row>
    <row r="549">
      <c r="A549" s="40" t="n"/>
      <c r="B549" s="40" t="n"/>
      <c r="C549" s="40" t="n"/>
      <c r="D549" s="40" t="n"/>
      <c r="E549" s="40" t="n"/>
      <c r="F549" s="41" t="n"/>
      <c r="G549" s="40" t="n"/>
      <c r="H549" s="41" t="n"/>
      <c r="I549" s="40" t="n"/>
      <c r="J549" s="24">
        <f>IF(COUNTA(A549:I549,K549:O549)=0,"",IF(OR(A549="",B549="",C549=""),"ID / parent missing",IF(COUNTIF($A$4:$A$553,A549)&gt;1,"Duplicate condition ID",IF(COUNTIF('Gate events'!$A$4:$A$553,B549)=0,"Event ID not found",IF(INDEX('Gate events'!$B$4:$B$553,MATCH(B549,'Gate events'!$A$4:$A$553,0))&lt;&gt;C549,"AIR-ID differs from event",IF(IF(INDEX('Gate events'!$P$4:$P$553,MATCH(B549,'Gate events'!$A$4:$A$553,0))="UC-ID specific",IF(OR(L549&lt;&gt;"UC-ID specific",K549=""),"Condition UC-ID required",IF(ISNUMBER(SEARCH(","&amp;SUBSTITUTE(K549," ","")&amp;",",","&amp;SUBSTITUTE(INDEX('Gate events'!$O$4:$O$553,MATCH(B549,'Gate events'!$A$4:$A$553,0))," ","")&amp;",")),"","UC-ID differs from decision")),IF(INDEX('Gate events'!$P$4:$P$553,MATCH(B549,'Gate events'!$A$4:$A$553,0))="Shared system baseline",IF(OR(L549&lt;&gt;"Shared system baseline",K549&lt;&gt;""),"Condition scope differs from decision",""),"Parent decision scope missing"))&lt;&gt;"",IF(INDEX('Gate events'!$P$4:$P$553,MATCH(B549,'Gate events'!$A$4:$A$553,0))="UC-ID specific",IF(OR(L549&lt;&gt;"UC-ID specific",K549=""),"Condition UC-ID required",IF(ISNUMBER(SEARCH(","&amp;SUBSTITUTE(K549," ","")&amp;",",","&amp;SUBSTITUTE(INDEX('Gate events'!$O$4:$O$553,MATCH(B549,'Gate events'!$A$4:$A$553,0))," ","")&amp;",")),"","UC-ID differs from decision")),IF(INDEX('Gate events'!$P$4:$P$553,MATCH(B549,'Gate events'!$A$4:$A$553,0))="Shared system baseline",IF(OR(L549&lt;&gt;"Shared system baseline",K549&lt;&gt;""),"Condition scope differs from decision",""),"Parent decision scope missing")),IF(OR(D549="",E549="",F549="",G549=""),"Condition, owner, due date or state missing",IF(NOT(ISNUMBER(F549)),"Due date is not a date",IF(OR(G549="Overdue",G549="Superseded"),"Legacy state — owner review (use the shared five states)",IF(INDEX('Gate events'!$E$4:$E$553,MATCH(B549,'Gate events'!$A$4:$A$553,0))&lt;&gt;"Decision","Parent event is not a Decision",IF(AND(INDEX('Gate events'!$G$4:$G$553,MATCH(B549,'Gate events'!$A$4:$A$553,0))&lt;&gt;"Progress with condition",INDEX('Gate events'!$G$4:$G$553,MATCH(B549,'Gate events'!$A$4:$A$553,0))&lt;&gt;"Re-authorise",INDEX('Gate events'!$G$4:$G$553,MATCH(B549,'Gate events'!$A$4:$A$553,0))&lt;&gt;"Resume"),"Parent outcome is not Progress with condition / Re-authorise / Resume",IF(AND(ISNUMBER(INDEX('Gate events'!$F$4:$F$553,MATCH(B549,'Gate events'!$A$4:$A$553,0))),F549&lt;INDEX('Gate events'!$F$4:$F$553,MATCH(B549,'Gate events'!$A$4:$A$553,0))),"Due date before parent event date",IF(AND(OR(G549="Closed-verified",G549="Waived",G549="Accepted-open"),OR(H549="",I549="")),"Closure evidence missing",IF(AND(H549&lt;&gt;"",NOT(ISNUMBER(H549))),"Closed / waived on is not a date",IF(AND(ISNUMBER(H549),ISNUMBER(INDEX('Gate events'!$F$4:$F$553,MATCH(B549,'Gate events'!$A$4:$A$553,0))),H549&lt;INDEX('Gate events'!$F$4:$F$553,MATCH(B549,'Gate events'!$A$4:$A$553,0))),"Closure date before parent event date",IF(AND(G549="Closed-verified",M549=""),"Verifier / date missing",IF(AND(N549="Yes",G549="Closed-verified",O549=""),"Monitoring condition needs AIG-OPS-02 evidence ref",IF(AND(G549="Open",F549&lt;TODAY()),"OVERDUE (derived) — review",IF(G549="Unknown","State Unknown: owner to confirm","Check against source")))))))))))))))))))</f>
        <v/>
      </c>
      <c r="K549" s="37" t="n"/>
      <c r="L549" s="37" t="n"/>
      <c r="M549" s="40" t="n"/>
      <c r="N549" s="40" t="n"/>
      <c r="O549" s="40" t="n"/>
    </row>
    <row r="550">
      <c r="A550" s="38" t="n"/>
      <c r="B550" s="38" t="n"/>
      <c r="C550" s="38" t="n"/>
      <c r="D550" s="38" t="n"/>
      <c r="E550" s="38" t="n"/>
      <c r="F550" s="39" t="n"/>
      <c r="G550" s="38" t="n"/>
      <c r="H550" s="39" t="n"/>
      <c r="I550" s="38" t="n"/>
      <c r="J550" s="22">
        <f>IF(COUNTA(A550:I550,K550:O550)=0,"",IF(OR(A550="",B550="",C550=""),"ID / parent missing",IF(COUNTIF($A$4:$A$553,A550)&gt;1,"Duplicate condition ID",IF(COUNTIF('Gate events'!$A$4:$A$553,B550)=0,"Event ID not found",IF(INDEX('Gate events'!$B$4:$B$553,MATCH(B550,'Gate events'!$A$4:$A$553,0))&lt;&gt;C550,"AIR-ID differs from event",IF(IF(INDEX('Gate events'!$P$4:$P$553,MATCH(B550,'Gate events'!$A$4:$A$553,0))="UC-ID specific",IF(OR(L550&lt;&gt;"UC-ID specific",K550=""),"Condition UC-ID required",IF(ISNUMBER(SEARCH(","&amp;SUBSTITUTE(K550," ","")&amp;",",","&amp;SUBSTITUTE(INDEX('Gate events'!$O$4:$O$553,MATCH(B550,'Gate events'!$A$4:$A$553,0))," ","")&amp;",")),"","UC-ID differs from decision")),IF(INDEX('Gate events'!$P$4:$P$553,MATCH(B550,'Gate events'!$A$4:$A$553,0))="Shared system baseline",IF(OR(L550&lt;&gt;"Shared system baseline",K550&lt;&gt;""),"Condition scope differs from decision",""),"Parent decision scope missing"))&lt;&gt;"",IF(INDEX('Gate events'!$P$4:$P$553,MATCH(B550,'Gate events'!$A$4:$A$553,0))="UC-ID specific",IF(OR(L550&lt;&gt;"UC-ID specific",K550=""),"Condition UC-ID required",IF(ISNUMBER(SEARCH(","&amp;SUBSTITUTE(K550," ","")&amp;",",","&amp;SUBSTITUTE(INDEX('Gate events'!$O$4:$O$553,MATCH(B550,'Gate events'!$A$4:$A$553,0))," ","")&amp;",")),"","UC-ID differs from decision")),IF(INDEX('Gate events'!$P$4:$P$553,MATCH(B550,'Gate events'!$A$4:$A$553,0))="Shared system baseline",IF(OR(L550&lt;&gt;"Shared system baseline",K550&lt;&gt;""),"Condition scope differs from decision",""),"Parent decision scope missing")),IF(OR(D550="",E550="",F550="",G550=""),"Condition, owner, due date or state missing",IF(NOT(ISNUMBER(F550)),"Due date is not a date",IF(OR(G550="Overdue",G550="Superseded"),"Legacy state — owner review (use the shared five states)",IF(INDEX('Gate events'!$E$4:$E$553,MATCH(B550,'Gate events'!$A$4:$A$553,0))&lt;&gt;"Decision","Parent event is not a Decision",IF(AND(INDEX('Gate events'!$G$4:$G$553,MATCH(B550,'Gate events'!$A$4:$A$553,0))&lt;&gt;"Progress with condition",INDEX('Gate events'!$G$4:$G$553,MATCH(B550,'Gate events'!$A$4:$A$553,0))&lt;&gt;"Re-authorise",INDEX('Gate events'!$G$4:$G$553,MATCH(B550,'Gate events'!$A$4:$A$553,0))&lt;&gt;"Resume"),"Parent outcome is not Progress with condition / Re-authorise / Resume",IF(AND(ISNUMBER(INDEX('Gate events'!$F$4:$F$553,MATCH(B550,'Gate events'!$A$4:$A$553,0))),F550&lt;INDEX('Gate events'!$F$4:$F$553,MATCH(B550,'Gate events'!$A$4:$A$553,0))),"Due date before parent event date",IF(AND(OR(G550="Closed-verified",G550="Waived",G550="Accepted-open"),OR(H550="",I550="")),"Closure evidence missing",IF(AND(H550&lt;&gt;"",NOT(ISNUMBER(H550))),"Closed / waived on is not a date",IF(AND(ISNUMBER(H550),ISNUMBER(INDEX('Gate events'!$F$4:$F$553,MATCH(B550,'Gate events'!$A$4:$A$553,0))),H550&lt;INDEX('Gate events'!$F$4:$F$553,MATCH(B550,'Gate events'!$A$4:$A$553,0))),"Closure date before parent event date",IF(AND(G550="Closed-verified",M550=""),"Verifier / date missing",IF(AND(N550="Yes",G550="Closed-verified",O550=""),"Monitoring condition needs AIG-OPS-02 evidence ref",IF(AND(G550="Open",F550&lt;TODAY()),"OVERDUE (derived) — review",IF(G550="Unknown","State Unknown: owner to confirm","Check against source")))))))))))))))))))</f>
        <v/>
      </c>
      <c r="K550" s="37" t="n"/>
      <c r="L550" s="37" t="n"/>
      <c r="M550" s="38" t="n"/>
      <c r="N550" s="38" t="n"/>
      <c r="O550" s="38" t="n"/>
    </row>
    <row r="551">
      <c r="A551" s="40" t="n"/>
      <c r="B551" s="40" t="n"/>
      <c r="C551" s="40" t="n"/>
      <c r="D551" s="40" t="n"/>
      <c r="E551" s="40" t="n"/>
      <c r="F551" s="41" t="n"/>
      <c r="G551" s="40" t="n"/>
      <c r="H551" s="41" t="n"/>
      <c r="I551" s="40" t="n"/>
      <c r="J551" s="24">
        <f>IF(COUNTA(A551:I551,K551:O551)=0,"",IF(OR(A551="",B551="",C551=""),"ID / parent missing",IF(COUNTIF($A$4:$A$553,A551)&gt;1,"Duplicate condition ID",IF(COUNTIF('Gate events'!$A$4:$A$553,B551)=0,"Event ID not found",IF(INDEX('Gate events'!$B$4:$B$553,MATCH(B551,'Gate events'!$A$4:$A$553,0))&lt;&gt;C551,"AIR-ID differs from event",IF(IF(INDEX('Gate events'!$P$4:$P$553,MATCH(B551,'Gate events'!$A$4:$A$553,0))="UC-ID specific",IF(OR(L551&lt;&gt;"UC-ID specific",K551=""),"Condition UC-ID required",IF(ISNUMBER(SEARCH(","&amp;SUBSTITUTE(K551," ","")&amp;",",","&amp;SUBSTITUTE(INDEX('Gate events'!$O$4:$O$553,MATCH(B551,'Gate events'!$A$4:$A$553,0))," ","")&amp;",")),"","UC-ID differs from decision")),IF(INDEX('Gate events'!$P$4:$P$553,MATCH(B551,'Gate events'!$A$4:$A$553,0))="Shared system baseline",IF(OR(L551&lt;&gt;"Shared system baseline",K551&lt;&gt;""),"Condition scope differs from decision",""),"Parent decision scope missing"))&lt;&gt;"",IF(INDEX('Gate events'!$P$4:$P$553,MATCH(B551,'Gate events'!$A$4:$A$553,0))="UC-ID specific",IF(OR(L551&lt;&gt;"UC-ID specific",K551=""),"Condition UC-ID required",IF(ISNUMBER(SEARCH(","&amp;SUBSTITUTE(K551," ","")&amp;",",","&amp;SUBSTITUTE(INDEX('Gate events'!$O$4:$O$553,MATCH(B551,'Gate events'!$A$4:$A$553,0))," ","")&amp;",")),"","UC-ID differs from decision")),IF(INDEX('Gate events'!$P$4:$P$553,MATCH(B551,'Gate events'!$A$4:$A$553,0))="Shared system baseline",IF(OR(L551&lt;&gt;"Shared system baseline",K551&lt;&gt;""),"Condition scope differs from decision",""),"Parent decision scope missing")),IF(OR(D551="",E551="",F551="",G551=""),"Condition, owner, due date or state missing",IF(NOT(ISNUMBER(F551)),"Due date is not a date",IF(OR(G551="Overdue",G551="Superseded"),"Legacy state — owner review (use the shared five states)",IF(INDEX('Gate events'!$E$4:$E$553,MATCH(B551,'Gate events'!$A$4:$A$553,0))&lt;&gt;"Decision","Parent event is not a Decision",IF(AND(INDEX('Gate events'!$G$4:$G$553,MATCH(B551,'Gate events'!$A$4:$A$553,0))&lt;&gt;"Progress with condition",INDEX('Gate events'!$G$4:$G$553,MATCH(B551,'Gate events'!$A$4:$A$553,0))&lt;&gt;"Re-authorise",INDEX('Gate events'!$G$4:$G$553,MATCH(B551,'Gate events'!$A$4:$A$553,0))&lt;&gt;"Resume"),"Parent outcome is not Progress with condition / Re-authorise / Resume",IF(AND(ISNUMBER(INDEX('Gate events'!$F$4:$F$553,MATCH(B551,'Gate events'!$A$4:$A$553,0))),F551&lt;INDEX('Gate events'!$F$4:$F$553,MATCH(B551,'Gate events'!$A$4:$A$553,0))),"Due date before parent event date",IF(AND(OR(G551="Closed-verified",G551="Waived",G551="Accepted-open"),OR(H551="",I551="")),"Closure evidence missing",IF(AND(H551&lt;&gt;"",NOT(ISNUMBER(H551))),"Closed / waived on is not a date",IF(AND(ISNUMBER(H551),ISNUMBER(INDEX('Gate events'!$F$4:$F$553,MATCH(B551,'Gate events'!$A$4:$A$553,0))),H551&lt;INDEX('Gate events'!$F$4:$F$553,MATCH(B551,'Gate events'!$A$4:$A$553,0))),"Closure date before parent event date",IF(AND(G551="Closed-verified",M551=""),"Verifier / date missing",IF(AND(N551="Yes",G551="Closed-verified",O551=""),"Monitoring condition needs AIG-OPS-02 evidence ref",IF(AND(G551="Open",F551&lt;TODAY()),"OVERDUE (derived) — review",IF(G551="Unknown","State Unknown: owner to confirm","Check against source")))))))))))))))))))</f>
        <v/>
      </c>
      <c r="K551" s="37" t="n"/>
      <c r="L551" s="37" t="n"/>
      <c r="M551" s="40" t="n"/>
      <c r="N551" s="40" t="n"/>
      <c r="O551" s="40" t="n"/>
    </row>
    <row r="552">
      <c r="A552" s="38" t="n"/>
      <c r="B552" s="38" t="n"/>
      <c r="C552" s="38" t="n"/>
      <c r="D552" s="38" t="n"/>
      <c r="E552" s="38" t="n"/>
      <c r="F552" s="39" t="n"/>
      <c r="G552" s="38" t="n"/>
      <c r="H552" s="39" t="n"/>
      <c r="I552" s="38" t="n"/>
      <c r="J552" s="22">
        <f>IF(COUNTA(A552:I552,K552:O552)=0,"",IF(OR(A552="",B552="",C552=""),"ID / parent missing",IF(COUNTIF($A$4:$A$553,A552)&gt;1,"Duplicate condition ID",IF(COUNTIF('Gate events'!$A$4:$A$553,B552)=0,"Event ID not found",IF(INDEX('Gate events'!$B$4:$B$553,MATCH(B552,'Gate events'!$A$4:$A$553,0))&lt;&gt;C552,"AIR-ID differs from event",IF(IF(INDEX('Gate events'!$P$4:$P$553,MATCH(B552,'Gate events'!$A$4:$A$553,0))="UC-ID specific",IF(OR(L552&lt;&gt;"UC-ID specific",K552=""),"Condition UC-ID required",IF(ISNUMBER(SEARCH(","&amp;SUBSTITUTE(K552," ","")&amp;",",","&amp;SUBSTITUTE(INDEX('Gate events'!$O$4:$O$553,MATCH(B552,'Gate events'!$A$4:$A$553,0))," ","")&amp;",")),"","UC-ID differs from decision")),IF(INDEX('Gate events'!$P$4:$P$553,MATCH(B552,'Gate events'!$A$4:$A$553,0))="Shared system baseline",IF(OR(L552&lt;&gt;"Shared system baseline",K552&lt;&gt;""),"Condition scope differs from decision",""),"Parent decision scope missing"))&lt;&gt;"",IF(INDEX('Gate events'!$P$4:$P$553,MATCH(B552,'Gate events'!$A$4:$A$553,0))="UC-ID specific",IF(OR(L552&lt;&gt;"UC-ID specific",K552=""),"Condition UC-ID required",IF(ISNUMBER(SEARCH(","&amp;SUBSTITUTE(K552," ","")&amp;",",","&amp;SUBSTITUTE(INDEX('Gate events'!$O$4:$O$553,MATCH(B552,'Gate events'!$A$4:$A$553,0))," ","")&amp;",")),"","UC-ID differs from decision")),IF(INDEX('Gate events'!$P$4:$P$553,MATCH(B552,'Gate events'!$A$4:$A$553,0))="Shared system baseline",IF(OR(L552&lt;&gt;"Shared system baseline",K552&lt;&gt;""),"Condition scope differs from decision",""),"Parent decision scope missing")),IF(OR(D552="",E552="",F552="",G552=""),"Condition, owner, due date or state missing",IF(NOT(ISNUMBER(F552)),"Due date is not a date",IF(OR(G552="Overdue",G552="Superseded"),"Legacy state — owner review (use the shared five states)",IF(INDEX('Gate events'!$E$4:$E$553,MATCH(B552,'Gate events'!$A$4:$A$553,0))&lt;&gt;"Decision","Parent event is not a Decision",IF(AND(INDEX('Gate events'!$G$4:$G$553,MATCH(B552,'Gate events'!$A$4:$A$553,0))&lt;&gt;"Progress with condition",INDEX('Gate events'!$G$4:$G$553,MATCH(B552,'Gate events'!$A$4:$A$553,0))&lt;&gt;"Re-authorise",INDEX('Gate events'!$G$4:$G$553,MATCH(B552,'Gate events'!$A$4:$A$553,0))&lt;&gt;"Resume"),"Parent outcome is not Progress with condition / Re-authorise / Resume",IF(AND(ISNUMBER(INDEX('Gate events'!$F$4:$F$553,MATCH(B552,'Gate events'!$A$4:$A$553,0))),F552&lt;INDEX('Gate events'!$F$4:$F$553,MATCH(B552,'Gate events'!$A$4:$A$553,0))),"Due date before parent event date",IF(AND(OR(G552="Closed-verified",G552="Waived",G552="Accepted-open"),OR(H552="",I552="")),"Closure evidence missing",IF(AND(H552&lt;&gt;"",NOT(ISNUMBER(H552))),"Closed / waived on is not a date",IF(AND(ISNUMBER(H552),ISNUMBER(INDEX('Gate events'!$F$4:$F$553,MATCH(B552,'Gate events'!$A$4:$A$553,0))),H552&lt;INDEX('Gate events'!$F$4:$F$553,MATCH(B552,'Gate events'!$A$4:$A$553,0))),"Closure date before parent event date",IF(AND(G552="Closed-verified",M552=""),"Verifier / date missing",IF(AND(N552="Yes",G552="Closed-verified",O552=""),"Monitoring condition needs AIG-OPS-02 evidence ref",IF(AND(G552="Open",F552&lt;TODAY()),"OVERDUE (derived) — review",IF(G552="Unknown","State Unknown: owner to confirm","Check against source")))))))))))))))))))</f>
        <v/>
      </c>
      <c r="K552" s="37" t="n"/>
      <c r="L552" s="37" t="n"/>
      <c r="M552" s="38" t="n"/>
      <c r="N552" s="38" t="n"/>
      <c r="O552" s="38" t="n"/>
    </row>
    <row r="553">
      <c r="A553" s="40" t="n"/>
      <c r="B553" s="40" t="n"/>
      <c r="C553" s="40" t="n"/>
      <c r="D553" s="40" t="n"/>
      <c r="E553" s="40" t="n"/>
      <c r="F553" s="41" t="n"/>
      <c r="G553" s="40" t="n"/>
      <c r="H553" s="41" t="n"/>
      <c r="I553" s="40" t="n"/>
      <c r="J553" s="24">
        <f>IF(COUNTA(A553:I553,K553:O553)=0,"",IF(OR(A553="",B553="",C553=""),"ID / parent missing",IF(COUNTIF($A$4:$A$553,A553)&gt;1,"Duplicate condition ID",IF(COUNTIF('Gate events'!$A$4:$A$553,B553)=0,"Event ID not found",IF(INDEX('Gate events'!$B$4:$B$553,MATCH(B553,'Gate events'!$A$4:$A$553,0))&lt;&gt;C553,"AIR-ID differs from event",IF(IF(INDEX('Gate events'!$P$4:$P$553,MATCH(B553,'Gate events'!$A$4:$A$553,0))="UC-ID specific",IF(OR(L553&lt;&gt;"UC-ID specific",K553=""),"Condition UC-ID required",IF(ISNUMBER(SEARCH(","&amp;SUBSTITUTE(K553," ","")&amp;",",","&amp;SUBSTITUTE(INDEX('Gate events'!$O$4:$O$553,MATCH(B553,'Gate events'!$A$4:$A$553,0))," ","")&amp;",")),"","UC-ID differs from decision")),IF(INDEX('Gate events'!$P$4:$P$553,MATCH(B553,'Gate events'!$A$4:$A$553,0))="Shared system baseline",IF(OR(L553&lt;&gt;"Shared system baseline",K553&lt;&gt;""),"Condition scope differs from decision",""),"Parent decision scope missing"))&lt;&gt;"",IF(INDEX('Gate events'!$P$4:$P$553,MATCH(B553,'Gate events'!$A$4:$A$553,0))="UC-ID specific",IF(OR(L553&lt;&gt;"UC-ID specific",K553=""),"Condition UC-ID required",IF(ISNUMBER(SEARCH(","&amp;SUBSTITUTE(K553," ","")&amp;",",","&amp;SUBSTITUTE(INDEX('Gate events'!$O$4:$O$553,MATCH(B553,'Gate events'!$A$4:$A$553,0))," ","")&amp;",")),"","UC-ID differs from decision")),IF(INDEX('Gate events'!$P$4:$P$553,MATCH(B553,'Gate events'!$A$4:$A$553,0))="Shared system baseline",IF(OR(L553&lt;&gt;"Shared system baseline",K553&lt;&gt;""),"Condition scope differs from decision",""),"Parent decision scope missing")),IF(OR(D553="",E553="",F553="",G553=""),"Condition, owner, due date or state missing",IF(NOT(ISNUMBER(F553)),"Due date is not a date",IF(OR(G553="Overdue",G553="Superseded"),"Legacy state — owner review (use the shared five states)",IF(INDEX('Gate events'!$E$4:$E$553,MATCH(B553,'Gate events'!$A$4:$A$553,0))&lt;&gt;"Decision","Parent event is not a Decision",IF(AND(INDEX('Gate events'!$G$4:$G$553,MATCH(B553,'Gate events'!$A$4:$A$553,0))&lt;&gt;"Progress with condition",INDEX('Gate events'!$G$4:$G$553,MATCH(B553,'Gate events'!$A$4:$A$553,0))&lt;&gt;"Re-authorise",INDEX('Gate events'!$G$4:$G$553,MATCH(B553,'Gate events'!$A$4:$A$553,0))&lt;&gt;"Resume"),"Parent outcome is not Progress with condition / Re-authorise / Resume",IF(AND(ISNUMBER(INDEX('Gate events'!$F$4:$F$553,MATCH(B553,'Gate events'!$A$4:$A$553,0))),F553&lt;INDEX('Gate events'!$F$4:$F$553,MATCH(B553,'Gate events'!$A$4:$A$553,0))),"Due date before parent event date",IF(AND(OR(G553="Closed-verified",G553="Waived",G553="Accepted-open"),OR(H553="",I553="")),"Closure evidence missing",IF(AND(H553&lt;&gt;"",NOT(ISNUMBER(H553))),"Closed / waived on is not a date",IF(AND(ISNUMBER(H553),ISNUMBER(INDEX('Gate events'!$F$4:$F$553,MATCH(B553,'Gate events'!$A$4:$A$553,0))),H553&lt;INDEX('Gate events'!$F$4:$F$553,MATCH(B553,'Gate events'!$A$4:$A$553,0))),"Closure date before parent event date",IF(AND(G553="Closed-verified",M553=""),"Verifier / date missing",IF(AND(N553="Yes",G553="Closed-verified",O553=""),"Monitoring condition needs AIG-OPS-02 evidence ref",IF(AND(G553="Open",F553&lt;TODAY()),"OVERDUE (derived) — review",IF(G553="Unknown","State Unknown: owner to confirm","Check against source")))))))))))))))))))</f>
        <v/>
      </c>
      <c r="K553" s="37" t="n"/>
      <c r="L553" s="37" t="n"/>
      <c r="M553" s="40" t="n"/>
      <c r="N553" s="40" t="n"/>
      <c r="O553" s="40" t="n"/>
    </row>
  </sheetData>
  <sheetProtection sheet="1" objects="1" scenarios="1" formatCells="0" formatColumns="0" formatRows="0" autoFilter="0" sort="0" selectLockedCells="0" selectUnlockedCells="0"/>
  <mergeCells count="2">
    <mergeCell ref="A1:J1"/>
    <mergeCell ref="A2:J2"/>
  </mergeCells>
  <conditionalFormatting sqref="J4:J553">
    <cfRule type="expression" priority="1" dxfId="0">
      <formula>AND($J4&lt;&gt;"",$J4&lt;&gt;"Check against source")</formula>
    </cfRule>
  </conditionalFormatting>
  <dataValidations count="3">
    <dataValidation sqref="G4:G553" showDropDown="0" showInputMessage="0" showErrorMessage="1" allowBlank="1" errorTitle="Controlled value" error="Overdue is derived from the due date; choose a controlled state." type="list">
      <formula1>"Open,Closed-verified,Accepted-open,Waived,Unknown"</formula1>
    </dataValidation>
    <dataValidation sqref="L4:L553" showDropDown="0" showInputMessage="0" showErrorMessage="1" allowBlank="1" type="list" errorStyle="stop">
      <formula1>"UC-ID specific,Shared system baseline"</formula1>
    </dataValidation>
    <dataValidation sqref="N4:N553" showDropDown="0" showInputMessage="0" showErrorMessage="1" allowBlank="1" type="list" errorStyle="stop">
      <formula1>"Yes,No"</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44" customWidth="1" min="1" max="1"/>
    <col width="32" customWidth="1" min="2" max="2"/>
    <col width="30" customWidth="1" min="3" max="3"/>
    <col width="50" customWidth="1" min="4" max="4"/>
    <col width="44" customWidth="1" min="5" max="5"/>
    <col width="4" customWidth="1" min="6" max="6"/>
  </cols>
  <sheetData>
    <row r="1">
      <c r="A1" s="19" t="inlineStr">
        <is>
          <t>AIG-DEC-04 / CONTROLLED LISTS AND OUTCOME MAPPING</t>
        </is>
      </c>
    </row>
    <row r="2" ht="40" customHeight="1">
      <c r="A2" s="20" t="inlineStr">
        <is>
          <t>Controlled values used by the validations. Gate names follow the AIG-DEC-01 Gate Map (forum names configurable locally). The mapping shows how each gate outcome corresponds to the AIG-DEC-03 decision outcome used in AIG-INV-04 and the UC-ID current view.</t>
        </is>
      </c>
    </row>
    <row r="3"/>
    <row r="4">
      <c r="A4" s="21" t="inlineStr">
        <is>
          <t>Gate (AIG-DEC-01)</t>
        </is>
      </c>
      <c r="B4" s="21" t="inlineStr">
        <is>
          <t>Lifecycle stage (Playbook §3.6)</t>
        </is>
      </c>
      <c r="D4" s="21" t="inlineStr">
        <is>
          <t>Gate event Outcome (AIG-DEC-04)</t>
        </is>
      </c>
      <c r="E4" s="21" t="inlineStr">
        <is>
          <t>AIG-DEC-03 outcome for the UC-ID</t>
        </is>
      </c>
      <c r="F4" s="21" t="inlineStr">
        <is>
          <t>Allowed Event type</t>
        </is>
      </c>
    </row>
    <row r="5">
      <c r="A5" s="16" t="inlineStr">
        <is>
          <t>Gate 0 Intake / opportunity</t>
        </is>
      </c>
      <c r="B5" s="16" t="inlineStr">
        <is>
          <t>Idea and Innovation</t>
        </is>
      </c>
      <c r="D5" s="16" t="inlineStr">
        <is>
          <t>Progress</t>
        </is>
      </c>
      <c r="E5" s="16" t="inlineStr">
        <is>
          <t>Approved</t>
        </is>
      </c>
      <c r="F5" s="16" t="inlineStr">
        <is>
          <t>Decision</t>
        </is>
      </c>
    </row>
    <row r="6">
      <c r="A6" s="16" t="inlineStr">
        <is>
          <t>Gate 1 Strategic prioritisation</t>
        </is>
      </c>
      <c r="B6" s="16" t="inlineStr">
        <is>
          <t>Registration and Intake</t>
        </is>
      </c>
      <c r="D6" s="16" t="inlineStr">
        <is>
          <t>Progress with condition</t>
        </is>
      </c>
      <c r="E6" s="16" t="inlineStr">
        <is>
          <t>Approved with conditions (≥1 Conditions row)</t>
        </is>
      </c>
      <c r="F6" s="16" t="inlineStr">
        <is>
          <t>Decision</t>
        </is>
      </c>
    </row>
    <row r="7">
      <c r="A7" s="16" t="inlineStr">
        <is>
          <t>Gate 2 Technical design review</t>
        </is>
      </c>
      <c r="B7" s="16" t="inlineStr">
        <is>
          <t>Risk Assessment and Review</t>
        </is>
      </c>
      <c r="D7" s="16" t="inlineStr">
        <is>
          <t>Return for evidence</t>
        </is>
      </c>
      <c r="E7" s="16" t="inlineStr">
        <is>
          <t>Deferred</t>
        </is>
      </c>
      <c r="F7" s="16" t="inlineStr">
        <is>
          <t>Decision</t>
        </is>
      </c>
    </row>
    <row r="8">
      <c r="A8" s="16" t="inlineStr">
        <is>
          <t>Gate 3 Case for change / strategic alignment</t>
        </is>
      </c>
      <c r="B8" s="16" t="inlineStr">
        <is>
          <t>Approval and Assurance</t>
        </is>
      </c>
      <c r="D8" s="16" t="inlineStr">
        <is>
          <t>Pause</t>
        </is>
      </c>
      <c r="E8" s="16" t="inlineStr">
        <is>
          <t>Deferred (before go-live) / Suspended (in operation)</t>
        </is>
      </c>
      <c r="F8" s="16" t="inlineStr">
        <is>
          <t>Decision</t>
        </is>
      </c>
    </row>
    <row r="9">
      <c r="A9" s="16" t="inlineStr">
        <is>
          <t>Gate 4 Procurement</t>
        </is>
      </c>
      <c r="B9" s="16" t="inlineStr">
        <is>
          <t>Deployment and Operation</t>
        </is>
      </c>
      <c r="D9" s="16" t="inlineStr">
        <is>
          <t>Stop</t>
        </is>
      </c>
      <c r="E9" s="16" t="inlineStr">
        <is>
          <t>Rejected</t>
        </is>
      </c>
      <c r="F9" s="16" t="inlineStr">
        <is>
          <t>Decision</t>
        </is>
      </c>
    </row>
    <row r="10">
      <c r="A10" s="16" t="inlineStr">
        <is>
          <t>Gate 5 Ethics assessment</t>
        </is>
      </c>
      <c r="B10" s="16" t="inlineStr">
        <is>
          <t>Monitoring and Review</t>
        </is>
      </c>
      <c r="D10" s="16" t="inlineStr">
        <is>
          <t>Suspend</t>
        </is>
      </c>
      <c r="E10" s="16" t="inlineStr">
        <is>
          <t>Suspended</t>
        </is>
      </c>
      <c r="F10" s="16" t="inlineStr">
        <is>
          <t>Decision</t>
        </is>
      </c>
    </row>
    <row r="11">
      <c r="A11" s="16" t="inlineStr">
        <is>
          <t>Gate 6 Deployment / go-live</t>
        </is>
      </c>
      <c r="B11" s="16" t="inlineStr">
        <is>
          <t>Retirement and Decommissioning</t>
        </is>
      </c>
      <c r="D11" s="16" t="inlineStr">
        <is>
          <t>Decommission</t>
        </is>
      </c>
      <c r="E11" s="16" t="inlineStr">
        <is>
          <t>Retired</t>
        </is>
      </c>
      <c r="F11" s="16" t="inlineStr">
        <is>
          <t>Decision</t>
        </is>
      </c>
    </row>
    <row r="12">
      <c r="A12" s="16" t="inlineStr">
        <is>
          <t>Gate 7 Operate, monitor, review &amp; change</t>
        </is>
      </c>
      <c r="D12" s="16" t="inlineStr">
        <is>
          <t>Re-authorise</t>
        </is>
      </c>
      <c r="E12" s="16" t="inlineStr">
        <is>
          <t>Approved or Approved with conditions (after reassessment)</t>
        </is>
      </c>
      <c r="F12" s="16" t="inlineStr">
        <is>
          <t>Decision</t>
        </is>
      </c>
    </row>
    <row r="13">
      <c r="A13" s="16" t="inlineStr">
        <is>
          <t>Gate 8 Retirement / closure</t>
        </is>
      </c>
      <c r="D13" s="16" t="inlineStr">
        <is>
          <t>Opinion only</t>
        </is>
      </c>
      <c r="E13" s="16" t="inlineStr">
        <is>
          <t>None — assurance input, not a decision (Pending)</t>
        </is>
      </c>
      <c r="F13" s="16" t="inlineStr">
        <is>
          <t>Assurance opinion / Review only</t>
        </is>
      </c>
    </row>
    <row r="14">
      <c r="A14" s="16" t="inlineStr">
        <is>
          <t>Other forum (name it in Decision-maker / role)</t>
        </is>
      </c>
      <c r="D14" s="16" t="inlineStr">
        <is>
          <t>No decision (or blank)</t>
        </is>
      </c>
      <c r="E14" s="16" t="inlineStr">
        <is>
          <t>None (Pending)</t>
        </is>
      </c>
      <c r="F14" s="16" t="inlineStr">
        <is>
          <t>Review only / Priority override / Intake / registration</t>
        </is>
      </c>
    </row>
    <row r="15">
      <c r="D15" s="16" t="inlineStr">
        <is>
          <t>Paused — pending decision</t>
        </is>
      </c>
      <c r="E15" s="16" t="inlineStr">
        <is>
          <t>None: containment, not a decision (the UC-ID keeps its recorded AIG-DEC-03 outcome until the follow-up decision; Playbook §4.7.17)</t>
        </is>
      </c>
      <c r="F15" s="16" t="inlineStr">
        <is>
          <t>Precautionary pause (containment)</t>
        </is>
      </c>
    </row>
    <row r="16">
      <c r="D16" s="16" t="inlineStr">
        <is>
          <t>Resume</t>
        </is>
      </c>
      <c r="E16" s="16" t="inlineStr">
        <is>
          <t>Approved or Approved with conditions: the approval in force before the precautionary pause carries over (new conditions go on Conditions rows); only in the event straight after the pause for the same AIR-ID and UC-ID</t>
        </is>
      </c>
      <c r="F16" s="16" t="inlineStr">
        <is>
          <t>Decision</t>
        </is>
      </c>
    </row>
    <row r="17">
      <c r="D17" s="21" t="inlineStr">
        <is>
          <t>Condition state (AIG-DEC-04)</t>
        </is>
      </c>
      <c r="E17" s="21" t="inlineStr">
        <is>
          <t>AIG-DEC-03 condition state (shared list)</t>
        </is>
      </c>
      <c r="F17" s="21" t="inlineStr">
        <is>
          <t>UC-ID current view condition state</t>
        </is>
      </c>
    </row>
    <row r="18">
      <c r="D18" s="16" t="inlineStr">
        <is>
          <t>Open</t>
        </is>
      </c>
      <c r="E18" s="16" t="inlineStr">
        <is>
          <t>Open</t>
        </is>
      </c>
      <c r="F18" s="16" t="inlineStr">
        <is>
          <t>Open</t>
        </is>
      </c>
    </row>
    <row r="19">
      <c r="D19" s="16" t="inlineStr">
        <is>
          <t>Closed-verified</t>
        </is>
      </c>
      <c r="E19" s="16" t="inlineStr">
        <is>
          <t>Closed-verified</t>
        </is>
      </c>
      <c r="F19" s="16" t="inlineStr">
        <is>
          <t>Closed-verified</t>
        </is>
      </c>
    </row>
    <row r="20">
      <c r="D20" s="16" t="inlineStr">
        <is>
          <t>Accepted-open</t>
        </is>
      </c>
      <c r="E20" s="16" t="inlineStr">
        <is>
          <t>Accepted-open</t>
        </is>
      </c>
      <c r="F20" s="16" t="inlineStr">
        <is>
          <t>Accepted-open</t>
        </is>
      </c>
    </row>
    <row r="21">
      <c r="D21" s="16" t="inlineStr">
        <is>
          <t>Waived</t>
        </is>
      </c>
      <c r="E21" s="16" t="inlineStr">
        <is>
          <t>Waived</t>
        </is>
      </c>
      <c r="F21" s="16" t="inlineStr">
        <is>
          <t>Waived</t>
        </is>
      </c>
    </row>
    <row r="22">
      <c r="D22" s="16" t="inlineStr">
        <is>
          <t>Unknown</t>
        </is>
      </c>
      <c r="E22" s="16" t="inlineStr">
        <is>
          <t>Unknown</t>
        </is>
      </c>
      <c r="F22" s="16" t="inlineStr">
        <is>
          <t>Unknown</t>
        </is>
      </c>
    </row>
    <row r="23">
      <c r="D23" s="16" t="inlineStr">
        <is>
          <t>Superseded (not a state)</t>
        </is>
      </c>
      <c r="E23" s="16" t="inlineStr">
        <is>
          <t>Not a state: close the old condition as Waived, citing the replacing Condition ID and the authority in the evidence / waiver ref</t>
        </is>
      </c>
      <c r="F23" s="16" t="inlineStr">
        <is>
          <t>Waived</t>
        </is>
      </c>
    </row>
    <row r="24">
      <c r="D24" s="16" t="inlineStr">
        <is>
          <t>Overdue (not a state)</t>
        </is>
      </c>
      <c r="E24" s="16" t="inlineStr">
        <is>
          <t>Derived from Open + due date before today; never typed</t>
        </is>
      </c>
      <c r="F24" s="16" t="inlineStr">
        <is>
          <t>Open (overdue shown by the check)</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
  <sheetViews>
    <sheetView showGridLines="0" workbookViewId="0">
      <selection activeCell="A1" sqref="A1"/>
    </sheetView>
  </sheetViews>
  <sheetFormatPr baseColWidth="8" defaultRowHeight="15"/>
  <cols>
    <col width="20" customWidth="1" min="1" max="1"/>
    <col width="37.75" customWidth="1" min="2" max="2"/>
    <col width="35.5" customWidth="1" min="3" max="3"/>
    <col width="20" customWidth="1" min="4" max="4"/>
    <col width="8.880000114440918" customWidth="1" min="5" max="5"/>
    <col width="13" customWidth="1" min="6" max="6"/>
  </cols>
  <sheetData>
    <row r="1">
      <c r="A1" s="28" t="inlineStr">
        <is>
          <t>AIG-DEC-04 — Document Control</t>
        </is>
      </c>
    </row>
    <row r="2">
      <c r="A2" s="29" t="inlineStr">
        <is>
          <t>Controlled working template. Draft for Council review; not Council-adopted and not effective until formally approved.</t>
        </is>
      </c>
    </row>
    <row r="3"/>
    <row r="4">
      <c r="A4" s="30" t="inlineStr">
        <is>
          <t>Field</t>
        </is>
      </c>
      <c r="B4" s="30" t="inlineStr">
        <is>
          <t>Controlled value</t>
        </is>
      </c>
    </row>
    <row r="5">
      <c r="A5" s="31" t="inlineStr">
        <is>
          <t>Document ID</t>
        </is>
      </c>
      <c r="B5" s="32" t="inlineStr">
        <is>
          <t>AIG-DEC-04</t>
        </is>
      </c>
      <c r="C5" s="33" t="n"/>
      <c r="D5" s="33" t="n"/>
      <c r="E5" s="33" t="n"/>
      <c r="F5" s="34" t="n"/>
    </row>
    <row r="6">
      <c r="A6" s="31" t="inlineStr">
        <is>
          <t>Artefact</t>
        </is>
      </c>
      <c r="B6" s="32" t="inlineStr">
        <is>
          <t>AI Governance Gate Log (proposed separate design)</t>
        </is>
      </c>
      <c r="C6" s="33" t="n"/>
      <c r="D6" s="33" t="n"/>
      <c r="E6" s="33" t="n"/>
      <c r="F6" s="34" t="n"/>
    </row>
    <row r="7">
      <c r="A7" s="31" t="inlineStr">
        <is>
          <t>Version</t>
        </is>
      </c>
      <c r="B7" s="32" t="inlineStr">
        <is>
          <t>1.3 draft</t>
        </is>
      </c>
      <c r="C7" s="33" t="n"/>
      <c r="D7" s="33" t="n"/>
      <c r="E7" s="33" t="n"/>
      <c r="F7" s="34" t="n"/>
    </row>
    <row r="8">
      <c r="A8" s="31" t="inlineStr">
        <is>
          <t>Status</t>
        </is>
      </c>
      <c r="B8" s="32" t="inlineStr">
        <is>
          <t>Draft for Council review</t>
        </is>
      </c>
      <c r="C8" s="33" t="n"/>
      <c r="D8" s="33" t="n"/>
      <c r="E8" s="33" t="n"/>
      <c r="F8" s="34" t="n"/>
    </row>
    <row r="9">
      <c r="A9" s="31" t="inlineStr">
        <is>
          <t>Document owner</t>
        </is>
      </c>
      <c r="B9" s="32" t="inlineStr">
        <is>
          <t>AI Governance Lead</t>
        </is>
      </c>
      <c r="C9" s="33" t="n"/>
      <c r="D9" s="33" t="n"/>
      <c r="E9" s="33" t="n"/>
      <c r="F9" s="34" t="n"/>
    </row>
    <row r="10">
      <c r="A10" s="31" t="inlineStr">
        <is>
          <t>Approving body</t>
        </is>
      </c>
      <c r="B10" s="32" t="inlineStr">
        <is>
          <t>Competent Council authority under Constitution and Scheme of Delegation; AI Assurance Board provides assurance where applicable</t>
        </is>
      </c>
      <c r="C10" s="33" t="n"/>
      <c r="D10" s="33" t="n"/>
      <c r="E10" s="33" t="n"/>
      <c r="F10" s="34" t="n"/>
    </row>
    <row r="11">
      <c r="A11" s="31" t="inlineStr">
        <is>
          <t>Approval date</t>
        </is>
      </c>
      <c r="B11" s="32" t="inlineStr">
        <is>
          <t>Not yet approved</t>
        </is>
      </c>
      <c r="C11" s="33" t="n"/>
      <c r="D11" s="33" t="n"/>
      <c r="E11" s="33" t="n"/>
      <c r="F11" s="34" t="n"/>
    </row>
    <row r="12">
      <c r="A12" s="31" t="inlineStr">
        <is>
          <t>Effective date</t>
        </is>
      </c>
      <c r="B12" s="32" t="inlineStr">
        <is>
          <t>Not yet effective</t>
        </is>
      </c>
      <c r="C12" s="33" t="n"/>
      <c r="D12" s="33" t="n"/>
      <c r="E12" s="33" t="n"/>
      <c r="F12" s="34" t="n"/>
    </row>
    <row r="13">
      <c r="A13" s="31" t="inlineStr">
        <is>
          <t>Next review date</t>
        </is>
      </c>
      <c r="B13" s="32" t="inlineStr">
        <is>
          <t>To be set on approval: 12 months after effective date or sooner following material change</t>
        </is>
      </c>
      <c r="C13" s="33" t="n"/>
      <c r="D13" s="33" t="n"/>
      <c r="E13" s="33" t="n"/>
      <c r="F13" s="34" t="n"/>
    </row>
    <row r="14">
      <c r="A14" s="31" t="inlineStr">
        <is>
          <t>Classification</t>
        </is>
      </c>
      <c r="B14" s="32" t="inlineStr">
        <is>
          <t>OFFICIAL</t>
        </is>
      </c>
      <c r="C14" s="33" t="n"/>
      <c r="D14" s="33" t="n"/>
      <c r="E14" s="33" t="n"/>
      <c r="F14" s="34" t="n"/>
    </row>
    <row r="15"/>
    <row r="16">
      <c r="A16" s="35" t="inlineStr">
        <is>
          <t>Change history</t>
        </is>
      </c>
      <c r="B16" s="33" t="n"/>
      <c r="C16" s="33" t="n"/>
      <c r="D16" s="33" t="n"/>
      <c r="E16" s="33" t="n"/>
      <c r="F16" s="34" t="n"/>
    </row>
    <row r="17">
      <c r="A17" s="30" t="inlineStr">
        <is>
          <t>Version</t>
        </is>
      </c>
      <c r="B17" s="30" t="inlineStr">
        <is>
          <t>Date</t>
        </is>
      </c>
      <c r="C17" s="30" t="inlineStr">
        <is>
          <t>Change</t>
        </is>
      </c>
      <c r="D17" s="30" t="inlineStr">
        <is>
          <t>Author / owner</t>
        </is>
      </c>
    </row>
    <row r="18" ht="60" customHeight="1">
      <c r="A18" s="36" t="inlineStr">
        <is>
          <t>1.0 draft</t>
        </is>
      </c>
      <c r="B18" s="36" t="inlineStr">
        <is>
          <t>29 September 2026</t>
        </is>
      </c>
      <c r="C18" s="36" t="inlineStr">
        <is>
          <t>First controlled version with document control. QA remediation — applied findings QA-095, QA-155, QA-189, QA-216, QA-224, QA-231, QA-232, QA-233, QA-234, QA-238, QA-251, QA-265, QA-266, QA-272, QA-291 (see QA change log).</t>
        </is>
      </c>
      <c r="D18" s="36" t="inlineStr">
        <is>
          <t>AI Governance Lead</t>
        </is>
      </c>
    </row>
    <row r="19" ht="90" customHeight="1">
      <c r="A19" s="36" t="inlineStr">
        <is>
          <t>1.1 draft</t>
        </is>
      </c>
      <c r="B19" s="36" t="inlineStr">
        <is>
          <t>30 September 2026</t>
        </is>
      </c>
      <c r="C19" s="36" t="inlineStr">
        <is>
          <t>v3.9.2: Gate plan duplicate check now keys on AIR-ID + UC-ID scope + gate, so several uses of one system no longer raise false duplicates; a system-level row with a blank UC-ID counts separately (scenario finding W-02). Gate events: new Event type “Precautionary pause (containment)” with Outcome “Paused — pending decision”, no AIG-DEC-03 ref required, and new columns V (AIG-OPS-03 incident ref) and W (follow-up decision due date) checked by the Row check; Lists row 15 maps it to no AIG-DEC-03 outcome (containment, not a decision) (W-06). Proposed — for Council confirmation. See QA change log.</t>
        </is>
      </c>
      <c r="D19" s="36" t="inlineStr">
        <is>
          <t>AI Governance Lead</t>
        </is>
      </c>
    </row>
    <row r="20" ht="90" customHeight="1">
      <c r="A20" s="36" t="inlineStr">
        <is>
          <t>1.2 draft</t>
        </is>
      </c>
      <c r="B20" s="36" t="inlineStr">
        <is>
          <t>3 October 2026</t>
        </is>
      </c>
      <c r="C20" s="36" t="inlineStr">
        <is>
          <t>v3.9.7: Row checks tightened so incomplete rows no longer show “Check against source”. Gate plan: Requirement and Plan state must be filled. Gate events: a linked Plan ID must match the event’s gate and (where the plan names one) its UC-ID; an Assurance opinion event needs its assurance ref; Opinion only and No decision are accepted only on the event types the Lists mapping allows; one UC-ID per row is also checked for spaces and slashes; a precautionary pause follow-up date cannot be before the pause. Conditions: state Unknown is flagged for the owner to confirm. No gate, list or column changes. Proposed, for Council confirmation.</t>
        </is>
      </c>
      <c r="D20" s="36" t="inlineStr">
        <is>
          <t>AI Governance Lead</t>
        </is>
      </c>
    </row>
    <row r="21" ht="90" customHeight="1">
      <c r="A21" s="36" t="inlineStr">
        <is>
          <t>1.3 draft</t>
        </is>
      </c>
      <c r="B21" s="36" t="inlineStr">
        <is>
          <t>3 October 2026</t>
        </is>
      </c>
      <c r="C21" s="36" t="inlineStr">
        <is>
          <t>v3.9.8: Gate events gains column X “Screening considered by the decision-maker (Yes / No)”. The row check flags a Decision with outcome Progress, Progress with condition or Re-authorise unless X is Yes, matching the AIG-DEC-03 screening line. New Outcome “Resume” (Lists row 16): a Decision that lifts a precautionary pause with the approval unchanged; the row check accepts it only when the last earlier row for the same AIR-ID and UC-ID is the pause, and it needs X = Yes like other go-ahead outcomes. Conditions may hang off a Resume decision. The condition-state block on Lists moves down one row. The row-check columns (Gate plan M; Gate events N and Q; Conditions J) are locked with sheet protection and no password, so they cannot be typed or pasted over; every input column stays editable and any filter buttons still work; to sort, unprotect the sheet and protect it again afterwards. Proposed, for Council confirmation.</t>
        </is>
      </c>
      <c r="D21" s="36" t="inlineStr">
        <is>
          <t>AI Governance Lead</t>
        </is>
      </c>
    </row>
  </sheetData>
  <mergeCells count="13">
    <mergeCell ref="A2:F2"/>
    <mergeCell ref="A16:F16"/>
    <mergeCell ref="B12:F12"/>
    <mergeCell ref="B7:F7"/>
    <mergeCell ref="B6:F6"/>
    <mergeCell ref="B10:F10"/>
    <mergeCell ref="A1:F1"/>
    <mergeCell ref="B11:F11"/>
    <mergeCell ref="B5:F5"/>
    <mergeCell ref="B14:F14"/>
    <mergeCell ref="B8:F8"/>
    <mergeCell ref="B9:F9"/>
    <mergeCell ref="B13:F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Governance Lead</dc:creator>
  <dc:title xmlns:dc="http://purl.org/dc/elements/1.1/">AIG-DEC-04 AI Governance Gate Log</dc:title>
  <dc:description xmlns:dc="http://purl.org/dc/elements/1.1/">Classification: OFFICIAL. Draft for Council review; not Council-adopted.</dc:description>
  <dc:subject xmlns:dc="http://purl.org/dc/elements/1.1/">Gate Log — v1.3 draft</dc:subject>
  <dcterms:created xmlns:dcterms="http://purl.org/dc/terms/" xmlns:xsi="http://www.w3.org/2001/XMLSchema-instance" xsi:type="dcterms:W3CDTF">2026-09-29T17:50:40Z</dcterms:created>
  <dcterms:modified xmlns:dcterms="http://purl.org/dc/terms/" xmlns:xsi="http://www.w3.org/2001/XMLSchema-instance" xsi:type="dcterms:W3CDTF">2026-09-30T12:00:00Z</dcterms:modified>
  <cp:lastModifiedBy>AI Governance Lead</cp:lastModifiedBy>
  <cp:category>The Council AI governance suite v3.9.9</cp:category>
  <cp:keywords>OFFICIAL; Draft for Council review</cp:keywords>
</cp:coreProperties>
</file>