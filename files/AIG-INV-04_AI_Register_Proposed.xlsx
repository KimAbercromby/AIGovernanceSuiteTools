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 ME" sheetId="1" state="visible" r:id="rId1"/>
    <sheet xmlns:r="http://schemas.openxmlformats.org/officeDocument/2006/relationships" name="AI Register" sheetId="2" state="visible" r:id="rId2"/>
    <sheet xmlns:r="http://schemas.openxmlformats.org/officeDocument/2006/relationships" name="Assessment summary" sheetId="3" state="visible" r:id="rId3"/>
    <sheet xmlns:r="http://schemas.openxmlformats.org/officeDocument/2006/relationships" name="Evidence index" sheetId="4" state="visible" r:id="rId4"/>
    <sheet xmlns:r="http://schemas.openxmlformats.org/officeDocument/2006/relationships" name="Register change log" sheetId="5" state="visible" r:id="rId5"/>
    <sheet xmlns:r="http://schemas.openxmlformats.org/officeDocument/2006/relationships" name="Document Control" sheetId="6" state="visible" r:id="rId6"/>
  </sheets>
  <definedNames/>
</workbook>
</file>

<file path=xl/styles.xml><?xml version="1.0" encoding="utf-8"?>
<styleSheet xmlns="http://schemas.openxmlformats.org/spreadsheetml/2006/main">
  <numFmts count="1">
    <numFmt numFmtId="164" formatCode="dd mmm yyyy"/>
  </numFmts>
  <fonts count="22">
    <font>
      <name val="Calibri"/>
      <color theme="1"/>
      <sz val="11"/>
    </font>
    <font>
      <name val="Aptos Display"/>
      <b val="1"/>
      <color rgb="FFFFFFFF"/>
      <sz val="17"/>
    </font>
    <font>
      <name val="Aptos"/>
      <i val="1"/>
      <color rgb="FF17324F"/>
      <sz val="10"/>
    </font>
    <font>
      <name val="Aptos"/>
      <b val="1"/>
      <color rgb="FFFFFFFF"/>
      <sz val="10"/>
    </font>
    <font>
      <name val="Aptos"/>
      <color rgb="FF17324F"/>
      <sz val="10"/>
    </font>
    <font>
      <name val="Aptos Display"/>
      <b val="1"/>
      <color rgb="FF17324F"/>
      <sz val="19"/>
    </font>
    <font>
      <name val="Aptos"/>
      <b val="1"/>
      <color rgb="FF17324F"/>
      <sz val="11"/>
    </font>
    <font>
      <name val="Aptos"/>
      <color rgb="FF17324F"/>
      <sz val="11"/>
    </font>
    <font>
      <name val="Arial"/>
      <b val="1"/>
      <color rgb="FF17324F"/>
      <sz val="19"/>
    </font>
    <font>
      <name val="Arial"/>
      <color theme="1"/>
      <sz val="11"/>
    </font>
    <font>
      <name val="Arial"/>
      <b val="1"/>
      <color rgb="FF17324F"/>
      <sz val="11"/>
    </font>
    <font>
      <name val="Arial"/>
      <color rgb="FF17324F"/>
      <sz val="11"/>
    </font>
    <font>
      <name val="Arial"/>
      <b val="1"/>
      <color rgb="FFFFFFFF"/>
      <sz val="17"/>
    </font>
    <font>
      <name val="Arial"/>
      <i val="1"/>
      <color rgb="FF17324F"/>
      <sz val="10"/>
    </font>
    <font>
      <name val="Arial"/>
      <b val="1"/>
      <color rgb="FFFFFFFF"/>
      <sz val="10"/>
    </font>
    <font>
      <name val="Arial"/>
      <color rgb="FF17324F"/>
      <sz val="10"/>
    </font>
    <font>
      <name val="Arial"/>
      <b val="1"/>
      <color rgb="FFFFFFFF"/>
      <sz val="16"/>
    </font>
    <font>
      <name val="Arial"/>
      <i val="1"/>
      <color rgb="FF222222"/>
      <sz val="9"/>
    </font>
    <font>
      <name val="Arial"/>
      <b val="1"/>
      <color rgb="FFFFFFFF"/>
      <sz val="9"/>
    </font>
    <font>
      <name val="Arial"/>
      <b val="1"/>
      <color rgb="FF0A2342"/>
      <sz val="9"/>
    </font>
    <font>
      <name val="Arial"/>
      <color rgb="FF222222"/>
      <sz val="9"/>
    </font>
    <font>
      <name val="Arial"/>
      <b val="1"/>
      <color rgb="FF0A2342"/>
      <sz val="11"/>
    </font>
  </fonts>
  <fills count="10">
    <fill>
      <patternFill/>
    </fill>
    <fill>
      <patternFill patternType="gray125"/>
    </fill>
    <fill>
      <patternFill patternType="solid">
        <fgColor rgb="FF17324F"/>
      </patternFill>
    </fill>
    <fill>
      <patternFill patternType="solid">
        <fgColor rgb="FFEAF4F3"/>
      </patternFill>
    </fill>
    <fill>
      <patternFill patternType="solid">
        <fgColor rgb="FF087D83"/>
      </patternFill>
    </fill>
    <fill>
      <patternFill patternType="solid">
        <fgColor rgb="FFF5F9FA"/>
      </patternFill>
    </fill>
    <fill>
      <patternFill patternType="solid">
        <fgColor rgb="FFFFFFFF"/>
      </patternFill>
    </fill>
    <fill>
      <patternFill patternType="solid">
        <fgColor rgb="FF0B2848"/>
      </patternFill>
    </fill>
    <fill>
      <patternFill patternType="solid">
        <fgColor rgb="FFFFF4CC"/>
      </patternFill>
    </fill>
    <fill>
      <patternFill patternType="solid">
        <fgColor rgb="FFEEF1F5"/>
      </patternFill>
    </fill>
  </fills>
  <borders count="6">
    <border/>
    <border>
      <left style="thin">
        <color rgb="FFC9D0D8"/>
      </left>
      <right style="thin">
        <color rgb="FFC9D0D8"/>
      </right>
      <top style="thin">
        <color rgb="FFC9D0D8"/>
      </top>
      <bottom style="thin">
        <color rgb="FFC9D0D8"/>
      </bottom>
    </border>
    <border>
      <top style="thin">
        <color rgb="FFC9D0D8"/>
      </top>
    </border>
    <border>
      <right style="thin">
        <color rgb="FFC9D0D8"/>
      </right>
      <top style="thin">
        <color rgb="FFC9D0D8"/>
      </top>
    </border>
    <border>
      <top style="thin">
        <color rgb="FFC9D0D8"/>
      </top>
      <bottom style="thin">
        <color rgb="FFC9D0D8"/>
      </bottom>
    </border>
    <border>
      <right style="thin">
        <color rgb="FFC9D0D8"/>
      </right>
      <top style="thin">
        <color rgb="FFC9D0D8"/>
      </top>
      <bottom style="thin">
        <color rgb="FFC9D0D8"/>
      </bottom>
    </border>
  </borders>
  <cellStyleXfs count="1">
    <xf numFmtId="0" fontId="0" fillId="0" borderId="0"/>
  </cellStyleXfs>
  <cellXfs count="37">
    <xf numFmtId="0" fontId="0" fillId="0" borderId="0" pivotButton="0" quotePrefix="0" xfId="0"/>
    <xf numFmtId="0" fontId="5" fillId="0" borderId="0" pivotButton="0" quotePrefix="0" xfId="0"/>
    <xf numFmtId="0" fontId="6" fillId="3" borderId="0" applyAlignment="1" pivotButton="0" quotePrefix="0" xfId="0">
      <alignment vertical="top" wrapText="1"/>
    </xf>
    <xf numFmtId="0" fontId="7" fillId="3" borderId="0" applyAlignment="1" pivotButton="0" quotePrefix="0" xfId="0">
      <alignment vertical="top" wrapText="1"/>
    </xf>
    <xf numFmtId="0" fontId="6" fillId="5" borderId="0" applyAlignment="1" pivotButton="0" quotePrefix="0" xfId="0">
      <alignment vertical="top" wrapText="1"/>
    </xf>
    <xf numFmtId="0" fontId="7" fillId="5" borderId="0" applyAlignment="1" pivotButton="0" quotePrefix="0" xfId="0">
      <alignment vertical="top" wrapText="1"/>
    </xf>
    <xf numFmtId="0" fontId="1" fillId="2" borderId="0" applyAlignment="1" pivotButton="0" quotePrefix="0" xfId="0">
      <alignment vertical="center"/>
    </xf>
    <xf numFmtId="0" fontId="2" fillId="3" borderId="0" applyAlignment="1" pivotButton="0" quotePrefix="0" xfId="0">
      <alignment vertical="center" wrapText="1"/>
    </xf>
    <xf numFmtId="0" fontId="3" fillId="4" borderId="0" applyAlignment="1" pivotButton="0" quotePrefix="0" xfId="0">
      <alignment vertical="center" wrapText="1"/>
    </xf>
    <xf numFmtId="0" fontId="4" fillId="5" borderId="0" applyAlignment="1" pivotButton="0" quotePrefix="0" xfId="0">
      <alignment vertical="top"/>
    </xf>
    <xf numFmtId="164" fontId="4" fillId="5" borderId="0" applyAlignment="1" pivotButton="0" quotePrefix="0" xfId="0">
      <alignment vertical="top"/>
    </xf>
    <xf numFmtId="0" fontId="4" fillId="6" borderId="0" applyAlignment="1" pivotButton="0" quotePrefix="0" xfId="0">
      <alignment vertical="top"/>
    </xf>
    <xf numFmtId="164" fontId="4" fillId="6" borderId="0" applyAlignment="1" pivotButton="0" quotePrefix="0" xfId="0">
      <alignment vertical="top"/>
    </xf>
    <xf numFmtId="0" fontId="8" fillId="0" borderId="0" pivotButton="0" quotePrefix="0" xfId="0"/>
    <xf numFmtId="0" fontId="9" fillId="0" borderId="0" pivotButton="0" quotePrefix="0" xfId="0"/>
    <xf numFmtId="0" fontId="10" fillId="3" borderId="0" applyAlignment="1" pivotButton="0" quotePrefix="0" xfId="0">
      <alignment vertical="top" wrapText="1"/>
    </xf>
    <xf numFmtId="0" fontId="11" fillId="3" borderId="0" applyAlignment="1" pivotButton="0" quotePrefix="0" xfId="0">
      <alignment vertical="top" wrapText="1"/>
    </xf>
    <xf numFmtId="0" fontId="10" fillId="5" borderId="0" applyAlignment="1" pivotButton="0" quotePrefix="0" xfId="0">
      <alignment vertical="top" wrapText="1"/>
    </xf>
    <xf numFmtId="0" fontId="11" fillId="5" borderId="0" applyAlignment="1" pivotButton="0" quotePrefix="0" xfId="0">
      <alignment vertical="top" wrapText="1"/>
    </xf>
    <xf numFmtId="0" fontId="12" fillId="2" borderId="0" applyAlignment="1" pivotButton="0" quotePrefix="0" xfId="0">
      <alignment vertical="center"/>
    </xf>
    <xf numFmtId="0" fontId="13" fillId="3" borderId="0" applyAlignment="1" pivotButton="0" quotePrefix="0" xfId="0">
      <alignment vertical="center" wrapText="1"/>
    </xf>
    <xf numFmtId="0" fontId="14" fillId="4" borderId="0" applyAlignment="1" pivotButton="0" quotePrefix="0" xfId="0">
      <alignment vertical="center" wrapText="1"/>
    </xf>
    <xf numFmtId="0" fontId="15" fillId="5" borderId="0" applyAlignment="1" pivotButton="0" quotePrefix="0" xfId="0">
      <alignment vertical="top"/>
    </xf>
    <xf numFmtId="164" fontId="15" fillId="5" borderId="0" applyAlignment="1" pivotButton="0" quotePrefix="0" xfId="0">
      <alignment vertical="top"/>
    </xf>
    <xf numFmtId="0" fontId="15" fillId="6" borderId="0" applyAlignment="1" pivotButton="0" quotePrefix="0" xfId="0">
      <alignment vertical="top"/>
    </xf>
    <xf numFmtId="164" fontId="15" fillId="6" borderId="0" applyAlignment="1" pivotButton="0" quotePrefix="0" xfId="0">
      <alignment vertical="top"/>
    </xf>
    <xf numFmtId="0" fontId="16" fillId="7" borderId="0" applyAlignment="1" pivotButton="0" quotePrefix="0" xfId="0">
      <alignment horizontal="general" vertical="center"/>
    </xf>
    <xf numFmtId="0" fontId="17" fillId="8" borderId="0" applyAlignment="1" pivotButton="0" quotePrefix="0" xfId="0">
      <alignment horizontal="general" vertical="center" wrapText="1"/>
    </xf>
    <xf numFmtId="0" fontId="18" fillId="7" borderId="1" applyAlignment="1" pivotButton="0" quotePrefix="0" xfId="0">
      <alignment horizontal="center" vertical="center" wrapText="1"/>
    </xf>
    <xf numFmtId="0" fontId="19" fillId="9" borderId="1" applyAlignment="1" pivotButton="0" quotePrefix="0" xfId="0">
      <alignment horizontal="general" vertical="top" wrapText="1"/>
    </xf>
    <xf numFmtId="0" fontId="20" fillId="6" borderId="1" applyAlignment="1" pivotButton="0" quotePrefix="0" xfId="0">
      <alignment horizontal="general" vertical="top" wrapText="1"/>
    </xf>
    <xf numFmtId="0" fontId="0" fillId="0" borderId="4" pivotButton="0" quotePrefix="0" xfId="0"/>
    <xf numFmtId="0" fontId="0" fillId="0" borderId="5" pivotButton="0" quotePrefix="0" xfId="0"/>
    <xf numFmtId="0" fontId="21" fillId="9" borderId="1" applyAlignment="1" pivotButton="0" quotePrefix="0" xfId="0">
      <alignment horizontal="general" vertical="bottom"/>
    </xf>
    <xf numFmtId="0" fontId="20" fillId="0" borderId="1" applyAlignment="1" pivotButton="0" quotePrefix="0" xfId="0">
      <alignment horizontal="general" vertical="top" wrapText="1"/>
    </xf>
    <xf numFmtId="164" fontId="15" fillId="5" borderId="0" applyAlignment="1" pivotButton="0" quotePrefix="0" xfId="0">
      <alignment vertical="top"/>
    </xf>
    <xf numFmtId="164" fontId="15" fillId="6" borderId="0" applyAlignment="1" pivotButton="0" quotePrefix="0" xfId="0">
      <alignment vertical="top"/>
    </xf>
  </cellXfs>
  <cellStyles count="1">
    <cellStyle name="Normal" xfId="0"/>
  </cellStyles>
  <dxfs count="2">
    <dxf>
      <fill>
        <patternFill>
          <bgColor rgb="00EAF4F3"/>
        </patternFill>
      </fill>
    </dxf>
    <dxf>
      <font>
        <b val="1"/>
        <color rgb="FF9C0006"/>
      </font>
      <fill>
        <patternFill patternType="solid">
          <fgColor rgb="FFFCE4D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B16"/>
  <sheetViews>
    <sheetView showGridLines="0" workbookViewId="0">
      <pane ySplit="2" topLeftCell="A3" activePane="bottomLeft" state="frozen"/>
      <selection activeCell="A1" sqref="A1"/>
    </sheetView>
  </sheetViews>
  <sheetFormatPr baseColWidth="8" defaultRowHeight="15"/>
  <cols>
    <col width="29" customWidth="1" min="1" max="1"/>
    <col width="100" customWidth="1" min="2" max="2"/>
  </cols>
  <sheetData>
    <row r="1">
      <c r="A1" s="13" t="inlineStr">
        <is>
          <t>AIG-INV-04  |  Using the simplified AI Register</t>
        </is>
      </c>
      <c r="B1" s="14" t="n"/>
    </row>
    <row r="2">
      <c r="A2" s="14" t="n"/>
      <c r="B2" s="14" t="n"/>
    </row>
    <row r="3" ht="42" customHeight="1">
      <c r="A3" s="15" t="inlineStr">
        <is>
          <t>Status</t>
        </is>
      </c>
      <c r="B3" s="16" t="inlineStr">
        <is>
          <t>Draft for Council review — unpopulated design draft; not adopted policy or an operational replacement.</t>
        </is>
      </c>
    </row>
    <row r="4" ht="42" customHeight="1">
      <c r="A4" s="17" t="inlineStr">
        <is>
          <t>What AIG-INV-04 answers</t>
        </is>
      </c>
      <c r="B4" s="18" t="inlineStr">
        <is>
          <t>Which system is governed, who owns it, its permitted purpose and its current position. The summary and evidence index are tabs inside AIG-INV-04, not separate playbook artefacts.</t>
        </is>
      </c>
    </row>
    <row r="5" ht="42" customHeight="1">
      <c r="A5" s="15" t="inlineStr">
        <is>
          <t>Where detail lives</t>
        </is>
      </c>
      <c r="B5" s="16" t="inlineStr">
        <is>
          <t>Priority/risk/agent triage remain in AIG-ASS-01/AIG-ASS-02/AIG-AGT-02/AIG-AGT-03. The proposed standalone Capabilities and System Map (candidate AIG-INV-05) joins by controlled AIR-ID; AIG-AGT-04/AIG-AGT-05 remain authoritative for per-agent scope/authority. Assessment summary and Evidence index are tabs within AIG-INV-04, not separate playbook artefacts.</t>
        </is>
      </c>
    </row>
    <row r="6" ht="48" customHeight="1">
      <c r="A6" s="17" t="inlineStr">
        <is>
          <t>Decision boundary</t>
        </is>
      </c>
      <c r="B6" s="18" t="inlineStr">
        <is>
          <t>SYSTEM BASELINE ONLY. Approval / operational status here applies to the governed system baseline and is not permission for any UC-ID. Verify the exact UC-ID, scoped decision and conditions in AIG-DEC-03 / approved minutes and dated AIG-DEC-04 event. Reconcile to the separate use-case current view.</t>
        </is>
      </c>
    </row>
    <row r="7" ht="42" customHeight="1">
      <c r="A7" s="15" t="inlineStr">
        <is>
          <t>ID / cross-file join</t>
        </is>
      </c>
      <c r="B7" s="16" t="inlineStr">
        <is>
          <t>Use only the controlled AIR-ID issued through governance. Enter the same AIR-ID in AIG-DEC-04. No live cross-file formula or invented ID is used.</t>
        </is>
      </c>
    </row>
    <row r="8" ht="42" customHeight="1">
      <c r="A8" s="17" t="inlineStr">
        <is>
          <t>Ownership</t>
        </is>
      </c>
      <c r="B8" s="18" t="inlineStr">
        <is>
          <t>Service Owner supplies case facts; technical and specialist owners supply their evidence; Governance maintains and reconciles the Register.</t>
        </is>
      </c>
    </row>
    <row r="9" ht="48" customHeight="1">
      <c r="A9" s="15" t="inlineStr">
        <is>
          <t>Before migration</t>
        </is>
      </c>
      <c r="B9" s="16" t="inlineStr">
        <is>
          <t>Agree the revised field list with the owners of the Council's existing (pre-suite) AI register before any migration. Reconcile every existing register field and actual record, keep history, test in Excel, approve a cutover and retain the existing records. No source data was migrated into this draft.</t>
        </is>
      </c>
    </row>
    <row r="10" ht="75" customHeight="1">
      <c r="A10" s="15" t="inlineStr">
        <is>
          <t>Status field names</t>
        </is>
      </c>
      <c r="B10" s="16" t="inlineStr">
        <is>
          <t>Governance Approval Status (column H) and Operational Status (column I) are the fields named in AIG-INV-01, AIG-OPS-01 and Playbook §3.6/§3.7. Allowed values — Governance Approval Status: Pending, Approved, Approved with conditions, Rejected, On hold, Suspended, Superseded. Operational Status: Not live, Active, Suspended, Decommissioned. ‘Approved (or Approved with conditions) and Active’ describes the system baseline only; a use is authorised only by its UC-ID decision in AIG-DEC-03.</t>
        </is>
      </c>
    </row>
    <row r="11" ht="75" customHeight="1">
      <c r="A11" s="15" t="inlineStr">
        <is>
          <t>Outcome mapping</t>
        </is>
      </c>
      <c r="B11" s="16" t="inlineStr">
        <is>
          <t>Governance Approval Status ↔ AIG-DEC-03 outcome: Pending ↔ Pending; Approved ↔ Approved; Approved with conditions ↔ Approved with conditions; On hold ↔ Deferred; Rejected ↔ Rejected; Suspended ↔ Suspended; Superseded ↔ Retired (replaced by another AIR-ID). AIG-DEC-04 gate outcomes map to the same list on its Lists sheet.</t>
        </is>
      </c>
    </row>
    <row r="12" ht="75" customHeight="1">
      <c r="A12" s="15" t="inlineStr">
        <is>
          <t>§3.7 minimum fields</t>
        </is>
      </c>
      <c r="B12" s="16" t="inlineStr">
        <is>
          <t>AI Register: AIR-ID, name, purpose/boundary with UC-ID(s) covered (P), service area, Service Owner, supplier/source, capability/tools permitted (Q), lifecycle stage, dates registered/first used (R, S), Governance Approval and Operational Status, personal/special category data (T), ATRS requirement (U), Model Card completion (V), monitoring in place (W), last/next review (X, N), route (Y), intake type (Z). Assessment summary: AGPI score (O), Effective Governance Priority (B), inherent risk (P), control effectiveness (Q), residual risk (R) and risk tier (D), DPIA (H) and EIA (I) positions. Gate decisions, conditions and events stay in AIG-DEC-03/AIG-DEC-04; use-level detail in the UC-ID current view.</t>
        </is>
      </c>
    </row>
    <row r="13" ht="75" customHeight="1">
      <c r="A13" s="15" t="inlineStr">
        <is>
          <t>ID conventions (Proposed — for Council confirmation)</t>
        </is>
      </c>
      <c r="B13" s="16" t="inlineStr">
        <is>
          <t>AIR-ID: AIR-nnnn, issued only by governance, never reused (format check warns). UC-ID: UC-nnnn, unique across the Council (not per AIR-ID). Suggested prefixes: EV- Evidence ID; RCH- Register Change ID; PLN- Plan ID; EVT- Event ID; CND- Condition ID; MED- Map Edge ID; MCH- Map Change ID. Enter one ID per cell where a join is needed.</t>
        </is>
      </c>
    </row>
    <row r="14" ht="75" customHeight="1">
      <c r="A14" s="15" t="inlineStr">
        <is>
          <t>Row checks</t>
        </is>
      </c>
      <c r="B14" s="16" t="inlineStr">
        <is>
          <t>Row checks are prompts, not approvals. Anything other than the pass text is highlighted amber: resolve it against the source record before relying on the row.</t>
        </is>
      </c>
    </row>
    <row r="15" ht="75" customHeight="1">
      <c r="A15" s="15" t="inlineStr">
        <is>
          <t>Evidence for screening by reference</t>
        </is>
      </c>
      <c r="B15" s="16" t="inlineStr">
        <is>
          <t>Evidence index columns M to O hold the date an assessment was completed or last reviewed, its review due date and, for one over 12 months old, its owner’s still-holds review ref. An assessment can be cited by reference only if it is Accepted, completed or reviewed within 12 months and its review date has not passed (Playbook §4.6); the row check flags the rest. Proposed — for Council confirmation.</t>
        </is>
      </c>
    </row>
    <row r="16" ht="75" customHeight="1">
      <c r="A16" s="15" t="inlineStr">
        <is>
          <t>Information asset link (v3.9.10)</t>
        </is>
      </c>
      <c r="B16" s="16" t="inlineStr">
        <is>
          <t>Column AA holds the reference of the matching entry in the Council's Information Asset Register. The Information Asset Owner is recorded there and is not repeated here, so each fact has one source. Leave it blank only where the system has no information asset entry yet, and ask the records manager or DPO to create one. Proposed — for Council confirmation.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A206"/>
  <sheetViews>
    <sheetView showGridLines="0" workbookViewId="0">
      <pane xSplit="2" ySplit="3" topLeftCell="C4" activePane="bottomRight" state="frozen"/>
      <selection activeCell="A1" sqref="A1"/>
    </sheetView>
  </sheetViews>
  <sheetFormatPr baseColWidth="8" defaultRowHeight="15"/>
  <cols>
    <col width="17" customWidth="1" min="1" max="1"/>
    <col width="27" customWidth="1" min="2" max="2"/>
    <col width="44" customWidth="1" min="3" max="3"/>
    <col width="22" customWidth="1" min="4" max="4"/>
    <col width="24" customWidth="1" min="5" max="5"/>
    <col width="26" customWidth="1" min="6" max="6"/>
    <col width="29" customWidth="1" min="7" max="7"/>
    <col width="20" customWidth="1" min="8" max="8"/>
    <col width="21" customWidth="1" min="9" max="9"/>
    <col width="15" customWidth="1" min="10" max="10"/>
    <col width="25" customWidth="1" min="11" max="11"/>
    <col width="23" customWidth="1" min="12" max="12"/>
    <col width="28" customWidth="1" min="13" max="13"/>
    <col width="17" customWidth="1" min="14" max="14"/>
    <col width="45" customWidth="1" min="15" max="15"/>
    <col width="40" customWidth="1" min="16" max="16"/>
    <col width="34" customWidth="1" min="17" max="17"/>
    <col width="15" customWidth="1" min="18" max="18"/>
    <col width="15" customWidth="1" min="19" max="19"/>
    <col width="17" customWidth="1" min="20" max="20"/>
    <col width="19" customWidth="1" min="21" max="21"/>
    <col width="19" customWidth="1" min="22" max="22"/>
    <col width="16" customWidth="1" min="23" max="23"/>
    <col width="15" customWidth="1" min="24" max="24"/>
    <col width="18" customWidth="1" min="25" max="25"/>
    <col width="18" customWidth="1" min="26" max="26"/>
    <col width="26" customWidth="1" min="27" max="27"/>
  </cols>
  <sheetData>
    <row r="1" ht="34" customHeight="1">
      <c r="A1" s="19" t="inlineStr">
        <is>
          <t>AIG-INV-04 / AI REGISTER — CURRENT POSITION</t>
        </is>
      </c>
    </row>
    <row r="2" ht="43" customHeight="1">
      <c r="A2" s="20" t="inlineStr">
        <is>
          <t>DRAFT PROTOTYPE · not approved for operational use. One row per governed system. Only the authorised governance process issues AIR-IDs. A status is not a decision; reconcile approval with the decision record and dated AIG-DEC-04 gate event. Columns P–Z hold the remaining Playbook §3.7 minimum fields; column AA links the system to the Council's Information Asset Register. The Row check (O) covers them.</t>
        </is>
      </c>
    </row>
    <row r="3" ht="33" customHeight="1">
      <c r="A3" s="21" t="inlineStr">
        <is>
          <t>AIR-ID</t>
        </is>
      </c>
      <c r="B3" s="21" t="inlineStr">
        <is>
          <t>System name</t>
        </is>
      </c>
      <c r="C3" s="21" t="inlineStr">
        <is>
          <t>Purpose and boundary</t>
        </is>
      </c>
      <c r="D3" s="21" t="inlineStr">
        <is>
          <t>Service area</t>
        </is>
      </c>
      <c r="E3" s="21" t="inlineStr">
        <is>
          <t>Service Owner</t>
        </is>
      </c>
      <c r="F3" s="21" t="inlineStr">
        <is>
          <t>Supplier / source</t>
        </is>
      </c>
      <c r="G3" s="21" t="inlineStr">
        <is>
          <t>Lifecycle stage</t>
        </is>
      </c>
      <c r="H3" s="21" t="inlineStr">
        <is>
          <t>Governance Approval Status (system baseline; not use approval)</t>
        </is>
      </c>
      <c r="I3" s="21" t="inlineStr">
        <is>
          <t>Operational Status (system baseline)</t>
        </is>
      </c>
      <c r="J3" s="21" t="inlineStr">
        <is>
          <t>Can it act?</t>
        </is>
      </c>
      <c r="K3" s="21" t="inlineStr">
        <is>
          <t>Decision record ref</t>
        </is>
      </c>
      <c r="L3" s="21" t="inlineStr">
        <is>
          <t>Latest gate Event ID</t>
        </is>
      </c>
      <c r="M3" s="21" t="inlineStr">
        <is>
          <t>Assessment / evidence ref</t>
        </is>
      </c>
      <c r="N3" s="21" t="inlineStr">
        <is>
          <t>Next review</t>
        </is>
      </c>
      <c r="O3" s="21" t="inlineStr">
        <is>
          <t>Row check</t>
        </is>
      </c>
      <c r="P3" s="21" t="inlineStr">
        <is>
          <t>UC-ID(s) covered — approved purpose and scope (one per line or AIG-DEC-03 ref)</t>
        </is>
      </c>
      <c r="Q3" s="21" t="inlineStr">
        <is>
          <t>AI capability and systems/tools permitted (pointer)</t>
        </is>
      </c>
      <c r="R3" s="21" t="inlineStr">
        <is>
          <t>Date registered</t>
        </is>
      </c>
      <c r="S3" s="21" t="inlineStr">
        <is>
          <t>Date first used</t>
        </is>
      </c>
      <c r="T3" s="21" t="inlineStr">
        <is>
          <t>Personal / special category data?</t>
        </is>
      </c>
      <c r="U3" s="21" t="inlineStr">
        <is>
          <t>ATRS requirement</t>
        </is>
      </c>
      <c r="V3" s="21" t="inlineStr">
        <is>
          <t>Model Card completion</t>
        </is>
      </c>
      <c r="W3" s="21" t="inlineStr">
        <is>
          <t>Monitoring in place?</t>
        </is>
      </c>
      <c r="X3" s="21" t="inlineStr">
        <is>
          <t>Last review date</t>
        </is>
      </c>
      <c r="Y3" s="21" t="inlineStr">
        <is>
          <t>Route / pathway</t>
        </is>
      </c>
      <c r="Z3" s="21" t="inlineStr">
        <is>
          <t>Intake type</t>
        </is>
      </c>
      <c r="AA3" s="21" t="inlineStr">
        <is>
          <t>Information asset reference</t>
        </is>
      </c>
    </row>
    <row r="4">
      <c r="A4" s="22" t="n"/>
      <c r="B4" s="22" t="n"/>
      <c r="C4" s="22" t="n"/>
      <c r="D4" s="22" t="n"/>
      <c r="E4" s="22" t="n"/>
      <c r="F4" s="22" t="n"/>
      <c r="G4" s="22" t="n"/>
      <c r="H4" s="22" t="n"/>
      <c r="I4" s="22" t="n"/>
      <c r="J4" s="22" t="n"/>
      <c r="K4" s="22" t="n"/>
      <c r="L4" s="22" t="n"/>
      <c r="M4" s="22" t="n"/>
      <c r="N4" s="35" t="n"/>
      <c r="O4" s="22">
        <f>IF(COUNTA(A4:N4,P4:AA4)=0,"",IF(TRIM(A4)="","AIR-ID missing",IF(SUMPRODUCT(--(TRIM($A$4:$A$206)=TRIM(A4)))&gt;1,"Duplicate AIR-ID",IF(OR(B4="",E4="",G4="",H4="",I4="",N4=""),"Required field missing (name, owner, stage, status or next review)",IF(NOT(ISNUMBER(N4)),"Next review is not a date",IF(OR(AND(R4&lt;&gt;"",NOT(ISNUMBER(R4))),AND(S4&lt;&gt;"",NOT(ISNUMBER(S4))),AND(X4&lt;&gt;"",NOT(ISNUMBER(X4)))),"Date field is not a date",IF(AND(OR(H4="Approved",H4="Approved with conditions"),OR(K4="",L4="")),"Approval evidence refs missing",IF(AND(I4="Active",H4&lt;&gt;"Approved",H4&lt;&gt;"Approved with conditions"),"Active without approved status",IF(AND(I4="Active",G4&lt;&gt;"Deployment and Operation",G4&lt;&gt;"Monitoring and Review"),"Active in wrong lifecycle stage",IF(AND(I4="Active",P4=""),"Active without UC-ID link",IF(AND(OR(J4="Yes",J4="Unsure"),M4=""),"Agent evidence ref missing",IF(AND(I4="Active",W4&lt;&gt;"Yes"),"Active without monitoring in place",IF(N4&lt;TODAY(),"Review overdue","Check refs against source")))))))))))))</f>
        <v/>
      </c>
      <c r="P4" s="22" t="n"/>
      <c r="Q4" s="22" t="n"/>
      <c r="R4" s="35" t="n"/>
      <c r="S4" s="35" t="n"/>
      <c r="T4" s="22" t="n"/>
      <c r="U4" s="22" t="n"/>
      <c r="V4" s="22" t="n"/>
      <c r="W4" s="22" t="n"/>
      <c r="X4" s="35" t="n"/>
      <c r="Y4" s="22" t="n"/>
      <c r="Z4" s="22" t="n"/>
      <c r="AA4" s="22" t="n"/>
    </row>
    <row r="5">
      <c r="A5" s="24" t="n"/>
      <c r="B5" s="24" t="n"/>
      <c r="C5" s="24" t="n"/>
      <c r="D5" s="24" t="n"/>
      <c r="E5" s="24" t="n"/>
      <c r="F5" s="24" t="n"/>
      <c r="G5" s="24" t="n"/>
      <c r="H5" s="24" t="n"/>
      <c r="I5" s="24" t="n"/>
      <c r="J5" s="24" t="n"/>
      <c r="K5" s="24" t="n"/>
      <c r="L5" s="24" t="n"/>
      <c r="M5" s="24" t="n"/>
      <c r="N5" s="36" t="n"/>
      <c r="O5" s="24">
        <f>IF(COUNTA(A5:N5,P5:AA5)=0,"",IF(TRIM(A5)="","AIR-ID missing",IF(SUMPRODUCT(--(TRIM($A$4:$A$206)=TRIM(A5)))&gt;1,"Duplicate AIR-ID",IF(OR(B5="",E5="",G5="",H5="",I5="",N5=""),"Required field missing (name, owner, stage, status or next review)",IF(NOT(ISNUMBER(N5)),"Next review is not a date",IF(OR(AND(R5&lt;&gt;"",NOT(ISNUMBER(R5))),AND(S5&lt;&gt;"",NOT(ISNUMBER(S5))),AND(X5&lt;&gt;"",NOT(ISNUMBER(X5)))),"Date field is not a date",IF(AND(OR(H5="Approved",H5="Approved with conditions"),OR(K5="",L5="")),"Approval evidence refs missing",IF(AND(I5="Active",H5&lt;&gt;"Approved",H5&lt;&gt;"Approved with conditions"),"Active without approved status",IF(AND(I5="Active",G5&lt;&gt;"Deployment and Operation",G5&lt;&gt;"Monitoring and Review"),"Active in wrong lifecycle stage",IF(AND(I5="Active",P5=""),"Active without UC-ID link",IF(AND(OR(J5="Yes",J5="Unsure"),M5=""),"Agent evidence ref missing",IF(AND(I5="Active",W5&lt;&gt;"Yes"),"Active without monitoring in place",IF(N5&lt;TODAY(),"Review overdue","Check refs against source")))))))))))))</f>
        <v/>
      </c>
      <c r="P5" s="24" t="n"/>
      <c r="Q5" s="24" t="n"/>
      <c r="R5" s="36" t="n"/>
      <c r="S5" s="36" t="n"/>
      <c r="T5" s="24" t="n"/>
      <c r="U5" s="24" t="n"/>
      <c r="V5" s="24" t="n"/>
      <c r="W5" s="24" t="n"/>
      <c r="X5" s="36" t="n"/>
      <c r="Y5" s="24" t="n"/>
      <c r="Z5" s="24" t="n"/>
      <c r="AA5" s="24" t="n"/>
    </row>
    <row r="6">
      <c r="A6" s="22" t="n"/>
      <c r="B6" s="22" t="n"/>
      <c r="C6" s="22" t="n"/>
      <c r="D6" s="22" t="n"/>
      <c r="E6" s="22" t="n"/>
      <c r="F6" s="22" t="n"/>
      <c r="G6" s="22" t="n"/>
      <c r="H6" s="22" t="n"/>
      <c r="I6" s="22" t="n"/>
      <c r="J6" s="22" t="n"/>
      <c r="K6" s="22" t="n"/>
      <c r="L6" s="22" t="n"/>
      <c r="M6" s="22" t="n"/>
      <c r="N6" s="35" t="n"/>
      <c r="O6" s="22">
        <f>IF(COUNTA(A6:N6,P6:AA6)=0,"",IF(TRIM(A6)="","AIR-ID missing",IF(SUMPRODUCT(--(TRIM($A$4:$A$206)=TRIM(A6)))&gt;1,"Duplicate AIR-ID",IF(OR(B6="",E6="",G6="",H6="",I6="",N6=""),"Required field missing (name, owner, stage, status or next review)",IF(NOT(ISNUMBER(N6)),"Next review is not a date",IF(OR(AND(R6&lt;&gt;"",NOT(ISNUMBER(R6))),AND(S6&lt;&gt;"",NOT(ISNUMBER(S6))),AND(X6&lt;&gt;"",NOT(ISNUMBER(X6)))),"Date field is not a date",IF(AND(OR(H6="Approved",H6="Approved with conditions"),OR(K6="",L6="")),"Approval evidence refs missing",IF(AND(I6="Active",H6&lt;&gt;"Approved",H6&lt;&gt;"Approved with conditions"),"Active without approved status",IF(AND(I6="Active",G6&lt;&gt;"Deployment and Operation",G6&lt;&gt;"Monitoring and Review"),"Active in wrong lifecycle stage",IF(AND(I6="Active",P6=""),"Active without UC-ID link",IF(AND(OR(J6="Yes",J6="Unsure"),M6=""),"Agent evidence ref missing",IF(AND(I6="Active",W6&lt;&gt;"Yes"),"Active without monitoring in place",IF(N6&lt;TODAY(),"Review overdue","Check refs against source")))))))))))))</f>
        <v/>
      </c>
      <c r="P6" s="22" t="n"/>
      <c r="Q6" s="22" t="n"/>
      <c r="R6" s="35" t="n"/>
      <c r="S6" s="35" t="n"/>
      <c r="T6" s="22" t="n"/>
      <c r="U6" s="22" t="n"/>
      <c r="V6" s="22" t="n"/>
      <c r="W6" s="22" t="n"/>
      <c r="X6" s="35" t="n"/>
      <c r="Y6" s="22" t="n"/>
      <c r="Z6" s="22" t="n"/>
      <c r="AA6" s="22" t="n"/>
    </row>
    <row r="7">
      <c r="A7" s="24" t="n"/>
      <c r="B7" s="24" t="n"/>
      <c r="C7" s="24" t="n"/>
      <c r="D7" s="24" t="n"/>
      <c r="E7" s="24" t="n"/>
      <c r="F7" s="24" t="n"/>
      <c r="G7" s="24" t="n"/>
      <c r="H7" s="24" t="n"/>
      <c r="I7" s="24" t="n"/>
      <c r="J7" s="24" t="n"/>
      <c r="K7" s="24" t="n"/>
      <c r="L7" s="24" t="n"/>
      <c r="M7" s="24" t="n"/>
      <c r="N7" s="36" t="n"/>
      <c r="O7" s="24">
        <f>IF(COUNTA(A7:N7,P7:AA7)=0,"",IF(TRIM(A7)="","AIR-ID missing",IF(SUMPRODUCT(--(TRIM($A$4:$A$206)=TRIM(A7)))&gt;1,"Duplicate AIR-ID",IF(OR(B7="",E7="",G7="",H7="",I7="",N7=""),"Required field missing (name, owner, stage, status or next review)",IF(NOT(ISNUMBER(N7)),"Next review is not a date",IF(OR(AND(R7&lt;&gt;"",NOT(ISNUMBER(R7))),AND(S7&lt;&gt;"",NOT(ISNUMBER(S7))),AND(X7&lt;&gt;"",NOT(ISNUMBER(X7)))),"Date field is not a date",IF(AND(OR(H7="Approved",H7="Approved with conditions"),OR(K7="",L7="")),"Approval evidence refs missing",IF(AND(I7="Active",H7&lt;&gt;"Approved",H7&lt;&gt;"Approved with conditions"),"Active without approved status",IF(AND(I7="Active",G7&lt;&gt;"Deployment and Operation",G7&lt;&gt;"Monitoring and Review"),"Active in wrong lifecycle stage",IF(AND(I7="Active",P7=""),"Active without UC-ID link",IF(AND(OR(J7="Yes",J7="Unsure"),M7=""),"Agent evidence ref missing",IF(AND(I7="Active",W7&lt;&gt;"Yes"),"Active without monitoring in place",IF(N7&lt;TODAY(),"Review overdue","Check refs against source")))))))))))))</f>
        <v/>
      </c>
      <c r="P7" s="24" t="n"/>
      <c r="Q7" s="24" t="n"/>
      <c r="R7" s="36" t="n"/>
      <c r="S7" s="36" t="n"/>
      <c r="T7" s="24" t="n"/>
      <c r="U7" s="24" t="n"/>
      <c r="V7" s="24" t="n"/>
      <c r="W7" s="24" t="n"/>
      <c r="X7" s="36" t="n"/>
      <c r="Y7" s="24" t="n"/>
      <c r="Z7" s="24" t="n"/>
      <c r="AA7" s="24" t="n"/>
    </row>
    <row r="8">
      <c r="A8" s="22" t="n"/>
      <c r="B8" s="22" t="n"/>
      <c r="C8" s="22" t="n"/>
      <c r="D8" s="22" t="n"/>
      <c r="E8" s="22" t="n"/>
      <c r="F8" s="22" t="n"/>
      <c r="G8" s="22" t="n"/>
      <c r="H8" s="22" t="n"/>
      <c r="I8" s="22" t="n"/>
      <c r="J8" s="22" t="n"/>
      <c r="K8" s="22" t="n"/>
      <c r="L8" s="22" t="n"/>
      <c r="M8" s="22" t="n"/>
      <c r="N8" s="35" t="n"/>
      <c r="O8" s="22">
        <f>IF(COUNTA(A8:N8,P8:AA8)=0,"",IF(TRIM(A8)="","AIR-ID missing",IF(SUMPRODUCT(--(TRIM($A$4:$A$206)=TRIM(A8)))&gt;1,"Duplicate AIR-ID",IF(OR(B8="",E8="",G8="",H8="",I8="",N8=""),"Required field missing (name, owner, stage, status or next review)",IF(NOT(ISNUMBER(N8)),"Next review is not a date",IF(OR(AND(R8&lt;&gt;"",NOT(ISNUMBER(R8))),AND(S8&lt;&gt;"",NOT(ISNUMBER(S8))),AND(X8&lt;&gt;"",NOT(ISNUMBER(X8)))),"Date field is not a date",IF(AND(OR(H8="Approved",H8="Approved with conditions"),OR(K8="",L8="")),"Approval evidence refs missing",IF(AND(I8="Active",H8&lt;&gt;"Approved",H8&lt;&gt;"Approved with conditions"),"Active without approved status",IF(AND(I8="Active",G8&lt;&gt;"Deployment and Operation",G8&lt;&gt;"Monitoring and Review"),"Active in wrong lifecycle stage",IF(AND(I8="Active",P8=""),"Active without UC-ID link",IF(AND(OR(J8="Yes",J8="Unsure"),M8=""),"Agent evidence ref missing",IF(AND(I8="Active",W8&lt;&gt;"Yes"),"Active without monitoring in place",IF(N8&lt;TODAY(),"Review overdue","Check refs against source")))))))))))))</f>
        <v/>
      </c>
      <c r="P8" s="22" t="n"/>
      <c r="Q8" s="22" t="n"/>
      <c r="R8" s="35" t="n"/>
      <c r="S8" s="35" t="n"/>
      <c r="T8" s="22" t="n"/>
      <c r="U8" s="22" t="n"/>
      <c r="V8" s="22" t="n"/>
      <c r="W8" s="22" t="n"/>
      <c r="X8" s="35" t="n"/>
      <c r="Y8" s="22" t="n"/>
      <c r="Z8" s="22" t="n"/>
      <c r="AA8" s="22" t="n"/>
    </row>
    <row r="9">
      <c r="A9" s="24" t="n"/>
      <c r="B9" s="24" t="n"/>
      <c r="C9" s="24" t="n"/>
      <c r="D9" s="24" t="n"/>
      <c r="E9" s="24" t="n"/>
      <c r="F9" s="24" t="n"/>
      <c r="G9" s="24" t="n"/>
      <c r="H9" s="24" t="n"/>
      <c r="I9" s="24" t="n"/>
      <c r="J9" s="24" t="n"/>
      <c r="K9" s="24" t="n"/>
      <c r="L9" s="24" t="n"/>
      <c r="M9" s="24" t="n"/>
      <c r="N9" s="36" t="n"/>
      <c r="O9" s="24">
        <f>IF(COUNTA(A9:N9,P9:AA9)=0,"",IF(TRIM(A9)="","AIR-ID missing",IF(SUMPRODUCT(--(TRIM($A$4:$A$206)=TRIM(A9)))&gt;1,"Duplicate AIR-ID",IF(OR(B9="",E9="",G9="",H9="",I9="",N9=""),"Required field missing (name, owner, stage, status or next review)",IF(NOT(ISNUMBER(N9)),"Next review is not a date",IF(OR(AND(R9&lt;&gt;"",NOT(ISNUMBER(R9))),AND(S9&lt;&gt;"",NOT(ISNUMBER(S9))),AND(X9&lt;&gt;"",NOT(ISNUMBER(X9)))),"Date field is not a date",IF(AND(OR(H9="Approved",H9="Approved with conditions"),OR(K9="",L9="")),"Approval evidence refs missing",IF(AND(I9="Active",H9&lt;&gt;"Approved",H9&lt;&gt;"Approved with conditions"),"Active without approved status",IF(AND(I9="Active",G9&lt;&gt;"Deployment and Operation",G9&lt;&gt;"Monitoring and Review"),"Active in wrong lifecycle stage",IF(AND(I9="Active",P9=""),"Active without UC-ID link",IF(AND(OR(J9="Yes",J9="Unsure"),M9=""),"Agent evidence ref missing",IF(AND(I9="Active",W9&lt;&gt;"Yes"),"Active without monitoring in place",IF(N9&lt;TODAY(),"Review overdue","Check refs against source")))))))))))))</f>
        <v/>
      </c>
      <c r="P9" s="24" t="n"/>
      <c r="Q9" s="24" t="n"/>
      <c r="R9" s="36" t="n"/>
      <c r="S9" s="36" t="n"/>
      <c r="T9" s="24" t="n"/>
      <c r="U9" s="24" t="n"/>
      <c r="V9" s="24" t="n"/>
      <c r="W9" s="24" t="n"/>
      <c r="X9" s="36" t="n"/>
      <c r="Y9" s="24" t="n"/>
      <c r="Z9" s="24" t="n"/>
      <c r="AA9" s="24" t="n"/>
    </row>
    <row r="10">
      <c r="A10" s="22" t="n"/>
      <c r="B10" s="22" t="n"/>
      <c r="C10" s="22" t="n"/>
      <c r="D10" s="22" t="n"/>
      <c r="E10" s="22" t="n"/>
      <c r="F10" s="22" t="n"/>
      <c r="G10" s="22" t="n"/>
      <c r="H10" s="22" t="n"/>
      <c r="I10" s="22" t="n"/>
      <c r="J10" s="22" t="n"/>
      <c r="K10" s="22" t="n"/>
      <c r="L10" s="22" t="n"/>
      <c r="M10" s="22" t="n"/>
      <c r="N10" s="35" t="n"/>
      <c r="O10" s="22">
        <f>IF(COUNTA(A10:N10,P10:AA10)=0,"",IF(TRIM(A10)="","AIR-ID missing",IF(SUMPRODUCT(--(TRIM($A$4:$A$206)=TRIM(A10)))&gt;1,"Duplicate AIR-ID",IF(OR(B10="",E10="",G10="",H10="",I10="",N10=""),"Required field missing (name, owner, stage, status or next review)",IF(NOT(ISNUMBER(N10)),"Next review is not a date",IF(OR(AND(R10&lt;&gt;"",NOT(ISNUMBER(R10))),AND(S10&lt;&gt;"",NOT(ISNUMBER(S10))),AND(X10&lt;&gt;"",NOT(ISNUMBER(X10)))),"Date field is not a date",IF(AND(OR(H10="Approved",H10="Approved with conditions"),OR(K10="",L10="")),"Approval evidence refs missing",IF(AND(I10="Active",H10&lt;&gt;"Approved",H10&lt;&gt;"Approved with conditions"),"Active without approved status",IF(AND(I10="Active",G10&lt;&gt;"Deployment and Operation",G10&lt;&gt;"Monitoring and Review"),"Active in wrong lifecycle stage",IF(AND(I10="Active",P10=""),"Active without UC-ID link",IF(AND(OR(J10="Yes",J10="Unsure"),M10=""),"Agent evidence ref missing",IF(AND(I10="Active",W10&lt;&gt;"Yes"),"Active without monitoring in place",IF(N10&lt;TODAY(),"Review overdue","Check refs against source")))))))))))))</f>
        <v/>
      </c>
      <c r="P10" s="22" t="n"/>
      <c r="Q10" s="22" t="n"/>
      <c r="R10" s="35" t="n"/>
      <c r="S10" s="35" t="n"/>
      <c r="T10" s="22" t="n"/>
      <c r="U10" s="22" t="n"/>
      <c r="V10" s="22" t="n"/>
      <c r="W10" s="22" t="n"/>
      <c r="X10" s="35" t="n"/>
      <c r="Y10" s="22" t="n"/>
      <c r="Z10" s="22" t="n"/>
      <c r="AA10" s="22" t="n"/>
    </row>
    <row r="11">
      <c r="A11" s="24" t="n"/>
      <c r="B11" s="24" t="n"/>
      <c r="C11" s="24" t="n"/>
      <c r="D11" s="24" t="n"/>
      <c r="E11" s="24" t="n"/>
      <c r="F11" s="24" t="n"/>
      <c r="G11" s="24" t="n"/>
      <c r="H11" s="24" t="n"/>
      <c r="I11" s="24" t="n"/>
      <c r="J11" s="24" t="n"/>
      <c r="K11" s="24" t="n"/>
      <c r="L11" s="24" t="n"/>
      <c r="M11" s="24" t="n"/>
      <c r="N11" s="36" t="n"/>
      <c r="O11" s="24">
        <f>IF(COUNTA(A11:N11,P11:AA11)=0,"",IF(TRIM(A11)="","AIR-ID missing",IF(SUMPRODUCT(--(TRIM($A$4:$A$206)=TRIM(A11)))&gt;1,"Duplicate AIR-ID",IF(OR(B11="",E11="",G11="",H11="",I11="",N11=""),"Required field missing (name, owner, stage, status or next review)",IF(NOT(ISNUMBER(N11)),"Next review is not a date",IF(OR(AND(R11&lt;&gt;"",NOT(ISNUMBER(R11))),AND(S11&lt;&gt;"",NOT(ISNUMBER(S11))),AND(X11&lt;&gt;"",NOT(ISNUMBER(X11)))),"Date field is not a date",IF(AND(OR(H11="Approved",H11="Approved with conditions"),OR(K11="",L11="")),"Approval evidence refs missing",IF(AND(I11="Active",H11&lt;&gt;"Approved",H11&lt;&gt;"Approved with conditions"),"Active without approved status",IF(AND(I11="Active",G11&lt;&gt;"Deployment and Operation",G11&lt;&gt;"Monitoring and Review"),"Active in wrong lifecycle stage",IF(AND(I11="Active",P11=""),"Active without UC-ID link",IF(AND(OR(J11="Yes",J11="Unsure"),M11=""),"Agent evidence ref missing",IF(AND(I11="Active",W11&lt;&gt;"Yes"),"Active without monitoring in place",IF(N11&lt;TODAY(),"Review overdue","Check refs against source")))))))))))))</f>
        <v/>
      </c>
      <c r="P11" s="24" t="n"/>
      <c r="Q11" s="24" t="n"/>
      <c r="R11" s="36" t="n"/>
      <c r="S11" s="36" t="n"/>
      <c r="T11" s="24" t="n"/>
      <c r="U11" s="24" t="n"/>
      <c r="V11" s="24" t="n"/>
      <c r="W11" s="24" t="n"/>
      <c r="X11" s="36" t="n"/>
      <c r="Y11" s="24" t="n"/>
      <c r="Z11" s="24" t="n"/>
      <c r="AA11" s="24" t="n"/>
    </row>
    <row r="12">
      <c r="A12" s="22" t="n"/>
      <c r="B12" s="22" t="n"/>
      <c r="C12" s="22" t="n"/>
      <c r="D12" s="22" t="n"/>
      <c r="E12" s="22" t="n"/>
      <c r="F12" s="22" t="n"/>
      <c r="G12" s="22" t="n"/>
      <c r="H12" s="22" t="n"/>
      <c r="I12" s="22" t="n"/>
      <c r="J12" s="22" t="n"/>
      <c r="K12" s="22" t="n"/>
      <c r="L12" s="22" t="n"/>
      <c r="M12" s="22" t="n"/>
      <c r="N12" s="35" t="n"/>
      <c r="O12" s="22">
        <f>IF(COUNTA(A12:N12,P12:AA12)=0,"",IF(TRIM(A12)="","AIR-ID missing",IF(SUMPRODUCT(--(TRIM($A$4:$A$206)=TRIM(A12)))&gt;1,"Duplicate AIR-ID",IF(OR(B12="",E12="",G12="",H12="",I12="",N12=""),"Required field missing (name, owner, stage, status or next review)",IF(NOT(ISNUMBER(N12)),"Next review is not a date",IF(OR(AND(R12&lt;&gt;"",NOT(ISNUMBER(R12))),AND(S12&lt;&gt;"",NOT(ISNUMBER(S12))),AND(X12&lt;&gt;"",NOT(ISNUMBER(X12)))),"Date field is not a date",IF(AND(OR(H12="Approved",H12="Approved with conditions"),OR(K12="",L12="")),"Approval evidence refs missing",IF(AND(I12="Active",H12&lt;&gt;"Approved",H12&lt;&gt;"Approved with conditions"),"Active without approved status",IF(AND(I12="Active",G12&lt;&gt;"Deployment and Operation",G12&lt;&gt;"Monitoring and Review"),"Active in wrong lifecycle stage",IF(AND(I12="Active",P12=""),"Active without UC-ID link",IF(AND(OR(J12="Yes",J12="Unsure"),M12=""),"Agent evidence ref missing",IF(AND(I12="Active",W12&lt;&gt;"Yes"),"Active without monitoring in place",IF(N12&lt;TODAY(),"Review overdue","Check refs against source")))))))))))))</f>
        <v/>
      </c>
      <c r="P12" s="22" t="n"/>
      <c r="Q12" s="22" t="n"/>
      <c r="R12" s="35" t="n"/>
      <c r="S12" s="35" t="n"/>
      <c r="T12" s="22" t="n"/>
      <c r="U12" s="22" t="n"/>
      <c r="V12" s="22" t="n"/>
      <c r="W12" s="22" t="n"/>
      <c r="X12" s="35" t="n"/>
      <c r="Y12" s="22" t="n"/>
      <c r="Z12" s="22" t="n"/>
      <c r="AA12" s="22" t="n"/>
    </row>
    <row r="13">
      <c r="A13" s="24" t="n"/>
      <c r="B13" s="24" t="n"/>
      <c r="C13" s="24" t="n"/>
      <c r="D13" s="24" t="n"/>
      <c r="E13" s="24" t="n"/>
      <c r="F13" s="24" t="n"/>
      <c r="G13" s="24" t="n"/>
      <c r="H13" s="24" t="n"/>
      <c r="I13" s="24" t="n"/>
      <c r="J13" s="24" t="n"/>
      <c r="K13" s="24" t="n"/>
      <c r="L13" s="24" t="n"/>
      <c r="M13" s="24" t="n"/>
      <c r="N13" s="36" t="n"/>
      <c r="O13" s="24">
        <f>IF(COUNTA(A13:N13,P13:AA13)=0,"",IF(TRIM(A13)="","AIR-ID missing",IF(SUMPRODUCT(--(TRIM($A$4:$A$206)=TRIM(A13)))&gt;1,"Duplicate AIR-ID",IF(OR(B13="",E13="",G13="",H13="",I13="",N13=""),"Required field missing (name, owner, stage, status or next review)",IF(NOT(ISNUMBER(N13)),"Next review is not a date",IF(OR(AND(R13&lt;&gt;"",NOT(ISNUMBER(R13))),AND(S13&lt;&gt;"",NOT(ISNUMBER(S13))),AND(X13&lt;&gt;"",NOT(ISNUMBER(X13)))),"Date field is not a date",IF(AND(OR(H13="Approved",H13="Approved with conditions"),OR(K13="",L13="")),"Approval evidence refs missing",IF(AND(I13="Active",H13&lt;&gt;"Approved",H13&lt;&gt;"Approved with conditions"),"Active without approved status",IF(AND(I13="Active",G13&lt;&gt;"Deployment and Operation",G13&lt;&gt;"Monitoring and Review"),"Active in wrong lifecycle stage",IF(AND(I13="Active",P13=""),"Active without UC-ID link",IF(AND(OR(J13="Yes",J13="Unsure"),M13=""),"Agent evidence ref missing",IF(AND(I13="Active",W13&lt;&gt;"Yes"),"Active without monitoring in place",IF(N13&lt;TODAY(),"Review overdue","Check refs against source")))))))))))))</f>
        <v/>
      </c>
      <c r="P13" s="24" t="n"/>
      <c r="Q13" s="24" t="n"/>
      <c r="R13" s="36" t="n"/>
      <c r="S13" s="36" t="n"/>
      <c r="T13" s="24" t="n"/>
      <c r="U13" s="24" t="n"/>
      <c r="V13" s="24" t="n"/>
      <c r="W13" s="24" t="n"/>
      <c r="X13" s="36" t="n"/>
      <c r="Y13" s="24" t="n"/>
      <c r="Z13" s="24" t="n"/>
      <c r="AA13" s="24" t="n"/>
    </row>
    <row r="14">
      <c r="A14" s="22" t="n"/>
      <c r="B14" s="22" t="n"/>
      <c r="C14" s="22" t="n"/>
      <c r="D14" s="22" t="n"/>
      <c r="E14" s="22" t="n"/>
      <c r="F14" s="22" t="n"/>
      <c r="G14" s="22" t="n"/>
      <c r="H14" s="22" t="n"/>
      <c r="I14" s="22" t="n"/>
      <c r="J14" s="22" t="n"/>
      <c r="K14" s="22" t="n"/>
      <c r="L14" s="22" t="n"/>
      <c r="M14" s="22" t="n"/>
      <c r="N14" s="35" t="n"/>
      <c r="O14" s="22">
        <f>IF(COUNTA(A14:N14,P14:AA14)=0,"",IF(TRIM(A14)="","AIR-ID missing",IF(SUMPRODUCT(--(TRIM($A$4:$A$206)=TRIM(A14)))&gt;1,"Duplicate AIR-ID",IF(OR(B14="",E14="",G14="",H14="",I14="",N14=""),"Required field missing (name, owner, stage, status or next review)",IF(NOT(ISNUMBER(N14)),"Next review is not a date",IF(OR(AND(R14&lt;&gt;"",NOT(ISNUMBER(R14))),AND(S14&lt;&gt;"",NOT(ISNUMBER(S14))),AND(X14&lt;&gt;"",NOT(ISNUMBER(X14)))),"Date field is not a date",IF(AND(OR(H14="Approved",H14="Approved with conditions"),OR(K14="",L14="")),"Approval evidence refs missing",IF(AND(I14="Active",H14&lt;&gt;"Approved",H14&lt;&gt;"Approved with conditions"),"Active without approved status",IF(AND(I14="Active",G14&lt;&gt;"Deployment and Operation",G14&lt;&gt;"Monitoring and Review"),"Active in wrong lifecycle stage",IF(AND(I14="Active",P14=""),"Active without UC-ID link",IF(AND(OR(J14="Yes",J14="Unsure"),M14=""),"Agent evidence ref missing",IF(AND(I14="Active",W14&lt;&gt;"Yes"),"Active without monitoring in place",IF(N14&lt;TODAY(),"Review overdue","Check refs against source")))))))))))))</f>
        <v/>
      </c>
      <c r="P14" s="22" t="n"/>
      <c r="Q14" s="22" t="n"/>
      <c r="R14" s="35" t="n"/>
      <c r="S14" s="35" t="n"/>
      <c r="T14" s="22" t="n"/>
      <c r="U14" s="22" t="n"/>
      <c r="V14" s="22" t="n"/>
      <c r="W14" s="22" t="n"/>
      <c r="X14" s="35" t="n"/>
      <c r="Y14" s="22" t="n"/>
      <c r="Z14" s="22" t="n"/>
      <c r="AA14" s="22" t="n"/>
    </row>
    <row r="15">
      <c r="A15" s="24" t="n"/>
      <c r="B15" s="24" t="n"/>
      <c r="C15" s="24" t="n"/>
      <c r="D15" s="24" t="n"/>
      <c r="E15" s="24" t="n"/>
      <c r="F15" s="24" t="n"/>
      <c r="G15" s="24" t="n"/>
      <c r="H15" s="24" t="n"/>
      <c r="I15" s="24" t="n"/>
      <c r="J15" s="24" t="n"/>
      <c r="K15" s="24" t="n"/>
      <c r="L15" s="24" t="n"/>
      <c r="M15" s="24" t="n"/>
      <c r="N15" s="36" t="n"/>
      <c r="O15" s="24">
        <f>IF(COUNTA(A15:N15,P15:AA15)=0,"",IF(TRIM(A15)="","AIR-ID missing",IF(SUMPRODUCT(--(TRIM($A$4:$A$206)=TRIM(A15)))&gt;1,"Duplicate AIR-ID",IF(OR(B15="",E15="",G15="",H15="",I15="",N15=""),"Required field missing (name, owner, stage, status or next review)",IF(NOT(ISNUMBER(N15)),"Next review is not a date",IF(OR(AND(R15&lt;&gt;"",NOT(ISNUMBER(R15))),AND(S15&lt;&gt;"",NOT(ISNUMBER(S15))),AND(X15&lt;&gt;"",NOT(ISNUMBER(X15)))),"Date field is not a date",IF(AND(OR(H15="Approved",H15="Approved with conditions"),OR(K15="",L15="")),"Approval evidence refs missing",IF(AND(I15="Active",H15&lt;&gt;"Approved",H15&lt;&gt;"Approved with conditions"),"Active without approved status",IF(AND(I15="Active",G15&lt;&gt;"Deployment and Operation",G15&lt;&gt;"Monitoring and Review"),"Active in wrong lifecycle stage",IF(AND(I15="Active",P15=""),"Active without UC-ID link",IF(AND(OR(J15="Yes",J15="Unsure"),M15=""),"Agent evidence ref missing",IF(AND(I15="Active",W15&lt;&gt;"Yes"),"Active without monitoring in place",IF(N15&lt;TODAY(),"Review overdue","Check refs against source")))))))))))))</f>
        <v/>
      </c>
      <c r="P15" s="24" t="n"/>
      <c r="Q15" s="24" t="n"/>
      <c r="R15" s="36" t="n"/>
      <c r="S15" s="36" t="n"/>
      <c r="T15" s="24" t="n"/>
      <c r="U15" s="24" t="n"/>
      <c r="V15" s="24" t="n"/>
      <c r="W15" s="24" t="n"/>
      <c r="X15" s="36" t="n"/>
      <c r="Y15" s="24" t="n"/>
      <c r="Z15" s="24" t="n"/>
      <c r="AA15" s="24" t="n"/>
    </row>
    <row r="16">
      <c r="A16" s="22" t="n"/>
      <c r="B16" s="22" t="n"/>
      <c r="C16" s="22" t="n"/>
      <c r="D16" s="22" t="n"/>
      <c r="E16" s="22" t="n"/>
      <c r="F16" s="22" t="n"/>
      <c r="G16" s="22" t="n"/>
      <c r="H16" s="22" t="n"/>
      <c r="I16" s="22" t="n"/>
      <c r="J16" s="22" t="n"/>
      <c r="K16" s="22" t="n"/>
      <c r="L16" s="22" t="n"/>
      <c r="M16" s="22" t="n"/>
      <c r="N16" s="35" t="n"/>
      <c r="O16" s="22">
        <f>IF(COUNTA(A16:N16,P16:AA16)=0,"",IF(TRIM(A16)="","AIR-ID missing",IF(SUMPRODUCT(--(TRIM($A$4:$A$206)=TRIM(A16)))&gt;1,"Duplicate AIR-ID",IF(OR(B16="",E16="",G16="",H16="",I16="",N16=""),"Required field missing (name, owner, stage, status or next review)",IF(NOT(ISNUMBER(N16)),"Next review is not a date",IF(OR(AND(R16&lt;&gt;"",NOT(ISNUMBER(R16))),AND(S16&lt;&gt;"",NOT(ISNUMBER(S16))),AND(X16&lt;&gt;"",NOT(ISNUMBER(X16)))),"Date field is not a date",IF(AND(OR(H16="Approved",H16="Approved with conditions"),OR(K16="",L16="")),"Approval evidence refs missing",IF(AND(I16="Active",H16&lt;&gt;"Approved",H16&lt;&gt;"Approved with conditions"),"Active without approved status",IF(AND(I16="Active",G16&lt;&gt;"Deployment and Operation",G16&lt;&gt;"Monitoring and Review"),"Active in wrong lifecycle stage",IF(AND(I16="Active",P16=""),"Active without UC-ID link",IF(AND(OR(J16="Yes",J16="Unsure"),M16=""),"Agent evidence ref missing",IF(AND(I16="Active",W16&lt;&gt;"Yes"),"Active without monitoring in place",IF(N16&lt;TODAY(),"Review overdue","Check refs against source")))))))))))))</f>
        <v/>
      </c>
      <c r="P16" s="22" t="n"/>
      <c r="Q16" s="22" t="n"/>
      <c r="R16" s="35" t="n"/>
      <c r="S16" s="35" t="n"/>
      <c r="T16" s="22" t="n"/>
      <c r="U16" s="22" t="n"/>
      <c r="V16" s="22" t="n"/>
      <c r="W16" s="22" t="n"/>
      <c r="X16" s="35" t="n"/>
      <c r="Y16" s="22" t="n"/>
      <c r="Z16" s="22" t="n"/>
      <c r="AA16" s="22" t="n"/>
    </row>
    <row r="17">
      <c r="A17" s="24" t="n"/>
      <c r="B17" s="24" t="n"/>
      <c r="C17" s="24" t="n"/>
      <c r="D17" s="24" t="n"/>
      <c r="E17" s="24" t="n"/>
      <c r="F17" s="24" t="n"/>
      <c r="G17" s="24" t="n"/>
      <c r="H17" s="24" t="n"/>
      <c r="I17" s="24" t="n"/>
      <c r="J17" s="24" t="n"/>
      <c r="K17" s="24" t="n"/>
      <c r="L17" s="24" t="n"/>
      <c r="M17" s="24" t="n"/>
      <c r="N17" s="36" t="n"/>
      <c r="O17" s="24">
        <f>IF(COUNTA(A17:N17,P17:AA17)=0,"",IF(TRIM(A17)="","AIR-ID missing",IF(SUMPRODUCT(--(TRIM($A$4:$A$206)=TRIM(A17)))&gt;1,"Duplicate AIR-ID",IF(OR(B17="",E17="",G17="",H17="",I17="",N17=""),"Required field missing (name, owner, stage, status or next review)",IF(NOT(ISNUMBER(N17)),"Next review is not a date",IF(OR(AND(R17&lt;&gt;"",NOT(ISNUMBER(R17))),AND(S17&lt;&gt;"",NOT(ISNUMBER(S17))),AND(X17&lt;&gt;"",NOT(ISNUMBER(X17)))),"Date field is not a date",IF(AND(OR(H17="Approved",H17="Approved with conditions"),OR(K17="",L17="")),"Approval evidence refs missing",IF(AND(I17="Active",H17&lt;&gt;"Approved",H17&lt;&gt;"Approved with conditions"),"Active without approved status",IF(AND(I17="Active",G17&lt;&gt;"Deployment and Operation",G17&lt;&gt;"Monitoring and Review"),"Active in wrong lifecycle stage",IF(AND(I17="Active",P17=""),"Active without UC-ID link",IF(AND(OR(J17="Yes",J17="Unsure"),M17=""),"Agent evidence ref missing",IF(AND(I17="Active",W17&lt;&gt;"Yes"),"Active without monitoring in place",IF(N17&lt;TODAY(),"Review overdue","Check refs against source")))))))))))))</f>
        <v/>
      </c>
      <c r="P17" s="24" t="n"/>
      <c r="Q17" s="24" t="n"/>
      <c r="R17" s="36" t="n"/>
      <c r="S17" s="36" t="n"/>
      <c r="T17" s="24" t="n"/>
      <c r="U17" s="24" t="n"/>
      <c r="V17" s="24" t="n"/>
      <c r="W17" s="24" t="n"/>
      <c r="X17" s="36" t="n"/>
      <c r="Y17" s="24" t="n"/>
      <c r="Z17" s="24" t="n"/>
      <c r="AA17" s="24" t="n"/>
    </row>
    <row r="18">
      <c r="A18" s="22" t="n"/>
      <c r="B18" s="22" t="n"/>
      <c r="C18" s="22" t="n"/>
      <c r="D18" s="22" t="n"/>
      <c r="E18" s="22" t="n"/>
      <c r="F18" s="22" t="n"/>
      <c r="G18" s="22" t="n"/>
      <c r="H18" s="22" t="n"/>
      <c r="I18" s="22" t="n"/>
      <c r="J18" s="22" t="n"/>
      <c r="K18" s="22" t="n"/>
      <c r="L18" s="22" t="n"/>
      <c r="M18" s="22" t="n"/>
      <c r="N18" s="35" t="n"/>
      <c r="O18" s="22">
        <f>IF(COUNTA(A18:N18,P18:AA18)=0,"",IF(TRIM(A18)="","AIR-ID missing",IF(SUMPRODUCT(--(TRIM($A$4:$A$206)=TRIM(A18)))&gt;1,"Duplicate AIR-ID",IF(OR(B18="",E18="",G18="",H18="",I18="",N18=""),"Required field missing (name, owner, stage, status or next review)",IF(NOT(ISNUMBER(N18)),"Next review is not a date",IF(OR(AND(R18&lt;&gt;"",NOT(ISNUMBER(R18))),AND(S18&lt;&gt;"",NOT(ISNUMBER(S18))),AND(X18&lt;&gt;"",NOT(ISNUMBER(X18)))),"Date field is not a date",IF(AND(OR(H18="Approved",H18="Approved with conditions"),OR(K18="",L18="")),"Approval evidence refs missing",IF(AND(I18="Active",H18&lt;&gt;"Approved",H18&lt;&gt;"Approved with conditions"),"Active without approved status",IF(AND(I18="Active",G18&lt;&gt;"Deployment and Operation",G18&lt;&gt;"Monitoring and Review"),"Active in wrong lifecycle stage",IF(AND(I18="Active",P18=""),"Active without UC-ID link",IF(AND(OR(J18="Yes",J18="Unsure"),M18=""),"Agent evidence ref missing",IF(AND(I18="Active",W18&lt;&gt;"Yes"),"Active without monitoring in place",IF(N18&lt;TODAY(),"Review overdue","Check refs against source")))))))))))))</f>
        <v/>
      </c>
      <c r="P18" s="22" t="n"/>
      <c r="Q18" s="22" t="n"/>
      <c r="R18" s="35" t="n"/>
      <c r="S18" s="35" t="n"/>
      <c r="T18" s="22" t="n"/>
      <c r="U18" s="22" t="n"/>
      <c r="V18" s="22" t="n"/>
      <c r="W18" s="22" t="n"/>
      <c r="X18" s="35" t="n"/>
      <c r="Y18" s="22" t="n"/>
      <c r="Z18" s="22" t="n"/>
      <c r="AA18" s="22" t="n"/>
    </row>
    <row r="19">
      <c r="A19" s="24" t="n"/>
      <c r="B19" s="24" t="n"/>
      <c r="C19" s="24" t="n"/>
      <c r="D19" s="24" t="n"/>
      <c r="E19" s="24" t="n"/>
      <c r="F19" s="24" t="n"/>
      <c r="G19" s="24" t="n"/>
      <c r="H19" s="24" t="n"/>
      <c r="I19" s="24" t="n"/>
      <c r="J19" s="24" t="n"/>
      <c r="K19" s="24" t="n"/>
      <c r="L19" s="24" t="n"/>
      <c r="M19" s="24" t="n"/>
      <c r="N19" s="36" t="n"/>
      <c r="O19" s="24">
        <f>IF(COUNTA(A19:N19,P19:AA19)=0,"",IF(TRIM(A19)="","AIR-ID missing",IF(SUMPRODUCT(--(TRIM($A$4:$A$206)=TRIM(A19)))&gt;1,"Duplicate AIR-ID",IF(OR(B19="",E19="",G19="",H19="",I19="",N19=""),"Required field missing (name, owner, stage, status or next review)",IF(NOT(ISNUMBER(N19)),"Next review is not a date",IF(OR(AND(R19&lt;&gt;"",NOT(ISNUMBER(R19))),AND(S19&lt;&gt;"",NOT(ISNUMBER(S19))),AND(X19&lt;&gt;"",NOT(ISNUMBER(X19)))),"Date field is not a date",IF(AND(OR(H19="Approved",H19="Approved with conditions"),OR(K19="",L19="")),"Approval evidence refs missing",IF(AND(I19="Active",H19&lt;&gt;"Approved",H19&lt;&gt;"Approved with conditions"),"Active without approved status",IF(AND(I19="Active",G19&lt;&gt;"Deployment and Operation",G19&lt;&gt;"Monitoring and Review"),"Active in wrong lifecycle stage",IF(AND(I19="Active",P19=""),"Active without UC-ID link",IF(AND(OR(J19="Yes",J19="Unsure"),M19=""),"Agent evidence ref missing",IF(AND(I19="Active",W19&lt;&gt;"Yes"),"Active without monitoring in place",IF(N19&lt;TODAY(),"Review overdue","Check refs against source")))))))))))))</f>
        <v/>
      </c>
      <c r="P19" s="24" t="n"/>
      <c r="Q19" s="24" t="n"/>
      <c r="R19" s="36" t="n"/>
      <c r="S19" s="36" t="n"/>
      <c r="T19" s="24" t="n"/>
      <c r="U19" s="24" t="n"/>
      <c r="V19" s="24" t="n"/>
      <c r="W19" s="24" t="n"/>
      <c r="X19" s="36" t="n"/>
      <c r="Y19" s="24" t="n"/>
      <c r="Z19" s="24" t="n"/>
      <c r="AA19" s="24" t="n"/>
    </row>
    <row r="20">
      <c r="A20" s="22" t="n"/>
      <c r="B20" s="22" t="n"/>
      <c r="C20" s="22" t="n"/>
      <c r="D20" s="22" t="n"/>
      <c r="E20" s="22" t="n"/>
      <c r="F20" s="22" t="n"/>
      <c r="G20" s="22" t="n"/>
      <c r="H20" s="22" t="n"/>
      <c r="I20" s="22" t="n"/>
      <c r="J20" s="22" t="n"/>
      <c r="K20" s="22" t="n"/>
      <c r="L20" s="22" t="n"/>
      <c r="M20" s="22" t="n"/>
      <c r="N20" s="35" t="n"/>
      <c r="O20" s="22">
        <f>IF(COUNTA(A20:N20,P20:AA20)=0,"",IF(TRIM(A20)="","AIR-ID missing",IF(SUMPRODUCT(--(TRIM($A$4:$A$206)=TRIM(A20)))&gt;1,"Duplicate AIR-ID",IF(OR(B20="",E20="",G20="",H20="",I20="",N20=""),"Required field missing (name, owner, stage, status or next review)",IF(NOT(ISNUMBER(N20)),"Next review is not a date",IF(OR(AND(R20&lt;&gt;"",NOT(ISNUMBER(R20))),AND(S20&lt;&gt;"",NOT(ISNUMBER(S20))),AND(X20&lt;&gt;"",NOT(ISNUMBER(X20)))),"Date field is not a date",IF(AND(OR(H20="Approved",H20="Approved with conditions"),OR(K20="",L20="")),"Approval evidence refs missing",IF(AND(I20="Active",H20&lt;&gt;"Approved",H20&lt;&gt;"Approved with conditions"),"Active without approved status",IF(AND(I20="Active",G20&lt;&gt;"Deployment and Operation",G20&lt;&gt;"Monitoring and Review"),"Active in wrong lifecycle stage",IF(AND(I20="Active",P20=""),"Active without UC-ID link",IF(AND(OR(J20="Yes",J20="Unsure"),M20=""),"Agent evidence ref missing",IF(AND(I20="Active",W20&lt;&gt;"Yes"),"Active without monitoring in place",IF(N20&lt;TODAY(),"Review overdue","Check refs against source")))))))))))))</f>
        <v/>
      </c>
      <c r="P20" s="22" t="n"/>
      <c r="Q20" s="22" t="n"/>
      <c r="R20" s="35" t="n"/>
      <c r="S20" s="35" t="n"/>
      <c r="T20" s="22" t="n"/>
      <c r="U20" s="22" t="n"/>
      <c r="V20" s="22" t="n"/>
      <c r="W20" s="22" t="n"/>
      <c r="X20" s="35" t="n"/>
      <c r="Y20" s="22" t="n"/>
      <c r="Z20" s="22" t="n"/>
      <c r="AA20" s="22" t="n"/>
    </row>
    <row r="21">
      <c r="A21" s="24" t="n"/>
      <c r="B21" s="24" t="n"/>
      <c r="C21" s="24" t="n"/>
      <c r="D21" s="24" t="n"/>
      <c r="E21" s="24" t="n"/>
      <c r="F21" s="24" t="n"/>
      <c r="G21" s="24" t="n"/>
      <c r="H21" s="24" t="n"/>
      <c r="I21" s="24" t="n"/>
      <c r="J21" s="24" t="n"/>
      <c r="K21" s="24" t="n"/>
      <c r="L21" s="24" t="n"/>
      <c r="M21" s="24" t="n"/>
      <c r="N21" s="36" t="n"/>
      <c r="O21" s="24">
        <f>IF(COUNTA(A21:N21,P21:AA21)=0,"",IF(TRIM(A21)="","AIR-ID missing",IF(SUMPRODUCT(--(TRIM($A$4:$A$206)=TRIM(A21)))&gt;1,"Duplicate AIR-ID",IF(OR(B21="",E21="",G21="",H21="",I21="",N21=""),"Required field missing (name, owner, stage, status or next review)",IF(NOT(ISNUMBER(N21)),"Next review is not a date",IF(OR(AND(R21&lt;&gt;"",NOT(ISNUMBER(R21))),AND(S21&lt;&gt;"",NOT(ISNUMBER(S21))),AND(X21&lt;&gt;"",NOT(ISNUMBER(X21)))),"Date field is not a date",IF(AND(OR(H21="Approved",H21="Approved with conditions"),OR(K21="",L21="")),"Approval evidence refs missing",IF(AND(I21="Active",H21&lt;&gt;"Approved",H21&lt;&gt;"Approved with conditions"),"Active without approved status",IF(AND(I21="Active",G21&lt;&gt;"Deployment and Operation",G21&lt;&gt;"Monitoring and Review"),"Active in wrong lifecycle stage",IF(AND(I21="Active",P21=""),"Active without UC-ID link",IF(AND(OR(J21="Yes",J21="Unsure"),M21=""),"Agent evidence ref missing",IF(AND(I21="Active",W21&lt;&gt;"Yes"),"Active without monitoring in place",IF(N21&lt;TODAY(),"Review overdue","Check refs against source")))))))))))))</f>
        <v/>
      </c>
      <c r="P21" s="24" t="n"/>
      <c r="Q21" s="24" t="n"/>
      <c r="R21" s="36" t="n"/>
      <c r="S21" s="36" t="n"/>
      <c r="T21" s="24" t="n"/>
      <c r="U21" s="24" t="n"/>
      <c r="V21" s="24" t="n"/>
      <c r="W21" s="24" t="n"/>
      <c r="X21" s="36" t="n"/>
      <c r="Y21" s="24" t="n"/>
      <c r="Z21" s="24" t="n"/>
      <c r="AA21" s="24" t="n"/>
    </row>
    <row r="22">
      <c r="A22" s="22" t="n"/>
      <c r="B22" s="22" t="n"/>
      <c r="C22" s="22" t="n"/>
      <c r="D22" s="22" t="n"/>
      <c r="E22" s="22" t="n"/>
      <c r="F22" s="22" t="n"/>
      <c r="G22" s="22" t="n"/>
      <c r="H22" s="22" t="n"/>
      <c r="I22" s="22" t="n"/>
      <c r="J22" s="22" t="n"/>
      <c r="K22" s="22" t="n"/>
      <c r="L22" s="22" t="n"/>
      <c r="M22" s="22" t="n"/>
      <c r="N22" s="35" t="n"/>
      <c r="O22" s="22">
        <f>IF(COUNTA(A22:N22,P22:AA22)=0,"",IF(TRIM(A22)="","AIR-ID missing",IF(SUMPRODUCT(--(TRIM($A$4:$A$206)=TRIM(A22)))&gt;1,"Duplicate AIR-ID",IF(OR(B22="",E22="",G22="",H22="",I22="",N22=""),"Required field missing (name, owner, stage, status or next review)",IF(NOT(ISNUMBER(N22)),"Next review is not a date",IF(OR(AND(R22&lt;&gt;"",NOT(ISNUMBER(R22))),AND(S22&lt;&gt;"",NOT(ISNUMBER(S22))),AND(X22&lt;&gt;"",NOT(ISNUMBER(X22)))),"Date field is not a date",IF(AND(OR(H22="Approved",H22="Approved with conditions"),OR(K22="",L22="")),"Approval evidence refs missing",IF(AND(I22="Active",H22&lt;&gt;"Approved",H22&lt;&gt;"Approved with conditions"),"Active without approved status",IF(AND(I22="Active",G22&lt;&gt;"Deployment and Operation",G22&lt;&gt;"Monitoring and Review"),"Active in wrong lifecycle stage",IF(AND(I22="Active",P22=""),"Active without UC-ID link",IF(AND(OR(J22="Yes",J22="Unsure"),M22=""),"Agent evidence ref missing",IF(AND(I22="Active",W22&lt;&gt;"Yes"),"Active without monitoring in place",IF(N22&lt;TODAY(),"Review overdue","Check refs against source")))))))))))))</f>
        <v/>
      </c>
      <c r="P22" s="22" t="n"/>
      <c r="Q22" s="22" t="n"/>
      <c r="R22" s="35" t="n"/>
      <c r="S22" s="35" t="n"/>
      <c r="T22" s="22" t="n"/>
      <c r="U22" s="22" t="n"/>
      <c r="V22" s="22" t="n"/>
      <c r="W22" s="22" t="n"/>
      <c r="X22" s="35" t="n"/>
      <c r="Y22" s="22" t="n"/>
      <c r="Z22" s="22" t="n"/>
      <c r="AA22" s="22" t="n"/>
    </row>
    <row r="23">
      <c r="A23" s="24" t="n"/>
      <c r="B23" s="24" t="n"/>
      <c r="C23" s="24" t="n"/>
      <c r="D23" s="24" t="n"/>
      <c r="E23" s="24" t="n"/>
      <c r="F23" s="24" t="n"/>
      <c r="G23" s="24" t="n"/>
      <c r="H23" s="24" t="n"/>
      <c r="I23" s="24" t="n"/>
      <c r="J23" s="24" t="n"/>
      <c r="K23" s="24" t="n"/>
      <c r="L23" s="24" t="n"/>
      <c r="M23" s="24" t="n"/>
      <c r="N23" s="36" t="n"/>
      <c r="O23" s="24">
        <f>IF(COUNTA(A23:N23,P23:AA23)=0,"",IF(TRIM(A23)="","AIR-ID missing",IF(SUMPRODUCT(--(TRIM($A$4:$A$206)=TRIM(A23)))&gt;1,"Duplicate AIR-ID",IF(OR(B23="",E23="",G23="",H23="",I23="",N23=""),"Required field missing (name, owner, stage, status or next review)",IF(NOT(ISNUMBER(N23)),"Next review is not a date",IF(OR(AND(R23&lt;&gt;"",NOT(ISNUMBER(R23))),AND(S23&lt;&gt;"",NOT(ISNUMBER(S23))),AND(X23&lt;&gt;"",NOT(ISNUMBER(X23)))),"Date field is not a date",IF(AND(OR(H23="Approved",H23="Approved with conditions"),OR(K23="",L23="")),"Approval evidence refs missing",IF(AND(I23="Active",H23&lt;&gt;"Approved",H23&lt;&gt;"Approved with conditions"),"Active without approved status",IF(AND(I23="Active",G23&lt;&gt;"Deployment and Operation",G23&lt;&gt;"Monitoring and Review"),"Active in wrong lifecycle stage",IF(AND(I23="Active",P23=""),"Active without UC-ID link",IF(AND(OR(J23="Yes",J23="Unsure"),M23=""),"Agent evidence ref missing",IF(AND(I23="Active",W23&lt;&gt;"Yes"),"Active without monitoring in place",IF(N23&lt;TODAY(),"Review overdue","Check refs against source")))))))))))))</f>
        <v/>
      </c>
      <c r="P23" s="24" t="n"/>
      <c r="Q23" s="24" t="n"/>
      <c r="R23" s="36" t="n"/>
      <c r="S23" s="36" t="n"/>
      <c r="T23" s="24" t="n"/>
      <c r="U23" s="24" t="n"/>
      <c r="V23" s="24" t="n"/>
      <c r="W23" s="24" t="n"/>
      <c r="X23" s="36" t="n"/>
      <c r="Y23" s="24" t="n"/>
      <c r="Z23" s="24" t="n"/>
      <c r="AA23" s="24" t="n"/>
    </row>
    <row r="24">
      <c r="A24" s="22" t="n"/>
      <c r="B24" s="22" t="n"/>
      <c r="C24" s="22" t="n"/>
      <c r="D24" s="22" t="n"/>
      <c r="E24" s="22" t="n"/>
      <c r="F24" s="22" t="n"/>
      <c r="G24" s="22" t="n"/>
      <c r="H24" s="22" t="n"/>
      <c r="I24" s="22" t="n"/>
      <c r="J24" s="22" t="n"/>
      <c r="K24" s="22" t="n"/>
      <c r="L24" s="22" t="n"/>
      <c r="M24" s="22" t="n"/>
      <c r="N24" s="35" t="n"/>
      <c r="O24" s="22">
        <f>IF(COUNTA(A24:N24,P24:AA24)=0,"",IF(TRIM(A24)="","AIR-ID missing",IF(SUMPRODUCT(--(TRIM($A$4:$A$206)=TRIM(A24)))&gt;1,"Duplicate AIR-ID",IF(OR(B24="",E24="",G24="",H24="",I24="",N24=""),"Required field missing (name, owner, stage, status or next review)",IF(NOT(ISNUMBER(N24)),"Next review is not a date",IF(OR(AND(R24&lt;&gt;"",NOT(ISNUMBER(R24))),AND(S24&lt;&gt;"",NOT(ISNUMBER(S24))),AND(X24&lt;&gt;"",NOT(ISNUMBER(X24)))),"Date field is not a date",IF(AND(OR(H24="Approved",H24="Approved with conditions"),OR(K24="",L24="")),"Approval evidence refs missing",IF(AND(I24="Active",H24&lt;&gt;"Approved",H24&lt;&gt;"Approved with conditions"),"Active without approved status",IF(AND(I24="Active",G24&lt;&gt;"Deployment and Operation",G24&lt;&gt;"Monitoring and Review"),"Active in wrong lifecycle stage",IF(AND(I24="Active",P24=""),"Active without UC-ID link",IF(AND(OR(J24="Yes",J24="Unsure"),M24=""),"Agent evidence ref missing",IF(AND(I24="Active",W24&lt;&gt;"Yes"),"Active without monitoring in place",IF(N24&lt;TODAY(),"Review overdue","Check refs against source")))))))))))))</f>
        <v/>
      </c>
      <c r="P24" s="22" t="n"/>
      <c r="Q24" s="22" t="n"/>
      <c r="R24" s="35" t="n"/>
      <c r="S24" s="35" t="n"/>
      <c r="T24" s="22" t="n"/>
      <c r="U24" s="22" t="n"/>
      <c r="V24" s="22" t="n"/>
      <c r="W24" s="22" t="n"/>
      <c r="X24" s="35" t="n"/>
      <c r="Y24" s="22" t="n"/>
      <c r="Z24" s="22" t="n"/>
      <c r="AA24" s="22" t="n"/>
    </row>
    <row r="25">
      <c r="A25" s="24" t="n"/>
      <c r="B25" s="24" t="n"/>
      <c r="C25" s="24" t="n"/>
      <c r="D25" s="24" t="n"/>
      <c r="E25" s="24" t="n"/>
      <c r="F25" s="24" t="n"/>
      <c r="G25" s="24" t="n"/>
      <c r="H25" s="24" t="n"/>
      <c r="I25" s="24" t="n"/>
      <c r="J25" s="24" t="n"/>
      <c r="K25" s="24" t="n"/>
      <c r="L25" s="24" t="n"/>
      <c r="M25" s="24" t="n"/>
      <c r="N25" s="36" t="n"/>
      <c r="O25" s="24">
        <f>IF(COUNTA(A25:N25,P25:AA25)=0,"",IF(TRIM(A25)="","AIR-ID missing",IF(SUMPRODUCT(--(TRIM($A$4:$A$206)=TRIM(A25)))&gt;1,"Duplicate AIR-ID",IF(OR(B25="",E25="",G25="",H25="",I25="",N25=""),"Required field missing (name, owner, stage, status or next review)",IF(NOT(ISNUMBER(N25)),"Next review is not a date",IF(OR(AND(R25&lt;&gt;"",NOT(ISNUMBER(R25))),AND(S25&lt;&gt;"",NOT(ISNUMBER(S25))),AND(X25&lt;&gt;"",NOT(ISNUMBER(X25)))),"Date field is not a date",IF(AND(OR(H25="Approved",H25="Approved with conditions"),OR(K25="",L25="")),"Approval evidence refs missing",IF(AND(I25="Active",H25&lt;&gt;"Approved",H25&lt;&gt;"Approved with conditions"),"Active without approved status",IF(AND(I25="Active",G25&lt;&gt;"Deployment and Operation",G25&lt;&gt;"Monitoring and Review"),"Active in wrong lifecycle stage",IF(AND(I25="Active",P25=""),"Active without UC-ID link",IF(AND(OR(J25="Yes",J25="Unsure"),M25=""),"Agent evidence ref missing",IF(AND(I25="Active",W25&lt;&gt;"Yes"),"Active without monitoring in place",IF(N25&lt;TODAY(),"Review overdue","Check refs against source")))))))))))))</f>
        <v/>
      </c>
      <c r="P25" s="24" t="n"/>
      <c r="Q25" s="24" t="n"/>
      <c r="R25" s="36" t="n"/>
      <c r="S25" s="36" t="n"/>
      <c r="T25" s="24" t="n"/>
      <c r="U25" s="24" t="n"/>
      <c r="V25" s="24" t="n"/>
      <c r="W25" s="24" t="n"/>
      <c r="X25" s="36" t="n"/>
      <c r="Y25" s="24" t="n"/>
      <c r="Z25" s="24" t="n"/>
      <c r="AA25" s="24" t="n"/>
    </row>
    <row r="26">
      <c r="A26" s="22" t="n"/>
      <c r="B26" s="22" t="n"/>
      <c r="C26" s="22" t="n"/>
      <c r="D26" s="22" t="n"/>
      <c r="E26" s="22" t="n"/>
      <c r="F26" s="22" t="n"/>
      <c r="G26" s="22" t="n"/>
      <c r="H26" s="22" t="n"/>
      <c r="I26" s="22" t="n"/>
      <c r="J26" s="22" t="n"/>
      <c r="K26" s="22" t="n"/>
      <c r="L26" s="22" t="n"/>
      <c r="M26" s="22" t="n"/>
      <c r="N26" s="35" t="n"/>
      <c r="O26" s="22">
        <f>IF(COUNTA(A26:N26,P26:AA26)=0,"",IF(TRIM(A26)="","AIR-ID missing",IF(SUMPRODUCT(--(TRIM($A$4:$A$206)=TRIM(A26)))&gt;1,"Duplicate AIR-ID",IF(OR(B26="",E26="",G26="",H26="",I26="",N26=""),"Required field missing (name, owner, stage, status or next review)",IF(NOT(ISNUMBER(N26)),"Next review is not a date",IF(OR(AND(R26&lt;&gt;"",NOT(ISNUMBER(R26))),AND(S26&lt;&gt;"",NOT(ISNUMBER(S26))),AND(X26&lt;&gt;"",NOT(ISNUMBER(X26)))),"Date field is not a date",IF(AND(OR(H26="Approved",H26="Approved with conditions"),OR(K26="",L26="")),"Approval evidence refs missing",IF(AND(I26="Active",H26&lt;&gt;"Approved",H26&lt;&gt;"Approved with conditions"),"Active without approved status",IF(AND(I26="Active",G26&lt;&gt;"Deployment and Operation",G26&lt;&gt;"Monitoring and Review"),"Active in wrong lifecycle stage",IF(AND(I26="Active",P26=""),"Active without UC-ID link",IF(AND(OR(J26="Yes",J26="Unsure"),M26=""),"Agent evidence ref missing",IF(AND(I26="Active",W26&lt;&gt;"Yes"),"Active without monitoring in place",IF(N26&lt;TODAY(),"Review overdue","Check refs against source")))))))))))))</f>
        <v/>
      </c>
      <c r="P26" s="22" t="n"/>
      <c r="Q26" s="22" t="n"/>
      <c r="R26" s="35" t="n"/>
      <c r="S26" s="35" t="n"/>
      <c r="T26" s="22" t="n"/>
      <c r="U26" s="22" t="n"/>
      <c r="V26" s="22" t="n"/>
      <c r="W26" s="22" t="n"/>
      <c r="X26" s="35" t="n"/>
      <c r="Y26" s="22" t="n"/>
      <c r="Z26" s="22" t="n"/>
      <c r="AA26" s="22" t="n"/>
    </row>
    <row r="27">
      <c r="A27" s="24" t="n"/>
      <c r="B27" s="24" t="n"/>
      <c r="C27" s="24" t="n"/>
      <c r="D27" s="24" t="n"/>
      <c r="E27" s="24" t="n"/>
      <c r="F27" s="24" t="n"/>
      <c r="G27" s="24" t="n"/>
      <c r="H27" s="24" t="n"/>
      <c r="I27" s="24" t="n"/>
      <c r="J27" s="24" t="n"/>
      <c r="K27" s="24" t="n"/>
      <c r="L27" s="24" t="n"/>
      <c r="M27" s="24" t="n"/>
      <c r="N27" s="36" t="n"/>
      <c r="O27" s="24">
        <f>IF(COUNTA(A27:N27,P27:AA27)=0,"",IF(TRIM(A27)="","AIR-ID missing",IF(SUMPRODUCT(--(TRIM($A$4:$A$206)=TRIM(A27)))&gt;1,"Duplicate AIR-ID",IF(OR(B27="",E27="",G27="",H27="",I27="",N27=""),"Required field missing (name, owner, stage, status or next review)",IF(NOT(ISNUMBER(N27)),"Next review is not a date",IF(OR(AND(R27&lt;&gt;"",NOT(ISNUMBER(R27))),AND(S27&lt;&gt;"",NOT(ISNUMBER(S27))),AND(X27&lt;&gt;"",NOT(ISNUMBER(X27)))),"Date field is not a date",IF(AND(OR(H27="Approved",H27="Approved with conditions"),OR(K27="",L27="")),"Approval evidence refs missing",IF(AND(I27="Active",H27&lt;&gt;"Approved",H27&lt;&gt;"Approved with conditions"),"Active without approved status",IF(AND(I27="Active",G27&lt;&gt;"Deployment and Operation",G27&lt;&gt;"Monitoring and Review"),"Active in wrong lifecycle stage",IF(AND(I27="Active",P27=""),"Active without UC-ID link",IF(AND(OR(J27="Yes",J27="Unsure"),M27=""),"Agent evidence ref missing",IF(AND(I27="Active",W27&lt;&gt;"Yes"),"Active without monitoring in place",IF(N27&lt;TODAY(),"Review overdue","Check refs against source")))))))))))))</f>
        <v/>
      </c>
      <c r="P27" s="24" t="n"/>
      <c r="Q27" s="24" t="n"/>
      <c r="R27" s="36" t="n"/>
      <c r="S27" s="36" t="n"/>
      <c r="T27" s="24" t="n"/>
      <c r="U27" s="24" t="n"/>
      <c r="V27" s="24" t="n"/>
      <c r="W27" s="24" t="n"/>
      <c r="X27" s="36" t="n"/>
      <c r="Y27" s="24" t="n"/>
      <c r="Z27" s="24" t="n"/>
      <c r="AA27" s="24" t="n"/>
    </row>
    <row r="28">
      <c r="A28" s="22" t="n"/>
      <c r="B28" s="22" t="n"/>
      <c r="C28" s="22" t="n"/>
      <c r="D28" s="22" t="n"/>
      <c r="E28" s="22" t="n"/>
      <c r="F28" s="22" t="n"/>
      <c r="G28" s="22" t="n"/>
      <c r="H28" s="22" t="n"/>
      <c r="I28" s="22" t="n"/>
      <c r="J28" s="22" t="n"/>
      <c r="K28" s="22" t="n"/>
      <c r="L28" s="22" t="n"/>
      <c r="M28" s="22" t="n"/>
      <c r="N28" s="35" t="n"/>
      <c r="O28" s="22">
        <f>IF(COUNTA(A28:N28,P28:AA28)=0,"",IF(TRIM(A28)="","AIR-ID missing",IF(SUMPRODUCT(--(TRIM($A$4:$A$206)=TRIM(A28)))&gt;1,"Duplicate AIR-ID",IF(OR(B28="",E28="",G28="",H28="",I28="",N28=""),"Required field missing (name, owner, stage, status or next review)",IF(NOT(ISNUMBER(N28)),"Next review is not a date",IF(OR(AND(R28&lt;&gt;"",NOT(ISNUMBER(R28))),AND(S28&lt;&gt;"",NOT(ISNUMBER(S28))),AND(X28&lt;&gt;"",NOT(ISNUMBER(X28)))),"Date field is not a date",IF(AND(OR(H28="Approved",H28="Approved with conditions"),OR(K28="",L28="")),"Approval evidence refs missing",IF(AND(I28="Active",H28&lt;&gt;"Approved",H28&lt;&gt;"Approved with conditions"),"Active without approved status",IF(AND(I28="Active",G28&lt;&gt;"Deployment and Operation",G28&lt;&gt;"Monitoring and Review"),"Active in wrong lifecycle stage",IF(AND(I28="Active",P28=""),"Active without UC-ID link",IF(AND(OR(J28="Yes",J28="Unsure"),M28=""),"Agent evidence ref missing",IF(AND(I28="Active",W28&lt;&gt;"Yes"),"Active without monitoring in place",IF(N28&lt;TODAY(),"Review overdue","Check refs against source")))))))))))))</f>
        <v/>
      </c>
      <c r="P28" s="22" t="n"/>
      <c r="Q28" s="22" t="n"/>
      <c r="R28" s="35" t="n"/>
      <c r="S28" s="35" t="n"/>
      <c r="T28" s="22" t="n"/>
      <c r="U28" s="22" t="n"/>
      <c r="V28" s="22" t="n"/>
      <c r="W28" s="22" t="n"/>
      <c r="X28" s="35" t="n"/>
      <c r="Y28" s="22" t="n"/>
      <c r="Z28" s="22" t="n"/>
      <c r="AA28" s="22" t="n"/>
    </row>
    <row r="29">
      <c r="A29" s="24" t="n"/>
      <c r="B29" s="24" t="n"/>
      <c r="C29" s="24" t="n"/>
      <c r="D29" s="24" t="n"/>
      <c r="E29" s="24" t="n"/>
      <c r="F29" s="24" t="n"/>
      <c r="G29" s="24" t="n"/>
      <c r="H29" s="24" t="n"/>
      <c r="I29" s="24" t="n"/>
      <c r="J29" s="24" t="n"/>
      <c r="K29" s="24" t="n"/>
      <c r="L29" s="24" t="n"/>
      <c r="M29" s="24" t="n"/>
      <c r="N29" s="36" t="n"/>
      <c r="O29" s="24">
        <f>IF(COUNTA(A29:N29,P29:AA29)=0,"",IF(TRIM(A29)="","AIR-ID missing",IF(SUMPRODUCT(--(TRIM($A$4:$A$206)=TRIM(A29)))&gt;1,"Duplicate AIR-ID",IF(OR(B29="",E29="",G29="",H29="",I29="",N29=""),"Required field missing (name, owner, stage, status or next review)",IF(NOT(ISNUMBER(N29)),"Next review is not a date",IF(OR(AND(R29&lt;&gt;"",NOT(ISNUMBER(R29))),AND(S29&lt;&gt;"",NOT(ISNUMBER(S29))),AND(X29&lt;&gt;"",NOT(ISNUMBER(X29)))),"Date field is not a date",IF(AND(OR(H29="Approved",H29="Approved with conditions"),OR(K29="",L29="")),"Approval evidence refs missing",IF(AND(I29="Active",H29&lt;&gt;"Approved",H29&lt;&gt;"Approved with conditions"),"Active without approved status",IF(AND(I29="Active",G29&lt;&gt;"Deployment and Operation",G29&lt;&gt;"Monitoring and Review"),"Active in wrong lifecycle stage",IF(AND(I29="Active",P29=""),"Active without UC-ID link",IF(AND(OR(J29="Yes",J29="Unsure"),M29=""),"Agent evidence ref missing",IF(AND(I29="Active",W29&lt;&gt;"Yes"),"Active without monitoring in place",IF(N29&lt;TODAY(),"Review overdue","Check refs against source")))))))))))))</f>
        <v/>
      </c>
      <c r="P29" s="24" t="n"/>
      <c r="Q29" s="24" t="n"/>
      <c r="R29" s="36" t="n"/>
      <c r="S29" s="36" t="n"/>
      <c r="T29" s="24" t="n"/>
      <c r="U29" s="24" t="n"/>
      <c r="V29" s="24" t="n"/>
      <c r="W29" s="24" t="n"/>
      <c r="X29" s="36" t="n"/>
      <c r="Y29" s="24" t="n"/>
      <c r="Z29" s="24" t="n"/>
      <c r="AA29" s="24" t="n"/>
    </row>
    <row r="30">
      <c r="A30" s="22" t="n"/>
      <c r="B30" s="22" t="n"/>
      <c r="C30" s="22" t="n"/>
      <c r="D30" s="22" t="n"/>
      <c r="E30" s="22" t="n"/>
      <c r="F30" s="22" t="n"/>
      <c r="G30" s="22" t="n"/>
      <c r="H30" s="22" t="n"/>
      <c r="I30" s="22" t="n"/>
      <c r="J30" s="22" t="n"/>
      <c r="K30" s="22" t="n"/>
      <c r="L30" s="22" t="n"/>
      <c r="M30" s="22" t="n"/>
      <c r="N30" s="35" t="n"/>
      <c r="O30" s="22">
        <f>IF(COUNTA(A30:N30,P30:AA30)=0,"",IF(TRIM(A30)="","AIR-ID missing",IF(SUMPRODUCT(--(TRIM($A$4:$A$206)=TRIM(A30)))&gt;1,"Duplicate AIR-ID",IF(OR(B30="",E30="",G30="",H30="",I30="",N30=""),"Required field missing (name, owner, stage, status or next review)",IF(NOT(ISNUMBER(N30)),"Next review is not a date",IF(OR(AND(R30&lt;&gt;"",NOT(ISNUMBER(R30))),AND(S30&lt;&gt;"",NOT(ISNUMBER(S30))),AND(X30&lt;&gt;"",NOT(ISNUMBER(X30)))),"Date field is not a date",IF(AND(OR(H30="Approved",H30="Approved with conditions"),OR(K30="",L30="")),"Approval evidence refs missing",IF(AND(I30="Active",H30&lt;&gt;"Approved",H30&lt;&gt;"Approved with conditions"),"Active without approved status",IF(AND(I30="Active",G30&lt;&gt;"Deployment and Operation",G30&lt;&gt;"Monitoring and Review"),"Active in wrong lifecycle stage",IF(AND(I30="Active",P30=""),"Active without UC-ID link",IF(AND(OR(J30="Yes",J30="Unsure"),M30=""),"Agent evidence ref missing",IF(AND(I30="Active",W30&lt;&gt;"Yes"),"Active without monitoring in place",IF(N30&lt;TODAY(),"Review overdue","Check refs against source")))))))))))))</f>
        <v/>
      </c>
      <c r="P30" s="22" t="n"/>
      <c r="Q30" s="22" t="n"/>
      <c r="R30" s="35" t="n"/>
      <c r="S30" s="35" t="n"/>
      <c r="T30" s="22" t="n"/>
      <c r="U30" s="22" t="n"/>
      <c r="V30" s="22" t="n"/>
      <c r="W30" s="22" t="n"/>
      <c r="X30" s="35" t="n"/>
      <c r="Y30" s="22" t="n"/>
      <c r="Z30" s="22" t="n"/>
      <c r="AA30" s="22" t="n"/>
    </row>
    <row r="31">
      <c r="A31" s="24" t="n"/>
      <c r="B31" s="24" t="n"/>
      <c r="C31" s="24" t="n"/>
      <c r="D31" s="24" t="n"/>
      <c r="E31" s="24" t="n"/>
      <c r="F31" s="24" t="n"/>
      <c r="G31" s="24" t="n"/>
      <c r="H31" s="24" t="n"/>
      <c r="I31" s="24" t="n"/>
      <c r="J31" s="24" t="n"/>
      <c r="K31" s="24" t="n"/>
      <c r="L31" s="24" t="n"/>
      <c r="M31" s="24" t="n"/>
      <c r="N31" s="36" t="n"/>
      <c r="O31" s="24">
        <f>IF(COUNTA(A31:N31,P31:AA31)=0,"",IF(TRIM(A31)="","AIR-ID missing",IF(SUMPRODUCT(--(TRIM($A$4:$A$206)=TRIM(A31)))&gt;1,"Duplicate AIR-ID",IF(OR(B31="",E31="",G31="",H31="",I31="",N31=""),"Required field missing (name, owner, stage, status or next review)",IF(NOT(ISNUMBER(N31)),"Next review is not a date",IF(OR(AND(R31&lt;&gt;"",NOT(ISNUMBER(R31))),AND(S31&lt;&gt;"",NOT(ISNUMBER(S31))),AND(X31&lt;&gt;"",NOT(ISNUMBER(X31)))),"Date field is not a date",IF(AND(OR(H31="Approved",H31="Approved with conditions"),OR(K31="",L31="")),"Approval evidence refs missing",IF(AND(I31="Active",H31&lt;&gt;"Approved",H31&lt;&gt;"Approved with conditions"),"Active without approved status",IF(AND(I31="Active",G31&lt;&gt;"Deployment and Operation",G31&lt;&gt;"Monitoring and Review"),"Active in wrong lifecycle stage",IF(AND(I31="Active",P31=""),"Active without UC-ID link",IF(AND(OR(J31="Yes",J31="Unsure"),M31=""),"Agent evidence ref missing",IF(AND(I31="Active",W31&lt;&gt;"Yes"),"Active without monitoring in place",IF(N31&lt;TODAY(),"Review overdue","Check refs against source")))))))))))))</f>
        <v/>
      </c>
      <c r="P31" s="24" t="n"/>
      <c r="Q31" s="24" t="n"/>
      <c r="R31" s="36" t="n"/>
      <c r="S31" s="36" t="n"/>
      <c r="T31" s="24" t="n"/>
      <c r="U31" s="24" t="n"/>
      <c r="V31" s="24" t="n"/>
      <c r="W31" s="24" t="n"/>
      <c r="X31" s="36" t="n"/>
      <c r="Y31" s="24" t="n"/>
      <c r="Z31" s="24" t="n"/>
      <c r="AA31" s="24" t="n"/>
    </row>
    <row r="32">
      <c r="A32" s="22" t="n"/>
      <c r="B32" s="22" t="n"/>
      <c r="C32" s="22" t="n"/>
      <c r="D32" s="22" t="n"/>
      <c r="E32" s="22" t="n"/>
      <c r="F32" s="22" t="n"/>
      <c r="G32" s="22" t="n"/>
      <c r="H32" s="22" t="n"/>
      <c r="I32" s="22" t="n"/>
      <c r="J32" s="22" t="n"/>
      <c r="K32" s="22" t="n"/>
      <c r="L32" s="22" t="n"/>
      <c r="M32" s="22" t="n"/>
      <c r="N32" s="35" t="n"/>
      <c r="O32" s="22">
        <f>IF(COUNTA(A32:N32,P32:AA32)=0,"",IF(TRIM(A32)="","AIR-ID missing",IF(SUMPRODUCT(--(TRIM($A$4:$A$206)=TRIM(A32)))&gt;1,"Duplicate AIR-ID",IF(OR(B32="",E32="",G32="",H32="",I32="",N32=""),"Required field missing (name, owner, stage, status or next review)",IF(NOT(ISNUMBER(N32)),"Next review is not a date",IF(OR(AND(R32&lt;&gt;"",NOT(ISNUMBER(R32))),AND(S32&lt;&gt;"",NOT(ISNUMBER(S32))),AND(X32&lt;&gt;"",NOT(ISNUMBER(X32)))),"Date field is not a date",IF(AND(OR(H32="Approved",H32="Approved with conditions"),OR(K32="",L32="")),"Approval evidence refs missing",IF(AND(I32="Active",H32&lt;&gt;"Approved",H32&lt;&gt;"Approved with conditions"),"Active without approved status",IF(AND(I32="Active",G32&lt;&gt;"Deployment and Operation",G32&lt;&gt;"Monitoring and Review"),"Active in wrong lifecycle stage",IF(AND(I32="Active",P32=""),"Active without UC-ID link",IF(AND(OR(J32="Yes",J32="Unsure"),M32=""),"Agent evidence ref missing",IF(AND(I32="Active",W32&lt;&gt;"Yes"),"Active without monitoring in place",IF(N32&lt;TODAY(),"Review overdue","Check refs against source")))))))))))))</f>
        <v/>
      </c>
      <c r="P32" s="22" t="n"/>
      <c r="Q32" s="22" t="n"/>
      <c r="R32" s="35" t="n"/>
      <c r="S32" s="35" t="n"/>
      <c r="T32" s="22" t="n"/>
      <c r="U32" s="22" t="n"/>
      <c r="V32" s="22" t="n"/>
      <c r="W32" s="22" t="n"/>
      <c r="X32" s="35" t="n"/>
      <c r="Y32" s="22" t="n"/>
      <c r="Z32" s="22" t="n"/>
      <c r="AA32" s="22" t="n"/>
    </row>
    <row r="33">
      <c r="A33" s="24" t="n"/>
      <c r="B33" s="24" t="n"/>
      <c r="C33" s="24" t="n"/>
      <c r="D33" s="24" t="n"/>
      <c r="E33" s="24" t="n"/>
      <c r="F33" s="24" t="n"/>
      <c r="G33" s="24" t="n"/>
      <c r="H33" s="24" t="n"/>
      <c r="I33" s="24" t="n"/>
      <c r="J33" s="24" t="n"/>
      <c r="K33" s="24" t="n"/>
      <c r="L33" s="24" t="n"/>
      <c r="M33" s="24" t="n"/>
      <c r="N33" s="36" t="n"/>
      <c r="O33" s="24">
        <f>IF(COUNTA(A33:N33,P33:AA33)=0,"",IF(TRIM(A33)="","AIR-ID missing",IF(SUMPRODUCT(--(TRIM($A$4:$A$206)=TRIM(A33)))&gt;1,"Duplicate AIR-ID",IF(OR(B33="",E33="",G33="",H33="",I33="",N33=""),"Required field missing (name, owner, stage, status or next review)",IF(NOT(ISNUMBER(N33)),"Next review is not a date",IF(OR(AND(R33&lt;&gt;"",NOT(ISNUMBER(R33))),AND(S33&lt;&gt;"",NOT(ISNUMBER(S33))),AND(X33&lt;&gt;"",NOT(ISNUMBER(X33)))),"Date field is not a date",IF(AND(OR(H33="Approved",H33="Approved with conditions"),OR(K33="",L33="")),"Approval evidence refs missing",IF(AND(I33="Active",H33&lt;&gt;"Approved",H33&lt;&gt;"Approved with conditions"),"Active without approved status",IF(AND(I33="Active",G33&lt;&gt;"Deployment and Operation",G33&lt;&gt;"Monitoring and Review"),"Active in wrong lifecycle stage",IF(AND(I33="Active",P33=""),"Active without UC-ID link",IF(AND(OR(J33="Yes",J33="Unsure"),M33=""),"Agent evidence ref missing",IF(AND(I33="Active",W33&lt;&gt;"Yes"),"Active without monitoring in place",IF(N33&lt;TODAY(),"Review overdue","Check refs against source")))))))))))))</f>
        <v/>
      </c>
      <c r="P33" s="24" t="n"/>
      <c r="Q33" s="24" t="n"/>
      <c r="R33" s="36" t="n"/>
      <c r="S33" s="36" t="n"/>
      <c r="T33" s="24" t="n"/>
      <c r="U33" s="24" t="n"/>
      <c r="V33" s="24" t="n"/>
      <c r="W33" s="24" t="n"/>
      <c r="X33" s="36" t="n"/>
      <c r="Y33" s="24" t="n"/>
      <c r="Z33" s="24" t="n"/>
      <c r="AA33" s="24" t="n"/>
    </row>
    <row r="34">
      <c r="A34" s="22" t="n"/>
      <c r="B34" s="22" t="n"/>
      <c r="C34" s="22" t="n"/>
      <c r="D34" s="22" t="n"/>
      <c r="E34" s="22" t="n"/>
      <c r="F34" s="22" t="n"/>
      <c r="G34" s="22" t="n"/>
      <c r="H34" s="22" t="n"/>
      <c r="I34" s="22" t="n"/>
      <c r="J34" s="22" t="n"/>
      <c r="K34" s="22" t="n"/>
      <c r="L34" s="22" t="n"/>
      <c r="M34" s="22" t="n"/>
      <c r="N34" s="35" t="n"/>
      <c r="O34" s="22">
        <f>IF(COUNTA(A34:N34,P34:AA34)=0,"",IF(TRIM(A34)="","AIR-ID missing",IF(SUMPRODUCT(--(TRIM($A$4:$A$206)=TRIM(A34)))&gt;1,"Duplicate AIR-ID",IF(OR(B34="",E34="",G34="",H34="",I34="",N34=""),"Required field missing (name, owner, stage, status or next review)",IF(NOT(ISNUMBER(N34)),"Next review is not a date",IF(OR(AND(R34&lt;&gt;"",NOT(ISNUMBER(R34))),AND(S34&lt;&gt;"",NOT(ISNUMBER(S34))),AND(X34&lt;&gt;"",NOT(ISNUMBER(X34)))),"Date field is not a date",IF(AND(OR(H34="Approved",H34="Approved with conditions"),OR(K34="",L34="")),"Approval evidence refs missing",IF(AND(I34="Active",H34&lt;&gt;"Approved",H34&lt;&gt;"Approved with conditions"),"Active without approved status",IF(AND(I34="Active",G34&lt;&gt;"Deployment and Operation",G34&lt;&gt;"Monitoring and Review"),"Active in wrong lifecycle stage",IF(AND(I34="Active",P34=""),"Active without UC-ID link",IF(AND(OR(J34="Yes",J34="Unsure"),M34=""),"Agent evidence ref missing",IF(AND(I34="Active",W34&lt;&gt;"Yes"),"Active without monitoring in place",IF(N34&lt;TODAY(),"Review overdue","Check refs against source")))))))))))))</f>
        <v/>
      </c>
      <c r="P34" s="22" t="n"/>
      <c r="Q34" s="22" t="n"/>
      <c r="R34" s="35" t="n"/>
      <c r="S34" s="35" t="n"/>
      <c r="T34" s="22" t="n"/>
      <c r="U34" s="22" t="n"/>
      <c r="V34" s="22" t="n"/>
      <c r="W34" s="22" t="n"/>
      <c r="X34" s="35" t="n"/>
      <c r="Y34" s="22" t="n"/>
      <c r="Z34" s="22" t="n"/>
      <c r="AA34" s="22" t="n"/>
    </row>
    <row r="35">
      <c r="A35" s="24" t="n"/>
      <c r="B35" s="24" t="n"/>
      <c r="C35" s="24" t="n"/>
      <c r="D35" s="24" t="n"/>
      <c r="E35" s="24" t="n"/>
      <c r="F35" s="24" t="n"/>
      <c r="G35" s="24" t="n"/>
      <c r="H35" s="24" t="n"/>
      <c r="I35" s="24" t="n"/>
      <c r="J35" s="24" t="n"/>
      <c r="K35" s="24" t="n"/>
      <c r="L35" s="24" t="n"/>
      <c r="M35" s="24" t="n"/>
      <c r="N35" s="36" t="n"/>
      <c r="O35" s="24">
        <f>IF(COUNTA(A35:N35,P35:AA35)=0,"",IF(TRIM(A35)="","AIR-ID missing",IF(SUMPRODUCT(--(TRIM($A$4:$A$206)=TRIM(A35)))&gt;1,"Duplicate AIR-ID",IF(OR(B35="",E35="",G35="",H35="",I35="",N35=""),"Required field missing (name, owner, stage, status or next review)",IF(NOT(ISNUMBER(N35)),"Next review is not a date",IF(OR(AND(R35&lt;&gt;"",NOT(ISNUMBER(R35))),AND(S35&lt;&gt;"",NOT(ISNUMBER(S35))),AND(X35&lt;&gt;"",NOT(ISNUMBER(X35)))),"Date field is not a date",IF(AND(OR(H35="Approved",H35="Approved with conditions"),OR(K35="",L35="")),"Approval evidence refs missing",IF(AND(I35="Active",H35&lt;&gt;"Approved",H35&lt;&gt;"Approved with conditions"),"Active without approved status",IF(AND(I35="Active",G35&lt;&gt;"Deployment and Operation",G35&lt;&gt;"Monitoring and Review"),"Active in wrong lifecycle stage",IF(AND(I35="Active",P35=""),"Active without UC-ID link",IF(AND(OR(J35="Yes",J35="Unsure"),M35=""),"Agent evidence ref missing",IF(AND(I35="Active",W35&lt;&gt;"Yes"),"Active without monitoring in place",IF(N35&lt;TODAY(),"Review overdue","Check refs against source")))))))))))))</f>
        <v/>
      </c>
      <c r="P35" s="24" t="n"/>
      <c r="Q35" s="24" t="n"/>
      <c r="R35" s="36" t="n"/>
      <c r="S35" s="36" t="n"/>
      <c r="T35" s="24" t="n"/>
      <c r="U35" s="24" t="n"/>
      <c r="V35" s="24" t="n"/>
      <c r="W35" s="24" t="n"/>
      <c r="X35" s="36" t="n"/>
      <c r="Y35" s="24" t="n"/>
      <c r="Z35" s="24" t="n"/>
      <c r="AA35" s="24" t="n"/>
    </row>
    <row r="36">
      <c r="A36" s="22" t="n"/>
      <c r="B36" s="22" t="n"/>
      <c r="C36" s="22" t="n"/>
      <c r="D36" s="22" t="n"/>
      <c r="E36" s="22" t="n"/>
      <c r="F36" s="22" t="n"/>
      <c r="G36" s="22" t="n"/>
      <c r="H36" s="22" t="n"/>
      <c r="I36" s="22" t="n"/>
      <c r="J36" s="22" t="n"/>
      <c r="K36" s="22" t="n"/>
      <c r="L36" s="22" t="n"/>
      <c r="M36" s="22" t="n"/>
      <c r="N36" s="35" t="n"/>
      <c r="O36" s="22">
        <f>IF(COUNTA(A36:N36,P36:AA36)=0,"",IF(TRIM(A36)="","AIR-ID missing",IF(SUMPRODUCT(--(TRIM($A$4:$A$206)=TRIM(A36)))&gt;1,"Duplicate AIR-ID",IF(OR(B36="",E36="",G36="",H36="",I36="",N36=""),"Required field missing (name, owner, stage, status or next review)",IF(NOT(ISNUMBER(N36)),"Next review is not a date",IF(OR(AND(R36&lt;&gt;"",NOT(ISNUMBER(R36))),AND(S36&lt;&gt;"",NOT(ISNUMBER(S36))),AND(X36&lt;&gt;"",NOT(ISNUMBER(X36)))),"Date field is not a date",IF(AND(OR(H36="Approved",H36="Approved with conditions"),OR(K36="",L36="")),"Approval evidence refs missing",IF(AND(I36="Active",H36&lt;&gt;"Approved",H36&lt;&gt;"Approved with conditions"),"Active without approved status",IF(AND(I36="Active",G36&lt;&gt;"Deployment and Operation",G36&lt;&gt;"Monitoring and Review"),"Active in wrong lifecycle stage",IF(AND(I36="Active",P36=""),"Active without UC-ID link",IF(AND(OR(J36="Yes",J36="Unsure"),M36=""),"Agent evidence ref missing",IF(AND(I36="Active",W36&lt;&gt;"Yes"),"Active without monitoring in place",IF(N36&lt;TODAY(),"Review overdue","Check refs against source")))))))))))))</f>
        <v/>
      </c>
      <c r="P36" s="22" t="n"/>
      <c r="Q36" s="22" t="n"/>
      <c r="R36" s="35" t="n"/>
      <c r="S36" s="35" t="n"/>
      <c r="T36" s="22" t="n"/>
      <c r="U36" s="22" t="n"/>
      <c r="V36" s="22" t="n"/>
      <c r="W36" s="22" t="n"/>
      <c r="X36" s="35" t="n"/>
      <c r="Y36" s="22" t="n"/>
      <c r="Z36" s="22" t="n"/>
      <c r="AA36" s="22" t="n"/>
    </row>
    <row r="37">
      <c r="A37" s="24" t="n"/>
      <c r="B37" s="24" t="n"/>
      <c r="C37" s="24" t="n"/>
      <c r="D37" s="24" t="n"/>
      <c r="E37" s="24" t="n"/>
      <c r="F37" s="24" t="n"/>
      <c r="G37" s="24" t="n"/>
      <c r="H37" s="24" t="n"/>
      <c r="I37" s="24" t="n"/>
      <c r="J37" s="24" t="n"/>
      <c r="K37" s="24" t="n"/>
      <c r="L37" s="24" t="n"/>
      <c r="M37" s="24" t="n"/>
      <c r="N37" s="36" t="n"/>
      <c r="O37" s="24">
        <f>IF(COUNTA(A37:N37,P37:AA37)=0,"",IF(TRIM(A37)="","AIR-ID missing",IF(SUMPRODUCT(--(TRIM($A$4:$A$206)=TRIM(A37)))&gt;1,"Duplicate AIR-ID",IF(OR(B37="",E37="",G37="",H37="",I37="",N37=""),"Required field missing (name, owner, stage, status or next review)",IF(NOT(ISNUMBER(N37)),"Next review is not a date",IF(OR(AND(R37&lt;&gt;"",NOT(ISNUMBER(R37))),AND(S37&lt;&gt;"",NOT(ISNUMBER(S37))),AND(X37&lt;&gt;"",NOT(ISNUMBER(X37)))),"Date field is not a date",IF(AND(OR(H37="Approved",H37="Approved with conditions"),OR(K37="",L37="")),"Approval evidence refs missing",IF(AND(I37="Active",H37&lt;&gt;"Approved",H37&lt;&gt;"Approved with conditions"),"Active without approved status",IF(AND(I37="Active",G37&lt;&gt;"Deployment and Operation",G37&lt;&gt;"Monitoring and Review"),"Active in wrong lifecycle stage",IF(AND(I37="Active",P37=""),"Active without UC-ID link",IF(AND(OR(J37="Yes",J37="Unsure"),M37=""),"Agent evidence ref missing",IF(AND(I37="Active",W37&lt;&gt;"Yes"),"Active without monitoring in place",IF(N37&lt;TODAY(),"Review overdue","Check refs against source")))))))))))))</f>
        <v/>
      </c>
      <c r="P37" s="24" t="n"/>
      <c r="Q37" s="24" t="n"/>
      <c r="R37" s="36" t="n"/>
      <c r="S37" s="36" t="n"/>
      <c r="T37" s="24" t="n"/>
      <c r="U37" s="24" t="n"/>
      <c r="V37" s="24" t="n"/>
      <c r="W37" s="24" t="n"/>
      <c r="X37" s="36" t="n"/>
      <c r="Y37" s="24" t="n"/>
      <c r="Z37" s="24" t="n"/>
      <c r="AA37" s="24" t="n"/>
    </row>
    <row r="38">
      <c r="A38" s="22" t="n"/>
      <c r="B38" s="22" t="n"/>
      <c r="C38" s="22" t="n"/>
      <c r="D38" s="22" t="n"/>
      <c r="E38" s="22" t="n"/>
      <c r="F38" s="22" t="n"/>
      <c r="G38" s="22" t="n"/>
      <c r="H38" s="22" t="n"/>
      <c r="I38" s="22" t="n"/>
      <c r="J38" s="22" t="n"/>
      <c r="K38" s="22" t="n"/>
      <c r="L38" s="22" t="n"/>
      <c r="M38" s="22" t="n"/>
      <c r="N38" s="35" t="n"/>
      <c r="O38" s="22">
        <f>IF(COUNTA(A38:N38,P38:AA38)=0,"",IF(TRIM(A38)="","AIR-ID missing",IF(SUMPRODUCT(--(TRIM($A$4:$A$206)=TRIM(A38)))&gt;1,"Duplicate AIR-ID",IF(OR(B38="",E38="",G38="",H38="",I38="",N38=""),"Required field missing (name, owner, stage, status or next review)",IF(NOT(ISNUMBER(N38)),"Next review is not a date",IF(OR(AND(R38&lt;&gt;"",NOT(ISNUMBER(R38))),AND(S38&lt;&gt;"",NOT(ISNUMBER(S38))),AND(X38&lt;&gt;"",NOT(ISNUMBER(X38)))),"Date field is not a date",IF(AND(OR(H38="Approved",H38="Approved with conditions"),OR(K38="",L38="")),"Approval evidence refs missing",IF(AND(I38="Active",H38&lt;&gt;"Approved",H38&lt;&gt;"Approved with conditions"),"Active without approved status",IF(AND(I38="Active",G38&lt;&gt;"Deployment and Operation",G38&lt;&gt;"Monitoring and Review"),"Active in wrong lifecycle stage",IF(AND(I38="Active",P38=""),"Active without UC-ID link",IF(AND(OR(J38="Yes",J38="Unsure"),M38=""),"Agent evidence ref missing",IF(AND(I38="Active",W38&lt;&gt;"Yes"),"Active without monitoring in place",IF(N38&lt;TODAY(),"Review overdue","Check refs against source")))))))))))))</f>
        <v/>
      </c>
      <c r="P38" s="22" t="n"/>
      <c r="Q38" s="22" t="n"/>
      <c r="R38" s="35" t="n"/>
      <c r="S38" s="35" t="n"/>
      <c r="T38" s="22" t="n"/>
      <c r="U38" s="22" t="n"/>
      <c r="V38" s="22" t="n"/>
      <c r="W38" s="22" t="n"/>
      <c r="X38" s="35" t="n"/>
      <c r="Y38" s="22" t="n"/>
      <c r="Z38" s="22" t="n"/>
      <c r="AA38" s="22" t="n"/>
    </row>
    <row r="39">
      <c r="A39" s="24" t="n"/>
      <c r="B39" s="24" t="n"/>
      <c r="C39" s="24" t="n"/>
      <c r="D39" s="24" t="n"/>
      <c r="E39" s="24" t="n"/>
      <c r="F39" s="24" t="n"/>
      <c r="G39" s="24" t="n"/>
      <c r="H39" s="24" t="n"/>
      <c r="I39" s="24" t="n"/>
      <c r="J39" s="24" t="n"/>
      <c r="K39" s="24" t="n"/>
      <c r="L39" s="24" t="n"/>
      <c r="M39" s="24" t="n"/>
      <c r="N39" s="36" t="n"/>
      <c r="O39" s="24">
        <f>IF(COUNTA(A39:N39,P39:AA39)=0,"",IF(TRIM(A39)="","AIR-ID missing",IF(SUMPRODUCT(--(TRIM($A$4:$A$206)=TRIM(A39)))&gt;1,"Duplicate AIR-ID",IF(OR(B39="",E39="",G39="",H39="",I39="",N39=""),"Required field missing (name, owner, stage, status or next review)",IF(NOT(ISNUMBER(N39)),"Next review is not a date",IF(OR(AND(R39&lt;&gt;"",NOT(ISNUMBER(R39))),AND(S39&lt;&gt;"",NOT(ISNUMBER(S39))),AND(X39&lt;&gt;"",NOT(ISNUMBER(X39)))),"Date field is not a date",IF(AND(OR(H39="Approved",H39="Approved with conditions"),OR(K39="",L39="")),"Approval evidence refs missing",IF(AND(I39="Active",H39&lt;&gt;"Approved",H39&lt;&gt;"Approved with conditions"),"Active without approved status",IF(AND(I39="Active",G39&lt;&gt;"Deployment and Operation",G39&lt;&gt;"Monitoring and Review"),"Active in wrong lifecycle stage",IF(AND(I39="Active",P39=""),"Active without UC-ID link",IF(AND(OR(J39="Yes",J39="Unsure"),M39=""),"Agent evidence ref missing",IF(AND(I39="Active",W39&lt;&gt;"Yes"),"Active without monitoring in place",IF(N39&lt;TODAY(),"Review overdue","Check refs against source")))))))))))))</f>
        <v/>
      </c>
      <c r="P39" s="24" t="n"/>
      <c r="Q39" s="24" t="n"/>
      <c r="R39" s="36" t="n"/>
      <c r="S39" s="36" t="n"/>
      <c r="T39" s="24" t="n"/>
      <c r="U39" s="24" t="n"/>
      <c r="V39" s="24" t="n"/>
      <c r="W39" s="24" t="n"/>
      <c r="X39" s="36" t="n"/>
      <c r="Y39" s="24" t="n"/>
      <c r="Z39" s="24" t="n"/>
      <c r="AA39" s="24" t="n"/>
    </row>
    <row r="40">
      <c r="A40" s="22" t="n"/>
      <c r="B40" s="22" t="n"/>
      <c r="C40" s="22" t="n"/>
      <c r="D40" s="22" t="n"/>
      <c r="E40" s="22" t="n"/>
      <c r="F40" s="22" t="n"/>
      <c r="G40" s="22" t="n"/>
      <c r="H40" s="22" t="n"/>
      <c r="I40" s="22" t="n"/>
      <c r="J40" s="22" t="n"/>
      <c r="K40" s="22" t="n"/>
      <c r="L40" s="22" t="n"/>
      <c r="M40" s="22" t="n"/>
      <c r="N40" s="35" t="n"/>
      <c r="O40" s="22">
        <f>IF(COUNTA(A40:N40,P40:AA40)=0,"",IF(TRIM(A40)="","AIR-ID missing",IF(SUMPRODUCT(--(TRIM($A$4:$A$206)=TRIM(A40)))&gt;1,"Duplicate AIR-ID",IF(OR(B40="",E40="",G40="",H40="",I40="",N40=""),"Required field missing (name, owner, stage, status or next review)",IF(NOT(ISNUMBER(N40)),"Next review is not a date",IF(OR(AND(R40&lt;&gt;"",NOT(ISNUMBER(R40))),AND(S40&lt;&gt;"",NOT(ISNUMBER(S40))),AND(X40&lt;&gt;"",NOT(ISNUMBER(X40)))),"Date field is not a date",IF(AND(OR(H40="Approved",H40="Approved with conditions"),OR(K40="",L40="")),"Approval evidence refs missing",IF(AND(I40="Active",H40&lt;&gt;"Approved",H40&lt;&gt;"Approved with conditions"),"Active without approved status",IF(AND(I40="Active",G40&lt;&gt;"Deployment and Operation",G40&lt;&gt;"Monitoring and Review"),"Active in wrong lifecycle stage",IF(AND(I40="Active",P40=""),"Active without UC-ID link",IF(AND(OR(J40="Yes",J40="Unsure"),M40=""),"Agent evidence ref missing",IF(AND(I40="Active",W40&lt;&gt;"Yes"),"Active without monitoring in place",IF(N40&lt;TODAY(),"Review overdue","Check refs against source")))))))))))))</f>
        <v/>
      </c>
      <c r="P40" s="22" t="n"/>
      <c r="Q40" s="22" t="n"/>
      <c r="R40" s="35" t="n"/>
      <c r="S40" s="35" t="n"/>
      <c r="T40" s="22" t="n"/>
      <c r="U40" s="22" t="n"/>
      <c r="V40" s="22" t="n"/>
      <c r="W40" s="22" t="n"/>
      <c r="X40" s="35" t="n"/>
      <c r="Y40" s="22" t="n"/>
      <c r="Z40" s="22" t="n"/>
      <c r="AA40" s="22" t="n"/>
    </row>
    <row r="41">
      <c r="A41" s="24" t="n"/>
      <c r="B41" s="24" t="n"/>
      <c r="C41" s="24" t="n"/>
      <c r="D41" s="24" t="n"/>
      <c r="E41" s="24" t="n"/>
      <c r="F41" s="24" t="n"/>
      <c r="G41" s="24" t="n"/>
      <c r="H41" s="24" t="n"/>
      <c r="I41" s="24" t="n"/>
      <c r="J41" s="24" t="n"/>
      <c r="K41" s="24" t="n"/>
      <c r="L41" s="24" t="n"/>
      <c r="M41" s="24" t="n"/>
      <c r="N41" s="36" t="n"/>
      <c r="O41" s="24">
        <f>IF(COUNTA(A41:N41,P41:AA41)=0,"",IF(TRIM(A41)="","AIR-ID missing",IF(SUMPRODUCT(--(TRIM($A$4:$A$206)=TRIM(A41)))&gt;1,"Duplicate AIR-ID",IF(OR(B41="",E41="",G41="",H41="",I41="",N41=""),"Required field missing (name, owner, stage, status or next review)",IF(NOT(ISNUMBER(N41)),"Next review is not a date",IF(OR(AND(R41&lt;&gt;"",NOT(ISNUMBER(R41))),AND(S41&lt;&gt;"",NOT(ISNUMBER(S41))),AND(X41&lt;&gt;"",NOT(ISNUMBER(X41)))),"Date field is not a date",IF(AND(OR(H41="Approved",H41="Approved with conditions"),OR(K41="",L41="")),"Approval evidence refs missing",IF(AND(I41="Active",H41&lt;&gt;"Approved",H41&lt;&gt;"Approved with conditions"),"Active without approved status",IF(AND(I41="Active",G41&lt;&gt;"Deployment and Operation",G41&lt;&gt;"Monitoring and Review"),"Active in wrong lifecycle stage",IF(AND(I41="Active",P41=""),"Active without UC-ID link",IF(AND(OR(J41="Yes",J41="Unsure"),M41=""),"Agent evidence ref missing",IF(AND(I41="Active",W41&lt;&gt;"Yes"),"Active without monitoring in place",IF(N41&lt;TODAY(),"Review overdue","Check refs against source")))))))))))))</f>
        <v/>
      </c>
      <c r="P41" s="24" t="n"/>
      <c r="Q41" s="24" t="n"/>
      <c r="R41" s="36" t="n"/>
      <c r="S41" s="36" t="n"/>
      <c r="T41" s="24" t="n"/>
      <c r="U41" s="24" t="n"/>
      <c r="V41" s="24" t="n"/>
      <c r="W41" s="24" t="n"/>
      <c r="X41" s="36" t="n"/>
      <c r="Y41" s="24" t="n"/>
      <c r="Z41" s="24" t="n"/>
      <c r="AA41" s="24" t="n"/>
    </row>
    <row r="42">
      <c r="A42" s="22" t="n"/>
      <c r="B42" s="22" t="n"/>
      <c r="C42" s="22" t="n"/>
      <c r="D42" s="22" t="n"/>
      <c r="E42" s="22" t="n"/>
      <c r="F42" s="22" t="n"/>
      <c r="G42" s="22" t="n"/>
      <c r="H42" s="22" t="n"/>
      <c r="I42" s="22" t="n"/>
      <c r="J42" s="22" t="n"/>
      <c r="K42" s="22" t="n"/>
      <c r="L42" s="22" t="n"/>
      <c r="M42" s="22" t="n"/>
      <c r="N42" s="35" t="n"/>
      <c r="O42" s="22">
        <f>IF(COUNTA(A42:N42,P42:AA42)=0,"",IF(TRIM(A42)="","AIR-ID missing",IF(SUMPRODUCT(--(TRIM($A$4:$A$206)=TRIM(A42)))&gt;1,"Duplicate AIR-ID",IF(OR(B42="",E42="",G42="",H42="",I42="",N42=""),"Required field missing (name, owner, stage, status or next review)",IF(NOT(ISNUMBER(N42)),"Next review is not a date",IF(OR(AND(R42&lt;&gt;"",NOT(ISNUMBER(R42))),AND(S42&lt;&gt;"",NOT(ISNUMBER(S42))),AND(X42&lt;&gt;"",NOT(ISNUMBER(X42)))),"Date field is not a date",IF(AND(OR(H42="Approved",H42="Approved with conditions"),OR(K42="",L42="")),"Approval evidence refs missing",IF(AND(I42="Active",H42&lt;&gt;"Approved",H42&lt;&gt;"Approved with conditions"),"Active without approved status",IF(AND(I42="Active",G42&lt;&gt;"Deployment and Operation",G42&lt;&gt;"Monitoring and Review"),"Active in wrong lifecycle stage",IF(AND(I42="Active",P42=""),"Active without UC-ID link",IF(AND(OR(J42="Yes",J42="Unsure"),M42=""),"Agent evidence ref missing",IF(AND(I42="Active",W42&lt;&gt;"Yes"),"Active without monitoring in place",IF(N42&lt;TODAY(),"Review overdue","Check refs against source")))))))))))))</f>
        <v/>
      </c>
      <c r="P42" s="22" t="n"/>
      <c r="Q42" s="22" t="n"/>
      <c r="R42" s="35" t="n"/>
      <c r="S42" s="35" t="n"/>
      <c r="T42" s="22" t="n"/>
      <c r="U42" s="22" t="n"/>
      <c r="V42" s="22" t="n"/>
      <c r="W42" s="22" t="n"/>
      <c r="X42" s="35" t="n"/>
      <c r="Y42" s="22" t="n"/>
      <c r="Z42" s="22" t="n"/>
      <c r="AA42" s="22" t="n"/>
    </row>
    <row r="43">
      <c r="A43" s="24" t="n"/>
      <c r="B43" s="24" t="n"/>
      <c r="C43" s="24" t="n"/>
      <c r="D43" s="24" t="n"/>
      <c r="E43" s="24" t="n"/>
      <c r="F43" s="24" t="n"/>
      <c r="G43" s="24" t="n"/>
      <c r="H43" s="24" t="n"/>
      <c r="I43" s="24" t="n"/>
      <c r="J43" s="24" t="n"/>
      <c r="K43" s="24" t="n"/>
      <c r="L43" s="24" t="n"/>
      <c r="M43" s="24" t="n"/>
      <c r="N43" s="36" t="n"/>
      <c r="O43" s="24">
        <f>IF(COUNTA(A43:N43,P43:AA43)=0,"",IF(TRIM(A43)="","AIR-ID missing",IF(SUMPRODUCT(--(TRIM($A$4:$A$206)=TRIM(A43)))&gt;1,"Duplicate AIR-ID",IF(OR(B43="",E43="",G43="",H43="",I43="",N43=""),"Required field missing (name, owner, stage, status or next review)",IF(NOT(ISNUMBER(N43)),"Next review is not a date",IF(OR(AND(R43&lt;&gt;"",NOT(ISNUMBER(R43))),AND(S43&lt;&gt;"",NOT(ISNUMBER(S43))),AND(X43&lt;&gt;"",NOT(ISNUMBER(X43)))),"Date field is not a date",IF(AND(OR(H43="Approved",H43="Approved with conditions"),OR(K43="",L43="")),"Approval evidence refs missing",IF(AND(I43="Active",H43&lt;&gt;"Approved",H43&lt;&gt;"Approved with conditions"),"Active without approved status",IF(AND(I43="Active",G43&lt;&gt;"Deployment and Operation",G43&lt;&gt;"Monitoring and Review"),"Active in wrong lifecycle stage",IF(AND(I43="Active",P43=""),"Active without UC-ID link",IF(AND(OR(J43="Yes",J43="Unsure"),M43=""),"Agent evidence ref missing",IF(AND(I43="Active",W43&lt;&gt;"Yes"),"Active without monitoring in place",IF(N43&lt;TODAY(),"Review overdue","Check refs against source")))))))))))))</f>
        <v/>
      </c>
      <c r="P43" s="24" t="n"/>
      <c r="Q43" s="24" t="n"/>
      <c r="R43" s="36" t="n"/>
      <c r="S43" s="36" t="n"/>
      <c r="T43" s="24" t="n"/>
      <c r="U43" s="24" t="n"/>
      <c r="V43" s="24" t="n"/>
      <c r="W43" s="24" t="n"/>
      <c r="X43" s="36" t="n"/>
      <c r="Y43" s="24" t="n"/>
      <c r="Z43" s="24" t="n"/>
      <c r="AA43" s="24" t="n"/>
    </row>
    <row r="44">
      <c r="A44" s="22" t="n"/>
      <c r="B44" s="22" t="n"/>
      <c r="C44" s="22" t="n"/>
      <c r="D44" s="22" t="n"/>
      <c r="E44" s="22" t="n"/>
      <c r="F44" s="22" t="n"/>
      <c r="G44" s="22" t="n"/>
      <c r="H44" s="22" t="n"/>
      <c r="I44" s="22" t="n"/>
      <c r="J44" s="22" t="n"/>
      <c r="K44" s="22" t="n"/>
      <c r="L44" s="22" t="n"/>
      <c r="M44" s="22" t="n"/>
      <c r="N44" s="35" t="n"/>
      <c r="O44" s="22">
        <f>IF(COUNTA(A44:N44,P44:AA44)=0,"",IF(TRIM(A44)="","AIR-ID missing",IF(SUMPRODUCT(--(TRIM($A$4:$A$206)=TRIM(A44)))&gt;1,"Duplicate AIR-ID",IF(OR(B44="",E44="",G44="",H44="",I44="",N44=""),"Required field missing (name, owner, stage, status or next review)",IF(NOT(ISNUMBER(N44)),"Next review is not a date",IF(OR(AND(R44&lt;&gt;"",NOT(ISNUMBER(R44))),AND(S44&lt;&gt;"",NOT(ISNUMBER(S44))),AND(X44&lt;&gt;"",NOT(ISNUMBER(X44)))),"Date field is not a date",IF(AND(OR(H44="Approved",H44="Approved with conditions"),OR(K44="",L44="")),"Approval evidence refs missing",IF(AND(I44="Active",H44&lt;&gt;"Approved",H44&lt;&gt;"Approved with conditions"),"Active without approved status",IF(AND(I44="Active",G44&lt;&gt;"Deployment and Operation",G44&lt;&gt;"Monitoring and Review"),"Active in wrong lifecycle stage",IF(AND(I44="Active",P44=""),"Active without UC-ID link",IF(AND(OR(J44="Yes",J44="Unsure"),M44=""),"Agent evidence ref missing",IF(AND(I44="Active",W44&lt;&gt;"Yes"),"Active without monitoring in place",IF(N44&lt;TODAY(),"Review overdue","Check refs against source")))))))))))))</f>
        <v/>
      </c>
      <c r="P44" s="22" t="n"/>
      <c r="Q44" s="22" t="n"/>
      <c r="R44" s="35" t="n"/>
      <c r="S44" s="35" t="n"/>
      <c r="T44" s="22" t="n"/>
      <c r="U44" s="22" t="n"/>
      <c r="V44" s="22" t="n"/>
      <c r="W44" s="22" t="n"/>
      <c r="X44" s="35" t="n"/>
      <c r="Y44" s="22" t="n"/>
      <c r="Z44" s="22" t="n"/>
      <c r="AA44" s="22" t="n"/>
    </row>
    <row r="45">
      <c r="A45" s="24" t="n"/>
      <c r="B45" s="24" t="n"/>
      <c r="C45" s="24" t="n"/>
      <c r="D45" s="24" t="n"/>
      <c r="E45" s="24" t="n"/>
      <c r="F45" s="24" t="n"/>
      <c r="G45" s="24" t="n"/>
      <c r="H45" s="24" t="n"/>
      <c r="I45" s="24" t="n"/>
      <c r="J45" s="24" t="n"/>
      <c r="K45" s="24" t="n"/>
      <c r="L45" s="24" t="n"/>
      <c r="M45" s="24" t="n"/>
      <c r="N45" s="36" t="n"/>
      <c r="O45" s="24">
        <f>IF(COUNTA(A45:N45,P45:AA45)=0,"",IF(TRIM(A45)="","AIR-ID missing",IF(SUMPRODUCT(--(TRIM($A$4:$A$206)=TRIM(A45)))&gt;1,"Duplicate AIR-ID",IF(OR(B45="",E45="",G45="",H45="",I45="",N45=""),"Required field missing (name, owner, stage, status or next review)",IF(NOT(ISNUMBER(N45)),"Next review is not a date",IF(OR(AND(R45&lt;&gt;"",NOT(ISNUMBER(R45))),AND(S45&lt;&gt;"",NOT(ISNUMBER(S45))),AND(X45&lt;&gt;"",NOT(ISNUMBER(X45)))),"Date field is not a date",IF(AND(OR(H45="Approved",H45="Approved with conditions"),OR(K45="",L45="")),"Approval evidence refs missing",IF(AND(I45="Active",H45&lt;&gt;"Approved",H45&lt;&gt;"Approved with conditions"),"Active without approved status",IF(AND(I45="Active",G45&lt;&gt;"Deployment and Operation",G45&lt;&gt;"Monitoring and Review"),"Active in wrong lifecycle stage",IF(AND(I45="Active",P45=""),"Active without UC-ID link",IF(AND(OR(J45="Yes",J45="Unsure"),M45=""),"Agent evidence ref missing",IF(AND(I45="Active",W45&lt;&gt;"Yes"),"Active without monitoring in place",IF(N45&lt;TODAY(),"Review overdue","Check refs against source")))))))))))))</f>
        <v/>
      </c>
      <c r="P45" s="24" t="n"/>
      <c r="Q45" s="24" t="n"/>
      <c r="R45" s="36" t="n"/>
      <c r="S45" s="36" t="n"/>
      <c r="T45" s="24" t="n"/>
      <c r="U45" s="24" t="n"/>
      <c r="V45" s="24" t="n"/>
      <c r="W45" s="24" t="n"/>
      <c r="X45" s="36" t="n"/>
      <c r="Y45" s="24" t="n"/>
      <c r="Z45" s="24" t="n"/>
      <c r="AA45" s="24" t="n"/>
    </row>
    <row r="46">
      <c r="A46" s="22" t="n"/>
      <c r="B46" s="22" t="n"/>
      <c r="C46" s="22" t="n"/>
      <c r="D46" s="22" t="n"/>
      <c r="E46" s="22" t="n"/>
      <c r="F46" s="22" t="n"/>
      <c r="G46" s="22" t="n"/>
      <c r="H46" s="22" t="n"/>
      <c r="I46" s="22" t="n"/>
      <c r="J46" s="22" t="n"/>
      <c r="K46" s="22" t="n"/>
      <c r="L46" s="22" t="n"/>
      <c r="M46" s="22" t="n"/>
      <c r="N46" s="35" t="n"/>
      <c r="O46" s="22">
        <f>IF(COUNTA(A46:N46,P46:AA46)=0,"",IF(TRIM(A46)="","AIR-ID missing",IF(SUMPRODUCT(--(TRIM($A$4:$A$206)=TRIM(A46)))&gt;1,"Duplicate AIR-ID",IF(OR(B46="",E46="",G46="",H46="",I46="",N46=""),"Required field missing (name, owner, stage, status or next review)",IF(NOT(ISNUMBER(N46)),"Next review is not a date",IF(OR(AND(R46&lt;&gt;"",NOT(ISNUMBER(R46))),AND(S46&lt;&gt;"",NOT(ISNUMBER(S46))),AND(X46&lt;&gt;"",NOT(ISNUMBER(X46)))),"Date field is not a date",IF(AND(OR(H46="Approved",H46="Approved with conditions"),OR(K46="",L46="")),"Approval evidence refs missing",IF(AND(I46="Active",H46&lt;&gt;"Approved",H46&lt;&gt;"Approved with conditions"),"Active without approved status",IF(AND(I46="Active",G46&lt;&gt;"Deployment and Operation",G46&lt;&gt;"Monitoring and Review"),"Active in wrong lifecycle stage",IF(AND(I46="Active",P46=""),"Active without UC-ID link",IF(AND(OR(J46="Yes",J46="Unsure"),M46=""),"Agent evidence ref missing",IF(AND(I46="Active",W46&lt;&gt;"Yes"),"Active without monitoring in place",IF(N46&lt;TODAY(),"Review overdue","Check refs against source")))))))))))))</f>
        <v/>
      </c>
      <c r="P46" s="22" t="n"/>
      <c r="Q46" s="22" t="n"/>
      <c r="R46" s="35" t="n"/>
      <c r="S46" s="35" t="n"/>
      <c r="T46" s="22" t="n"/>
      <c r="U46" s="22" t="n"/>
      <c r="V46" s="22" t="n"/>
      <c r="W46" s="22" t="n"/>
      <c r="X46" s="35" t="n"/>
      <c r="Y46" s="22" t="n"/>
      <c r="Z46" s="22" t="n"/>
      <c r="AA46" s="22" t="n"/>
    </row>
    <row r="47">
      <c r="A47" s="24" t="n"/>
      <c r="B47" s="24" t="n"/>
      <c r="C47" s="24" t="n"/>
      <c r="D47" s="24" t="n"/>
      <c r="E47" s="24" t="n"/>
      <c r="F47" s="24" t="n"/>
      <c r="G47" s="24" t="n"/>
      <c r="H47" s="24" t="n"/>
      <c r="I47" s="24" t="n"/>
      <c r="J47" s="24" t="n"/>
      <c r="K47" s="24" t="n"/>
      <c r="L47" s="24" t="n"/>
      <c r="M47" s="24" t="n"/>
      <c r="N47" s="36" t="n"/>
      <c r="O47" s="24">
        <f>IF(COUNTA(A47:N47,P47:AA47)=0,"",IF(TRIM(A47)="","AIR-ID missing",IF(SUMPRODUCT(--(TRIM($A$4:$A$206)=TRIM(A47)))&gt;1,"Duplicate AIR-ID",IF(OR(B47="",E47="",G47="",H47="",I47="",N47=""),"Required field missing (name, owner, stage, status or next review)",IF(NOT(ISNUMBER(N47)),"Next review is not a date",IF(OR(AND(R47&lt;&gt;"",NOT(ISNUMBER(R47))),AND(S47&lt;&gt;"",NOT(ISNUMBER(S47))),AND(X47&lt;&gt;"",NOT(ISNUMBER(X47)))),"Date field is not a date",IF(AND(OR(H47="Approved",H47="Approved with conditions"),OR(K47="",L47="")),"Approval evidence refs missing",IF(AND(I47="Active",H47&lt;&gt;"Approved",H47&lt;&gt;"Approved with conditions"),"Active without approved status",IF(AND(I47="Active",G47&lt;&gt;"Deployment and Operation",G47&lt;&gt;"Monitoring and Review"),"Active in wrong lifecycle stage",IF(AND(I47="Active",P47=""),"Active without UC-ID link",IF(AND(OR(J47="Yes",J47="Unsure"),M47=""),"Agent evidence ref missing",IF(AND(I47="Active",W47&lt;&gt;"Yes"),"Active without monitoring in place",IF(N47&lt;TODAY(),"Review overdue","Check refs against source")))))))))))))</f>
        <v/>
      </c>
      <c r="P47" s="24" t="n"/>
      <c r="Q47" s="24" t="n"/>
      <c r="R47" s="36" t="n"/>
      <c r="S47" s="36" t="n"/>
      <c r="T47" s="24" t="n"/>
      <c r="U47" s="24" t="n"/>
      <c r="V47" s="24" t="n"/>
      <c r="W47" s="24" t="n"/>
      <c r="X47" s="36" t="n"/>
      <c r="Y47" s="24" t="n"/>
      <c r="Z47" s="24" t="n"/>
      <c r="AA47" s="24" t="n"/>
    </row>
    <row r="48">
      <c r="A48" s="22" t="n"/>
      <c r="B48" s="22" t="n"/>
      <c r="C48" s="22" t="n"/>
      <c r="D48" s="22" t="n"/>
      <c r="E48" s="22" t="n"/>
      <c r="F48" s="22" t="n"/>
      <c r="G48" s="22" t="n"/>
      <c r="H48" s="22" t="n"/>
      <c r="I48" s="22" t="n"/>
      <c r="J48" s="22" t="n"/>
      <c r="K48" s="22" t="n"/>
      <c r="L48" s="22" t="n"/>
      <c r="M48" s="22" t="n"/>
      <c r="N48" s="35" t="n"/>
      <c r="O48" s="22">
        <f>IF(COUNTA(A48:N48,P48:AA48)=0,"",IF(TRIM(A48)="","AIR-ID missing",IF(SUMPRODUCT(--(TRIM($A$4:$A$206)=TRIM(A48)))&gt;1,"Duplicate AIR-ID",IF(OR(B48="",E48="",G48="",H48="",I48="",N48=""),"Required field missing (name, owner, stage, status or next review)",IF(NOT(ISNUMBER(N48)),"Next review is not a date",IF(OR(AND(R48&lt;&gt;"",NOT(ISNUMBER(R48))),AND(S48&lt;&gt;"",NOT(ISNUMBER(S48))),AND(X48&lt;&gt;"",NOT(ISNUMBER(X48)))),"Date field is not a date",IF(AND(OR(H48="Approved",H48="Approved with conditions"),OR(K48="",L48="")),"Approval evidence refs missing",IF(AND(I48="Active",H48&lt;&gt;"Approved",H48&lt;&gt;"Approved with conditions"),"Active without approved status",IF(AND(I48="Active",G48&lt;&gt;"Deployment and Operation",G48&lt;&gt;"Monitoring and Review"),"Active in wrong lifecycle stage",IF(AND(I48="Active",P48=""),"Active without UC-ID link",IF(AND(OR(J48="Yes",J48="Unsure"),M48=""),"Agent evidence ref missing",IF(AND(I48="Active",W48&lt;&gt;"Yes"),"Active without monitoring in place",IF(N48&lt;TODAY(),"Review overdue","Check refs against source")))))))))))))</f>
        <v/>
      </c>
      <c r="P48" s="22" t="n"/>
      <c r="Q48" s="22" t="n"/>
      <c r="R48" s="35" t="n"/>
      <c r="S48" s="35" t="n"/>
      <c r="T48" s="22" t="n"/>
      <c r="U48" s="22" t="n"/>
      <c r="V48" s="22" t="n"/>
      <c r="W48" s="22" t="n"/>
      <c r="X48" s="35" t="n"/>
      <c r="Y48" s="22" t="n"/>
      <c r="Z48" s="22" t="n"/>
      <c r="AA48" s="22" t="n"/>
    </row>
    <row r="49">
      <c r="A49" s="24" t="n"/>
      <c r="B49" s="24" t="n"/>
      <c r="C49" s="24" t="n"/>
      <c r="D49" s="24" t="n"/>
      <c r="E49" s="24" t="n"/>
      <c r="F49" s="24" t="n"/>
      <c r="G49" s="24" t="n"/>
      <c r="H49" s="24" t="n"/>
      <c r="I49" s="24" t="n"/>
      <c r="J49" s="24" t="n"/>
      <c r="K49" s="24" t="n"/>
      <c r="L49" s="24" t="n"/>
      <c r="M49" s="24" t="n"/>
      <c r="N49" s="36" t="n"/>
      <c r="O49" s="24">
        <f>IF(COUNTA(A49:N49,P49:AA49)=0,"",IF(TRIM(A49)="","AIR-ID missing",IF(SUMPRODUCT(--(TRIM($A$4:$A$206)=TRIM(A49)))&gt;1,"Duplicate AIR-ID",IF(OR(B49="",E49="",G49="",H49="",I49="",N49=""),"Required field missing (name, owner, stage, status or next review)",IF(NOT(ISNUMBER(N49)),"Next review is not a date",IF(OR(AND(R49&lt;&gt;"",NOT(ISNUMBER(R49))),AND(S49&lt;&gt;"",NOT(ISNUMBER(S49))),AND(X49&lt;&gt;"",NOT(ISNUMBER(X49)))),"Date field is not a date",IF(AND(OR(H49="Approved",H49="Approved with conditions"),OR(K49="",L49="")),"Approval evidence refs missing",IF(AND(I49="Active",H49&lt;&gt;"Approved",H49&lt;&gt;"Approved with conditions"),"Active without approved status",IF(AND(I49="Active",G49&lt;&gt;"Deployment and Operation",G49&lt;&gt;"Monitoring and Review"),"Active in wrong lifecycle stage",IF(AND(I49="Active",P49=""),"Active without UC-ID link",IF(AND(OR(J49="Yes",J49="Unsure"),M49=""),"Agent evidence ref missing",IF(AND(I49="Active",W49&lt;&gt;"Yes"),"Active without monitoring in place",IF(N49&lt;TODAY(),"Review overdue","Check refs against source")))))))))))))</f>
        <v/>
      </c>
      <c r="P49" s="24" t="n"/>
      <c r="Q49" s="24" t="n"/>
      <c r="R49" s="36" t="n"/>
      <c r="S49" s="36" t="n"/>
      <c r="T49" s="24" t="n"/>
      <c r="U49" s="24" t="n"/>
      <c r="V49" s="24" t="n"/>
      <c r="W49" s="24" t="n"/>
      <c r="X49" s="36" t="n"/>
      <c r="Y49" s="24" t="n"/>
      <c r="Z49" s="24" t="n"/>
      <c r="AA49" s="24" t="n"/>
    </row>
    <row r="50">
      <c r="A50" s="22" t="n"/>
      <c r="B50" s="22" t="n"/>
      <c r="C50" s="22" t="n"/>
      <c r="D50" s="22" t="n"/>
      <c r="E50" s="22" t="n"/>
      <c r="F50" s="22" t="n"/>
      <c r="G50" s="22" t="n"/>
      <c r="H50" s="22" t="n"/>
      <c r="I50" s="22" t="n"/>
      <c r="J50" s="22" t="n"/>
      <c r="K50" s="22" t="n"/>
      <c r="L50" s="22" t="n"/>
      <c r="M50" s="22" t="n"/>
      <c r="N50" s="35" t="n"/>
      <c r="O50" s="22">
        <f>IF(COUNTA(A50:N50,P50:AA50)=0,"",IF(TRIM(A50)="","AIR-ID missing",IF(SUMPRODUCT(--(TRIM($A$4:$A$206)=TRIM(A50)))&gt;1,"Duplicate AIR-ID",IF(OR(B50="",E50="",G50="",H50="",I50="",N50=""),"Required field missing (name, owner, stage, status or next review)",IF(NOT(ISNUMBER(N50)),"Next review is not a date",IF(OR(AND(R50&lt;&gt;"",NOT(ISNUMBER(R50))),AND(S50&lt;&gt;"",NOT(ISNUMBER(S50))),AND(X50&lt;&gt;"",NOT(ISNUMBER(X50)))),"Date field is not a date",IF(AND(OR(H50="Approved",H50="Approved with conditions"),OR(K50="",L50="")),"Approval evidence refs missing",IF(AND(I50="Active",H50&lt;&gt;"Approved",H50&lt;&gt;"Approved with conditions"),"Active without approved status",IF(AND(I50="Active",G50&lt;&gt;"Deployment and Operation",G50&lt;&gt;"Monitoring and Review"),"Active in wrong lifecycle stage",IF(AND(I50="Active",P50=""),"Active without UC-ID link",IF(AND(OR(J50="Yes",J50="Unsure"),M50=""),"Agent evidence ref missing",IF(AND(I50="Active",W50&lt;&gt;"Yes"),"Active without monitoring in place",IF(N50&lt;TODAY(),"Review overdue","Check refs against source")))))))))))))</f>
        <v/>
      </c>
      <c r="P50" s="22" t="n"/>
      <c r="Q50" s="22" t="n"/>
      <c r="R50" s="35" t="n"/>
      <c r="S50" s="35" t="n"/>
      <c r="T50" s="22" t="n"/>
      <c r="U50" s="22" t="n"/>
      <c r="V50" s="22" t="n"/>
      <c r="W50" s="22" t="n"/>
      <c r="X50" s="35" t="n"/>
      <c r="Y50" s="22" t="n"/>
      <c r="Z50" s="22" t="n"/>
      <c r="AA50" s="22" t="n"/>
    </row>
    <row r="51">
      <c r="A51" s="24" t="n"/>
      <c r="B51" s="24" t="n"/>
      <c r="C51" s="24" t="n"/>
      <c r="D51" s="24" t="n"/>
      <c r="E51" s="24" t="n"/>
      <c r="F51" s="24" t="n"/>
      <c r="G51" s="24" t="n"/>
      <c r="H51" s="24" t="n"/>
      <c r="I51" s="24" t="n"/>
      <c r="J51" s="24" t="n"/>
      <c r="K51" s="24" t="n"/>
      <c r="L51" s="24" t="n"/>
      <c r="M51" s="24" t="n"/>
      <c r="N51" s="36" t="n"/>
      <c r="O51" s="24">
        <f>IF(COUNTA(A51:N51,P51:AA51)=0,"",IF(TRIM(A51)="","AIR-ID missing",IF(SUMPRODUCT(--(TRIM($A$4:$A$206)=TRIM(A51)))&gt;1,"Duplicate AIR-ID",IF(OR(B51="",E51="",G51="",H51="",I51="",N51=""),"Required field missing (name, owner, stage, status or next review)",IF(NOT(ISNUMBER(N51)),"Next review is not a date",IF(OR(AND(R51&lt;&gt;"",NOT(ISNUMBER(R51))),AND(S51&lt;&gt;"",NOT(ISNUMBER(S51))),AND(X51&lt;&gt;"",NOT(ISNUMBER(X51)))),"Date field is not a date",IF(AND(OR(H51="Approved",H51="Approved with conditions"),OR(K51="",L51="")),"Approval evidence refs missing",IF(AND(I51="Active",H51&lt;&gt;"Approved",H51&lt;&gt;"Approved with conditions"),"Active without approved status",IF(AND(I51="Active",G51&lt;&gt;"Deployment and Operation",G51&lt;&gt;"Monitoring and Review"),"Active in wrong lifecycle stage",IF(AND(I51="Active",P51=""),"Active without UC-ID link",IF(AND(OR(J51="Yes",J51="Unsure"),M51=""),"Agent evidence ref missing",IF(AND(I51="Active",W51&lt;&gt;"Yes"),"Active without monitoring in place",IF(N51&lt;TODAY(),"Review overdue","Check refs against source")))))))))))))</f>
        <v/>
      </c>
      <c r="P51" s="24" t="n"/>
      <c r="Q51" s="24" t="n"/>
      <c r="R51" s="36" t="n"/>
      <c r="S51" s="36" t="n"/>
      <c r="T51" s="24" t="n"/>
      <c r="U51" s="24" t="n"/>
      <c r="V51" s="24" t="n"/>
      <c r="W51" s="24" t="n"/>
      <c r="X51" s="36" t="n"/>
      <c r="Y51" s="24" t="n"/>
      <c r="Z51" s="24" t="n"/>
      <c r="AA51" s="24" t="n"/>
    </row>
    <row r="52">
      <c r="A52" s="22" t="n"/>
      <c r="B52" s="22" t="n"/>
      <c r="C52" s="22" t="n"/>
      <c r="D52" s="22" t="n"/>
      <c r="E52" s="22" t="n"/>
      <c r="F52" s="22" t="n"/>
      <c r="G52" s="22" t="n"/>
      <c r="H52" s="22" t="n"/>
      <c r="I52" s="22" t="n"/>
      <c r="J52" s="22" t="n"/>
      <c r="K52" s="22" t="n"/>
      <c r="L52" s="22" t="n"/>
      <c r="M52" s="22" t="n"/>
      <c r="N52" s="35" t="n"/>
      <c r="O52" s="22">
        <f>IF(COUNTA(A52:N52,P52:AA52)=0,"",IF(TRIM(A52)="","AIR-ID missing",IF(SUMPRODUCT(--(TRIM($A$4:$A$206)=TRIM(A52)))&gt;1,"Duplicate AIR-ID",IF(OR(B52="",E52="",G52="",H52="",I52="",N52=""),"Required field missing (name, owner, stage, status or next review)",IF(NOT(ISNUMBER(N52)),"Next review is not a date",IF(OR(AND(R52&lt;&gt;"",NOT(ISNUMBER(R52))),AND(S52&lt;&gt;"",NOT(ISNUMBER(S52))),AND(X52&lt;&gt;"",NOT(ISNUMBER(X52)))),"Date field is not a date",IF(AND(OR(H52="Approved",H52="Approved with conditions"),OR(K52="",L52="")),"Approval evidence refs missing",IF(AND(I52="Active",H52&lt;&gt;"Approved",H52&lt;&gt;"Approved with conditions"),"Active without approved status",IF(AND(I52="Active",G52&lt;&gt;"Deployment and Operation",G52&lt;&gt;"Monitoring and Review"),"Active in wrong lifecycle stage",IF(AND(I52="Active",P52=""),"Active without UC-ID link",IF(AND(OR(J52="Yes",J52="Unsure"),M52=""),"Agent evidence ref missing",IF(AND(I52="Active",W52&lt;&gt;"Yes"),"Active without monitoring in place",IF(N52&lt;TODAY(),"Review overdue","Check refs against source")))))))))))))</f>
        <v/>
      </c>
      <c r="P52" s="22" t="n"/>
      <c r="Q52" s="22" t="n"/>
      <c r="R52" s="35" t="n"/>
      <c r="S52" s="35" t="n"/>
      <c r="T52" s="22" t="n"/>
      <c r="U52" s="22" t="n"/>
      <c r="V52" s="22" t="n"/>
      <c r="W52" s="22" t="n"/>
      <c r="X52" s="35" t="n"/>
      <c r="Y52" s="22" t="n"/>
      <c r="Z52" s="22" t="n"/>
      <c r="AA52" s="22" t="n"/>
    </row>
    <row r="53">
      <c r="A53" s="24" t="n"/>
      <c r="B53" s="24" t="n"/>
      <c r="C53" s="24" t="n"/>
      <c r="D53" s="24" t="n"/>
      <c r="E53" s="24" t="n"/>
      <c r="F53" s="24" t="n"/>
      <c r="G53" s="24" t="n"/>
      <c r="H53" s="24" t="n"/>
      <c r="I53" s="24" t="n"/>
      <c r="J53" s="24" t="n"/>
      <c r="K53" s="24" t="n"/>
      <c r="L53" s="24" t="n"/>
      <c r="M53" s="24" t="n"/>
      <c r="N53" s="36" t="n"/>
      <c r="O53" s="24">
        <f>IF(COUNTA(A53:N53,P53:AA53)=0,"",IF(TRIM(A53)="","AIR-ID missing",IF(SUMPRODUCT(--(TRIM($A$4:$A$206)=TRIM(A53)))&gt;1,"Duplicate AIR-ID",IF(OR(B53="",E53="",G53="",H53="",I53="",N53=""),"Required field missing (name, owner, stage, status or next review)",IF(NOT(ISNUMBER(N53)),"Next review is not a date",IF(OR(AND(R53&lt;&gt;"",NOT(ISNUMBER(R53))),AND(S53&lt;&gt;"",NOT(ISNUMBER(S53))),AND(X53&lt;&gt;"",NOT(ISNUMBER(X53)))),"Date field is not a date",IF(AND(OR(H53="Approved",H53="Approved with conditions"),OR(K53="",L53="")),"Approval evidence refs missing",IF(AND(I53="Active",H53&lt;&gt;"Approved",H53&lt;&gt;"Approved with conditions"),"Active without approved status",IF(AND(I53="Active",G53&lt;&gt;"Deployment and Operation",G53&lt;&gt;"Monitoring and Review"),"Active in wrong lifecycle stage",IF(AND(I53="Active",P53=""),"Active without UC-ID link",IF(AND(OR(J53="Yes",J53="Unsure"),M53=""),"Agent evidence ref missing",IF(AND(I53="Active",W53&lt;&gt;"Yes"),"Active without monitoring in place",IF(N53&lt;TODAY(),"Review overdue","Check refs against source")))))))))))))</f>
        <v/>
      </c>
      <c r="P53" s="24" t="n"/>
      <c r="Q53" s="24" t="n"/>
      <c r="R53" s="36" t="n"/>
      <c r="S53" s="36" t="n"/>
      <c r="T53" s="24" t="n"/>
      <c r="U53" s="24" t="n"/>
      <c r="V53" s="24" t="n"/>
      <c r="W53" s="24" t="n"/>
      <c r="X53" s="36" t="n"/>
      <c r="Y53" s="24" t="n"/>
      <c r="Z53" s="24" t="n"/>
      <c r="AA53" s="24" t="n"/>
    </row>
    <row r="54">
      <c r="A54" s="22" t="n"/>
      <c r="B54" s="22" t="n"/>
      <c r="C54" s="22" t="n"/>
      <c r="D54" s="22" t="n"/>
      <c r="E54" s="22" t="n"/>
      <c r="F54" s="22" t="n"/>
      <c r="G54" s="22" t="n"/>
      <c r="H54" s="22" t="n"/>
      <c r="I54" s="22" t="n"/>
      <c r="J54" s="22" t="n"/>
      <c r="K54" s="22" t="n"/>
      <c r="L54" s="22" t="n"/>
      <c r="M54" s="22" t="n"/>
      <c r="N54" s="35" t="n"/>
      <c r="O54" s="22">
        <f>IF(COUNTA(A54:N54,P54:AA54)=0,"",IF(TRIM(A54)="","AIR-ID missing",IF(SUMPRODUCT(--(TRIM($A$4:$A$206)=TRIM(A54)))&gt;1,"Duplicate AIR-ID",IF(OR(B54="",E54="",G54="",H54="",I54="",N54=""),"Required field missing (name, owner, stage, status or next review)",IF(NOT(ISNUMBER(N54)),"Next review is not a date",IF(OR(AND(R54&lt;&gt;"",NOT(ISNUMBER(R54))),AND(S54&lt;&gt;"",NOT(ISNUMBER(S54))),AND(X54&lt;&gt;"",NOT(ISNUMBER(X54)))),"Date field is not a date",IF(AND(OR(H54="Approved",H54="Approved with conditions"),OR(K54="",L54="")),"Approval evidence refs missing",IF(AND(I54="Active",H54&lt;&gt;"Approved",H54&lt;&gt;"Approved with conditions"),"Active without approved status",IF(AND(I54="Active",G54&lt;&gt;"Deployment and Operation",G54&lt;&gt;"Monitoring and Review"),"Active in wrong lifecycle stage",IF(AND(I54="Active",P54=""),"Active without UC-ID link",IF(AND(OR(J54="Yes",J54="Unsure"),M54=""),"Agent evidence ref missing",IF(AND(I54="Active",W54&lt;&gt;"Yes"),"Active without monitoring in place",IF(N54&lt;TODAY(),"Review overdue","Check refs against source")))))))))))))</f>
        <v/>
      </c>
      <c r="P54" s="22" t="n"/>
      <c r="Q54" s="22" t="n"/>
      <c r="R54" s="35" t="n"/>
      <c r="S54" s="35" t="n"/>
      <c r="T54" s="22" t="n"/>
      <c r="U54" s="22" t="n"/>
      <c r="V54" s="22" t="n"/>
      <c r="W54" s="22" t="n"/>
      <c r="X54" s="35" t="n"/>
      <c r="Y54" s="22" t="n"/>
      <c r="Z54" s="22" t="n"/>
      <c r="AA54" s="22" t="n"/>
    </row>
    <row r="55">
      <c r="A55" s="24" t="n"/>
      <c r="B55" s="24" t="n"/>
      <c r="C55" s="24" t="n"/>
      <c r="D55" s="24" t="n"/>
      <c r="E55" s="24" t="n"/>
      <c r="F55" s="24" t="n"/>
      <c r="G55" s="24" t="n"/>
      <c r="H55" s="24" t="n"/>
      <c r="I55" s="24" t="n"/>
      <c r="J55" s="24" t="n"/>
      <c r="K55" s="24" t="n"/>
      <c r="L55" s="24" t="n"/>
      <c r="M55" s="24" t="n"/>
      <c r="N55" s="36" t="n"/>
      <c r="O55" s="24">
        <f>IF(COUNTA(A55:N55,P55:AA55)=0,"",IF(TRIM(A55)="","AIR-ID missing",IF(SUMPRODUCT(--(TRIM($A$4:$A$206)=TRIM(A55)))&gt;1,"Duplicate AIR-ID",IF(OR(B55="",E55="",G55="",H55="",I55="",N55=""),"Required field missing (name, owner, stage, status or next review)",IF(NOT(ISNUMBER(N55)),"Next review is not a date",IF(OR(AND(R55&lt;&gt;"",NOT(ISNUMBER(R55))),AND(S55&lt;&gt;"",NOT(ISNUMBER(S55))),AND(X55&lt;&gt;"",NOT(ISNUMBER(X55)))),"Date field is not a date",IF(AND(OR(H55="Approved",H55="Approved with conditions"),OR(K55="",L55="")),"Approval evidence refs missing",IF(AND(I55="Active",H55&lt;&gt;"Approved",H55&lt;&gt;"Approved with conditions"),"Active without approved status",IF(AND(I55="Active",G55&lt;&gt;"Deployment and Operation",G55&lt;&gt;"Monitoring and Review"),"Active in wrong lifecycle stage",IF(AND(I55="Active",P55=""),"Active without UC-ID link",IF(AND(OR(J55="Yes",J55="Unsure"),M55=""),"Agent evidence ref missing",IF(AND(I55="Active",W55&lt;&gt;"Yes"),"Active without monitoring in place",IF(N55&lt;TODAY(),"Review overdue","Check refs against source")))))))))))))</f>
        <v/>
      </c>
      <c r="P55" s="24" t="n"/>
      <c r="Q55" s="24" t="n"/>
      <c r="R55" s="36" t="n"/>
      <c r="S55" s="36" t="n"/>
      <c r="T55" s="24" t="n"/>
      <c r="U55" s="24" t="n"/>
      <c r="V55" s="24" t="n"/>
      <c r="W55" s="24" t="n"/>
      <c r="X55" s="36" t="n"/>
      <c r="Y55" s="24" t="n"/>
      <c r="Z55" s="24" t="n"/>
      <c r="AA55" s="24" t="n"/>
    </row>
    <row r="56">
      <c r="A56" s="22" t="n"/>
      <c r="B56" s="22" t="n"/>
      <c r="C56" s="22" t="n"/>
      <c r="D56" s="22" t="n"/>
      <c r="E56" s="22" t="n"/>
      <c r="F56" s="22" t="n"/>
      <c r="G56" s="22" t="n"/>
      <c r="H56" s="22" t="n"/>
      <c r="I56" s="22" t="n"/>
      <c r="J56" s="22" t="n"/>
      <c r="K56" s="22" t="n"/>
      <c r="L56" s="22" t="n"/>
      <c r="M56" s="22" t="n"/>
      <c r="N56" s="35" t="n"/>
      <c r="O56" s="22">
        <f>IF(COUNTA(A56:N56,P56:AA56)=0,"",IF(TRIM(A56)="","AIR-ID missing",IF(SUMPRODUCT(--(TRIM($A$4:$A$206)=TRIM(A56)))&gt;1,"Duplicate AIR-ID",IF(OR(B56="",E56="",G56="",H56="",I56="",N56=""),"Required field missing (name, owner, stage, status or next review)",IF(NOT(ISNUMBER(N56)),"Next review is not a date",IF(OR(AND(R56&lt;&gt;"",NOT(ISNUMBER(R56))),AND(S56&lt;&gt;"",NOT(ISNUMBER(S56))),AND(X56&lt;&gt;"",NOT(ISNUMBER(X56)))),"Date field is not a date",IF(AND(OR(H56="Approved",H56="Approved with conditions"),OR(K56="",L56="")),"Approval evidence refs missing",IF(AND(I56="Active",H56&lt;&gt;"Approved",H56&lt;&gt;"Approved with conditions"),"Active without approved status",IF(AND(I56="Active",G56&lt;&gt;"Deployment and Operation",G56&lt;&gt;"Monitoring and Review"),"Active in wrong lifecycle stage",IF(AND(I56="Active",P56=""),"Active without UC-ID link",IF(AND(OR(J56="Yes",J56="Unsure"),M56=""),"Agent evidence ref missing",IF(AND(I56="Active",W56&lt;&gt;"Yes"),"Active without monitoring in place",IF(N56&lt;TODAY(),"Review overdue","Check refs against source")))))))))))))</f>
        <v/>
      </c>
      <c r="P56" s="22" t="n"/>
      <c r="Q56" s="22" t="n"/>
      <c r="R56" s="35" t="n"/>
      <c r="S56" s="35" t="n"/>
      <c r="T56" s="22" t="n"/>
      <c r="U56" s="22" t="n"/>
      <c r="V56" s="22" t="n"/>
      <c r="W56" s="22" t="n"/>
      <c r="X56" s="35" t="n"/>
      <c r="Y56" s="22" t="n"/>
      <c r="Z56" s="22" t="n"/>
      <c r="AA56" s="22" t="n"/>
    </row>
    <row r="57">
      <c r="A57" s="24" t="n"/>
      <c r="B57" s="24" t="n"/>
      <c r="C57" s="24" t="n"/>
      <c r="D57" s="24" t="n"/>
      <c r="E57" s="24" t="n"/>
      <c r="F57" s="24" t="n"/>
      <c r="G57" s="24" t="n"/>
      <c r="H57" s="24" t="n"/>
      <c r="I57" s="24" t="n"/>
      <c r="J57" s="24" t="n"/>
      <c r="K57" s="24" t="n"/>
      <c r="L57" s="24" t="n"/>
      <c r="M57" s="24" t="n"/>
      <c r="N57" s="36" t="n"/>
      <c r="O57" s="24">
        <f>IF(COUNTA(A57:N57,P57:AA57)=0,"",IF(TRIM(A57)="","AIR-ID missing",IF(SUMPRODUCT(--(TRIM($A$4:$A$206)=TRIM(A57)))&gt;1,"Duplicate AIR-ID",IF(OR(B57="",E57="",G57="",H57="",I57="",N57=""),"Required field missing (name, owner, stage, status or next review)",IF(NOT(ISNUMBER(N57)),"Next review is not a date",IF(OR(AND(R57&lt;&gt;"",NOT(ISNUMBER(R57))),AND(S57&lt;&gt;"",NOT(ISNUMBER(S57))),AND(X57&lt;&gt;"",NOT(ISNUMBER(X57)))),"Date field is not a date",IF(AND(OR(H57="Approved",H57="Approved with conditions"),OR(K57="",L57="")),"Approval evidence refs missing",IF(AND(I57="Active",H57&lt;&gt;"Approved",H57&lt;&gt;"Approved with conditions"),"Active without approved status",IF(AND(I57="Active",G57&lt;&gt;"Deployment and Operation",G57&lt;&gt;"Monitoring and Review"),"Active in wrong lifecycle stage",IF(AND(I57="Active",P57=""),"Active without UC-ID link",IF(AND(OR(J57="Yes",J57="Unsure"),M57=""),"Agent evidence ref missing",IF(AND(I57="Active",W57&lt;&gt;"Yes"),"Active without monitoring in place",IF(N57&lt;TODAY(),"Review overdue","Check refs against source")))))))))))))</f>
        <v/>
      </c>
      <c r="P57" s="24" t="n"/>
      <c r="Q57" s="24" t="n"/>
      <c r="R57" s="36" t="n"/>
      <c r="S57" s="36" t="n"/>
      <c r="T57" s="24" t="n"/>
      <c r="U57" s="24" t="n"/>
      <c r="V57" s="24" t="n"/>
      <c r="W57" s="24" t="n"/>
      <c r="X57" s="36" t="n"/>
      <c r="Y57" s="24" t="n"/>
      <c r="Z57" s="24" t="n"/>
      <c r="AA57" s="24" t="n"/>
    </row>
    <row r="58">
      <c r="A58" s="22" t="n"/>
      <c r="B58" s="22" t="n"/>
      <c r="C58" s="22" t="n"/>
      <c r="D58" s="22" t="n"/>
      <c r="E58" s="22" t="n"/>
      <c r="F58" s="22" t="n"/>
      <c r="G58" s="22" t="n"/>
      <c r="H58" s="22" t="n"/>
      <c r="I58" s="22" t="n"/>
      <c r="J58" s="22" t="n"/>
      <c r="K58" s="22" t="n"/>
      <c r="L58" s="22" t="n"/>
      <c r="M58" s="22" t="n"/>
      <c r="N58" s="35" t="n"/>
      <c r="O58" s="22">
        <f>IF(COUNTA(A58:N58,P58:AA58)=0,"",IF(TRIM(A58)="","AIR-ID missing",IF(SUMPRODUCT(--(TRIM($A$4:$A$206)=TRIM(A58)))&gt;1,"Duplicate AIR-ID",IF(OR(B58="",E58="",G58="",H58="",I58="",N58=""),"Required field missing (name, owner, stage, status or next review)",IF(NOT(ISNUMBER(N58)),"Next review is not a date",IF(OR(AND(R58&lt;&gt;"",NOT(ISNUMBER(R58))),AND(S58&lt;&gt;"",NOT(ISNUMBER(S58))),AND(X58&lt;&gt;"",NOT(ISNUMBER(X58)))),"Date field is not a date",IF(AND(OR(H58="Approved",H58="Approved with conditions"),OR(K58="",L58="")),"Approval evidence refs missing",IF(AND(I58="Active",H58&lt;&gt;"Approved",H58&lt;&gt;"Approved with conditions"),"Active without approved status",IF(AND(I58="Active",G58&lt;&gt;"Deployment and Operation",G58&lt;&gt;"Monitoring and Review"),"Active in wrong lifecycle stage",IF(AND(I58="Active",P58=""),"Active without UC-ID link",IF(AND(OR(J58="Yes",J58="Unsure"),M58=""),"Agent evidence ref missing",IF(AND(I58="Active",W58&lt;&gt;"Yes"),"Active without monitoring in place",IF(N58&lt;TODAY(),"Review overdue","Check refs against source")))))))))))))</f>
        <v/>
      </c>
      <c r="P58" s="22" t="n"/>
      <c r="Q58" s="22" t="n"/>
      <c r="R58" s="35" t="n"/>
      <c r="S58" s="35" t="n"/>
      <c r="T58" s="22" t="n"/>
      <c r="U58" s="22" t="n"/>
      <c r="V58" s="22" t="n"/>
      <c r="W58" s="22" t="n"/>
      <c r="X58" s="35" t="n"/>
      <c r="Y58" s="22" t="n"/>
      <c r="Z58" s="22" t="n"/>
      <c r="AA58" s="22" t="n"/>
    </row>
    <row r="59">
      <c r="A59" s="24" t="n"/>
      <c r="B59" s="24" t="n"/>
      <c r="C59" s="24" t="n"/>
      <c r="D59" s="24" t="n"/>
      <c r="E59" s="24" t="n"/>
      <c r="F59" s="24" t="n"/>
      <c r="G59" s="24" t="n"/>
      <c r="H59" s="24" t="n"/>
      <c r="I59" s="24" t="n"/>
      <c r="J59" s="24" t="n"/>
      <c r="K59" s="24" t="n"/>
      <c r="L59" s="24" t="n"/>
      <c r="M59" s="24" t="n"/>
      <c r="N59" s="36" t="n"/>
      <c r="O59" s="24">
        <f>IF(COUNTA(A59:N59,P59:AA59)=0,"",IF(TRIM(A59)="","AIR-ID missing",IF(SUMPRODUCT(--(TRIM($A$4:$A$206)=TRIM(A59)))&gt;1,"Duplicate AIR-ID",IF(OR(B59="",E59="",G59="",H59="",I59="",N59=""),"Required field missing (name, owner, stage, status or next review)",IF(NOT(ISNUMBER(N59)),"Next review is not a date",IF(OR(AND(R59&lt;&gt;"",NOT(ISNUMBER(R59))),AND(S59&lt;&gt;"",NOT(ISNUMBER(S59))),AND(X59&lt;&gt;"",NOT(ISNUMBER(X59)))),"Date field is not a date",IF(AND(OR(H59="Approved",H59="Approved with conditions"),OR(K59="",L59="")),"Approval evidence refs missing",IF(AND(I59="Active",H59&lt;&gt;"Approved",H59&lt;&gt;"Approved with conditions"),"Active without approved status",IF(AND(I59="Active",G59&lt;&gt;"Deployment and Operation",G59&lt;&gt;"Monitoring and Review"),"Active in wrong lifecycle stage",IF(AND(I59="Active",P59=""),"Active without UC-ID link",IF(AND(OR(J59="Yes",J59="Unsure"),M59=""),"Agent evidence ref missing",IF(AND(I59="Active",W59&lt;&gt;"Yes"),"Active without monitoring in place",IF(N59&lt;TODAY(),"Review overdue","Check refs against source")))))))))))))</f>
        <v/>
      </c>
      <c r="P59" s="24" t="n"/>
      <c r="Q59" s="24" t="n"/>
      <c r="R59" s="36" t="n"/>
      <c r="S59" s="36" t="n"/>
      <c r="T59" s="24" t="n"/>
      <c r="U59" s="24" t="n"/>
      <c r="V59" s="24" t="n"/>
      <c r="W59" s="24" t="n"/>
      <c r="X59" s="36" t="n"/>
      <c r="Y59" s="24" t="n"/>
      <c r="Z59" s="24" t="n"/>
      <c r="AA59" s="24" t="n"/>
    </row>
    <row r="60">
      <c r="A60" s="22" t="n"/>
      <c r="B60" s="22" t="n"/>
      <c r="C60" s="22" t="n"/>
      <c r="D60" s="22" t="n"/>
      <c r="E60" s="22" t="n"/>
      <c r="F60" s="22" t="n"/>
      <c r="G60" s="22" t="n"/>
      <c r="H60" s="22" t="n"/>
      <c r="I60" s="22" t="n"/>
      <c r="J60" s="22" t="n"/>
      <c r="K60" s="22" t="n"/>
      <c r="L60" s="22" t="n"/>
      <c r="M60" s="22" t="n"/>
      <c r="N60" s="35" t="n"/>
      <c r="O60" s="22">
        <f>IF(COUNTA(A60:N60,P60:AA60)=0,"",IF(TRIM(A60)="","AIR-ID missing",IF(SUMPRODUCT(--(TRIM($A$4:$A$206)=TRIM(A60)))&gt;1,"Duplicate AIR-ID",IF(OR(B60="",E60="",G60="",H60="",I60="",N60=""),"Required field missing (name, owner, stage, status or next review)",IF(NOT(ISNUMBER(N60)),"Next review is not a date",IF(OR(AND(R60&lt;&gt;"",NOT(ISNUMBER(R60))),AND(S60&lt;&gt;"",NOT(ISNUMBER(S60))),AND(X60&lt;&gt;"",NOT(ISNUMBER(X60)))),"Date field is not a date",IF(AND(OR(H60="Approved",H60="Approved with conditions"),OR(K60="",L60="")),"Approval evidence refs missing",IF(AND(I60="Active",H60&lt;&gt;"Approved",H60&lt;&gt;"Approved with conditions"),"Active without approved status",IF(AND(I60="Active",G60&lt;&gt;"Deployment and Operation",G60&lt;&gt;"Monitoring and Review"),"Active in wrong lifecycle stage",IF(AND(I60="Active",P60=""),"Active without UC-ID link",IF(AND(OR(J60="Yes",J60="Unsure"),M60=""),"Agent evidence ref missing",IF(AND(I60="Active",W60&lt;&gt;"Yes"),"Active without monitoring in place",IF(N60&lt;TODAY(),"Review overdue","Check refs against source")))))))))))))</f>
        <v/>
      </c>
      <c r="P60" s="22" t="n"/>
      <c r="Q60" s="22" t="n"/>
      <c r="R60" s="35" t="n"/>
      <c r="S60" s="35" t="n"/>
      <c r="T60" s="22" t="n"/>
      <c r="U60" s="22" t="n"/>
      <c r="V60" s="22" t="n"/>
      <c r="W60" s="22" t="n"/>
      <c r="X60" s="35" t="n"/>
      <c r="Y60" s="22" t="n"/>
      <c r="Z60" s="22" t="n"/>
      <c r="AA60" s="22" t="n"/>
    </row>
    <row r="61">
      <c r="A61" s="24" t="n"/>
      <c r="B61" s="24" t="n"/>
      <c r="C61" s="24" t="n"/>
      <c r="D61" s="24" t="n"/>
      <c r="E61" s="24" t="n"/>
      <c r="F61" s="24" t="n"/>
      <c r="G61" s="24" t="n"/>
      <c r="H61" s="24" t="n"/>
      <c r="I61" s="24" t="n"/>
      <c r="J61" s="24" t="n"/>
      <c r="K61" s="24" t="n"/>
      <c r="L61" s="24" t="n"/>
      <c r="M61" s="24" t="n"/>
      <c r="N61" s="36" t="n"/>
      <c r="O61" s="24">
        <f>IF(COUNTA(A61:N61,P61:AA61)=0,"",IF(TRIM(A61)="","AIR-ID missing",IF(SUMPRODUCT(--(TRIM($A$4:$A$206)=TRIM(A61)))&gt;1,"Duplicate AIR-ID",IF(OR(B61="",E61="",G61="",H61="",I61="",N61=""),"Required field missing (name, owner, stage, status or next review)",IF(NOT(ISNUMBER(N61)),"Next review is not a date",IF(OR(AND(R61&lt;&gt;"",NOT(ISNUMBER(R61))),AND(S61&lt;&gt;"",NOT(ISNUMBER(S61))),AND(X61&lt;&gt;"",NOT(ISNUMBER(X61)))),"Date field is not a date",IF(AND(OR(H61="Approved",H61="Approved with conditions"),OR(K61="",L61="")),"Approval evidence refs missing",IF(AND(I61="Active",H61&lt;&gt;"Approved",H61&lt;&gt;"Approved with conditions"),"Active without approved status",IF(AND(I61="Active",G61&lt;&gt;"Deployment and Operation",G61&lt;&gt;"Monitoring and Review"),"Active in wrong lifecycle stage",IF(AND(I61="Active",P61=""),"Active without UC-ID link",IF(AND(OR(J61="Yes",J61="Unsure"),M61=""),"Agent evidence ref missing",IF(AND(I61="Active",W61&lt;&gt;"Yes"),"Active without monitoring in place",IF(N61&lt;TODAY(),"Review overdue","Check refs against source")))))))))))))</f>
        <v/>
      </c>
      <c r="P61" s="24" t="n"/>
      <c r="Q61" s="24" t="n"/>
      <c r="R61" s="36" t="n"/>
      <c r="S61" s="36" t="n"/>
      <c r="T61" s="24" t="n"/>
      <c r="U61" s="24" t="n"/>
      <c r="V61" s="24" t="n"/>
      <c r="W61" s="24" t="n"/>
      <c r="X61" s="36" t="n"/>
      <c r="Y61" s="24" t="n"/>
      <c r="Z61" s="24" t="n"/>
      <c r="AA61" s="24" t="n"/>
    </row>
    <row r="62">
      <c r="A62" s="22" t="n"/>
      <c r="B62" s="22" t="n"/>
      <c r="C62" s="22" t="n"/>
      <c r="D62" s="22" t="n"/>
      <c r="E62" s="22" t="n"/>
      <c r="F62" s="22" t="n"/>
      <c r="G62" s="22" t="n"/>
      <c r="H62" s="22" t="n"/>
      <c r="I62" s="22" t="n"/>
      <c r="J62" s="22" t="n"/>
      <c r="K62" s="22" t="n"/>
      <c r="L62" s="22" t="n"/>
      <c r="M62" s="22" t="n"/>
      <c r="N62" s="35" t="n"/>
      <c r="O62" s="22">
        <f>IF(COUNTA(A62:N62,P62:AA62)=0,"",IF(TRIM(A62)="","AIR-ID missing",IF(SUMPRODUCT(--(TRIM($A$4:$A$206)=TRIM(A62)))&gt;1,"Duplicate AIR-ID",IF(OR(B62="",E62="",G62="",H62="",I62="",N62=""),"Required field missing (name, owner, stage, status or next review)",IF(NOT(ISNUMBER(N62)),"Next review is not a date",IF(OR(AND(R62&lt;&gt;"",NOT(ISNUMBER(R62))),AND(S62&lt;&gt;"",NOT(ISNUMBER(S62))),AND(X62&lt;&gt;"",NOT(ISNUMBER(X62)))),"Date field is not a date",IF(AND(OR(H62="Approved",H62="Approved with conditions"),OR(K62="",L62="")),"Approval evidence refs missing",IF(AND(I62="Active",H62&lt;&gt;"Approved",H62&lt;&gt;"Approved with conditions"),"Active without approved status",IF(AND(I62="Active",G62&lt;&gt;"Deployment and Operation",G62&lt;&gt;"Monitoring and Review"),"Active in wrong lifecycle stage",IF(AND(I62="Active",P62=""),"Active without UC-ID link",IF(AND(OR(J62="Yes",J62="Unsure"),M62=""),"Agent evidence ref missing",IF(AND(I62="Active",W62&lt;&gt;"Yes"),"Active without monitoring in place",IF(N62&lt;TODAY(),"Review overdue","Check refs against source")))))))))))))</f>
        <v/>
      </c>
      <c r="P62" s="22" t="n"/>
      <c r="Q62" s="22" t="n"/>
      <c r="R62" s="35" t="n"/>
      <c r="S62" s="35" t="n"/>
      <c r="T62" s="22" t="n"/>
      <c r="U62" s="22" t="n"/>
      <c r="V62" s="22" t="n"/>
      <c r="W62" s="22" t="n"/>
      <c r="X62" s="35" t="n"/>
      <c r="Y62" s="22" t="n"/>
      <c r="Z62" s="22" t="n"/>
      <c r="AA62" s="22" t="n"/>
    </row>
    <row r="63">
      <c r="A63" s="24" t="n"/>
      <c r="B63" s="24" t="n"/>
      <c r="C63" s="24" t="n"/>
      <c r="D63" s="24" t="n"/>
      <c r="E63" s="24" t="n"/>
      <c r="F63" s="24" t="n"/>
      <c r="G63" s="24" t="n"/>
      <c r="H63" s="24" t="n"/>
      <c r="I63" s="24" t="n"/>
      <c r="J63" s="24" t="n"/>
      <c r="K63" s="24" t="n"/>
      <c r="L63" s="24" t="n"/>
      <c r="M63" s="24" t="n"/>
      <c r="N63" s="36" t="n"/>
      <c r="O63" s="24">
        <f>IF(COUNTA(A63:N63,P63:AA63)=0,"",IF(TRIM(A63)="","AIR-ID missing",IF(SUMPRODUCT(--(TRIM($A$4:$A$206)=TRIM(A63)))&gt;1,"Duplicate AIR-ID",IF(OR(B63="",E63="",G63="",H63="",I63="",N63=""),"Required field missing (name, owner, stage, status or next review)",IF(NOT(ISNUMBER(N63)),"Next review is not a date",IF(OR(AND(R63&lt;&gt;"",NOT(ISNUMBER(R63))),AND(S63&lt;&gt;"",NOT(ISNUMBER(S63))),AND(X63&lt;&gt;"",NOT(ISNUMBER(X63)))),"Date field is not a date",IF(AND(OR(H63="Approved",H63="Approved with conditions"),OR(K63="",L63="")),"Approval evidence refs missing",IF(AND(I63="Active",H63&lt;&gt;"Approved",H63&lt;&gt;"Approved with conditions"),"Active without approved status",IF(AND(I63="Active",G63&lt;&gt;"Deployment and Operation",G63&lt;&gt;"Monitoring and Review"),"Active in wrong lifecycle stage",IF(AND(I63="Active",P63=""),"Active without UC-ID link",IF(AND(OR(J63="Yes",J63="Unsure"),M63=""),"Agent evidence ref missing",IF(AND(I63="Active",W63&lt;&gt;"Yes"),"Active without monitoring in place",IF(N63&lt;TODAY(),"Review overdue","Check refs against source")))))))))))))</f>
        <v/>
      </c>
      <c r="P63" s="24" t="n"/>
      <c r="Q63" s="24" t="n"/>
      <c r="R63" s="36" t="n"/>
      <c r="S63" s="36" t="n"/>
      <c r="T63" s="24" t="n"/>
      <c r="U63" s="24" t="n"/>
      <c r="V63" s="24" t="n"/>
      <c r="W63" s="24" t="n"/>
      <c r="X63" s="36" t="n"/>
      <c r="Y63" s="24" t="n"/>
      <c r="Z63" s="24" t="n"/>
      <c r="AA63" s="24" t="n"/>
    </row>
    <row r="64">
      <c r="A64" s="22" t="n"/>
      <c r="B64" s="22" t="n"/>
      <c r="C64" s="22" t="n"/>
      <c r="D64" s="22" t="n"/>
      <c r="E64" s="22" t="n"/>
      <c r="F64" s="22" t="n"/>
      <c r="G64" s="22" t="n"/>
      <c r="H64" s="22" t="n"/>
      <c r="I64" s="22" t="n"/>
      <c r="J64" s="22" t="n"/>
      <c r="K64" s="22" t="n"/>
      <c r="L64" s="22" t="n"/>
      <c r="M64" s="22" t="n"/>
      <c r="N64" s="35" t="n"/>
      <c r="O64" s="22">
        <f>IF(COUNTA(A64:N64,P64:AA64)=0,"",IF(TRIM(A64)="","AIR-ID missing",IF(SUMPRODUCT(--(TRIM($A$4:$A$206)=TRIM(A64)))&gt;1,"Duplicate AIR-ID",IF(OR(B64="",E64="",G64="",H64="",I64="",N64=""),"Required field missing (name, owner, stage, status or next review)",IF(NOT(ISNUMBER(N64)),"Next review is not a date",IF(OR(AND(R64&lt;&gt;"",NOT(ISNUMBER(R64))),AND(S64&lt;&gt;"",NOT(ISNUMBER(S64))),AND(X64&lt;&gt;"",NOT(ISNUMBER(X64)))),"Date field is not a date",IF(AND(OR(H64="Approved",H64="Approved with conditions"),OR(K64="",L64="")),"Approval evidence refs missing",IF(AND(I64="Active",H64&lt;&gt;"Approved",H64&lt;&gt;"Approved with conditions"),"Active without approved status",IF(AND(I64="Active",G64&lt;&gt;"Deployment and Operation",G64&lt;&gt;"Monitoring and Review"),"Active in wrong lifecycle stage",IF(AND(I64="Active",P64=""),"Active without UC-ID link",IF(AND(OR(J64="Yes",J64="Unsure"),M64=""),"Agent evidence ref missing",IF(AND(I64="Active",W64&lt;&gt;"Yes"),"Active without monitoring in place",IF(N64&lt;TODAY(),"Review overdue","Check refs against source")))))))))))))</f>
        <v/>
      </c>
      <c r="P64" s="22" t="n"/>
      <c r="Q64" s="22" t="n"/>
      <c r="R64" s="35" t="n"/>
      <c r="S64" s="35" t="n"/>
      <c r="T64" s="22" t="n"/>
      <c r="U64" s="22" t="n"/>
      <c r="V64" s="22" t="n"/>
      <c r="W64" s="22" t="n"/>
      <c r="X64" s="35" t="n"/>
      <c r="Y64" s="22" t="n"/>
      <c r="Z64" s="22" t="n"/>
      <c r="AA64" s="22" t="n"/>
    </row>
    <row r="65">
      <c r="A65" s="24" t="n"/>
      <c r="B65" s="24" t="n"/>
      <c r="C65" s="24" t="n"/>
      <c r="D65" s="24" t="n"/>
      <c r="E65" s="24" t="n"/>
      <c r="F65" s="24" t="n"/>
      <c r="G65" s="24" t="n"/>
      <c r="H65" s="24" t="n"/>
      <c r="I65" s="24" t="n"/>
      <c r="J65" s="24" t="n"/>
      <c r="K65" s="24" t="n"/>
      <c r="L65" s="24" t="n"/>
      <c r="M65" s="24" t="n"/>
      <c r="N65" s="36" t="n"/>
      <c r="O65" s="24">
        <f>IF(COUNTA(A65:N65,P65:AA65)=0,"",IF(TRIM(A65)="","AIR-ID missing",IF(SUMPRODUCT(--(TRIM($A$4:$A$206)=TRIM(A65)))&gt;1,"Duplicate AIR-ID",IF(OR(B65="",E65="",G65="",H65="",I65="",N65=""),"Required field missing (name, owner, stage, status or next review)",IF(NOT(ISNUMBER(N65)),"Next review is not a date",IF(OR(AND(R65&lt;&gt;"",NOT(ISNUMBER(R65))),AND(S65&lt;&gt;"",NOT(ISNUMBER(S65))),AND(X65&lt;&gt;"",NOT(ISNUMBER(X65)))),"Date field is not a date",IF(AND(OR(H65="Approved",H65="Approved with conditions"),OR(K65="",L65="")),"Approval evidence refs missing",IF(AND(I65="Active",H65&lt;&gt;"Approved",H65&lt;&gt;"Approved with conditions"),"Active without approved status",IF(AND(I65="Active",G65&lt;&gt;"Deployment and Operation",G65&lt;&gt;"Monitoring and Review"),"Active in wrong lifecycle stage",IF(AND(I65="Active",P65=""),"Active without UC-ID link",IF(AND(OR(J65="Yes",J65="Unsure"),M65=""),"Agent evidence ref missing",IF(AND(I65="Active",W65&lt;&gt;"Yes"),"Active without monitoring in place",IF(N65&lt;TODAY(),"Review overdue","Check refs against source")))))))))))))</f>
        <v/>
      </c>
      <c r="P65" s="24" t="n"/>
      <c r="Q65" s="24" t="n"/>
      <c r="R65" s="36" t="n"/>
      <c r="S65" s="36" t="n"/>
      <c r="T65" s="24" t="n"/>
      <c r="U65" s="24" t="n"/>
      <c r="V65" s="24" t="n"/>
      <c r="W65" s="24" t="n"/>
      <c r="X65" s="36" t="n"/>
      <c r="Y65" s="24" t="n"/>
      <c r="Z65" s="24" t="n"/>
      <c r="AA65" s="24" t="n"/>
    </row>
    <row r="66">
      <c r="A66" s="22" t="n"/>
      <c r="B66" s="22" t="n"/>
      <c r="C66" s="22" t="n"/>
      <c r="D66" s="22" t="n"/>
      <c r="E66" s="22" t="n"/>
      <c r="F66" s="22" t="n"/>
      <c r="G66" s="22" t="n"/>
      <c r="H66" s="22" t="n"/>
      <c r="I66" s="22" t="n"/>
      <c r="J66" s="22" t="n"/>
      <c r="K66" s="22" t="n"/>
      <c r="L66" s="22" t="n"/>
      <c r="M66" s="22" t="n"/>
      <c r="N66" s="35" t="n"/>
      <c r="O66" s="22">
        <f>IF(COUNTA(A66:N66,P66:AA66)=0,"",IF(TRIM(A66)="","AIR-ID missing",IF(SUMPRODUCT(--(TRIM($A$4:$A$206)=TRIM(A66)))&gt;1,"Duplicate AIR-ID",IF(OR(B66="",E66="",G66="",H66="",I66="",N66=""),"Required field missing (name, owner, stage, status or next review)",IF(NOT(ISNUMBER(N66)),"Next review is not a date",IF(OR(AND(R66&lt;&gt;"",NOT(ISNUMBER(R66))),AND(S66&lt;&gt;"",NOT(ISNUMBER(S66))),AND(X66&lt;&gt;"",NOT(ISNUMBER(X66)))),"Date field is not a date",IF(AND(OR(H66="Approved",H66="Approved with conditions"),OR(K66="",L66="")),"Approval evidence refs missing",IF(AND(I66="Active",H66&lt;&gt;"Approved",H66&lt;&gt;"Approved with conditions"),"Active without approved status",IF(AND(I66="Active",G66&lt;&gt;"Deployment and Operation",G66&lt;&gt;"Monitoring and Review"),"Active in wrong lifecycle stage",IF(AND(I66="Active",P66=""),"Active without UC-ID link",IF(AND(OR(J66="Yes",J66="Unsure"),M66=""),"Agent evidence ref missing",IF(AND(I66="Active",W66&lt;&gt;"Yes"),"Active without monitoring in place",IF(N66&lt;TODAY(),"Review overdue","Check refs against source")))))))))))))</f>
        <v/>
      </c>
      <c r="P66" s="22" t="n"/>
      <c r="Q66" s="22" t="n"/>
      <c r="R66" s="35" t="n"/>
      <c r="S66" s="35" t="n"/>
      <c r="T66" s="22" t="n"/>
      <c r="U66" s="22" t="n"/>
      <c r="V66" s="22" t="n"/>
      <c r="W66" s="22" t="n"/>
      <c r="X66" s="35" t="n"/>
      <c r="Y66" s="22" t="n"/>
      <c r="Z66" s="22" t="n"/>
      <c r="AA66" s="22" t="n"/>
    </row>
    <row r="67">
      <c r="A67" s="24" t="n"/>
      <c r="B67" s="24" t="n"/>
      <c r="C67" s="24" t="n"/>
      <c r="D67" s="24" t="n"/>
      <c r="E67" s="24" t="n"/>
      <c r="F67" s="24" t="n"/>
      <c r="G67" s="24" t="n"/>
      <c r="H67" s="24" t="n"/>
      <c r="I67" s="24" t="n"/>
      <c r="J67" s="24" t="n"/>
      <c r="K67" s="24" t="n"/>
      <c r="L67" s="24" t="n"/>
      <c r="M67" s="24" t="n"/>
      <c r="N67" s="36" t="n"/>
      <c r="O67" s="24">
        <f>IF(COUNTA(A67:N67,P67:AA67)=0,"",IF(TRIM(A67)="","AIR-ID missing",IF(SUMPRODUCT(--(TRIM($A$4:$A$206)=TRIM(A67)))&gt;1,"Duplicate AIR-ID",IF(OR(B67="",E67="",G67="",H67="",I67="",N67=""),"Required field missing (name, owner, stage, status or next review)",IF(NOT(ISNUMBER(N67)),"Next review is not a date",IF(OR(AND(R67&lt;&gt;"",NOT(ISNUMBER(R67))),AND(S67&lt;&gt;"",NOT(ISNUMBER(S67))),AND(X67&lt;&gt;"",NOT(ISNUMBER(X67)))),"Date field is not a date",IF(AND(OR(H67="Approved",H67="Approved with conditions"),OR(K67="",L67="")),"Approval evidence refs missing",IF(AND(I67="Active",H67&lt;&gt;"Approved",H67&lt;&gt;"Approved with conditions"),"Active without approved status",IF(AND(I67="Active",G67&lt;&gt;"Deployment and Operation",G67&lt;&gt;"Monitoring and Review"),"Active in wrong lifecycle stage",IF(AND(I67="Active",P67=""),"Active without UC-ID link",IF(AND(OR(J67="Yes",J67="Unsure"),M67=""),"Agent evidence ref missing",IF(AND(I67="Active",W67&lt;&gt;"Yes"),"Active without monitoring in place",IF(N67&lt;TODAY(),"Review overdue","Check refs against source")))))))))))))</f>
        <v/>
      </c>
      <c r="P67" s="24" t="n"/>
      <c r="Q67" s="24" t="n"/>
      <c r="R67" s="36" t="n"/>
      <c r="S67" s="36" t="n"/>
      <c r="T67" s="24" t="n"/>
      <c r="U67" s="24" t="n"/>
      <c r="V67" s="24" t="n"/>
      <c r="W67" s="24" t="n"/>
      <c r="X67" s="36" t="n"/>
      <c r="Y67" s="24" t="n"/>
      <c r="Z67" s="24" t="n"/>
      <c r="AA67" s="24" t="n"/>
    </row>
    <row r="68">
      <c r="A68" s="22" t="n"/>
      <c r="B68" s="22" t="n"/>
      <c r="C68" s="22" t="n"/>
      <c r="D68" s="22" t="n"/>
      <c r="E68" s="22" t="n"/>
      <c r="F68" s="22" t="n"/>
      <c r="G68" s="22" t="n"/>
      <c r="H68" s="22" t="n"/>
      <c r="I68" s="22" t="n"/>
      <c r="J68" s="22" t="n"/>
      <c r="K68" s="22" t="n"/>
      <c r="L68" s="22" t="n"/>
      <c r="M68" s="22" t="n"/>
      <c r="N68" s="35" t="n"/>
      <c r="O68" s="22">
        <f>IF(COUNTA(A68:N68,P68:AA68)=0,"",IF(TRIM(A68)="","AIR-ID missing",IF(SUMPRODUCT(--(TRIM($A$4:$A$206)=TRIM(A68)))&gt;1,"Duplicate AIR-ID",IF(OR(B68="",E68="",G68="",H68="",I68="",N68=""),"Required field missing (name, owner, stage, status or next review)",IF(NOT(ISNUMBER(N68)),"Next review is not a date",IF(OR(AND(R68&lt;&gt;"",NOT(ISNUMBER(R68))),AND(S68&lt;&gt;"",NOT(ISNUMBER(S68))),AND(X68&lt;&gt;"",NOT(ISNUMBER(X68)))),"Date field is not a date",IF(AND(OR(H68="Approved",H68="Approved with conditions"),OR(K68="",L68="")),"Approval evidence refs missing",IF(AND(I68="Active",H68&lt;&gt;"Approved",H68&lt;&gt;"Approved with conditions"),"Active without approved status",IF(AND(I68="Active",G68&lt;&gt;"Deployment and Operation",G68&lt;&gt;"Monitoring and Review"),"Active in wrong lifecycle stage",IF(AND(I68="Active",P68=""),"Active without UC-ID link",IF(AND(OR(J68="Yes",J68="Unsure"),M68=""),"Agent evidence ref missing",IF(AND(I68="Active",W68&lt;&gt;"Yes"),"Active without monitoring in place",IF(N68&lt;TODAY(),"Review overdue","Check refs against source")))))))))))))</f>
        <v/>
      </c>
      <c r="P68" s="22" t="n"/>
      <c r="Q68" s="22" t="n"/>
      <c r="R68" s="35" t="n"/>
      <c r="S68" s="35" t="n"/>
      <c r="T68" s="22" t="n"/>
      <c r="U68" s="22" t="n"/>
      <c r="V68" s="22" t="n"/>
      <c r="W68" s="22" t="n"/>
      <c r="X68" s="35" t="n"/>
      <c r="Y68" s="22" t="n"/>
      <c r="Z68" s="22" t="n"/>
      <c r="AA68" s="22" t="n"/>
    </row>
    <row r="69">
      <c r="A69" s="24" t="n"/>
      <c r="B69" s="24" t="n"/>
      <c r="C69" s="24" t="n"/>
      <c r="D69" s="24" t="n"/>
      <c r="E69" s="24" t="n"/>
      <c r="F69" s="24" t="n"/>
      <c r="G69" s="24" t="n"/>
      <c r="H69" s="24" t="n"/>
      <c r="I69" s="24" t="n"/>
      <c r="J69" s="24" t="n"/>
      <c r="K69" s="24" t="n"/>
      <c r="L69" s="24" t="n"/>
      <c r="M69" s="24" t="n"/>
      <c r="N69" s="36" t="n"/>
      <c r="O69" s="24">
        <f>IF(COUNTA(A69:N69,P69:AA69)=0,"",IF(TRIM(A69)="","AIR-ID missing",IF(SUMPRODUCT(--(TRIM($A$4:$A$206)=TRIM(A69)))&gt;1,"Duplicate AIR-ID",IF(OR(B69="",E69="",G69="",H69="",I69="",N69=""),"Required field missing (name, owner, stage, status or next review)",IF(NOT(ISNUMBER(N69)),"Next review is not a date",IF(OR(AND(R69&lt;&gt;"",NOT(ISNUMBER(R69))),AND(S69&lt;&gt;"",NOT(ISNUMBER(S69))),AND(X69&lt;&gt;"",NOT(ISNUMBER(X69)))),"Date field is not a date",IF(AND(OR(H69="Approved",H69="Approved with conditions"),OR(K69="",L69="")),"Approval evidence refs missing",IF(AND(I69="Active",H69&lt;&gt;"Approved",H69&lt;&gt;"Approved with conditions"),"Active without approved status",IF(AND(I69="Active",G69&lt;&gt;"Deployment and Operation",G69&lt;&gt;"Monitoring and Review"),"Active in wrong lifecycle stage",IF(AND(I69="Active",P69=""),"Active without UC-ID link",IF(AND(OR(J69="Yes",J69="Unsure"),M69=""),"Agent evidence ref missing",IF(AND(I69="Active",W69&lt;&gt;"Yes"),"Active without monitoring in place",IF(N69&lt;TODAY(),"Review overdue","Check refs against source")))))))))))))</f>
        <v/>
      </c>
      <c r="P69" s="24" t="n"/>
      <c r="Q69" s="24" t="n"/>
      <c r="R69" s="36" t="n"/>
      <c r="S69" s="36" t="n"/>
      <c r="T69" s="24" t="n"/>
      <c r="U69" s="24" t="n"/>
      <c r="V69" s="24" t="n"/>
      <c r="W69" s="24" t="n"/>
      <c r="X69" s="36" t="n"/>
      <c r="Y69" s="24" t="n"/>
      <c r="Z69" s="24" t="n"/>
      <c r="AA69" s="24" t="n"/>
    </row>
    <row r="70">
      <c r="A70" s="22" t="n"/>
      <c r="B70" s="22" t="n"/>
      <c r="C70" s="22" t="n"/>
      <c r="D70" s="22" t="n"/>
      <c r="E70" s="22" t="n"/>
      <c r="F70" s="22" t="n"/>
      <c r="G70" s="22" t="n"/>
      <c r="H70" s="22" t="n"/>
      <c r="I70" s="22" t="n"/>
      <c r="J70" s="22" t="n"/>
      <c r="K70" s="22" t="n"/>
      <c r="L70" s="22" t="n"/>
      <c r="M70" s="22" t="n"/>
      <c r="N70" s="35" t="n"/>
      <c r="O70" s="22">
        <f>IF(COUNTA(A70:N70,P70:AA70)=0,"",IF(TRIM(A70)="","AIR-ID missing",IF(SUMPRODUCT(--(TRIM($A$4:$A$206)=TRIM(A70)))&gt;1,"Duplicate AIR-ID",IF(OR(B70="",E70="",G70="",H70="",I70="",N70=""),"Required field missing (name, owner, stage, status or next review)",IF(NOT(ISNUMBER(N70)),"Next review is not a date",IF(OR(AND(R70&lt;&gt;"",NOT(ISNUMBER(R70))),AND(S70&lt;&gt;"",NOT(ISNUMBER(S70))),AND(X70&lt;&gt;"",NOT(ISNUMBER(X70)))),"Date field is not a date",IF(AND(OR(H70="Approved",H70="Approved with conditions"),OR(K70="",L70="")),"Approval evidence refs missing",IF(AND(I70="Active",H70&lt;&gt;"Approved",H70&lt;&gt;"Approved with conditions"),"Active without approved status",IF(AND(I70="Active",G70&lt;&gt;"Deployment and Operation",G70&lt;&gt;"Monitoring and Review"),"Active in wrong lifecycle stage",IF(AND(I70="Active",P70=""),"Active without UC-ID link",IF(AND(OR(J70="Yes",J70="Unsure"),M70=""),"Agent evidence ref missing",IF(AND(I70="Active",W70&lt;&gt;"Yes"),"Active without monitoring in place",IF(N70&lt;TODAY(),"Review overdue","Check refs against source")))))))))))))</f>
        <v/>
      </c>
      <c r="P70" s="22" t="n"/>
      <c r="Q70" s="22" t="n"/>
      <c r="R70" s="35" t="n"/>
      <c r="S70" s="35" t="n"/>
      <c r="T70" s="22" t="n"/>
      <c r="U70" s="22" t="n"/>
      <c r="V70" s="22" t="n"/>
      <c r="W70" s="22" t="n"/>
      <c r="X70" s="35" t="n"/>
      <c r="Y70" s="22" t="n"/>
      <c r="Z70" s="22" t="n"/>
      <c r="AA70" s="22" t="n"/>
    </row>
    <row r="71">
      <c r="A71" s="24" t="n"/>
      <c r="B71" s="24" t="n"/>
      <c r="C71" s="24" t="n"/>
      <c r="D71" s="24" t="n"/>
      <c r="E71" s="24" t="n"/>
      <c r="F71" s="24" t="n"/>
      <c r="G71" s="24" t="n"/>
      <c r="H71" s="24" t="n"/>
      <c r="I71" s="24" t="n"/>
      <c r="J71" s="24" t="n"/>
      <c r="K71" s="24" t="n"/>
      <c r="L71" s="24" t="n"/>
      <c r="M71" s="24" t="n"/>
      <c r="N71" s="36" t="n"/>
      <c r="O71" s="24">
        <f>IF(COUNTA(A71:N71,P71:AA71)=0,"",IF(TRIM(A71)="","AIR-ID missing",IF(SUMPRODUCT(--(TRIM($A$4:$A$206)=TRIM(A71)))&gt;1,"Duplicate AIR-ID",IF(OR(B71="",E71="",G71="",H71="",I71="",N71=""),"Required field missing (name, owner, stage, status or next review)",IF(NOT(ISNUMBER(N71)),"Next review is not a date",IF(OR(AND(R71&lt;&gt;"",NOT(ISNUMBER(R71))),AND(S71&lt;&gt;"",NOT(ISNUMBER(S71))),AND(X71&lt;&gt;"",NOT(ISNUMBER(X71)))),"Date field is not a date",IF(AND(OR(H71="Approved",H71="Approved with conditions"),OR(K71="",L71="")),"Approval evidence refs missing",IF(AND(I71="Active",H71&lt;&gt;"Approved",H71&lt;&gt;"Approved with conditions"),"Active without approved status",IF(AND(I71="Active",G71&lt;&gt;"Deployment and Operation",G71&lt;&gt;"Monitoring and Review"),"Active in wrong lifecycle stage",IF(AND(I71="Active",P71=""),"Active without UC-ID link",IF(AND(OR(J71="Yes",J71="Unsure"),M71=""),"Agent evidence ref missing",IF(AND(I71="Active",W71&lt;&gt;"Yes"),"Active without monitoring in place",IF(N71&lt;TODAY(),"Review overdue","Check refs against source")))))))))))))</f>
        <v/>
      </c>
      <c r="P71" s="24" t="n"/>
      <c r="Q71" s="24" t="n"/>
      <c r="R71" s="36" t="n"/>
      <c r="S71" s="36" t="n"/>
      <c r="T71" s="24" t="n"/>
      <c r="U71" s="24" t="n"/>
      <c r="V71" s="24" t="n"/>
      <c r="W71" s="24" t="n"/>
      <c r="X71" s="36" t="n"/>
      <c r="Y71" s="24" t="n"/>
      <c r="Z71" s="24" t="n"/>
      <c r="AA71" s="24" t="n"/>
    </row>
    <row r="72">
      <c r="A72" s="22" t="n"/>
      <c r="B72" s="22" t="n"/>
      <c r="C72" s="22" t="n"/>
      <c r="D72" s="22" t="n"/>
      <c r="E72" s="22" t="n"/>
      <c r="F72" s="22" t="n"/>
      <c r="G72" s="22" t="n"/>
      <c r="H72" s="22" t="n"/>
      <c r="I72" s="22" t="n"/>
      <c r="J72" s="22" t="n"/>
      <c r="K72" s="22" t="n"/>
      <c r="L72" s="22" t="n"/>
      <c r="M72" s="22" t="n"/>
      <c r="N72" s="35" t="n"/>
      <c r="O72" s="22">
        <f>IF(COUNTA(A72:N72,P72:AA72)=0,"",IF(TRIM(A72)="","AIR-ID missing",IF(SUMPRODUCT(--(TRIM($A$4:$A$206)=TRIM(A72)))&gt;1,"Duplicate AIR-ID",IF(OR(B72="",E72="",G72="",H72="",I72="",N72=""),"Required field missing (name, owner, stage, status or next review)",IF(NOT(ISNUMBER(N72)),"Next review is not a date",IF(OR(AND(R72&lt;&gt;"",NOT(ISNUMBER(R72))),AND(S72&lt;&gt;"",NOT(ISNUMBER(S72))),AND(X72&lt;&gt;"",NOT(ISNUMBER(X72)))),"Date field is not a date",IF(AND(OR(H72="Approved",H72="Approved with conditions"),OR(K72="",L72="")),"Approval evidence refs missing",IF(AND(I72="Active",H72&lt;&gt;"Approved",H72&lt;&gt;"Approved with conditions"),"Active without approved status",IF(AND(I72="Active",G72&lt;&gt;"Deployment and Operation",G72&lt;&gt;"Monitoring and Review"),"Active in wrong lifecycle stage",IF(AND(I72="Active",P72=""),"Active without UC-ID link",IF(AND(OR(J72="Yes",J72="Unsure"),M72=""),"Agent evidence ref missing",IF(AND(I72="Active",W72&lt;&gt;"Yes"),"Active without monitoring in place",IF(N72&lt;TODAY(),"Review overdue","Check refs against source")))))))))))))</f>
        <v/>
      </c>
      <c r="P72" s="22" t="n"/>
      <c r="Q72" s="22" t="n"/>
      <c r="R72" s="35" t="n"/>
      <c r="S72" s="35" t="n"/>
      <c r="T72" s="22" t="n"/>
      <c r="U72" s="22" t="n"/>
      <c r="V72" s="22" t="n"/>
      <c r="W72" s="22" t="n"/>
      <c r="X72" s="35" t="n"/>
      <c r="Y72" s="22" t="n"/>
      <c r="Z72" s="22" t="n"/>
      <c r="AA72" s="22" t="n"/>
    </row>
    <row r="73">
      <c r="A73" s="24" t="n"/>
      <c r="B73" s="24" t="n"/>
      <c r="C73" s="24" t="n"/>
      <c r="D73" s="24" t="n"/>
      <c r="E73" s="24" t="n"/>
      <c r="F73" s="24" t="n"/>
      <c r="G73" s="24" t="n"/>
      <c r="H73" s="24" t="n"/>
      <c r="I73" s="24" t="n"/>
      <c r="J73" s="24" t="n"/>
      <c r="K73" s="24" t="n"/>
      <c r="L73" s="24" t="n"/>
      <c r="M73" s="24" t="n"/>
      <c r="N73" s="36" t="n"/>
      <c r="O73" s="24">
        <f>IF(COUNTA(A73:N73,P73:AA73)=0,"",IF(TRIM(A73)="","AIR-ID missing",IF(SUMPRODUCT(--(TRIM($A$4:$A$206)=TRIM(A73)))&gt;1,"Duplicate AIR-ID",IF(OR(B73="",E73="",G73="",H73="",I73="",N73=""),"Required field missing (name, owner, stage, status or next review)",IF(NOT(ISNUMBER(N73)),"Next review is not a date",IF(OR(AND(R73&lt;&gt;"",NOT(ISNUMBER(R73))),AND(S73&lt;&gt;"",NOT(ISNUMBER(S73))),AND(X73&lt;&gt;"",NOT(ISNUMBER(X73)))),"Date field is not a date",IF(AND(OR(H73="Approved",H73="Approved with conditions"),OR(K73="",L73="")),"Approval evidence refs missing",IF(AND(I73="Active",H73&lt;&gt;"Approved",H73&lt;&gt;"Approved with conditions"),"Active without approved status",IF(AND(I73="Active",G73&lt;&gt;"Deployment and Operation",G73&lt;&gt;"Monitoring and Review"),"Active in wrong lifecycle stage",IF(AND(I73="Active",P73=""),"Active without UC-ID link",IF(AND(OR(J73="Yes",J73="Unsure"),M73=""),"Agent evidence ref missing",IF(AND(I73="Active",W73&lt;&gt;"Yes"),"Active without monitoring in place",IF(N73&lt;TODAY(),"Review overdue","Check refs against source")))))))))))))</f>
        <v/>
      </c>
      <c r="P73" s="24" t="n"/>
      <c r="Q73" s="24" t="n"/>
      <c r="R73" s="36" t="n"/>
      <c r="S73" s="36" t="n"/>
      <c r="T73" s="24" t="n"/>
      <c r="U73" s="24" t="n"/>
      <c r="V73" s="24" t="n"/>
      <c r="W73" s="24" t="n"/>
      <c r="X73" s="36" t="n"/>
      <c r="Y73" s="24" t="n"/>
      <c r="Z73" s="24" t="n"/>
      <c r="AA73" s="24" t="n"/>
    </row>
    <row r="74">
      <c r="A74" s="22" t="n"/>
      <c r="B74" s="22" t="n"/>
      <c r="C74" s="22" t="n"/>
      <c r="D74" s="22" t="n"/>
      <c r="E74" s="22" t="n"/>
      <c r="F74" s="22" t="n"/>
      <c r="G74" s="22" t="n"/>
      <c r="H74" s="22" t="n"/>
      <c r="I74" s="22" t="n"/>
      <c r="J74" s="22" t="n"/>
      <c r="K74" s="22" t="n"/>
      <c r="L74" s="22" t="n"/>
      <c r="M74" s="22" t="n"/>
      <c r="N74" s="35" t="n"/>
      <c r="O74" s="22">
        <f>IF(COUNTA(A74:N74,P74:AA74)=0,"",IF(TRIM(A74)="","AIR-ID missing",IF(SUMPRODUCT(--(TRIM($A$4:$A$206)=TRIM(A74)))&gt;1,"Duplicate AIR-ID",IF(OR(B74="",E74="",G74="",H74="",I74="",N74=""),"Required field missing (name, owner, stage, status or next review)",IF(NOT(ISNUMBER(N74)),"Next review is not a date",IF(OR(AND(R74&lt;&gt;"",NOT(ISNUMBER(R74))),AND(S74&lt;&gt;"",NOT(ISNUMBER(S74))),AND(X74&lt;&gt;"",NOT(ISNUMBER(X74)))),"Date field is not a date",IF(AND(OR(H74="Approved",H74="Approved with conditions"),OR(K74="",L74="")),"Approval evidence refs missing",IF(AND(I74="Active",H74&lt;&gt;"Approved",H74&lt;&gt;"Approved with conditions"),"Active without approved status",IF(AND(I74="Active",G74&lt;&gt;"Deployment and Operation",G74&lt;&gt;"Monitoring and Review"),"Active in wrong lifecycle stage",IF(AND(I74="Active",P74=""),"Active without UC-ID link",IF(AND(OR(J74="Yes",J74="Unsure"),M74=""),"Agent evidence ref missing",IF(AND(I74="Active",W74&lt;&gt;"Yes"),"Active without monitoring in place",IF(N74&lt;TODAY(),"Review overdue","Check refs against source")))))))))))))</f>
        <v/>
      </c>
      <c r="P74" s="22" t="n"/>
      <c r="Q74" s="22" t="n"/>
      <c r="R74" s="35" t="n"/>
      <c r="S74" s="35" t="n"/>
      <c r="T74" s="22" t="n"/>
      <c r="U74" s="22" t="n"/>
      <c r="V74" s="22" t="n"/>
      <c r="W74" s="22" t="n"/>
      <c r="X74" s="35" t="n"/>
      <c r="Y74" s="22" t="n"/>
      <c r="Z74" s="22" t="n"/>
      <c r="AA74" s="22" t="n"/>
    </row>
    <row r="75">
      <c r="A75" s="24" t="n"/>
      <c r="B75" s="24" t="n"/>
      <c r="C75" s="24" t="n"/>
      <c r="D75" s="24" t="n"/>
      <c r="E75" s="24" t="n"/>
      <c r="F75" s="24" t="n"/>
      <c r="G75" s="24" t="n"/>
      <c r="H75" s="24" t="n"/>
      <c r="I75" s="24" t="n"/>
      <c r="J75" s="24" t="n"/>
      <c r="K75" s="24" t="n"/>
      <c r="L75" s="24" t="n"/>
      <c r="M75" s="24" t="n"/>
      <c r="N75" s="36" t="n"/>
      <c r="O75" s="24">
        <f>IF(COUNTA(A75:N75,P75:AA75)=0,"",IF(TRIM(A75)="","AIR-ID missing",IF(SUMPRODUCT(--(TRIM($A$4:$A$206)=TRIM(A75)))&gt;1,"Duplicate AIR-ID",IF(OR(B75="",E75="",G75="",H75="",I75="",N75=""),"Required field missing (name, owner, stage, status or next review)",IF(NOT(ISNUMBER(N75)),"Next review is not a date",IF(OR(AND(R75&lt;&gt;"",NOT(ISNUMBER(R75))),AND(S75&lt;&gt;"",NOT(ISNUMBER(S75))),AND(X75&lt;&gt;"",NOT(ISNUMBER(X75)))),"Date field is not a date",IF(AND(OR(H75="Approved",H75="Approved with conditions"),OR(K75="",L75="")),"Approval evidence refs missing",IF(AND(I75="Active",H75&lt;&gt;"Approved",H75&lt;&gt;"Approved with conditions"),"Active without approved status",IF(AND(I75="Active",G75&lt;&gt;"Deployment and Operation",G75&lt;&gt;"Monitoring and Review"),"Active in wrong lifecycle stage",IF(AND(I75="Active",P75=""),"Active without UC-ID link",IF(AND(OR(J75="Yes",J75="Unsure"),M75=""),"Agent evidence ref missing",IF(AND(I75="Active",W75&lt;&gt;"Yes"),"Active without monitoring in place",IF(N75&lt;TODAY(),"Review overdue","Check refs against source")))))))))))))</f>
        <v/>
      </c>
      <c r="P75" s="24" t="n"/>
      <c r="Q75" s="24" t="n"/>
      <c r="R75" s="36" t="n"/>
      <c r="S75" s="36" t="n"/>
      <c r="T75" s="24" t="n"/>
      <c r="U75" s="24" t="n"/>
      <c r="V75" s="24" t="n"/>
      <c r="W75" s="24" t="n"/>
      <c r="X75" s="36" t="n"/>
      <c r="Y75" s="24" t="n"/>
      <c r="Z75" s="24" t="n"/>
      <c r="AA75" s="24" t="n"/>
    </row>
    <row r="76">
      <c r="A76" s="22" t="n"/>
      <c r="B76" s="22" t="n"/>
      <c r="C76" s="22" t="n"/>
      <c r="D76" s="22" t="n"/>
      <c r="E76" s="22" t="n"/>
      <c r="F76" s="22" t="n"/>
      <c r="G76" s="22" t="n"/>
      <c r="H76" s="22" t="n"/>
      <c r="I76" s="22" t="n"/>
      <c r="J76" s="22" t="n"/>
      <c r="K76" s="22" t="n"/>
      <c r="L76" s="22" t="n"/>
      <c r="M76" s="22" t="n"/>
      <c r="N76" s="35" t="n"/>
      <c r="O76" s="22">
        <f>IF(COUNTA(A76:N76,P76:AA76)=0,"",IF(TRIM(A76)="","AIR-ID missing",IF(SUMPRODUCT(--(TRIM($A$4:$A$206)=TRIM(A76)))&gt;1,"Duplicate AIR-ID",IF(OR(B76="",E76="",G76="",H76="",I76="",N76=""),"Required field missing (name, owner, stage, status or next review)",IF(NOT(ISNUMBER(N76)),"Next review is not a date",IF(OR(AND(R76&lt;&gt;"",NOT(ISNUMBER(R76))),AND(S76&lt;&gt;"",NOT(ISNUMBER(S76))),AND(X76&lt;&gt;"",NOT(ISNUMBER(X76)))),"Date field is not a date",IF(AND(OR(H76="Approved",H76="Approved with conditions"),OR(K76="",L76="")),"Approval evidence refs missing",IF(AND(I76="Active",H76&lt;&gt;"Approved",H76&lt;&gt;"Approved with conditions"),"Active without approved status",IF(AND(I76="Active",G76&lt;&gt;"Deployment and Operation",G76&lt;&gt;"Monitoring and Review"),"Active in wrong lifecycle stage",IF(AND(I76="Active",P76=""),"Active without UC-ID link",IF(AND(OR(J76="Yes",J76="Unsure"),M76=""),"Agent evidence ref missing",IF(AND(I76="Active",W76&lt;&gt;"Yes"),"Active without monitoring in place",IF(N76&lt;TODAY(),"Review overdue","Check refs against source")))))))))))))</f>
        <v/>
      </c>
      <c r="P76" s="22" t="n"/>
      <c r="Q76" s="22" t="n"/>
      <c r="R76" s="35" t="n"/>
      <c r="S76" s="35" t="n"/>
      <c r="T76" s="22" t="n"/>
      <c r="U76" s="22" t="n"/>
      <c r="V76" s="22" t="n"/>
      <c r="W76" s="22" t="n"/>
      <c r="X76" s="35" t="n"/>
      <c r="Y76" s="22" t="n"/>
      <c r="Z76" s="22" t="n"/>
      <c r="AA76" s="22" t="n"/>
    </row>
    <row r="77">
      <c r="A77" s="24" t="n"/>
      <c r="B77" s="24" t="n"/>
      <c r="C77" s="24" t="n"/>
      <c r="D77" s="24" t="n"/>
      <c r="E77" s="24" t="n"/>
      <c r="F77" s="24" t="n"/>
      <c r="G77" s="24" t="n"/>
      <c r="H77" s="24" t="n"/>
      <c r="I77" s="24" t="n"/>
      <c r="J77" s="24" t="n"/>
      <c r="K77" s="24" t="n"/>
      <c r="L77" s="24" t="n"/>
      <c r="M77" s="24" t="n"/>
      <c r="N77" s="36" t="n"/>
      <c r="O77" s="24">
        <f>IF(COUNTA(A77:N77,P77:AA77)=0,"",IF(TRIM(A77)="","AIR-ID missing",IF(SUMPRODUCT(--(TRIM($A$4:$A$206)=TRIM(A77)))&gt;1,"Duplicate AIR-ID",IF(OR(B77="",E77="",G77="",H77="",I77="",N77=""),"Required field missing (name, owner, stage, status or next review)",IF(NOT(ISNUMBER(N77)),"Next review is not a date",IF(OR(AND(R77&lt;&gt;"",NOT(ISNUMBER(R77))),AND(S77&lt;&gt;"",NOT(ISNUMBER(S77))),AND(X77&lt;&gt;"",NOT(ISNUMBER(X77)))),"Date field is not a date",IF(AND(OR(H77="Approved",H77="Approved with conditions"),OR(K77="",L77="")),"Approval evidence refs missing",IF(AND(I77="Active",H77&lt;&gt;"Approved",H77&lt;&gt;"Approved with conditions"),"Active without approved status",IF(AND(I77="Active",G77&lt;&gt;"Deployment and Operation",G77&lt;&gt;"Monitoring and Review"),"Active in wrong lifecycle stage",IF(AND(I77="Active",P77=""),"Active without UC-ID link",IF(AND(OR(J77="Yes",J77="Unsure"),M77=""),"Agent evidence ref missing",IF(AND(I77="Active",W77&lt;&gt;"Yes"),"Active without monitoring in place",IF(N77&lt;TODAY(),"Review overdue","Check refs against source")))))))))))))</f>
        <v/>
      </c>
      <c r="P77" s="24" t="n"/>
      <c r="Q77" s="24" t="n"/>
      <c r="R77" s="36" t="n"/>
      <c r="S77" s="36" t="n"/>
      <c r="T77" s="24" t="n"/>
      <c r="U77" s="24" t="n"/>
      <c r="V77" s="24" t="n"/>
      <c r="W77" s="24" t="n"/>
      <c r="X77" s="36" t="n"/>
      <c r="Y77" s="24" t="n"/>
      <c r="Z77" s="24" t="n"/>
      <c r="AA77" s="24" t="n"/>
    </row>
    <row r="78">
      <c r="A78" s="22" t="n"/>
      <c r="B78" s="22" t="n"/>
      <c r="C78" s="22" t="n"/>
      <c r="D78" s="22" t="n"/>
      <c r="E78" s="22" t="n"/>
      <c r="F78" s="22" t="n"/>
      <c r="G78" s="22" t="n"/>
      <c r="H78" s="22" t="n"/>
      <c r="I78" s="22" t="n"/>
      <c r="J78" s="22" t="n"/>
      <c r="K78" s="22" t="n"/>
      <c r="L78" s="22" t="n"/>
      <c r="M78" s="22" t="n"/>
      <c r="N78" s="35" t="n"/>
      <c r="O78" s="22">
        <f>IF(COUNTA(A78:N78,P78:AA78)=0,"",IF(TRIM(A78)="","AIR-ID missing",IF(SUMPRODUCT(--(TRIM($A$4:$A$206)=TRIM(A78)))&gt;1,"Duplicate AIR-ID",IF(OR(B78="",E78="",G78="",H78="",I78="",N78=""),"Required field missing (name, owner, stage, status or next review)",IF(NOT(ISNUMBER(N78)),"Next review is not a date",IF(OR(AND(R78&lt;&gt;"",NOT(ISNUMBER(R78))),AND(S78&lt;&gt;"",NOT(ISNUMBER(S78))),AND(X78&lt;&gt;"",NOT(ISNUMBER(X78)))),"Date field is not a date",IF(AND(OR(H78="Approved",H78="Approved with conditions"),OR(K78="",L78="")),"Approval evidence refs missing",IF(AND(I78="Active",H78&lt;&gt;"Approved",H78&lt;&gt;"Approved with conditions"),"Active without approved status",IF(AND(I78="Active",G78&lt;&gt;"Deployment and Operation",G78&lt;&gt;"Monitoring and Review"),"Active in wrong lifecycle stage",IF(AND(I78="Active",P78=""),"Active without UC-ID link",IF(AND(OR(J78="Yes",J78="Unsure"),M78=""),"Agent evidence ref missing",IF(AND(I78="Active",W78&lt;&gt;"Yes"),"Active without monitoring in place",IF(N78&lt;TODAY(),"Review overdue","Check refs against source")))))))))))))</f>
        <v/>
      </c>
      <c r="P78" s="22" t="n"/>
      <c r="Q78" s="22" t="n"/>
      <c r="R78" s="35" t="n"/>
      <c r="S78" s="35" t="n"/>
      <c r="T78" s="22" t="n"/>
      <c r="U78" s="22" t="n"/>
      <c r="V78" s="22" t="n"/>
      <c r="W78" s="22" t="n"/>
      <c r="X78" s="35" t="n"/>
      <c r="Y78" s="22" t="n"/>
      <c r="Z78" s="22" t="n"/>
      <c r="AA78" s="22" t="n"/>
    </row>
    <row r="79">
      <c r="A79" s="24" t="n"/>
      <c r="B79" s="24" t="n"/>
      <c r="C79" s="24" t="n"/>
      <c r="D79" s="24" t="n"/>
      <c r="E79" s="24" t="n"/>
      <c r="F79" s="24" t="n"/>
      <c r="G79" s="24" t="n"/>
      <c r="H79" s="24" t="n"/>
      <c r="I79" s="24" t="n"/>
      <c r="J79" s="24" t="n"/>
      <c r="K79" s="24" t="n"/>
      <c r="L79" s="24" t="n"/>
      <c r="M79" s="24" t="n"/>
      <c r="N79" s="36" t="n"/>
      <c r="O79" s="24">
        <f>IF(COUNTA(A79:N79,P79:AA79)=0,"",IF(TRIM(A79)="","AIR-ID missing",IF(SUMPRODUCT(--(TRIM($A$4:$A$206)=TRIM(A79)))&gt;1,"Duplicate AIR-ID",IF(OR(B79="",E79="",G79="",H79="",I79="",N79=""),"Required field missing (name, owner, stage, status or next review)",IF(NOT(ISNUMBER(N79)),"Next review is not a date",IF(OR(AND(R79&lt;&gt;"",NOT(ISNUMBER(R79))),AND(S79&lt;&gt;"",NOT(ISNUMBER(S79))),AND(X79&lt;&gt;"",NOT(ISNUMBER(X79)))),"Date field is not a date",IF(AND(OR(H79="Approved",H79="Approved with conditions"),OR(K79="",L79="")),"Approval evidence refs missing",IF(AND(I79="Active",H79&lt;&gt;"Approved",H79&lt;&gt;"Approved with conditions"),"Active without approved status",IF(AND(I79="Active",G79&lt;&gt;"Deployment and Operation",G79&lt;&gt;"Monitoring and Review"),"Active in wrong lifecycle stage",IF(AND(I79="Active",P79=""),"Active without UC-ID link",IF(AND(OR(J79="Yes",J79="Unsure"),M79=""),"Agent evidence ref missing",IF(AND(I79="Active",W79&lt;&gt;"Yes"),"Active without monitoring in place",IF(N79&lt;TODAY(),"Review overdue","Check refs against source")))))))))))))</f>
        <v/>
      </c>
      <c r="P79" s="24" t="n"/>
      <c r="Q79" s="24" t="n"/>
      <c r="R79" s="36" t="n"/>
      <c r="S79" s="36" t="n"/>
      <c r="T79" s="24" t="n"/>
      <c r="U79" s="24" t="n"/>
      <c r="V79" s="24" t="n"/>
      <c r="W79" s="24" t="n"/>
      <c r="X79" s="36" t="n"/>
      <c r="Y79" s="24" t="n"/>
      <c r="Z79" s="24" t="n"/>
      <c r="AA79" s="24" t="n"/>
    </row>
    <row r="80">
      <c r="A80" s="22" t="n"/>
      <c r="B80" s="22" t="n"/>
      <c r="C80" s="22" t="n"/>
      <c r="D80" s="22" t="n"/>
      <c r="E80" s="22" t="n"/>
      <c r="F80" s="22" t="n"/>
      <c r="G80" s="22" t="n"/>
      <c r="H80" s="22" t="n"/>
      <c r="I80" s="22" t="n"/>
      <c r="J80" s="22" t="n"/>
      <c r="K80" s="22" t="n"/>
      <c r="L80" s="22" t="n"/>
      <c r="M80" s="22" t="n"/>
      <c r="N80" s="35" t="n"/>
      <c r="O80" s="22">
        <f>IF(COUNTA(A80:N80,P80:AA80)=0,"",IF(TRIM(A80)="","AIR-ID missing",IF(SUMPRODUCT(--(TRIM($A$4:$A$206)=TRIM(A80)))&gt;1,"Duplicate AIR-ID",IF(OR(B80="",E80="",G80="",H80="",I80="",N80=""),"Required field missing (name, owner, stage, status or next review)",IF(NOT(ISNUMBER(N80)),"Next review is not a date",IF(OR(AND(R80&lt;&gt;"",NOT(ISNUMBER(R80))),AND(S80&lt;&gt;"",NOT(ISNUMBER(S80))),AND(X80&lt;&gt;"",NOT(ISNUMBER(X80)))),"Date field is not a date",IF(AND(OR(H80="Approved",H80="Approved with conditions"),OR(K80="",L80="")),"Approval evidence refs missing",IF(AND(I80="Active",H80&lt;&gt;"Approved",H80&lt;&gt;"Approved with conditions"),"Active without approved status",IF(AND(I80="Active",G80&lt;&gt;"Deployment and Operation",G80&lt;&gt;"Monitoring and Review"),"Active in wrong lifecycle stage",IF(AND(I80="Active",P80=""),"Active without UC-ID link",IF(AND(OR(J80="Yes",J80="Unsure"),M80=""),"Agent evidence ref missing",IF(AND(I80="Active",W80&lt;&gt;"Yes"),"Active without monitoring in place",IF(N80&lt;TODAY(),"Review overdue","Check refs against source")))))))))))))</f>
        <v/>
      </c>
      <c r="P80" s="22" t="n"/>
      <c r="Q80" s="22" t="n"/>
      <c r="R80" s="35" t="n"/>
      <c r="S80" s="35" t="n"/>
      <c r="T80" s="22" t="n"/>
      <c r="U80" s="22" t="n"/>
      <c r="V80" s="22" t="n"/>
      <c r="W80" s="22" t="n"/>
      <c r="X80" s="35" t="n"/>
      <c r="Y80" s="22" t="n"/>
      <c r="Z80" s="22" t="n"/>
      <c r="AA80" s="22" t="n"/>
    </row>
    <row r="81">
      <c r="A81" s="24" t="n"/>
      <c r="B81" s="24" t="n"/>
      <c r="C81" s="24" t="n"/>
      <c r="D81" s="24" t="n"/>
      <c r="E81" s="24" t="n"/>
      <c r="F81" s="24" t="n"/>
      <c r="G81" s="24" t="n"/>
      <c r="H81" s="24" t="n"/>
      <c r="I81" s="24" t="n"/>
      <c r="J81" s="24" t="n"/>
      <c r="K81" s="24" t="n"/>
      <c r="L81" s="24" t="n"/>
      <c r="M81" s="24" t="n"/>
      <c r="N81" s="36" t="n"/>
      <c r="O81" s="24">
        <f>IF(COUNTA(A81:N81,P81:AA81)=0,"",IF(TRIM(A81)="","AIR-ID missing",IF(SUMPRODUCT(--(TRIM($A$4:$A$206)=TRIM(A81)))&gt;1,"Duplicate AIR-ID",IF(OR(B81="",E81="",G81="",H81="",I81="",N81=""),"Required field missing (name, owner, stage, status or next review)",IF(NOT(ISNUMBER(N81)),"Next review is not a date",IF(OR(AND(R81&lt;&gt;"",NOT(ISNUMBER(R81))),AND(S81&lt;&gt;"",NOT(ISNUMBER(S81))),AND(X81&lt;&gt;"",NOT(ISNUMBER(X81)))),"Date field is not a date",IF(AND(OR(H81="Approved",H81="Approved with conditions"),OR(K81="",L81="")),"Approval evidence refs missing",IF(AND(I81="Active",H81&lt;&gt;"Approved",H81&lt;&gt;"Approved with conditions"),"Active without approved status",IF(AND(I81="Active",G81&lt;&gt;"Deployment and Operation",G81&lt;&gt;"Monitoring and Review"),"Active in wrong lifecycle stage",IF(AND(I81="Active",P81=""),"Active without UC-ID link",IF(AND(OR(J81="Yes",J81="Unsure"),M81=""),"Agent evidence ref missing",IF(AND(I81="Active",W81&lt;&gt;"Yes"),"Active without monitoring in place",IF(N81&lt;TODAY(),"Review overdue","Check refs against source")))))))))))))</f>
        <v/>
      </c>
      <c r="P81" s="24" t="n"/>
      <c r="Q81" s="24" t="n"/>
      <c r="R81" s="36" t="n"/>
      <c r="S81" s="36" t="n"/>
      <c r="T81" s="24" t="n"/>
      <c r="U81" s="24" t="n"/>
      <c r="V81" s="24" t="n"/>
      <c r="W81" s="24" t="n"/>
      <c r="X81" s="36" t="n"/>
      <c r="Y81" s="24" t="n"/>
      <c r="Z81" s="24" t="n"/>
      <c r="AA81" s="24" t="n"/>
    </row>
    <row r="82">
      <c r="A82" s="22" t="n"/>
      <c r="B82" s="22" t="n"/>
      <c r="C82" s="22" t="n"/>
      <c r="D82" s="22" t="n"/>
      <c r="E82" s="22" t="n"/>
      <c r="F82" s="22" t="n"/>
      <c r="G82" s="22" t="n"/>
      <c r="H82" s="22" t="n"/>
      <c r="I82" s="22" t="n"/>
      <c r="J82" s="22" t="n"/>
      <c r="K82" s="22" t="n"/>
      <c r="L82" s="22" t="n"/>
      <c r="M82" s="22" t="n"/>
      <c r="N82" s="35" t="n"/>
      <c r="O82" s="22">
        <f>IF(COUNTA(A82:N82,P82:AA82)=0,"",IF(TRIM(A82)="","AIR-ID missing",IF(SUMPRODUCT(--(TRIM($A$4:$A$206)=TRIM(A82)))&gt;1,"Duplicate AIR-ID",IF(OR(B82="",E82="",G82="",H82="",I82="",N82=""),"Required field missing (name, owner, stage, status or next review)",IF(NOT(ISNUMBER(N82)),"Next review is not a date",IF(OR(AND(R82&lt;&gt;"",NOT(ISNUMBER(R82))),AND(S82&lt;&gt;"",NOT(ISNUMBER(S82))),AND(X82&lt;&gt;"",NOT(ISNUMBER(X82)))),"Date field is not a date",IF(AND(OR(H82="Approved",H82="Approved with conditions"),OR(K82="",L82="")),"Approval evidence refs missing",IF(AND(I82="Active",H82&lt;&gt;"Approved",H82&lt;&gt;"Approved with conditions"),"Active without approved status",IF(AND(I82="Active",G82&lt;&gt;"Deployment and Operation",G82&lt;&gt;"Monitoring and Review"),"Active in wrong lifecycle stage",IF(AND(I82="Active",P82=""),"Active without UC-ID link",IF(AND(OR(J82="Yes",J82="Unsure"),M82=""),"Agent evidence ref missing",IF(AND(I82="Active",W82&lt;&gt;"Yes"),"Active without monitoring in place",IF(N82&lt;TODAY(),"Review overdue","Check refs against source")))))))))))))</f>
        <v/>
      </c>
      <c r="P82" s="22" t="n"/>
      <c r="Q82" s="22" t="n"/>
      <c r="R82" s="35" t="n"/>
      <c r="S82" s="35" t="n"/>
      <c r="T82" s="22" t="n"/>
      <c r="U82" s="22" t="n"/>
      <c r="V82" s="22" t="n"/>
      <c r="W82" s="22" t="n"/>
      <c r="X82" s="35" t="n"/>
      <c r="Y82" s="22" t="n"/>
      <c r="Z82" s="22" t="n"/>
      <c r="AA82" s="22" t="n"/>
    </row>
    <row r="83">
      <c r="A83" s="24" t="n"/>
      <c r="B83" s="24" t="n"/>
      <c r="C83" s="24" t="n"/>
      <c r="D83" s="24" t="n"/>
      <c r="E83" s="24" t="n"/>
      <c r="F83" s="24" t="n"/>
      <c r="G83" s="24" t="n"/>
      <c r="H83" s="24" t="n"/>
      <c r="I83" s="24" t="n"/>
      <c r="J83" s="24" t="n"/>
      <c r="K83" s="24" t="n"/>
      <c r="L83" s="24" t="n"/>
      <c r="M83" s="24" t="n"/>
      <c r="N83" s="36" t="n"/>
      <c r="O83" s="24">
        <f>IF(COUNTA(A83:N83,P83:AA83)=0,"",IF(TRIM(A83)="","AIR-ID missing",IF(SUMPRODUCT(--(TRIM($A$4:$A$206)=TRIM(A83)))&gt;1,"Duplicate AIR-ID",IF(OR(B83="",E83="",G83="",H83="",I83="",N83=""),"Required field missing (name, owner, stage, status or next review)",IF(NOT(ISNUMBER(N83)),"Next review is not a date",IF(OR(AND(R83&lt;&gt;"",NOT(ISNUMBER(R83))),AND(S83&lt;&gt;"",NOT(ISNUMBER(S83))),AND(X83&lt;&gt;"",NOT(ISNUMBER(X83)))),"Date field is not a date",IF(AND(OR(H83="Approved",H83="Approved with conditions"),OR(K83="",L83="")),"Approval evidence refs missing",IF(AND(I83="Active",H83&lt;&gt;"Approved",H83&lt;&gt;"Approved with conditions"),"Active without approved status",IF(AND(I83="Active",G83&lt;&gt;"Deployment and Operation",G83&lt;&gt;"Monitoring and Review"),"Active in wrong lifecycle stage",IF(AND(I83="Active",P83=""),"Active without UC-ID link",IF(AND(OR(J83="Yes",J83="Unsure"),M83=""),"Agent evidence ref missing",IF(AND(I83="Active",W83&lt;&gt;"Yes"),"Active without monitoring in place",IF(N83&lt;TODAY(),"Review overdue","Check refs against source")))))))))))))</f>
        <v/>
      </c>
      <c r="P83" s="24" t="n"/>
      <c r="Q83" s="24" t="n"/>
      <c r="R83" s="36" t="n"/>
      <c r="S83" s="36" t="n"/>
      <c r="T83" s="24" t="n"/>
      <c r="U83" s="24" t="n"/>
      <c r="V83" s="24" t="n"/>
      <c r="W83" s="24" t="n"/>
      <c r="X83" s="36" t="n"/>
      <c r="Y83" s="24" t="n"/>
      <c r="Z83" s="24" t="n"/>
      <c r="AA83" s="24" t="n"/>
    </row>
    <row r="84">
      <c r="A84" s="22" t="n"/>
      <c r="B84" s="22" t="n"/>
      <c r="C84" s="22" t="n"/>
      <c r="D84" s="22" t="n"/>
      <c r="E84" s="22" t="n"/>
      <c r="F84" s="22" t="n"/>
      <c r="G84" s="22" t="n"/>
      <c r="H84" s="22" t="n"/>
      <c r="I84" s="22" t="n"/>
      <c r="J84" s="22" t="n"/>
      <c r="K84" s="22" t="n"/>
      <c r="L84" s="22" t="n"/>
      <c r="M84" s="22" t="n"/>
      <c r="N84" s="35" t="n"/>
      <c r="O84" s="22">
        <f>IF(COUNTA(A84:N84,P84:AA84)=0,"",IF(TRIM(A84)="","AIR-ID missing",IF(SUMPRODUCT(--(TRIM($A$4:$A$206)=TRIM(A84)))&gt;1,"Duplicate AIR-ID",IF(OR(B84="",E84="",G84="",H84="",I84="",N84=""),"Required field missing (name, owner, stage, status or next review)",IF(NOT(ISNUMBER(N84)),"Next review is not a date",IF(OR(AND(R84&lt;&gt;"",NOT(ISNUMBER(R84))),AND(S84&lt;&gt;"",NOT(ISNUMBER(S84))),AND(X84&lt;&gt;"",NOT(ISNUMBER(X84)))),"Date field is not a date",IF(AND(OR(H84="Approved",H84="Approved with conditions"),OR(K84="",L84="")),"Approval evidence refs missing",IF(AND(I84="Active",H84&lt;&gt;"Approved",H84&lt;&gt;"Approved with conditions"),"Active without approved status",IF(AND(I84="Active",G84&lt;&gt;"Deployment and Operation",G84&lt;&gt;"Monitoring and Review"),"Active in wrong lifecycle stage",IF(AND(I84="Active",P84=""),"Active without UC-ID link",IF(AND(OR(J84="Yes",J84="Unsure"),M84=""),"Agent evidence ref missing",IF(AND(I84="Active",W84&lt;&gt;"Yes"),"Active without monitoring in place",IF(N84&lt;TODAY(),"Review overdue","Check refs against source")))))))))))))</f>
        <v/>
      </c>
      <c r="P84" s="22" t="n"/>
      <c r="Q84" s="22" t="n"/>
      <c r="R84" s="35" t="n"/>
      <c r="S84" s="35" t="n"/>
      <c r="T84" s="22" t="n"/>
      <c r="U84" s="22" t="n"/>
      <c r="V84" s="22" t="n"/>
      <c r="W84" s="22" t="n"/>
      <c r="X84" s="35" t="n"/>
      <c r="Y84" s="22" t="n"/>
      <c r="Z84" s="22" t="n"/>
      <c r="AA84" s="22" t="n"/>
    </row>
    <row r="85">
      <c r="A85" s="24" t="n"/>
      <c r="B85" s="24" t="n"/>
      <c r="C85" s="24" t="n"/>
      <c r="D85" s="24" t="n"/>
      <c r="E85" s="24" t="n"/>
      <c r="F85" s="24" t="n"/>
      <c r="G85" s="24" t="n"/>
      <c r="H85" s="24" t="n"/>
      <c r="I85" s="24" t="n"/>
      <c r="J85" s="24" t="n"/>
      <c r="K85" s="24" t="n"/>
      <c r="L85" s="24" t="n"/>
      <c r="M85" s="24" t="n"/>
      <c r="N85" s="36" t="n"/>
      <c r="O85" s="24">
        <f>IF(COUNTA(A85:N85,P85:AA85)=0,"",IF(TRIM(A85)="","AIR-ID missing",IF(SUMPRODUCT(--(TRIM($A$4:$A$206)=TRIM(A85)))&gt;1,"Duplicate AIR-ID",IF(OR(B85="",E85="",G85="",H85="",I85="",N85=""),"Required field missing (name, owner, stage, status or next review)",IF(NOT(ISNUMBER(N85)),"Next review is not a date",IF(OR(AND(R85&lt;&gt;"",NOT(ISNUMBER(R85))),AND(S85&lt;&gt;"",NOT(ISNUMBER(S85))),AND(X85&lt;&gt;"",NOT(ISNUMBER(X85)))),"Date field is not a date",IF(AND(OR(H85="Approved",H85="Approved with conditions"),OR(K85="",L85="")),"Approval evidence refs missing",IF(AND(I85="Active",H85&lt;&gt;"Approved",H85&lt;&gt;"Approved with conditions"),"Active without approved status",IF(AND(I85="Active",G85&lt;&gt;"Deployment and Operation",G85&lt;&gt;"Monitoring and Review"),"Active in wrong lifecycle stage",IF(AND(I85="Active",P85=""),"Active without UC-ID link",IF(AND(OR(J85="Yes",J85="Unsure"),M85=""),"Agent evidence ref missing",IF(AND(I85="Active",W85&lt;&gt;"Yes"),"Active without monitoring in place",IF(N85&lt;TODAY(),"Review overdue","Check refs against source")))))))))))))</f>
        <v/>
      </c>
      <c r="P85" s="24" t="n"/>
      <c r="Q85" s="24" t="n"/>
      <c r="R85" s="36" t="n"/>
      <c r="S85" s="36" t="n"/>
      <c r="T85" s="24" t="n"/>
      <c r="U85" s="24" t="n"/>
      <c r="V85" s="24" t="n"/>
      <c r="W85" s="24" t="n"/>
      <c r="X85" s="36" t="n"/>
      <c r="Y85" s="24" t="n"/>
      <c r="Z85" s="24" t="n"/>
      <c r="AA85" s="24" t="n"/>
    </row>
    <row r="86">
      <c r="A86" s="22" t="n"/>
      <c r="B86" s="22" t="n"/>
      <c r="C86" s="22" t="n"/>
      <c r="D86" s="22" t="n"/>
      <c r="E86" s="22" t="n"/>
      <c r="F86" s="22" t="n"/>
      <c r="G86" s="22" t="n"/>
      <c r="H86" s="22" t="n"/>
      <c r="I86" s="22" t="n"/>
      <c r="J86" s="22" t="n"/>
      <c r="K86" s="22" t="n"/>
      <c r="L86" s="22" t="n"/>
      <c r="M86" s="22" t="n"/>
      <c r="N86" s="35" t="n"/>
      <c r="O86" s="22">
        <f>IF(COUNTA(A86:N86,P86:AA86)=0,"",IF(TRIM(A86)="","AIR-ID missing",IF(SUMPRODUCT(--(TRIM($A$4:$A$206)=TRIM(A86)))&gt;1,"Duplicate AIR-ID",IF(OR(B86="",E86="",G86="",H86="",I86="",N86=""),"Required field missing (name, owner, stage, status or next review)",IF(NOT(ISNUMBER(N86)),"Next review is not a date",IF(OR(AND(R86&lt;&gt;"",NOT(ISNUMBER(R86))),AND(S86&lt;&gt;"",NOT(ISNUMBER(S86))),AND(X86&lt;&gt;"",NOT(ISNUMBER(X86)))),"Date field is not a date",IF(AND(OR(H86="Approved",H86="Approved with conditions"),OR(K86="",L86="")),"Approval evidence refs missing",IF(AND(I86="Active",H86&lt;&gt;"Approved",H86&lt;&gt;"Approved with conditions"),"Active without approved status",IF(AND(I86="Active",G86&lt;&gt;"Deployment and Operation",G86&lt;&gt;"Monitoring and Review"),"Active in wrong lifecycle stage",IF(AND(I86="Active",P86=""),"Active without UC-ID link",IF(AND(OR(J86="Yes",J86="Unsure"),M86=""),"Agent evidence ref missing",IF(AND(I86="Active",W86&lt;&gt;"Yes"),"Active without monitoring in place",IF(N86&lt;TODAY(),"Review overdue","Check refs against source")))))))))))))</f>
        <v/>
      </c>
      <c r="P86" s="22" t="n"/>
      <c r="Q86" s="22" t="n"/>
      <c r="R86" s="35" t="n"/>
      <c r="S86" s="35" t="n"/>
      <c r="T86" s="22" t="n"/>
      <c r="U86" s="22" t="n"/>
      <c r="V86" s="22" t="n"/>
      <c r="W86" s="22" t="n"/>
      <c r="X86" s="35" t="n"/>
      <c r="Y86" s="22" t="n"/>
      <c r="Z86" s="22" t="n"/>
      <c r="AA86" s="22" t="n"/>
    </row>
    <row r="87">
      <c r="A87" s="24" t="n"/>
      <c r="B87" s="24" t="n"/>
      <c r="C87" s="24" t="n"/>
      <c r="D87" s="24" t="n"/>
      <c r="E87" s="24" t="n"/>
      <c r="F87" s="24" t="n"/>
      <c r="G87" s="24" t="n"/>
      <c r="H87" s="24" t="n"/>
      <c r="I87" s="24" t="n"/>
      <c r="J87" s="24" t="n"/>
      <c r="K87" s="24" t="n"/>
      <c r="L87" s="24" t="n"/>
      <c r="M87" s="24" t="n"/>
      <c r="N87" s="36" t="n"/>
      <c r="O87" s="24">
        <f>IF(COUNTA(A87:N87,P87:AA87)=0,"",IF(TRIM(A87)="","AIR-ID missing",IF(SUMPRODUCT(--(TRIM($A$4:$A$206)=TRIM(A87)))&gt;1,"Duplicate AIR-ID",IF(OR(B87="",E87="",G87="",H87="",I87="",N87=""),"Required field missing (name, owner, stage, status or next review)",IF(NOT(ISNUMBER(N87)),"Next review is not a date",IF(OR(AND(R87&lt;&gt;"",NOT(ISNUMBER(R87))),AND(S87&lt;&gt;"",NOT(ISNUMBER(S87))),AND(X87&lt;&gt;"",NOT(ISNUMBER(X87)))),"Date field is not a date",IF(AND(OR(H87="Approved",H87="Approved with conditions"),OR(K87="",L87="")),"Approval evidence refs missing",IF(AND(I87="Active",H87&lt;&gt;"Approved",H87&lt;&gt;"Approved with conditions"),"Active without approved status",IF(AND(I87="Active",G87&lt;&gt;"Deployment and Operation",G87&lt;&gt;"Monitoring and Review"),"Active in wrong lifecycle stage",IF(AND(I87="Active",P87=""),"Active without UC-ID link",IF(AND(OR(J87="Yes",J87="Unsure"),M87=""),"Agent evidence ref missing",IF(AND(I87="Active",W87&lt;&gt;"Yes"),"Active without monitoring in place",IF(N87&lt;TODAY(),"Review overdue","Check refs against source")))))))))))))</f>
        <v/>
      </c>
      <c r="P87" s="24" t="n"/>
      <c r="Q87" s="24" t="n"/>
      <c r="R87" s="36" t="n"/>
      <c r="S87" s="36" t="n"/>
      <c r="T87" s="24" t="n"/>
      <c r="U87" s="24" t="n"/>
      <c r="V87" s="24" t="n"/>
      <c r="W87" s="24" t="n"/>
      <c r="X87" s="36" t="n"/>
      <c r="Y87" s="24" t="n"/>
      <c r="Z87" s="24" t="n"/>
      <c r="AA87" s="24" t="n"/>
    </row>
    <row r="88">
      <c r="A88" s="22" t="n"/>
      <c r="B88" s="22" t="n"/>
      <c r="C88" s="22" t="n"/>
      <c r="D88" s="22" t="n"/>
      <c r="E88" s="22" t="n"/>
      <c r="F88" s="22" t="n"/>
      <c r="G88" s="22" t="n"/>
      <c r="H88" s="22" t="n"/>
      <c r="I88" s="22" t="n"/>
      <c r="J88" s="22" t="n"/>
      <c r="K88" s="22" t="n"/>
      <c r="L88" s="22" t="n"/>
      <c r="M88" s="22" t="n"/>
      <c r="N88" s="35" t="n"/>
      <c r="O88" s="22">
        <f>IF(COUNTA(A88:N88,P88:AA88)=0,"",IF(TRIM(A88)="","AIR-ID missing",IF(SUMPRODUCT(--(TRIM($A$4:$A$206)=TRIM(A88)))&gt;1,"Duplicate AIR-ID",IF(OR(B88="",E88="",G88="",H88="",I88="",N88=""),"Required field missing (name, owner, stage, status or next review)",IF(NOT(ISNUMBER(N88)),"Next review is not a date",IF(OR(AND(R88&lt;&gt;"",NOT(ISNUMBER(R88))),AND(S88&lt;&gt;"",NOT(ISNUMBER(S88))),AND(X88&lt;&gt;"",NOT(ISNUMBER(X88)))),"Date field is not a date",IF(AND(OR(H88="Approved",H88="Approved with conditions"),OR(K88="",L88="")),"Approval evidence refs missing",IF(AND(I88="Active",H88&lt;&gt;"Approved",H88&lt;&gt;"Approved with conditions"),"Active without approved status",IF(AND(I88="Active",G88&lt;&gt;"Deployment and Operation",G88&lt;&gt;"Monitoring and Review"),"Active in wrong lifecycle stage",IF(AND(I88="Active",P88=""),"Active without UC-ID link",IF(AND(OR(J88="Yes",J88="Unsure"),M88=""),"Agent evidence ref missing",IF(AND(I88="Active",W88&lt;&gt;"Yes"),"Active without monitoring in place",IF(N88&lt;TODAY(),"Review overdue","Check refs against source")))))))))))))</f>
        <v/>
      </c>
      <c r="P88" s="22" t="n"/>
      <c r="Q88" s="22" t="n"/>
      <c r="R88" s="35" t="n"/>
      <c r="S88" s="35" t="n"/>
      <c r="T88" s="22" t="n"/>
      <c r="U88" s="22" t="n"/>
      <c r="V88" s="22" t="n"/>
      <c r="W88" s="22" t="n"/>
      <c r="X88" s="35" t="n"/>
      <c r="Y88" s="22" t="n"/>
      <c r="Z88" s="22" t="n"/>
      <c r="AA88" s="22" t="n"/>
    </row>
    <row r="89">
      <c r="A89" s="24" t="n"/>
      <c r="B89" s="24" t="n"/>
      <c r="C89" s="24" t="n"/>
      <c r="D89" s="24" t="n"/>
      <c r="E89" s="24" t="n"/>
      <c r="F89" s="24" t="n"/>
      <c r="G89" s="24" t="n"/>
      <c r="H89" s="24" t="n"/>
      <c r="I89" s="24" t="n"/>
      <c r="J89" s="24" t="n"/>
      <c r="K89" s="24" t="n"/>
      <c r="L89" s="24" t="n"/>
      <c r="M89" s="24" t="n"/>
      <c r="N89" s="36" t="n"/>
      <c r="O89" s="24">
        <f>IF(COUNTA(A89:N89,P89:AA89)=0,"",IF(TRIM(A89)="","AIR-ID missing",IF(SUMPRODUCT(--(TRIM($A$4:$A$206)=TRIM(A89)))&gt;1,"Duplicate AIR-ID",IF(OR(B89="",E89="",G89="",H89="",I89="",N89=""),"Required field missing (name, owner, stage, status or next review)",IF(NOT(ISNUMBER(N89)),"Next review is not a date",IF(OR(AND(R89&lt;&gt;"",NOT(ISNUMBER(R89))),AND(S89&lt;&gt;"",NOT(ISNUMBER(S89))),AND(X89&lt;&gt;"",NOT(ISNUMBER(X89)))),"Date field is not a date",IF(AND(OR(H89="Approved",H89="Approved with conditions"),OR(K89="",L89="")),"Approval evidence refs missing",IF(AND(I89="Active",H89&lt;&gt;"Approved",H89&lt;&gt;"Approved with conditions"),"Active without approved status",IF(AND(I89="Active",G89&lt;&gt;"Deployment and Operation",G89&lt;&gt;"Monitoring and Review"),"Active in wrong lifecycle stage",IF(AND(I89="Active",P89=""),"Active without UC-ID link",IF(AND(OR(J89="Yes",J89="Unsure"),M89=""),"Agent evidence ref missing",IF(AND(I89="Active",W89&lt;&gt;"Yes"),"Active without monitoring in place",IF(N89&lt;TODAY(),"Review overdue","Check refs against source")))))))))))))</f>
        <v/>
      </c>
      <c r="P89" s="24" t="n"/>
      <c r="Q89" s="24" t="n"/>
      <c r="R89" s="36" t="n"/>
      <c r="S89" s="36" t="n"/>
      <c r="T89" s="24" t="n"/>
      <c r="U89" s="24" t="n"/>
      <c r="V89" s="24" t="n"/>
      <c r="W89" s="24" t="n"/>
      <c r="X89" s="36" t="n"/>
      <c r="Y89" s="24" t="n"/>
      <c r="Z89" s="24" t="n"/>
      <c r="AA89" s="24" t="n"/>
    </row>
    <row r="90">
      <c r="A90" s="22" t="n"/>
      <c r="B90" s="22" t="n"/>
      <c r="C90" s="22" t="n"/>
      <c r="D90" s="22" t="n"/>
      <c r="E90" s="22" t="n"/>
      <c r="F90" s="22" t="n"/>
      <c r="G90" s="22" t="n"/>
      <c r="H90" s="22" t="n"/>
      <c r="I90" s="22" t="n"/>
      <c r="J90" s="22" t="n"/>
      <c r="K90" s="22" t="n"/>
      <c r="L90" s="22" t="n"/>
      <c r="M90" s="22" t="n"/>
      <c r="N90" s="35" t="n"/>
      <c r="O90" s="22">
        <f>IF(COUNTA(A90:N90,P90:AA90)=0,"",IF(TRIM(A90)="","AIR-ID missing",IF(SUMPRODUCT(--(TRIM($A$4:$A$206)=TRIM(A90)))&gt;1,"Duplicate AIR-ID",IF(OR(B90="",E90="",G90="",H90="",I90="",N90=""),"Required field missing (name, owner, stage, status or next review)",IF(NOT(ISNUMBER(N90)),"Next review is not a date",IF(OR(AND(R90&lt;&gt;"",NOT(ISNUMBER(R90))),AND(S90&lt;&gt;"",NOT(ISNUMBER(S90))),AND(X90&lt;&gt;"",NOT(ISNUMBER(X90)))),"Date field is not a date",IF(AND(OR(H90="Approved",H90="Approved with conditions"),OR(K90="",L90="")),"Approval evidence refs missing",IF(AND(I90="Active",H90&lt;&gt;"Approved",H90&lt;&gt;"Approved with conditions"),"Active without approved status",IF(AND(I90="Active",G90&lt;&gt;"Deployment and Operation",G90&lt;&gt;"Monitoring and Review"),"Active in wrong lifecycle stage",IF(AND(I90="Active",P90=""),"Active without UC-ID link",IF(AND(OR(J90="Yes",J90="Unsure"),M90=""),"Agent evidence ref missing",IF(AND(I90="Active",W90&lt;&gt;"Yes"),"Active without monitoring in place",IF(N90&lt;TODAY(),"Review overdue","Check refs against source")))))))))))))</f>
        <v/>
      </c>
      <c r="P90" s="22" t="n"/>
      <c r="Q90" s="22" t="n"/>
      <c r="R90" s="35" t="n"/>
      <c r="S90" s="35" t="n"/>
      <c r="T90" s="22" t="n"/>
      <c r="U90" s="22" t="n"/>
      <c r="V90" s="22" t="n"/>
      <c r="W90" s="22" t="n"/>
      <c r="X90" s="35" t="n"/>
      <c r="Y90" s="22" t="n"/>
      <c r="Z90" s="22" t="n"/>
      <c r="AA90" s="22" t="n"/>
    </row>
    <row r="91">
      <c r="A91" s="24" t="n"/>
      <c r="B91" s="24" t="n"/>
      <c r="C91" s="24" t="n"/>
      <c r="D91" s="24" t="n"/>
      <c r="E91" s="24" t="n"/>
      <c r="F91" s="24" t="n"/>
      <c r="G91" s="24" t="n"/>
      <c r="H91" s="24" t="n"/>
      <c r="I91" s="24" t="n"/>
      <c r="J91" s="24" t="n"/>
      <c r="K91" s="24" t="n"/>
      <c r="L91" s="24" t="n"/>
      <c r="M91" s="24" t="n"/>
      <c r="N91" s="36" t="n"/>
      <c r="O91" s="24">
        <f>IF(COUNTA(A91:N91,P91:AA91)=0,"",IF(TRIM(A91)="","AIR-ID missing",IF(SUMPRODUCT(--(TRIM($A$4:$A$206)=TRIM(A91)))&gt;1,"Duplicate AIR-ID",IF(OR(B91="",E91="",G91="",H91="",I91="",N91=""),"Required field missing (name, owner, stage, status or next review)",IF(NOT(ISNUMBER(N91)),"Next review is not a date",IF(OR(AND(R91&lt;&gt;"",NOT(ISNUMBER(R91))),AND(S91&lt;&gt;"",NOT(ISNUMBER(S91))),AND(X91&lt;&gt;"",NOT(ISNUMBER(X91)))),"Date field is not a date",IF(AND(OR(H91="Approved",H91="Approved with conditions"),OR(K91="",L91="")),"Approval evidence refs missing",IF(AND(I91="Active",H91&lt;&gt;"Approved",H91&lt;&gt;"Approved with conditions"),"Active without approved status",IF(AND(I91="Active",G91&lt;&gt;"Deployment and Operation",G91&lt;&gt;"Monitoring and Review"),"Active in wrong lifecycle stage",IF(AND(I91="Active",P91=""),"Active without UC-ID link",IF(AND(OR(J91="Yes",J91="Unsure"),M91=""),"Agent evidence ref missing",IF(AND(I91="Active",W91&lt;&gt;"Yes"),"Active without monitoring in place",IF(N91&lt;TODAY(),"Review overdue","Check refs against source")))))))))))))</f>
        <v/>
      </c>
      <c r="P91" s="24" t="n"/>
      <c r="Q91" s="24" t="n"/>
      <c r="R91" s="36" t="n"/>
      <c r="S91" s="36" t="n"/>
      <c r="T91" s="24" t="n"/>
      <c r="U91" s="24" t="n"/>
      <c r="V91" s="24" t="n"/>
      <c r="W91" s="24" t="n"/>
      <c r="X91" s="36" t="n"/>
      <c r="Y91" s="24" t="n"/>
      <c r="Z91" s="24" t="n"/>
      <c r="AA91" s="24" t="n"/>
    </row>
    <row r="92">
      <c r="A92" s="22" t="n"/>
      <c r="B92" s="22" t="n"/>
      <c r="C92" s="22" t="n"/>
      <c r="D92" s="22" t="n"/>
      <c r="E92" s="22" t="n"/>
      <c r="F92" s="22" t="n"/>
      <c r="G92" s="22" t="n"/>
      <c r="H92" s="22" t="n"/>
      <c r="I92" s="22" t="n"/>
      <c r="J92" s="22" t="n"/>
      <c r="K92" s="22" t="n"/>
      <c r="L92" s="22" t="n"/>
      <c r="M92" s="22" t="n"/>
      <c r="N92" s="35" t="n"/>
      <c r="O92" s="22">
        <f>IF(COUNTA(A92:N92,P92:AA92)=0,"",IF(TRIM(A92)="","AIR-ID missing",IF(SUMPRODUCT(--(TRIM($A$4:$A$206)=TRIM(A92)))&gt;1,"Duplicate AIR-ID",IF(OR(B92="",E92="",G92="",H92="",I92="",N92=""),"Required field missing (name, owner, stage, status or next review)",IF(NOT(ISNUMBER(N92)),"Next review is not a date",IF(OR(AND(R92&lt;&gt;"",NOT(ISNUMBER(R92))),AND(S92&lt;&gt;"",NOT(ISNUMBER(S92))),AND(X92&lt;&gt;"",NOT(ISNUMBER(X92)))),"Date field is not a date",IF(AND(OR(H92="Approved",H92="Approved with conditions"),OR(K92="",L92="")),"Approval evidence refs missing",IF(AND(I92="Active",H92&lt;&gt;"Approved",H92&lt;&gt;"Approved with conditions"),"Active without approved status",IF(AND(I92="Active",G92&lt;&gt;"Deployment and Operation",G92&lt;&gt;"Monitoring and Review"),"Active in wrong lifecycle stage",IF(AND(I92="Active",P92=""),"Active without UC-ID link",IF(AND(OR(J92="Yes",J92="Unsure"),M92=""),"Agent evidence ref missing",IF(AND(I92="Active",W92&lt;&gt;"Yes"),"Active without monitoring in place",IF(N92&lt;TODAY(),"Review overdue","Check refs against source")))))))))))))</f>
        <v/>
      </c>
      <c r="P92" s="22" t="n"/>
      <c r="Q92" s="22" t="n"/>
      <c r="R92" s="35" t="n"/>
      <c r="S92" s="35" t="n"/>
      <c r="T92" s="22" t="n"/>
      <c r="U92" s="22" t="n"/>
      <c r="V92" s="22" t="n"/>
      <c r="W92" s="22" t="n"/>
      <c r="X92" s="35" t="n"/>
      <c r="Y92" s="22" t="n"/>
      <c r="Z92" s="22" t="n"/>
      <c r="AA92" s="22" t="n"/>
    </row>
    <row r="93">
      <c r="A93" s="24" t="n"/>
      <c r="B93" s="24" t="n"/>
      <c r="C93" s="24" t="n"/>
      <c r="D93" s="24" t="n"/>
      <c r="E93" s="24" t="n"/>
      <c r="F93" s="24" t="n"/>
      <c r="G93" s="24" t="n"/>
      <c r="H93" s="24" t="n"/>
      <c r="I93" s="24" t="n"/>
      <c r="J93" s="24" t="n"/>
      <c r="K93" s="24" t="n"/>
      <c r="L93" s="24" t="n"/>
      <c r="M93" s="24" t="n"/>
      <c r="N93" s="36" t="n"/>
      <c r="O93" s="24">
        <f>IF(COUNTA(A93:N93,P93:AA93)=0,"",IF(TRIM(A93)="","AIR-ID missing",IF(SUMPRODUCT(--(TRIM($A$4:$A$206)=TRIM(A93)))&gt;1,"Duplicate AIR-ID",IF(OR(B93="",E93="",G93="",H93="",I93="",N93=""),"Required field missing (name, owner, stage, status or next review)",IF(NOT(ISNUMBER(N93)),"Next review is not a date",IF(OR(AND(R93&lt;&gt;"",NOT(ISNUMBER(R93))),AND(S93&lt;&gt;"",NOT(ISNUMBER(S93))),AND(X93&lt;&gt;"",NOT(ISNUMBER(X93)))),"Date field is not a date",IF(AND(OR(H93="Approved",H93="Approved with conditions"),OR(K93="",L93="")),"Approval evidence refs missing",IF(AND(I93="Active",H93&lt;&gt;"Approved",H93&lt;&gt;"Approved with conditions"),"Active without approved status",IF(AND(I93="Active",G93&lt;&gt;"Deployment and Operation",G93&lt;&gt;"Monitoring and Review"),"Active in wrong lifecycle stage",IF(AND(I93="Active",P93=""),"Active without UC-ID link",IF(AND(OR(J93="Yes",J93="Unsure"),M93=""),"Agent evidence ref missing",IF(AND(I93="Active",W93&lt;&gt;"Yes"),"Active without monitoring in place",IF(N93&lt;TODAY(),"Review overdue","Check refs against source")))))))))))))</f>
        <v/>
      </c>
      <c r="P93" s="24" t="n"/>
      <c r="Q93" s="24" t="n"/>
      <c r="R93" s="36" t="n"/>
      <c r="S93" s="36" t="n"/>
      <c r="T93" s="24" t="n"/>
      <c r="U93" s="24" t="n"/>
      <c r="V93" s="24" t="n"/>
      <c r="W93" s="24" t="n"/>
      <c r="X93" s="36" t="n"/>
      <c r="Y93" s="24" t="n"/>
      <c r="Z93" s="24" t="n"/>
      <c r="AA93" s="24" t="n"/>
    </row>
    <row r="94">
      <c r="A94" s="22" t="n"/>
      <c r="B94" s="22" t="n"/>
      <c r="C94" s="22" t="n"/>
      <c r="D94" s="22" t="n"/>
      <c r="E94" s="22" t="n"/>
      <c r="F94" s="22" t="n"/>
      <c r="G94" s="22" t="n"/>
      <c r="H94" s="22" t="n"/>
      <c r="I94" s="22" t="n"/>
      <c r="J94" s="22" t="n"/>
      <c r="K94" s="22" t="n"/>
      <c r="L94" s="22" t="n"/>
      <c r="M94" s="22" t="n"/>
      <c r="N94" s="35" t="n"/>
      <c r="O94" s="22">
        <f>IF(COUNTA(A94:N94,P94:AA94)=0,"",IF(TRIM(A94)="","AIR-ID missing",IF(SUMPRODUCT(--(TRIM($A$4:$A$206)=TRIM(A94)))&gt;1,"Duplicate AIR-ID",IF(OR(B94="",E94="",G94="",H94="",I94="",N94=""),"Required field missing (name, owner, stage, status or next review)",IF(NOT(ISNUMBER(N94)),"Next review is not a date",IF(OR(AND(R94&lt;&gt;"",NOT(ISNUMBER(R94))),AND(S94&lt;&gt;"",NOT(ISNUMBER(S94))),AND(X94&lt;&gt;"",NOT(ISNUMBER(X94)))),"Date field is not a date",IF(AND(OR(H94="Approved",H94="Approved with conditions"),OR(K94="",L94="")),"Approval evidence refs missing",IF(AND(I94="Active",H94&lt;&gt;"Approved",H94&lt;&gt;"Approved with conditions"),"Active without approved status",IF(AND(I94="Active",G94&lt;&gt;"Deployment and Operation",G94&lt;&gt;"Monitoring and Review"),"Active in wrong lifecycle stage",IF(AND(I94="Active",P94=""),"Active without UC-ID link",IF(AND(OR(J94="Yes",J94="Unsure"),M94=""),"Agent evidence ref missing",IF(AND(I94="Active",W94&lt;&gt;"Yes"),"Active without monitoring in place",IF(N94&lt;TODAY(),"Review overdue","Check refs against source")))))))))))))</f>
        <v/>
      </c>
      <c r="P94" s="22" t="n"/>
      <c r="Q94" s="22" t="n"/>
      <c r="R94" s="35" t="n"/>
      <c r="S94" s="35" t="n"/>
      <c r="T94" s="22" t="n"/>
      <c r="U94" s="22" t="n"/>
      <c r="V94" s="22" t="n"/>
      <c r="W94" s="22" t="n"/>
      <c r="X94" s="35" t="n"/>
      <c r="Y94" s="22" t="n"/>
      <c r="Z94" s="22" t="n"/>
      <c r="AA94" s="22" t="n"/>
    </row>
    <row r="95">
      <c r="A95" s="24" t="n"/>
      <c r="B95" s="24" t="n"/>
      <c r="C95" s="24" t="n"/>
      <c r="D95" s="24" t="n"/>
      <c r="E95" s="24" t="n"/>
      <c r="F95" s="24" t="n"/>
      <c r="G95" s="24" t="n"/>
      <c r="H95" s="24" t="n"/>
      <c r="I95" s="24" t="n"/>
      <c r="J95" s="24" t="n"/>
      <c r="K95" s="24" t="n"/>
      <c r="L95" s="24" t="n"/>
      <c r="M95" s="24" t="n"/>
      <c r="N95" s="36" t="n"/>
      <c r="O95" s="24">
        <f>IF(COUNTA(A95:N95,P95:AA95)=0,"",IF(TRIM(A95)="","AIR-ID missing",IF(SUMPRODUCT(--(TRIM($A$4:$A$206)=TRIM(A95)))&gt;1,"Duplicate AIR-ID",IF(OR(B95="",E95="",G95="",H95="",I95="",N95=""),"Required field missing (name, owner, stage, status or next review)",IF(NOT(ISNUMBER(N95)),"Next review is not a date",IF(OR(AND(R95&lt;&gt;"",NOT(ISNUMBER(R95))),AND(S95&lt;&gt;"",NOT(ISNUMBER(S95))),AND(X95&lt;&gt;"",NOT(ISNUMBER(X95)))),"Date field is not a date",IF(AND(OR(H95="Approved",H95="Approved with conditions"),OR(K95="",L95="")),"Approval evidence refs missing",IF(AND(I95="Active",H95&lt;&gt;"Approved",H95&lt;&gt;"Approved with conditions"),"Active without approved status",IF(AND(I95="Active",G95&lt;&gt;"Deployment and Operation",G95&lt;&gt;"Monitoring and Review"),"Active in wrong lifecycle stage",IF(AND(I95="Active",P95=""),"Active without UC-ID link",IF(AND(OR(J95="Yes",J95="Unsure"),M95=""),"Agent evidence ref missing",IF(AND(I95="Active",W95&lt;&gt;"Yes"),"Active without monitoring in place",IF(N95&lt;TODAY(),"Review overdue","Check refs against source")))))))))))))</f>
        <v/>
      </c>
      <c r="P95" s="24" t="n"/>
      <c r="Q95" s="24" t="n"/>
      <c r="R95" s="36" t="n"/>
      <c r="S95" s="36" t="n"/>
      <c r="T95" s="24" t="n"/>
      <c r="U95" s="24" t="n"/>
      <c r="V95" s="24" t="n"/>
      <c r="W95" s="24" t="n"/>
      <c r="X95" s="36" t="n"/>
      <c r="Y95" s="24" t="n"/>
      <c r="Z95" s="24" t="n"/>
      <c r="AA95" s="24" t="n"/>
    </row>
    <row r="96">
      <c r="A96" s="22" t="n"/>
      <c r="B96" s="22" t="n"/>
      <c r="C96" s="22" t="n"/>
      <c r="D96" s="22" t="n"/>
      <c r="E96" s="22" t="n"/>
      <c r="F96" s="22" t="n"/>
      <c r="G96" s="22" t="n"/>
      <c r="H96" s="22" t="n"/>
      <c r="I96" s="22" t="n"/>
      <c r="J96" s="22" t="n"/>
      <c r="K96" s="22" t="n"/>
      <c r="L96" s="22" t="n"/>
      <c r="M96" s="22" t="n"/>
      <c r="N96" s="35" t="n"/>
      <c r="O96" s="22">
        <f>IF(COUNTA(A96:N96,P96:AA96)=0,"",IF(TRIM(A96)="","AIR-ID missing",IF(SUMPRODUCT(--(TRIM($A$4:$A$206)=TRIM(A96)))&gt;1,"Duplicate AIR-ID",IF(OR(B96="",E96="",G96="",H96="",I96="",N96=""),"Required field missing (name, owner, stage, status or next review)",IF(NOT(ISNUMBER(N96)),"Next review is not a date",IF(OR(AND(R96&lt;&gt;"",NOT(ISNUMBER(R96))),AND(S96&lt;&gt;"",NOT(ISNUMBER(S96))),AND(X96&lt;&gt;"",NOT(ISNUMBER(X96)))),"Date field is not a date",IF(AND(OR(H96="Approved",H96="Approved with conditions"),OR(K96="",L96="")),"Approval evidence refs missing",IF(AND(I96="Active",H96&lt;&gt;"Approved",H96&lt;&gt;"Approved with conditions"),"Active without approved status",IF(AND(I96="Active",G96&lt;&gt;"Deployment and Operation",G96&lt;&gt;"Monitoring and Review"),"Active in wrong lifecycle stage",IF(AND(I96="Active",P96=""),"Active without UC-ID link",IF(AND(OR(J96="Yes",J96="Unsure"),M96=""),"Agent evidence ref missing",IF(AND(I96="Active",W96&lt;&gt;"Yes"),"Active without monitoring in place",IF(N96&lt;TODAY(),"Review overdue","Check refs against source")))))))))))))</f>
        <v/>
      </c>
      <c r="P96" s="22" t="n"/>
      <c r="Q96" s="22" t="n"/>
      <c r="R96" s="35" t="n"/>
      <c r="S96" s="35" t="n"/>
      <c r="T96" s="22" t="n"/>
      <c r="U96" s="22" t="n"/>
      <c r="V96" s="22" t="n"/>
      <c r="W96" s="22" t="n"/>
      <c r="X96" s="35" t="n"/>
      <c r="Y96" s="22" t="n"/>
      <c r="Z96" s="22" t="n"/>
      <c r="AA96" s="22" t="n"/>
    </row>
    <row r="97">
      <c r="A97" s="24" t="n"/>
      <c r="B97" s="24" t="n"/>
      <c r="C97" s="24" t="n"/>
      <c r="D97" s="24" t="n"/>
      <c r="E97" s="24" t="n"/>
      <c r="F97" s="24" t="n"/>
      <c r="G97" s="24" t="n"/>
      <c r="H97" s="24" t="n"/>
      <c r="I97" s="24" t="n"/>
      <c r="J97" s="24" t="n"/>
      <c r="K97" s="24" t="n"/>
      <c r="L97" s="24" t="n"/>
      <c r="M97" s="24" t="n"/>
      <c r="N97" s="36" t="n"/>
      <c r="O97" s="24">
        <f>IF(COUNTA(A97:N97,P97:AA97)=0,"",IF(TRIM(A97)="","AIR-ID missing",IF(SUMPRODUCT(--(TRIM($A$4:$A$206)=TRIM(A97)))&gt;1,"Duplicate AIR-ID",IF(OR(B97="",E97="",G97="",H97="",I97="",N97=""),"Required field missing (name, owner, stage, status or next review)",IF(NOT(ISNUMBER(N97)),"Next review is not a date",IF(OR(AND(R97&lt;&gt;"",NOT(ISNUMBER(R97))),AND(S97&lt;&gt;"",NOT(ISNUMBER(S97))),AND(X97&lt;&gt;"",NOT(ISNUMBER(X97)))),"Date field is not a date",IF(AND(OR(H97="Approved",H97="Approved with conditions"),OR(K97="",L97="")),"Approval evidence refs missing",IF(AND(I97="Active",H97&lt;&gt;"Approved",H97&lt;&gt;"Approved with conditions"),"Active without approved status",IF(AND(I97="Active",G97&lt;&gt;"Deployment and Operation",G97&lt;&gt;"Monitoring and Review"),"Active in wrong lifecycle stage",IF(AND(I97="Active",P97=""),"Active without UC-ID link",IF(AND(OR(J97="Yes",J97="Unsure"),M97=""),"Agent evidence ref missing",IF(AND(I97="Active",W97&lt;&gt;"Yes"),"Active without monitoring in place",IF(N97&lt;TODAY(),"Review overdue","Check refs against source")))))))))))))</f>
        <v/>
      </c>
      <c r="P97" s="24" t="n"/>
      <c r="Q97" s="24" t="n"/>
      <c r="R97" s="36" t="n"/>
      <c r="S97" s="36" t="n"/>
      <c r="T97" s="24" t="n"/>
      <c r="U97" s="24" t="n"/>
      <c r="V97" s="24" t="n"/>
      <c r="W97" s="24" t="n"/>
      <c r="X97" s="36" t="n"/>
      <c r="Y97" s="24" t="n"/>
      <c r="Z97" s="24" t="n"/>
      <c r="AA97" s="24" t="n"/>
    </row>
    <row r="98">
      <c r="A98" s="22" t="n"/>
      <c r="B98" s="22" t="n"/>
      <c r="C98" s="22" t="n"/>
      <c r="D98" s="22" t="n"/>
      <c r="E98" s="22" t="n"/>
      <c r="F98" s="22" t="n"/>
      <c r="G98" s="22" t="n"/>
      <c r="H98" s="22" t="n"/>
      <c r="I98" s="22" t="n"/>
      <c r="J98" s="22" t="n"/>
      <c r="K98" s="22" t="n"/>
      <c r="L98" s="22" t="n"/>
      <c r="M98" s="22" t="n"/>
      <c r="N98" s="35" t="n"/>
      <c r="O98" s="22">
        <f>IF(COUNTA(A98:N98,P98:AA98)=0,"",IF(TRIM(A98)="","AIR-ID missing",IF(SUMPRODUCT(--(TRIM($A$4:$A$206)=TRIM(A98)))&gt;1,"Duplicate AIR-ID",IF(OR(B98="",E98="",G98="",H98="",I98="",N98=""),"Required field missing (name, owner, stage, status or next review)",IF(NOT(ISNUMBER(N98)),"Next review is not a date",IF(OR(AND(R98&lt;&gt;"",NOT(ISNUMBER(R98))),AND(S98&lt;&gt;"",NOT(ISNUMBER(S98))),AND(X98&lt;&gt;"",NOT(ISNUMBER(X98)))),"Date field is not a date",IF(AND(OR(H98="Approved",H98="Approved with conditions"),OR(K98="",L98="")),"Approval evidence refs missing",IF(AND(I98="Active",H98&lt;&gt;"Approved",H98&lt;&gt;"Approved with conditions"),"Active without approved status",IF(AND(I98="Active",G98&lt;&gt;"Deployment and Operation",G98&lt;&gt;"Monitoring and Review"),"Active in wrong lifecycle stage",IF(AND(I98="Active",P98=""),"Active without UC-ID link",IF(AND(OR(J98="Yes",J98="Unsure"),M98=""),"Agent evidence ref missing",IF(AND(I98="Active",W98&lt;&gt;"Yes"),"Active without monitoring in place",IF(N98&lt;TODAY(),"Review overdue","Check refs against source")))))))))))))</f>
        <v/>
      </c>
      <c r="P98" s="22" t="n"/>
      <c r="Q98" s="22" t="n"/>
      <c r="R98" s="35" t="n"/>
      <c r="S98" s="35" t="n"/>
      <c r="T98" s="22" t="n"/>
      <c r="U98" s="22" t="n"/>
      <c r="V98" s="22" t="n"/>
      <c r="W98" s="22" t="n"/>
      <c r="X98" s="35" t="n"/>
      <c r="Y98" s="22" t="n"/>
      <c r="Z98" s="22" t="n"/>
      <c r="AA98" s="22" t="n"/>
    </row>
    <row r="99">
      <c r="A99" s="24" t="n"/>
      <c r="B99" s="24" t="n"/>
      <c r="C99" s="24" t="n"/>
      <c r="D99" s="24" t="n"/>
      <c r="E99" s="24" t="n"/>
      <c r="F99" s="24" t="n"/>
      <c r="G99" s="24" t="n"/>
      <c r="H99" s="24" t="n"/>
      <c r="I99" s="24" t="n"/>
      <c r="J99" s="24" t="n"/>
      <c r="K99" s="24" t="n"/>
      <c r="L99" s="24" t="n"/>
      <c r="M99" s="24" t="n"/>
      <c r="N99" s="36" t="n"/>
      <c r="O99" s="24">
        <f>IF(COUNTA(A99:N99,P99:AA99)=0,"",IF(TRIM(A99)="","AIR-ID missing",IF(SUMPRODUCT(--(TRIM($A$4:$A$206)=TRIM(A99)))&gt;1,"Duplicate AIR-ID",IF(OR(B99="",E99="",G99="",H99="",I99="",N99=""),"Required field missing (name, owner, stage, status or next review)",IF(NOT(ISNUMBER(N99)),"Next review is not a date",IF(OR(AND(R99&lt;&gt;"",NOT(ISNUMBER(R99))),AND(S99&lt;&gt;"",NOT(ISNUMBER(S99))),AND(X99&lt;&gt;"",NOT(ISNUMBER(X99)))),"Date field is not a date",IF(AND(OR(H99="Approved",H99="Approved with conditions"),OR(K99="",L99="")),"Approval evidence refs missing",IF(AND(I99="Active",H99&lt;&gt;"Approved",H99&lt;&gt;"Approved with conditions"),"Active without approved status",IF(AND(I99="Active",G99&lt;&gt;"Deployment and Operation",G99&lt;&gt;"Monitoring and Review"),"Active in wrong lifecycle stage",IF(AND(I99="Active",P99=""),"Active without UC-ID link",IF(AND(OR(J99="Yes",J99="Unsure"),M99=""),"Agent evidence ref missing",IF(AND(I99="Active",W99&lt;&gt;"Yes"),"Active without monitoring in place",IF(N99&lt;TODAY(),"Review overdue","Check refs against source")))))))))))))</f>
        <v/>
      </c>
      <c r="P99" s="24" t="n"/>
      <c r="Q99" s="24" t="n"/>
      <c r="R99" s="36" t="n"/>
      <c r="S99" s="36" t="n"/>
      <c r="T99" s="24" t="n"/>
      <c r="U99" s="24" t="n"/>
      <c r="V99" s="24" t="n"/>
      <c r="W99" s="24" t="n"/>
      <c r="X99" s="36" t="n"/>
      <c r="Y99" s="24" t="n"/>
      <c r="Z99" s="24" t="n"/>
      <c r="AA99" s="24" t="n"/>
    </row>
    <row r="100">
      <c r="A100" s="22" t="n"/>
      <c r="B100" s="22" t="n"/>
      <c r="C100" s="22" t="n"/>
      <c r="D100" s="22" t="n"/>
      <c r="E100" s="22" t="n"/>
      <c r="F100" s="22" t="n"/>
      <c r="G100" s="22" t="n"/>
      <c r="H100" s="22" t="n"/>
      <c r="I100" s="22" t="n"/>
      <c r="J100" s="22" t="n"/>
      <c r="K100" s="22" t="n"/>
      <c r="L100" s="22" t="n"/>
      <c r="M100" s="22" t="n"/>
      <c r="N100" s="35" t="n"/>
      <c r="O100" s="22">
        <f>IF(COUNTA(A100:N100,P100:AA100)=0,"",IF(TRIM(A100)="","AIR-ID missing",IF(SUMPRODUCT(--(TRIM($A$4:$A$206)=TRIM(A100)))&gt;1,"Duplicate AIR-ID",IF(OR(B100="",E100="",G100="",H100="",I100="",N100=""),"Required field missing (name, owner, stage, status or next review)",IF(NOT(ISNUMBER(N100)),"Next review is not a date",IF(OR(AND(R100&lt;&gt;"",NOT(ISNUMBER(R100))),AND(S100&lt;&gt;"",NOT(ISNUMBER(S100))),AND(X100&lt;&gt;"",NOT(ISNUMBER(X100)))),"Date field is not a date",IF(AND(OR(H100="Approved",H100="Approved with conditions"),OR(K100="",L100="")),"Approval evidence refs missing",IF(AND(I100="Active",H100&lt;&gt;"Approved",H100&lt;&gt;"Approved with conditions"),"Active without approved status",IF(AND(I100="Active",G100&lt;&gt;"Deployment and Operation",G100&lt;&gt;"Monitoring and Review"),"Active in wrong lifecycle stage",IF(AND(I100="Active",P100=""),"Active without UC-ID link",IF(AND(OR(J100="Yes",J100="Unsure"),M100=""),"Agent evidence ref missing",IF(AND(I100="Active",W100&lt;&gt;"Yes"),"Active without monitoring in place",IF(N100&lt;TODAY(),"Review overdue","Check refs against source")))))))))))))</f>
        <v/>
      </c>
      <c r="P100" s="22" t="n"/>
      <c r="Q100" s="22" t="n"/>
      <c r="R100" s="35" t="n"/>
      <c r="S100" s="35" t="n"/>
      <c r="T100" s="22" t="n"/>
      <c r="U100" s="22" t="n"/>
      <c r="V100" s="22" t="n"/>
      <c r="W100" s="22" t="n"/>
      <c r="X100" s="35" t="n"/>
      <c r="Y100" s="22" t="n"/>
      <c r="Z100" s="22" t="n"/>
      <c r="AA100" s="22" t="n"/>
    </row>
    <row r="101">
      <c r="A101" s="24" t="n"/>
      <c r="B101" s="24" t="n"/>
      <c r="C101" s="24" t="n"/>
      <c r="D101" s="24" t="n"/>
      <c r="E101" s="24" t="n"/>
      <c r="F101" s="24" t="n"/>
      <c r="G101" s="24" t="n"/>
      <c r="H101" s="24" t="n"/>
      <c r="I101" s="24" t="n"/>
      <c r="J101" s="24" t="n"/>
      <c r="K101" s="24" t="n"/>
      <c r="L101" s="24" t="n"/>
      <c r="M101" s="24" t="n"/>
      <c r="N101" s="36" t="n"/>
      <c r="O101" s="24">
        <f>IF(COUNTA(A101:N101,P101:AA101)=0,"",IF(TRIM(A101)="","AIR-ID missing",IF(SUMPRODUCT(--(TRIM($A$4:$A$206)=TRIM(A101)))&gt;1,"Duplicate AIR-ID",IF(OR(B101="",E101="",G101="",H101="",I101="",N101=""),"Required field missing (name, owner, stage, status or next review)",IF(NOT(ISNUMBER(N101)),"Next review is not a date",IF(OR(AND(R101&lt;&gt;"",NOT(ISNUMBER(R101))),AND(S101&lt;&gt;"",NOT(ISNUMBER(S101))),AND(X101&lt;&gt;"",NOT(ISNUMBER(X101)))),"Date field is not a date",IF(AND(OR(H101="Approved",H101="Approved with conditions"),OR(K101="",L101="")),"Approval evidence refs missing",IF(AND(I101="Active",H101&lt;&gt;"Approved",H101&lt;&gt;"Approved with conditions"),"Active without approved status",IF(AND(I101="Active",G101&lt;&gt;"Deployment and Operation",G101&lt;&gt;"Monitoring and Review"),"Active in wrong lifecycle stage",IF(AND(I101="Active",P101=""),"Active without UC-ID link",IF(AND(OR(J101="Yes",J101="Unsure"),M101=""),"Agent evidence ref missing",IF(AND(I101="Active",W101&lt;&gt;"Yes"),"Active without monitoring in place",IF(N101&lt;TODAY(),"Review overdue","Check refs against source")))))))))))))</f>
        <v/>
      </c>
      <c r="P101" s="24" t="n"/>
      <c r="Q101" s="24" t="n"/>
      <c r="R101" s="36" t="n"/>
      <c r="S101" s="36" t="n"/>
      <c r="T101" s="24" t="n"/>
      <c r="U101" s="24" t="n"/>
      <c r="V101" s="24" t="n"/>
      <c r="W101" s="24" t="n"/>
      <c r="X101" s="36" t="n"/>
      <c r="Y101" s="24" t="n"/>
      <c r="Z101" s="24" t="n"/>
      <c r="AA101" s="24" t="n"/>
    </row>
    <row r="102">
      <c r="A102" s="22" t="n"/>
      <c r="B102" s="22" t="n"/>
      <c r="C102" s="22" t="n"/>
      <c r="D102" s="22" t="n"/>
      <c r="E102" s="22" t="n"/>
      <c r="F102" s="22" t="n"/>
      <c r="G102" s="22" t="n"/>
      <c r="H102" s="22" t="n"/>
      <c r="I102" s="22" t="n"/>
      <c r="J102" s="22" t="n"/>
      <c r="K102" s="22" t="n"/>
      <c r="L102" s="22" t="n"/>
      <c r="M102" s="22" t="n"/>
      <c r="N102" s="35" t="n"/>
      <c r="O102" s="22">
        <f>IF(COUNTA(A102:N102,P102:AA102)=0,"",IF(TRIM(A102)="","AIR-ID missing",IF(SUMPRODUCT(--(TRIM($A$4:$A$206)=TRIM(A102)))&gt;1,"Duplicate AIR-ID",IF(OR(B102="",E102="",G102="",H102="",I102="",N102=""),"Required field missing (name, owner, stage, status or next review)",IF(NOT(ISNUMBER(N102)),"Next review is not a date",IF(OR(AND(R102&lt;&gt;"",NOT(ISNUMBER(R102))),AND(S102&lt;&gt;"",NOT(ISNUMBER(S102))),AND(X102&lt;&gt;"",NOT(ISNUMBER(X102)))),"Date field is not a date",IF(AND(OR(H102="Approved",H102="Approved with conditions"),OR(K102="",L102="")),"Approval evidence refs missing",IF(AND(I102="Active",H102&lt;&gt;"Approved",H102&lt;&gt;"Approved with conditions"),"Active without approved status",IF(AND(I102="Active",G102&lt;&gt;"Deployment and Operation",G102&lt;&gt;"Monitoring and Review"),"Active in wrong lifecycle stage",IF(AND(I102="Active",P102=""),"Active without UC-ID link",IF(AND(OR(J102="Yes",J102="Unsure"),M102=""),"Agent evidence ref missing",IF(AND(I102="Active",W102&lt;&gt;"Yes"),"Active without monitoring in place",IF(N102&lt;TODAY(),"Review overdue","Check refs against source")))))))))))))</f>
        <v/>
      </c>
      <c r="P102" s="22" t="n"/>
      <c r="Q102" s="22" t="n"/>
      <c r="R102" s="35" t="n"/>
      <c r="S102" s="35" t="n"/>
      <c r="T102" s="22" t="n"/>
      <c r="U102" s="22" t="n"/>
      <c r="V102" s="22" t="n"/>
      <c r="W102" s="22" t="n"/>
      <c r="X102" s="35" t="n"/>
      <c r="Y102" s="22" t="n"/>
      <c r="Z102" s="22" t="n"/>
      <c r="AA102" s="22" t="n"/>
    </row>
    <row r="103">
      <c r="A103" s="24" t="n"/>
      <c r="B103" s="24" t="n"/>
      <c r="C103" s="24" t="n"/>
      <c r="D103" s="24" t="n"/>
      <c r="E103" s="24" t="n"/>
      <c r="F103" s="24" t="n"/>
      <c r="G103" s="24" t="n"/>
      <c r="H103" s="24" t="n"/>
      <c r="I103" s="24" t="n"/>
      <c r="J103" s="24" t="n"/>
      <c r="K103" s="24" t="n"/>
      <c r="L103" s="24" t="n"/>
      <c r="M103" s="24" t="n"/>
      <c r="N103" s="36" t="n"/>
      <c r="O103" s="24">
        <f>IF(COUNTA(A103:N103,P103:AA103)=0,"",IF(TRIM(A103)="","AIR-ID missing",IF(SUMPRODUCT(--(TRIM($A$4:$A$206)=TRIM(A103)))&gt;1,"Duplicate AIR-ID",IF(OR(B103="",E103="",G103="",H103="",I103="",N103=""),"Required field missing (name, owner, stage, status or next review)",IF(NOT(ISNUMBER(N103)),"Next review is not a date",IF(OR(AND(R103&lt;&gt;"",NOT(ISNUMBER(R103))),AND(S103&lt;&gt;"",NOT(ISNUMBER(S103))),AND(X103&lt;&gt;"",NOT(ISNUMBER(X103)))),"Date field is not a date",IF(AND(OR(H103="Approved",H103="Approved with conditions"),OR(K103="",L103="")),"Approval evidence refs missing",IF(AND(I103="Active",H103&lt;&gt;"Approved",H103&lt;&gt;"Approved with conditions"),"Active without approved status",IF(AND(I103="Active",G103&lt;&gt;"Deployment and Operation",G103&lt;&gt;"Monitoring and Review"),"Active in wrong lifecycle stage",IF(AND(I103="Active",P103=""),"Active without UC-ID link",IF(AND(OR(J103="Yes",J103="Unsure"),M103=""),"Agent evidence ref missing",IF(AND(I103="Active",W103&lt;&gt;"Yes"),"Active without monitoring in place",IF(N103&lt;TODAY(),"Review overdue","Check refs against source")))))))))))))</f>
        <v/>
      </c>
      <c r="P103" s="24" t="n"/>
      <c r="Q103" s="24" t="n"/>
      <c r="R103" s="36" t="n"/>
      <c r="S103" s="36" t="n"/>
      <c r="T103" s="24" t="n"/>
      <c r="U103" s="24" t="n"/>
      <c r="V103" s="24" t="n"/>
      <c r="W103" s="24" t="n"/>
      <c r="X103" s="36" t="n"/>
      <c r="Y103" s="24" t="n"/>
      <c r="Z103" s="24" t="n"/>
      <c r="AA103" s="24" t="n"/>
    </row>
    <row r="104">
      <c r="A104" s="22" t="n"/>
      <c r="B104" s="22" t="n"/>
      <c r="C104" s="22" t="n"/>
      <c r="D104" s="22" t="n"/>
      <c r="E104" s="22" t="n"/>
      <c r="F104" s="22" t="n"/>
      <c r="G104" s="22" t="n"/>
      <c r="H104" s="22" t="n"/>
      <c r="I104" s="22" t="n"/>
      <c r="J104" s="22" t="n"/>
      <c r="K104" s="22" t="n"/>
      <c r="L104" s="22" t="n"/>
      <c r="M104" s="22" t="n"/>
      <c r="N104" s="35" t="n"/>
      <c r="O104" s="22">
        <f>IF(COUNTA(A104:N104,P104:AA104)=0,"",IF(TRIM(A104)="","AIR-ID missing",IF(SUMPRODUCT(--(TRIM($A$4:$A$206)=TRIM(A104)))&gt;1,"Duplicate AIR-ID",IF(OR(B104="",E104="",G104="",H104="",I104="",N104=""),"Required field missing (name, owner, stage, status or next review)",IF(NOT(ISNUMBER(N104)),"Next review is not a date",IF(OR(AND(R104&lt;&gt;"",NOT(ISNUMBER(R104))),AND(S104&lt;&gt;"",NOT(ISNUMBER(S104))),AND(X104&lt;&gt;"",NOT(ISNUMBER(X104)))),"Date field is not a date",IF(AND(OR(H104="Approved",H104="Approved with conditions"),OR(K104="",L104="")),"Approval evidence refs missing",IF(AND(I104="Active",H104&lt;&gt;"Approved",H104&lt;&gt;"Approved with conditions"),"Active without approved status",IF(AND(I104="Active",G104&lt;&gt;"Deployment and Operation",G104&lt;&gt;"Monitoring and Review"),"Active in wrong lifecycle stage",IF(AND(I104="Active",P104=""),"Active without UC-ID link",IF(AND(OR(J104="Yes",J104="Unsure"),M104=""),"Agent evidence ref missing",IF(AND(I104="Active",W104&lt;&gt;"Yes"),"Active without monitoring in place",IF(N104&lt;TODAY(),"Review overdue","Check refs against source")))))))))))))</f>
        <v/>
      </c>
      <c r="P104" s="22" t="n"/>
      <c r="Q104" s="22" t="n"/>
      <c r="R104" s="35" t="n"/>
      <c r="S104" s="35" t="n"/>
      <c r="T104" s="22" t="n"/>
      <c r="U104" s="22" t="n"/>
      <c r="V104" s="22" t="n"/>
      <c r="W104" s="22" t="n"/>
      <c r="X104" s="35" t="n"/>
      <c r="Y104" s="22" t="n"/>
      <c r="Z104" s="22" t="n"/>
      <c r="AA104" s="22" t="n"/>
    </row>
    <row r="105">
      <c r="A105" s="24" t="n"/>
      <c r="B105" s="24" t="n"/>
      <c r="C105" s="24" t="n"/>
      <c r="D105" s="24" t="n"/>
      <c r="E105" s="24" t="n"/>
      <c r="F105" s="24" t="n"/>
      <c r="G105" s="24" t="n"/>
      <c r="H105" s="24" t="n"/>
      <c r="I105" s="24" t="n"/>
      <c r="J105" s="24" t="n"/>
      <c r="K105" s="24" t="n"/>
      <c r="L105" s="24" t="n"/>
      <c r="M105" s="24" t="n"/>
      <c r="N105" s="36" t="n"/>
      <c r="O105" s="24">
        <f>IF(COUNTA(A105:N105,P105:AA105)=0,"",IF(TRIM(A105)="","AIR-ID missing",IF(SUMPRODUCT(--(TRIM($A$4:$A$206)=TRIM(A105)))&gt;1,"Duplicate AIR-ID",IF(OR(B105="",E105="",G105="",H105="",I105="",N105=""),"Required field missing (name, owner, stage, status or next review)",IF(NOT(ISNUMBER(N105)),"Next review is not a date",IF(OR(AND(R105&lt;&gt;"",NOT(ISNUMBER(R105))),AND(S105&lt;&gt;"",NOT(ISNUMBER(S105))),AND(X105&lt;&gt;"",NOT(ISNUMBER(X105)))),"Date field is not a date",IF(AND(OR(H105="Approved",H105="Approved with conditions"),OR(K105="",L105="")),"Approval evidence refs missing",IF(AND(I105="Active",H105&lt;&gt;"Approved",H105&lt;&gt;"Approved with conditions"),"Active without approved status",IF(AND(I105="Active",G105&lt;&gt;"Deployment and Operation",G105&lt;&gt;"Monitoring and Review"),"Active in wrong lifecycle stage",IF(AND(I105="Active",P105=""),"Active without UC-ID link",IF(AND(OR(J105="Yes",J105="Unsure"),M105=""),"Agent evidence ref missing",IF(AND(I105="Active",W105&lt;&gt;"Yes"),"Active without monitoring in place",IF(N105&lt;TODAY(),"Review overdue","Check refs against source")))))))))))))</f>
        <v/>
      </c>
      <c r="P105" s="24" t="n"/>
      <c r="Q105" s="24" t="n"/>
      <c r="R105" s="36" t="n"/>
      <c r="S105" s="36" t="n"/>
      <c r="T105" s="24" t="n"/>
      <c r="U105" s="24" t="n"/>
      <c r="V105" s="24" t="n"/>
      <c r="W105" s="24" t="n"/>
      <c r="X105" s="36" t="n"/>
      <c r="Y105" s="24" t="n"/>
      <c r="Z105" s="24" t="n"/>
      <c r="AA105" s="24" t="n"/>
    </row>
    <row r="106">
      <c r="A106" s="22" t="n"/>
      <c r="B106" s="22" t="n"/>
      <c r="C106" s="22" t="n"/>
      <c r="D106" s="22" t="n"/>
      <c r="E106" s="22" t="n"/>
      <c r="F106" s="22" t="n"/>
      <c r="G106" s="22" t="n"/>
      <c r="H106" s="22" t="n"/>
      <c r="I106" s="22" t="n"/>
      <c r="J106" s="22" t="n"/>
      <c r="K106" s="22" t="n"/>
      <c r="L106" s="22" t="n"/>
      <c r="M106" s="22" t="n"/>
      <c r="N106" s="35" t="n"/>
      <c r="O106" s="22">
        <f>IF(COUNTA(A106:N106,P106:AA106)=0,"",IF(TRIM(A106)="","AIR-ID missing",IF(SUMPRODUCT(--(TRIM($A$4:$A$206)=TRIM(A106)))&gt;1,"Duplicate AIR-ID",IF(OR(B106="",E106="",G106="",H106="",I106="",N106=""),"Required field missing (name, owner, stage, status or next review)",IF(NOT(ISNUMBER(N106)),"Next review is not a date",IF(OR(AND(R106&lt;&gt;"",NOT(ISNUMBER(R106))),AND(S106&lt;&gt;"",NOT(ISNUMBER(S106))),AND(X106&lt;&gt;"",NOT(ISNUMBER(X106)))),"Date field is not a date",IF(AND(OR(H106="Approved",H106="Approved with conditions"),OR(K106="",L106="")),"Approval evidence refs missing",IF(AND(I106="Active",H106&lt;&gt;"Approved",H106&lt;&gt;"Approved with conditions"),"Active without approved status",IF(AND(I106="Active",G106&lt;&gt;"Deployment and Operation",G106&lt;&gt;"Monitoring and Review"),"Active in wrong lifecycle stage",IF(AND(I106="Active",P106=""),"Active without UC-ID link",IF(AND(OR(J106="Yes",J106="Unsure"),M106=""),"Agent evidence ref missing",IF(AND(I106="Active",W106&lt;&gt;"Yes"),"Active without monitoring in place",IF(N106&lt;TODAY(),"Review overdue","Check refs against source")))))))))))))</f>
        <v/>
      </c>
      <c r="P106" s="22" t="n"/>
      <c r="Q106" s="22" t="n"/>
      <c r="R106" s="35" t="n"/>
      <c r="S106" s="35" t="n"/>
      <c r="T106" s="22" t="n"/>
      <c r="U106" s="22" t="n"/>
      <c r="V106" s="22" t="n"/>
      <c r="W106" s="22" t="n"/>
      <c r="X106" s="35" t="n"/>
      <c r="Y106" s="22" t="n"/>
      <c r="Z106" s="22" t="n"/>
      <c r="AA106" s="22" t="n"/>
    </row>
    <row r="107">
      <c r="A107" s="24" t="n"/>
      <c r="B107" s="24" t="n"/>
      <c r="C107" s="24" t="n"/>
      <c r="D107" s="24" t="n"/>
      <c r="E107" s="24" t="n"/>
      <c r="F107" s="24" t="n"/>
      <c r="G107" s="24" t="n"/>
      <c r="H107" s="24" t="n"/>
      <c r="I107" s="24" t="n"/>
      <c r="J107" s="24" t="n"/>
      <c r="K107" s="24" t="n"/>
      <c r="L107" s="24" t="n"/>
      <c r="M107" s="24" t="n"/>
      <c r="N107" s="36" t="n"/>
      <c r="O107" s="24">
        <f>IF(COUNTA(A107:N107,P107:AA107)=0,"",IF(TRIM(A107)="","AIR-ID missing",IF(SUMPRODUCT(--(TRIM($A$4:$A$206)=TRIM(A107)))&gt;1,"Duplicate AIR-ID",IF(OR(B107="",E107="",G107="",H107="",I107="",N107=""),"Required field missing (name, owner, stage, status or next review)",IF(NOT(ISNUMBER(N107)),"Next review is not a date",IF(OR(AND(R107&lt;&gt;"",NOT(ISNUMBER(R107))),AND(S107&lt;&gt;"",NOT(ISNUMBER(S107))),AND(X107&lt;&gt;"",NOT(ISNUMBER(X107)))),"Date field is not a date",IF(AND(OR(H107="Approved",H107="Approved with conditions"),OR(K107="",L107="")),"Approval evidence refs missing",IF(AND(I107="Active",H107&lt;&gt;"Approved",H107&lt;&gt;"Approved with conditions"),"Active without approved status",IF(AND(I107="Active",G107&lt;&gt;"Deployment and Operation",G107&lt;&gt;"Monitoring and Review"),"Active in wrong lifecycle stage",IF(AND(I107="Active",P107=""),"Active without UC-ID link",IF(AND(OR(J107="Yes",J107="Unsure"),M107=""),"Agent evidence ref missing",IF(AND(I107="Active",W107&lt;&gt;"Yes"),"Active without monitoring in place",IF(N107&lt;TODAY(),"Review overdue","Check refs against source")))))))))))))</f>
        <v/>
      </c>
      <c r="P107" s="24" t="n"/>
      <c r="Q107" s="24" t="n"/>
      <c r="R107" s="36" t="n"/>
      <c r="S107" s="36" t="n"/>
      <c r="T107" s="24" t="n"/>
      <c r="U107" s="24" t="n"/>
      <c r="V107" s="24" t="n"/>
      <c r="W107" s="24" t="n"/>
      <c r="X107" s="36" t="n"/>
      <c r="Y107" s="24" t="n"/>
      <c r="Z107" s="24" t="n"/>
      <c r="AA107" s="24" t="n"/>
    </row>
    <row r="108">
      <c r="A108" s="22" t="n"/>
      <c r="B108" s="22" t="n"/>
      <c r="C108" s="22" t="n"/>
      <c r="D108" s="22" t="n"/>
      <c r="E108" s="22" t="n"/>
      <c r="F108" s="22" t="n"/>
      <c r="G108" s="22" t="n"/>
      <c r="H108" s="22" t="n"/>
      <c r="I108" s="22" t="n"/>
      <c r="J108" s="22" t="n"/>
      <c r="K108" s="22" t="n"/>
      <c r="L108" s="22" t="n"/>
      <c r="M108" s="22" t="n"/>
      <c r="N108" s="35" t="n"/>
      <c r="O108" s="22">
        <f>IF(COUNTA(A108:N108,P108:AA108)=0,"",IF(TRIM(A108)="","AIR-ID missing",IF(SUMPRODUCT(--(TRIM($A$4:$A$206)=TRIM(A108)))&gt;1,"Duplicate AIR-ID",IF(OR(B108="",E108="",G108="",H108="",I108="",N108=""),"Required field missing (name, owner, stage, status or next review)",IF(NOT(ISNUMBER(N108)),"Next review is not a date",IF(OR(AND(R108&lt;&gt;"",NOT(ISNUMBER(R108))),AND(S108&lt;&gt;"",NOT(ISNUMBER(S108))),AND(X108&lt;&gt;"",NOT(ISNUMBER(X108)))),"Date field is not a date",IF(AND(OR(H108="Approved",H108="Approved with conditions"),OR(K108="",L108="")),"Approval evidence refs missing",IF(AND(I108="Active",H108&lt;&gt;"Approved",H108&lt;&gt;"Approved with conditions"),"Active without approved status",IF(AND(I108="Active",G108&lt;&gt;"Deployment and Operation",G108&lt;&gt;"Monitoring and Review"),"Active in wrong lifecycle stage",IF(AND(I108="Active",P108=""),"Active without UC-ID link",IF(AND(OR(J108="Yes",J108="Unsure"),M108=""),"Agent evidence ref missing",IF(AND(I108="Active",W108&lt;&gt;"Yes"),"Active without monitoring in place",IF(N108&lt;TODAY(),"Review overdue","Check refs against source")))))))))))))</f>
        <v/>
      </c>
      <c r="P108" s="22" t="n"/>
      <c r="Q108" s="22" t="n"/>
      <c r="R108" s="35" t="n"/>
      <c r="S108" s="35" t="n"/>
      <c r="T108" s="22" t="n"/>
      <c r="U108" s="22" t="n"/>
      <c r="V108" s="22" t="n"/>
      <c r="W108" s="22" t="n"/>
      <c r="X108" s="35" t="n"/>
      <c r="Y108" s="22" t="n"/>
      <c r="Z108" s="22" t="n"/>
      <c r="AA108" s="22" t="n"/>
    </row>
    <row r="109">
      <c r="A109" s="24" t="n"/>
      <c r="B109" s="24" t="n"/>
      <c r="C109" s="24" t="n"/>
      <c r="D109" s="24" t="n"/>
      <c r="E109" s="24" t="n"/>
      <c r="F109" s="24" t="n"/>
      <c r="G109" s="24" t="n"/>
      <c r="H109" s="24" t="n"/>
      <c r="I109" s="24" t="n"/>
      <c r="J109" s="24" t="n"/>
      <c r="K109" s="24" t="n"/>
      <c r="L109" s="24" t="n"/>
      <c r="M109" s="24" t="n"/>
      <c r="N109" s="36" t="n"/>
      <c r="O109" s="24">
        <f>IF(COUNTA(A109:N109,P109:AA109)=0,"",IF(TRIM(A109)="","AIR-ID missing",IF(SUMPRODUCT(--(TRIM($A$4:$A$206)=TRIM(A109)))&gt;1,"Duplicate AIR-ID",IF(OR(B109="",E109="",G109="",H109="",I109="",N109=""),"Required field missing (name, owner, stage, status or next review)",IF(NOT(ISNUMBER(N109)),"Next review is not a date",IF(OR(AND(R109&lt;&gt;"",NOT(ISNUMBER(R109))),AND(S109&lt;&gt;"",NOT(ISNUMBER(S109))),AND(X109&lt;&gt;"",NOT(ISNUMBER(X109)))),"Date field is not a date",IF(AND(OR(H109="Approved",H109="Approved with conditions"),OR(K109="",L109="")),"Approval evidence refs missing",IF(AND(I109="Active",H109&lt;&gt;"Approved",H109&lt;&gt;"Approved with conditions"),"Active without approved status",IF(AND(I109="Active",G109&lt;&gt;"Deployment and Operation",G109&lt;&gt;"Monitoring and Review"),"Active in wrong lifecycle stage",IF(AND(I109="Active",P109=""),"Active without UC-ID link",IF(AND(OR(J109="Yes",J109="Unsure"),M109=""),"Agent evidence ref missing",IF(AND(I109="Active",W109&lt;&gt;"Yes"),"Active without monitoring in place",IF(N109&lt;TODAY(),"Review overdue","Check refs against source")))))))))))))</f>
        <v/>
      </c>
      <c r="P109" s="24" t="n"/>
      <c r="Q109" s="24" t="n"/>
      <c r="R109" s="36" t="n"/>
      <c r="S109" s="36" t="n"/>
      <c r="T109" s="24" t="n"/>
      <c r="U109" s="24" t="n"/>
      <c r="V109" s="24" t="n"/>
      <c r="W109" s="24" t="n"/>
      <c r="X109" s="36" t="n"/>
      <c r="Y109" s="24" t="n"/>
      <c r="Z109" s="24" t="n"/>
      <c r="AA109" s="24" t="n"/>
    </row>
    <row r="110">
      <c r="A110" s="22" t="n"/>
      <c r="B110" s="22" t="n"/>
      <c r="C110" s="22" t="n"/>
      <c r="D110" s="22" t="n"/>
      <c r="E110" s="22" t="n"/>
      <c r="F110" s="22" t="n"/>
      <c r="G110" s="22" t="n"/>
      <c r="H110" s="22" t="n"/>
      <c r="I110" s="22" t="n"/>
      <c r="J110" s="22" t="n"/>
      <c r="K110" s="22" t="n"/>
      <c r="L110" s="22" t="n"/>
      <c r="M110" s="22" t="n"/>
      <c r="N110" s="35" t="n"/>
      <c r="O110" s="22">
        <f>IF(COUNTA(A110:N110,P110:AA110)=0,"",IF(TRIM(A110)="","AIR-ID missing",IF(SUMPRODUCT(--(TRIM($A$4:$A$206)=TRIM(A110)))&gt;1,"Duplicate AIR-ID",IF(OR(B110="",E110="",G110="",H110="",I110="",N110=""),"Required field missing (name, owner, stage, status or next review)",IF(NOT(ISNUMBER(N110)),"Next review is not a date",IF(OR(AND(R110&lt;&gt;"",NOT(ISNUMBER(R110))),AND(S110&lt;&gt;"",NOT(ISNUMBER(S110))),AND(X110&lt;&gt;"",NOT(ISNUMBER(X110)))),"Date field is not a date",IF(AND(OR(H110="Approved",H110="Approved with conditions"),OR(K110="",L110="")),"Approval evidence refs missing",IF(AND(I110="Active",H110&lt;&gt;"Approved",H110&lt;&gt;"Approved with conditions"),"Active without approved status",IF(AND(I110="Active",G110&lt;&gt;"Deployment and Operation",G110&lt;&gt;"Monitoring and Review"),"Active in wrong lifecycle stage",IF(AND(I110="Active",P110=""),"Active without UC-ID link",IF(AND(OR(J110="Yes",J110="Unsure"),M110=""),"Agent evidence ref missing",IF(AND(I110="Active",W110&lt;&gt;"Yes"),"Active without monitoring in place",IF(N110&lt;TODAY(),"Review overdue","Check refs against source")))))))))))))</f>
        <v/>
      </c>
      <c r="P110" s="22" t="n"/>
      <c r="Q110" s="22" t="n"/>
      <c r="R110" s="35" t="n"/>
      <c r="S110" s="35" t="n"/>
      <c r="T110" s="22" t="n"/>
      <c r="U110" s="22" t="n"/>
      <c r="V110" s="22" t="n"/>
      <c r="W110" s="22" t="n"/>
      <c r="X110" s="35" t="n"/>
      <c r="Y110" s="22" t="n"/>
      <c r="Z110" s="22" t="n"/>
      <c r="AA110" s="22" t="n"/>
    </row>
    <row r="111">
      <c r="A111" s="24" t="n"/>
      <c r="B111" s="24" t="n"/>
      <c r="C111" s="24" t="n"/>
      <c r="D111" s="24" t="n"/>
      <c r="E111" s="24" t="n"/>
      <c r="F111" s="24" t="n"/>
      <c r="G111" s="24" t="n"/>
      <c r="H111" s="24" t="n"/>
      <c r="I111" s="24" t="n"/>
      <c r="J111" s="24" t="n"/>
      <c r="K111" s="24" t="n"/>
      <c r="L111" s="24" t="n"/>
      <c r="M111" s="24" t="n"/>
      <c r="N111" s="36" t="n"/>
      <c r="O111" s="24">
        <f>IF(COUNTA(A111:N111,P111:AA111)=0,"",IF(TRIM(A111)="","AIR-ID missing",IF(SUMPRODUCT(--(TRIM($A$4:$A$206)=TRIM(A111)))&gt;1,"Duplicate AIR-ID",IF(OR(B111="",E111="",G111="",H111="",I111="",N111=""),"Required field missing (name, owner, stage, status or next review)",IF(NOT(ISNUMBER(N111)),"Next review is not a date",IF(OR(AND(R111&lt;&gt;"",NOT(ISNUMBER(R111))),AND(S111&lt;&gt;"",NOT(ISNUMBER(S111))),AND(X111&lt;&gt;"",NOT(ISNUMBER(X111)))),"Date field is not a date",IF(AND(OR(H111="Approved",H111="Approved with conditions"),OR(K111="",L111="")),"Approval evidence refs missing",IF(AND(I111="Active",H111&lt;&gt;"Approved",H111&lt;&gt;"Approved with conditions"),"Active without approved status",IF(AND(I111="Active",G111&lt;&gt;"Deployment and Operation",G111&lt;&gt;"Monitoring and Review"),"Active in wrong lifecycle stage",IF(AND(I111="Active",P111=""),"Active without UC-ID link",IF(AND(OR(J111="Yes",J111="Unsure"),M111=""),"Agent evidence ref missing",IF(AND(I111="Active",W111&lt;&gt;"Yes"),"Active without monitoring in place",IF(N111&lt;TODAY(),"Review overdue","Check refs against source")))))))))))))</f>
        <v/>
      </c>
      <c r="P111" s="24" t="n"/>
      <c r="Q111" s="24" t="n"/>
      <c r="R111" s="36" t="n"/>
      <c r="S111" s="36" t="n"/>
      <c r="T111" s="24" t="n"/>
      <c r="U111" s="24" t="n"/>
      <c r="V111" s="24" t="n"/>
      <c r="W111" s="24" t="n"/>
      <c r="X111" s="36" t="n"/>
      <c r="Y111" s="24" t="n"/>
      <c r="Z111" s="24" t="n"/>
      <c r="AA111" s="24" t="n"/>
    </row>
    <row r="112">
      <c r="A112" s="22" t="n"/>
      <c r="B112" s="22" t="n"/>
      <c r="C112" s="22" t="n"/>
      <c r="D112" s="22" t="n"/>
      <c r="E112" s="22" t="n"/>
      <c r="F112" s="22" t="n"/>
      <c r="G112" s="22" t="n"/>
      <c r="H112" s="22" t="n"/>
      <c r="I112" s="22" t="n"/>
      <c r="J112" s="22" t="n"/>
      <c r="K112" s="22" t="n"/>
      <c r="L112" s="22" t="n"/>
      <c r="M112" s="22" t="n"/>
      <c r="N112" s="35" t="n"/>
      <c r="O112" s="22">
        <f>IF(COUNTA(A112:N112,P112:AA112)=0,"",IF(TRIM(A112)="","AIR-ID missing",IF(SUMPRODUCT(--(TRIM($A$4:$A$206)=TRIM(A112)))&gt;1,"Duplicate AIR-ID",IF(OR(B112="",E112="",G112="",H112="",I112="",N112=""),"Required field missing (name, owner, stage, status or next review)",IF(NOT(ISNUMBER(N112)),"Next review is not a date",IF(OR(AND(R112&lt;&gt;"",NOT(ISNUMBER(R112))),AND(S112&lt;&gt;"",NOT(ISNUMBER(S112))),AND(X112&lt;&gt;"",NOT(ISNUMBER(X112)))),"Date field is not a date",IF(AND(OR(H112="Approved",H112="Approved with conditions"),OR(K112="",L112="")),"Approval evidence refs missing",IF(AND(I112="Active",H112&lt;&gt;"Approved",H112&lt;&gt;"Approved with conditions"),"Active without approved status",IF(AND(I112="Active",G112&lt;&gt;"Deployment and Operation",G112&lt;&gt;"Monitoring and Review"),"Active in wrong lifecycle stage",IF(AND(I112="Active",P112=""),"Active without UC-ID link",IF(AND(OR(J112="Yes",J112="Unsure"),M112=""),"Agent evidence ref missing",IF(AND(I112="Active",W112&lt;&gt;"Yes"),"Active without monitoring in place",IF(N112&lt;TODAY(),"Review overdue","Check refs against source")))))))))))))</f>
        <v/>
      </c>
      <c r="P112" s="22" t="n"/>
      <c r="Q112" s="22" t="n"/>
      <c r="R112" s="35" t="n"/>
      <c r="S112" s="35" t="n"/>
      <c r="T112" s="22" t="n"/>
      <c r="U112" s="22" t="n"/>
      <c r="V112" s="22" t="n"/>
      <c r="W112" s="22" t="n"/>
      <c r="X112" s="35" t="n"/>
      <c r="Y112" s="22" t="n"/>
      <c r="Z112" s="22" t="n"/>
      <c r="AA112" s="22" t="n"/>
    </row>
    <row r="113">
      <c r="A113" s="24" t="n"/>
      <c r="B113" s="24" t="n"/>
      <c r="C113" s="24" t="n"/>
      <c r="D113" s="24" t="n"/>
      <c r="E113" s="24" t="n"/>
      <c r="F113" s="24" t="n"/>
      <c r="G113" s="24" t="n"/>
      <c r="H113" s="24" t="n"/>
      <c r="I113" s="24" t="n"/>
      <c r="J113" s="24" t="n"/>
      <c r="K113" s="24" t="n"/>
      <c r="L113" s="24" t="n"/>
      <c r="M113" s="24" t="n"/>
      <c r="N113" s="36" t="n"/>
      <c r="O113" s="24">
        <f>IF(COUNTA(A113:N113,P113:AA113)=0,"",IF(TRIM(A113)="","AIR-ID missing",IF(SUMPRODUCT(--(TRIM($A$4:$A$206)=TRIM(A113)))&gt;1,"Duplicate AIR-ID",IF(OR(B113="",E113="",G113="",H113="",I113="",N113=""),"Required field missing (name, owner, stage, status or next review)",IF(NOT(ISNUMBER(N113)),"Next review is not a date",IF(OR(AND(R113&lt;&gt;"",NOT(ISNUMBER(R113))),AND(S113&lt;&gt;"",NOT(ISNUMBER(S113))),AND(X113&lt;&gt;"",NOT(ISNUMBER(X113)))),"Date field is not a date",IF(AND(OR(H113="Approved",H113="Approved with conditions"),OR(K113="",L113="")),"Approval evidence refs missing",IF(AND(I113="Active",H113&lt;&gt;"Approved",H113&lt;&gt;"Approved with conditions"),"Active without approved status",IF(AND(I113="Active",G113&lt;&gt;"Deployment and Operation",G113&lt;&gt;"Monitoring and Review"),"Active in wrong lifecycle stage",IF(AND(I113="Active",P113=""),"Active without UC-ID link",IF(AND(OR(J113="Yes",J113="Unsure"),M113=""),"Agent evidence ref missing",IF(AND(I113="Active",W113&lt;&gt;"Yes"),"Active without monitoring in place",IF(N113&lt;TODAY(),"Review overdue","Check refs against source")))))))))))))</f>
        <v/>
      </c>
      <c r="P113" s="24" t="n"/>
      <c r="Q113" s="24" t="n"/>
      <c r="R113" s="36" t="n"/>
      <c r="S113" s="36" t="n"/>
      <c r="T113" s="24" t="n"/>
      <c r="U113" s="24" t="n"/>
      <c r="V113" s="24" t="n"/>
      <c r="W113" s="24" t="n"/>
      <c r="X113" s="36" t="n"/>
      <c r="Y113" s="24" t="n"/>
      <c r="Z113" s="24" t="n"/>
      <c r="AA113" s="24" t="n"/>
    </row>
    <row r="114">
      <c r="A114" s="22" t="n"/>
      <c r="B114" s="22" t="n"/>
      <c r="C114" s="22" t="n"/>
      <c r="D114" s="22" t="n"/>
      <c r="E114" s="22" t="n"/>
      <c r="F114" s="22" t="n"/>
      <c r="G114" s="22" t="n"/>
      <c r="H114" s="22" t="n"/>
      <c r="I114" s="22" t="n"/>
      <c r="J114" s="22" t="n"/>
      <c r="K114" s="22" t="n"/>
      <c r="L114" s="22" t="n"/>
      <c r="M114" s="22" t="n"/>
      <c r="N114" s="35" t="n"/>
      <c r="O114" s="22">
        <f>IF(COUNTA(A114:N114,P114:AA114)=0,"",IF(TRIM(A114)="","AIR-ID missing",IF(SUMPRODUCT(--(TRIM($A$4:$A$206)=TRIM(A114)))&gt;1,"Duplicate AIR-ID",IF(OR(B114="",E114="",G114="",H114="",I114="",N114=""),"Required field missing (name, owner, stage, status or next review)",IF(NOT(ISNUMBER(N114)),"Next review is not a date",IF(OR(AND(R114&lt;&gt;"",NOT(ISNUMBER(R114))),AND(S114&lt;&gt;"",NOT(ISNUMBER(S114))),AND(X114&lt;&gt;"",NOT(ISNUMBER(X114)))),"Date field is not a date",IF(AND(OR(H114="Approved",H114="Approved with conditions"),OR(K114="",L114="")),"Approval evidence refs missing",IF(AND(I114="Active",H114&lt;&gt;"Approved",H114&lt;&gt;"Approved with conditions"),"Active without approved status",IF(AND(I114="Active",G114&lt;&gt;"Deployment and Operation",G114&lt;&gt;"Monitoring and Review"),"Active in wrong lifecycle stage",IF(AND(I114="Active",P114=""),"Active without UC-ID link",IF(AND(OR(J114="Yes",J114="Unsure"),M114=""),"Agent evidence ref missing",IF(AND(I114="Active",W114&lt;&gt;"Yes"),"Active without monitoring in place",IF(N114&lt;TODAY(),"Review overdue","Check refs against source")))))))))))))</f>
        <v/>
      </c>
      <c r="P114" s="22" t="n"/>
      <c r="Q114" s="22" t="n"/>
      <c r="R114" s="35" t="n"/>
      <c r="S114" s="35" t="n"/>
      <c r="T114" s="22" t="n"/>
      <c r="U114" s="22" t="n"/>
      <c r="V114" s="22" t="n"/>
      <c r="W114" s="22" t="n"/>
      <c r="X114" s="35" t="n"/>
      <c r="Y114" s="22" t="n"/>
      <c r="Z114" s="22" t="n"/>
      <c r="AA114" s="22" t="n"/>
    </row>
    <row r="115">
      <c r="A115" s="24" t="n"/>
      <c r="B115" s="24" t="n"/>
      <c r="C115" s="24" t="n"/>
      <c r="D115" s="24" t="n"/>
      <c r="E115" s="24" t="n"/>
      <c r="F115" s="24" t="n"/>
      <c r="G115" s="24" t="n"/>
      <c r="H115" s="24" t="n"/>
      <c r="I115" s="24" t="n"/>
      <c r="J115" s="24" t="n"/>
      <c r="K115" s="24" t="n"/>
      <c r="L115" s="24" t="n"/>
      <c r="M115" s="24" t="n"/>
      <c r="N115" s="36" t="n"/>
      <c r="O115" s="24">
        <f>IF(COUNTA(A115:N115,P115:AA115)=0,"",IF(TRIM(A115)="","AIR-ID missing",IF(SUMPRODUCT(--(TRIM($A$4:$A$206)=TRIM(A115)))&gt;1,"Duplicate AIR-ID",IF(OR(B115="",E115="",G115="",H115="",I115="",N115=""),"Required field missing (name, owner, stage, status or next review)",IF(NOT(ISNUMBER(N115)),"Next review is not a date",IF(OR(AND(R115&lt;&gt;"",NOT(ISNUMBER(R115))),AND(S115&lt;&gt;"",NOT(ISNUMBER(S115))),AND(X115&lt;&gt;"",NOT(ISNUMBER(X115)))),"Date field is not a date",IF(AND(OR(H115="Approved",H115="Approved with conditions"),OR(K115="",L115="")),"Approval evidence refs missing",IF(AND(I115="Active",H115&lt;&gt;"Approved",H115&lt;&gt;"Approved with conditions"),"Active without approved status",IF(AND(I115="Active",G115&lt;&gt;"Deployment and Operation",G115&lt;&gt;"Monitoring and Review"),"Active in wrong lifecycle stage",IF(AND(I115="Active",P115=""),"Active without UC-ID link",IF(AND(OR(J115="Yes",J115="Unsure"),M115=""),"Agent evidence ref missing",IF(AND(I115="Active",W115&lt;&gt;"Yes"),"Active without monitoring in place",IF(N115&lt;TODAY(),"Review overdue","Check refs against source")))))))))))))</f>
        <v/>
      </c>
      <c r="P115" s="24" t="n"/>
      <c r="Q115" s="24" t="n"/>
      <c r="R115" s="36" t="n"/>
      <c r="S115" s="36" t="n"/>
      <c r="T115" s="24" t="n"/>
      <c r="U115" s="24" t="n"/>
      <c r="V115" s="24" t="n"/>
      <c r="W115" s="24" t="n"/>
      <c r="X115" s="36" t="n"/>
      <c r="Y115" s="24" t="n"/>
      <c r="Z115" s="24" t="n"/>
      <c r="AA115" s="24" t="n"/>
    </row>
    <row r="116">
      <c r="A116" s="22" t="n"/>
      <c r="B116" s="22" t="n"/>
      <c r="C116" s="22" t="n"/>
      <c r="D116" s="22" t="n"/>
      <c r="E116" s="22" t="n"/>
      <c r="F116" s="22" t="n"/>
      <c r="G116" s="22" t="n"/>
      <c r="H116" s="22" t="n"/>
      <c r="I116" s="22" t="n"/>
      <c r="J116" s="22" t="n"/>
      <c r="K116" s="22" t="n"/>
      <c r="L116" s="22" t="n"/>
      <c r="M116" s="22" t="n"/>
      <c r="N116" s="35" t="n"/>
      <c r="O116" s="22">
        <f>IF(COUNTA(A116:N116,P116:AA116)=0,"",IF(TRIM(A116)="","AIR-ID missing",IF(SUMPRODUCT(--(TRIM($A$4:$A$206)=TRIM(A116)))&gt;1,"Duplicate AIR-ID",IF(OR(B116="",E116="",G116="",H116="",I116="",N116=""),"Required field missing (name, owner, stage, status or next review)",IF(NOT(ISNUMBER(N116)),"Next review is not a date",IF(OR(AND(R116&lt;&gt;"",NOT(ISNUMBER(R116))),AND(S116&lt;&gt;"",NOT(ISNUMBER(S116))),AND(X116&lt;&gt;"",NOT(ISNUMBER(X116)))),"Date field is not a date",IF(AND(OR(H116="Approved",H116="Approved with conditions"),OR(K116="",L116="")),"Approval evidence refs missing",IF(AND(I116="Active",H116&lt;&gt;"Approved",H116&lt;&gt;"Approved with conditions"),"Active without approved status",IF(AND(I116="Active",G116&lt;&gt;"Deployment and Operation",G116&lt;&gt;"Monitoring and Review"),"Active in wrong lifecycle stage",IF(AND(I116="Active",P116=""),"Active without UC-ID link",IF(AND(OR(J116="Yes",J116="Unsure"),M116=""),"Agent evidence ref missing",IF(AND(I116="Active",W116&lt;&gt;"Yes"),"Active without monitoring in place",IF(N116&lt;TODAY(),"Review overdue","Check refs against source")))))))))))))</f>
        <v/>
      </c>
      <c r="P116" s="22" t="n"/>
      <c r="Q116" s="22" t="n"/>
      <c r="R116" s="35" t="n"/>
      <c r="S116" s="35" t="n"/>
      <c r="T116" s="22" t="n"/>
      <c r="U116" s="22" t="n"/>
      <c r="V116" s="22" t="n"/>
      <c r="W116" s="22" t="n"/>
      <c r="X116" s="35" t="n"/>
      <c r="Y116" s="22" t="n"/>
      <c r="Z116" s="22" t="n"/>
      <c r="AA116" s="22" t="n"/>
    </row>
    <row r="117">
      <c r="A117" s="24" t="n"/>
      <c r="B117" s="24" t="n"/>
      <c r="C117" s="24" t="n"/>
      <c r="D117" s="24" t="n"/>
      <c r="E117" s="24" t="n"/>
      <c r="F117" s="24" t="n"/>
      <c r="G117" s="24" t="n"/>
      <c r="H117" s="24" t="n"/>
      <c r="I117" s="24" t="n"/>
      <c r="J117" s="24" t="n"/>
      <c r="K117" s="24" t="n"/>
      <c r="L117" s="24" t="n"/>
      <c r="M117" s="24" t="n"/>
      <c r="N117" s="36" t="n"/>
      <c r="O117" s="24">
        <f>IF(COUNTA(A117:N117,P117:AA117)=0,"",IF(TRIM(A117)="","AIR-ID missing",IF(SUMPRODUCT(--(TRIM($A$4:$A$206)=TRIM(A117)))&gt;1,"Duplicate AIR-ID",IF(OR(B117="",E117="",G117="",H117="",I117="",N117=""),"Required field missing (name, owner, stage, status or next review)",IF(NOT(ISNUMBER(N117)),"Next review is not a date",IF(OR(AND(R117&lt;&gt;"",NOT(ISNUMBER(R117))),AND(S117&lt;&gt;"",NOT(ISNUMBER(S117))),AND(X117&lt;&gt;"",NOT(ISNUMBER(X117)))),"Date field is not a date",IF(AND(OR(H117="Approved",H117="Approved with conditions"),OR(K117="",L117="")),"Approval evidence refs missing",IF(AND(I117="Active",H117&lt;&gt;"Approved",H117&lt;&gt;"Approved with conditions"),"Active without approved status",IF(AND(I117="Active",G117&lt;&gt;"Deployment and Operation",G117&lt;&gt;"Monitoring and Review"),"Active in wrong lifecycle stage",IF(AND(I117="Active",P117=""),"Active without UC-ID link",IF(AND(OR(J117="Yes",J117="Unsure"),M117=""),"Agent evidence ref missing",IF(AND(I117="Active",W117&lt;&gt;"Yes"),"Active without monitoring in place",IF(N117&lt;TODAY(),"Review overdue","Check refs against source")))))))))))))</f>
        <v/>
      </c>
      <c r="P117" s="24" t="n"/>
      <c r="Q117" s="24" t="n"/>
      <c r="R117" s="36" t="n"/>
      <c r="S117" s="36" t="n"/>
      <c r="T117" s="24" t="n"/>
      <c r="U117" s="24" t="n"/>
      <c r="V117" s="24" t="n"/>
      <c r="W117" s="24" t="n"/>
      <c r="X117" s="36" t="n"/>
      <c r="Y117" s="24" t="n"/>
      <c r="Z117" s="24" t="n"/>
      <c r="AA117" s="24" t="n"/>
    </row>
    <row r="118">
      <c r="A118" s="22" t="n"/>
      <c r="B118" s="22" t="n"/>
      <c r="C118" s="22" t="n"/>
      <c r="D118" s="22" t="n"/>
      <c r="E118" s="22" t="n"/>
      <c r="F118" s="22" t="n"/>
      <c r="G118" s="22" t="n"/>
      <c r="H118" s="22" t="n"/>
      <c r="I118" s="22" t="n"/>
      <c r="J118" s="22" t="n"/>
      <c r="K118" s="22" t="n"/>
      <c r="L118" s="22" t="n"/>
      <c r="M118" s="22" t="n"/>
      <c r="N118" s="35" t="n"/>
      <c r="O118" s="22">
        <f>IF(COUNTA(A118:N118,P118:AA118)=0,"",IF(TRIM(A118)="","AIR-ID missing",IF(SUMPRODUCT(--(TRIM($A$4:$A$206)=TRIM(A118)))&gt;1,"Duplicate AIR-ID",IF(OR(B118="",E118="",G118="",H118="",I118="",N118=""),"Required field missing (name, owner, stage, status or next review)",IF(NOT(ISNUMBER(N118)),"Next review is not a date",IF(OR(AND(R118&lt;&gt;"",NOT(ISNUMBER(R118))),AND(S118&lt;&gt;"",NOT(ISNUMBER(S118))),AND(X118&lt;&gt;"",NOT(ISNUMBER(X118)))),"Date field is not a date",IF(AND(OR(H118="Approved",H118="Approved with conditions"),OR(K118="",L118="")),"Approval evidence refs missing",IF(AND(I118="Active",H118&lt;&gt;"Approved",H118&lt;&gt;"Approved with conditions"),"Active without approved status",IF(AND(I118="Active",G118&lt;&gt;"Deployment and Operation",G118&lt;&gt;"Monitoring and Review"),"Active in wrong lifecycle stage",IF(AND(I118="Active",P118=""),"Active without UC-ID link",IF(AND(OR(J118="Yes",J118="Unsure"),M118=""),"Agent evidence ref missing",IF(AND(I118="Active",W118&lt;&gt;"Yes"),"Active without monitoring in place",IF(N118&lt;TODAY(),"Review overdue","Check refs against source")))))))))))))</f>
        <v/>
      </c>
      <c r="P118" s="22" t="n"/>
      <c r="Q118" s="22" t="n"/>
      <c r="R118" s="35" t="n"/>
      <c r="S118" s="35" t="n"/>
      <c r="T118" s="22" t="n"/>
      <c r="U118" s="22" t="n"/>
      <c r="V118" s="22" t="n"/>
      <c r="W118" s="22" t="n"/>
      <c r="X118" s="35" t="n"/>
      <c r="Y118" s="22" t="n"/>
      <c r="Z118" s="22" t="n"/>
      <c r="AA118" s="22" t="n"/>
    </row>
    <row r="119">
      <c r="A119" s="24" t="n"/>
      <c r="B119" s="24" t="n"/>
      <c r="C119" s="24" t="n"/>
      <c r="D119" s="24" t="n"/>
      <c r="E119" s="24" t="n"/>
      <c r="F119" s="24" t="n"/>
      <c r="G119" s="24" t="n"/>
      <c r="H119" s="24" t="n"/>
      <c r="I119" s="24" t="n"/>
      <c r="J119" s="24" t="n"/>
      <c r="K119" s="24" t="n"/>
      <c r="L119" s="24" t="n"/>
      <c r="M119" s="24" t="n"/>
      <c r="N119" s="36" t="n"/>
      <c r="O119" s="24">
        <f>IF(COUNTA(A119:N119,P119:AA119)=0,"",IF(TRIM(A119)="","AIR-ID missing",IF(SUMPRODUCT(--(TRIM($A$4:$A$206)=TRIM(A119)))&gt;1,"Duplicate AIR-ID",IF(OR(B119="",E119="",G119="",H119="",I119="",N119=""),"Required field missing (name, owner, stage, status or next review)",IF(NOT(ISNUMBER(N119)),"Next review is not a date",IF(OR(AND(R119&lt;&gt;"",NOT(ISNUMBER(R119))),AND(S119&lt;&gt;"",NOT(ISNUMBER(S119))),AND(X119&lt;&gt;"",NOT(ISNUMBER(X119)))),"Date field is not a date",IF(AND(OR(H119="Approved",H119="Approved with conditions"),OR(K119="",L119="")),"Approval evidence refs missing",IF(AND(I119="Active",H119&lt;&gt;"Approved",H119&lt;&gt;"Approved with conditions"),"Active without approved status",IF(AND(I119="Active",G119&lt;&gt;"Deployment and Operation",G119&lt;&gt;"Monitoring and Review"),"Active in wrong lifecycle stage",IF(AND(I119="Active",P119=""),"Active without UC-ID link",IF(AND(OR(J119="Yes",J119="Unsure"),M119=""),"Agent evidence ref missing",IF(AND(I119="Active",W119&lt;&gt;"Yes"),"Active without monitoring in place",IF(N119&lt;TODAY(),"Review overdue","Check refs against source")))))))))))))</f>
        <v/>
      </c>
      <c r="P119" s="24" t="n"/>
      <c r="Q119" s="24" t="n"/>
      <c r="R119" s="36" t="n"/>
      <c r="S119" s="36" t="n"/>
      <c r="T119" s="24" t="n"/>
      <c r="U119" s="24" t="n"/>
      <c r="V119" s="24" t="n"/>
      <c r="W119" s="24" t="n"/>
      <c r="X119" s="36" t="n"/>
      <c r="Y119" s="24" t="n"/>
      <c r="Z119" s="24" t="n"/>
      <c r="AA119" s="24" t="n"/>
    </row>
    <row r="120">
      <c r="A120" s="22" t="n"/>
      <c r="B120" s="22" t="n"/>
      <c r="C120" s="22" t="n"/>
      <c r="D120" s="22" t="n"/>
      <c r="E120" s="22" t="n"/>
      <c r="F120" s="22" t="n"/>
      <c r="G120" s="22" t="n"/>
      <c r="H120" s="22" t="n"/>
      <c r="I120" s="22" t="n"/>
      <c r="J120" s="22" t="n"/>
      <c r="K120" s="22" t="n"/>
      <c r="L120" s="22" t="n"/>
      <c r="M120" s="22" t="n"/>
      <c r="N120" s="35" t="n"/>
      <c r="O120" s="22">
        <f>IF(COUNTA(A120:N120,P120:AA120)=0,"",IF(TRIM(A120)="","AIR-ID missing",IF(SUMPRODUCT(--(TRIM($A$4:$A$206)=TRIM(A120)))&gt;1,"Duplicate AIR-ID",IF(OR(B120="",E120="",G120="",H120="",I120="",N120=""),"Required field missing (name, owner, stage, status or next review)",IF(NOT(ISNUMBER(N120)),"Next review is not a date",IF(OR(AND(R120&lt;&gt;"",NOT(ISNUMBER(R120))),AND(S120&lt;&gt;"",NOT(ISNUMBER(S120))),AND(X120&lt;&gt;"",NOT(ISNUMBER(X120)))),"Date field is not a date",IF(AND(OR(H120="Approved",H120="Approved with conditions"),OR(K120="",L120="")),"Approval evidence refs missing",IF(AND(I120="Active",H120&lt;&gt;"Approved",H120&lt;&gt;"Approved with conditions"),"Active without approved status",IF(AND(I120="Active",G120&lt;&gt;"Deployment and Operation",G120&lt;&gt;"Monitoring and Review"),"Active in wrong lifecycle stage",IF(AND(I120="Active",P120=""),"Active without UC-ID link",IF(AND(OR(J120="Yes",J120="Unsure"),M120=""),"Agent evidence ref missing",IF(AND(I120="Active",W120&lt;&gt;"Yes"),"Active without monitoring in place",IF(N120&lt;TODAY(),"Review overdue","Check refs against source")))))))))))))</f>
        <v/>
      </c>
      <c r="P120" s="22" t="n"/>
      <c r="Q120" s="22" t="n"/>
      <c r="R120" s="35" t="n"/>
      <c r="S120" s="35" t="n"/>
      <c r="T120" s="22" t="n"/>
      <c r="U120" s="22" t="n"/>
      <c r="V120" s="22" t="n"/>
      <c r="W120" s="22" t="n"/>
      <c r="X120" s="35" t="n"/>
      <c r="Y120" s="22" t="n"/>
      <c r="Z120" s="22" t="n"/>
      <c r="AA120" s="22" t="n"/>
    </row>
    <row r="121">
      <c r="A121" s="24" t="n"/>
      <c r="B121" s="24" t="n"/>
      <c r="C121" s="24" t="n"/>
      <c r="D121" s="24" t="n"/>
      <c r="E121" s="24" t="n"/>
      <c r="F121" s="24" t="n"/>
      <c r="G121" s="24" t="n"/>
      <c r="H121" s="24" t="n"/>
      <c r="I121" s="24" t="n"/>
      <c r="J121" s="24" t="n"/>
      <c r="K121" s="24" t="n"/>
      <c r="L121" s="24" t="n"/>
      <c r="M121" s="24" t="n"/>
      <c r="N121" s="36" t="n"/>
      <c r="O121" s="24">
        <f>IF(COUNTA(A121:N121,P121:AA121)=0,"",IF(TRIM(A121)="","AIR-ID missing",IF(SUMPRODUCT(--(TRIM($A$4:$A$206)=TRIM(A121)))&gt;1,"Duplicate AIR-ID",IF(OR(B121="",E121="",G121="",H121="",I121="",N121=""),"Required field missing (name, owner, stage, status or next review)",IF(NOT(ISNUMBER(N121)),"Next review is not a date",IF(OR(AND(R121&lt;&gt;"",NOT(ISNUMBER(R121))),AND(S121&lt;&gt;"",NOT(ISNUMBER(S121))),AND(X121&lt;&gt;"",NOT(ISNUMBER(X121)))),"Date field is not a date",IF(AND(OR(H121="Approved",H121="Approved with conditions"),OR(K121="",L121="")),"Approval evidence refs missing",IF(AND(I121="Active",H121&lt;&gt;"Approved",H121&lt;&gt;"Approved with conditions"),"Active without approved status",IF(AND(I121="Active",G121&lt;&gt;"Deployment and Operation",G121&lt;&gt;"Monitoring and Review"),"Active in wrong lifecycle stage",IF(AND(I121="Active",P121=""),"Active without UC-ID link",IF(AND(OR(J121="Yes",J121="Unsure"),M121=""),"Agent evidence ref missing",IF(AND(I121="Active",W121&lt;&gt;"Yes"),"Active without monitoring in place",IF(N121&lt;TODAY(),"Review overdue","Check refs against source")))))))))))))</f>
        <v/>
      </c>
      <c r="P121" s="24" t="n"/>
      <c r="Q121" s="24" t="n"/>
      <c r="R121" s="36" t="n"/>
      <c r="S121" s="36" t="n"/>
      <c r="T121" s="24" t="n"/>
      <c r="U121" s="24" t="n"/>
      <c r="V121" s="24" t="n"/>
      <c r="W121" s="24" t="n"/>
      <c r="X121" s="36" t="n"/>
      <c r="Y121" s="24" t="n"/>
      <c r="Z121" s="24" t="n"/>
      <c r="AA121" s="24" t="n"/>
    </row>
    <row r="122">
      <c r="A122" s="22" t="n"/>
      <c r="B122" s="22" t="n"/>
      <c r="C122" s="22" t="n"/>
      <c r="D122" s="22" t="n"/>
      <c r="E122" s="22" t="n"/>
      <c r="F122" s="22" t="n"/>
      <c r="G122" s="22" t="n"/>
      <c r="H122" s="22" t="n"/>
      <c r="I122" s="22" t="n"/>
      <c r="J122" s="22" t="n"/>
      <c r="K122" s="22" t="n"/>
      <c r="L122" s="22" t="n"/>
      <c r="M122" s="22" t="n"/>
      <c r="N122" s="35" t="n"/>
      <c r="O122" s="22">
        <f>IF(COUNTA(A122:N122,P122:AA122)=0,"",IF(TRIM(A122)="","AIR-ID missing",IF(SUMPRODUCT(--(TRIM($A$4:$A$206)=TRIM(A122)))&gt;1,"Duplicate AIR-ID",IF(OR(B122="",E122="",G122="",H122="",I122="",N122=""),"Required field missing (name, owner, stage, status or next review)",IF(NOT(ISNUMBER(N122)),"Next review is not a date",IF(OR(AND(R122&lt;&gt;"",NOT(ISNUMBER(R122))),AND(S122&lt;&gt;"",NOT(ISNUMBER(S122))),AND(X122&lt;&gt;"",NOT(ISNUMBER(X122)))),"Date field is not a date",IF(AND(OR(H122="Approved",H122="Approved with conditions"),OR(K122="",L122="")),"Approval evidence refs missing",IF(AND(I122="Active",H122&lt;&gt;"Approved",H122&lt;&gt;"Approved with conditions"),"Active without approved status",IF(AND(I122="Active",G122&lt;&gt;"Deployment and Operation",G122&lt;&gt;"Monitoring and Review"),"Active in wrong lifecycle stage",IF(AND(I122="Active",P122=""),"Active without UC-ID link",IF(AND(OR(J122="Yes",J122="Unsure"),M122=""),"Agent evidence ref missing",IF(AND(I122="Active",W122&lt;&gt;"Yes"),"Active without monitoring in place",IF(N122&lt;TODAY(),"Review overdue","Check refs against source")))))))))))))</f>
        <v/>
      </c>
      <c r="P122" s="22" t="n"/>
      <c r="Q122" s="22" t="n"/>
      <c r="R122" s="35" t="n"/>
      <c r="S122" s="35" t="n"/>
      <c r="T122" s="22" t="n"/>
      <c r="U122" s="22" t="n"/>
      <c r="V122" s="22" t="n"/>
      <c r="W122" s="22" t="n"/>
      <c r="X122" s="35" t="n"/>
      <c r="Y122" s="22" t="n"/>
      <c r="Z122" s="22" t="n"/>
      <c r="AA122" s="22" t="n"/>
    </row>
    <row r="123">
      <c r="A123" s="24" t="n"/>
      <c r="B123" s="24" t="n"/>
      <c r="C123" s="24" t="n"/>
      <c r="D123" s="24" t="n"/>
      <c r="E123" s="24" t="n"/>
      <c r="F123" s="24" t="n"/>
      <c r="G123" s="24" t="n"/>
      <c r="H123" s="24" t="n"/>
      <c r="I123" s="24" t="n"/>
      <c r="J123" s="24" t="n"/>
      <c r="K123" s="24" t="n"/>
      <c r="L123" s="24" t="n"/>
      <c r="M123" s="24" t="n"/>
      <c r="N123" s="36" t="n"/>
      <c r="O123" s="24">
        <f>IF(COUNTA(A123:N123,P123:AA123)=0,"",IF(TRIM(A123)="","AIR-ID missing",IF(SUMPRODUCT(--(TRIM($A$4:$A$206)=TRIM(A123)))&gt;1,"Duplicate AIR-ID",IF(OR(B123="",E123="",G123="",H123="",I123="",N123=""),"Required field missing (name, owner, stage, status or next review)",IF(NOT(ISNUMBER(N123)),"Next review is not a date",IF(OR(AND(R123&lt;&gt;"",NOT(ISNUMBER(R123))),AND(S123&lt;&gt;"",NOT(ISNUMBER(S123))),AND(X123&lt;&gt;"",NOT(ISNUMBER(X123)))),"Date field is not a date",IF(AND(OR(H123="Approved",H123="Approved with conditions"),OR(K123="",L123="")),"Approval evidence refs missing",IF(AND(I123="Active",H123&lt;&gt;"Approved",H123&lt;&gt;"Approved with conditions"),"Active without approved status",IF(AND(I123="Active",G123&lt;&gt;"Deployment and Operation",G123&lt;&gt;"Monitoring and Review"),"Active in wrong lifecycle stage",IF(AND(I123="Active",P123=""),"Active without UC-ID link",IF(AND(OR(J123="Yes",J123="Unsure"),M123=""),"Agent evidence ref missing",IF(AND(I123="Active",W123&lt;&gt;"Yes"),"Active without monitoring in place",IF(N123&lt;TODAY(),"Review overdue","Check refs against source")))))))))))))</f>
        <v/>
      </c>
      <c r="P123" s="24" t="n"/>
      <c r="Q123" s="24" t="n"/>
      <c r="R123" s="36" t="n"/>
      <c r="S123" s="36" t="n"/>
      <c r="T123" s="24" t="n"/>
      <c r="U123" s="24" t="n"/>
      <c r="V123" s="24" t="n"/>
      <c r="W123" s="24" t="n"/>
      <c r="X123" s="36" t="n"/>
      <c r="Y123" s="24" t="n"/>
      <c r="Z123" s="24" t="n"/>
      <c r="AA123" s="24" t="n"/>
    </row>
    <row r="124">
      <c r="A124" s="22" t="n"/>
      <c r="B124" s="22" t="n"/>
      <c r="C124" s="22" t="n"/>
      <c r="D124" s="22" t="n"/>
      <c r="E124" s="22" t="n"/>
      <c r="F124" s="22" t="n"/>
      <c r="G124" s="22" t="n"/>
      <c r="H124" s="22" t="n"/>
      <c r="I124" s="22" t="n"/>
      <c r="J124" s="22" t="n"/>
      <c r="K124" s="22" t="n"/>
      <c r="L124" s="22" t="n"/>
      <c r="M124" s="22" t="n"/>
      <c r="N124" s="35" t="n"/>
      <c r="O124" s="22">
        <f>IF(COUNTA(A124:N124,P124:AA124)=0,"",IF(TRIM(A124)="","AIR-ID missing",IF(SUMPRODUCT(--(TRIM($A$4:$A$206)=TRIM(A124)))&gt;1,"Duplicate AIR-ID",IF(OR(B124="",E124="",G124="",H124="",I124="",N124=""),"Required field missing (name, owner, stage, status or next review)",IF(NOT(ISNUMBER(N124)),"Next review is not a date",IF(OR(AND(R124&lt;&gt;"",NOT(ISNUMBER(R124))),AND(S124&lt;&gt;"",NOT(ISNUMBER(S124))),AND(X124&lt;&gt;"",NOT(ISNUMBER(X124)))),"Date field is not a date",IF(AND(OR(H124="Approved",H124="Approved with conditions"),OR(K124="",L124="")),"Approval evidence refs missing",IF(AND(I124="Active",H124&lt;&gt;"Approved",H124&lt;&gt;"Approved with conditions"),"Active without approved status",IF(AND(I124="Active",G124&lt;&gt;"Deployment and Operation",G124&lt;&gt;"Monitoring and Review"),"Active in wrong lifecycle stage",IF(AND(I124="Active",P124=""),"Active without UC-ID link",IF(AND(OR(J124="Yes",J124="Unsure"),M124=""),"Agent evidence ref missing",IF(AND(I124="Active",W124&lt;&gt;"Yes"),"Active without monitoring in place",IF(N124&lt;TODAY(),"Review overdue","Check refs against source")))))))))))))</f>
        <v/>
      </c>
      <c r="P124" s="22" t="n"/>
      <c r="Q124" s="22" t="n"/>
      <c r="R124" s="35" t="n"/>
      <c r="S124" s="35" t="n"/>
      <c r="T124" s="22" t="n"/>
      <c r="U124" s="22" t="n"/>
      <c r="V124" s="22" t="n"/>
      <c r="W124" s="22" t="n"/>
      <c r="X124" s="35" t="n"/>
      <c r="Y124" s="22" t="n"/>
      <c r="Z124" s="22" t="n"/>
      <c r="AA124" s="22" t="n"/>
    </row>
    <row r="125">
      <c r="A125" s="24" t="n"/>
      <c r="B125" s="24" t="n"/>
      <c r="C125" s="24" t="n"/>
      <c r="D125" s="24" t="n"/>
      <c r="E125" s="24" t="n"/>
      <c r="F125" s="24" t="n"/>
      <c r="G125" s="24" t="n"/>
      <c r="H125" s="24" t="n"/>
      <c r="I125" s="24" t="n"/>
      <c r="J125" s="24" t="n"/>
      <c r="K125" s="24" t="n"/>
      <c r="L125" s="24" t="n"/>
      <c r="M125" s="24" t="n"/>
      <c r="N125" s="36" t="n"/>
      <c r="O125" s="24">
        <f>IF(COUNTA(A125:N125,P125:AA125)=0,"",IF(TRIM(A125)="","AIR-ID missing",IF(SUMPRODUCT(--(TRIM($A$4:$A$206)=TRIM(A125)))&gt;1,"Duplicate AIR-ID",IF(OR(B125="",E125="",G125="",H125="",I125="",N125=""),"Required field missing (name, owner, stage, status or next review)",IF(NOT(ISNUMBER(N125)),"Next review is not a date",IF(OR(AND(R125&lt;&gt;"",NOT(ISNUMBER(R125))),AND(S125&lt;&gt;"",NOT(ISNUMBER(S125))),AND(X125&lt;&gt;"",NOT(ISNUMBER(X125)))),"Date field is not a date",IF(AND(OR(H125="Approved",H125="Approved with conditions"),OR(K125="",L125="")),"Approval evidence refs missing",IF(AND(I125="Active",H125&lt;&gt;"Approved",H125&lt;&gt;"Approved with conditions"),"Active without approved status",IF(AND(I125="Active",G125&lt;&gt;"Deployment and Operation",G125&lt;&gt;"Monitoring and Review"),"Active in wrong lifecycle stage",IF(AND(I125="Active",P125=""),"Active without UC-ID link",IF(AND(OR(J125="Yes",J125="Unsure"),M125=""),"Agent evidence ref missing",IF(AND(I125="Active",W125&lt;&gt;"Yes"),"Active without monitoring in place",IF(N125&lt;TODAY(),"Review overdue","Check refs against source")))))))))))))</f>
        <v/>
      </c>
      <c r="P125" s="24" t="n"/>
      <c r="Q125" s="24" t="n"/>
      <c r="R125" s="36" t="n"/>
      <c r="S125" s="36" t="n"/>
      <c r="T125" s="24" t="n"/>
      <c r="U125" s="24" t="n"/>
      <c r="V125" s="24" t="n"/>
      <c r="W125" s="24" t="n"/>
      <c r="X125" s="36" t="n"/>
      <c r="Y125" s="24" t="n"/>
      <c r="Z125" s="24" t="n"/>
      <c r="AA125" s="24" t="n"/>
    </row>
    <row r="126">
      <c r="A126" s="22" t="n"/>
      <c r="B126" s="22" t="n"/>
      <c r="C126" s="22" t="n"/>
      <c r="D126" s="22" t="n"/>
      <c r="E126" s="22" t="n"/>
      <c r="F126" s="22" t="n"/>
      <c r="G126" s="22" t="n"/>
      <c r="H126" s="22" t="n"/>
      <c r="I126" s="22" t="n"/>
      <c r="J126" s="22" t="n"/>
      <c r="K126" s="22" t="n"/>
      <c r="L126" s="22" t="n"/>
      <c r="M126" s="22" t="n"/>
      <c r="N126" s="35" t="n"/>
      <c r="O126" s="22">
        <f>IF(COUNTA(A126:N126,P126:AA126)=0,"",IF(TRIM(A126)="","AIR-ID missing",IF(SUMPRODUCT(--(TRIM($A$4:$A$206)=TRIM(A126)))&gt;1,"Duplicate AIR-ID",IF(OR(B126="",E126="",G126="",H126="",I126="",N126=""),"Required field missing (name, owner, stage, status or next review)",IF(NOT(ISNUMBER(N126)),"Next review is not a date",IF(OR(AND(R126&lt;&gt;"",NOT(ISNUMBER(R126))),AND(S126&lt;&gt;"",NOT(ISNUMBER(S126))),AND(X126&lt;&gt;"",NOT(ISNUMBER(X126)))),"Date field is not a date",IF(AND(OR(H126="Approved",H126="Approved with conditions"),OR(K126="",L126="")),"Approval evidence refs missing",IF(AND(I126="Active",H126&lt;&gt;"Approved",H126&lt;&gt;"Approved with conditions"),"Active without approved status",IF(AND(I126="Active",G126&lt;&gt;"Deployment and Operation",G126&lt;&gt;"Monitoring and Review"),"Active in wrong lifecycle stage",IF(AND(I126="Active",P126=""),"Active without UC-ID link",IF(AND(OR(J126="Yes",J126="Unsure"),M126=""),"Agent evidence ref missing",IF(AND(I126="Active",W126&lt;&gt;"Yes"),"Active without monitoring in place",IF(N126&lt;TODAY(),"Review overdue","Check refs against source")))))))))))))</f>
        <v/>
      </c>
      <c r="P126" s="22" t="n"/>
      <c r="Q126" s="22" t="n"/>
      <c r="R126" s="35" t="n"/>
      <c r="S126" s="35" t="n"/>
      <c r="T126" s="22" t="n"/>
      <c r="U126" s="22" t="n"/>
      <c r="V126" s="22" t="n"/>
      <c r="W126" s="22" t="n"/>
      <c r="X126" s="35" t="n"/>
      <c r="Y126" s="22" t="n"/>
      <c r="Z126" s="22" t="n"/>
      <c r="AA126" s="22" t="n"/>
    </row>
    <row r="127">
      <c r="A127" s="24" t="n"/>
      <c r="B127" s="24" t="n"/>
      <c r="C127" s="24" t="n"/>
      <c r="D127" s="24" t="n"/>
      <c r="E127" s="24" t="n"/>
      <c r="F127" s="24" t="n"/>
      <c r="G127" s="24" t="n"/>
      <c r="H127" s="24" t="n"/>
      <c r="I127" s="24" t="n"/>
      <c r="J127" s="24" t="n"/>
      <c r="K127" s="24" t="n"/>
      <c r="L127" s="24" t="n"/>
      <c r="M127" s="24" t="n"/>
      <c r="N127" s="36" t="n"/>
      <c r="O127" s="24">
        <f>IF(COUNTA(A127:N127,P127:AA127)=0,"",IF(TRIM(A127)="","AIR-ID missing",IF(SUMPRODUCT(--(TRIM($A$4:$A$206)=TRIM(A127)))&gt;1,"Duplicate AIR-ID",IF(OR(B127="",E127="",G127="",H127="",I127="",N127=""),"Required field missing (name, owner, stage, status or next review)",IF(NOT(ISNUMBER(N127)),"Next review is not a date",IF(OR(AND(R127&lt;&gt;"",NOT(ISNUMBER(R127))),AND(S127&lt;&gt;"",NOT(ISNUMBER(S127))),AND(X127&lt;&gt;"",NOT(ISNUMBER(X127)))),"Date field is not a date",IF(AND(OR(H127="Approved",H127="Approved with conditions"),OR(K127="",L127="")),"Approval evidence refs missing",IF(AND(I127="Active",H127&lt;&gt;"Approved",H127&lt;&gt;"Approved with conditions"),"Active without approved status",IF(AND(I127="Active",G127&lt;&gt;"Deployment and Operation",G127&lt;&gt;"Monitoring and Review"),"Active in wrong lifecycle stage",IF(AND(I127="Active",P127=""),"Active without UC-ID link",IF(AND(OR(J127="Yes",J127="Unsure"),M127=""),"Agent evidence ref missing",IF(AND(I127="Active",W127&lt;&gt;"Yes"),"Active without monitoring in place",IF(N127&lt;TODAY(),"Review overdue","Check refs against source")))))))))))))</f>
        <v/>
      </c>
      <c r="P127" s="24" t="n"/>
      <c r="Q127" s="24" t="n"/>
      <c r="R127" s="36" t="n"/>
      <c r="S127" s="36" t="n"/>
      <c r="T127" s="24" t="n"/>
      <c r="U127" s="24" t="n"/>
      <c r="V127" s="24" t="n"/>
      <c r="W127" s="24" t="n"/>
      <c r="X127" s="36" t="n"/>
      <c r="Y127" s="24" t="n"/>
      <c r="Z127" s="24" t="n"/>
      <c r="AA127" s="24" t="n"/>
    </row>
    <row r="128">
      <c r="A128" s="22" t="n"/>
      <c r="B128" s="22" t="n"/>
      <c r="C128" s="22" t="n"/>
      <c r="D128" s="22" t="n"/>
      <c r="E128" s="22" t="n"/>
      <c r="F128" s="22" t="n"/>
      <c r="G128" s="22" t="n"/>
      <c r="H128" s="22" t="n"/>
      <c r="I128" s="22" t="n"/>
      <c r="J128" s="22" t="n"/>
      <c r="K128" s="22" t="n"/>
      <c r="L128" s="22" t="n"/>
      <c r="M128" s="22" t="n"/>
      <c r="N128" s="35" t="n"/>
      <c r="O128" s="22">
        <f>IF(COUNTA(A128:N128,P128:AA128)=0,"",IF(TRIM(A128)="","AIR-ID missing",IF(SUMPRODUCT(--(TRIM($A$4:$A$206)=TRIM(A128)))&gt;1,"Duplicate AIR-ID",IF(OR(B128="",E128="",G128="",H128="",I128="",N128=""),"Required field missing (name, owner, stage, status or next review)",IF(NOT(ISNUMBER(N128)),"Next review is not a date",IF(OR(AND(R128&lt;&gt;"",NOT(ISNUMBER(R128))),AND(S128&lt;&gt;"",NOT(ISNUMBER(S128))),AND(X128&lt;&gt;"",NOT(ISNUMBER(X128)))),"Date field is not a date",IF(AND(OR(H128="Approved",H128="Approved with conditions"),OR(K128="",L128="")),"Approval evidence refs missing",IF(AND(I128="Active",H128&lt;&gt;"Approved",H128&lt;&gt;"Approved with conditions"),"Active without approved status",IF(AND(I128="Active",G128&lt;&gt;"Deployment and Operation",G128&lt;&gt;"Monitoring and Review"),"Active in wrong lifecycle stage",IF(AND(I128="Active",P128=""),"Active without UC-ID link",IF(AND(OR(J128="Yes",J128="Unsure"),M128=""),"Agent evidence ref missing",IF(AND(I128="Active",W128&lt;&gt;"Yes"),"Active without monitoring in place",IF(N128&lt;TODAY(),"Review overdue","Check refs against source")))))))))))))</f>
        <v/>
      </c>
      <c r="P128" s="22" t="n"/>
      <c r="Q128" s="22" t="n"/>
      <c r="R128" s="35" t="n"/>
      <c r="S128" s="35" t="n"/>
      <c r="T128" s="22" t="n"/>
      <c r="U128" s="22" t="n"/>
      <c r="V128" s="22" t="n"/>
      <c r="W128" s="22" t="n"/>
      <c r="X128" s="35" t="n"/>
      <c r="Y128" s="22" t="n"/>
      <c r="Z128" s="22" t="n"/>
      <c r="AA128" s="22" t="n"/>
    </row>
    <row r="129">
      <c r="A129" s="24" t="n"/>
      <c r="B129" s="24" t="n"/>
      <c r="C129" s="24" t="n"/>
      <c r="D129" s="24" t="n"/>
      <c r="E129" s="24" t="n"/>
      <c r="F129" s="24" t="n"/>
      <c r="G129" s="24" t="n"/>
      <c r="H129" s="24" t="n"/>
      <c r="I129" s="24" t="n"/>
      <c r="J129" s="24" t="n"/>
      <c r="K129" s="24" t="n"/>
      <c r="L129" s="24" t="n"/>
      <c r="M129" s="24" t="n"/>
      <c r="N129" s="36" t="n"/>
      <c r="O129" s="24">
        <f>IF(COUNTA(A129:N129,P129:AA129)=0,"",IF(TRIM(A129)="","AIR-ID missing",IF(SUMPRODUCT(--(TRIM($A$4:$A$206)=TRIM(A129)))&gt;1,"Duplicate AIR-ID",IF(OR(B129="",E129="",G129="",H129="",I129="",N129=""),"Required field missing (name, owner, stage, status or next review)",IF(NOT(ISNUMBER(N129)),"Next review is not a date",IF(OR(AND(R129&lt;&gt;"",NOT(ISNUMBER(R129))),AND(S129&lt;&gt;"",NOT(ISNUMBER(S129))),AND(X129&lt;&gt;"",NOT(ISNUMBER(X129)))),"Date field is not a date",IF(AND(OR(H129="Approved",H129="Approved with conditions"),OR(K129="",L129="")),"Approval evidence refs missing",IF(AND(I129="Active",H129&lt;&gt;"Approved",H129&lt;&gt;"Approved with conditions"),"Active without approved status",IF(AND(I129="Active",G129&lt;&gt;"Deployment and Operation",G129&lt;&gt;"Monitoring and Review"),"Active in wrong lifecycle stage",IF(AND(I129="Active",P129=""),"Active without UC-ID link",IF(AND(OR(J129="Yes",J129="Unsure"),M129=""),"Agent evidence ref missing",IF(AND(I129="Active",W129&lt;&gt;"Yes"),"Active without monitoring in place",IF(N129&lt;TODAY(),"Review overdue","Check refs against source")))))))))))))</f>
        <v/>
      </c>
      <c r="P129" s="24" t="n"/>
      <c r="Q129" s="24" t="n"/>
      <c r="R129" s="36" t="n"/>
      <c r="S129" s="36" t="n"/>
      <c r="T129" s="24" t="n"/>
      <c r="U129" s="24" t="n"/>
      <c r="V129" s="24" t="n"/>
      <c r="W129" s="24" t="n"/>
      <c r="X129" s="36" t="n"/>
      <c r="Y129" s="24" t="n"/>
      <c r="Z129" s="24" t="n"/>
      <c r="AA129" s="24" t="n"/>
    </row>
    <row r="130">
      <c r="A130" s="22" t="n"/>
      <c r="B130" s="22" t="n"/>
      <c r="C130" s="22" t="n"/>
      <c r="D130" s="22" t="n"/>
      <c r="E130" s="22" t="n"/>
      <c r="F130" s="22" t="n"/>
      <c r="G130" s="22" t="n"/>
      <c r="H130" s="22" t="n"/>
      <c r="I130" s="22" t="n"/>
      <c r="J130" s="22" t="n"/>
      <c r="K130" s="22" t="n"/>
      <c r="L130" s="22" t="n"/>
      <c r="M130" s="22" t="n"/>
      <c r="N130" s="35" t="n"/>
      <c r="O130" s="22">
        <f>IF(COUNTA(A130:N130,P130:AA130)=0,"",IF(TRIM(A130)="","AIR-ID missing",IF(SUMPRODUCT(--(TRIM($A$4:$A$206)=TRIM(A130)))&gt;1,"Duplicate AIR-ID",IF(OR(B130="",E130="",G130="",H130="",I130="",N130=""),"Required field missing (name, owner, stage, status or next review)",IF(NOT(ISNUMBER(N130)),"Next review is not a date",IF(OR(AND(R130&lt;&gt;"",NOT(ISNUMBER(R130))),AND(S130&lt;&gt;"",NOT(ISNUMBER(S130))),AND(X130&lt;&gt;"",NOT(ISNUMBER(X130)))),"Date field is not a date",IF(AND(OR(H130="Approved",H130="Approved with conditions"),OR(K130="",L130="")),"Approval evidence refs missing",IF(AND(I130="Active",H130&lt;&gt;"Approved",H130&lt;&gt;"Approved with conditions"),"Active without approved status",IF(AND(I130="Active",G130&lt;&gt;"Deployment and Operation",G130&lt;&gt;"Monitoring and Review"),"Active in wrong lifecycle stage",IF(AND(I130="Active",P130=""),"Active without UC-ID link",IF(AND(OR(J130="Yes",J130="Unsure"),M130=""),"Agent evidence ref missing",IF(AND(I130="Active",W130&lt;&gt;"Yes"),"Active without monitoring in place",IF(N130&lt;TODAY(),"Review overdue","Check refs against source")))))))))))))</f>
        <v/>
      </c>
      <c r="P130" s="22" t="n"/>
      <c r="Q130" s="22" t="n"/>
      <c r="R130" s="35" t="n"/>
      <c r="S130" s="35" t="n"/>
      <c r="T130" s="22" t="n"/>
      <c r="U130" s="22" t="n"/>
      <c r="V130" s="22" t="n"/>
      <c r="W130" s="22" t="n"/>
      <c r="X130" s="35" t="n"/>
      <c r="Y130" s="22" t="n"/>
      <c r="Z130" s="22" t="n"/>
      <c r="AA130" s="22" t="n"/>
    </row>
    <row r="131">
      <c r="A131" s="24" t="n"/>
      <c r="B131" s="24" t="n"/>
      <c r="C131" s="24" t="n"/>
      <c r="D131" s="24" t="n"/>
      <c r="E131" s="24" t="n"/>
      <c r="F131" s="24" t="n"/>
      <c r="G131" s="24" t="n"/>
      <c r="H131" s="24" t="n"/>
      <c r="I131" s="24" t="n"/>
      <c r="J131" s="24" t="n"/>
      <c r="K131" s="24" t="n"/>
      <c r="L131" s="24" t="n"/>
      <c r="M131" s="24" t="n"/>
      <c r="N131" s="36" t="n"/>
      <c r="O131" s="24">
        <f>IF(COUNTA(A131:N131,P131:AA131)=0,"",IF(TRIM(A131)="","AIR-ID missing",IF(SUMPRODUCT(--(TRIM($A$4:$A$206)=TRIM(A131)))&gt;1,"Duplicate AIR-ID",IF(OR(B131="",E131="",G131="",H131="",I131="",N131=""),"Required field missing (name, owner, stage, status or next review)",IF(NOT(ISNUMBER(N131)),"Next review is not a date",IF(OR(AND(R131&lt;&gt;"",NOT(ISNUMBER(R131))),AND(S131&lt;&gt;"",NOT(ISNUMBER(S131))),AND(X131&lt;&gt;"",NOT(ISNUMBER(X131)))),"Date field is not a date",IF(AND(OR(H131="Approved",H131="Approved with conditions"),OR(K131="",L131="")),"Approval evidence refs missing",IF(AND(I131="Active",H131&lt;&gt;"Approved",H131&lt;&gt;"Approved with conditions"),"Active without approved status",IF(AND(I131="Active",G131&lt;&gt;"Deployment and Operation",G131&lt;&gt;"Monitoring and Review"),"Active in wrong lifecycle stage",IF(AND(I131="Active",P131=""),"Active without UC-ID link",IF(AND(OR(J131="Yes",J131="Unsure"),M131=""),"Agent evidence ref missing",IF(AND(I131="Active",W131&lt;&gt;"Yes"),"Active without monitoring in place",IF(N131&lt;TODAY(),"Review overdue","Check refs against source")))))))))))))</f>
        <v/>
      </c>
      <c r="P131" s="24" t="n"/>
      <c r="Q131" s="24" t="n"/>
      <c r="R131" s="36" t="n"/>
      <c r="S131" s="36" t="n"/>
      <c r="T131" s="24" t="n"/>
      <c r="U131" s="24" t="n"/>
      <c r="V131" s="24" t="n"/>
      <c r="W131" s="24" t="n"/>
      <c r="X131" s="36" t="n"/>
      <c r="Y131" s="24" t="n"/>
      <c r="Z131" s="24" t="n"/>
      <c r="AA131" s="24" t="n"/>
    </row>
    <row r="132">
      <c r="A132" s="22" t="n"/>
      <c r="B132" s="22" t="n"/>
      <c r="C132" s="22" t="n"/>
      <c r="D132" s="22" t="n"/>
      <c r="E132" s="22" t="n"/>
      <c r="F132" s="22" t="n"/>
      <c r="G132" s="22" t="n"/>
      <c r="H132" s="22" t="n"/>
      <c r="I132" s="22" t="n"/>
      <c r="J132" s="22" t="n"/>
      <c r="K132" s="22" t="n"/>
      <c r="L132" s="22" t="n"/>
      <c r="M132" s="22" t="n"/>
      <c r="N132" s="35" t="n"/>
      <c r="O132" s="22">
        <f>IF(COUNTA(A132:N132,P132:AA132)=0,"",IF(TRIM(A132)="","AIR-ID missing",IF(SUMPRODUCT(--(TRIM($A$4:$A$206)=TRIM(A132)))&gt;1,"Duplicate AIR-ID",IF(OR(B132="",E132="",G132="",H132="",I132="",N132=""),"Required field missing (name, owner, stage, status or next review)",IF(NOT(ISNUMBER(N132)),"Next review is not a date",IF(OR(AND(R132&lt;&gt;"",NOT(ISNUMBER(R132))),AND(S132&lt;&gt;"",NOT(ISNUMBER(S132))),AND(X132&lt;&gt;"",NOT(ISNUMBER(X132)))),"Date field is not a date",IF(AND(OR(H132="Approved",H132="Approved with conditions"),OR(K132="",L132="")),"Approval evidence refs missing",IF(AND(I132="Active",H132&lt;&gt;"Approved",H132&lt;&gt;"Approved with conditions"),"Active without approved status",IF(AND(I132="Active",G132&lt;&gt;"Deployment and Operation",G132&lt;&gt;"Monitoring and Review"),"Active in wrong lifecycle stage",IF(AND(I132="Active",P132=""),"Active without UC-ID link",IF(AND(OR(J132="Yes",J132="Unsure"),M132=""),"Agent evidence ref missing",IF(AND(I132="Active",W132&lt;&gt;"Yes"),"Active without monitoring in place",IF(N132&lt;TODAY(),"Review overdue","Check refs against source")))))))))))))</f>
        <v/>
      </c>
      <c r="P132" s="22" t="n"/>
      <c r="Q132" s="22" t="n"/>
      <c r="R132" s="35" t="n"/>
      <c r="S132" s="35" t="n"/>
      <c r="T132" s="22" t="n"/>
      <c r="U132" s="22" t="n"/>
      <c r="V132" s="22" t="n"/>
      <c r="W132" s="22" t="n"/>
      <c r="X132" s="35" t="n"/>
      <c r="Y132" s="22" t="n"/>
      <c r="Z132" s="22" t="n"/>
      <c r="AA132" s="22" t="n"/>
    </row>
    <row r="133">
      <c r="A133" s="24" t="n"/>
      <c r="B133" s="24" t="n"/>
      <c r="C133" s="24" t="n"/>
      <c r="D133" s="24" t="n"/>
      <c r="E133" s="24" t="n"/>
      <c r="F133" s="24" t="n"/>
      <c r="G133" s="24" t="n"/>
      <c r="H133" s="24" t="n"/>
      <c r="I133" s="24" t="n"/>
      <c r="J133" s="24" t="n"/>
      <c r="K133" s="24" t="n"/>
      <c r="L133" s="24" t="n"/>
      <c r="M133" s="24" t="n"/>
      <c r="N133" s="36" t="n"/>
      <c r="O133" s="24">
        <f>IF(COUNTA(A133:N133,P133:AA133)=0,"",IF(TRIM(A133)="","AIR-ID missing",IF(SUMPRODUCT(--(TRIM($A$4:$A$206)=TRIM(A133)))&gt;1,"Duplicate AIR-ID",IF(OR(B133="",E133="",G133="",H133="",I133="",N133=""),"Required field missing (name, owner, stage, status or next review)",IF(NOT(ISNUMBER(N133)),"Next review is not a date",IF(OR(AND(R133&lt;&gt;"",NOT(ISNUMBER(R133))),AND(S133&lt;&gt;"",NOT(ISNUMBER(S133))),AND(X133&lt;&gt;"",NOT(ISNUMBER(X133)))),"Date field is not a date",IF(AND(OR(H133="Approved",H133="Approved with conditions"),OR(K133="",L133="")),"Approval evidence refs missing",IF(AND(I133="Active",H133&lt;&gt;"Approved",H133&lt;&gt;"Approved with conditions"),"Active without approved status",IF(AND(I133="Active",G133&lt;&gt;"Deployment and Operation",G133&lt;&gt;"Monitoring and Review"),"Active in wrong lifecycle stage",IF(AND(I133="Active",P133=""),"Active without UC-ID link",IF(AND(OR(J133="Yes",J133="Unsure"),M133=""),"Agent evidence ref missing",IF(AND(I133="Active",W133&lt;&gt;"Yes"),"Active without monitoring in place",IF(N133&lt;TODAY(),"Review overdue","Check refs against source")))))))))))))</f>
        <v/>
      </c>
      <c r="P133" s="24" t="n"/>
      <c r="Q133" s="24" t="n"/>
      <c r="R133" s="36" t="n"/>
      <c r="S133" s="36" t="n"/>
      <c r="T133" s="24" t="n"/>
      <c r="U133" s="24" t="n"/>
      <c r="V133" s="24" t="n"/>
      <c r="W133" s="24" t="n"/>
      <c r="X133" s="36" t="n"/>
      <c r="Y133" s="24" t="n"/>
      <c r="Z133" s="24" t="n"/>
      <c r="AA133" s="24" t="n"/>
    </row>
    <row r="134">
      <c r="A134" s="22" t="n"/>
      <c r="B134" s="22" t="n"/>
      <c r="C134" s="22" t="n"/>
      <c r="D134" s="22" t="n"/>
      <c r="E134" s="22" t="n"/>
      <c r="F134" s="22" t="n"/>
      <c r="G134" s="22" t="n"/>
      <c r="H134" s="22" t="n"/>
      <c r="I134" s="22" t="n"/>
      <c r="J134" s="22" t="n"/>
      <c r="K134" s="22" t="n"/>
      <c r="L134" s="22" t="n"/>
      <c r="M134" s="22" t="n"/>
      <c r="N134" s="35" t="n"/>
      <c r="O134" s="22">
        <f>IF(COUNTA(A134:N134,P134:AA134)=0,"",IF(TRIM(A134)="","AIR-ID missing",IF(SUMPRODUCT(--(TRIM($A$4:$A$206)=TRIM(A134)))&gt;1,"Duplicate AIR-ID",IF(OR(B134="",E134="",G134="",H134="",I134="",N134=""),"Required field missing (name, owner, stage, status or next review)",IF(NOT(ISNUMBER(N134)),"Next review is not a date",IF(OR(AND(R134&lt;&gt;"",NOT(ISNUMBER(R134))),AND(S134&lt;&gt;"",NOT(ISNUMBER(S134))),AND(X134&lt;&gt;"",NOT(ISNUMBER(X134)))),"Date field is not a date",IF(AND(OR(H134="Approved",H134="Approved with conditions"),OR(K134="",L134="")),"Approval evidence refs missing",IF(AND(I134="Active",H134&lt;&gt;"Approved",H134&lt;&gt;"Approved with conditions"),"Active without approved status",IF(AND(I134="Active",G134&lt;&gt;"Deployment and Operation",G134&lt;&gt;"Monitoring and Review"),"Active in wrong lifecycle stage",IF(AND(I134="Active",P134=""),"Active without UC-ID link",IF(AND(OR(J134="Yes",J134="Unsure"),M134=""),"Agent evidence ref missing",IF(AND(I134="Active",W134&lt;&gt;"Yes"),"Active without monitoring in place",IF(N134&lt;TODAY(),"Review overdue","Check refs against source")))))))))))))</f>
        <v/>
      </c>
      <c r="P134" s="22" t="n"/>
      <c r="Q134" s="22" t="n"/>
      <c r="R134" s="35" t="n"/>
      <c r="S134" s="35" t="n"/>
      <c r="T134" s="22" t="n"/>
      <c r="U134" s="22" t="n"/>
      <c r="V134" s="22" t="n"/>
      <c r="W134" s="22" t="n"/>
      <c r="X134" s="35" t="n"/>
      <c r="Y134" s="22" t="n"/>
      <c r="Z134" s="22" t="n"/>
      <c r="AA134" s="22" t="n"/>
    </row>
    <row r="135">
      <c r="A135" s="24" t="n"/>
      <c r="B135" s="24" t="n"/>
      <c r="C135" s="24" t="n"/>
      <c r="D135" s="24" t="n"/>
      <c r="E135" s="24" t="n"/>
      <c r="F135" s="24" t="n"/>
      <c r="G135" s="24" t="n"/>
      <c r="H135" s="24" t="n"/>
      <c r="I135" s="24" t="n"/>
      <c r="J135" s="24" t="n"/>
      <c r="K135" s="24" t="n"/>
      <c r="L135" s="24" t="n"/>
      <c r="M135" s="24" t="n"/>
      <c r="N135" s="36" t="n"/>
      <c r="O135" s="24">
        <f>IF(COUNTA(A135:N135,P135:AA135)=0,"",IF(TRIM(A135)="","AIR-ID missing",IF(SUMPRODUCT(--(TRIM($A$4:$A$206)=TRIM(A135)))&gt;1,"Duplicate AIR-ID",IF(OR(B135="",E135="",G135="",H135="",I135="",N135=""),"Required field missing (name, owner, stage, status or next review)",IF(NOT(ISNUMBER(N135)),"Next review is not a date",IF(OR(AND(R135&lt;&gt;"",NOT(ISNUMBER(R135))),AND(S135&lt;&gt;"",NOT(ISNUMBER(S135))),AND(X135&lt;&gt;"",NOT(ISNUMBER(X135)))),"Date field is not a date",IF(AND(OR(H135="Approved",H135="Approved with conditions"),OR(K135="",L135="")),"Approval evidence refs missing",IF(AND(I135="Active",H135&lt;&gt;"Approved",H135&lt;&gt;"Approved with conditions"),"Active without approved status",IF(AND(I135="Active",G135&lt;&gt;"Deployment and Operation",G135&lt;&gt;"Monitoring and Review"),"Active in wrong lifecycle stage",IF(AND(I135="Active",P135=""),"Active without UC-ID link",IF(AND(OR(J135="Yes",J135="Unsure"),M135=""),"Agent evidence ref missing",IF(AND(I135="Active",W135&lt;&gt;"Yes"),"Active without monitoring in place",IF(N135&lt;TODAY(),"Review overdue","Check refs against source")))))))))))))</f>
        <v/>
      </c>
      <c r="P135" s="24" t="n"/>
      <c r="Q135" s="24" t="n"/>
      <c r="R135" s="36" t="n"/>
      <c r="S135" s="36" t="n"/>
      <c r="T135" s="24" t="n"/>
      <c r="U135" s="24" t="n"/>
      <c r="V135" s="24" t="n"/>
      <c r="W135" s="24" t="n"/>
      <c r="X135" s="36" t="n"/>
      <c r="Y135" s="24" t="n"/>
      <c r="Z135" s="24" t="n"/>
      <c r="AA135" s="24" t="n"/>
    </row>
    <row r="136">
      <c r="A136" s="22" t="n"/>
      <c r="B136" s="22" t="n"/>
      <c r="C136" s="22" t="n"/>
      <c r="D136" s="22" t="n"/>
      <c r="E136" s="22" t="n"/>
      <c r="F136" s="22" t="n"/>
      <c r="G136" s="22" t="n"/>
      <c r="H136" s="22" t="n"/>
      <c r="I136" s="22" t="n"/>
      <c r="J136" s="22" t="n"/>
      <c r="K136" s="22" t="n"/>
      <c r="L136" s="22" t="n"/>
      <c r="M136" s="22" t="n"/>
      <c r="N136" s="35" t="n"/>
      <c r="O136" s="22">
        <f>IF(COUNTA(A136:N136,P136:AA136)=0,"",IF(TRIM(A136)="","AIR-ID missing",IF(SUMPRODUCT(--(TRIM($A$4:$A$206)=TRIM(A136)))&gt;1,"Duplicate AIR-ID",IF(OR(B136="",E136="",G136="",H136="",I136="",N136=""),"Required field missing (name, owner, stage, status or next review)",IF(NOT(ISNUMBER(N136)),"Next review is not a date",IF(OR(AND(R136&lt;&gt;"",NOT(ISNUMBER(R136))),AND(S136&lt;&gt;"",NOT(ISNUMBER(S136))),AND(X136&lt;&gt;"",NOT(ISNUMBER(X136)))),"Date field is not a date",IF(AND(OR(H136="Approved",H136="Approved with conditions"),OR(K136="",L136="")),"Approval evidence refs missing",IF(AND(I136="Active",H136&lt;&gt;"Approved",H136&lt;&gt;"Approved with conditions"),"Active without approved status",IF(AND(I136="Active",G136&lt;&gt;"Deployment and Operation",G136&lt;&gt;"Monitoring and Review"),"Active in wrong lifecycle stage",IF(AND(I136="Active",P136=""),"Active without UC-ID link",IF(AND(OR(J136="Yes",J136="Unsure"),M136=""),"Agent evidence ref missing",IF(AND(I136="Active",W136&lt;&gt;"Yes"),"Active without monitoring in place",IF(N136&lt;TODAY(),"Review overdue","Check refs against source")))))))))))))</f>
        <v/>
      </c>
      <c r="P136" s="22" t="n"/>
      <c r="Q136" s="22" t="n"/>
      <c r="R136" s="35" t="n"/>
      <c r="S136" s="35" t="n"/>
      <c r="T136" s="22" t="n"/>
      <c r="U136" s="22" t="n"/>
      <c r="V136" s="22" t="n"/>
      <c r="W136" s="22" t="n"/>
      <c r="X136" s="35" t="n"/>
      <c r="Y136" s="22" t="n"/>
      <c r="Z136" s="22" t="n"/>
      <c r="AA136" s="22" t="n"/>
    </row>
    <row r="137">
      <c r="A137" s="24" t="n"/>
      <c r="B137" s="24" t="n"/>
      <c r="C137" s="24" t="n"/>
      <c r="D137" s="24" t="n"/>
      <c r="E137" s="24" t="n"/>
      <c r="F137" s="24" t="n"/>
      <c r="G137" s="24" t="n"/>
      <c r="H137" s="24" t="n"/>
      <c r="I137" s="24" t="n"/>
      <c r="J137" s="24" t="n"/>
      <c r="K137" s="24" t="n"/>
      <c r="L137" s="24" t="n"/>
      <c r="M137" s="24" t="n"/>
      <c r="N137" s="36" t="n"/>
      <c r="O137" s="24">
        <f>IF(COUNTA(A137:N137,P137:AA137)=0,"",IF(TRIM(A137)="","AIR-ID missing",IF(SUMPRODUCT(--(TRIM($A$4:$A$206)=TRIM(A137)))&gt;1,"Duplicate AIR-ID",IF(OR(B137="",E137="",G137="",H137="",I137="",N137=""),"Required field missing (name, owner, stage, status or next review)",IF(NOT(ISNUMBER(N137)),"Next review is not a date",IF(OR(AND(R137&lt;&gt;"",NOT(ISNUMBER(R137))),AND(S137&lt;&gt;"",NOT(ISNUMBER(S137))),AND(X137&lt;&gt;"",NOT(ISNUMBER(X137)))),"Date field is not a date",IF(AND(OR(H137="Approved",H137="Approved with conditions"),OR(K137="",L137="")),"Approval evidence refs missing",IF(AND(I137="Active",H137&lt;&gt;"Approved",H137&lt;&gt;"Approved with conditions"),"Active without approved status",IF(AND(I137="Active",G137&lt;&gt;"Deployment and Operation",G137&lt;&gt;"Monitoring and Review"),"Active in wrong lifecycle stage",IF(AND(I137="Active",P137=""),"Active without UC-ID link",IF(AND(OR(J137="Yes",J137="Unsure"),M137=""),"Agent evidence ref missing",IF(AND(I137="Active",W137&lt;&gt;"Yes"),"Active without monitoring in place",IF(N137&lt;TODAY(),"Review overdue","Check refs against source")))))))))))))</f>
        <v/>
      </c>
      <c r="P137" s="24" t="n"/>
      <c r="Q137" s="24" t="n"/>
      <c r="R137" s="36" t="n"/>
      <c r="S137" s="36" t="n"/>
      <c r="T137" s="24" t="n"/>
      <c r="U137" s="24" t="n"/>
      <c r="V137" s="24" t="n"/>
      <c r="W137" s="24" t="n"/>
      <c r="X137" s="36" t="n"/>
      <c r="Y137" s="24" t="n"/>
      <c r="Z137" s="24" t="n"/>
      <c r="AA137" s="24" t="n"/>
    </row>
    <row r="138">
      <c r="A138" s="22" t="n"/>
      <c r="B138" s="22" t="n"/>
      <c r="C138" s="22" t="n"/>
      <c r="D138" s="22" t="n"/>
      <c r="E138" s="22" t="n"/>
      <c r="F138" s="22" t="n"/>
      <c r="G138" s="22" t="n"/>
      <c r="H138" s="22" t="n"/>
      <c r="I138" s="22" t="n"/>
      <c r="J138" s="22" t="n"/>
      <c r="K138" s="22" t="n"/>
      <c r="L138" s="22" t="n"/>
      <c r="M138" s="22" t="n"/>
      <c r="N138" s="35" t="n"/>
      <c r="O138" s="22">
        <f>IF(COUNTA(A138:N138,P138:AA138)=0,"",IF(TRIM(A138)="","AIR-ID missing",IF(SUMPRODUCT(--(TRIM($A$4:$A$206)=TRIM(A138)))&gt;1,"Duplicate AIR-ID",IF(OR(B138="",E138="",G138="",H138="",I138="",N138=""),"Required field missing (name, owner, stage, status or next review)",IF(NOT(ISNUMBER(N138)),"Next review is not a date",IF(OR(AND(R138&lt;&gt;"",NOT(ISNUMBER(R138))),AND(S138&lt;&gt;"",NOT(ISNUMBER(S138))),AND(X138&lt;&gt;"",NOT(ISNUMBER(X138)))),"Date field is not a date",IF(AND(OR(H138="Approved",H138="Approved with conditions"),OR(K138="",L138="")),"Approval evidence refs missing",IF(AND(I138="Active",H138&lt;&gt;"Approved",H138&lt;&gt;"Approved with conditions"),"Active without approved status",IF(AND(I138="Active",G138&lt;&gt;"Deployment and Operation",G138&lt;&gt;"Monitoring and Review"),"Active in wrong lifecycle stage",IF(AND(I138="Active",P138=""),"Active without UC-ID link",IF(AND(OR(J138="Yes",J138="Unsure"),M138=""),"Agent evidence ref missing",IF(AND(I138="Active",W138&lt;&gt;"Yes"),"Active without monitoring in place",IF(N138&lt;TODAY(),"Review overdue","Check refs against source")))))))))))))</f>
        <v/>
      </c>
      <c r="P138" s="22" t="n"/>
      <c r="Q138" s="22" t="n"/>
      <c r="R138" s="35" t="n"/>
      <c r="S138" s="35" t="n"/>
      <c r="T138" s="22" t="n"/>
      <c r="U138" s="22" t="n"/>
      <c r="V138" s="22" t="n"/>
      <c r="W138" s="22" t="n"/>
      <c r="X138" s="35" t="n"/>
      <c r="Y138" s="22" t="n"/>
      <c r="Z138" s="22" t="n"/>
      <c r="AA138" s="22" t="n"/>
    </row>
    <row r="139">
      <c r="A139" s="24" t="n"/>
      <c r="B139" s="24" t="n"/>
      <c r="C139" s="24" t="n"/>
      <c r="D139" s="24" t="n"/>
      <c r="E139" s="24" t="n"/>
      <c r="F139" s="24" t="n"/>
      <c r="G139" s="24" t="n"/>
      <c r="H139" s="24" t="n"/>
      <c r="I139" s="24" t="n"/>
      <c r="J139" s="24" t="n"/>
      <c r="K139" s="24" t="n"/>
      <c r="L139" s="24" t="n"/>
      <c r="M139" s="24" t="n"/>
      <c r="N139" s="36" t="n"/>
      <c r="O139" s="24">
        <f>IF(COUNTA(A139:N139,P139:AA139)=0,"",IF(TRIM(A139)="","AIR-ID missing",IF(SUMPRODUCT(--(TRIM($A$4:$A$206)=TRIM(A139)))&gt;1,"Duplicate AIR-ID",IF(OR(B139="",E139="",G139="",H139="",I139="",N139=""),"Required field missing (name, owner, stage, status or next review)",IF(NOT(ISNUMBER(N139)),"Next review is not a date",IF(OR(AND(R139&lt;&gt;"",NOT(ISNUMBER(R139))),AND(S139&lt;&gt;"",NOT(ISNUMBER(S139))),AND(X139&lt;&gt;"",NOT(ISNUMBER(X139)))),"Date field is not a date",IF(AND(OR(H139="Approved",H139="Approved with conditions"),OR(K139="",L139="")),"Approval evidence refs missing",IF(AND(I139="Active",H139&lt;&gt;"Approved",H139&lt;&gt;"Approved with conditions"),"Active without approved status",IF(AND(I139="Active",G139&lt;&gt;"Deployment and Operation",G139&lt;&gt;"Monitoring and Review"),"Active in wrong lifecycle stage",IF(AND(I139="Active",P139=""),"Active without UC-ID link",IF(AND(OR(J139="Yes",J139="Unsure"),M139=""),"Agent evidence ref missing",IF(AND(I139="Active",W139&lt;&gt;"Yes"),"Active without monitoring in place",IF(N139&lt;TODAY(),"Review overdue","Check refs against source")))))))))))))</f>
        <v/>
      </c>
      <c r="P139" s="24" t="n"/>
      <c r="Q139" s="24" t="n"/>
      <c r="R139" s="36" t="n"/>
      <c r="S139" s="36" t="n"/>
      <c r="T139" s="24" t="n"/>
      <c r="U139" s="24" t="n"/>
      <c r="V139" s="24" t="n"/>
      <c r="W139" s="24" t="n"/>
      <c r="X139" s="36" t="n"/>
      <c r="Y139" s="24" t="n"/>
      <c r="Z139" s="24" t="n"/>
      <c r="AA139" s="24" t="n"/>
    </row>
    <row r="140">
      <c r="A140" s="22" t="n"/>
      <c r="B140" s="22" t="n"/>
      <c r="C140" s="22" t="n"/>
      <c r="D140" s="22" t="n"/>
      <c r="E140" s="22" t="n"/>
      <c r="F140" s="22" t="n"/>
      <c r="G140" s="22" t="n"/>
      <c r="H140" s="22" t="n"/>
      <c r="I140" s="22" t="n"/>
      <c r="J140" s="22" t="n"/>
      <c r="K140" s="22" t="n"/>
      <c r="L140" s="22" t="n"/>
      <c r="M140" s="22" t="n"/>
      <c r="N140" s="35" t="n"/>
      <c r="O140" s="22">
        <f>IF(COUNTA(A140:N140,P140:AA140)=0,"",IF(TRIM(A140)="","AIR-ID missing",IF(SUMPRODUCT(--(TRIM($A$4:$A$206)=TRIM(A140)))&gt;1,"Duplicate AIR-ID",IF(OR(B140="",E140="",G140="",H140="",I140="",N140=""),"Required field missing (name, owner, stage, status or next review)",IF(NOT(ISNUMBER(N140)),"Next review is not a date",IF(OR(AND(R140&lt;&gt;"",NOT(ISNUMBER(R140))),AND(S140&lt;&gt;"",NOT(ISNUMBER(S140))),AND(X140&lt;&gt;"",NOT(ISNUMBER(X140)))),"Date field is not a date",IF(AND(OR(H140="Approved",H140="Approved with conditions"),OR(K140="",L140="")),"Approval evidence refs missing",IF(AND(I140="Active",H140&lt;&gt;"Approved",H140&lt;&gt;"Approved with conditions"),"Active without approved status",IF(AND(I140="Active",G140&lt;&gt;"Deployment and Operation",G140&lt;&gt;"Monitoring and Review"),"Active in wrong lifecycle stage",IF(AND(I140="Active",P140=""),"Active without UC-ID link",IF(AND(OR(J140="Yes",J140="Unsure"),M140=""),"Agent evidence ref missing",IF(AND(I140="Active",W140&lt;&gt;"Yes"),"Active without monitoring in place",IF(N140&lt;TODAY(),"Review overdue","Check refs against source")))))))))))))</f>
        <v/>
      </c>
      <c r="P140" s="22" t="n"/>
      <c r="Q140" s="22" t="n"/>
      <c r="R140" s="35" t="n"/>
      <c r="S140" s="35" t="n"/>
      <c r="T140" s="22" t="n"/>
      <c r="U140" s="22" t="n"/>
      <c r="V140" s="22" t="n"/>
      <c r="W140" s="22" t="n"/>
      <c r="X140" s="35" t="n"/>
      <c r="Y140" s="22" t="n"/>
      <c r="Z140" s="22" t="n"/>
      <c r="AA140" s="22" t="n"/>
    </row>
    <row r="141">
      <c r="A141" s="24" t="n"/>
      <c r="B141" s="24" t="n"/>
      <c r="C141" s="24" t="n"/>
      <c r="D141" s="24" t="n"/>
      <c r="E141" s="24" t="n"/>
      <c r="F141" s="24" t="n"/>
      <c r="G141" s="24" t="n"/>
      <c r="H141" s="24" t="n"/>
      <c r="I141" s="24" t="n"/>
      <c r="J141" s="24" t="n"/>
      <c r="K141" s="24" t="n"/>
      <c r="L141" s="24" t="n"/>
      <c r="M141" s="24" t="n"/>
      <c r="N141" s="36" t="n"/>
      <c r="O141" s="24">
        <f>IF(COUNTA(A141:N141,P141:AA141)=0,"",IF(TRIM(A141)="","AIR-ID missing",IF(SUMPRODUCT(--(TRIM($A$4:$A$206)=TRIM(A141)))&gt;1,"Duplicate AIR-ID",IF(OR(B141="",E141="",G141="",H141="",I141="",N141=""),"Required field missing (name, owner, stage, status or next review)",IF(NOT(ISNUMBER(N141)),"Next review is not a date",IF(OR(AND(R141&lt;&gt;"",NOT(ISNUMBER(R141))),AND(S141&lt;&gt;"",NOT(ISNUMBER(S141))),AND(X141&lt;&gt;"",NOT(ISNUMBER(X141)))),"Date field is not a date",IF(AND(OR(H141="Approved",H141="Approved with conditions"),OR(K141="",L141="")),"Approval evidence refs missing",IF(AND(I141="Active",H141&lt;&gt;"Approved",H141&lt;&gt;"Approved with conditions"),"Active without approved status",IF(AND(I141="Active",G141&lt;&gt;"Deployment and Operation",G141&lt;&gt;"Monitoring and Review"),"Active in wrong lifecycle stage",IF(AND(I141="Active",P141=""),"Active without UC-ID link",IF(AND(OR(J141="Yes",J141="Unsure"),M141=""),"Agent evidence ref missing",IF(AND(I141="Active",W141&lt;&gt;"Yes"),"Active without monitoring in place",IF(N141&lt;TODAY(),"Review overdue","Check refs against source")))))))))))))</f>
        <v/>
      </c>
      <c r="P141" s="24" t="n"/>
      <c r="Q141" s="24" t="n"/>
      <c r="R141" s="36" t="n"/>
      <c r="S141" s="36" t="n"/>
      <c r="T141" s="24" t="n"/>
      <c r="U141" s="24" t="n"/>
      <c r="V141" s="24" t="n"/>
      <c r="W141" s="24" t="n"/>
      <c r="X141" s="36" t="n"/>
      <c r="Y141" s="24" t="n"/>
      <c r="Z141" s="24" t="n"/>
      <c r="AA141" s="24" t="n"/>
    </row>
    <row r="142">
      <c r="A142" s="22" t="n"/>
      <c r="B142" s="22" t="n"/>
      <c r="C142" s="22" t="n"/>
      <c r="D142" s="22" t="n"/>
      <c r="E142" s="22" t="n"/>
      <c r="F142" s="22" t="n"/>
      <c r="G142" s="22" t="n"/>
      <c r="H142" s="22" t="n"/>
      <c r="I142" s="22" t="n"/>
      <c r="J142" s="22" t="n"/>
      <c r="K142" s="22" t="n"/>
      <c r="L142" s="22" t="n"/>
      <c r="M142" s="22" t="n"/>
      <c r="N142" s="35" t="n"/>
      <c r="O142" s="22">
        <f>IF(COUNTA(A142:N142,P142:AA142)=0,"",IF(TRIM(A142)="","AIR-ID missing",IF(SUMPRODUCT(--(TRIM($A$4:$A$206)=TRIM(A142)))&gt;1,"Duplicate AIR-ID",IF(OR(B142="",E142="",G142="",H142="",I142="",N142=""),"Required field missing (name, owner, stage, status or next review)",IF(NOT(ISNUMBER(N142)),"Next review is not a date",IF(OR(AND(R142&lt;&gt;"",NOT(ISNUMBER(R142))),AND(S142&lt;&gt;"",NOT(ISNUMBER(S142))),AND(X142&lt;&gt;"",NOT(ISNUMBER(X142)))),"Date field is not a date",IF(AND(OR(H142="Approved",H142="Approved with conditions"),OR(K142="",L142="")),"Approval evidence refs missing",IF(AND(I142="Active",H142&lt;&gt;"Approved",H142&lt;&gt;"Approved with conditions"),"Active without approved status",IF(AND(I142="Active",G142&lt;&gt;"Deployment and Operation",G142&lt;&gt;"Monitoring and Review"),"Active in wrong lifecycle stage",IF(AND(I142="Active",P142=""),"Active without UC-ID link",IF(AND(OR(J142="Yes",J142="Unsure"),M142=""),"Agent evidence ref missing",IF(AND(I142="Active",W142&lt;&gt;"Yes"),"Active without monitoring in place",IF(N142&lt;TODAY(),"Review overdue","Check refs against source")))))))))))))</f>
        <v/>
      </c>
      <c r="P142" s="22" t="n"/>
      <c r="Q142" s="22" t="n"/>
      <c r="R142" s="35" t="n"/>
      <c r="S142" s="35" t="n"/>
      <c r="T142" s="22" t="n"/>
      <c r="U142" s="22" t="n"/>
      <c r="V142" s="22" t="n"/>
      <c r="W142" s="22" t="n"/>
      <c r="X142" s="35" t="n"/>
      <c r="Y142" s="22" t="n"/>
      <c r="Z142" s="22" t="n"/>
      <c r="AA142" s="22" t="n"/>
    </row>
    <row r="143">
      <c r="A143" s="24" t="n"/>
      <c r="B143" s="24" t="n"/>
      <c r="C143" s="24" t="n"/>
      <c r="D143" s="24" t="n"/>
      <c r="E143" s="24" t="n"/>
      <c r="F143" s="24" t="n"/>
      <c r="G143" s="24" t="n"/>
      <c r="H143" s="24" t="n"/>
      <c r="I143" s="24" t="n"/>
      <c r="J143" s="24" t="n"/>
      <c r="K143" s="24" t="n"/>
      <c r="L143" s="24" t="n"/>
      <c r="M143" s="24" t="n"/>
      <c r="N143" s="36" t="n"/>
      <c r="O143" s="24">
        <f>IF(COUNTA(A143:N143,P143:AA143)=0,"",IF(TRIM(A143)="","AIR-ID missing",IF(SUMPRODUCT(--(TRIM($A$4:$A$206)=TRIM(A143)))&gt;1,"Duplicate AIR-ID",IF(OR(B143="",E143="",G143="",H143="",I143="",N143=""),"Required field missing (name, owner, stage, status or next review)",IF(NOT(ISNUMBER(N143)),"Next review is not a date",IF(OR(AND(R143&lt;&gt;"",NOT(ISNUMBER(R143))),AND(S143&lt;&gt;"",NOT(ISNUMBER(S143))),AND(X143&lt;&gt;"",NOT(ISNUMBER(X143)))),"Date field is not a date",IF(AND(OR(H143="Approved",H143="Approved with conditions"),OR(K143="",L143="")),"Approval evidence refs missing",IF(AND(I143="Active",H143&lt;&gt;"Approved",H143&lt;&gt;"Approved with conditions"),"Active without approved status",IF(AND(I143="Active",G143&lt;&gt;"Deployment and Operation",G143&lt;&gt;"Monitoring and Review"),"Active in wrong lifecycle stage",IF(AND(I143="Active",P143=""),"Active without UC-ID link",IF(AND(OR(J143="Yes",J143="Unsure"),M143=""),"Agent evidence ref missing",IF(AND(I143="Active",W143&lt;&gt;"Yes"),"Active without monitoring in place",IF(N143&lt;TODAY(),"Review overdue","Check refs against source")))))))))))))</f>
        <v/>
      </c>
      <c r="P143" s="24" t="n"/>
      <c r="Q143" s="24" t="n"/>
      <c r="R143" s="36" t="n"/>
      <c r="S143" s="36" t="n"/>
      <c r="T143" s="24" t="n"/>
      <c r="U143" s="24" t="n"/>
      <c r="V143" s="24" t="n"/>
      <c r="W143" s="24" t="n"/>
      <c r="X143" s="36" t="n"/>
      <c r="Y143" s="24" t="n"/>
      <c r="Z143" s="24" t="n"/>
      <c r="AA143" s="24" t="n"/>
    </row>
    <row r="144">
      <c r="A144" s="22" t="n"/>
      <c r="B144" s="22" t="n"/>
      <c r="C144" s="22" t="n"/>
      <c r="D144" s="22" t="n"/>
      <c r="E144" s="22" t="n"/>
      <c r="F144" s="22" t="n"/>
      <c r="G144" s="22" t="n"/>
      <c r="H144" s="22" t="n"/>
      <c r="I144" s="22" t="n"/>
      <c r="J144" s="22" t="n"/>
      <c r="K144" s="22" t="n"/>
      <c r="L144" s="22" t="n"/>
      <c r="M144" s="22" t="n"/>
      <c r="N144" s="35" t="n"/>
      <c r="O144" s="22">
        <f>IF(COUNTA(A144:N144,P144:AA144)=0,"",IF(TRIM(A144)="","AIR-ID missing",IF(SUMPRODUCT(--(TRIM($A$4:$A$206)=TRIM(A144)))&gt;1,"Duplicate AIR-ID",IF(OR(B144="",E144="",G144="",H144="",I144="",N144=""),"Required field missing (name, owner, stage, status or next review)",IF(NOT(ISNUMBER(N144)),"Next review is not a date",IF(OR(AND(R144&lt;&gt;"",NOT(ISNUMBER(R144))),AND(S144&lt;&gt;"",NOT(ISNUMBER(S144))),AND(X144&lt;&gt;"",NOT(ISNUMBER(X144)))),"Date field is not a date",IF(AND(OR(H144="Approved",H144="Approved with conditions"),OR(K144="",L144="")),"Approval evidence refs missing",IF(AND(I144="Active",H144&lt;&gt;"Approved",H144&lt;&gt;"Approved with conditions"),"Active without approved status",IF(AND(I144="Active",G144&lt;&gt;"Deployment and Operation",G144&lt;&gt;"Monitoring and Review"),"Active in wrong lifecycle stage",IF(AND(I144="Active",P144=""),"Active without UC-ID link",IF(AND(OR(J144="Yes",J144="Unsure"),M144=""),"Agent evidence ref missing",IF(AND(I144="Active",W144&lt;&gt;"Yes"),"Active without monitoring in place",IF(N144&lt;TODAY(),"Review overdue","Check refs against source")))))))))))))</f>
        <v/>
      </c>
      <c r="P144" s="22" t="n"/>
      <c r="Q144" s="22" t="n"/>
      <c r="R144" s="35" t="n"/>
      <c r="S144" s="35" t="n"/>
      <c r="T144" s="22" t="n"/>
      <c r="U144" s="22" t="n"/>
      <c r="V144" s="22" t="n"/>
      <c r="W144" s="22" t="n"/>
      <c r="X144" s="35" t="n"/>
      <c r="Y144" s="22" t="n"/>
      <c r="Z144" s="22" t="n"/>
      <c r="AA144" s="22" t="n"/>
    </row>
    <row r="145">
      <c r="A145" s="24" t="n"/>
      <c r="B145" s="24" t="n"/>
      <c r="C145" s="24" t="n"/>
      <c r="D145" s="24" t="n"/>
      <c r="E145" s="24" t="n"/>
      <c r="F145" s="24" t="n"/>
      <c r="G145" s="24" t="n"/>
      <c r="H145" s="24" t="n"/>
      <c r="I145" s="24" t="n"/>
      <c r="J145" s="24" t="n"/>
      <c r="K145" s="24" t="n"/>
      <c r="L145" s="24" t="n"/>
      <c r="M145" s="24" t="n"/>
      <c r="N145" s="36" t="n"/>
      <c r="O145" s="24">
        <f>IF(COUNTA(A145:N145,P145:AA145)=0,"",IF(TRIM(A145)="","AIR-ID missing",IF(SUMPRODUCT(--(TRIM($A$4:$A$206)=TRIM(A145)))&gt;1,"Duplicate AIR-ID",IF(OR(B145="",E145="",G145="",H145="",I145="",N145=""),"Required field missing (name, owner, stage, status or next review)",IF(NOT(ISNUMBER(N145)),"Next review is not a date",IF(OR(AND(R145&lt;&gt;"",NOT(ISNUMBER(R145))),AND(S145&lt;&gt;"",NOT(ISNUMBER(S145))),AND(X145&lt;&gt;"",NOT(ISNUMBER(X145)))),"Date field is not a date",IF(AND(OR(H145="Approved",H145="Approved with conditions"),OR(K145="",L145="")),"Approval evidence refs missing",IF(AND(I145="Active",H145&lt;&gt;"Approved",H145&lt;&gt;"Approved with conditions"),"Active without approved status",IF(AND(I145="Active",G145&lt;&gt;"Deployment and Operation",G145&lt;&gt;"Monitoring and Review"),"Active in wrong lifecycle stage",IF(AND(I145="Active",P145=""),"Active without UC-ID link",IF(AND(OR(J145="Yes",J145="Unsure"),M145=""),"Agent evidence ref missing",IF(AND(I145="Active",W145&lt;&gt;"Yes"),"Active without monitoring in place",IF(N145&lt;TODAY(),"Review overdue","Check refs against source")))))))))))))</f>
        <v/>
      </c>
      <c r="P145" s="24" t="n"/>
      <c r="Q145" s="24" t="n"/>
      <c r="R145" s="36" t="n"/>
      <c r="S145" s="36" t="n"/>
      <c r="T145" s="24" t="n"/>
      <c r="U145" s="24" t="n"/>
      <c r="V145" s="24" t="n"/>
      <c r="W145" s="24" t="n"/>
      <c r="X145" s="36" t="n"/>
      <c r="Y145" s="24" t="n"/>
      <c r="Z145" s="24" t="n"/>
      <c r="AA145" s="24" t="n"/>
    </row>
    <row r="146">
      <c r="A146" s="22" t="n"/>
      <c r="B146" s="22" t="n"/>
      <c r="C146" s="22" t="n"/>
      <c r="D146" s="22" t="n"/>
      <c r="E146" s="22" t="n"/>
      <c r="F146" s="22" t="n"/>
      <c r="G146" s="22" t="n"/>
      <c r="H146" s="22" t="n"/>
      <c r="I146" s="22" t="n"/>
      <c r="J146" s="22" t="n"/>
      <c r="K146" s="22" t="n"/>
      <c r="L146" s="22" t="n"/>
      <c r="M146" s="22" t="n"/>
      <c r="N146" s="35" t="n"/>
      <c r="O146" s="22">
        <f>IF(COUNTA(A146:N146,P146:AA146)=0,"",IF(TRIM(A146)="","AIR-ID missing",IF(SUMPRODUCT(--(TRIM($A$4:$A$206)=TRIM(A146)))&gt;1,"Duplicate AIR-ID",IF(OR(B146="",E146="",G146="",H146="",I146="",N146=""),"Required field missing (name, owner, stage, status or next review)",IF(NOT(ISNUMBER(N146)),"Next review is not a date",IF(OR(AND(R146&lt;&gt;"",NOT(ISNUMBER(R146))),AND(S146&lt;&gt;"",NOT(ISNUMBER(S146))),AND(X146&lt;&gt;"",NOT(ISNUMBER(X146)))),"Date field is not a date",IF(AND(OR(H146="Approved",H146="Approved with conditions"),OR(K146="",L146="")),"Approval evidence refs missing",IF(AND(I146="Active",H146&lt;&gt;"Approved",H146&lt;&gt;"Approved with conditions"),"Active without approved status",IF(AND(I146="Active",G146&lt;&gt;"Deployment and Operation",G146&lt;&gt;"Monitoring and Review"),"Active in wrong lifecycle stage",IF(AND(I146="Active",P146=""),"Active without UC-ID link",IF(AND(OR(J146="Yes",J146="Unsure"),M146=""),"Agent evidence ref missing",IF(AND(I146="Active",W146&lt;&gt;"Yes"),"Active without monitoring in place",IF(N146&lt;TODAY(),"Review overdue","Check refs against source")))))))))))))</f>
        <v/>
      </c>
      <c r="P146" s="22" t="n"/>
      <c r="Q146" s="22" t="n"/>
      <c r="R146" s="35" t="n"/>
      <c r="S146" s="35" t="n"/>
      <c r="T146" s="22" t="n"/>
      <c r="U146" s="22" t="n"/>
      <c r="V146" s="22" t="n"/>
      <c r="W146" s="22" t="n"/>
      <c r="X146" s="35" t="n"/>
      <c r="Y146" s="22" t="n"/>
      <c r="Z146" s="22" t="n"/>
      <c r="AA146" s="22" t="n"/>
    </row>
    <row r="147">
      <c r="A147" s="24" t="n"/>
      <c r="B147" s="24" t="n"/>
      <c r="C147" s="24" t="n"/>
      <c r="D147" s="24" t="n"/>
      <c r="E147" s="24" t="n"/>
      <c r="F147" s="24" t="n"/>
      <c r="G147" s="24" t="n"/>
      <c r="H147" s="24" t="n"/>
      <c r="I147" s="24" t="n"/>
      <c r="J147" s="24" t="n"/>
      <c r="K147" s="24" t="n"/>
      <c r="L147" s="24" t="n"/>
      <c r="M147" s="24" t="n"/>
      <c r="N147" s="36" t="n"/>
      <c r="O147" s="24">
        <f>IF(COUNTA(A147:N147,P147:AA147)=0,"",IF(TRIM(A147)="","AIR-ID missing",IF(SUMPRODUCT(--(TRIM($A$4:$A$206)=TRIM(A147)))&gt;1,"Duplicate AIR-ID",IF(OR(B147="",E147="",G147="",H147="",I147="",N147=""),"Required field missing (name, owner, stage, status or next review)",IF(NOT(ISNUMBER(N147)),"Next review is not a date",IF(OR(AND(R147&lt;&gt;"",NOT(ISNUMBER(R147))),AND(S147&lt;&gt;"",NOT(ISNUMBER(S147))),AND(X147&lt;&gt;"",NOT(ISNUMBER(X147)))),"Date field is not a date",IF(AND(OR(H147="Approved",H147="Approved with conditions"),OR(K147="",L147="")),"Approval evidence refs missing",IF(AND(I147="Active",H147&lt;&gt;"Approved",H147&lt;&gt;"Approved with conditions"),"Active without approved status",IF(AND(I147="Active",G147&lt;&gt;"Deployment and Operation",G147&lt;&gt;"Monitoring and Review"),"Active in wrong lifecycle stage",IF(AND(I147="Active",P147=""),"Active without UC-ID link",IF(AND(OR(J147="Yes",J147="Unsure"),M147=""),"Agent evidence ref missing",IF(AND(I147="Active",W147&lt;&gt;"Yes"),"Active without monitoring in place",IF(N147&lt;TODAY(),"Review overdue","Check refs against source")))))))))))))</f>
        <v/>
      </c>
      <c r="P147" s="24" t="n"/>
      <c r="Q147" s="24" t="n"/>
      <c r="R147" s="36" t="n"/>
      <c r="S147" s="36" t="n"/>
      <c r="T147" s="24" t="n"/>
      <c r="U147" s="24" t="n"/>
      <c r="V147" s="24" t="n"/>
      <c r="W147" s="24" t="n"/>
      <c r="X147" s="36" t="n"/>
      <c r="Y147" s="24" t="n"/>
      <c r="Z147" s="24" t="n"/>
      <c r="AA147" s="24" t="n"/>
    </row>
    <row r="148">
      <c r="A148" s="22" t="n"/>
      <c r="B148" s="22" t="n"/>
      <c r="C148" s="22" t="n"/>
      <c r="D148" s="22" t="n"/>
      <c r="E148" s="22" t="n"/>
      <c r="F148" s="22" t="n"/>
      <c r="G148" s="22" t="n"/>
      <c r="H148" s="22" t="n"/>
      <c r="I148" s="22" t="n"/>
      <c r="J148" s="22" t="n"/>
      <c r="K148" s="22" t="n"/>
      <c r="L148" s="22" t="n"/>
      <c r="M148" s="22" t="n"/>
      <c r="N148" s="35" t="n"/>
      <c r="O148" s="22">
        <f>IF(COUNTA(A148:N148,P148:AA148)=0,"",IF(TRIM(A148)="","AIR-ID missing",IF(SUMPRODUCT(--(TRIM($A$4:$A$206)=TRIM(A148)))&gt;1,"Duplicate AIR-ID",IF(OR(B148="",E148="",G148="",H148="",I148="",N148=""),"Required field missing (name, owner, stage, status or next review)",IF(NOT(ISNUMBER(N148)),"Next review is not a date",IF(OR(AND(R148&lt;&gt;"",NOT(ISNUMBER(R148))),AND(S148&lt;&gt;"",NOT(ISNUMBER(S148))),AND(X148&lt;&gt;"",NOT(ISNUMBER(X148)))),"Date field is not a date",IF(AND(OR(H148="Approved",H148="Approved with conditions"),OR(K148="",L148="")),"Approval evidence refs missing",IF(AND(I148="Active",H148&lt;&gt;"Approved",H148&lt;&gt;"Approved with conditions"),"Active without approved status",IF(AND(I148="Active",G148&lt;&gt;"Deployment and Operation",G148&lt;&gt;"Monitoring and Review"),"Active in wrong lifecycle stage",IF(AND(I148="Active",P148=""),"Active without UC-ID link",IF(AND(OR(J148="Yes",J148="Unsure"),M148=""),"Agent evidence ref missing",IF(AND(I148="Active",W148&lt;&gt;"Yes"),"Active without monitoring in place",IF(N148&lt;TODAY(),"Review overdue","Check refs against source")))))))))))))</f>
        <v/>
      </c>
      <c r="P148" s="22" t="n"/>
      <c r="Q148" s="22" t="n"/>
      <c r="R148" s="35" t="n"/>
      <c r="S148" s="35" t="n"/>
      <c r="T148" s="22" t="n"/>
      <c r="U148" s="22" t="n"/>
      <c r="V148" s="22" t="n"/>
      <c r="W148" s="22" t="n"/>
      <c r="X148" s="35" t="n"/>
      <c r="Y148" s="22" t="n"/>
      <c r="Z148" s="22" t="n"/>
      <c r="AA148" s="22" t="n"/>
    </row>
    <row r="149">
      <c r="A149" s="24" t="n"/>
      <c r="B149" s="24" t="n"/>
      <c r="C149" s="24" t="n"/>
      <c r="D149" s="24" t="n"/>
      <c r="E149" s="24" t="n"/>
      <c r="F149" s="24" t="n"/>
      <c r="G149" s="24" t="n"/>
      <c r="H149" s="24" t="n"/>
      <c r="I149" s="24" t="n"/>
      <c r="J149" s="24" t="n"/>
      <c r="K149" s="24" t="n"/>
      <c r="L149" s="24" t="n"/>
      <c r="M149" s="24" t="n"/>
      <c r="N149" s="36" t="n"/>
      <c r="O149" s="24">
        <f>IF(COUNTA(A149:N149,P149:AA149)=0,"",IF(TRIM(A149)="","AIR-ID missing",IF(SUMPRODUCT(--(TRIM($A$4:$A$206)=TRIM(A149)))&gt;1,"Duplicate AIR-ID",IF(OR(B149="",E149="",G149="",H149="",I149="",N149=""),"Required field missing (name, owner, stage, status or next review)",IF(NOT(ISNUMBER(N149)),"Next review is not a date",IF(OR(AND(R149&lt;&gt;"",NOT(ISNUMBER(R149))),AND(S149&lt;&gt;"",NOT(ISNUMBER(S149))),AND(X149&lt;&gt;"",NOT(ISNUMBER(X149)))),"Date field is not a date",IF(AND(OR(H149="Approved",H149="Approved with conditions"),OR(K149="",L149="")),"Approval evidence refs missing",IF(AND(I149="Active",H149&lt;&gt;"Approved",H149&lt;&gt;"Approved with conditions"),"Active without approved status",IF(AND(I149="Active",G149&lt;&gt;"Deployment and Operation",G149&lt;&gt;"Monitoring and Review"),"Active in wrong lifecycle stage",IF(AND(I149="Active",P149=""),"Active without UC-ID link",IF(AND(OR(J149="Yes",J149="Unsure"),M149=""),"Agent evidence ref missing",IF(AND(I149="Active",W149&lt;&gt;"Yes"),"Active without monitoring in place",IF(N149&lt;TODAY(),"Review overdue","Check refs against source")))))))))))))</f>
        <v/>
      </c>
      <c r="P149" s="24" t="n"/>
      <c r="Q149" s="24" t="n"/>
      <c r="R149" s="36" t="n"/>
      <c r="S149" s="36" t="n"/>
      <c r="T149" s="24" t="n"/>
      <c r="U149" s="24" t="n"/>
      <c r="V149" s="24" t="n"/>
      <c r="W149" s="24" t="n"/>
      <c r="X149" s="36" t="n"/>
      <c r="Y149" s="24" t="n"/>
      <c r="Z149" s="24" t="n"/>
      <c r="AA149" s="24" t="n"/>
    </row>
    <row r="150">
      <c r="A150" s="22" t="n"/>
      <c r="B150" s="22" t="n"/>
      <c r="C150" s="22" t="n"/>
      <c r="D150" s="22" t="n"/>
      <c r="E150" s="22" t="n"/>
      <c r="F150" s="22" t="n"/>
      <c r="G150" s="22" t="n"/>
      <c r="H150" s="22" t="n"/>
      <c r="I150" s="22" t="n"/>
      <c r="J150" s="22" t="n"/>
      <c r="K150" s="22" t="n"/>
      <c r="L150" s="22" t="n"/>
      <c r="M150" s="22" t="n"/>
      <c r="N150" s="35" t="n"/>
      <c r="O150" s="22">
        <f>IF(COUNTA(A150:N150,P150:AA150)=0,"",IF(TRIM(A150)="","AIR-ID missing",IF(SUMPRODUCT(--(TRIM($A$4:$A$206)=TRIM(A150)))&gt;1,"Duplicate AIR-ID",IF(OR(B150="",E150="",G150="",H150="",I150="",N150=""),"Required field missing (name, owner, stage, status or next review)",IF(NOT(ISNUMBER(N150)),"Next review is not a date",IF(OR(AND(R150&lt;&gt;"",NOT(ISNUMBER(R150))),AND(S150&lt;&gt;"",NOT(ISNUMBER(S150))),AND(X150&lt;&gt;"",NOT(ISNUMBER(X150)))),"Date field is not a date",IF(AND(OR(H150="Approved",H150="Approved with conditions"),OR(K150="",L150="")),"Approval evidence refs missing",IF(AND(I150="Active",H150&lt;&gt;"Approved",H150&lt;&gt;"Approved with conditions"),"Active without approved status",IF(AND(I150="Active",G150&lt;&gt;"Deployment and Operation",G150&lt;&gt;"Monitoring and Review"),"Active in wrong lifecycle stage",IF(AND(I150="Active",P150=""),"Active without UC-ID link",IF(AND(OR(J150="Yes",J150="Unsure"),M150=""),"Agent evidence ref missing",IF(AND(I150="Active",W150&lt;&gt;"Yes"),"Active without monitoring in place",IF(N150&lt;TODAY(),"Review overdue","Check refs against source")))))))))))))</f>
        <v/>
      </c>
      <c r="P150" s="22" t="n"/>
      <c r="Q150" s="22" t="n"/>
      <c r="R150" s="35" t="n"/>
      <c r="S150" s="35" t="n"/>
      <c r="T150" s="22" t="n"/>
      <c r="U150" s="22" t="n"/>
      <c r="V150" s="22" t="n"/>
      <c r="W150" s="22" t="n"/>
      <c r="X150" s="35" t="n"/>
      <c r="Y150" s="22" t="n"/>
      <c r="Z150" s="22" t="n"/>
      <c r="AA150" s="22" t="n"/>
    </row>
    <row r="151">
      <c r="A151" s="24" t="n"/>
      <c r="B151" s="24" t="n"/>
      <c r="C151" s="24" t="n"/>
      <c r="D151" s="24" t="n"/>
      <c r="E151" s="24" t="n"/>
      <c r="F151" s="24" t="n"/>
      <c r="G151" s="24" t="n"/>
      <c r="H151" s="24" t="n"/>
      <c r="I151" s="24" t="n"/>
      <c r="J151" s="24" t="n"/>
      <c r="K151" s="24" t="n"/>
      <c r="L151" s="24" t="n"/>
      <c r="M151" s="24" t="n"/>
      <c r="N151" s="36" t="n"/>
      <c r="O151" s="24">
        <f>IF(COUNTA(A151:N151,P151:AA151)=0,"",IF(TRIM(A151)="","AIR-ID missing",IF(SUMPRODUCT(--(TRIM($A$4:$A$206)=TRIM(A151)))&gt;1,"Duplicate AIR-ID",IF(OR(B151="",E151="",G151="",H151="",I151="",N151=""),"Required field missing (name, owner, stage, status or next review)",IF(NOT(ISNUMBER(N151)),"Next review is not a date",IF(OR(AND(R151&lt;&gt;"",NOT(ISNUMBER(R151))),AND(S151&lt;&gt;"",NOT(ISNUMBER(S151))),AND(X151&lt;&gt;"",NOT(ISNUMBER(X151)))),"Date field is not a date",IF(AND(OR(H151="Approved",H151="Approved with conditions"),OR(K151="",L151="")),"Approval evidence refs missing",IF(AND(I151="Active",H151&lt;&gt;"Approved",H151&lt;&gt;"Approved with conditions"),"Active without approved status",IF(AND(I151="Active",G151&lt;&gt;"Deployment and Operation",G151&lt;&gt;"Monitoring and Review"),"Active in wrong lifecycle stage",IF(AND(I151="Active",P151=""),"Active without UC-ID link",IF(AND(OR(J151="Yes",J151="Unsure"),M151=""),"Agent evidence ref missing",IF(AND(I151="Active",W151&lt;&gt;"Yes"),"Active without monitoring in place",IF(N151&lt;TODAY(),"Review overdue","Check refs against source")))))))))))))</f>
        <v/>
      </c>
      <c r="P151" s="24" t="n"/>
      <c r="Q151" s="24" t="n"/>
      <c r="R151" s="36" t="n"/>
      <c r="S151" s="36" t="n"/>
      <c r="T151" s="24" t="n"/>
      <c r="U151" s="24" t="n"/>
      <c r="V151" s="24" t="n"/>
      <c r="W151" s="24" t="n"/>
      <c r="X151" s="36" t="n"/>
      <c r="Y151" s="24" t="n"/>
      <c r="Z151" s="24" t="n"/>
      <c r="AA151" s="24" t="n"/>
    </row>
    <row r="152">
      <c r="A152" s="22" t="n"/>
      <c r="B152" s="22" t="n"/>
      <c r="C152" s="22" t="n"/>
      <c r="D152" s="22" t="n"/>
      <c r="E152" s="22" t="n"/>
      <c r="F152" s="22" t="n"/>
      <c r="G152" s="22" t="n"/>
      <c r="H152" s="22" t="n"/>
      <c r="I152" s="22" t="n"/>
      <c r="J152" s="22" t="n"/>
      <c r="K152" s="22" t="n"/>
      <c r="L152" s="22" t="n"/>
      <c r="M152" s="22" t="n"/>
      <c r="N152" s="35" t="n"/>
      <c r="O152" s="22">
        <f>IF(COUNTA(A152:N152,P152:AA152)=0,"",IF(TRIM(A152)="","AIR-ID missing",IF(SUMPRODUCT(--(TRIM($A$4:$A$206)=TRIM(A152)))&gt;1,"Duplicate AIR-ID",IF(OR(B152="",E152="",G152="",H152="",I152="",N152=""),"Required field missing (name, owner, stage, status or next review)",IF(NOT(ISNUMBER(N152)),"Next review is not a date",IF(OR(AND(R152&lt;&gt;"",NOT(ISNUMBER(R152))),AND(S152&lt;&gt;"",NOT(ISNUMBER(S152))),AND(X152&lt;&gt;"",NOT(ISNUMBER(X152)))),"Date field is not a date",IF(AND(OR(H152="Approved",H152="Approved with conditions"),OR(K152="",L152="")),"Approval evidence refs missing",IF(AND(I152="Active",H152&lt;&gt;"Approved",H152&lt;&gt;"Approved with conditions"),"Active without approved status",IF(AND(I152="Active",G152&lt;&gt;"Deployment and Operation",G152&lt;&gt;"Monitoring and Review"),"Active in wrong lifecycle stage",IF(AND(I152="Active",P152=""),"Active without UC-ID link",IF(AND(OR(J152="Yes",J152="Unsure"),M152=""),"Agent evidence ref missing",IF(AND(I152="Active",W152&lt;&gt;"Yes"),"Active without monitoring in place",IF(N152&lt;TODAY(),"Review overdue","Check refs against source")))))))))))))</f>
        <v/>
      </c>
      <c r="P152" s="22" t="n"/>
      <c r="Q152" s="22" t="n"/>
      <c r="R152" s="35" t="n"/>
      <c r="S152" s="35" t="n"/>
      <c r="T152" s="22" t="n"/>
      <c r="U152" s="22" t="n"/>
      <c r="V152" s="22" t="n"/>
      <c r="W152" s="22" t="n"/>
      <c r="X152" s="35" t="n"/>
      <c r="Y152" s="22" t="n"/>
      <c r="Z152" s="22" t="n"/>
      <c r="AA152" s="22" t="n"/>
    </row>
    <row r="153">
      <c r="A153" s="24" t="n"/>
      <c r="B153" s="24" t="n"/>
      <c r="C153" s="24" t="n"/>
      <c r="D153" s="24" t="n"/>
      <c r="E153" s="24" t="n"/>
      <c r="F153" s="24" t="n"/>
      <c r="G153" s="24" t="n"/>
      <c r="H153" s="24" t="n"/>
      <c r="I153" s="24" t="n"/>
      <c r="J153" s="24" t="n"/>
      <c r="K153" s="24" t="n"/>
      <c r="L153" s="24" t="n"/>
      <c r="M153" s="24" t="n"/>
      <c r="N153" s="36" t="n"/>
      <c r="O153" s="24">
        <f>IF(COUNTA(A153:N153,P153:AA153)=0,"",IF(TRIM(A153)="","AIR-ID missing",IF(SUMPRODUCT(--(TRIM($A$4:$A$206)=TRIM(A153)))&gt;1,"Duplicate AIR-ID",IF(OR(B153="",E153="",G153="",H153="",I153="",N153=""),"Required field missing (name, owner, stage, status or next review)",IF(NOT(ISNUMBER(N153)),"Next review is not a date",IF(OR(AND(R153&lt;&gt;"",NOT(ISNUMBER(R153))),AND(S153&lt;&gt;"",NOT(ISNUMBER(S153))),AND(X153&lt;&gt;"",NOT(ISNUMBER(X153)))),"Date field is not a date",IF(AND(OR(H153="Approved",H153="Approved with conditions"),OR(K153="",L153="")),"Approval evidence refs missing",IF(AND(I153="Active",H153&lt;&gt;"Approved",H153&lt;&gt;"Approved with conditions"),"Active without approved status",IF(AND(I153="Active",G153&lt;&gt;"Deployment and Operation",G153&lt;&gt;"Monitoring and Review"),"Active in wrong lifecycle stage",IF(AND(I153="Active",P153=""),"Active without UC-ID link",IF(AND(OR(J153="Yes",J153="Unsure"),M153=""),"Agent evidence ref missing",IF(AND(I153="Active",W153&lt;&gt;"Yes"),"Active without monitoring in place",IF(N153&lt;TODAY(),"Review overdue","Check refs against source")))))))))))))</f>
        <v/>
      </c>
      <c r="P153" s="24" t="n"/>
      <c r="Q153" s="24" t="n"/>
      <c r="R153" s="36" t="n"/>
      <c r="S153" s="36" t="n"/>
      <c r="T153" s="24" t="n"/>
      <c r="U153" s="24" t="n"/>
      <c r="V153" s="24" t="n"/>
      <c r="W153" s="24" t="n"/>
      <c r="X153" s="36" t="n"/>
      <c r="Y153" s="24" t="n"/>
      <c r="Z153" s="24" t="n"/>
      <c r="AA153" s="24" t="n"/>
    </row>
    <row r="154">
      <c r="A154" s="22" t="n"/>
      <c r="B154" s="22" t="n"/>
      <c r="C154" s="22" t="n"/>
      <c r="D154" s="22" t="n"/>
      <c r="E154" s="22" t="n"/>
      <c r="F154" s="22" t="n"/>
      <c r="G154" s="22" t="n"/>
      <c r="H154" s="22" t="n"/>
      <c r="I154" s="22" t="n"/>
      <c r="J154" s="22" t="n"/>
      <c r="K154" s="22" t="n"/>
      <c r="L154" s="22" t="n"/>
      <c r="M154" s="22" t="n"/>
      <c r="N154" s="35" t="n"/>
      <c r="O154" s="22">
        <f>IF(COUNTA(A154:N154,P154:AA154)=0,"",IF(TRIM(A154)="","AIR-ID missing",IF(SUMPRODUCT(--(TRIM($A$4:$A$206)=TRIM(A154)))&gt;1,"Duplicate AIR-ID",IF(OR(B154="",E154="",G154="",H154="",I154="",N154=""),"Required field missing (name, owner, stage, status or next review)",IF(NOT(ISNUMBER(N154)),"Next review is not a date",IF(OR(AND(R154&lt;&gt;"",NOT(ISNUMBER(R154))),AND(S154&lt;&gt;"",NOT(ISNUMBER(S154))),AND(X154&lt;&gt;"",NOT(ISNUMBER(X154)))),"Date field is not a date",IF(AND(OR(H154="Approved",H154="Approved with conditions"),OR(K154="",L154="")),"Approval evidence refs missing",IF(AND(I154="Active",H154&lt;&gt;"Approved",H154&lt;&gt;"Approved with conditions"),"Active without approved status",IF(AND(I154="Active",G154&lt;&gt;"Deployment and Operation",G154&lt;&gt;"Monitoring and Review"),"Active in wrong lifecycle stage",IF(AND(I154="Active",P154=""),"Active without UC-ID link",IF(AND(OR(J154="Yes",J154="Unsure"),M154=""),"Agent evidence ref missing",IF(AND(I154="Active",W154&lt;&gt;"Yes"),"Active without monitoring in place",IF(N154&lt;TODAY(),"Review overdue","Check refs against source")))))))))))))</f>
        <v/>
      </c>
      <c r="P154" s="22" t="n"/>
      <c r="Q154" s="22" t="n"/>
      <c r="R154" s="35" t="n"/>
      <c r="S154" s="35" t="n"/>
      <c r="T154" s="22" t="n"/>
      <c r="U154" s="22" t="n"/>
      <c r="V154" s="22" t="n"/>
      <c r="W154" s="22" t="n"/>
      <c r="X154" s="35" t="n"/>
      <c r="Y154" s="22" t="n"/>
      <c r="Z154" s="22" t="n"/>
      <c r="AA154" s="22" t="n"/>
    </row>
    <row r="155">
      <c r="A155" s="24" t="n"/>
      <c r="B155" s="24" t="n"/>
      <c r="C155" s="24" t="n"/>
      <c r="D155" s="24" t="n"/>
      <c r="E155" s="24" t="n"/>
      <c r="F155" s="24" t="n"/>
      <c r="G155" s="24" t="n"/>
      <c r="H155" s="24" t="n"/>
      <c r="I155" s="24" t="n"/>
      <c r="J155" s="24" t="n"/>
      <c r="K155" s="24" t="n"/>
      <c r="L155" s="24" t="n"/>
      <c r="M155" s="24" t="n"/>
      <c r="N155" s="36" t="n"/>
      <c r="O155" s="24">
        <f>IF(COUNTA(A155:N155,P155:AA155)=0,"",IF(TRIM(A155)="","AIR-ID missing",IF(SUMPRODUCT(--(TRIM($A$4:$A$206)=TRIM(A155)))&gt;1,"Duplicate AIR-ID",IF(OR(B155="",E155="",G155="",H155="",I155="",N155=""),"Required field missing (name, owner, stage, status or next review)",IF(NOT(ISNUMBER(N155)),"Next review is not a date",IF(OR(AND(R155&lt;&gt;"",NOT(ISNUMBER(R155))),AND(S155&lt;&gt;"",NOT(ISNUMBER(S155))),AND(X155&lt;&gt;"",NOT(ISNUMBER(X155)))),"Date field is not a date",IF(AND(OR(H155="Approved",H155="Approved with conditions"),OR(K155="",L155="")),"Approval evidence refs missing",IF(AND(I155="Active",H155&lt;&gt;"Approved",H155&lt;&gt;"Approved with conditions"),"Active without approved status",IF(AND(I155="Active",G155&lt;&gt;"Deployment and Operation",G155&lt;&gt;"Monitoring and Review"),"Active in wrong lifecycle stage",IF(AND(I155="Active",P155=""),"Active without UC-ID link",IF(AND(OR(J155="Yes",J155="Unsure"),M155=""),"Agent evidence ref missing",IF(AND(I155="Active",W155&lt;&gt;"Yes"),"Active without monitoring in place",IF(N155&lt;TODAY(),"Review overdue","Check refs against source")))))))))))))</f>
        <v/>
      </c>
      <c r="P155" s="24" t="n"/>
      <c r="Q155" s="24" t="n"/>
      <c r="R155" s="36" t="n"/>
      <c r="S155" s="36" t="n"/>
      <c r="T155" s="24" t="n"/>
      <c r="U155" s="24" t="n"/>
      <c r="V155" s="24" t="n"/>
      <c r="W155" s="24" t="n"/>
      <c r="X155" s="36" t="n"/>
      <c r="Y155" s="24" t="n"/>
      <c r="Z155" s="24" t="n"/>
      <c r="AA155" s="24" t="n"/>
    </row>
    <row r="156">
      <c r="A156" s="22" t="n"/>
      <c r="B156" s="22" t="n"/>
      <c r="C156" s="22" t="n"/>
      <c r="D156" s="22" t="n"/>
      <c r="E156" s="22" t="n"/>
      <c r="F156" s="22" t="n"/>
      <c r="G156" s="22" t="n"/>
      <c r="H156" s="22" t="n"/>
      <c r="I156" s="22" t="n"/>
      <c r="J156" s="22" t="n"/>
      <c r="K156" s="22" t="n"/>
      <c r="L156" s="22" t="n"/>
      <c r="M156" s="22" t="n"/>
      <c r="N156" s="35" t="n"/>
      <c r="O156" s="22">
        <f>IF(COUNTA(A156:N156,P156:AA156)=0,"",IF(TRIM(A156)="","AIR-ID missing",IF(SUMPRODUCT(--(TRIM($A$4:$A$206)=TRIM(A156)))&gt;1,"Duplicate AIR-ID",IF(OR(B156="",E156="",G156="",H156="",I156="",N156=""),"Required field missing (name, owner, stage, status or next review)",IF(NOT(ISNUMBER(N156)),"Next review is not a date",IF(OR(AND(R156&lt;&gt;"",NOT(ISNUMBER(R156))),AND(S156&lt;&gt;"",NOT(ISNUMBER(S156))),AND(X156&lt;&gt;"",NOT(ISNUMBER(X156)))),"Date field is not a date",IF(AND(OR(H156="Approved",H156="Approved with conditions"),OR(K156="",L156="")),"Approval evidence refs missing",IF(AND(I156="Active",H156&lt;&gt;"Approved",H156&lt;&gt;"Approved with conditions"),"Active without approved status",IF(AND(I156="Active",G156&lt;&gt;"Deployment and Operation",G156&lt;&gt;"Monitoring and Review"),"Active in wrong lifecycle stage",IF(AND(I156="Active",P156=""),"Active without UC-ID link",IF(AND(OR(J156="Yes",J156="Unsure"),M156=""),"Agent evidence ref missing",IF(AND(I156="Active",W156&lt;&gt;"Yes"),"Active without monitoring in place",IF(N156&lt;TODAY(),"Review overdue","Check refs against source")))))))))))))</f>
        <v/>
      </c>
      <c r="P156" s="22" t="n"/>
      <c r="Q156" s="22" t="n"/>
      <c r="R156" s="35" t="n"/>
      <c r="S156" s="35" t="n"/>
      <c r="T156" s="22" t="n"/>
      <c r="U156" s="22" t="n"/>
      <c r="V156" s="22" t="n"/>
      <c r="W156" s="22" t="n"/>
      <c r="X156" s="35" t="n"/>
      <c r="Y156" s="22" t="n"/>
      <c r="Z156" s="22" t="n"/>
      <c r="AA156" s="22" t="n"/>
    </row>
    <row r="157">
      <c r="A157" s="24" t="n"/>
      <c r="B157" s="24" t="n"/>
      <c r="C157" s="24" t="n"/>
      <c r="D157" s="24" t="n"/>
      <c r="E157" s="24" t="n"/>
      <c r="F157" s="24" t="n"/>
      <c r="G157" s="24" t="n"/>
      <c r="H157" s="24" t="n"/>
      <c r="I157" s="24" t="n"/>
      <c r="J157" s="24" t="n"/>
      <c r="K157" s="24" t="n"/>
      <c r="L157" s="24" t="n"/>
      <c r="M157" s="24" t="n"/>
      <c r="N157" s="36" t="n"/>
      <c r="O157" s="24">
        <f>IF(COUNTA(A157:N157,P157:AA157)=0,"",IF(TRIM(A157)="","AIR-ID missing",IF(SUMPRODUCT(--(TRIM($A$4:$A$206)=TRIM(A157)))&gt;1,"Duplicate AIR-ID",IF(OR(B157="",E157="",G157="",H157="",I157="",N157=""),"Required field missing (name, owner, stage, status or next review)",IF(NOT(ISNUMBER(N157)),"Next review is not a date",IF(OR(AND(R157&lt;&gt;"",NOT(ISNUMBER(R157))),AND(S157&lt;&gt;"",NOT(ISNUMBER(S157))),AND(X157&lt;&gt;"",NOT(ISNUMBER(X157)))),"Date field is not a date",IF(AND(OR(H157="Approved",H157="Approved with conditions"),OR(K157="",L157="")),"Approval evidence refs missing",IF(AND(I157="Active",H157&lt;&gt;"Approved",H157&lt;&gt;"Approved with conditions"),"Active without approved status",IF(AND(I157="Active",G157&lt;&gt;"Deployment and Operation",G157&lt;&gt;"Monitoring and Review"),"Active in wrong lifecycle stage",IF(AND(I157="Active",P157=""),"Active without UC-ID link",IF(AND(OR(J157="Yes",J157="Unsure"),M157=""),"Agent evidence ref missing",IF(AND(I157="Active",W157&lt;&gt;"Yes"),"Active without monitoring in place",IF(N157&lt;TODAY(),"Review overdue","Check refs against source")))))))))))))</f>
        <v/>
      </c>
      <c r="P157" s="24" t="n"/>
      <c r="Q157" s="24" t="n"/>
      <c r="R157" s="36" t="n"/>
      <c r="S157" s="36" t="n"/>
      <c r="T157" s="24" t="n"/>
      <c r="U157" s="24" t="n"/>
      <c r="V157" s="24" t="n"/>
      <c r="W157" s="24" t="n"/>
      <c r="X157" s="36" t="n"/>
      <c r="Y157" s="24" t="n"/>
      <c r="Z157" s="24" t="n"/>
      <c r="AA157" s="24" t="n"/>
    </row>
    <row r="158">
      <c r="A158" s="22" t="n"/>
      <c r="B158" s="22" t="n"/>
      <c r="C158" s="22" t="n"/>
      <c r="D158" s="22" t="n"/>
      <c r="E158" s="22" t="n"/>
      <c r="F158" s="22" t="n"/>
      <c r="G158" s="22" t="n"/>
      <c r="H158" s="22" t="n"/>
      <c r="I158" s="22" t="n"/>
      <c r="J158" s="22" t="n"/>
      <c r="K158" s="22" t="n"/>
      <c r="L158" s="22" t="n"/>
      <c r="M158" s="22" t="n"/>
      <c r="N158" s="35" t="n"/>
      <c r="O158" s="22">
        <f>IF(COUNTA(A158:N158,P158:AA158)=0,"",IF(TRIM(A158)="","AIR-ID missing",IF(SUMPRODUCT(--(TRIM($A$4:$A$206)=TRIM(A158)))&gt;1,"Duplicate AIR-ID",IF(OR(B158="",E158="",G158="",H158="",I158="",N158=""),"Required field missing (name, owner, stage, status or next review)",IF(NOT(ISNUMBER(N158)),"Next review is not a date",IF(OR(AND(R158&lt;&gt;"",NOT(ISNUMBER(R158))),AND(S158&lt;&gt;"",NOT(ISNUMBER(S158))),AND(X158&lt;&gt;"",NOT(ISNUMBER(X158)))),"Date field is not a date",IF(AND(OR(H158="Approved",H158="Approved with conditions"),OR(K158="",L158="")),"Approval evidence refs missing",IF(AND(I158="Active",H158&lt;&gt;"Approved",H158&lt;&gt;"Approved with conditions"),"Active without approved status",IF(AND(I158="Active",G158&lt;&gt;"Deployment and Operation",G158&lt;&gt;"Monitoring and Review"),"Active in wrong lifecycle stage",IF(AND(I158="Active",P158=""),"Active without UC-ID link",IF(AND(OR(J158="Yes",J158="Unsure"),M158=""),"Agent evidence ref missing",IF(AND(I158="Active",W158&lt;&gt;"Yes"),"Active without monitoring in place",IF(N158&lt;TODAY(),"Review overdue","Check refs against source")))))))))))))</f>
        <v/>
      </c>
      <c r="P158" s="22" t="n"/>
      <c r="Q158" s="22" t="n"/>
      <c r="R158" s="35" t="n"/>
      <c r="S158" s="35" t="n"/>
      <c r="T158" s="22" t="n"/>
      <c r="U158" s="22" t="n"/>
      <c r="V158" s="22" t="n"/>
      <c r="W158" s="22" t="n"/>
      <c r="X158" s="35" t="n"/>
      <c r="Y158" s="22" t="n"/>
      <c r="Z158" s="22" t="n"/>
      <c r="AA158" s="22" t="n"/>
    </row>
    <row r="159">
      <c r="A159" s="24" t="n"/>
      <c r="B159" s="24" t="n"/>
      <c r="C159" s="24" t="n"/>
      <c r="D159" s="24" t="n"/>
      <c r="E159" s="24" t="n"/>
      <c r="F159" s="24" t="n"/>
      <c r="G159" s="24" t="n"/>
      <c r="H159" s="24" t="n"/>
      <c r="I159" s="24" t="n"/>
      <c r="J159" s="24" t="n"/>
      <c r="K159" s="24" t="n"/>
      <c r="L159" s="24" t="n"/>
      <c r="M159" s="24" t="n"/>
      <c r="N159" s="36" t="n"/>
      <c r="O159" s="24">
        <f>IF(COUNTA(A159:N159,P159:AA159)=0,"",IF(TRIM(A159)="","AIR-ID missing",IF(SUMPRODUCT(--(TRIM($A$4:$A$206)=TRIM(A159)))&gt;1,"Duplicate AIR-ID",IF(OR(B159="",E159="",G159="",H159="",I159="",N159=""),"Required field missing (name, owner, stage, status or next review)",IF(NOT(ISNUMBER(N159)),"Next review is not a date",IF(OR(AND(R159&lt;&gt;"",NOT(ISNUMBER(R159))),AND(S159&lt;&gt;"",NOT(ISNUMBER(S159))),AND(X159&lt;&gt;"",NOT(ISNUMBER(X159)))),"Date field is not a date",IF(AND(OR(H159="Approved",H159="Approved with conditions"),OR(K159="",L159="")),"Approval evidence refs missing",IF(AND(I159="Active",H159&lt;&gt;"Approved",H159&lt;&gt;"Approved with conditions"),"Active without approved status",IF(AND(I159="Active",G159&lt;&gt;"Deployment and Operation",G159&lt;&gt;"Monitoring and Review"),"Active in wrong lifecycle stage",IF(AND(I159="Active",P159=""),"Active without UC-ID link",IF(AND(OR(J159="Yes",J159="Unsure"),M159=""),"Agent evidence ref missing",IF(AND(I159="Active",W159&lt;&gt;"Yes"),"Active without monitoring in place",IF(N159&lt;TODAY(),"Review overdue","Check refs against source")))))))))))))</f>
        <v/>
      </c>
      <c r="P159" s="24" t="n"/>
      <c r="Q159" s="24" t="n"/>
      <c r="R159" s="36" t="n"/>
      <c r="S159" s="36" t="n"/>
      <c r="T159" s="24" t="n"/>
      <c r="U159" s="24" t="n"/>
      <c r="V159" s="24" t="n"/>
      <c r="W159" s="24" t="n"/>
      <c r="X159" s="36" t="n"/>
      <c r="Y159" s="24" t="n"/>
      <c r="Z159" s="24" t="n"/>
      <c r="AA159" s="24" t="n"/>
    </row>
    <row r="160">
      <c r="A160" s="22" t="n"/>
      <c r="B160" s="22" t="n"/>
      <c r="C160" s="22" t="n"/>
      <c r="D160" s="22" t="n"/>
      <c r="E160" s="22" t="n"/>
      <c r="F160" s="22" t="n"/>
      <c r="G160" s="22" t="n"/>
      <c r="H160" s="22" t="n"/>
      <c r="I160" s="22" t="n"/>
      <c r="J160" s="22" t="n"/>
      <c r="K160" s="22" t="n"/>
      <c r="L160" s="22" t="n"/>
      <c r="M160" s="22" t="n"/>
      <c r="N160" s="35" t="n"/>
      <c r="O160" s="22">
        <f>IF(COUNTA(A160:N160,P160:AA160)=0,"",IF(TRIM(A160)="","AIR-ID missing",IF(SUMPRODUCT(--(TRIM($A$4:$A$206)=TRIM(A160)))&gt;1,"Duplicate AIR-ID",IF(OR(B160="",E160="",G160="",H160="",I160="",N160=""),"Required field missing (name, owner, stage, status or next review)",IF(NOT(ISNUMBER(N160)),"Next review is not a date",IF(OR(AND(R160&lt;&gt;"",NOT(ISNUMBER(R160))),AND(S160&lt;&gt;"",NOT(ISNUMBER(S160))),AND(X160&lt;&gt;"",NOT(ISNUMBER(X160)))),"Date field is not a date",IF(AND(OR(H160="Approved",H160="Approved with conditions"),OR(K160="",L160="")),"Approval evidence refs missing",IF(AND(I160="Active",H160&lt;&gt;"Approved",H160&lt;&gt;"Approved with conditions"),"Active without approved status",IF(AND(I160="Active",G160&lt;&gt;"Deployment and Operation",G160&lt;&gt;"Monitoring and Review"),"Active in wrong lifecycle stage",IF(AND(I160="Active",P160=""),"Active without UC-ID link",IF(AND(OR(J160="Yes",J160="Unsure"),M160=""),"Agent evidence ref missing",IF(AND(I160="Active",W160&lt;&gt;"Yes"),"Active without monitoring in place",IF(N160&lt;TODAY(),"Review overdue","Check refs against source")))))))))))))</f>
        <v/>
      </c>
      <c r="P160" s="22" t="n"/>
      <c r="Q160" s="22" t="n"/>
      <c r="R160" s="35" t="n"/>
      <c r="S160" s="35" t="n"/>
      <c r="T160" s="22" t="n"/>
      <c r="U160" s="22" t="n"/>
      <c r="V160" s="22" t="n"/>
      <c r="W160" s="22" t="n"/>
      <c r="X160" s="35" t="n"/>
      <c r="Y160" s="22" t="n"/>
      <c r="Z160" s="22" t="n"/>
      <c r="AA160" s="22" t="n"/>
    </row>
    <row r="161">
      <c r="A161" s="24" t="n"/>
      <c r="B161" s="24" t="n"/>
      <c r="C161" s="24" t="n"/>
      <c r="D161" s="24" t="n"/>
      <c r="E161" s="24" t="n"/>
      <c r="F161" s="24" t="n"/>
      <c r="G161" s="24" t="n"/>
      <c r="H161" s="24" t="n"/>
      <c r="I161" s="24" t="n"/>
      <c r="J161" s="24" t="n"/>
      <c r="K161" s="24" t="n"/>
      <c r="L161" s="24" t="n"/>
      <c r="M161" s="24" t="n"/>
      <c r="N161" s="36" t="n"/>
      <c r="O161" s="24">
        <f>IF(COUNTA(A161:N161,P161:AA161)=0,"",IF(TRIM(A161)="","AIR-ID missing",IF(SUMPRODUCT(--(TRIM($A$4:$A$206)=TRIM(A161)))&gt;1,"Duplicate AIR-ID",IF(OR(B161="",E161="",G161="",H161="",I161="",N161=""),"Required field missing (name, owner, stage, status or next review)",IF(NOT(ISNUMBER(N161)),"Next review is not a date",IF(OR(AND(R161&lt;&gt;"",NOT(ISNUMBER(R161))),AND(S161&lt;&gt;"",NOT(ISNUMBER(S161))),AND(X161&lt;&gt;"",NOT(ISNUMBER(X161)))),"Date field is not a date",IF(AND(OR(H161="Approved",H161="Approved with conditions"),OR(K161="",L161="")),"Approval evidence refs missing",IF(AND(I161="Active",H161&lt;&gt;"Approved",H161&lt;&gt;"Approved with conditions"),"Active without approved status",IF(AND(I161="Active",G161&lt;&gt;"Deployment and Operation",G161&lt;&gt;"Monitoring and Review"),"Active in wrong lifecycle stage",IF(AND(I161="Active",P161=""),"Active without UC-ID link",IF(AND(OR(J161="Yes",J161="Unsure"),M161=""),"Agent evidence ref missing",IF(AND(I161="Active",W161&lt;&gt;"Yes"),"Active without monitoring in place",IF(N161&lt;TODAY(),"Review overdue","Check refs against source")))))))))))))</f>
        <v/>
      </c>
      <c r="P161" s="24" t="n"/>
      <c r="Q161" s="24" t="n"/>
      <c r="R161" s="36" t="n"/>
      <c r="S161" s="36" t="n"/>
      <c r="T161" s="24" t="n"/>
      <c r="U161" s="24" t="n"/>
      <c r="V161" s="24" t="n"/>
      <c r="W161" s="24" t="n"/>
      <c r="X161" s="36" t="n"/>
      <c r="Y161" s="24" t="n"/>
      <c r="Z161" s="24" t="n"/>
      <c r="AA161" s="24" t="n"/>
    </row>
    <row r="162">
      <c r="A162" s="22" t="n"/>
      <c r="B162" s="22" t="n"/>
      <c r="C162" s="22" t="n"/>
      <c r="D162" s="22" t="n"/>
      <c r="E162" s="22" t="n"/>
      <c r="F162" s="22" t="n"/>
      <c r="G162" s="22" t="n"/>
      <c r="H162" s="22" t="n"/>
      <c r="I162" s="22" t="n"/>
      <c r="J162" s="22" t="n"/>
      <c r="K162" s="22" t="n"/>
      <c r="L162" s="22" t="n"/>
      <c r="M162" s="22" t="n"/>
      <c r="N162" s="35" t="n"/>
      <c r="O162" s="22">
        <f>IF(COUNTA(A162:N162,P162:AA162)=0,"",IF(TRIM(A162)="","AIR-ID missing",IF(SUMPRODUCT(--(TRIM($A$4:$A$206)=TRIM(A162)))&gt;1,"Duplicate AIR-ID",IF(OR(B162="",E162="",G162="",H162="",I162="",N162=""),"Required field missing (name, owner, stage, status or next review)",IF(NOT(ISNUMBER(N162)),"Next review is not a date",IF(OR(AND(R162&lt;&gt;"",NOT(ISNUMBER(R162))),AND(S162&lt;&gt;"",NOT(ISNUMBER(S162))),AND(X162&lt;&gt;"",NOT(ISNUMBER(X162)))),"Date field is not a date",IF(AND(OR(H162="Approved",H162="Approved with conditions"),OR(K162="",L162="")),"Approval evidence refs missing",IF(AND(I162="Active",H162&lt;&gt;"Approved",H162&lt;&gt;"Approved with conditions"),"Active without approved status",IF(AND(I162="Active",G162&lt;&gt;"Deployment and Operation",G162&lt;&gt;"Monitoring and Review"),"Active in wrong lifecycle stage",IF(AND(I162="Active",P162=""),"Active without UC-ID link",IF(AND(OR(J162="Yes",J162="Unsure"),M162=""),"Agent evidence ref missing",IF(AND(I162="Active",W162&lt;&gt;"Yes"),"Active without monitoring in place",IF(N162&lt;TODAY(),"Review overdue","Check refs against source")))))))))))))</f>
        <v/>
      </c>
      <c r="P162" s="22" t="n"/>
      <c r="Q162" s="22" t="n"/>
      <c r="R162" s="35" t="n"/>
      <c r="S162" s="35" t="n"/>
      <c r="T162" s="22" t="n"/>
      <c r="U162" s="22" t="n"/>
      <c r="V162" s="22" t="n"/>
      <c r="W162" s="22" t="n"/>
      <c r="X162" s="35" t="n"/>
      <c r="Y162" s="22" t="n"/>
      <c r="Z162" s="22" t="n"/>
      <c r="AA162" s="22" t="n"/>
    </row>
    <row r="163">
      <c r="A163" s="24" t="n"/>
      <c r="B163" s="24" t="n"/>
      <c r="C163" s="24" t="n"/>
      <c r="D163" s="24" t="n"/>
      <c r="E163" s="24" t="n"/>
      <c r="F163" s="24" t="n"/>
      <c r="G163" s="24" t="n"/>
      <c r="H163" s="24" t="n"/>
      <c r="I163" s="24" t="n"/>
      <c r="J163" s="24" t="n"/>
      <c r="K163" s="24" t="n"/>
      <c r="L163" s="24" t="n"/>
      <c r="M163" s="24" t="n"/>
      <c r="N163" s="36" t="n"/>
      <c r="O163" s="24">
        <f>IF(COUNTA(A163:N163,P163:AA163)=0,"",IF(TRIM(A163)="","AIR-ID missing",IF(SUMPRODUCT(--(TRIM($A$4:$A$206)=TRIM(A163)))&gt;1,"Duplicate AIR-ID",IF(OR(B163="",E163="",G163="",H163="",I163="",N163=""),"Required field missing (name, owner, stage, status or next review)",IF(NOT(ISNUMBER(N163)),"Next review is not a date",IF(OR(AND(R163&lt;&gt;"",NOT(ISNUMBER(R163))),AND(S163&lt;&gt;"",NOT(ISNUMBER(S163))),AND(X163&lt;&gt;"",NOT(ISNUMBER(X163)))),"Date field is not a date",IF(AND(OR(H163="Approved",H163="Approved with conditions"),OR(K163="",L163="")),"Approval evidence refs missing",IF(AND(I163="Active",H163&lt;&gt;"Approved",H163&lt;&gt;"Approved with conditions"),"Active without approved status",IF(AND(I163="Active",G163&lt;&gt;"Deployment and Operation",G163&lt;&gt;"Monitoring and Review"),"Active in wrong lifecycle stage",IF(AND(I163="Active",P163=""),"Active without UC-ID link",IF(AND(OR(J163="Yes",J163="Unsure"),M163=""),"Agent evidence ref missing",IF(AND(I163="Active",W163&lt;&gt;"Yes"),"Active without monitoring in place",IF(N163&lt;TODAY(),"Review overdue","Check refs against source")))))))))))))</f>
        <v/>
      </c>
      <c r="P163" s="24" t="n"/>
      <c r="Q163" s="24" t="n"/>
      <c r="R163" s="36" t="n"/>
      <c r="S163" s="36" t="n"/>
      <c r="T163" s="24" t="n"/>
      <c r="U163" s="24" t="n"/>
      <c r="V163" s="24" t="n"/>
      <c r="W163" s="24" t="n"/>
      <c r="X163" s="36" t="n"/>
      <c r="Y163" s="24" t="n"/>
      <c r="Z163" s="24" t="n"/>
      <c r="AA163" s="24" t="n"/>
    </row>
    <row r="164">
      <c r="A164" s="22" t="n"/>
      <c r="B164" s="22" t="n"/>
      <c r="C164" s="22" t="n"/>
      <c r="D164" s="22" t="n"/>
      <c r="E164" s="22" t="n"/>
      <c r="F164" s="22" t="n"/>
      <c r="G164" s="22" t="n"/>
      <c r="H164" s="22" t="n"/>
      <c r="I164" s="22" t="n"/>
      <c r="J164" s="22" t="n"/>
      <c r="K164" s="22" t="n"/>
      <c r="L164" s="22" t="n"/>
      <c r="M164" s="22" t="n"/>
      <c r="N164" s="35" t="n"/>
      <c r="O164" s="22">
        <f>IF(COUNTA(A164:N164,P164:AA164)=0,"",IF(TRIM(A164)="","AIR-ID missing",IF(SUMPRODUCT(--(TRIM($A$4:$A$206)=TRIM(A164)))&gt;1,"Duplicate AIR-ID",IF(OR(B164="",E164="",G164="",H164="",I164="",N164=""),"Required field missing (name, owner, stage, status or next review)",IF(NOT(ISNUMBER(N164)),"Next review is not a date",IF(OR(AND(R164&lt;&gt;"",NOT(ISNUMBER(R164))),AND(S164&lt;&gt;"",NOT(ISNUMBER(S164))),AND(X164&lt;&gt;"",NOT(ISNUMBER(X164)))),"Date field is not a date",IF(AND(OR(H164="Approved",H164="Approved with conditions"),OR(K164="",L164="")),"Approval evidence refs missing",IF(AND(I164="Active",H164&lt;&gt;"Approved",H164&lt;&gt;"Approved with conditions"),"Active without approved status",IF(AND(I164="Active",G164&lt;&gt;"Deployment and Operation",G164&lt;&gt;"Monitoring and Review"),"Active in wrong lifecycle stage",IF(AND(I164="Active",P164=""),"Active without UC-ID link",IF(AND(OR(J164="Yes",J164="Unsure"),M164=""),"Agent evidence ref missing",IF(AND(I164="Active",W164&lt;&gt;"Yes"),"Active without monitoring in place",IF(N164&lt;TODAY(),"Review overdue","Check refs against source")))))))))))))</f>
        <v/>
      </c>
      <c r="P164" s="22" t="n"/>
      <c r="Q164" s="22" t="n"/>
      <c r="R164" s="35" t="n"/>
      <c r="S164" s="35" t="n"/>
      <c r="T164" s="22" t="n"/>
      <c r="U164" s="22" t="n"/>
      <c r="V164" s="22" t="n"/>
      <c r="W164" s="22" t="n"/>
      <c r="X164" s="35" t="n"/>
      <c r="Y164" s="22" t="n"/>
      <c r="Z164" s="22" t="n"/>
      <c r="AA164" s="22" t="n"/>
    </row>
    <row r="165">
      <c r="A165" s="24" t="n"/>
      <c r="B165" s="24" t="n"/>
      <c r="C165" s="24" t="n"/>
      <c r="D165" s="24" t="n"/>
      <c r="E165" s="24" t="n"/>
      <c r="F165" s="24" t="n"/>
      <c r="G165" s="24" t="n"/>
      <c r="H165" s="24" t="n"/>
      <c r="I165" s="24" t="n"/>
      <c r="J165" s="24" t="n"/>
      <c r="K165" s="24" t="n"/>
      <c r="L165" s="24" t="n"/>
      <c r="M165" s="24" t="n"/>
      <c r="N165" s="36" t="n"/>
      <c r="O165" s="24">
        <f>IF(COUNTA(A165:N165,P165:AA165)=0,"",IF(TRIM(A165)="","AIR-ID missing",IF(SUMPRODUCT(--(TRIM($A$4:$A$206)=TRIM(A165)))&gt;1,"Duplicate AIR-ID",IF(OR(B165="",E165="",G165="",H165="",I165="",N165=""),"Required field missing (name, owner, stage, status or next review)",IF(NOT(ISNUMBER(N165)),"Next review is not a date",IF(OR(AND(R165&lt;&gt;"",NOT(ISNUMBER(R165))),AND(S165&lt;&gt;"",NOT(ISNUMBER(S165))),AND(X165&lt;&gt;"",NOT(ISNUMBER(X165)))),"Date field is not a date",IF(AND(OR(H165="Approved",H165="Approved with conditions"),OR(K165="",L165="")),"Approval evidence refs missing",IF(AND(I165="Active",H165&lt;&gt;"Approved",H165&lt;&gt;"Approved with conditions"),"Active without approved status",IF(AND(I165="Active",G165&lt;&gt;"Deployment and Operation",G165&lt;&gt;"Monitoring and Review"),"Active in wrong lifecycle stage",IF(AND(I165="Active",P165=""),"Active without UC-ID link",IF(AND(OR(J165="Yes",J165="Unsure"),M165=""),"Agent evidence ref missing",IF(AND(I165="Active",W165&lt;&gt;"Yes"),"Active without monitoring in place",IF(N165&lt;TODAY(),"Review overdue","Check refs against source")))))))))))))</f>
        <v/>
      </c>
      <c r="P165" s="24" t="n"/>
      <c r="Q165" s="24" t="n"/>
      <c r="R165" s="36" t="n"/>
      <c r="S165" s="36" t="n"/>
      <c r="T165" s="24" t="n"/>
      <c r="U165" s="24" t="n"/>
      <c r="V165" s="24" t="n"/>
      <c r="W165" s="24" t="n"/>
      <c r="X165" s="36" t="n"/>
      <c r="Y165" s="24" t="n"/>
      <c r="Z165" s="24" t="n"/>
      <c r="AA165" s="24" t="n"/>
    </row>
    <row r="166">
      <c r="A166" s="22" t="n"/>
      <c r="B166" s="22" t="n"/>
      <c r="C166" s="22" t="n"/>
      <c r="D166" s="22" t="n"/>
      <c r="E166" s="22" t="n"/>
      <c r="F166" s="22" t="n"/>
      <c r="G166" s="22" t="n"/>
      <c r="H166" s="22" t="n"/>
      <c r="I166" s="22" t="n"/>
      <c r="J166" s="22" t="n"/>
      <c r="K166" s="22" t="n"/>
      <c r="L166" s="22" t="n"/>
      <c r="M166" s="22" t="n"/>
      <c r="N166" s="35" t="n"/>
      <c r="O166" s="22">
        <f>IF(COUNTA(A166:N166,P166:AA166)=0,"",IF(TRIM(A166)="","AIR-ID missing",IF(SUMPRODUCT(--(TRIM($A$4:$A$206)=TRIM(A166)))&gt;1,"Duplicate AIR-ID",IF(OR(B166="",E166="",G166="",H166="",I166="",N166=""),"Required field missing (name, owner, stage, status or next review)",IF(NOT(ISNUMBER(N166)),"Next review is not a date",IF(OR(AND(R166&lt;&gt;"",NOT(ISNUMBER(R166))),AND(S166&lt;&gt;"",NOT(ISNUMBER(S166))),AND(X166&lt;&gt;"",NOT(ISNUMBER(X166)))),"Date field is not a date",IF(AND(OR(H166="Approved",H166="Approved with conditions"),OR(K166="",L166="")),"Approval evidence refs missing",IF(AND(I166="Active",H166&lt;&gt;"Approved",H166&lt;&gt;"Approved with conditions"),"Active without approved status",IF(AND(I166="Active",G166&lt;&gt;"Deployment and Operation",G166&lt;&gt;"Monitoring and Review"),"Active in wrong lifecycle stage",IF(AND(I166="Active",P166=""),"Active without UC-ID link",IF(AND(OR(J166="Yes",J166="Unsure"),M166=""),"Agent evidence ref missing",IF(AND(I166="Active",W166&lt;&gt;"Yes"),"Active without monitoring in place",IF(N166&lt;TODAY(),"Review overdue","Check refs against source")))))))))))))</f>
        <v/>
      </c>
      <c r="P166" s="22" t="n"/>
      <c r="Q166" s="22" t="n"/>
      <c r="R166" s="35" t="n"/>
      <c r="S166" s="35" t="n"/>
      <c r="T166" s="22" t="n"/>
      <c r="U166" s="22" t="n"/>
      <c r="V166" s="22" t="n"/>
      <c r="W166" s="22" t="n"/>
      <c r="X166" s="35" t="n"/>
      <c r="Y166" s="22" t="n"/>
      <c r="Z166" s="22" t="n"/>
      <c r="AA166" s="22" t="n"/>
    </row>
    <row r="167">
      <c r="A167" s="24" t="n"/>
      <c r="B167" s="24" t="n"/>
      <c r="C167" s="24" t="n"/>
      <c r="D167" s="24" t="n"/>
      <c r="E167" s="24" t="n"/>
      <c r="F167" s="24" t="n"/>
      <c r="G167" s="24" t="n"/>
      <c r="H167" s="24" t="n"/>
      <c r="I167" s="24" t="n"/>
      <c r="J167" s="24" t="n"/>
      <c r="K167" s="24" t="n"/>
      <c r="L167" s="24" t="n"/>
      <c r="M167" s="24" t="n"/>
      <c r="N167" s="36" t="n"/>
      <c r="O167" s="24">
        <f>IF(COUNTA(A167:N167,P167:AA167)=0,"",IF(TRIM(A167)="","AIR-ID missing",IF(SUMPRODUCT(--(TRIM($A$4:$A$206)=TRIM(A167)))&gt;1,"Duplicate AIR-ID",IF(OR(B167="",E167="",G167="",H167="",I167="",N167=""),"Required field missing (name, owner, stage, status or next review)",IF(NOT(ISNUMBER(N167)),"Next review is not a date",IF(OR(AND(R167&lt;&gt;"",NOT(ISNUMBER(R167))),AND(S167&lt;&gt;"",NOT(ISNUMBER(S167))),AND(X167&lt;&gt;"",NOT(ISNUMBER(X167)))),"Date field is not a date",IF(AND(OR(H167="Approved",H167="Approved with conditions"),OR(K167="",L167="")),"Approval evidence refs missing",IF(AND(I167="Active",H167&lt;&gt;"Approved",H167&lt;&gt;"Approved with conditions"),"Active without approved status",IF(AND(I167="Active",G167&lt;&gt;"Deployment and Operation",G167&lt;&gt;"Monitoring and Review"),"Active in wrong lifecycle stage",IF(AND(I167="Active",P167=""),"Active without UC-ID link",IF(AND(OR(J167="Yes",J167="Unsure"),M167=""),"Agent evidence ref missing",IF(AND(I167="Active",W167&lt;&gt;"Yes"),"Active without monitoring in place",IF(N167&lt;TODAY(),"Review overdue","Check refs against source")))))))))))))</f>
        <v/>
      </c>
      <c r="P167" s="24" t="n"/>
      <c r="Q167" s="24" t="n"/>
      <c r="R167" s="36" t="n"/>
      <c r="S167" s="36" t="n"/>
      <c r="T167" s="24" t="n"/>
      <c r="U167" s="24" t="n"/>
      <c r="V167" s="24" t="n"/>
      <c r="W167" s="24" t="n"/>
      <c r="X167" s="36" t="n"/>
      <c r="Y167" s="24" t="n"/>
      <c r="Z167" s="24" t="n"/>
      <c r="AA167" s="24" t="n"/>
    </row>
    <row r="168">
      <c r="A168" s="22" t="n"/>
      <c r="B168" s="22" t="n"/>
      <c r="C168" s="22" t="n"/>
      <c r="D168" s="22" t="n"/>
      <c r="E168" s="22" t="n"/>
      <c r="F168" s="22" t="n"/>
      <c r="G168" s="22" t="n"/>
      <c r="H168" s="22" t="n"/>
      <c r="I168" s="22" t="n"/>
      <c r="J168" s="22" t="n"/>
      <c r="K168" s="22" t="n"/>
      <c r="L168" s="22" t="n"/>
      <c r="M168" s="22" t="n"/>
      <c r="N168" s="35" t="n"/>
      <c r="O168" s="22">
        <f>IF(COUNTA(A168:N168,P168:AA168)=0,"",IF(TRIM(A168)="","AIR-ID missing",IF(SUMPRODUCT(--(TRIM($A$4:$A$206)=TRIM(A168)))&gt;1,"Duplicate AIR-ID",IF(OR(B168="",E168="",G168="",H168="",I168="",N168=""),"Required field missing (name, owner, stage, status or next review)",IF(NOT(ISNUMBER(N168)),"Next review is not a date",IF(OR(AND(R168&lt;&gt;"",NOT(ISNUMBER(R168))),AND(S168&lt;&gt;"",NOT(ISNUMBER(S168))),AND(X168&lt;&gt;"",NOT(ISNUMBER(X168)))),"Date field is not a date",IF(AND(OR(H168="Approved",H168="Approved with conditions"),OR(K168="",L168="")),"Approval evidence refs missing",IF(AND(I168="Active",H168&lt;&gt;"Approved",H168&lt;&gt;"Approved with conditions"),"Active without approved status",IF(AND(I168="Active",G168&lt;&gt;"Deployment and Operation",G168&lt;&gt;"Monitoring and Review"),"Active in wrong lifecycle stage",IF(AND(I168="Active",P168=""),"Active without UC-ID link",IF(AND(OR(J168="Yes",J168="Unsure"),M168=""),"Agent evidence ref missing",IF(AND(I168="Active",W168&lt;&gt;"Yes"),"Active without monitoring in place",IF(N168&lt;TODAY(),"Review overdue","Check refs against source")))))))))))))</f>
        <v/>
      </c>
      <c r="P168" s="22" t="n"/>
      <c r="Q168" s="22" t="n"/>
      <c r="R168" s="35" t="n"/>
      <c r="S168" s="35" t="n"/>
      <c r="T168" s="22" t="n"/>
      <c r="U168" s="22" t="n"/>
      <c r="V168" s="22" t="n"/>
      <c r="W168" s="22" t="n"/>
      <c r="X168" s="35" t="n"/>
      <c r="Y168" s="22" t="n"/>
      <c r="Z168" s="22" t="n"/>
      <c r="AA168" s="22" t="n"/>
    </row>
    <row r="169">
      <c r="A169" s="24" t="n"/>
      <c r="B169" s="24" t="n"/>
      <c r="C169" s="24" t="n"/>
      <c r="D169" s="24" t="n"/>
      <c r="E169" s="24" t="n"/>
      <c r="F169" s="24" t="n"/>
      <c r="G169" s="24" t="n"/>
      <c r="H169" s="24" t="n"/>
      <c r="I169" s="24" t="n"/>
      <c r="J169" s="24" t="n"/>
      <c r="K169" s="24" t="n"/>
      <c r="L169" s="24" t="n"/>
      <c r="M169" s="24" t="n"/>
      <c r="N169" s="36" t="n"/>
      <c r="O169" s="24">
        <f>IF(COUNTA(A169:N169,P169:AA169)=0,"",IF(TRIM(A169)="","AIR-ID missing",IF(SUMPRODUCT(--(TRIM($A$4:$A$206)=TRIM(A169)))&gt;1,"Duplicate AIR-ID",IF(OR(B169="",E169="",G169="",H169="",I169="",N169=""),"Required field missing (name, owner, stage, status or next review)",IF(NOT(ISNUMBER(N169)),"Next review is not a date",IF(OR(AND(R169&lt;&gt;"",NOT(ISNUMBER(R169))),AND(S169&lt;&gt;"",NOT(ISNUMBER(S169))),AND(X169&lt;&gt;"",NOT(ISNUMBER(X169)))),"Date field is not a date",IF(AND(OR(H169="Approved",H169="Approved with conditions"),OR(K169="",L169="")),"Approval evidence refs missing",IF(AND(I169="Active",H169&lt;&gt;"Approved",H169&lt;&gt;"Approved with conditions"),"Active without approved status",IF(AND(I169="Active",G169&lt;&gt;"Deployment and Operation",G169&lt;&gt;"Monitoring and Review"),"Active in wrong lifecycle stage",IF(AND(I169="Active",P169=""),"Active without UC-ID link",IF(AND(OR(J169="Yes",J169="Unsure"),M169=""),"Agent evidence ref missing",IF(AND(I169="Active",W169&lt;&gt;"Yes"),"Active without monitoring in place",IF(N169&lt;TODAY(),"Review overdue","Check refs against source")))))))))))))</f>
        <v/>
      </c>
      <c r="P169" s="24" t="n"/>
      <c r="Q169" s="24" t="n"/>
      <c r="R169" s="36" t="n"/>
      <c r="S169" s="36" t="n"/>
      <c r="T169" s="24" t="n"/>
      <c r="U169" s="24" t="n"/>
      <c r="V169" s="24" t="n"/>
      <c r="W169" s="24" t="n"/>
      <c r="X169" s="36" t="n"/>
      <c r="Y169" s="24" t="n"/>
      <c r="Z169" s="24" t="n"/>
      <c r="AA169" s="24" t="n"/>
    </row>
    <row r="170">
      <c r="A170" s="22" t="n"/>
      <c r="B170" s="22" t="n"/>
      <c r="C170" s="22" t="n"/>
      <c r="D170" s="22" t="n"/>
      <c r="E170" s="22" t="n"/>
      <c r="F170" s="22" t="n"/>
      <c r="G170" s="22" t="n"/>
      <c r="H170" s="22" t="n"/>
      <c r="I170" s="22" t="n"/>
      <c r="J170" s="22" t="n"/>
      <c r="K170" s="22" t="n"/>
      <c r="L170" s="22" t="n"/>
      <c r="M170" s="22" t="n"/>
      <c r="N170" s="35" t="n"/>
      <c r="O170" s="22">
        <f>IF(COUNTA(A170:N170,P170:AA170)=0,"",IF(TRIM(A170)="","AIR-ID missing",IF(SUMPRODUCT(--(TRIM($A$4:$A$206)=TRIM(A170)))&gt;1,"Duplicate AIR-ID",IF(OR(B170="",E170="",G170="",H170="",I170="",N170=""),"Required field missing (name, owner, stage, status or next review)",IF(NOT(ISNUMBER(N170)),"Next review is not a date",IF(OR(AND(R170&lt;&gt;"",NOT(ISNUMBER(R170))),AND(S170&lt;&gt;"",NOT(ISNUMBER(S170))),AND(X170&lt;&gt;"",NOT(ISNUMBER(X170)))),"Date field is not a date",IF(AND(OR(H170="Approved",H170="Approved with conditions"),OR(K170="",L170="")),"Approval evidence refs missing",IF(AND(I170="Active",H170&lt;&gt;"Approved",H170&lt;&gt;"Approved with conditions"),"Active without approved status",IF(AND(I170="Active",G170&lt;&gt;"Deployment and Operation",G170&lt;&gt;"Monitoring and Review"),"Active in wrong lifecycle stage",IF(AND(I170="Active",P170=""),"Active without UC-ID link",IF(AND(OR(J170="Yes",J170="Unsure"),M170=""),"Agent evidence ref missing",IF(AND(I170="Active",W170&lt;&gt;"Yes"),"Active without monitoring in place",IF(N170&lt;TODAY(),"Review overdue","Check refs against source")))))))))))))</f>
        <v/>
      </c>
      <c r="P170" s="22" t="n"/>
      <c r="Q170" s="22" t="n"/>
      <c r="R170" s="35" t="n"/>
      <c r="S170" s="35" t="n"/>
      <c r="T170" s="22" t="n"/>
      <c r="U170" s="22" t="n"/>
      <c r="V170" s="22" t="n"/>
      <c r="W170" s="22" t="n"/>
      <c r="X170" s="35" t="n"/>
      <c r="Y170" s="22" t="n"/>
      <c r="Z170" s="22" t="n"/>
      <c r="AA170" s="22" t="n"/>
    </row>
    <row r="171">
      <c r="A171" s="24" t="n"/>
      <c r="B171" s="24" t="n"/>
      <c r="C171" s="24" t="n"/>
      <c r="D171" s="24" t="n"/>
      <c r="E171" s="24" t="n"/>
      <c r="F171" s="24" t="n"/>
      <c r="G171" s="24" t="n"/>
      <c r="H171" s="24" t="n"/>
      <c r="I171" s="24" t="n"/>
      <c r="J171" s="24" t="n"/>
      <c r="K171" s="24" t="n"/>
      <c r="L171" s="24" t="n"/>
      <c r="M171" s="24" t="n"/>
      <c r="N171" s="36" t="n"/>
      <c r="O171" s="24">
        <f>IF(COUNTA(A171:N171,P171:AA171)=0,"",IF(TRIM(A171)="","AIR-ID missing",IF(SUMPRODUCT(--(TRIM($A$4:$A$206)=TRIM(A171)))&gt;1,"Duplicate AIR-ID",IF(OR(B171="",E171="",G171="",H171="",I171="",N171=""),"Required field missing (name, owner, stage, status or next review)",IF(NOT(ISNUMBER(N171)),"Next review is not a date",IF(OR(AND(R171&lt;&gt;"",NOT(ISNUMBER(R171))),AND(S171&lt;&gt;"",NOT(ISNUMBER(S171))),AND(X171&lt;&gt;"",NOT(ISNUMBER(X171)))),"Date field is not a date",IF(AND(OR(H171="Approved",H171="Approved with conditions"),OR(K171="",L171="")),"Approval evidence refs missing",IF(AND(I171="Active",H171&lt;&gt;"Approved",H171&lt;&gt;"Approved with conditions"),"Active without approved status",IF(AND(I171="Active",G171&lt;&gt;"Deployment and Operation",G171&lt;&gt;"Monitoring and Review"),"Active in wrong lifecycle stage",IF(AND(I171="Active",P171=""),"Active without UC-ID link",IF(AND(OR(J171="Yes",J171="Unsure"),M171=""),"Agent evidence ref missing",IF(AND(I171="Active",W171&lt;&gt;"Yes"),"Active without monitoring in place",IF(N171&lt;TODAY(),"Review overdue","Check refs against source")))))))))))))</f>
        <v/>
      </c>
      <c r="P171" s="24" t="n"/>
      <c r="Q171" s="24" t="n"/>
      <c r="R171" s="36" t="n"/>
      <c r="S171" s="36" t="n"/>
      <c r="T171" s="24" t="n"/>
      <c r="U171" s="24" t="n"/>
      <c r="V171" s="24" t="n"/>
      <c r="W171" s="24" t="n"/>
      <c r="X171" s="36" t="n"/>
      <c r="Y171" s="24" t="n"/>
      <c r="Z171" s="24" t="n"/>
      <c r="AA171" s="24" t="n"/>
    </row>
    <row r="172">
      <c r="A172" s="22" t="n"/>
      <c r="B172" s="22" t="n"/>
      <c r="C172" s="22" t="n"/>
      <c r="D172" s="22" t="n"/>
      <c r="E172" s="22" t="n"/>
      <c r="F172" s="22" t="n"/>
      <c r="G172" s="22" t="n"/>
      <c r="H172" s="22" t="n"/>
      <c r="I172" s="22" t="n"/>
      <c r="J172" s="22" t="n"/>
      <c r="K172" s="22" t="n"/>
      <c r="L172" s="22" t="n"/>
      <c r="M172" s="22" t="n"/>
      <c r="N172" s="35" t="n"/>
      <c r="O172" s="22">
        <f>IF(COUNTA(A172:N172,P172:AA172)=0,"",IF(TRIM(A172)="","AIR-ID missing",IF(SUMPRODUCT(--(TRIM($A$4:$A$206)=TRIM(A172)))&gt;1,"Duplicate AIR-ID",IF(OR(B172="",E172="",G172="",H172="",I172="",N172=""),"Required field missing (name, owner, stage, status or next review)",IF(NOT(ISNUMBER(N172)),"Next review is not a date",IF(OR(AND(R172&lt;&gt;"",NOT(ISNUMBER(R172))),AND(S172&lt;&gt;"",NOT(ISNUMBER(S172))),AND(X172&lt;&gt;"",NOT(ISNUMBER(X172)))),"Date field is not a date",IF(AND(OR(H172="Approved",H172="Approved with conditions"),OR(K172="",L172="")),"Approval evidence refs missing",IF(AND(I172="Active",H172&lt;&gt;"Approved",H172&lt;&gt;"Approved with conditions"),"Active without approved status",IF(AND(I172="Active",G172&lt;&gt;"Deployment and Operation",G172&lt;&gt;"Monitoring and Review"),"Active in wrong lifecycle stage",IF(AND(I172="Active",P172=""),"Active without UC-ID link",IF(AND(OR(J172="Yes",J172="Unsure"),M172=""),"Agent evidence ref missing",IF(AND(I172="Active",W172&lt;&gt;"Yes"),"Active without monitoring in place",IF(N172&lt;TODAY(),"Review overdue","Check refs against source")))))))))))))</f>
        <v/>
      </c>
      <c r="P172" s="22" t="n"/>
      <c r="Q172" s="22" t="n"/>
      <c r="R172" s="35" t="n"/>
      <c r="S172" s="35" t="n"/>
      <c r="T172" s="22" t="n"/>
      <c r="U172" s="22" t="n"/>
      <c r="V172" s="22" t="n"/>
      <c r="W172" s="22" t="n"/>
      <c r="X172" s="35" t="n"/>
      <c r="Y172" s="22" t="n"/>
      <c r="Z172" s="22" t="n"/>
      <c r="AA172" s="22" t="n"/>
    </row>
    <row r="173">
      <c r="A173" s="24" t="n"/>
      <c r="B173" s="24" t="n"/>
      <c r="C173" s="24" t="n"/>
      <c r="D173" s="24" t="n"/>
      <c r="E173" s="24" t="n"/>
      <c r="F173" s="24" t="n"/>
      <c r="G173" s="24" t="n"/>
      <c r="H173" s="24" t="n"/>
      <c r="I173" s="24" t="n"/>
      <c r="J173" s="24" t="n"/>
      <c r="K173" s="24" t="n"/>
      <c r="L173" s="24" t="n"/>
      <c r="M173" s="24" t="n"/>
      <c r="N173" s="36" t="n"/>
      <c r="O173" s="24">
        <f>IF(COUNTA(A173:N173,P173:AA173)=0,"",IF(TRIM(A173)="","AIR-ID missing",IF(SUMPRODUCT(--(TRIM($A$4:$A$206)=TRIM(A173)))&gt;1,"Duplicate AIR-ID",IF(OR(B173="",E173="",G173="",H173="",I173="",N173=""),"Required field missing (name, owner, stage, status or next review)",IF(NOT(ISNUMBER(N173)),"Next review is not a date",IF(OR(AND(R173&lt;&gt;"",NOT(ISNUMBER(R173))),AND(S173&lt;&gt;"",NOT(ISNUMBER(S173))),AND(X173&lt;&gt;"",NOT(ISNUMBER(X173)))),"Date field is not a date",IF(AND(OR(H173="Approved",H173="Approved with conditions"),OR(K173="",L173="")),"Approval evidence refs missing",IF(AND(I173="Active",H173&lt;&gt;"Approved",H173&lt;&gt;"Approved with conditions"),"Active without approved status",IF(AND(I173="Active",G173&lt;&gt;"Deployment and Operation",G173&lt;&gt;"Monitoring and Review"),"Active in wrong lifecycle stage",IF(AND(I173="Active",P173=""),"Active without UC-ID link",IF(AND(OR(J173="Yes",J173="Unsure"),M173=""),"Agent evidence ref missing",IF(AND(I173="Active",W173&lt;&gt;"Yes"),"Active without monitoring in place",IF(N173&lt;TODAY(),"Review overdue","Check refs against source")))))))))))))</f>
        <v/>
      </c>
      <c r="P173" s="24" t="n"/>
      <c r="Q173" s="24" t="n"/>
      <c r="R173" s="36" t="n"/>
      <c r="S173" s="36" t="n"/>
      <c r="T173" s="24" t="n"/>
      <c r="U173" s="24" t="n"/>
      <c r="V173" s="24" t="n"/>
      <c r="W173" s="24" t="n"/>
      <c r="X173" s="36" t="n"/>
      <c r="Y173" s="24" t="n"/>
      <c r="Z173" s="24" t="n"/>
      <c r="AA173" s="24" t="n"/>
    </row>
    <row r="174">
      <c r="A174" s="22" t="n"/>
      <c r="B174" s="22" t="n"/>
      <c r="C174" s="22" t="n"/>
      <c r="D174" s="22" t="n"/>
      <c r="E174" s="22" t="n"/>
      <c r="F174" s="22" t="n"/>
      <c r="G174" s="22" t="n"/>
      <c r="H174" s="22" t="n"/>
      <c r="I174" s="22" t="n"/>
      <c r="J174" s="22" t="n"/>
      <c r="K174" s="22" t="n"/>
      <c r="L174" s="22" t="n"/>
      <c r="M174" s="22" t="n"/>
      <c r="N174" s="35" t="n"/>
      <c r="O174" s="22">
        <f>IF(COUNTA(A174:N174,P174:AA174)=0,"",IF(TRIM(A174)="","AIR-ID missing",IF(SUMPRODUCT(--(TRIM($A$4:$A$206)=TRIM(A174)))&gt;1,"Duplicate AIR-ID",IF(OR(B174="",E174="",G174="",H174="",I174="",N174=""),"Required field missing (name, owner, stage, status or next review)",IF(NOT(ISNUMBER(N174)),"Next review is not a date",IF(OR(AND(R174&lt;&gt;"",NOT(ISNUMBER(R174))),AND(S174&lt;&gt;"",NOT(ISNUMBER(S174))),AND(X174&lt;&gt;"",NOT(ISNUMBER(X174)))),"Date field is not a date",IF(AND(OR(H174="Approved",H174="Approved with conditions"),OR(K174="",L174="")),"Approval evidence refs missing",IF(AND(I174="Active",H174&lt;&gt;"Approved",H174&lt;&gt;"Approved with conditions"),"Active without approved status",IF(AND(I174="Active",G174&lt;&gt;"Deployment and Operation",G174&lt;&gt;"Monitoring and Review"),"Active in wrong lifecycle stage",IF(AND(I174="Active",P174=""),"Active without UC-ID link",IF(AND(OR(J174="Yes",J174="Unsure"),M174=""),"Agent evidence ref missing",IF(AND(I174="Active",W174&lt;&gt;"Yes"),"Active without monitoring in place",IF(N174&lt;TODAY(),"Review overdue","Check refs against source")))))))))))))</f>
        <v/>
      </c>
      <c r="P174" s="22" t="n"/>
      <c r="Q174" s="22" t="n"/>
      <c r="R174" s="35" t="n"/>
      <c r="S174" s="35" t="n"/>
      <c r="T174" s="22" t="n"/>
      <c r="U174" s="22" t="n"/>
      <c r="V174" s="22" t="n"/>
      <c r="W174" s="22" t="n"/>
      <c r="X174" s="35" t="n"/>
      <c r="Y174" s="22" t="n"/>
      <c r="Z174" s="22" t="n"/>
      <c r="AA174" s="22" t="n"/>
    </row>
    <row r="175">
      <c r="A175" s="24" t="n"/>
      <c r="B175" s="24" t="n"/>
      <c r="C175" s="24" t="n"/>
      <c r="D175" s="24" t="n"/>
      <c r="E175" s="24" t="n"/>
      <c r="F175" s="24" t="n"/>
      <c r="G175" s="24" t="n"/>
      <c r="H175" s="24" t="n"/>
      <c r="I175" s="24" t="n"/>
      <c r="J175" s="24" t="n"/>
      <c r="K175" s="24" t="n"/>
      <c r="L175" s="24" t="n"/>
      <c r="M175" s="24" t="n"/>
      <c r="N175" s="36" t="n"/>
      <c r="O175" s="24">
        <f>IF(COUNTA(A175:N175,P175:AA175)=0,"",IF(TRIM(A175)="","AIR-ID missing",IF(SUMPRODUCT(--(TRIM($A$4:$A$206)=TRIM(A175)))&gt;1,"Duplicate AIR-ID",IF(OR(B175="",E175="",G175="",H175="",I175="",N175=""),"Required field missing (name, owner, stage, status or next review)",IF(NOT(ISNUMBER(N175)),"Next review is not a date",IF(OR(AND(R175&lt;&gt;"",NOT(ISNUMBER(R175))),AND(S175&lt;&gt;"",NOT(ISNUMBER(S175))),AND(X175&lt;&gt;"",NOT(ISNUMBER(X175)))),"Date field is not a date",IF(AND(OR(H175="Approved",H175="Approved with conditions"),OR(K175="",L175="")),"Approval evidence refs missing",IF(AND(I175="Active",H175&lt;&gt;"Approved",H175&lt;&gt;"Approved with conditions"),"Active without approved status",IF(AND(I175="Active",G175&lt;&gt;"Deployment and Operation",G175&lt;&gt;"Monitoring and Review"),"Active in wrong lifecycle stage",IF(AND(I175="Active",P175=""),"Active without UC-ID link",IF(AND(OR(J175="Yes",J175="Unsure"),M175=""),"Agent evidence ref missing",IF(AND(I175="Active",W175&lt;&gt;"Yes"),"Active without monitoring in place",IF(N175&lt;TODAY(),"Review overdue","Check refs against source")))))))))))))</f>
        <v/>
      </c>
      <c r="P175" s="24" t="n"/>
      <c r="Q175" s="24" t="n"/>
      <c r="R175" s="36" t="n"/>
      <c r="S175" s="36" t="n"/>
      <c r="T175" s="24" t="n"/>
      <c r="U175" s="24" t="n"/>
      <c r="V175" s="24" t="n"/>
      <c r="W175" s="24" t="n"/>
      <c r="X175" s="36" t="n"/>
      <c r="Y175" s="24" t="n"/>
      <c r="Z175" s="24" t="n"/>
      <c r="AA175" s="24" t="n"/>
    </row>
    <row r="176">
      <c r="A176" s="22" t="n"/>
      <c r="B176" s="22" t="n"/>
      <c r="C176" s="22" t="n"/>
      <c r="D176" s="22" t="n"/>
      <c r="E176" s="22" t="n"/>
      <c r="F176" s="22" t="n"/>
      <c r="G176" s="22" t="n"/>
      <c r="H176" s="22" t="n"/>
      <c r="I176" s="22" t="n"/>
      <c r="J176" s="22" t="n"/>
      <c r="K176" s="22" t="n"/>
      <c r="L176" s="22" t="n"/>
      <c r="M176" s="22" t="n"/>
      <c r="N176" s="35" t="n"/>
      <c r="O176" s="22">
        <f>IF(COUNTA(A176:N176,P176:AA176)=0,"",IF(TRIM(A176)="","AIR-ID missing",IF(SUMPRODUCT(--(TRIM($A$4:$A$206)=TRIM(A176)))&gt;1,"Duplicate AIR-ID",IF(OR(B176="",E176="",G176="",H176="",I176="",N176=""),"Required field missing (name, owner, stage, status or next review)",IF(NOT(ISNUMBER(N176)),"Next review is not a date",IF(OR(AND(R176&lt;&gt;"",NOT(ISNUMBER(R176))),AND(S176&lt;&gt;"",NOT(ISNUMBER(S176))),AND(X176&lt;&gt;"",NOT(ISNUMBER(X176)))),"Date field is not a date",IF(AND(OR(H176="Approved",H176="Approved with conditions"),OR(K176="",L176="")),"Approval evidence refs missing",IF(AND(I176="Active",H176&lt;&gt;"Approved",H176&lt;&gt;"Approved with conditions"),"Active without approved status",IF(AND(I176="Active",G176&lt;&gt;"Deployment and Operation",G176&lt;&gt;"Monitoring and Review"),"Active in wrong lifecycle stage",IF(AND(I176="Active",P176=""),"Active without UC-ID link",IF(AND(OR(J176="Yes",J176="Unsure"),M176=""),"Agent evidence ref missing",IF(AND(I176="Active",W176&lt;&gt;"Yes"),"Active without monitoring in place",IF(N176&lt;TODAY(),"Review overdue","Check refs against source")))))))))))))</f>
        <v/>
      </c>
      <c r="P176" s="22" t="n"/>
      <c r="Q176" s="22" t="n"/>
      <c r="R176" s="35" t="n"/>
      <c r="S176" s="35" t="n"/>
      <c r="T176" s="22" t="n"/>
      <c r="U176" s="22" t="n"/>
      <c r="V176" s="22" t="n"/>
      <c r="W176" s="22" t="n"/>
      <c r="X176" s="35" t="n"/>
      <c r="Y176" s="22" t="n"/>
      <c r="Z176" s="22" t="n"/>
      <c r="AA176" s="22" t="n"/>
    </row>
    <row r="177">
      <c r="A177" s="24" t="n"/>
      <c r="B177" s="24" t="n"/>
      <c r="C177" s="24" t="n"/>
      <c r="D177" s="24" t="n"/>
      <c r="E177" s="24" t="n"/>
      <c r="F177" s="24" t="n"/>
      <c r="G177" s="24" t="n"/>
      <c r="H177" s="24" t="n"/>
      <c r="I177" s="24" t="n"/>
      <c r="J177" s="24" t="n"/>
      <c r="K177" s="24" t="n"/>
      <c r="L177" s="24" t="n"/>
      <c r="M177" s="24" t="n"/>
      <c r="N177" s="36" t="n"/>
      <c r="O177" s="24">
        <f>IF(COUNTA(A177:N177,P177:AA177)=0,"",IF(TRIM(A177)="","AIR-ID missing",IF(SUMPRODUCT(--(TRIM($A$4:$A$206)=TRIM(A177)))&gt;1,"Duplicate AIR-ID",IF(OR(B177="",E177="",G177="",H177="",I177="",N177=""),"Required field missing (name, owner, stage, status or next review)",IF(NOT(ISNUMBER(N177)),"Next review is not a date",IF(OR(AND(R177&lt;&gt;"",NOT(ISNUMBER(R177))),AND(S177&lt;&gt;"",NOT(ISNUMBER(S177))),AND(X177&lt;&gt;"",NOT(ISNUMBER(X177)))),"Date field is not a date",IF(AND(OR(H177="Approved",H177="Approved with conditions"),OR(K177="",L177="")),"Approval evidence refs missing",IF(AND(I177="Active",H177&lt;&gt;"Approved",H177&lt;&gt;"Approved with conditions"),"Active without approved status",IF(AND(I177="Active",G177&lt;&gt;"Deployment and Operation",G177&lt;&gt;"Monitoring and Review"),"Active in wrong lifecycle stage",IF(AND(I177="Active",P177=""),"Active without UC-ID link",IF(AND(OR(J177="Yes",J177="Unsure"),M177=""),"Agent evidence ref missing",IF(AND(I177="Active",W177&lt;&gt;"Yes"),"Active without monitoring in place",IF(N177&lt;TODAY(),"Review overdue","Check refs against source")))))))))))))</f>
        <v/>
      </c>
      <c r="P177" s="24" t="n"/>
      <c r="Q177" s="24" t="n"/>
      <c r="R177" s="36" t="n"/>
      <c r="S177" s="36" t="n"/>
      <c r="T177" s="24" t="n"/>
      <c r="U177" s="24" t="n"/>
      <c r="V177" s="24" t="n"/>
      <c r="W177" s="24" t="n"/>
      <c r="X177" s="36" t="n"/>
      <c r="Y177" s="24" t="n"/>
      <c r="Z177" s="24" t="n"/>
      <c r="AA177" s="24" t="n"/>
    </row>
    <row r="178">
      <c r="A178" s="22" t="n"/>
      <c r="B178" s="22" t="n"/>
      <c r="C178" s="22" t="n"/>
      <c r="D178" s="22" t="n"/>
      <c r="E178" s="22" t="n"/>
      <c r="F178" s="22" t="n"/>
      <c r="G178" s="22" t="n"/>
      <c r="H178" s="22" t="n"/>
      <c r="I178" s="22" t="n"/>
      <c r="J178" s="22" t="n"/>
      <c r="K178" s="22" t="n"/>
      <c r="L178" s="22" t="n"/>
      <c r="M178" s="22" t="n"/>
      <c r="N178" s="35" t="n"/>
      <c r="O178" s="22">
        <f>IF(COUNTA(A178:N178,P178:AA178)=0,"",IF(TRIM(A178)="","AIR-ID missing",IF(SUMPRODUCT(--(TRIM($A$4:$A$206)=TRIM(A178)))&gt;1,"Duplicate AIR-ID",IF(OR(B178="",E178="",G178="",H178="",I178="",N178=""),"Required field missing (name, owner, stage, status or next review)",IF(NOT(ISNUMBER(N178)),"Next review is not a date",IF(OR(AND(R178&lt;&gt;"",NOT(ISNUMBER(R178))),AND(S178&lt;&gt;"",NOT(ISNUMBER(S178))),AND(X178&lt;&gt;"",NOT(ISNUMBER(X178)))),"Date field is not a date",IF(AND(OR(H178="Approved",H178="Approved with conditions"),OR(K178="",L178="")),"Approval evidence refs missing",IF(AND(I178="Active",H178&lt;&gt;"Approved",H178&lt;&gt;"Approved with conditions"),"Active without approved status",IF(AND(I178="Active",G178&lt;&gt;"Deployment and Operation",G178&lt;&gt;"Monitoring and Review"),"Active in wrong lifecycle stage",IF(AND(I178="Active",P178=""),"Active without UC-ID link",IF(AND(OR(J178="Yes",J178="Unsure"),M178=""),"Agent evidence ref missing",IF(AND(I178="Active",W178&lt;&gt;"Yes"),"Active without monitoring in place",IF(N178&lt;TODAY(),"Review overdue","Check refs against source")))))))))))))</f>
        <v/>
      </c>
      <c r="P178" s="22" t="n"/>
      <c r="Q178" s="22" t="n"/>
      <c r="R178" s="35" t="n"/>
      <c r="S178" s="35" t="n"/>
      <c r="T178" s="22" t="n"/>
      <c r="U178" s="22" t="n"/>
      <c r="V178" s="22" t="n"/>
      <c r="W178" s="22" t="n"/>
      <c r="X178" s="35" t="n"/>
      <c r="Y178" s="22" t="n"/>
      <c r="Z178" s="22" t="n"/>
      <c r="AA178" s="22" t="n"/>
    </row>
    <row r="179">
      <c r="A179" s="24" t="n"/>
      <c r="B179" s="24" t="n"/>
      <c r="C179" s="24" t="n"/>
      <c r="D179" s="24" t="n"/>
      <c r="E179" s="24" t="n"/>
      <c r="F179" s="24" t="n"/>
      <c r="G179" s="24" t="n"/>
      <c r="H179" s="24" t="n"/>
      <c r="I179" s="24" t="n"/>
      <c r="J179" s="24" t="n"/>
      <c r="K179" s="24" t="n"/>
      <c r="L179" s="24" t="n"/>
      <c r="M179" s="24" t="n"/>
      <c r="N179" s="36" t="n"/>
      <c r="O179" s="24">
        <f>IF(COUNTA(A179:N179,P179:AA179)=0,"",IF(TRIM(A179)="","AIR-ID missing",IF(SUMPRODUCT(--(TRIM($A$4:$A$206)=TRIM(A179)))&gt;1,"Duplicate AIR-ID",IF(OR(B179="",E179="",G179="",H179="",I179="",N179=""),"Required field missing (name, owner, stage, status or next review)",IF(NOT(ISNUMBER(N179)),"Next review is not a date",IF(OR(AND(R179&lt;&gt;"",NOT(ISNUMBER(R179))),AND(S179&lt;&gt;"",NOT(ISNUMBER(S179))),AND(X179&lt;&gt;"",NOT(ISNUMBER(X179)))),"Date field is not a date",IF(AND(OR(H179="Approved",H179="Approved with conditions"),OR(K179="",L179="")),"Approval evidence refs missing",IF(AND(I179="Active",H179&lt;&gt;"Approved",H179&lt;&gt;"Approved with conditions"),"Active without approved status",IF(AND(I179="Active",G179&lt;&gt;"Deployment and Operation",G179&lt;&gt;"Monitoring and Review"),"Active in wrong lifecycle stage",IF(AND(I179="Active",P179=""),"Active without UC-ID link",IF(AND(OR(J179="Yes",J179="Unsure"),M179=""),"Agent evidence ref missing",IF(AND(I179="Active",W179&lt;&gt;"Yes"),"Active without monitoring in place",IF(N179&lt;TODAY(),"Review overdue","Check refs against source")))))))))))))</f>
        <v/>
      </c>
      <c r="P179" s="24" t="n"/>
      <c r="Q179" s="24" t="n"/>
      <c r="R179" s="36" t="n"/>
      <c r="S179" s="36" t="n"/>
      <c r="T179" s="24" t="n"/>
      <c r="U179" s="24" t="n"/>
      <c r="V179" s="24" t="n"/>
      <c r="W179" s="24" t="n"/>
      <c r="X179" s="36" t="n"/>
      <c r="Y179" s="24" t="n"/>
      <c r="Z179" s="24" t="n"/>
      <c r="AA179" s="24" t="n"/>
    </row>
    <row r="180">
      <c r="A180" s="22" t="n"/>
      <c r="B180" s="22" t="n"/>
      <c r="C180" s="22" t="n"/>
      <c r="D180" s="22" t="n"/>
      <c r="E180" s="22" t="n"/>
      <c r="F180" s="22" t="n"/>
      <c r="G180" s="22" t="n"/>
      <c r="H180" s="22" t="n"/>
      <c r="I180" s="22" t="n"/>
      <c r="J180" s="22" t="n"/>
      <c r="K180" s="22" t="n"/>
      <c r="L180" s="22" t="n"/>
      <c r="M180" s="22" t="n"/>
      <c r="N180" s="35" t="n"/>
      <c r="O180" s="22">
        <f>IF(COUNTA(A180:N180,P180:AA180)=0,"",IF(TRIM(A180)="","AIR-ID missing",IF(SUMPRODUCT(--(TRIM($A$4:$A$206)=TRIM(A180)))&gt;1,"Duplicate AIR-ID",IF(OR(B180="",E180="",G180="",H180="",I180="",N180=""),"Required field missing (name, owner, stage, status or next review)",IF(NOT(ISNUMBER(N180)),"Next review is not a date",IF(OR(AND(R180&lt;&gt;"",NOT(ISNUMBER(R180))),AND(S180&lt;&gt;"",NOT(ISNUMBER(S180))),AND(X180&lt;&gt;"",NOT(ISNUMBER(X180)))),"Date field is not a date",IF(AND(OR(H180="Approved",H180="Approved with conditions"),OR(K180="",L180="")),"Approval evidence refs missing",IF(AND(I180="Active",H180&lt;&gt;"Approved",H180&lt;&gt;"Approved with conditions"),"Active without approved status",IF(AND(I180="Active",G180&lt;&gt;"Deployment and Operation",G180&lt;&gt;"Monitoring and Review"),"Active in wrong lifecycle stage",IF(AND(I180="Active",P180=""),"Active without UC-ID link",IF(AND(OR(J180="Yes",J180="Unsure"),M180=""),"Agent evidence ref missing",IF(AND(I180="Active",W180&lt;&gt;"Yes"),"Active without monitoring in place",IF(N180&lt;TODAY(),"Review overdue","Check refs against source")))))))))))))</f>
        <v/>
      </c>
      <c r="P180" s="22" t="n"/>
      <c r="Q180" s="22" t="n"/>
      <c r="R180" s="35" t="n"/>
      <c r="S180" s="35" t="n"/>
      <c r="T180" s="22" t="n"/>
      <c r="U180" s="22" t="n"/>
      <c r="V180" s="22" t="n"/>
      <c r="W180" s="22" t="n"/>
      <c r="X180" s="35" t="n"/>
      <c r="Y180" s="22" t="n"/>
      <c r="Z180" s="22" t="n"/>
      <c r="AA180" s="22" t="n"/>
    </row>
    <row r="181">
      <c r="A181" s="24" t="n"/>
      <c r="B181" s="24" t="n"/>
      <c r="C181" s="24" t="n"/>
      <c r="D181" s="24" t="n"/>
      <c r="E181" s="24" t="n"/>
      <c r="F181" s="24" t="n"/>
      <c r="G181" s="24" t="n"/>
      <c r="H181" s="24" t="n"/>
      <c r="I181" s="24" t="n"/>
      <c r="J181" s="24" t="n"/>
      <c r="K181" s="24" t="n"/>
      <c r="L181" s="24" t="n"/>
      <c r="M181" s="24" t="n"/>
      <c r="N181" s="36" t="n"/>
      <c r="O181" s="24">
        <f>IF(COUNTA(A181:N181,P181:AA181)=0,"",IF(TRIM(A181)="","AIR-ID missing",IF(SUMPRODUCT(--(TRIM($A$4:$A$206)=TRIM(A181)))&gt;1,"Duplicate AIR-ID",IF(OR(B181="",E181="",G181="",H181="",I181="",N181=""),"Required field missing (name, owner, stage, status or next review)",IF(NOT(ISNUMBER(N181)),"Next review is not a date",IF(OR(AND(R181&lt;&gt;"",NOT(ISNUMBER(R181))),AND(S181&lt;&gt;"",NOT(ISNUMBER(S181))),AND(X181&lt;&gt;"",NOT(ISNUMBER(X181)))),"Date field is not a date",IF(AND(OR(H181="Approved",H181="Approved with conditions"),OR(K181="",L181="")),"Approval evidence refs missing",IF(AND(I181="Active",H181&lt;&gt;"Approved",H181&lt;&gt;"Approved with conditions"),"Active without approved status",IF(AND(I181="Active",G181&lt;&gt;"Deployment and Operation",G181&lt;&gt;"Monitoring and Review"),"Active in wrong lifecycle stage",IF(AND(I181="Active",P181=""),"Active without UC-ID link",IF(AND(OR(J181="Yes",J181="Unsure"),M181=""),"Agent evidence ref missing",IF(AND(I181="Active",W181&lt;&gt;"Yes"),"Active without monitoring in place",IF(N181&lt;TODAY(),"Review overdue","Check refs against source")))))))))))))</f>
        <v/>
      </c>
      <c r="P181" s="24" t="n"/>
      <c r="Q181" s="24" t="n"/>
      <c r="R181" s="36" t="n"/>
      <c r="S181" s="36" t="n"/>
      <c r="T181" s="24" t="n"/>
      <c r="U181" s="24" t="n"/>
      <c r="V181" s="24" t="n"/>
      <c r="W181" s="24" t="n"/>
      <c r="X181" s="36" t="n"/>
      <c r="Y181" s="24" t="n"/>
      <c r="Z181" s="24" t="n"/>
      <c r="AA181" s="24" t="n"/>
    </row>
    <row r="182">
      <c r="A182" s="22" t="n"/>
      <c r="B182" s="22" t="n"/>
      <c r="C182" s="22" t="n"/>
      <c r="D182" s="22" t="n"/>
      <c r="E182" s="22" t="n"/>
      <c r="F182" s="22" t="n"/>
      <c r="G182" s="22" t="n"/>
      <c r="H182" s="22" t="n"/>
      <c r="I182" s="22" t="n"/>
      <c r="J182" s="22" t="n"/>
      <c r="K182" s="22" t="n"/>
      <c r="L182" s="22" t="n"/>
      <c r="M182" s="22" t="n"/>
      <c r="N182" s="35" t="n"/>
      <c r="O182" s="22">
        <f>IF(COUNTA(A182:N182,P182:AA182)=0,"",IF(TRIM(A182)="","AIR-ID missing",IF(SUMPRODUCT(--(TRIM($A$4:$A$206)=TRIM(A182)))&gt;1,"Duplicate AIR-ID",IF(OR(B182="",E182="",G182="",H182="",I182="",N182=""),"Required field missing (name, owner, stage, status or next review)",IF(NOT(ISNUMBER(N182)),"Next review is not a date",IF(OR(AND(R182&lt;&gt;"",NOT(ISNUMBER(R182))),AND(S182&lt;&gt;"",NOT(ISNUMBER(S182))),AND(X182&lt;&gt;"",NOT(ISNUMBER(X182)))),"Date field is not a date",IF(AND(OR(H182="Approved",H182="Approved with conditions"),OR(K182="",L182="")),"Approval evidence refs missing",IF(AND(I182="Active",H182&lt;&gt;"Approved",H182&lt;&gt;"Approved with conditions"),"Active without approved status",IF(AND(I182="Active",G182&lt;&gt;"Deployment and Operation",G182&lt;&gt;"Monitoring and Review"),"Active in wrong lifecycle stage",IF(AND(I182="Active",P182=""),"Active without UC-ID link",IF(AND(OR(J182="Yes",J182="Unsure"),M182=""),"Agent evidence ref missing",IF(AND(I182="Active",W182&lt;&gt;"Yes"),"Active without monitoring in place",IF(N182&lt;TODAY(),"Review overdue","Check refs against source")))))))))))))</f>
        <v/>
      </c>
      <c r="P182" s="22" t="n"/>
      <c r="Q182" s="22" t="n"/>
      <c r="R182" s="35" t="n"/>
      <c r="S182" s="35" t="n"/>
      <c r="T182" s="22" t="n"/>
      <c r="U182" s="22" t="n"/>
      <c r="V182" s="22" t="n"/>
      <c r="W182" s="22" t="n"/>
      <c r="X182" s="35" t="n"/>
      <c r="Y182" s="22" t="n"/>
      <c r="Z182" s="22" t="n"/>
      <c r="AA182" s="22" t="n"/>
    </row>
    <row r="183">
      <c r="A183" s="24" t="n"/>
      <c r="B183" s="24" t="n"/>
      <c r="C183" s="24" t="n"/>
      <c r="D183" s="24" t="n"/>
      <c r="E183" s="24" t="n"/>
      <c r="F183" s="24" t="n"/>
      <c r="G183" s="24" t="n"/>
      <c r="H183" s="24" t="n"/>
      <c r="I183" s="24" t="n"/>
      <c r="J183" s="24" t="n"/>
      <c r="K183" s="24" t="n"/>
      <c r="L183" s="24" t="n"/>
      <c r="M183" s="24" t="n"/>
      <c r="N183" s="36" t="n"/>
      <c r="O183" s="24">
        <f>IF(COUNTA(A183:N183,P183:AA183)=0,"",IF(TRIM(A183)="","AIR-ID missing",IF(SUMPRODUCT(--(TRIM($A$4:$A$206)=TRIM(A183)))&gt;1,"Duplicate AIR-ID",IF(OR(B183="",E183="",G183="",H183="",I183="",N183=""),"Required field missing (name, owner, stage, status or next review)",IF(NOT(ISNUMBER(N183)),"Next review is not a date",IF(OR(AND(R183&lt;&gt;"",NOT(ISNUMBER(R183))),AND(S183&lt;&gt;"",NOT(ISNUMBER(S183))),AND(X183&lt;&gt;"",NOT(ISNUMBER(X183)))),"Date field is not a date",IF(AND(OR(H183="Approved",H183="Approved with conditions"),OR(K183="",L183="")),"Approval evidence refs missing",IF(AND(I183="Active",H183&lt;&gt;"Approved",H183&lt;&gt;"Approved with conditions"),"Active without approved status",IF(AND(I183="Active",G183&lt;&gt;"Deployment and Operation",G183&lt;&gt;"Monitoring and Review"),"Active in wrong lifecycle stage",IF(AND(I183="Active",P183=""),"Active without UC-ID link",IF(AND(OR(J183="Yes",J183="Unsure"),M183=""),"Agent evidence ref missing",IF(AND(I183="Active",W183&lt;&gt;"Yes"),"Active without monitoring in place",IF(N183&lt;TODAY(),"Review overdue","Check refs against source")))))))))))))</f>
        <v/>
      </c>
      <c r="P183" s="24" t="n"/>
      <c r="Q183" s="24" t="n"/>
      <c r="R183" s="36" t="n"/>
      <c r="S183" s="36" t="n"/>
      <c r="T183" s="24" t="n"/>
      <c r="U183" s="24" t="n"/>
      <c r="V183" s="24" t="n"/>
      <c r="W183" s="24" t="n"/>
      <c r="X183" s="36" t="n"/>
      <c r="Y183" s="24" t="n"/>
      <c r="Z183" s="24" t="n"/>
      <c r="AA183" s="24" t="n"/>
    </row>
    <row r="184">
      <c r="A184" s="22" t="n"/>
      <c r="B184" s="22" t="n"/>
      <c r="C184" s="22" t="n"/>
      <c r="D184" s="22" t="n"/>
      <c r="E184" s="22" t="n"/>
      <c r="F184" s="22" t="n"/>
      <c r="G184" s="22" t="n"/>
      <c r="H184" s="22" t="n"/>
      <c r="I184" s="22" t="n"/>
      <c r="J184" s="22" t="n"/>
      <c r="K184" s="22" t="n"/>
      <c r="L184" s="22" t="n"/>
      <c r="M184" s="22" t="n"/>
      <c r="N184" s="35" t="n"/>
      <c r="O184" s="22">
        <f>IF(COUNTA(A184:N184,P184:AA184)=0,"",IF(TRIM(A184)="","AIR-ID missing",IF(SUMPRODUCT(--(TRIM($A$4:$A$206)=TRIM(A184)))&gt;1,"Duplicate AIR-ID",IF(OR(B184="",E184="",G184="",H184="",I184="",N184=""),"Required field missing (name, owner, stage, status or next review)",IF(NOT(ISNUMBER(N184)),"Next review is not a date",IF(OR(AND(R184&lt;&gt;"",NOT(ISNUMBER(R184))),AND(S184&lt;&gt;"",NOT(ISNUMBER(S184))),AND(X184&lt;&gt;"",NOT(ISNUMBER(X184)))),"Date field is not a date",IF(AND(OR(H184="Approved",H184="Approved with conditions"),OR(K184="",L184="")),"Approval evidence refs missing",IF(AND(I184="Active",H184&lt;&gt;"Approved",H184&lt;&gt;"Approved with conditions"),"Active without approved status",IF(AND(I184="Active",G184&lt;&gt;"Deployment and Operation",G184&lt;&gt;"Monitoring and Review"),"Active in wrong lifecycle stage",IF(AND(I184="Active",P184=""),"Active without UC-ID link",IF(AND(OR(J184="Yes",J184="Unsure"),M184=""),"Agent evidence ref missing",IF(AND(I184="Active",W184&lt;&gt;"Yes"),"Active without monitoring in place",IF(N184&lt;TODAY(),"Review overdue","Check refs against source")))))))))))))</f>
        <v/>
      </c>
      <c r="P184" s="22" t="n"/>
      <c r="Q184" s="22" t="n"/>
      <c r="R184" s="35" t="n"/>
      <c r="S184" s="35" t="n"/>
      <c r="T184" s="22" t="n"/>
      <c r="U184" s="22" t="n"/>
      <c r="V184" s="22" t="n"/>
      <c r="W184" s="22" t="n"/>
      <c r="X184" s="35" t="n"/>
      <c r="Y184" s="22" t="n"/>
      <c r="Z184" s="22" t="n"/>
      <c r="AA184" s="22" t="n"/>
    </row>
    <row r="185">
      <c r="A185" s="24" t="n"/>
      <c r="B185" s="24" t="n"/>
      <c r="C185" s="24" t="n"/>
      <c r="D185" s="24" t="n"/>
      <c r="E185" s="24" t="n"/>
      <c r="F185" s="24" t="n"/>
      <c r="G185" s="24" t="n"/>
      <c r="H185" s="24" t="n"/>
      <c r="I185" s="24" t="n"/>
      <c r="J185" s="24" t="n"/>
      <c r="K185" s="24" t="n"/>
      <c r="L185" s="24" t="n"/>
      <c r="M185" s="24" t="n"/>
      <c r="N185" s="36" t="n"/>
      <c r="O185" s="24">
        <f>IF(COUNTA(A185:N185,P185:AA185)=0,"",IF(TRIM(A185)="","AIR-ID missing",IF(SUMPRODUCT(--(TRIM($A$4:$A$206)=TRIM(A185)))&gt;1,"Duplicate AIR-ID",IF(OR(B185="",E185="",G185="",H185="",I185="",N185=""),"Required field missing (name, owner, stage, status or next review)",IF(NOT(ISNUMBER(N185)),"Next review is not a date",IF(OR(AND(R185&lt;&gt;"",NOT(ISNUMBER(R185))),AND(S185&lt;&gt;"",NOT(ISNUMBER(S185))),AND(X185&lt;&gt;"",NOT(ISNUMBER(X185)))),"Date field is not a date",IF(AND(OR(H185="Approved",H185="Approved with conditions"),OR(K185="",L185="")),"Approval evidence refs missing",IF(AND(I185="Active",H185&lt;&gt;"Approved",H185&lt;&gt;"Approved with conditions"),"Active without approved status",IF(AND(I185="Active",G185&lt;&gt;"Deployment and Operation",G185&lt;&gt;"Monitoring and Review"),"Active in wrong lifecycle stage",IF(AND(I185="Active",P185=""),"Active without UC-ID link",IF(AND(OR(J185="Yes",J185="Unsure"),M185=""),"Agent evidence ref missing",IF(AND(I185="Active",W185&lt;&gt;"Yes"),"Active without monitoring in place",IF(N185&lt;TODAY(),"Review overdue","Check refs against source")))))))))))))</f>
        <v/>
      </c>
      <c r="P185" s="24" t="n"/>
      <c r="Q185" s="24" t="n"/>
      <c r="R185" s="36" t="n"/>
      <c r="S185" s="36" t="n"/>
      <c r="T185" s="24" t="n"/>
      <c r="U185" s="24" t="n"/>
      <c r="V185" s="24" t="n"/>
      <c r="W185" s="24" t="n"/>
      <c r="X185" s="36" t="n"/>
      <c r="Y185" s="24" t="n"/>
      <c r="Z185" s="24" t="n"/>
      <c r="AA185" s="24" t="n"/>
    </row>
    <row r="186">
      <c r="A186" s="22" t="n"/>
      <c r="B186" s="22" t="n"/>
      <c r="C186" s="22" t="n"/>
      <c r="D186" s="22" t="n"/>
      <c r="E186" s="22" t="n"/>
      <c r="F186" s="22" t="n"/>
      <c r="G186" s="22" t="n"/>
      <c r="H186" s="22" t="n"/>
      <c r="I186" s="22" t="n"/>
      <c r="J186" s="22" t="n"/>
      <c r="K186" s="22" t="n"/>
      <c r="L186" s="22" t="n"/>
      <c r="M186" s="22" t="n"/>
      <c r="N186" s="35" t="n"/>
      <c r="O186" s="22">
        <f>IF(COUNTA(A186:N186,P186:AA186)=0,"",IF(TRIM(A186)="","AIR-ID missing",IF(SUMPRODUCT(--(TRIM($A$4:$A$206)=TRIM(A186)))&gt;1,"Duplicate AIR-ID",IF(OR(B186="",E186="",G186="",H186="",I186="",N186=""),"Required field missing (name, owner, stage, status or next review)",IF(NOT(ISNUMBER(N186)),"Next review is not a date",IF(OR(AND(R186&lt;&gt;"",NOT(ISNUMBER(R186))),AND(S186&lt;&gt;"",NOT(ISNUMBER(S186))),AND(X186&lt;&gt;"",NOT(ISNUMBER(X186)))),"Date field is not a date",IF(AND(OR(H186="Approved",H186="Approved with conditions"),OR(K186="",L186="")),"Approval evidence refs missing",IF(AND(I186="Active",H186&lt;&gt;"Approved",H186&lt;&gt;"Approved with conditions"),"Active without approved status",IF(AND(I186="Active",G186&lt;&gt;"Deployment and Operation",G186&lt;&gt;"Monitoring and Review"),"Active in wrong lifecycle stage",IF(AND(I186="Active",P186=""),"Active without UC-ID link",IF(AND(OR(J186="Yes",J186="Unsure"),M186=""),"Agent evidence ref missing",IF(AND(I186="Active",W186&lt;&gt;"Yes"),"Active without monitoring in place",IF(N186&lt;TODAY(),"Review overdue","Check refs against source")))))))))))))</f>
        <v/>
      </c>
      <c r="P186" s="22" t="n"/>
      <c r="Q186" s="22" t="n"/>
      <c r="R186" s="35" t="n"/>
      <c r="S186" s="35" t="n"/>
      <c r="T186" s="22" t="n"/>
      <c r="U186" s="22" t="n"/>
      <c r="V186" s="22" t="n"/>
      <c r="W186" s="22" t="n"/>
      <c r="X186" s="35" t="n"/>
      <c r="Y186" s="22" t="n"/>
      <c r="Z186" s="22" t="n"/>
      <c r="AA186" s="22" t="n"/>
    </row>
    <row r="187">
      <c r="A187" s="24" t="n"/>
      <c r="B187" s="24" t="n"/>
      <c r="C187" s="24" t="n"/>
      <c r="D187" s="24" t="n"/>
      <c r="E187" s="24" t="n"/>
      <c r="F187" s="24" t="n"/>
      <c r="G187" s="24" t="n"/>
      <c r="H187" s="24" t="n"/>
      <c r="I187" s="24" t="n"/>
      <c r="J187" s="24" t="n"/>
      <c r="K187" s="24" t="n"/>
      <c r="L187" s="24" t="n"/>
      <c r="M187" s="24" t="n"/>
      <c r="N187" s="36" t="n"/>
      <c r="O187" s="24">
        <f>IF(COUNTA(A187:N187,P187:AA187)=0,"",IF(TRIM(A187)="","AIR-ID missing",IF(SUMPRODUCT(--(TRIM($A$4:$A$206)=TRIM(A187)))&gt;1,"Duplicate AIR-ID",IF(OR(B187="",E187="",G187="",H187="",I187="",N187=""),"Required field missing (name, owner, stage, status or next review)",IF(NOT(ISNUMBER(N187)),"Next review is not a date",IF(OR(AND(R187&lt;&gt;"",NOT(ISNUMBER(R187))),AND(S187&lt;&gt;"",NOT(ISNUMBER(S187))),AND(X187&lt;&gt;"",NOT(ISNUMBER(X187)))),"Date field is not a date",IF(AND(OR(H187="Approved",H187="Approved with conditions"),OR(K187="",L187="")),"Approval evidence refs missing",IF(AND(I187="Active",H187&lt;&gt;"Approved",H187&lt;&gt;"Approved with conditions"),"Active without approved status",IF(AND(I187="Active",G187&lt;&gt;"Deployment and Operation",G187&lt;&gt;"Monitoring and Review"),"Active in wrong lifecycle stage",IF(AND(I187="Active",P187=""),"Active without UC-ID link",IF(AND(OR(J187="Yes",J187="Unsure"),M187=""),"Agent evidence ref missing",IF(AND(I187="Active",W187&lt;&gt;"Yes"),"Active without monitoring in place",IF(N187&lt;TODAY(),"Review overdue","Check refs against source")))))))))))))</f>
        <v/>
      </c>
      <c r="P187" s="24" t="n"/>
      <c r="Q187" s="24" t="n"/>
      <c r="R187" s="36" t="n"/>
      <c r="S187" s="36" t="n"/>
      <c r="T187" s="24" t="n"/>
      <c r="U187" s="24" t="n"/>
      <c r="V187" s="24" t="n"/>
      <c r="W187" s="24" t="n"/>
      <c r="X187" s="36" t="n"/>
      <c r="Y187" s="24" t="n"/>
      <c r="Z187" s="24" t="n"/>
      <c r="AA187" s="24" t="n"/>
    </row>
    <row r="188">
      <c r="A188" s="22" t="n"/>
      <c r="B188" s="22" t="n"/>
      <c r="C188" s="22" t="n"/>
      <c r="D188" s="22" t="n"/>
      <c r="E188" s="22" t="n"/>
      <c r="F188" s="22" t="n"/>
      <c r="G188" s="22" t="n"/>
      <c r="H188" s="22" t="n"/>
      <c r="I188" s="22" t="n"/>
      <c r="J188" s="22" t="n"/>
      <c r="K188" s="22" t="n"/>
      <c r="L188" s="22" t="n"/>
      <c r="M188" s="22" t="n"/>
      <c r="N188" s="35" t="n"/>
      <c r="O188" s="22">
        <f>IF(COUNTA(A188:N188,P188:AA188)=0,"",IF(TRIM(A188)="","AIR-ID missing",IF(SUMPRODUCT(--(TRIM($A$4:$A$206)=TRIM(A188)))&gt;1,"Duplicate AIR-ID",IF(OR(B188="",E188="",G188="",H188="",I188="",N188=""),"Required field missing (name, owner, stage, status or next review)",IF(NOT(ISNUMBER(N188)),"Next review is not a date",IF(OR(AND(R188&lt;&gt;"",NOT(ISNUMBER(R188))),AND(S188&lt;&gt;"",NOT(ISNUMBER(S188))),AND(X188&lt;&gt;"",NOT(ISNUMBER(X188)))),"Date field is not a date",IF(AND(OR(H188="Approved",H188="Approved with conditions"),OR(K188="",L188="")),"Approval evidence refs missing",IF(AND(I188="Active",H188&lt;&gt;"Approved",H188&lt;&gt;"Approved with conditions"),"Active without approved status",IF(AND(I188="Active",G188&lt;&gt;"Deployment and Operation",G188&lt;&gt;"Monitoring and Review"),"Active in wrong lifecycle stage",IF(AND(I188="Active",P188=""),"Active without UC-ID link",IF(AND(OR(J188="Yes",J188="Unsure"),M188=""),"Agent evidence ref missing",IF(AND(I188="Active",W188&lt;&gt;"Yes"),"Active without monitoring in place",IF(N188&lt;TODAY(),"Review overdue","Check refs against source")))))))))))))</f>
        <v/>
      </c>
      <c r="P188" s="22" t="n"/>
      <c r="Q188" s="22" t="n"/>
      <c r="R188" s="35" t="n"/>
      <c r="S188" s="35" t="n"/>
      <c r="T188" s="22" t="n"/>
      <c r="U188" s="22" t="n"/>
      <c r="V188" s="22" t="n"/>
      <c r="W188" s="22" t="n"/>
      <c r="X188" s="35" t="n"/>
      <c r="Y188" s="22" t="n"/>
      <c r="Z188" s="22" t="n"/>
      <c r="AA188" s="22" t="n"/>
    </row>
    <row r="189">
      <c r="A189" s="24" t="n"/>
      <c r="B189" s="24" t="n"/>
      <c r="C189" s="24" t="n"/>
      <c r="D189" s="24" t="n"/>
      <c r="E189" s="24" t="n"/>
      <c r="F189" s="24" t="n"/>
      <c r="G189" s="24" t="n"/>
      <c r="H189" s="24" t="n"/>
      <c r="I189" s="24" t="n"/>
      <c r="J189" s="24" t="n"/>
      <c r="K189" s="24" t="n"/>
      <c r="L189" s="24" t="n"/>
      <c r="M189" s="24" t="n"/>
      <c r="N189" s="36" t="n"/>
      <c r="O189" s="24">
        <f>IF(COUNTA(A189:N189,P189:AA189)=0,"",IF(TRIM(A189)="","AIR-ID missing",IF(SUMPRODUCT(--(TRIM($A$4:$A$206)=TRIM(A189)))&gt;1,"Duplicate AIR-ID",IF(OR(B189="",E189="",G189="",H189="",I189="",N189=""),"Required field missing (name, owner, stage, status or next review)",IF(NOT(ISNUMBER(N189)),"Next review is not a date",IF(OR(AND(R189&lt;&gt;"",NOT(ISNUMBER(R189))),AND(S189&lt;&gt;"",NOT(ISNUMBER(S189))),AND(X189&lt;&gt;"",NOT(ISNUMBER(X189)))),"Date field is not a date",IF(AND(OR(H189="Approved",H189="Approved with conditions"),OR(K189="",L189="")),"Approval evidence refs missing",IF(AND(I189="Active",H189&lt;&gt;"Approved",H189&lt;&gt;"Approved with conditions"),"Active without approved status",IF(AND(I189="Active",G189&lt;&gt;"Deployment and Operation",G189&lt;&gt;"Monitoring and Review"),"Active in wrong lifecycle stage",IF(AND(I189="Active",P189=""),"Active without UC-ID link",IF(AND(OR(J189="Yes",J189="Unsure"),M189=""),"Agent evidence ref missing",IF(AND(I189="Active",W189&lt;&gt;"Yes"),"Active without monitoring in place",IF(N189&lt;TODAY(),"Review overdue","Check refs against source")))))))))))))</f>
        <v/>
      </c>
      <c r="P189" s="24" t="n"/>
      <c r="Q189" s="24" t="n"/>
      <c r="R189" s="36" t="n"/>
      <c r="S189" s="36" t="n"/>
      <c r="T189" s="24" t="n"/>
      <c r="U189" s="24" t="n"/>
      <c r="V189" s="24" t="n"/>
      <c r="W189" s="24" t="n"/>
      <c r="X189" s="36" t="n"/>
      <c r="Y189" s="24" t="n"/>
      <c r="Z189" s="24" t="n"/>
      <c r="AA189" s="24" t="n"/>
    </row>
    <row r="190">
      <c r="A190" s="22" t="n"/>
      <c r="B190" s="22" t="n"/>
      <c r="C190" s="22" t="n"/>
      <c r="D190" s="22" t="n"/>
      <c r="E190" s="22" t="n"/>
      <c r="F190" s="22" t="n"/>
      <c r="G190" s="22" t="n"/>
      <c r="H190" s="22" t="n"/>
      <c r="I190" s="22" t="n"/>
      <c r="J190" s="22" t="n"/>
      <c r="K190" s="22" t="n"/>
      <c r="L190" s="22" t="n"/>
      <c r="M190" s="22" t="n"/>
      <c r="N190" s="35" t="n"/>
      <c r="O190" s="22">
        <f>IF(COUNTA(A190:N190,P190:AA190)=0,"",IF(TRIM(A190)="","AIR-ID missing",IF(SUMPRODUCT(--(TRIM($A$4:$A$206)=TRIM(A190)))&gt;1,"Duplicate AIR-ID",IF(OR(B190="",E190="",G190="",H190="",I190="",N190=""),"Required field missing (name, owner, stage, status or next review)",IF(NOT(ISNUMBER(N190)),"Next review is not a date",IF(OR(AND(R190&lt;&gt;"",NOT(ISNUMBER(R190))),AND(S190&lt;&gt;"",NOT(ISNUMBER(S190))),AND(X190&lt;&gt;"",NOT(ISNUMBER(X190)))),"Date field is not a date",IF(AND(OR(H190="Approved",H190="Approved with conditions"),OR(K190="",L190="")),"Approval evidence refs missing",IF(AND(I190="Active",H190&lt;&gt;"Approved",H190&lt;&gt;"Approved with conditions"),"Active without approved status",IF(AND(I190="Active",G190&lt;&gt;"Deployment and Operation",G190&lt;&gt;"Monitoring and Review"),"Active in wrong lifecycle stage",IF(AND(I190="Active",P190=""),"Active without UC-ID link",IF(AND(OR(J190="Yes",J190="Unsure"),M190=""),"Agent evidence ref missing",IF(AND(I190="Active",W190&lt;&gt;"Yes"),"Active without monitoring in place",IF(N190&lt;TODAY(),"Review overdue","Check refs against source")))))))))))))</f>
        <v/>
      </c>
      <c r="P190" s="22" t="n"/>
      <c r="Q190" s="22" t="n"/>
      <c r="R190" s="35" t="n"/>
      <c r="S190" s="35" t="n"/>
      <c r="T190" s="22" t="n"/>
      <c r="U190" s="22" t="n"/>
      <c r="V190" s="22" t="n"/>
      <c r="W190" s="22" t="n"/>
      <c r="X190" s="35" t="n"/>
      <c r="Y190" s="22" t="n"/>
      <c r="Z190" s="22" t="n"/>
      <c r="AA190" s="22" t="n"/>
    </row>
    <row r="191">
      <c r="A191" s="24" t="n"/>
      <c r="B191" s="24" t="n"/>
      <c r="C191" s="24" t="n"/>
      <c r="D191" s="24" t="n"/>
      <c r="E191" s="24" t="n"/>
      <c r="F191" s="24" t="n"/>
      <c r="G191" s="24" t="n"/>
      <c r="H191" s="24" t="n"/>
      <c r="I191" s="24" t="n"/>
      <c r="J191" s="24" t="n"/>
      <c r="K191" s="24" t="n"/>
      <c r="L191" s="24" t="n"/>
      <c r="M191" s="24" t="n"/>
      <c r="N191" s="36" t="n"/>
      <c r="O191" s="24">
        <f>IF(COUNTA(A191:N191,P191:AA191)=0,"",IF(TRIM(A191)="","AIR-ID missing",IF(SUMPRODUCT(--(TRIM($A$4:$A$206)=TRIM(A191)))&gt;1,"Duplicate AIR-ID",IF(OR(B191="",E191="",G191="",H191="",I191="",N191=""),"Required field missing (name, owner, stage, status or next review)",IF(NOT(ISNUMBER(N191)),"Next review is not a date",IF(OR(AND(R191&lt;&gt;"",NOT(ISNUMBER(R191))),AND(S191&lt;&gt;"",NOT(ISNUMBER(S191))),AND(X191&lt;&gt;"",NOT(ISNUMBER(X191)))),"Date field is not a date",IF(AND(OR(H191="Approved",H191="Approved with conditions"),OR(K191="",L191="")),"Approval evidence refs missing",IF(AND(I191="Active",H191&lt;&gt;"Approved",H191&lt;&gt;"Approved with conditions"),"Active without approved status",IF(AND(I191="Active",G191&lt;&gt;"Deployment and Operation",G191&lt;&gt;"Monitoring and Review"),"Active in wrong lifecycle stage",IF(AND(I191="Active",P191=""),"Active without UC-ID link",IF(AND(OR(J191="Yes",J191="Unsure"),M191=""),"Agent evidence ref missing",IF(AND(I191="Active",W191&lt;&gt;"Yes"),"Active without monitoring in place",IF(N191&lt;TODAY(),"Review overdue","Check refs against source")))))))))))))</f>
        <v/>
      </c>
      <c r="P191" s="24" t="n"/>
      <c r="Q191" s="24" t="n"/>
      <c r="R191" s="36" t="n"/>
      <c r="S191" s="36" t="n"/>
      <c r="T191" s="24" t="n"/>
      <c r="U191" s="24" t="n"/>
      <c r="V191" s="24" t="n"/>
      <c r="W191" s="24" t="n"/>
      <c r="X191" s="36" t="n"/>
      <c r="Y191" s="24" t="n"/>
      <c r="Z191" s="24" t="n"/>
      <c r="AA191" s="24" t="n"/>
    </row>
    <row r="192">
      <c r="A192" s="22" t="n"/>
      <c r="B192" s="22" t="n"/>
      <c r="C192" s="22" t="n"/>
      <c r="D192" s="22" t="n"/>
      <c r="E192" s="22" t="n"/>
      <c r="F192" s="22" t="n"/>
      <c r="G192" s="22" t="n"/>
      <c r="H192" s="22" t="n"/>
      <c r="I192" s="22" t="n"/>
      <c r="J192" s="22" t="n"/>
      <c r="K192" s="22" t="n"/>
      <c r="L192" s="22" t="n"/>
      <c r="M192" s="22" t="n"/>
      <c r="N192" s="35" t="n"/>
      <c r="O192" s="22">
        <f>IF(COUNTA(A192:N192,P192:AA192)=0,"",IF(TRIM(A192)="","AIR-ID missing",IF(SUMPRODUCT(--(TRIM($A$4:$A$206)=TRIM(A192)))&gt;1,"Duplicate AIR-ID",IF(OR(B192="",E192="",G192="",H192="",I192="",N192=""),"Required field missing (name, owner, stage, status or next review)",IF(NOT(ISNUMBER(N192)),"Next review is not a date",IF(OR(AND(R192&lt;&gt;"",NOT(ISNUMBER(R192))),AND(S192&lt;&gt;"",NOT(ISNUMBER(S192))),AND(X192&lt;&gt;"",NOT(ISNUMBER(X192)))),"Date field is not a date",IF(AND(OR(H192="Approved",H192="Approved with conditions"),OR(K192="",L192="")),"Approval evidence refs missing",IF(AND(I192="Active",H192&lt;&gt;"Approved",H192&lt;&gt;"Approved with conditions"),"Active without approved status",IF(AND(I192="Active",G192&lt;&gt;"Deployment and Operation",G192&lt;&gt;"Monitoring and Review"),"Active in wrong lifecycle stage",IF(AND(I192="Active",P192=""),"Active without UC-ID link",IF(AND(OR(J192="Yes",J192="Unsure"),M192=""),"Agent evidence ref missing",IF(AND(I192="Active",W192&lt;&gt;"Yes"),"Active without monitoring in place",IF(N192&lt;TODAY(),"Review overdue","Check refs against source")))))))))))))</f>
        <v/>
      </c>
      <c r="P192" s="22" t="n"/>
      <c r="Q192" s="22" t="n"/>
      <c r="R192" s="35" t="n"/>
      <c r="S192" s="35" t="n"/>
      <c r="T192" s="22" t="n"/>
      <c r="U192" s="22" t="n"/>
      <c r="V192" s="22" t="n"/>
      <c r="W192" s="22" t="n"/>
      <c r="X192" s="35" t="n"/>
      <c r="Y192" s="22" t="n"/>
      <c r="Z192" s="22" t="n"/>
      <c r="AA192" s="22" t="n"/>
    </row>
    <row r="193">
      <c r="A193" s="24" t="n"/>
      <c r="B193" s="24" t="n"/>
      <c r="C193" s="24" t="n"/>
      <c r="D193" s="24" t="n"/>
      <c r="E193" s="24" t="n"/>
      <c r="F193" s="24" t="n"/>
      <c r="G193" s="24" t="n"/>
      <c r="H193" s="24" t="n"/>
      <c r="I193" s="24" t="n"/>
      <c r="J193" s="24" t="n"/>
      <c r="K193" s="24" t="n"/>
      <c r="L193" s="24" t="n"/>
      <c r="M193" s="24" t="n"/>
      <c r="N193" s="36" t="n"/>
      <c r="O193" s="24">
        <f>IF(COUNTA(A193:N193,P193:AA193)=0,"",IF(TRIM(A193)="","AIR-ID missing",IF(SUMPRODUCT(--(TRIM($A$4:$A$206)=TRIM(A193)))&gt;1,"Duplicate AIR-ID",IF(OR(B193="",E193="",G193="",H193="",I193="",N193=""),"Required field missing (name, owner, stage, status or next review)",IF(NOT(ISNUMBER(N193)),"Next review is not a date",IF(OR(AND(R193&lt;&gt;"",NOT(ISNUMBER(R193))),AND(S193&lt;&gt;"",NOT(ISNUMBER(S193))),AND(X193&lt;&gt;"",NOT(ISNUMBER(X193)))),"Date field is not a date",IF(AND(OR(H193="Approved",H193="Approved with conditions"),OR(K193="",L193="")),"Approval evidence refs missing",IF(AND(I193="Active",H193&lt;&gt;"Approved",H193&lt;&gt;"Approved with conditions"),"Active without approved status",IF(AND(I193="Active",G193&lt;&gt;"Deployment and Operation",G193&lt;&gt;"Monitoring and Review"),"Active in wrong lifecycle stage",IF(AND(I193="Active",P193=""),"Active without UC-ID link",IF(AND(OR(J193="Yes",J193="Unsure"),M193=""),"Agent evidence ref missing",IF(AND(I193="Active",W193&lt;&gt;"Yes"),"Active without monitoring in place",IF(N193&lt;TODAY(),"Review overdue","Check refs against source")))))))))))))</f>
        <v/>
      </c>
      <c r="P193" s="24" t="n"/>
      <c r="Q193" s="24" t="n"/>
      <c r="R193" s="36" t="n"/>
      <c r="S193" s="36" t="n"/>
      <c r="T193" s="24" t="n"/>
      <c r="U193" s="24" t="n"/>
      <c r="V193" s="24" t="n"/>
      <c r="W193" s="24" t="n"/>
      <c r="X193" s="36" t="n"/>
      <c r="Y193" s="24" t="n"/>
      <c r="Z193" s="24" t="n"/>
      <c r="AA193" s="24" t="n"/>
    </row>
    <row r="194">
      <c r="A194" s="22" t="n"/>
      <c r="B194" s="22" t="n"/>
      <c r="C194" s="22" t="n"/>
      <c r="D194" s="22" t="n"/>
      <c r="E194" s="22" t="n"/>
      <c r="F194" s="22" t="n"/>
      <c r="G194" s="22" t="n"/>
      <c r="H194" s="22" t="n"/>
      <c r="I194" s="22" t="n"/>
      <c r="J194" s="22" t="n"/>
      <c r="K194" s="22" t="n"/>
      <c r="L194" s="22" t="n"/>
      <c r="M194" s="22" t="n"/>
      <c r="N194" s="35" t="n"/>
      <c r="O194" s="22">
        <f>IF(COUNTA(A194:N194,P194:AA194)=0,"",IF(TRIM(A194)="","AIR-ID missing",IF(SUMPRODUCT(--(TRIM($A$4:$A$206)=TRIM(A194)))&gt;1,"Duplicate AIR-ID",IF(OR(B194="",E194="",G194="",H194="",I194="",N194=""),"Required field missing (name, owner, stage, status or next review)",IF(NOT(ISNUMBER(N194)),"Next review is not a date",IF(OR(AND(R194&lt;&gt;"",NOT(ISNUMBER(R194))),AND(S194&lt;&gt;"",NOT(ISNUMBER(S194))),AND(X194&lt;&gt;"",NOT(ISNUMBER(X194)))),"Date field is not a date",IF(AND(OR(H194="Approved",H194="Approved with conditions"),OR(K194="",L194="")),"Approval evidence refs missing",IF(AND(I194="Active",H194&lt;&gt;"Approved",H194&lt;&gt;"Approved with conditions"),"Active without approved status",IF(AND(I194="Active",G194&lt;&gt;"Deployment and Operation",G194&lt;&gt;"Monitoring and Review"),"Active in wrong lifecycle stage",IF(AND(I194="Active",P194=""),"Active without UC-ID link",IF(AND(OR(J194="Yes",J194="Unsure"),M194=""),"Agent evidence ref missing",IF(AND(I194="Active",W194&lt;&gt;"Yes"),"Active without monitoring in place",IF(N194&lt;TODAY(),"Review overdue","Check refs against source")))))))))))))</f>
        <v/>
      </c>
      <c r="P194" s="22" t="n"/>
      <c r="Q194" s="22" t="n"/>
      <c r="R194" s="35" t="n"/>
      <c r="S194" s="35" t="n"/>
      <c r="T194" s="22" t="n"/>
      <c r="U194" s="22" t="n"/>
      <c r="V194" s="22" t="n"/>
      <c r="W194" s="22" t="n"/>
      <c r="X194" s="35" t="n"/>
      <c r="Y194" s="22" t="n"/>
      <c r="Z194" s="22" t="n"/>
      <c r="AA194" s="22" t="n"/>
    </row>
    <row r="195">
      <c r="A195" s="24" t="n"/>
      <c r="B195" s="24" t="n"/>
      <c r="C195" s="24" t="n"/>
      <c r="D195" s="24" t="n"/>
      <c r="E195" s="24" t="n"/>
      <c r="F195" s="24" t="n"/>
      <c r="G195" s="24" t="n"/>
      <c r="H195" s="24" t="n"/>
      <c r="I195" s="24" t="n"/>
      <c r="J195" s="24" t="n"/>
      <c r="K195" s="24" t="n"/>
      <c r="L195" s="24" t="n"/>
      <c r="M195" s="24" t="n"/>
      <c r="N195" s="36" t="n"/>
      <c r="O195" s="24">
        <f>IF(COUNTA(A195:N195,P195:AA195)=0,"",IF(TRIM(A195)="","AIR-ID missing",IF(SUMPRODUCT(--(TRIM($A$4:$A$206)=TRIM(A195)))&gt;1,"Duplicate AIR-ID",IF(OR(B195="",E195="",G195="",H195="",I195="",N195=""),"Required field missing (name, owner, stage, status or next review)",IF(NOT(ISNUMBER(N195)),"Next review is not a date",IF(OR(AND(R195&lt;&gt;"",NOT(ISNUMBER(R195))),AND(S195&lt;&gt;"",NOT(ISNUMBER(S195))),AND(X195&lt;&gt;"",NOT(ISNUMBER(X195)))),"Date field is not a date",IF(AND(OR(H195="Approved",H195="Approved with conditions"),OR(K195="",L195="")),"Approval evidence refs missing",IF(AND(I195="Active",H195&lt;&gt;"Approved",H195&lt;&gt;"Approved with conditions"),"Active without approved status",IF(AND(I195="Active",G195&lt;&gt;"Deployment and Operation",G195&lt;&gt;"Monitoring and Review"),"Active in wrong lifecycle stage",IF(AND(I195="Active",P195=""),"Active without UC-ID link",IF(AND(OR(J195="Yes",J195="Unsure"),M195=""),"Agent evidence ref missing",IF(AND(I195="Active",W195&lt;&gt;"Yes"),"Active without monitoring in place",IF(N195&lt;TODAY(),"Review overdue","Check refs against source")))))))))))))</f>
        <v/>
      </c>
      <c r="P195" s="24" t="n"/>
      <c r="Q195" s="24" t="n"/>
      <c r="R195" s="36" t="n"/>
      <c r="S195" s="36" t="n"/>
      <c r="T195" s="24" t="n"/>
      <c r="U195" s="24" t="n"/>
      <c r="V195" s="24" t="n"/>
      <c r="W195" s="24" t="n"/>
      <c r="X195" s="36" t="n"/>
      <c r="Y195" s="24" t="n"/>
      <c r="Z195" s="24" t="n"/>
      <c r="AA195" s="24" t="n"/>
    </row>
    <row r="196">
      <c r="A196" s="22" t="n"/>
      <c r="B196" s="22" t="n"/>
      <c r="C196" s="22" t="n"/>
      <c r="D196" s="22" t="n"/>
      <c r="E196" s="22" t="n"/>
      <c r="F196" s="22" t="n"/>
      <c r="G196" s="22" t="n"/>
      <c r="H196" s="22" t="n"/>
      <c r="I196" s="22" t="n"/>
      <c r="J196" s="22" t="n"/>
      <c r="K196" s="22" t="n"/>
      <c r="L196" s="22" t="n"/>
      <c r="M196" s="22" t="n"/>
      <c r="N196" s="35" t="n"/>
      <c r="O196" s="22">
        <f>IF(COUNTA(A196:N196,P196:AA196)=0,"",IF(TRIM(A196)="","AIR-ID missing",IF(SUMPRODUCT(--(TRIM($A$4:$A$206)=TRIM(A196)))&gt;1,"Duplicate AIR-ID",IF(OR(B196="",E196="",G196="",H196="",I196="",N196=""),"Required field missing (name, owner, stage, status or next review)",IF(NOT(ISNUMBER(N196)),"Next review is not a date",IF(OR(AND(R196&lt;&gt;"",NOT(ISNUMBER(R196))),AND(S196&lt;&gt;"",NOT(ISNUMBER(S196))),AND(X196&lt;&gt;"",NOT(ISNUMBER(X196)))),"Date field is not a date",IF(AND(OR(H196="Approved",H196="Approved with conditions"),OR(K196="",L196="")),"Approval evidence refs missing",IF(AND(I196="Active",H196&lt;&gt;"Approved",H196&lt;&gt;"Approved with conditions"),"Active without approved status",IF(AND(I196="Active",G196&lt;&gt;"Deployment and Operation",G196&lt;&gt;"Monitoring and Review"),"Active in wrong lifecycle stage",IF(AND(I196="Active",P196=""),"Active without UC-ID link",IF(AND(OR(J196="Yes",J196="Unsure"),M196=""),"Agent evidence ref missing",IF(AND(I196="Active",W196&lt;&gt;"Yes"),"Active without monitoring in place",IF(N196&lt;TODAY(),"Review overdue","Check refs against source")))))))))))))</f>
        <v/>
      </c>
      <c r="P196" s="22" t="n"/>
      <c r="Q196" s="22" t="n"/>
      <c r="R196" s="35" t="n"/>
      <c r="S196" s="35" t="n"/>
      <c r="T196" s="22" t="n"/>
      <c r="U196" s="22" t="n"/>
      <c r="V196" s="22" t="n"/>
      <c r="W196" s="22" t="n"/>
      <c r="X196" s="35" t="n"/>
      <c r="Y196" s="22" t="n"/>
      <c r="Z196" s="22" t="n"/>
      <c r="AA196" s="22" t="n"/>
    </row>
    <row r="197">
      <c r="A197" s="24" t="n"/>
      <c r="B197" s="24" t="n"/>
      <c r="C197" s="24" t="n"/>
      <c r="D197" s="24" t="n"/>
      <c r="E197" s="24" t="n"/>
      <c r="F197" s="24" t="n"/>
      <c r="G197" s="24" t="n"/>
      <c r="H197" s="24" t="n"/>
      <c r="I197" s="24" t="n"/>
      <c r="J197" s="24" t="n"/>
      <c r="K197" s="24" t="n"/>
      <c r="L197" s="24" t="n"/>
      <c r="M197" s="24" t="n"/>
      <c r="N197" s="36" t="n"/>
      <c r="O197" s="24">
        <f>IF(COUNTA(A197:N197,P197:AA197)=0,"",IF(TRIM(A197)="","AIR-ID missing",IF(SUMPRODUCT(--(TRIM($A$4:$A$206)=TRIM(A197)))&gt;1,"Duplicate AIR-ID",IF(OR(B197="",E197="",G197="",H197="",I197="",N197=""),"Required field missing (name, owner, stage, status or next review)",IF(NOT(ISNUMBER(N197)),"Next review is not a date",IF(OR(AND(R197&lt;&gt;"",NOT(ISNUMBER(R197))),AND(S197&lt;&gt;"",NOT(ISNUMBER(S197))),AND(X197&lt;&gt;"",NOT(ISNUMBER(X197)))),"Date field is not a date",IF(AND(OR(H197="Approved",H197="Approved with conditions"),OR(K197="",L197="")),"Approval evidence refs missing",IF(AND(I197="Active",H197&lt;&gt;"Approved",H197&lt;&gt;"Approved with conditions"),"Active without approved status",IF(AND(I197="Active",G197&lt;&gt;"Deployment and Operation",G197&lt;&gt;"Monitoring and Review"),"Active in wrong lifecycle stage",IF(AND(I197="Active",P197=""),"Active without UC-ID link",IF(AND(OR(J197="Yes",J197="Unsure"),M197=""),"Agent evidence ref missing",IF(AND(I197="Active",W197&lt;&gt;"Yes"),"Active without monitoring in place",IF(N197&lt;TODAY(),"Review overdue","Check refs against source")))))))))))))</f>
        <v/>
      </c>
      <c r="P197" s="24" t="n"/>
      <c r="Q197" s="24" t="n"/>
      <c r="R197" s="36" t="n"/>
      <c r="S197" s="36" t="n"/>
      <c r="T197" s="24" t="n"/>
      <c r="U197" s="24" t="n"/>
      <c r="V197" s="24" t="n"/>
      <c r="W197" s="24" t="n"/>
      <c r="X197" s="36" t="n"/>
      <c r="Y197" s="24" t="n"/>
      <c r="Z197" s="24" t="n"/>
      <c r="AA197" s="24" t="n"/>
    </row>
    <row r="198">
      <c r="A198" s="22" t="n"/>
      <c r="B198" s="22" t="n"/>
      <c r="C198" s="22" t="n"/>
      <c r="D198" s="22" t="n"/>
      <c r="E198" s="22" t="n"/>
      <c r="F198" s="22" t="n"/>
      <c r="G198" s="22" t="n"/>
      <c r="H198" s="22" t="n"/>
      <c r="I198" s="22" t="n"/>
      <c r="J198" s="22" t="n"/>
      <c r="K198" s="22" t="n"/>
      <c r="L198" s="22" t="n"/>
      <c r="M198" s="22" t="n"/>
      <c r="N198" s="35" t="n"/>
      <c r="O198" s="22">
        <f>IF(COUNTA(A198:N198,P198:AA198)=0,"",IF(TRIM(A198)="","AIR-ID missing",IF(SUMPRODUCT(--(TRIM($A$4:$A$206)=TRIM(A198)))&gt;1,"Duplicate AIR-ID",IF(OR(B198="",E198="",G198="",H198="",I198="",N198=""),"Required field missing (name, owner, stage, status or next review)",IF(NOT(ISNUMBER(N198)),"Next review is not a date",IF(OR(AND(R198&lt;&gt;"",NOT(ISNUMBER(R198))),AND(S198&lt;&gt;"",NOT(ISNUMBER(S198))),AND(X198&lt;&gt;"",NOT(ISNUMBER(X198)))),"Date field is not a date",IF(AND(OR(H198="Approved",H198="Approved with conditions"),OR(K198="",L198="")),"Approval evidence refs missing",IF(AND(I198="Active",H198&lt;&gt;"Approved",H198&lt;&gt;"Approved with conditions"),"Active without approved status",IF(AND(I198="Active",G198&lt;&gt;"Deployment and Operation",G198&lt;&gt;"Monitoring and Review"),"Active in wrong lifecycle stage",IF(AND(I198="Active",P198=""),"Active without UC-ID link",IF(AND(OR(J198="Yes",J198="Unsure"),M198=""),"Agent evidence ref missing",IF(AND(I198="Active",W198&lt;&gt;"Yes"),"Active without monitoring in place",IF(N198&lt;TODAY(),"Review overdue","Check refs against source")))))))))))))</f>
        <v/>
      </c>
      <c r="P198" s="22" t="n"/>
      <c r="Q198" s="22" t="n"/>
      <c r="R198" s="35" t="n"/>
      <c r="S198" s="35" t="n"/>
      <c r="T198" s="22" t="n"/>
      <c r="U198" s="22" t="n"/>
      <c r="V198" s="22" t="n"/>
      <c r="W198" s="22" t="n"/>
      <c r="X198" s="35" t="n"/>
      <c r="Y198" s="22" t="n"/>
      <c r="Z198" s="22" t="n"/>
      <c r="AA198" s="22" t="n"/>
    </row>
    <row r="199">
      <c r="A199" s="24" t="n"/>
      <c r="B199" s="24" t="n"/>
      <c r="C199" s="24" t="n"/>
      <c r="D199" s="24" t="n"/>
      <c r="E199" s="24" t="n"/>
      <c r="F199" s="24" t="n"/>
      <c r="G199" s="24" t="n"/>
      <c r="H199" s="24" t="n"/>
      <c r="I199" s="24" t="n"/>
      <c r="J199" s="24" t="n"/>
      <c r="K199" s="24" t="n"/>
      <c r="L199" s="24" t="n"/>
      <c r="M199" s="24" t="n"/>
      <c r="N199" s="36" t="n"/>
      <c r="O199" s="24">
        <f>IF(COUNTA(A199:N199,P199:AA199)=0,"",IF(TRIM(A199)="","AIR-ID missing",IF(SUMPRODUCT(--(TRIM($A$4:$A$206)=TRIM(A199)))&gt;1,"Duplicate AIR-ID",IF(OR(B199="",E199="",G199="",H199="",I199="",N199=""),"Required field missing (name, owner, stage, status or next review)",IF(NOT(ISNUMBER(N199)),"Next review is not a date",IF(OR(AND(R199&lt;&gt;"",NOT(ISNUMBER(R199))),AND(S199&lt;&gt;"",NOT(ISNUMBER(S199))),AND(X199&lt;&gt;"",NOT(ISNUMBER(X199)))),"Date field is not a date",IF(AND(OR(H199="Approved",H199="Approved with conditions"),OR(K199="",L199="")),"Approval evidence refs missing",IF(AND(I199="Active",H199&lt;&gt;"Approved",H199&lt;&gt;"Approved with conditions"),"Active without approved status",IF(AND(I199="Active",G199&lt;&gt;"Deployment and Operation",G199&lt;&gt;"Monitoring and Review"),"Active in wrong lifecycle stage",IF(AND(I199="Active",P199=""),"Active without UC-ID link",IF(AND(OR(J199="Yes",J199="Unsure"),M199=""),"Agent evidence ref missing",IF(AND(I199="Active",W199&lt;&gt;"Yes"),"Active without monitoring in place",IF(N199&lt;TODAY(),"Review overdue","Check refs against source")))))))))))))</f>
        <v/>
      </c>
      <c r="P199" s="24" t="n"/>
      <c r="Q199" s="24" t="n"/>
      <c r="R199" s="36" t="n"/>
      <c r="S199" s="36" t="n"/>
      <c r="T199" s="24" t="n"/>
      <c r="U199" s="24" t="n"/>
      <c r="V199" s="24" t="n"/>
      <c r="W199" s="24" t="n"/>
      <c r="X199" s="36" t="n"/>
      <c r="Y199" s="24" t="n"/>
      <c r="Z199" s="24" t="n"/>
      <c r="AA199" s="24" t="n"/>
    </row>
    <row r="200">
      <c r="A200" s="22" t="n"/>
      <c r="B200" s="22" t="n"/>
      <c r="C200" s="22" t="n"/>
      <c r="D200" s="22" t="n"/>
      <c r="E200" s="22" t="n"/>
      <c r="F200" s="22" t="n"/>
      <c r="G200" s="22" t="n"/>
      <c r="H200" s="22" t="n"/>
      <c r="I200" s="22" t="n"/>
      <c r="J200" s="22" t="n"/>
      <c r="K200" s="22" t="n"/>
      <c r="L200" s="22" t="n"/>
      <c r="M200" s="22" t="n"/>
      <c r="N200" s="35" t="n"/>
      <c r="O200" s="22">
        <f>IF(COUNTA(A200:N200,P200:AA200)=0,"",IF(TRIM(A200)="","AIR-ID missing",IF(SUMPRODUCT(--(TRIM($A$4:$A$206)=TRIM(A200)))&gt;1,"Duplicate AIR-ID",IF(OR(B200="",E200="",G200="",H200="",I200="",N200=""),"Required field missing (name, owner, stage, status or next review)",IF(NOT(ISNUMBER(N200)),"Next review is not a date",IF(OR(AND(R200&lt;&gt;"",NOT(ISNUMBER(R200))),AND(S200&lt;&gt;"",NOT(ISNUMBER(S200))),AND(X200&lt;&gt;"",NOT(ISNUMBER(X200)))),"Date field is not a date",IF(AND(OR(H200="Approved",H200="Approved with conditions"),OR(K200="",L200="")),"Approval evidence refs missing",IF(AND(I200="Active",H200&lt;&gt;"Approved",H200&lt;&gt;"Approved with conditions"),"Active without approved status",IF(AND(I200="Active",G200&lt;&gt;"Deployment and Operation",G200&lt;&gt;"Monitoring and Review"),"Active in wrong lifecycle stage",IF(AND(I200="Active",P200=""),"Active without UC-ID link",IF(AND(OR(J200="Yes",J200="Unsure"),M200=""),"Agent evidence ref missing",IF(AND(I200="Active",W200&lt;&gt;"Yes"),"Active without monitoring in place",IF(N200&lt;TODAY(),"Review overdue","Check refs against source")))))))))))))</f>
        <v/>
      </c>
      <c r="P200" s="22" t="n"/>
      <c r="Q200" s="22" t="n"/>
      <c r="R200" s="35" t="n"/>
      <c r="S200" s="35" t="n"/>
      <c r="T200" s="22" t="n"/>
      <c r="U200" s="22" t="n"/>
      <c r="V200" s="22" t="n"/>
      <c r="W200" s="22" t="n"/>
      <c r="X200" s="35" t="n"/>
      <c r="Y200" s="22" t="n"/>
      <c r="Z200" s="22" t="n"/>
      <c r="AA200" s="22" t="n"/>
    </row>
    <row r="201">
      <c r="A201" s="24" t="n"/>
      <c r="B201" s="24" t="n"/>
      <c r="C201" s="24" t="n"/>
      <c r="D201" s="24" t="n"/>
      <c r="E201" s="24" t="n"/>
      <c r="F201" s="24" t="n"/>
      <c r="G201" s="24" t="n"/>
      <c r="H201" s="24" t="n"/>
      <c r="I201" s="24" t="n"/>
      <c r="J201" s="24" t="n"/>
      <c r="K201" s="24" t="n"/>
      <c r="L201" s="24" t="n"/>
      <c r="M201" s="24" t="n"/>
      <c r="N201" s="36" t="n"/>
      <c r="O201" s="24">
        <f>IF(COUNTA(A201:N201,P201:AA201)=0,"",IF(TRIM(A201)="","AIR-ID missing",IF(SUMPRODUCT(--(TRIM($A$4:$A$206)=TRIM(A201)))&gt;1,"Duplicate AIR-ID",IF(OR(B201="",E201="",G201="",H201="",I201="",N201=""),"Required field missing (name, owner, stage, status or next review)",IF(NOT(ISNUMBER(N201)),"Next review is not a date",IF(OR(AND(R201&lt;&gt;"",NOT(ISNUMBER(R201))),AND(S201&lt;&gt;"",NOT(ISNUMBER(S201))),AND(X201&lt;&gt;"",NOT(ISNUMBER(X201)))),"Date field is not a date",IF(AND(OR(H201="Approved",H201="Approved with conditions"),OR(K201="",L201="")),"Approval evidence refs missing",IF(AND(I201="Active",H201&lt;&gt;"Approved",H201&lt;&gt;"Approved with conditions"),"Active without approved status",IF(AND(I201="Active",G201&lt;&gt;"Deployment and Operation",G201&lt;&gt;"Monitoring and Review"),"Active in wrong lifecycle stage",IF(AND(I201="Active",P201=""),"Active without UC-ID link",IF(AND(OR(J201="Yes",J201="Unsure"),M201=""),"Agent evidence ref missing",IF(AND(I201="Active",W201&lt;&gt;"Yes"),"Active without monitoring in place",IF(N201&lt;TODAY(),"Review overdue","Check refs against source")))))))))))))</f>
        <v/>
      </c>
      <c r="P201" s="24" t="n"/>
      <c r="Q201" s="24" t="n"/>
      <c r="R201" s="36" t="n"/>
      <c r="S201" s="36" t="n"/>
      <c r="T201" s="24" t="n"/>
      <c r="U201" s="24" t="n"/>
      <c r="V201" s="24" t="n"/>
      <c r="W201" s="24" t="n"/>
      <c r="X201" s="36" t="n"/>
      <c r="Y201" s="24" t="n"/>
      <c r="Z201" s="24" t="n"/>
      <c r="AA201" s="24" t="n"/>
    </row>
    <row r="202">
      <c r="A202" s="22" t="n"/>
      <c r="B202" s="22" t="n"/>
      <c r="C202" s="22" t="n"/>
      <c r="D202" s="22" t="n"/>
      <c r="E202" s="22" t="n"/>
      <c r="F202" s="22" t="n"/>
      <c r="G202" s="22" t="n"/>
      <c r="H202" s="22" t="n"/>
      <c r="I202" s="22" t="n"/>
      <c r="J202" s="22" t="n"/>
      <c r="K202" s="22" t="n"/>
      <c r="L202" s="22" t="n"/>
      <c r="M202" s="22" t="n"/>
      <c r="N202" s="35" t="n"/>
      <c r="O202" s="22">
        <f>IF(COUNTA(A202:N202,P202:AA202)=0,"",IF(TRIM(A202)="","AIR-ID missing",IF(SUMPRODUCT(--(TRIM($A$4:$A$206)=TRIM(A202)))&gt;1,"Duplicate AIR-ID",IF(OR(B202="",E202="",G202="",H202="",I202="",N202=""),"Required field missing (name, owner, stage, status or next review)",IF(NOT(ISNUMBER(N202)),"Next review is not a date",IF(OR(AND(R202&lt;&gt;"",NOT(ISNUMBER(R202))),AND(S202&lt;&gt;"",NOT(ISNUMBER(S202))),AND(X202&lt;&gt;"",NOT(ISNUMBER(X202)))),"Date field is not a date",IF(AND(OR(H202="Approved",H202="Approved with conditions"),OR(K202="",L202="")),"Approval evidence refs missing",IF(AND(I202="Active",H202&lt;&gt;"Approved",H202&lt;&gt;"Approved with conditions"),"Active without approved status",IF(AND(I202="Active",G202&lt;&gt;"Deployment and Operation",G202&lt;&gt;"Monitoring and Review"),"Active in wrong lifecycle stage",IF(AND(I202="Active",P202=""),"Active without UC-ID link",IF(AND(OR(J202="Yes",J202="Unsure"),M202=""),"Agent evidence ref missing",IF(AND(I202="Active",W202&lt;&gt;"Yes"),"Active without monitoring in place",IF(N202&lt;TODAY(),"Review overdue","Check refs against source")))))))))))))</f>
        <v/>
      </c>
      <c r="P202" s="22" t="n"/>
      <c r="Q202" s="22" t="n"/>
      <c r="R202" s="35" t="n"/>
      <c r="S202" s="35" t="n"/>
      <c r="T202" s="22" t="n"/>
      <c r="U202" s="22" t="n"/>
      <c r="V202" s="22" t="n"/>
      <c r="W202" s="22" t="n"/>
      <c r="X202" s="35" t="n"/>
      <c r="Y202" s="22" t="n"/>
      <c r="Z202" s="22" t="n"/>
      <c r="AA202" s="22" t="n"/>
    </row>
    <row r="203">
      <c r="A203" s="24" t="n"/>
      <c r="B203" s="24" t="n"/>
      <c r="C203" s="24" t="n"/>
      <c r="D203" s="24" t="n"/>
      <c r="E203" s="24" t="n"/>
      <c r="F203" s="24" t="n"/>
      <c r="G203" s="24" t="n"/>
      <c r="H203" s="24" t="n"/>
      <c r="I203" s="24" t="n"/>
      <c r="J203" s="24" t="n"/>
      <c r="K203" s="24" t="n"/>
      <c r="L203" s="24" t="n"/>
      <c r="M203" s="24" t="n"/>
      <c r="N203" s="36" t="n"/>
      <c r="O203" s="24">
        <f>IF(COUNTA(A203:N203,P203:AA203)=0,"",IF(TRIM(A203)="","AIR-ID missing",IF(SUMPRODUCT(--(TRIM($A$4:$A$206)=TRIM(A203)))&gt;1,"Duplicate AIR-ID",IF(OR(B203="",E203="",G203="",H203="",I203="",N203=""),"Required field missing (name, owner, stage, status or next review)",IF(NOT(ISNUMBER(N203)),"Next review is not a date",IF(OR(AND(R203&lt;&gt;"",NOT(ISNUMBER(R203))),AND(S203&lt;&gt;"",NOT(ISNUMBER(S203))),AND(X203&lt;&gt;"",NOT(ISNUMBER(X203)))),"Date field is not a date",IF(AND(OR(H203="Approved",H203="Approved with conditions"),OR(K203="",L203="")),"Approval evidence refs missing",IF(AND(I203="Active",H203&lt;&gt;"Approved",H203&lt;&gt;"Approved with conditions"),"Active without approved status",IF(AND(I203="Active",G203&lt;&gt;"Deployment and Operation",G203&lt;&gt;"Monitoring and Review"),"Active in wrong lifecycle stage",IF(AND(I203="Active",P203=""),"Active without UC-ID link",IF(AND(OR(J203="Yes",J203="Unsure"),M203=""),"Agent evidence ref missing",IF(AND(I203="Active",W203&lt;&gt;"Yes"),"Active without monitoring in place",IF(N203&lt;TODAY(),"Review overdue","Check refs against source")))))))))))))</f>
        <v/>
      </c>
      <c r="P203" s="24" t="n"/>
      <c r="Q203" s="24" t="n"/>
      <c r="R203" s="36" t="n"/>
      <c r="S203" s="36" t="n"/>
      <c r="T203" s="24" t="n"/>
      <c r="U203" s="24" t="n"/>
      <c r="V203" s="24" t="n"/>
      <c r="W203" s="24" t="n"/>
      <c r="X203" s="36" t="n"/>
      <c r="Y203" s="24" t="n"/>
      <c r="Z203" s="24" t="n"/>
      <c r="AA203" s="24" t="n"/>
    </row>
    <row r="204">
      <c r="A204" s="22" t="n"/>
      <c r="B204" s="22" t="n"/>
      <c r="C204" s="22" t="n"/>
      <c r="D204" s="22" t="n"/>
      <c r="E204" s="22" t="n"/>
      <c r="F204" s="22" t="n"/>
      <c r="G204" s="22" t="n"/>
      <c r="H204" s="22" t="n"/>
      <c r="I204" s="22" t="n"/>
      <c r="J204" s="22" t="n"/>
      <c r="K204" s="22" t="n"/>
      <c r="L204" s="22" t="n"/>
      <c r="M204" s="22" t="n"/>
      <c r="N204" s="35" t="n"/>
      <c r="O204" s="22">
        <f>IF(COUNTA(A204:N204,P204:AA204)=0,"",IF(TRIM(A204)="","AIR-ID missing",IF(SUMPRODUCT(--(TRIM($A$4:$A$206)=TRIM(A204)))&gt;1,"Duplicate AIR-ID",IF(OR(B204="",E204="",G204="",H204="",I204="",N204=""),"Required field missing (name, owner, stage, status or next review)",IF(NOT(ISNUMBER(N204)),"Next review is not a date",IF(OR(AND(R204&lt;&gt;"",NOT(ISNUMBER(R204))),AND(S204&lt;&gt;"",NOT(ISNUMBER(S204))),AND(X204&lt;&gt;"",NOT(ISNUMBER(X204)))),"Date field is not a date",IF(AND(OR(H204="Approved",H204="Approved with conditions"),OR(K204="",L204="")),"Approval evidence refs missing",IF(AND(I204="Active",H204&lt;&gt;"Approved",H204&lt;&gt;"Approved with conditions"),"Active without approved status",IF(AND(I204="Active",G204&lt;&gt;"Deployment and Operation",G204&lt;&gt;"Monitoring and Review"),"Active in wrong lifecycle stage",IF(AND(I204="Active",P204=""),"Active without UC-ID link",IF(AND(OR(J204="Yes",J204="Unsure"),M204=""),"Agent evidence ref missing",IF(AND(I204="Active",W204&lt;&gt;"Yes"),"Active without monitoring in place",IF(N204&lt;TODAY(),"Review overdue","Check refs against source")))))))))))))</f>
        <v/>
      </c>
      <c r="P204" s="22" t="n"/>
      <c r="Q204" s="22" t="n"/>
      <c r="R204" s="35" t="n"/>
      <c r="S204" s="35" t="n"/>
      <c r="T204" s="22" t="n"/>
      <c r="U204" s="22" t="n"/>
      <c r="V204" s="22" t="n"/>
      <c r="W204" s="22" t="n"/>
      <c r="X204" s="35" t="n"/>
      <c r="Y204" s="22" t="n"/>
      <c r="Z204" s="22" t="n"/>
      <c r="AA204" s="22" t="n"/>
    </row>
    <row r="205">
      <c r="A205" s="24" t="n"/>
      <c r="B205" s="24" t="n"/>
      <c r="C205" s="24" t="n"/>
      <c r="D205" s="24" t="n"/>
      <c r="E205" s="24" t="n"/>
      <c r="F205" s="24" t="n"/>
      <c r="G205" s="24" t="n"/>
      <c r="H205" s="24" t="n"/>
      <c r="I205" s="24" t="n"/>
      <c r="J205" s="24" t="n"/>
      <c r="K205" s="24" t="n"/>
      <c r="L205" s="24" t="n"/>
      <c r="M205" s="24" t="n"/>
      <c r="N205" s="36" t="n"/>
      <c r="O205" s="24">
        <f>IF(COUNTA(A205:N205,P205:AA205)=0,"",IF(TRIM(A205)="","AIR-ID missing",IF(SUMPRODUCT(--(TRIM($A$4:$A$206)=TRIM(A205)))&gt;1,"Duplicate AIR-ID",IF(OR(B205="",E205="",G205="",H205="",I205="",N205=""),"Required field missing (name, owner, stage, status or next review)",IF(NOT(ISNUMBER(N205)),"Next review is not a date",IF(OR(AND(R205&lt;&gt;"",NOT(ISNUMBER(R205))),AND(S205&lt;&gt;"",NOT(ISNUMBER(S205))),AND(X205&lt;&gt;"",NOT(ISNUMBER(X205)))),"Date field is not a date",IF(AND(OR(H205="Approved",H205="Approved with conditions"),OR(K205="",L205="")),"Approval evidence refs missing",IF(AND(I205="Active",H205&lt;&gt;"Approved",H205&lt;&gt;"Approved with conditions"),"Active without approved status",IF(AND(I205="Active",G205&lt;&gt;"Deployment and Operation",G205&lt;&gt;"Monitoring and Review"),"Active in wrong lifecycle stage",IF(AND(I205="Active",P205=""),"Active without UC-ID link",IF(AND(OR(J205="Yes",J205="Unsure"),M205=""),"Agent evidence ref missing",IF(AND(I205="Active",W205&lt;&gt;"Yes"),"Active without monitoring in place",IF(N205&lt;TODAY(),"Review overdue","Check refs against source")))))))))))))</f>
        <v/>
      </c>
      <c r="P205" s="24" t="n"/>
      <c r="Q205" s="24" t="n"/>
      <c r="R205" s="36" t="n"/>
      <c r="S205" s="36" t="n"/>
      <c r="T205" s="24" t="n"/>
      <c r="U205" s="24" t="n"/>
      <c r="V205" s="24" t="n"/>
      <c r="W205" s="24" t="n"/>
      <c r="X205" s="36" t="n"/>
      <c r="Y205" s="24" t="n"/>
      <c r="Z205" s="24" t="n"/>
      <c r="AA205" s="24" t="n"/>
    </row>
    <row r="206">
      <c r="A206" s="22" t="n"/>
      <c r="B206" s="22" t="n"/>
      <c r="C206" s="22" t="n"/>
      <c r="D206" s="22" t="n"/>
      <c r="E206" s="22" t="n"/>
      <c r="F206" s="22" t="n"/>
      <c r="G206" s="22" t="n"/>
      <c r="H206" s="22" t="n"/>
      <c r="I206" s="22" t="n"/>
      <c r="J206" s="22" t="n"/>
      <c r="K206" s="22" t="n"/>
      <c r="L206" s="22" t="n"/>
      <c r="M206" s="22" t="n"/>
      <c r="N206" s="35" t="n"/>
      <c r="O206" s="22">
        <f>IF(COUNTA(A206:N206,P206:AA206)=0,"",IF(TRIM(A206)="","AIR-ID missing",IF(SUMPRODUCT(--(TRIM($A$4:$A$206)=TRIM(A206)))&gt;1,"Duplicate AIR-ID",IF(OR(B206="",E206="",G206="",H206="",I206="",N206=""),"Required field missing (name, owner, stage, status or next review)",IF(NOT(ISNUMBER(N206)),"Next review is not a date",IF(OR(AND(R206&lt;&gt;"",NOT(ISNUMBER(R206))),AND(S206&lt;&gt;"",NOT(ISNUMBER(S206))),AND(X206&lt;&gt;"",NOT(ISNUMBER(X206)))),"Date field is not a date",IF(AND(OR(H206="Approved",H206="Approved with conditions"),OR(K206="",L206="")),"Approval evidence refs missing",IF(AND(I206="Active",H206&lt;&gt;"Approved",H206&lt;&gt;"Approved with conditions"),"Active without approved status",IF(AND(I206="Active",G206&lt;&gt;"Deployment and Operation",G206&lt;&gt;"Monitoring and Review"),"Active in wrong lifecycle stage",IF(AND(I206="Active",P206=""),"Active without UC-ID link",IF(AND(OR(J206="Yes",J206="Unsure"),M206=""),"Agent evidence ref missing",IF(AND(I206="Active",W206&lt;&gt;"Yes"),"Active without monitoring in place",IF(N206&lt;TODAY(),"Review overdue","Check refs against source")))))))))))))</f>
        <v/>
      </c>
      <c r="P206" s="22" t="n"/>
      <c r="Q206" s="22" t="n"/>
      <c r="R206" s="35" t="n"/>
      <c r="S206" s="35" t="n"/>
      <c r="T206" s="22" t="n"/>
      <c r="U206" s="22" t="n"/>
      <c r="V206" s="22" t="n"/>
      <c r="W206" s="22" t="n"/>
      <c r="X206" s="35" t="n"/>
      <c r="Y206" s="22" t="n"/>
      <c r="Z206" s="22" t="n"/>
      <c r="AA206" s="22" t="n"/>
    </row>
  </sheetData>
  <mergeCells count="2">
    <mergeCell ref="A1:O1"/>
    <mergeCell ref="A2:O2"/>
  </mergeCells>
  <conditionalFormatting sqref="O4:O206">
    <cfRule type="cellIs" priority="1" operator="equal" dxfId="0">
      <formula>"Check refs against source"</formula>
    </cfRule>
    <cfRule type="expression" priority="2" dxfId="1">
      <formula>AND($O4&lt;&gt;"",$O4&lt;&gt;"Check refs against source")</formula>
    </cfRule>
  </conditionalFormatting>
  <dataValidations count="14">
    <dataValidation sqref="G4:G206" showDropDown="0" showInputMessage="0" showErrorMessage="1" allowBlank="1" errorTitle="Controlled value" error="Choose a value from the list." type="list">
      <formula1>"Idea and Innovation,Registration and Intake,Risk Assessment and Review,Approval and Assurance,Deployment and Operation,Monitoring and Review,Retirement and Decommissioning"</formula1>
    </dataValidation>
    <dataValidation sqref="H4:H206" showDropDown="0" showInputMessage="0" showErrorMessage="1" allowBlank="1" errorTitle="Controlled value" error="Choose a value from the list." type="list">
      <formula1>"Pending,Approved,Approved with conditions,Rejected,On hold,Suspended,Superseded"</formula1>
    </dataValidation>
    <dataValidation sqref="I4:I206" showDropDown="0" showInputMessage="0" showErrorMessage="1" allowBlank="1" errorTitle="Controlled value" error="Choose a value from the list." type="list">
      <formula1>"Not live,Active,Suspended,Decommissioned"</formula1>
    </dataValidation>
    <dataValidation sqref="J4:J206" showDropDown="0" showInputMessage="0" showErrorMessage="1" allowBlank="1" errorTitle="Controlled value" error="Choose a value from the list." type="list">
      <formula1>"Yes,No,Unsure"</formula1>
    </dataValidation>
    <dataValidation sqref="R4:R206" showDropDown="0" showInputMessage="0" showErrorMessage="1" allowBlank="1" errorTitle="Controlled value" error="Enter a date." type="date" errorStyle="stop" operator="greaterThan">
      <formula1>0</formula1>
    </dataValidation>
    <dataValidation sqref="S4:S206" showDropDown="0" showInputMessage="0" showErrorMessage="1" allowBlank="1" errorTitle="Controlled value" error="Enter a date." type="date" errorStyle="stop" operator="greaterThan">
      <formula1>0</formula1>
    </dataValidation>
    <dataValidation sqref="X4:X206" showDropDown="0" showInputMessage="0" showErrorMessage="1" allowBlank="1" errorTitle="Controlled value" error="Enter a date." type="date" errorStyle="stop" operator="greaterThan">
      <formula1>0</formula1>
    </dataValidation>
    <dataValidation sqref="T4:T206" showDropDown="0" showInputMessage="0" showErrorMessage="1" allowBlank="1" type="list" errorStyle="stop">
      <formula1>"Yes — special category,Yes — personal data,No,Unsure"</formula1>
    </dataValidation>
    <dataValidation sqref="U4:U206" showDropDown="0" showInputMessage="1" showErrorMessage="1" allowBlank="1" promptTitle="ATRS" prompt="ATRS is recommended (voluntary) for local authorities unless the Council decides otherwise." type="list" errorStyle="stop">
      <formula1>"Required,Recommended,Not required,To assess"</formula1>
    </dataValidation>
    <dataValidation sqref="V4:V206" showDropDown="0" showInputMessage="0" showErrorMessage="1" allowBlank="1" type="list" errorStyle="stop">
      <formula1>"Complete,In progress,Not started,Not applicable"</formula1>
    </dataValidation>
    <dataValidation sqref="W4:W206" showDropDown="0" showInputMessage="0" showErrorMessage="1" allowBlank="1" type="list" errorStyle="stop">
      <formula1>"Yes,No,Not yet live"</formula1>
    </dataValidation>
    <dataValidation sqref="Y4:Y206" showDropDown="0" showInputMessage="0" showErrorMessage="1" allowBlank="1" type="list" errorStyle="stop">
      <formula1>"Light-touch,Low,Medium,High,Critical,To be determined"</formula1>
    </dataValidation>
    <dataValidation sqref="Z4:Z206" showDropDown="0" showInputMessage="0" showErrorMessage="1" allowBlank="1" type="list" errorStyle="stop">
      <formula1>"New,Retrospective,Aggregated"</formula1>
    </dataValidation>
    <dataValidation sqref="A4:A206" showDropDown="0" showInputMessage="0" showErrorMessage="1" allowBlank="1" errorTitle="Controlled value" error="Proposed AIR-ID format is AIR-nnnn (for Council confirmation). Continue only if the Council uses another format." type="custom" errorStyle="warning">
      <formula1>AND(LEFT(A4,4)="AIR-",LEN(TRIM(A4))=8)</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V206"/>
  <sheetViews>
    <sheetView showGridLines="0" workbookViewId="0">
      <pane xSplit="2" ySplit="3" topLeftCell="C4" activePane="bottomRight" state="frozen"/>
      <selection activeCell="A1" sqref="A1"/>
    </sheetView>
  </sheetViews>
  <sheetFormatPr baseColWidth="8" defaultRowHeight="15"/>
  <cols>
    <col width="17" customWidth="1" min="1" max="1"/>
    <col width="25" customWidth="1" min="2" max="2"/>
    <col width="25" customWidth="1" min="3" max="3"/>
    <col width="18" customWidth="1" min="4" max="4"/>
    <col width="25" customWidth="1" min="5" max="5"/>
    <col width="22" customWidth="1" min="6" max="6"/>
    <col width="25" customWidth="1" min="7" max="7"/>
    <col width="28" customWidth="1" min="8" max="8"/>
    <col width="28" customWidth="1" min="9" max="9"/>
    <col width="36" customWidth="1" min="10" max="10"/>
    <col width="26" customWidth="1" min="11" max="11"/>
    <col width="26" customWidth="1" min="12" max="12"/>
    <col width="25" customWidth="1" min="13" max="13"/>
    <col width="17" customWidth="1" min="14" max="14"/>
    <col width="16" customWidth="1" min="15" max="15"/>
    <col width="16" customWidth="1" min="16" max="16"/>
    <col width="16" customWidth="1" min="17" max="17"/>
    <col width="16" customWidth="1" min="18" max="18"/>
    <col width="40" customWidth="1" min="19" max="19"/>
    <col width="24" customWidth="1" min="20" max="20"/>
    <col width="15" customWidth="1" min="21" max="21"/>
    <col width="40" customWidth="1" min="22" max="22"/>
  </cols>
  <sheetData>
    <row r="1" ht="34" customHeight="1">
      <c r="A1" s="19" t="inlineStr">
        <is>
          <t>AIG-INV-04 / ASSESSMENT SUMMARY</t>
        </is>
      </c>
    </row>
    <row r="2" ht="43" customHeight="1">
      <c r="A2" s="20" t="inlineStr">
        <is>
          <t>A current, brief pointer to the existing AIG-ASS-01, AIG-ASS-02, AIG-AGT-02/AIG-AGT-03 and specialist records. This is not a new assessment or a gate decision. One row per AIR-ID; verify against the source. Risk values are system-level summaries (highest applicable UC-ID or the shared baseline); per-UC-ID values stay in AIG-ASS-02 and the UC-ID current view.</t>
        </is>
      </c>
    </row>
    <row r="3" ht="33" customHeight="1">
      <c r="A3" s="21" t="inlineStr">
        <is>
          <t>AIR-ID</t>
        </is>
      </c>
      <c r="B3" s="21" t="inlineStr">
        <is>
          <t>Effective Governance Priority (AIG-ASS-01, after any authorised override)</t>
        </is>
      </c>
      <c r="C3" s="21" t="inlineStr">
        <is>
          <t>AIG-ASS-01 ref / date</t>
        </is>
      </c>
      <c r="D3" s="21" t="inlineStr">
        <is>
          <t>Risk tier (AIG-ASS-02; highest applicable UC-ID or baseline)</t>
        </is>
      </c>
      <c r="E3" s="21" t="inlineStr">
        <is>
          <t>AIG-ASS-02 ref / date</t>
        </is>
      </c>
      <c r="F3" s="21" t="inlineStr">
        <is>
          <t>Agency tier (AIG-AGT-02/AIG-AGT-03)</t>
        </is>
      </c>
      <c r="G3" s="21" t="inlineStr">
        <is>
          <t>AIG-AGT-02/AIG-AGT-03 ref / date</t>
        </is>
      </c>
      <c r="H3" s="21" t="inlineStr">
        <is>
          <t>Privacy / DPIA position</t>
        </is>
      </c>
      <c r="I3" s="21" t="inlineStr">
        <is>
          <t>Equality / EIA position</t>
        </is>
      </c>
      <c r="J3" s="21" t="inlineStr">
        <is>
          <t>Other specialist finding refs</t>
        </is>
      </c>
      <c r="K3" s="21" t="inlineStr">
        <is>
          <t>AIG-AGT-04 Agent Record ref</t>
        </is>
      </c>
      <c r="L3" s="21" t="inlineStr">
        <is>
          <t>AIG-AGT-05 Authority Graph ref</t>
        </is>
      </c>
      <c r="M3" s="21" t="inlineStr">
        <is>
          <t>AIG-OPS-02 Monitoring ref</t>
        </is>
      </c>
      <c r="N3" s="21" t="inlineStr">
        <is>
          <t>As-at date</t>
        </is>
      </c>
      <c r="O3" s="21" t="inlineStr">
        <is>
          <t>AGPI score (0–100, AIG-ASS-01)</t>
        </is>
      </c>
      <c r="P3" s="21" t="inlineStr">
        <is>
          <t>Inherent risk score (L × I)</t>
        </is>
      </c>
      <c r="Q3" s="21" t="inlineStr">
        <is>
          <t>Control effectiveness (1–5)</t>
        </is>
      </c>
      <c r="R3" s="21" t="inlineStr">
        <is>
          <t>Residual risk score</t>
        </is>
      </c>
      <c r="S3" s="21" t="inlineStr">
        <is>
          <t>Decisions about individuals — Art 22A flag / AIG-OPS-04 tier</t>
        </is>
      </c>
      <c r="T3" s="21" t="inlineStr">
        <is>
          <t>Latest priority-override Event ID (AIG-DEC-04)</t>
        </is>
      </c>
      <c r="U3" s="21" t="inlineStr">
        <is>
          <t>Reconciled on</t>
        </is>
      </c>
      <c r="V3" s="21" t="inlineStr">
        <is>
          <t>Row check</t>
        </is>
      </c>
    </row>
    <row r="4">
      <c r="A4" s="22" t="n"/>
      <c r="B4" s="22" t="n"/>
      <c r="C4" s="22" t="n"/>
      <c r="D4" s="22" t="n"/>
      <c r="E4" s="22" t="n"/>
      <c r="F4" s="22" t="n"/>
      <c r="G4" s="22" t="n"/>
      <c r="H4" s="22" t="n"/>
      <c r="I4" s="22" t="n"/>
      <c r="J4" s="22" t="n"/>
      <c r="K4" s="22" t="n"/>
      <c r="L4" s="22" t="n"/>
      <c r="M4" s="22" t="n"/>
      <c r="N4" s="35" t="n"/>
      <c r="O4" s="22" t="n"/>
      <c r="P4" s="22" t="n"/>
      <c r="Q4" s="22" t="n"/>
      <c r="R4" s="22" t="n"/>
      <c r="S4" s="22" t="n"/>
      <c r="T4" s="22" t="n"/>
      <c r="U4" s="35" t="n"/>
      <c r="V4" s="22">
        <f>IF(COUNTA(A4:U4)=0,"",IF(A4="","AIR-ID missing",IF(COUNTIF($A$4:$A$206,A4)&gt;1,"Duplicate AIR-ID (one row per AIR-ID)",IF(COUNTIF('AI Register'!$A$4:$A$206,A4)=0,"AIR-ID not in AI Register",IF(OR(AND(N4&lt;&gt;"",NOT(ISNUMBER(N4))),AND(U4&lt;&gt;"",NOT(ISNUMBER(U4)))),"Date field is not a date",IF(OR(S4="",S4="Unsure — assess"),"Art 22A / AIG-OPS-04 tier to assess","Check against source"))))))</f>
        <v/>
      </c>
    </row>
    <row r="5">
      <c r="A5" s="24" t="n"/>
      <c r="B5" s="24" t="n"/>
      <c r="C5" s="24" t="n"/>
      <c r="D5" s="24" t="n"/>
      <c r="E5" s="24" t="n"/>
      <c r="F5" s="24" t="n"/>
      <c r="G5" s="24" t="n"/>
      <c r="H5" s="24" t="n"/>
      <c r="I5" s="24" t="n"/>
      <c r="J5" s="24" t="n"/>
      <c r="K5" s="24" t="n"/>
      <c r="L5" s="24" t="n"/>
      <c r="M5" s="24" t="n"/>
      <c r="N5" s="36" t="n"/>
      <c r="O5" s="24" t="n"/>
      <c r="P5" s="24" t="n"/>
      <c r="Q5" s="24" t="n"/>
      <c r="R5" s="24" t="n"/>
      <c r="S5" s="24" t="n"/>
      <c r="T5" s="24" t="n"/>
      <c r="U5" s="36" t="n"/>
      <c r="V5" s="24">
        <f>IF(COUNTA(A5:U5)=0,"",IF(A5="","AIR-ID missing",IF(COUNTIF($A$4:$A$206,A5)&gt;1,"Duplicate AIR-ID (one row per AIR-ID)",IF(COUNTIF('AI Register'!$A$4:$A$206,A5)=0,"AIR-ID not in AI Register",IF(OR(AND(N5&lt;&gt;"",NOT(ISNUMBER(N5))),AND(U5&lt;&gt;"",NOT(ISNUMBER(U5)))),"Date field is not a date",IF(OR(S5="",S5="Unsure — assess"),"Art 22A / AIG-OPS-04 tier to assess","Check against source"))))))</f>
        <v/>
      </c>
    </row>
    <row r="6">
      <c r="A6" s="22" t="n"/>
      <c r="B6" s="22" t="n"/>
      <c r="C6" s="22" t="n"/>
      <c r="D6" s="22" t="n"/>
      <c r="E6" s="22" t="n"/>
      <c r="F6" s="22" t="n"/>
      <c r="G6" s="22" t="n"/>
      <c r="H6" s="22" t="n"/>
      <c r="I6" s="22" t="n"/>
      <c r="J6" s="22" t="n"/>
      <c r="K6" s="22" t="n"/>
      <c r="L6" s="22" t="n"/>
      <c r="M6" s="22" t="n"/>
      <c r="N6" s="35" t="n"/>
      <c r="O6" s="22" t="n"/>
      <c r="P6" s="22" t="n"/>
      <c r="Q6" s="22" t="n"/>
      <c r="R6" s="22" t="n"/>
      <c r="S6" s="22" t="n"/>
      <c r="T6" s="22" t="n"/>
      <c r="U6" s="35" t="n"/>
      <c r="V6" s="22">
        <f>IF(COUNTA(A6:U6)=0,"",IF(A6="","AIR-ID missing",IF(COUNTIF($A$4:$A$206,A6)&gt;1,"Duplicate AIR-ID (one row per AIR-ID)",IF(COUNTIF('AI Register'!$A$4:$A$206,A6)=0,"AIR-ID not in AI Register",IF(OR(AND(N6&lt;&gt;"",NOT(ISNUMBER(N6))),AND(U6&lt;&gt;"",NOT(ISNUMBER(U6)))),"Date field is not a date",IF(OR(S6="",S6="Unsure — assess"),"Art 22A / AIG-OPS-04 tier to assess","Check against source"))))))</f>
        <v/>
      </c>
    </row>
    <row r="7">
      <c r="A7" s="24" t="n"/>
      <c r="B7" s="24" t="n"/>
      <c r="C7" s="24" t="n"/>
      <c r="D7" s="24" t="n"/>
      <c r="E7" s="24" t="n"/>
      <c r="F7" s="24" t="n"/>
      <c r="G7" s="24" t="n"/>
      <c r="H7" s="24" t="n"/>
      <c r="I7" s="24" t="n"/>
      <c r="J7" s="24" t="n"/>
      <c r="K7" s="24" t="n"/>
      <c r="L7" s="24" t="n"/>
      <c r="M7" s="24" t="n"/>
      <c r="N7" s="36" t="n"/>
      <c r="O7" s="24" t="n"/>
      <c r="P7" s="24" t="n"/>
      <c r="Q7" s="24" t="n"/>
      <c r="R7" s="24" t="n"/>
      <c r="S7" s="24" t="n"/>
      <c r="T7" s="24" t="n"/>
      <c r="U7" s="36" t="n"/>
      <c r="V7" s="24">
        <f>IF(COUNTA(A7:U7)=0,"",IF(A7="","AIR-ID missing",IF(COUNTIF($A$4:$A$206,A7)&gt;1,"Duplicate AIR-ID (one row per AIR-ID)",IF(COUNTIF('AI Register'!$A$4:$A$206,A7)=0,"AIR-ID not in AI Register",IF(OR(AND(N7&lt;&gt;"",NOT(ISNUMBER(N7))),AND(U7&lt;&gt;"",NOT(ISNUMBER(U7)))),"Date field is not a date",IF(OR(S7="",S7="Unsure — assess"),"Art 22A / AIG-OPS-04 tier to assess","Check against source"))))))</f>
        <v/>
      </c>
    </row>
    <row r="8">
      <c r="A8" s="22" t="n"/>
      <c r="B8" s="22" t="n"/>
      <c r="C8" s="22" t="n"/>
      <c r="D8" s="22" t="n"/>
      <c r="E8" s="22" t="n"/>
      <c r="F8" s="22" t="n"/>
      <c r="G8" s="22" t="n"/>
      <c r="H8" s="22" t="n"/>
      <c r="I8" s="22" t="n"/>
      <c r="J8" s="22" t="n"/>
      <c r="K8" s="22" t="n"/>
      <c r="L8" s="22" t="n"/>
      <c r="M8" s="22" t="n"/>
      <c r="N8" s="35" t="n"/>
      <c r="O8" s="22" t="n"/>
      <c r="P8" s="22" t="n"/>
      <c r="Q8" s="22" t="n"/>
      <c r="R8" s="22" t="n"/>
      <c r="S8" s="22" t="n"/>
      <c r="T8" s="22" t="n"/>
      <c r="U8" s="35" t="n"/>
      <c r="V8" s="22">
        <f>IF(COUNTA(A8:U8)=0,"",IF(A8="","AIR-ID missing",IF(COUNTIF($A$4:$A$206,A8)&gt;1,"Duplicate AIR-ID (one row per AIR-ID)",IF(COUNTIF('AI Register'!$A$4:$A$206,A8)=0,"AIR-ID not in AI Register",IF(OR(AND(N8&lt;&gt;"",NOT(ISNUMBER(N8))),AND(U8&lt;&gt;"",NOT(ISNUMBER(U8)))),"Date field is not a date",IF(OR(S8="",S8="Unsure — assess"),"Art 22A / AIG-OPS-04 tier to assess","Check against source"))))))</f>
        <v/>
      </c>
    </row>
    <row r="9">
      <c r="A9" s="24" t="n"/>
      <c r="B9" s="24" t="n"/>
      <c r="C9" s="24" t="n"/>
      <c r="D9" s="24" t="n"/>
      <c r="E9" s="24" t="n"/>
      <c r="F9" s="24" t="n"/>
      <c r="G9" s="24" t="n"/>
      <c r="H9" s="24" t="n"/>
      <c r="I9" s="24" t="n"/>
      <c r="J9" s="24" t="n"/>
      <c r="K9" s="24" t="n"/>
      <c r="L9" s="24" t="n"/>
      <c r="M9" s="24" t="n"/>
      <c r="N9" s="36" t="n"/>
      <c r="O9" s="24" t="n"/>
      <c r="P9" s="24" t="n"/>
      <c r="Q9" s="24" t="n"/>
      <c r="R9" s="24" t="n"/>
      <c r="S9" s="24" t="n"/>
      <c r="T9" s="24" t="n"/>
      <c r="U9" s="36" t="n"/>
      <c r="V9" s="24">
        <f>IF(COUNTA(A9:U9)=0,"",IF(A9="","AIR-ID missing",IF(COUNTIF($A$4:$A$206,A9)&gt;1,"Duplicate AIR-ID (one row per AIR-ID)",IF(COUNTIF('AI Register'!$A$4:$A$206,A9)=0,"AIR-ID not in AI Register",IF(OR(AND(N9&lt;&gt;"",NOT(ISNUMBER(N9))),AND(U9&lt;&gt;"",NOT(ISNUMBER(U9)))),"Date field is not a date",IF(OR(S9="",S9="Unsure — assess"),"Art 22A / AIG-OPS-04 tier to assess","Check against source"))))))</f>
        <v/>
      </c>
    </row>
    <row r="10">
      <c r="A10" s="22" t="n"/>
      <c r="B10" s="22" t="n"/>
      <c r="C10" s="22" t="n"/>
      <c r="D10" s="22" t="n"/>
      <c r="E10" s="22" t="n"/>
      <c r="F10" s="22" t="n"/>
      <c r="G10" s="22" t="n"/>
      <c r="H10" s="22" t="n"/>
      <c r="I10" s="22" t="n"/>
      <c r="J10" s="22" t="n"/>
      <c r="K10" s="22" t="n"/>
      <c r="L10" s="22" t="n"/>
      <c r="M10" s="22" t="n"/>
      <c r="N10" s="35" t="n"/>
      <c r="O10" s="22" t="n"/>
      <c r="P10" s="22" t="n"/>
      <c r="Q10" s="22" t="n"/>
      <c r="R10" s="22" t="n"/>
      <c r="S10" s="22" t="n"/>
      <c r="T10" s="22" t="n"/>
      <c r="U10" s="35" t="n"/>
      <c r="V10" s="22">
        <f>IF(COUNTA(A10:U10)=0,"",IF(A10="","AIR-ID missing",IF(COUNTIF($A$4:$A$206,A10)&gt;1,"Duplicate AIR-ID (one row per AIR-ID)",IF(COUNTIF('AI Register'!$A$4:$A$206,A10)=0,"AIR-ID not in AI Register",IF(OR(AND(N10&lt;&gt;"",NOT(ISNUMBER(N10))),AND(U10&lt;&gt;"",NOT(ISNUMBER(U10)))),"Date field is not a date",IF(OR(S10="",S10="Unsure — assess"),"Art 22A / AIG-OPS-04 tier to assess","Check against source"))))))</f>
        <v/>
      </c>
    </row>
    <row r="11">
      <c r="A11" s="24" t="n"/>
      <c r="B11" s="24" t="n"/>
      <c r="C11" s="24" t="n"/>
      <c r="D11" s="24" t="n"/>
      <c r="E11" s="24" t="n"/>
      <c r="F11" s="24" t="n"/>
      <c r="G11" s="24" t="n"/>
      <c r="H11" s="24" t="n"/>
      <c r="I11" s="24" t="n"/>
      <c r="J11" s="24" t="n"/>
      <c r="K11" s="24" t="n"/>
      <c r="L11" s="24" t="n"/>
      <c r="M11" s="24" t="n"/>
      <c r="N11" s="36" t="n"/>
      <c r="O11" s="24" t="n"/>
      <c r="P11" s="24" t="n"/>
      <c r="Q11" s="24" t="n"/>
      <c r="R11" s="24" t="n"/>
      <c r="S11" s="24" t="n"/>
      <c r="T11" s="24" t="n"/>
      <c r="U11" s="36" t="n"/>
      <c r="V11" s="24">
        <f>IF(COUNTA(A11:U11)=0,"",IF(A11="","AIR-ID missing",IF(COUNTIF($A$4:$A$206,A11)&gt;1,"Duplicate AIR-ID (one row per AIR-ID)",IF(COUNTIF('AI Register'!$A$4:$A$206,A11)=0,"AIR-ID not in AI Register",IF(OR(AND(N11&lt;&gt;"",NOT(ISNUMBER(N11))),AND(U11&lt;&gt;"",NOT(ISNUMBER(U11)))),"Date field is not a date",IF(OR(S11="",S11="Unsure — assess"),"Art 22A / AIG-OPS-04 tier to assess","Check against source"))))))</f>
        <v/>
      </c>
    </row>
    <row r="12">
      <c r="A12" s="22" t="n"/>
      <c r="B12" s="22" t="n"/>
      <c r="C12" s="22" t="n"/>
      <c r="D12" s="22" t="n"/>
      <c r="E12" s="22" t="n"/>
      <c r="F12" s="22" t="n"/>
      <c r="G12" s="22" t="n"/>
      <c r="H12" s="22" t="n"/>
      <c r="I12" s="22" t="n"/>
      <c r="J12" s="22" t="n"/>
      <c r="K12" s="22" t="n"/>
      <c r="L12" s="22" t="n"/>
      <c r="M12" s="22" t="n"/>
      <c r="N12" s="35" t="n"/>
      <c r="O12" s="22" t="n"/>
      <c r="P12" s="22" t="n"/>
      <c r="Q12" s="22" t="n"/>
      <c r="R12" s="22" t="n"/>
      <c r="S12" s="22" t="n"/>
      <c r="T12" s="22" t="n"/>
      <c r="U12" s="35" t="n"/>
      <c r="V12" s="22">
        <f>IF(COUNTA(A12:U12)=0,"",IF(A12="","AIR-ID missing",IF(COUNTIF($A$4:$A$206,A12)&gt;1,"Duplicate AIR-ID (one row per AIR-ID)",IF(COUNTIF('AI Register'!$A$4:$A$206,A12)=0,"AIR-ID not in AI Register",IF(OR(AND(N12&lt;&gt;"",NOT(ISNUMBER(N12))),AND(U12&lt;&gt;"",NOT(ISNUMBER(U12)))),"Date field is not a date",IF(OR(S12="",S12="Unsure — assess"),"Art 22A / AIG-OPS-04 tier to assess","Check against source"))))))</f>
        <v/>
      </c>
    </row>
    <row r="13">
      <c r="A13" s="24" t="n"/>
      <c r="B13" s="24" t="n"/>
      <c r="C13" s="24" t="n"/>
      <c r="D13" s="24" t="n"/>
      <c r="E13" s="24" t="n"/>
      <c r="F13" s="24" t="n"/>
      <c r="G13" s="24" t="n"/>
      <c r="H13" s="24" t="n"/>
      <c r="I13" s="24" t="n"/>
      <c r="J13" s="24" t="n"/>
      <c r="K13" s="24" t="n"/>
      <c r="L13" s="24" t="n"/>
      <c r="M13" s="24" t="n"/>
      <c r="N13" s="36" t="n"/>
      <c r="O13" s="24" t="n"/>
      <c r="P13" s="24" t="n"/>
      <c r="Q13" s="24" t="n"/>
      <c r="R13" s="24" t="n"/>
      <c r="S13" s="24" t="n"/>
      <c r="T13" s="24" t="n"/>
      <c r="U13" s="36" t="n"/>
      <c r="V13" s="24">
        <f>IF(COUNTA(A13:U13)=0,"",IF(A13="","AIR-ID missing",IF(COUNTIF($A$4:$A$206,A13)&gt;1,"Duplicate AIR-ID (one row per AIR-ID)",IF(COUNTIF('AI Register'!$A$4:$A$206,A13)=0,"AIR-ID not in AI Register",IF(OR(AND(N13&lt;&gt;"",NOT(ISNUMBER(N13))),AND(U13&lt;&gt;"",NOT(ISNUMBER(U13)))),"Date field is not a date",IF(OR(S13="",S13="Unsure — assess"),"Art 22A / AIG-OPS-04 tier to assess","Check against source"))))))</f>
        <v/>
      </c>
    </row>
    <row r="14">
      <c r="A14" s="22" t="n"/>
      <c r="B14" s="22" t="n"/>
      <c r="C14" s="22" t="n"/>
      <c r="D14" s="22" t="n"/>
      <c r="E14" s="22" t="n"/>
      <c r="F14" s="22" t="n"/>
      <c r="G14" s="22" t="n"/>
      <c r="H14" s="22" t="n"/>
      <c r="I14" s="22" t="n"/>
      <c r="J14" s="22" t="n"/>
      <c r="K14" s="22" t="n"/>
      <c r="L14" s="22" t="n"/>
      <c r="M14" s="22" t="n"/>
      <c r="N14" s="35" t="n"/>
      <c r="O14" s="22" t="n"/>
      <c r="P14" s="22" t="n"/>
      <c r="Q14" s="22" t="n"/>
      <c r="R14" s="22" t="n"/>
      <c r="S14" s="22" t="n"/>
      <c r="T14" s="22" t="n"/>
      <c r="U14" s="35" t="n"/>
      <c r="V14" s="22">
        <f>IF(COUNTA(A14:U14)=0,"",IF(A14="","AIR-ID missing",IF(COUNTIF($A$4:$A$206,A14)&gt;1,"Duplicate AIR-ID (one row per AIR-ID)",IF(COUNTIF('AI Register'!$A$4:$A$206,A14)=0,"AIR-ID not in AI Register",IF(OR(AND(N14&lt;&gt;"",NOT(ISNUMBER(N14))),AND(U14&lt;&gt;"",NOT(ISNUMBER(U14)))),"Date field is not a date",IF(OR(S14="",S14="Unsure — assess"),"Art 22A / AIG-OPS-04 tier to assess","Check against source"))))))</f>
        <v/>
      </c>
    </row>
    <row r="15">
      <c r="A15" s="24" t="n"/>
      <c r="B15" s="24" t="n"/>
      <c r="C15" s="24" t="n"/>
      <c r="D15" s="24" t="n"/>
      <c r="E15" s="24" t="n"/>
      <c r="F15" s="24" t="n"/>
      <c r="G15" s="24" t="n"/>
      <c r="H15" s="24" t="n"/>
      <c r="I15" s="24" t="n"/>
      <c r="J15" s="24" t="n"/>
      <c r="K15" s="24" t="n"/>
      <c r="L15" s="24" t="n"/>
      <c r="M15" s="24" t="n"/>
      <c r="N15" s="36" t="n"/>
      <c r="O15" s="24" t="n"/>
      <c r="P15" s="24" t="n"/>
      <c r="Q15" s="24" t="n"/>
      <c r="R15" s="24" t="n"/>
      <c r="S15" s="24" t="n"/>
      <c r="T15" s="24" t="n"/>
      <c r="U15" s="36" t="n"/>
      <c r="V15" s="24">
        <f>IF(COUNTA(A15:U15)=0,"",IF(A15="","AIR-ID missing",IF(COUNTIF($A$4:$A$206,A15)&gt;1,"Duplicate AIR-ID (one row per AIR-ID)",IF(COUNTIF('AI Register'!$A$4:$A$206,A15)=0,"AIR-ID not in AI Register",IF(OR(AND(N15&lt;&gt;"",NOT(ISNUMBER(N15))),AND(U15&lt;&gt;"",NOT(ISNUMBER(U15)))),"Date field is not a date",IF(OR(S15="",S15="Unsure — assess"),"Art 22A / AIG-OPS-04 tier to assess","Check against source"))))))</f>
        <v/>
      </c>
    </row>
    <row r="16">
      <c r="A16" s="22" t="n"/>
      <c r="B16" s="22" t="n"/>
      <c r="C16" s="22" t="n"/>
      <c r="D16" s="22" t="n"/>
      <c r="E16" s="22" t="n"/>
      <c r="F16" s="22" t="n"/>
      <c r="G16" s="22" t="n"/>
      <c r="H16" s="22" t="n"/>
      <c r="I16" s="22" t="n"/>
      <c r="J16" s="22" t="n"/>
      <c r="K16" s="22" t="n"/>
      <c r="L16" s="22" t="n"/>
      <c r="M16" s="22" t="n"/>
      <c r="N16" s="35" t="n"/>
      <c r="O16" s="22" t="n"/>
      <c r="P16" s="22" t="n"/>
      <c r="Q16" s="22" t="n"/>
      <c r="R16" s="22" t="n"/>
      <c r="S16" s="22" t="n"/>
      <c r="T16" s="22" t="n"/>
      <c r="U16" s="35" t="n"/>
      <c r="V16" s="22">
        <f>IF(COUNTA(A16:U16)=0,"",IF(A16="","AIR-ID missing",IF(COUNTIF($A$4:$A$206,A16)&gt;1,"Duplicate AIR-ID (one row per AIR-ID)",IF(COUNTIF('AI Register'!$A$4:$A$206,A16)=0,"AIR-ID not in AI Register",IF(OR(AND(N16&lt;&gt;"",NOT(ISNUMBER(N16))),AND(U16&lt;&gt;"",NOT(ISNUMBER(U16)))),"Date field is not a date",IF(OR(S16="",S16="Unsure — assess"),"Art 22A / AIG-OPS-04 tier to assess","Check against source"))))))</f>
        <v/>
      </c>
    </row>
    <row r="17">
      <c r="A17" s="24" t="n"/>
      <c r="B17" s="24" t="n"/>
      <c r="C17" s="24" t="n"/>
      <c r="D17" s="24" t="n"/>
      <c r="E17" s="24" t="n"/>
      <c r="F17" s="24" t="n"/>
      <c r="G17" s="24" t="n"/>
      <c r="H17" s="24" t="n"/>
      <c r="I17" s="24" t="n"/>
      <c r="J17" s="24" t="n"/>
      <c r="K17" s="24" t="n"/>
      <c r="L17" s="24" t="n"/>
      <c r="M17" s="24" t="n"/>
      <c r="N17" s="36" t="n"/>
      <c r="O17" s="24" t="n"/>
      <c r="P17" s="24" t="n"/>
      <c r="Q17" s="24" t="n"/>
      <c r="R17" s="24" t="n"/>
      <c r="S17" s="24" t="n"/>
      <c r="T17" s="24" t="n"/>
      <c r="U17" s="36" t="n"/>
      <c r="V17" s="24">
        <f>IF(COUNTA(A17:U17)=0,"",IF(A17="","AIR-ID missing",IF(COUNTIF($A$4:$A$206,A17)&gt;1,"Duplicate AIR-ID (one row per AIR-ID)",IF(COUNTIF('AI Register'!$A$4:$A$206,A17)=0,"AIR-ID not in AI Register",IF(OR(AND(N17&lt;&gt;"",NOT(ISNUMBER(N17))),AND(U17&lt;&gt;"",NOT(ISNUMBER(U17)))),"Date field is not a date",IF(OR(S17="",S17="Unsure — assess"),"Art 22A / AIG-OPS-04 tier to assess","Check against source"))))))</f>
        <v/>
      </c>
    </row>
    <row r="18">
      <c r="A18" s="22" t="n"/>
      <c r="B18" s="22" t="n"/>
      <c r="C18" s="22" t="n"/>
      <c r="D18" s="22" t="n"/>
      <c r="E18" s="22" t="n"/>
      <c r="F18" s="22" t="n"/>
      <c r="G18" s="22" t="n"/>
      <c r="H18" s="22" t="n"/>
      <c r="I18" s="22" t="n"/>
      <c r="J18" s="22" t="n"/>
      <c r="K18" s="22" t="n"/>
      <c r="L18" s="22" t="n"/>
      <c r="M18" s="22" t="n"/>
      <c r="N18" s="35" t="n"/>
      <c r="O18" s="22" t="n"/>
      <c r="P18" s="22" t="n"/>
      <c r="Q18" s="22" t="n"/>
      <c r="R18" s="22" t="n"/>
      <c r="S18" s="22" t="n"/>
      <c r="T18" s="22" t="n"/>
      <c r="U18" s="35" t="n"/>
      <c r="V18" s="22">
        <f>IF(COUNTA(A18:U18)=0,"",IF(A18="","AIR-ID missing",IF(COUNTIF($A$4:$A$206,A18)&gt;1,"Duplicate AIR-ID (one row per AIR-ID)",IF(COUNTIF('AI Register'!$A$4:$A$206,A18)=0,"AIR-ID not in AI Register",IF(OR(AND(N18&lt;&gt;"",NOT(ISNUMBER(N18))),AND(U18&lt;&gt;"",NOT(ISNUMBER(U18)))),"Date field is not a date",IF(OR(S18="",S18="Unsure — assess"),"Art 22A / AIG-OPS-04 tier to assess","Check against source"))))))</f>
        <v/>
      </c>
    </row>
    <row r="19">
      <c r="A19" s="24" t="n"/>
      <c r="B19" s="24" t="n"/>
      <c r="C19" s="24" t="n"/>
      <c r="D19" s="24" t="n"/>
      <c r="E19" s="24" t="n"/>
      <c r="F19" s="24" t="n"/>
      <c r="G19" s="24" t="n"/>
      <c r="H19" s="24" t="n"/>
      <c r="I19" s="24" t="n"/>
      <c r="J19" s="24" t="n"/>
      <c r="K19" s="24" t="n"/>
      <c r="L19" s="24" t="n"/>
      <c r="M19" s="24" t="n"/>
      <c r="N19" s="36" t="n"/>
      <c r="O19" s="24" t="n"/>
      <c r="P19" s="24" t="n"/>
      <c r="Q19" s="24" t="n"/>
      <c r="R19" s="24" t="n"/>
      <c r="S19" s="24" t="n"/>
      <c r="T19" s="24" t="n"/>
      <c r="U19" s="36" t="n"/>
      <c r="V19" s="24">
        <f>IF(COUNTA(A19:U19)=0,"",IF(A19="","AIR-ID missing",IF(COUNTIF($A$4:$A$206,A19)&gt;1,"Duplicate AIR-ID (one row per AIR-ID)",IF(COUNTIF('AI Register'!$A$4:$A$206,A19)=0,"AIR-ID not in AI Register",IF(OR(AND(N19&lt;&gt;"",NOT(ISNUMBER(N19))),AND(U19&lt;&gt;"",NOT(ISNUMBER(U19)))),"Date field is not a date",IF(OR(S19="",S19="Unsure — assess"),"Art 22A / AIG-OPS-04 tier to assess","Check against source"))))))</f>
        <v/>
      </c>
    </row>
    <row r="20">
      <c r="A20" s="22" t="n"/>
      <c r="B20" s="22" t="n"/>
      <c r="C20" s="22" t="n"/>
      <c r="D20" s="22" t="n"/>
      <c r="E20" s="22" t="n"/>
      <c r="F20" s="22" t="n"/>
      <c r="G20" s="22" t="n"/>
      <c r="H20" s="22" t="n"/>
      <c r="I20" s="22" t="n"/>
      <c r="J20" s="22" t="n"/>
      <c r="K20" s="22" t="n"/>
      <c r="L20" s="22" t="n"/>
      <c r="M20" s="22" t="n"/>
      <c r="N20" s="35" t="n"/>
      <c r="O20" s="22" t="n"/>
      <c r="P20" s="22" t="n"/>
      <c r="Q20" s="22" t="n"/>
      <c r="R20" s="22" t="n"/>
      <c r="S20" s="22" t="n"/>
      <c r="T20" s="22" t="n"/>
      <c r="U20" s="35" t="n"/>
      <c r="V20" s="22">
        <f>IF(COUNTA(A20:U20)=0,"",IF(A20="","AIR-ID missing",IF(COUNTIF($A$4:$A$206,A20)&gt;1,"Duplicate AIR-ID (one row per AIR-ID)",IF(COUNTIF('AI Register'!$A$4:$A$206,A20)=0,"AIR-ID not in AI Register",IF(OR(AND(N20&lt;&gt;"",NOT(ISNUMBER(N20))),AND(U20&lt;&gt;"",NOT(ISNUMBER(U20)))),"Date field is not a date",IF(OR(S20="",S20="Unsure — assess"),"Art 22A / AIG-OPS-04 tier to assess","Check against source"))))))</f>
        <v/>
      </c>
    </row>
    <row r="21">
      <c r="A21" s="24" t="n"/>
      <c r="B21" s="24" t="n"/>
      <c r="C21" s="24" t="n"/>
      <c r="D21" s="24" t="n"/>
      <c r="E21" s="24" t="n"/>
      <c r="F21" s="24" t="n"/>
      <c r="G21" s="24" t="n"/>
      <c r="H21" s="24" t="n"/>
      <c r="I21" s="24" t="n"/>
      <c r="J21" s="24" t="n"/>
      <c r="K21" s="24" t="n"/>
      <c r="L21" s="24" t="n"/>
      <c r="M21" s="24" t="n"/>
      <c r="N21" s="36" t="n"/>
      <c r="O21" s="24" t="n"/>
      <c r="P21" s="24" t="n"/>
      <c r="Q21" s="24" t="n"/>
      <c r="R21" s="24" t="n"/>
      <c r="S21" s="24" t="n"/>
      <c r="T21" s="24" t="n"/>
      <c r="U21" s="36" t="n"/>
      <c r="V21" s="24">
        <f>IF(COUNTA(A21:U21)=0,"",IF(A21="","AIR-ID missing",IF(COUNTIF($A$4:$A$206,A21)&gt;1,"Duplicate AIR-ID (one row per AIR-ID)",IF(COUNTIF('AI Register'!$A$4:$A$206,A21)=0,"AIR-ID not in AI Register",IF(OR(AND(N21&lt;&gt;"",NOT(ISNUMBER(N21))),AND(U21&lt;&gt;"",NOT(ISNUMBER(U21)))),"Date field is not a date",IF(OR(S21="",S21="Unsure — assess"),"Art 22A / AIG-OPS-04 tier to assess","Check against source"))))))</f>
        <v/>
      </c>
    </row>
    <row r="22">
      <c r="A22" s="22" t="n"/>
      <c r="B22" s="22" t="n"/>
      <c r="C22" s="22" t="n"/>
      <c r="D22" s="22" t="n"/>
      <c r="E22" s="22" t="n"/>
      <c r="F22" s="22" t="n"/>
      <c r="G22" s="22" t="n"/>
      <c r="H22" s="22" t="n"/>
      <c r="I22" s="22" t="n"/>
      <c r="J22" s="22" t="n"/>
      <c r="K22" s="22" t="n"/>
      <c r="L22" s="22" t="n"/>
      <c r="M22" s="22" t="n"/>
      <c r="N22" s="35" t="n"/>
      <c r="O22" s="22" t="n"/>
      <c r="P22" s="22" t="n"/>
      <c r="Q22" s="22" t="n"/>
      <c r="R22" s="22" t="n"/>
      <c r="S22" s="22" t="n"/>
      <c r="T22" s="22" t="n"/>
      <c r="U22" s="35" t="n"/>
      <c r="V22" s="22">
        <f>IF(COUNTA(A22:U22)=0,"",IF(A22="","AIR-ID missing",IF(COUNTIF($A$4:$A$206,A22)&gt;1,"Duplicate AIR-ID (one row per AIR-ID)",IF(COUNTIF('AI Register'!$A$4:$A$206,A22)=0,"AIR-ID not in AI Register",IF(OR(AND(N22&lt;&gt;"",NOT(ISNUMBER(N22))),AND(U22&lt;&gt;"",NOT(ISNUMBER(U22)))),"Date field is not a date",IF(OR(S22="",S22="Unsure — assess"),"Art 22A / AIG-OPS-04 tier to assess","Check against source"))))))</f>
        <v/>
      </c>
    </row>
    <row r="23">
      <c r="A23" s="24" t="n"/>
      <c r="B23" s="24" t="n"/>
      <c r="C23" s="24" t="n"/>
      <c r="D23" s="24" t="n"/>
      <c r="E23" s="24" t="n"/>
      <c r="F23" s="24" t="n"/>
      <c r="G23" s="24" t="n"/>
      <c r="H23" s="24" t="n"/>
      <c r="I23" s="24" t="n"/>
      <c r="J23" s="24" t="n"/>
      <c r="K23" s="24" t="n"/>
      <c r="L23" s="24" t="n"/>
      <c r="M23" s="24" t="n"/>
      <c r="N23" s="36" t="n"/>
      <c r="O23" s="24" t="n"/>
      <c r="P23" s="24" t="n"/>
      <c r="Q23" s="24" t="n"/>
      <c r="R23" s="24" t="n"/>
      <c r="S23" s="24" t="n"/>
      <c r="T23" s="24" t="n"/>
      <c r="U23" s="36" t="n"/>
      <c r="V23" s="24">
        <f>IF(COUNTA(A23:U23)=0,"",IF(A23="","AIR-ID missing",IF(COUNTIF($A$4:$A$206,A23)&gt;1,"Duplicate AIR-ID (one row per AIR-ID)",IF(COUNTIF('AI Register'!$A$4:$A$206,A23)=0,"AIR-ID not in AI Register",IF(OR(AND(N23&lt;&gt;"",NOT(ISNUMBER(N23))),AND(U23&lt;&gt;"",NOT(ISNUMBER(U23)))),"Date field is not a date",IF(OR(S23="",S23="Unsure — assess"),"Art 22A / AIG-OPS-04 tier to assess","Check against source"))))))</f>
        <v/>
      </c>
    </row>
    <row r="24">
      <c r="A24" s="22" t="n"/>
      <c r="B24" s="22" t="n"/>
      <c r="C24" s="22" t="n"/>
      <c r="D24" s="22" t="n"/>
      <c r="E24" s="22" t="n"/>
      <c r="F24" s="22" t="n"/>
      <c r="G24" s="22" t="n"/>
      <c r="H24" s="22" t="n"/>
      <c r="I24" s="22" t="n"/>
      <c r="J24" s="22" t="n"/>
      <c r="K24" s="22" t="n"/>
      <c r="L24" s="22" t="n"/>
      <c r="M24" s="22" t="n"/>
      <c r="N24" s="35" t="n"/>
      <c r="O24" s="22" t="n"/>
      <c r="P24" s="22" t="n"/>
      <c r="Q24" s="22" t="n"/>
      <c r="R24" s="22" t="n"/>
      <c r="S24" s="22" t="n"/>
      <c r="T24" s="22" t="n"/>
      <c r="U24" s="35" t="n"/>
      <c r="V24" s="22">
        <f>IF(COUNTA(A24:U24)=0,"",IF(A24="","AIR-ID missing",IF(COUNTIF($A$4:$A$206,A24)&gt;1,"Duplicate AIR-ID (one row per AIR-ID)",IF(COUNTIF('AI Register'!$A$4:$A$206,A24)=0,"AIR-ID not in AI Register",IF(OR(AND(N24&lt;&gt;"",NOT(ISNUMBER(N24))),AND(U24&lt;&gt;"",NOT(ISNUMBER(U24)))),"Date field is not a date",IF(OR(S24="",S24="Unsure — assess"),"Art 22A / AIG-OPS-04 tier to assess","Check against source"))))))</f>
        <v/>
      </c>
    </row>
    <row r="25">
      <c r="A25" s="24" t="n"/>
      <c r="B25" s="24" t="n"/>
      <c r="C25" s="24" t="n"/>
      <c r="D25" s="24" t="n"/>
      <c r="E25" s="24" t="n"/>
      <c r="F25" s="24" t="n"/>
      <c r="G25" s="24" t="n"/>
      <c r="H25" s="24" t="n"/>
      <c r="I25" s="24" t="n"/>
      <c r="J25" s="24" t="n"/>
      <c r="K25" s="24" t="n"/>
      <c r="L25" s="24" t="n"/>
      <c r="M25" s="24" t="n"/>
      <c r="N25" s="36" t="n"/>
      <c r="O25" s="24" t="n"/>
      <c r="P25" s="24" t="n"/>
      <c r="Q25" s="24" t="n"/>
      <c r="R25" s="24" t="n"/>
      <c r="S25" s="24" t="n"/>
      <c r="T25" s="24" t="n"/>
      <c r="U25" s="36" t="n"/>
      <c r="V25" s="24">
        <f>IF(COUNTA(A25:U25)=0,"",IF(A25="","AIR-ID missing",IF(COUNTIF($A$4:$A$206,A25)&gt;1,"Duplicate AIR-ID (one row per AIR-ID)",IF(COUNTIF('AI Register'!$A$4:$A$206,A25)=0,"AIR-ID not in AI Register",IF(OR(AND(N25&lt;&gt;"",NOT(ISNUMBER(N25))),AND(U25&lt;&gt;"",NOT(ISNUMBER(U25)))),"Date field is not a date",IF(OR(S25="",S25="Unsure — assess"),"Art 22A / AIG-OPS-04 tier to assess","Check against source"))))))</f>
        <v/>
      </c>
    </row>
    <row r="26">
      <c r="A26" s="22" t="n"/>
      <c r="B26" s="22" t="n"/>
      <c r="C26" s="22" t="n"/>
      <c r="D26" s="22" t="n"/>
      <c r="E26" s="22" t="n"/>
      <c r="F26" s="22" t="n"/>
      <c r="G26" s="22" t="n"/>
      <c r="H26" s="22" t="n"/>
      <c r="I26" s="22" t="n"/>
      <c r="J26" s="22" t="n"/>
      <c r="K26" s="22" t="n"/>
      <c r="L26" s="22" t="n"/>
      <c r="M26" s="22" t="n"/>
      <c r="N26" s="35" t="n"/>
      <c r="O26" s="22" t="n"/>
      <c r="P26" s="22" t="n"/>
      <c r="Q26" s="22" t="n"/>
      <c r="R26" s="22" t="n"/>
      <c r="S26" s="22" t="n"/>
      <c r="T26" s="22" t="n"/>
      <c r="U26" s="35" t="n"/>
      <c r="V26" s="22">
        <f>IF(COUNTA(A26:U26)=0,"",IF(A26="","AIR-ID missing",IF(COUNTIF($A$4:$A$206,A26)&gt;1,"Duplicate AIR-ID (one row per AIR-ID)",IF(COUNTIF('AI Register'!$A$4:$A$206,A26)=0,"AIR-ID not in AI Register",IF(OR(AND(N26&lt;&gt;"",NOT(ISNUMBER(N26))),AND(U26&lt;&gt;"",NOT(ISNUMBER(U26)))),"Date field is not a date",IF(OR(S26="",S26="Unsure — assess"),"Art 22A / AIG-OPS-04 tier to assess","Check against source"))))))</f>
        <v/>
      </c>
    </row>
    <row r="27">
      <c r="A27" s="24" t="n"/>
      <c r="B27" s="24" t="n"/>
      <c r="C27" s="24" t="n"/>
      <c r="D27" s="24" t="n"/>
      <c r="E27" s="24" t="n"/>
      <c r="F27" s="24" t="n"/>
      <c r="G27" s="24" t="n"/>
      <c r="H27" s="24" t="n"/>
      <c r="I27" s="24" t="n"/>
      <c r="J27" s="24" t="n"/>
      <c r="K27" s="24" t="n"/>
      <c r="L27" s="24" t="n"/>
      <c r="M27" s="24" t="n"/>
      <c r="N27" s="36" t="n"/>
      <c r="O27" s="24" t="n"/>
      <c r="P27" s="24" t="n"/>
      <c r="Q27" s="24" t="n"/>
      <c r="R27" s="24" t="n"/>
      <c r="S27" s="24" t="n"/>
      <c r="T27" s="24" t="n"/>
      <c r="U27" s="36" t="n"/>
      <c r="V27" s="24">
        <f>IF(COUNTA(A27:U27)=0,"",IF(A27="","AIR-ID missing",IF(COUNTIF($A$4:$A$206,A27)&gt;1,"Duplicate AIR-ID (one row per AIR-ID)",IF(COUNTIF('AI Register'!$A$4:$A$206,A27)=0,"AIR-ID not in AI Register",IF(OR(AND(N27&lt;&gt;"",NOT(ISNUMBER(N27))),AND(U27&lt;&gt;"",NOT(ISNUMBER(U27)))),"Date field is not a date",IF(OR(S27="",S27="Unsure — assess"),"Art 22A / AIG-OPS-04 tier to assess","Check against source"))))))</f>
        <v/>
      </c>
    </row>
    <row r="28">
      <c r="A28" s="22" t="n"/>
      <c r="B28" s="22" t="n"/>
      <c r="C28" s="22" t="n"/>
      <c r="D28" s="22" t="n"/>
      <c r="E28" s="22" t="n"/>
      <c r="F28" s="22" t="n"/>
      <c r="G28" s="22" t="n"/>
      <c r="H28" s="22" t="n"/>
      <c r="I28" s="22" t="n"/>
      <c r="J28" s="22" t="n"/>
      <c r="K28" s="22" t="n"/>
      <c r="L28" s="22" t="n"/>
      <c r="M28" s="22" t="n"/>
      <c r="N28" s="35" t="n"/>
      <c r="O28" s="22" t="n"/>
      <c r="P28" s="22" t="n"/>
      <c r="Q28" s="22" t="n"/>
      <c r="R28" s="22" t="n"/>
      <c r="S28" s="22" t="n"/>
      <c r="T28" s="22" t="n"/>
      <c r="U28" s="35" t="n"/>
      <c r="V28" s="22">
        <f>IF(COUNTA(A28:U28)=0,"",IF(A28="","AIR-ID missing",IF(COUNTIF($A$4:$A$206,A28)&gt;1,"Duplicate AIR-ID (one row per AIR-ID)",IF(COUNTIF('AI Register'!$A$4:$A$206,A28)=0,"AIR-ID not in AI Register",IF(OR(AND(N28&lt;&gt;"",NOT(ISNUMBER(N28))),AND(U28&lt;&gt;"",NOT(ISNUMBER(U28)))),"Date field is not a date",IF(OR(S28="",S28="Unsure — assess"),"Art 22A / AIG-OPS-04 tier to assess","Check against source"))))))</f>
        <v/>
      </c>
    </row>
    <row r="29">
      <c r="A29" s="24" t="n"/>
      <c r="B29" s="24" t="n"/>
      <c r="C29" s="24" t="n"/>
      <c r="D29" s="24" t="n"/>
      <c r="E29" s="24" t="n"/>
      <c r="F29" s="24" t="n"/>
      <c r="G29" s="24" t="n"/>
      <c r="H29" s="24" t="n"/>
      <c r="I29" s="24" t="n"/>
      <c r="J29" s="24" t="n"/>
      <c r="K29" s="24" t="n"/>
      <c r="L29" s="24" t="n"/>
      <c r="M29" s="24" t="n"/>
      <c r="N29" s="36" t="n"/>
      <c r="O29" s="24" t="n"/>
      <c r="P29" s="24" t="n"/>
      <c r="Q29" s="24" t="n"/>
      <c r="R29" s="24" t="n"/>
      <c r="S29" s="24" t="n"/>
      <c r="T29" s="24" t="n"/>
      <c r="U29" s="36" t="n"/>
      <c r="V29" s="24">
        <f>IF(COUNTA(A29:U29)=0,"",IF(A29="","AIR-ID missing",IF(COUNTIF($A$4:$A$206,A29)&gt;1,"Duplicate AIR-ID (one row per AIR-ID)",IF(COUNTIF('AI Register'!$A$4:$A$206,A29)=0,"AIR-ID not in AI Register",IF(OR(AND(N29&lt;&gt;"",NOT(ISNUMBER(N29))),AND(U29&lt;&gt;"",NOT(ISNUMBER(U29)))),"Date field is not a date",IF(OR(S29="",S29="Unsure — assess"),"Art 22A / AIG-OPS-04 tier to assess","Check against source"))))))</f>
        <v/>
      </c>
    </row>
    <row r="30">
      <c r="A30" s="22" t="n"/>
      <c r="B30" s="22" t="n"/>
      <c r="C30" s="22" t="n"/>
      <c r="D30" s="22" t="n"/>
      <c r="E30" s="22" t="n"/>
      <c r="F30" s="22" t="n"/>
      <c r="G30" s="22" t="n"/>
      <c r="H30" s="22" t="n"/>
      <c r="I30" s="22" t="n"/>
      <c r="J30" s="22" t="n"/>
      <c r="K30" s="22" t="n"/>
      <c r="L30" s="22" t="n"/>
      <c r="M30" s="22" t="n"/>
      <c r="N30" s="35" t="n"/>
      <c r="O30" s="22" t="n"/>
      <c r="P30" s="22" t="n"/>
      <c r="Q30" s="22" t="n"/>
      <c r="R30" s="22" t="n"/>
      <c r="S30" s="22" t="n"/>
      <c r="T30" s="22" t="n"/>
      <c r="U30" s="35" t="n"/>
      <c r="V30" s="22">
        <f>IF(COUNTA(A30:U30)=0,"",IF(A30="","AIR-ID missing",IF(COUNTIF($A$4:$A$206,A30)&gt;1,"Duplicate AIR-ID (one row per AIR-ID)",IF(COUNTIF('AI Register'!$A$4:$A$206,A30)=0,"AIR-ID not in AI Register",IF(OR(AND(N30&lt;&gt;"",NOT(ISNUMBER(N30))),AND(U30&lt;&gt;"",NOT(ISNUMBER(U30)))),"Date field is not a date",IF(OR(S30="",S30="Unsure — assess"),"Art 22A / AIG-OPS-04 tier to assess","Check against source"))))))</f>
        <v/>
      </c>
    </row>
    <row r="31">
      <c r="A31" s="24" t="n"/>
      <c r="B31" s="24" t="n"/>
      <c r="C31" s="24" t="n"/>
      <c r="D31" s="24" t="n"/>
      <c r="E31" s="24" t="n"/>
      <c r="F31" s="24" t="n"/>
      <c r="G31" s="24" t="n"/>
      <c r="H31" s="24" t="n"/>
      <c r="I31" s="24" t="n"/>
      <c r="J31" s="24" t="n"/>
      <c r="K31" s="24" t="n"/>
      <c r="L31" s="24" t="n"/>
      <c r="M31" s="24" t="n"/>
      <c r="N31" s="36" t="n"/>
      <c r="O31" s="24" t="n"/>
      <c r="P31" s="24" t="n"/>
      <c r="Q31" s="24" t="n"/>
      <c r="R31" s="24" t="n"/>
      <c r="S31" s="24" t="n"/>
      <c r="T31" s="24" t="n"/>
      <c r="U31" s="36" t="n"/>
      <c r="V31" s="24">
        <f>IF(COUNTA(A31:U31)=0,"",IF(A31="","AIR-ID missing",IF(COUNTIF($A$4:$A$206,A31)&gt;1,"Duplicate AIR-ID (one row per AIR-ID)",IF(COUNTIF('AI Register'!$A$4:$A$206,A31)=0,"AIR-ID not in AI Register",IF(OR(AND(N31&lt;&gt;"",NOT(ISNUMBER(N31))),AND(U31&lt;&gt;"",NOT(ISNUMBER(U31)))),"Date field is not a date",IF(OR(S31="",S31="Unsure — assess"),"Art 22A / AIG-OPS-04 tier to assess","Check against source"))))))</f>
        <v/>
      </c>
    </row>
    <row r="32">
      <c r="A32" s="22" t="n"/>
      <c r="B32" s="22" t="n"/>
      <c r="C32" s="22" t="n"/>
      <c r="D32" s="22" t="n"/>
      <c r="E32" s="22" t="n"/>
      <c r="F32" s="22" t="n"/>
      <c r="G32" s="22" t="n"/>
      <c r="H32" s="22" t="n"/>
      <c r="I32" s="22" t="n"/>
      <c r="J32" s="22" t="n"/>
      <c r="K32" s="22" t="n"/>
      <c r="L32" s="22" t="n"/>
      <c r="M32" s="22" t="n"/>
      <c r="N32" s="35" t="n"/>
      <c r="O32" s="22" t="n"/>
      <c r="P32" s="22" t="n"/>
      <c r="Q32" s="22" t="n"/>
      <c r="R32" s="22" t="n"/>
      <c r="S32" s="22" t="n"/>
      <c r="T32" s="22" t="n"/>
      <c r="U32" s="35" t="n"/>
      <c r="V32" s="22">
        <f>IF(COUNTA(A32:U32)=0,"",IF(A32="","AIR-ID missing",IF(COUNTIF($A$4:$A$206,A32)&gt;1,"Duplicate AIR-ID (one row per AIR-ID)",IF(COUNTIF('AI Register'!$A$4:$A$206,A32)=0,"AIR-ID not in AI Register",IF(OR(AND(N32&lt;&gt;"",NOT(ISNUMBER(N32))),AND(U32&lt;&gt;"",NOT(ISNUMBER(U32)))),"Date field is not a date",IF(OR(S32="",S32="Unsure — assess"),"Art 22A / AIG-OPS-04 tier to assess","Check against source"))))))</f>
        <v/>
      </c>
    </row>
    <row r="33">
      <c r="A33" s="24" t="n"/>
      <c r="B33" s="24" t="n"/>
      <c r="C33" s="24" t="n"/>
      <c r="D33" s="24" t="n"/>
      <c r="E33" s="24" t="n"/>
      <c r="F33" s="24" t="n"/>
      <c r="G33" s="24" t="n"/>
      <c r="H33" s="24" t="n"/>
      <c r="I33" s="24" t="n"/>
      <c r="J33" s="24" t="n"/>
      <c r="K33" s="24" t="n"/>
      <c r="L33" s="24" t="n"/>
      <c r="M33" s="24" t="n"/>
      <c r="N33" s="36" t="n"/>
      <c r="O33" s="24" t="n"/>
      <c r="P33" s="24" t="n"/>
      <c r="Q33" s="24" t="n"/>
      <c r="R33" s="24" t="n"/>
      <c r="S33" s="24" t="n"/>
      <c r="T33" s="24" t="n"/>
      <c r="U33" s="36" t="n"/>
      <c r="V33" s="24">
        <f>IF(COUNTA(A33:U33)=0,"",IF(A33="","AIR-ID missing",IF(COUNTIF($A$4:$A$206,A33)&gt;1,"Duplicate AIR-ID (one row per AIR-ID)",IF(COUNTIF('AI Register'!$A$4:$A$206,A33)=0,"AIR-ID not in AI Register",IF(OR(AND(N33&lt;&gt;"",NOT(ISNUMBER(N33))),AND(U33&lt;&gt;"",NOT(ISNUMBER(U33)))),"Date field is not a date",IF(OR(S33="",S33="Unsure — assess"),"Art 22A / AIG-OPS-04 tier to assess","Check against source"))))))</f>
        <v/>
      </c>
    </row>
    <row r="34">
      <c r="A34" s="22" t="n"/>
      <c r="B34" s="22" t="n"/>
      <c r="C34" s="22" t="n"/>
      <c r="D34" s="22" t="n"/>
      <c r="E34" s="22" t="n"/>
      <c r="F34" s="22" t="n"/>
      <c r="G34" s="22" t="n"/>
      <c r="H34" s="22" t="n"/>
      <c r="I34" s="22" t="n"/>
      <c r="J34" s="22" t="n"/>
      <c r="K34" s="22" t="n"/>
      <c r="L34" s="22" t="n"/>
      <c r="M34" s="22" t="n"/>
      <c r="N34" s="35" t="n"/>
      <c r="O34" s="22" t="n"/>
      <c r="P34" s="22" t="n"/>
      <c r="Q34" s="22" t="n"/>
      <c r="R34" s="22" t="n"/>
      <c r="S34" s="22" t="n"/>
      <c r="T34" s="22" t="n"/>
      <c r="U34" s="35" t="n"/>
      <c r="V34" s="22">
        <f>IF(COUNTA(A34:U34)=0,"",IF(A34="","AIR-ID missing",IF(COUNTIF($A$4:$A$206,A34)&gt;1,"Duplicate AIR-ID (one row per AIR-ID)",IF(COUNTIF('AI Register'!$A$4:$A$206,A34)=0,"AIR-ID not in AI Register",IF(OR(AND(N34&lt;&gt;"",NOT(ISNUMBER(N34))),AND(U34&lt;&gt;"",NOT(ISNUMBER(U34)))),"Date field is not a date",IF(OR(S34="",S34="Unsure — assess"),"Art 22A / AIG-OPS-04 tier to assess","Check against source"))))))</f>
        <v/>
      </c>
    </row>
    <row r="35">
      <c r="A35" s="24" t="n"/>
      <c r="B35" s="24" t="n"/>
      <c r="C35" s="24" t="n"/>
      <c r="D35" s="24" t="n"/>
      <c r="E35" s="24" t="n"/>
      <c r="F35" s="24" t="n"/>
      <c r="G35" s="24" t="n"/>
      <c r="H35" s="24" t="n"/>
      <c r="I35" s="24" t="n"/>
      <c r="J35" s="24" t="n"/>
      <c r="K35" s="24" t="n"/>
      <c r="L35" s="24" t="n"/>
      <c r="M35" s="24" t="n"/>
      <c r="N35" s="36" t="n"/>
      <c r="O35" s="24" t="n"/>
      <c r="P35" s="24" t="n"/>
      <c r="Q35" s="24" t="n"/>
      <c r="R35" s="24" t="n"/>
      <c r="S35" s="24" t="n"/>
      <c r="T35" s="24" t="n"/>
      <c r="U35" s="36" t="n"/>
      <c r="V35" s="24">
        <f>IF(COUNTA(A35:U35)=0,"",IF(A35="","AIR-ID missing",IF(COUNTIF($A$4:$A$206,A35)&gt;1,"Duplicate AIR-ID (one row per AIR-ID)",IF(COUNTIF('AI Register'!$A$4:$A$206,A35)=0,"AIR-ID not in AI Register",IF(OR(AND(N35&lt;&gt;"",NOT(ISNUMBER(N35))),AND(U35&lt;&gt;"",NOT(ISNUMBER(U35)))),"Date field is not a date",IF(OR(S35="",S35="Unsure — assess"),"Art 22A / AIG-OPS-04 tier to assess","Check against source"))))))</f>
        <v/>
      </c>
    </row>
    <row r="36">
      <c r="A36" s="22" t="n"/>
      <c r="B36" s="22" t="n"/>
      <c r="C36" s="22" t="n"/>
      <c r="D36" s="22" t="n"/>
      <c r="E36" s="22" t="n"/>
      <c r="F36" s="22" t="n"/>
      <c r="G36" s="22" t="n"/>
      <c r="H36" s="22" t="n"/>
      <c r="I36" s="22" t="n"/>
      <c r="J36" s="22" t="n"/>
      <c r="K36" s="22" t="n"/>
      <c r="L36" s="22" t="n"/>
      <c r="M36" s="22" t="n"/>
      <c r="N36" s="35" t="n"/>
      <c r="O36" s="22" t="n"/>
      <c r="P36" s="22" t="n"/>
      <c r="Q36" s="22" t="n"/>
      <c r="R36" s="22" t="n"/>
      <c r="S36" s="22" t="n"/>
      <c r="T36" s="22" t="n"/>
      <c r="U36" s="35" t="n"/>
      <c r="V36" s="22">
        <f>IF(COUNTA(A36:U36)=0,"",IF(A36="","AIR-ID missing",IF(COUNTIF($A$4:$A$206,A36)&gt;1,"Duplicate AIR-ID (one row per AIR-ID)",IF(COUNTIF('AI Register'!$A$4:$A$206,A36)=0,"AIR-ID not in AI Register",IF(OR(AND(N36&lt;&gt;"",NOT(ISNUMBER(N36))),AND(U36&lt;&gt;"",NOT(ISNUMBER(U36)))),"Date field is not a date",IF(OR(S36="",S36="Unsure — assess"),"Art 22A / AIG-OPS-04 tier to assess","Check against source"))))))</f>
        <v/>
      </c>
    </row>
    <row r="37">
      <c r="A37" s="24" t="n"/>
      <c r="B37" s="24" t="n"/>
      <c r="C37" s="24" t="n"/>
      <c r="D37" s="24" t="n"/>
      <c r="E37" s="24" t="n"/>
      <c r="F37" s="24" t="n"/>
      <c r="G37" s="24" t="n"/>
      <c r="H37" s="24" t="n"/>
      <c r="I37" s="24" t="n"/>
      <c r="J37" s="24" t="n"/>
      <c r="K37" s="24" t="n"/>
      <c r="L37" s="24" t="n"/>
      <c r="M37" s="24" t="n"/>
      <c r="N37" s="36" t="n"/>
      <c r="O37" s="24" t="n"/>
      <c r="P37" s="24" t="n"/>
      <c r="Q37" s="24" t="n"/>
      <c r="R37" s="24" t="n"/>
      <c r="S37" s="24" t="n"/>
      <c r="T37" s="24" t="n"/>
      <c r="U37" s="36" t="n"/>
      <c r="V37" s="24">
        <f>IF(COUNTA(A37:U37)=0,"",IF(A37="","AIR-ID missing",IF(COUNTIF($A$4:$A$206,A37)&gt;1,"Duplicate AIR-ID (one row per AIR-ID)",IF(COUNTIF('AI Register'!$A$4:$A$206,A37)=0,"AIR-ID not in AI Register",IF(OR(AND(N37&lt;&gt;"",NOT(ISNUMBER(N37))),AND(U37&lt;&gt;"",NOT(ISNUMBER(U37)))),"Date field is not a date",IF(OR(S37="",S37="Unsure — assess"),"Art 22A / AIG-OPS-04 tier to assess","Check against source"))))))</f>
        <v/>
      </c>
    </row>
    <row r="38">
      <c r="A38" s="22" t="n"/>
      <c r="B38" s="22" t="n"/>
      <c r="C38" s="22" t="n"/>
      <c r="D38" s="22" t="n"/>
      <c r="E38" s="22" t="n"/>
      <c r="F38" s="22" t="n"/>
      <c r="G38" s="22" t="n"/>
      <c r="H38" s="22" t="n"/>
      <c r="I38" s="22" t="n"/>
      <c r="J38" s="22" t="n"/>
      <c r="K38" s="22" t="n"/>
      <c r="L38" s="22" t="n"/>
      <c r="M38" s="22" t="n"/>
      <c r="N38" s="35" t="n"/>
      <c r="O38" s="22" t="n"/>
      <c r="P38" s="22" t="n"/>
      <c r="Q38" s="22" t="n"/>
      <c r="R38" s="22" t="n"/>
      <c r="S38" s="22" t="n"/>
      <c r="T38" s="22" t="n"/>
      <c r="U38" s="35" t="n"/>
      <c r="V38" s="22">
        <f>IF(COUNTA(A38:U38)=0,"",IF(A38="","AIR-ID missing",IF(COUNTIF($A$4:$A$206,A38)&gt;1,"Duplicate AIR-ID (one row per AIR-ID)",IF(COUNTIF('AI Register'!$A$4:$A$206,A38)=0,"AIR-ID not in AI Register",IF(OR(AND(N38&lt;&gt;"",NOT(ISNUMBER(N38))),AND(U38&lt;&gt;"",NOT(ISNUMBER(U38)))),"Date field is not a date",IF(OR(S38="",S38="Unsure — assess"),"Art 22A / AIG-OPS-04 tier to assess","Check against source"))))))</f>
        <v/>
      </c>
    </row>
    <row r="39">
      <c r="A39" s="24" t="n"/>
      <c r="B39" s="24" t="n"/>
      <c r="C39" s="24" t="n"/>
      <c r="D39" s="24" t="n"/>
      <c r="E39" s="24" t="n"/>
      <c r="F39" s="24" t="n"/>
      <c r="G39" s="24" t="n"/>
      <c r="H39" s="24" t="n"/>
      <c r="I39" s="24" t="n"/>
      <c r="J39" s="24" t="n"/>
      <c r="K39" s="24" t="n"/>
      <c r="L39" s="24" t="n"/>
      <c r="M39" s="24" t="n"/>
      <c r="N39" s="36" t="n"/>
      <c r="O39" s="24" t="n"/>
      <c r="P39" s="24" t="n"/>
      <c r="Q39" s="24" t="n"/>
      <c r="R39" s="24" t="n"/>
      <c r="S39" s="24" t="n"/>
      <c r="T39" s="24" t="n"/>
      <c r="U39" s="36" t="n"/>
      <c r="V39" s="24">
        <f>IF(COUNTA(A39:U39)=0,"",IF(A39="","AIR-ID missing",IF(COUNTIF($A$4:$A$206,A39)&gt;1,"Duplicate AIR-ID (one row per AIR-ID)",IF(COUNTIF('AI Register'!$A$4:$A$206,A39)=0,"AIR-ID not in AI Register",IF(OR(AND(N39&lt;&gt;"",NOT(ISNUMBER(N39))),AND(U39&lt;&gt;"",NOT(ISNUMBER(U39)))),"Date field is not a date",IF(OR(S39="",S39="Unsure — assess"),"Art 22A / AIG-OPS-04 tier to assess","Check against source"))))))</f>
        <v/>
      </c>
    </row>
    <row r="40">
      <c r="A40" s="22" t="n"/>
      <c r="B40" s="22" t="n"/>
      <c r="C40" s="22" t="n"/>
      <c r="D40" s="22" t="n"/>
      <c r="E40" s="22" t="n"/>
      <c r="F40" s="22" t="n"/>
      <c r="G40" s="22" t="n"/>
      <c r="H40" s="22" t="n"/>
      <c r="I40" s="22" t="n"/>
      <c r="J40" s="22" t="n"/>
      <c r="K40" s="22" t="n"/>
      <c r="L40" s="22" t="n"/>
      <c r="M40" s="22" t="n"/>
      <c r="N40" s="35" t="n"/>
      <c r="O40" s="22" t="n"/>
      <c r="P40" s="22" t="n"/>
      <c r="Q40" s="22" t="n"/>
      <c r="R40" s="22" t="n"/>
      <c r="S40" s="22" t="n"/>
      <c r="T40" s="22" t="n"/>
      <c r="U40" s="35" t="n"/>
      <c r="V40" s="22">
        <f>IF(COUNTA(A40:U40)=0,"",IF(A40="","AIR-ID missing",IF(COUNTIF($A$4:$A$206,A40)&gt;1,"Duplicate AIR-ID (one row per AIR-ID)",IF(COUNTIF('AI Register'!$A$4:$A$206,A40)=0,"AIR-ID not in AI Register",IF(OR(AND(N40&lt;&gt;"",NOT(ISNUMBER(N40))),AND(U40&lt;&gt;"",NOT(ISNUMBER(U40)))),"Date field is not a date",IF(OR(S40="",S40="Unsure — assess"),"Art 22A / AIG-OPS-04 tier to assess","Check against source"))))))</f>
        <v/>
      </c>
    </row>
    <row r="41">
      <c r="A41" s="24" t="n"/>
      <c r="B41" s="24" t="n"/>
      <c r="C41" s="24" t="n"/>
      <c r="D41" s="24" t="n"/>
      <c r="E41" s="24" t="n"/>
      <c r="F41" s="24" t="n"/>
      <c r="G41" s="24" t="n"/>
      <c r="H41" s="24" t="n"/>
      <c r="I41" s="24" t="n"/>
      <c r="J41" s="24" t="n"/>
      <c r="K41" s="24" t="n"/>
      <c r="L41" s="24" t="n"/>
      <c r="M41" s="24" t="n"/>
      <c r="N41" s="36" t="n"/>
      <c r="O41" s="24" t="n"/>
      <c r="P41" s="24" t="n"/>
      <c r="Q41" s="24" t="n"/>
      <c r="R41" s="24" t="n"/>
      <c r="S41" s="24" t="n"/>
      <c r="T41" s="24" t="n"/>
      <c r="U41" s="36" t="n"/>
      <c r="V41" s="24">
        <f>IF(COUNTA(A41:U41)=0,"",IF(A41="","AIR-ID missing",IF(COUNTIF($A$4:$A$206,A41)&gt;1,"Duplicate AIR-ID (one row per AIR-ID)",IF(COUNTIF('AI Register'!$A$4:$A$206,A41)=0,"AIR-ID not in AI Register",IF(OR(AND(N41&lt;&gt;"",NOT(ISNUMBER(N41))),AND(U41&lt;&gt;"",NOT(ISNUMBER(U41)))),"Date field is not a date",IF(OR(S41="",S41="Unsure — assess"),"Art 22A / AIG-OPS-04 tier to assess","Check against source"))))))</f>
        <v/>
      </c>
    </row>
    <row r="42">
      <c r="A42" s="22" t="n"/>
      <c r="B42" s="22" t="n"/>
      <c r="C42" s="22" t="n"/>
      <c r="D42" s="22" t="n"/>
      <c r="E42" s="22" t="n"/>
      <c r="F42" s="22" t="n"/>
      <c r="G42" s="22" t="n"/>
      <c r="H42" s="22" t="n"/>
      <c r="I42" s="22" t="n"/>
      <c r="J42" s="22" t="n"/>
      <c r="K42" s="22" t="n"/>
      <c r="L42" s="22" t="n"/>
      <c r="M42" s="22" t="n"/>
      <c r="N42" s="35" t="n"/>
      <c r="O42" s="22" t="n"/>
      <c r="P42" s="22" t="n"/>
      <c r="Q42" s="22" t="n"/>
      <c r="R42" s="22" t="n"/>
      <c r="S42" s="22" t="n"/>
      <c r="T42" s="22" t="n"/>
      <c r="U42" s="35" t="n"/>
      <c r="V42" s="22">
        <f>IF(COUNTA(A42:U42)=0,"",IF(A42="","AIR-ID missing",IF(COUNTIF($A$4:$A$206,A42)&gt;1,"Duplicate AIR-ID (one row per AIR-ID)",IF(COUNTIF('AI Register'!$A$4:$A$206,A42)=0,"AIR-ID not in AI Register",IF(OR(AND(N42&lt;&gt;"",NOT(ISNUMBER(N42))),AND(U42&lt;&gt;"",NOT(ISNUMBER(U42)))),"Date field is not a date",IF(OR(S42="",S42="Unsure — assess"),"Art 22A / AIG-OPS-04 tier to assess","Check against source"))))))</f>
        <v/>
      </c>
    </row>
    <row r="43">
      <c r="A43" s="24" t="n"/>
      <c r="B43" s="24" t="n"/>
      <c r="C43" s="24" t="n"/>
      <c r="D43" s="24" t="n"/>
      <c r="E43" s="24" t="n"/>
      <c r="F43" s="24" t="n"/>
      <c r="G43" s="24" t="n"/>
      <c r="H43" s="24" t="n"/>
      <c r="I43" s="24" t="n"/>
      <c r="J43" s="24" t="n"/>
      <c r="K43" s="24" t="n"/>
      <c r="L43" s="24" t="n"/>
      <c r="M43" s="24" t="n"/>
      <c r="N43" s="36" t="n"/>
      <c r="O43" s="24" t="n"/>
      <c r="P43" s="24" t="n"/>
      <c r="Q43" s="24" t="n"/>
      <c r="R43" s="24" t="n"/>
      <c r="S43" s="24" t="n"/>
      <c r="T43" s="24" t="n"/>
      <c r="U43" s="36" t="n"/>
      <c r="V43" s="24">
        <f>IF(COUNTA(A43:U43)=0,"",IF(A43="","AIR-ID missing",IF(COUNTIF($A$4:$A$206,A43)&gt;1,"Duplicate AIR-ID (one row per AIR-ID)",IF(COUNTIF('AI Register'!$A$4:$A$206,A43)=0,"AIR-ID not in AI Register",IF(OR(AND(N43&lt;&gt;"",NOT(ISNUMBER(N43))),AND(U43&lt;&gt;"",NOT(ISNUMBER(U43)))),"Date field is not a date",IF(OR(S43="",S43="Unsure — assess"),"Art 22A / AIG-OPS-04 tier to assess","Check against source"))))))</f>
        <v/>
      </c>
    </row>
    <row r="44">
      <c r="A44" s="22" t="n"/>
      <c r="B44" s="22" t="n"/>
      <c r="C44" s="22" t="n"/>
      <c r="D44" s="22" t="n"/>
      <c r="E44" s="22" t="n"/>
      <c r="F44" s="22" t="n"/>
      <c r="G44" s="22" t="n"/>
      <c r="H44" s="22" t="n"/>
      <c r="I44" s="22" t="n"/>
      <c r="J44" s="22" t="n"/>
      <c r="K44" s="22" t="n"/>
      <c r="L44" s="22" t="n"/>
      <c r="M44" s="22" t="n"/>
      <c r="N44" s="35" t="n"/>
      <c r="O44" s="22" t="n"/>
      <c r="P44" s="22" t="n"/>
      <c r="Q44" s="22" t="n"/>
      <c r="R44" s="22" t="n"/>
      <c r="S44" s="22" t="n"/>
      <c r="T44" s="22" t="n"/>
      <c r="U44" s="35" t="n"/>
      <c r="V44" s="22">
        <f>IF(COUNTA(A44:U44)=0,"",IF(A44="","AIR-ID missing",IF(COUNTIF($A$4:$A$206,A44)&gt;1,"Duplicate AIR-ID (one row per AIR-ID)",IF(COUNTIF('AI Register'!$A$4:$A$206,A44)=0,"AIR-ID not in AI Register",IF(OR(AND(N44&lt;&gt;"",NOT(ISNUMBER(N44))),AND(U44&lt;&gt;"",NOT(ISNUMBER(U44)))),"Date field is not a date",IF(OR(S44="",S44="Unsure — assess"),"Art 22A / AIG-OPS-04 tier to assess","Check against source"))))))</f>
        <v/>
      </c>
    </row>
    <row r="45">
      <c r="A45" s="24" t="n"/>
      <c r="B45" s="24" t="n"/>
      <c r="C45" s="24" t="n"/>
      <c r="D45" s="24" t="n"/>
      <c r="E45" s="24" t="n"/>
      <c r="F45" s="24" t="n"/>
      <c r="G45" s="24" t="n"/>
      <c r="H45" s="24" t="n"/>
      <c r="I45" s="24" t="n"/>
      <c r="J45" s="24" t="n"/>
      <c r="K45" s="24" t="n"/>
      <c r="L45" s="24" t="n"/>
      <c r="M45" s="24" t="n"/>
      <c r="N45" s="36" t="n"/>
      <c r="O45" s="24" t="n"/>
      <c r="P45" s="24" t="n"/>
      <c r="Q45" s="24" t="n"/>
      <c r="R45" s="24" t="n"/>
      <c r="S45" s="24" t="n"/>
      <c r="T45" s="24" t="n"/>
      <c r="U45" s="36" t="n"/>
      <c r="V45" s="24">
        <f>IF(COUNTA(A45:U45)=0,"",IF(A45="","AIR-ID missing",IF(COUNTIF($A$4:$A$206,A45)&gt;1,"Duplicate AIR-ID (one row per AIR-ID)",IF(COUNTIF('AI Register'!$A$4:$A$206,A45)=0,"AIR-ID not in AI Register",IF(OR(AND(N45&lt;&gt;"",NOT(ISNUMBER(N45))),AND(U45&lt;&gt;"",NOT(ISNUMBER(U45)))),"Date field is not a date",IF(OR(S45="",S45="Unsure — assess"),"Art 22A / AIG-OPS-04 tier to assess","Check against source"))))))</f>
        <v/>
      </c>
    </row>
    <row r="46">
      <c r="A46" s="22" t="n"/>
      <c r="B46" s="22" t="n"/>
      <c r="C46" s="22" t="n"/>
      <c r="D46" s="22" t="n"/>
      <c r="E46" s="22" t="n"/>
      <c r="F46" s="22" t="n"/>
      <c r="G46" s="22" t="n"/>
      <c r="H46" s="22" t="n"/>
      <c r="I46" s="22" t="n"/>
      <c r="J46" s="22" t="n"/>
      <c r="K46" s="22" t="n"/>
      <c r="L46" s="22" t="n"/>
      <c r="M46" s="22" t="n"/>
      <c r="N46" s="35" t="n"/>
      <c r="O46" s="22" t="n"/>
      <c r="P46" s="22" t="n"/>
      <c r="Q46" s="22" t="n"/>
      <c r="R46" s="22" t="n"/>
      <c r="S46" s="22" t="n"/>
      <c r="T46" s="22" t="n"/>
      <c r="U46" s="35" t="n"/>
      <c r="V46" s="22">
        <f>IF(COUNTA(A46:U46)=0,"",IF(A46="","AIR-ID missing",IF(COUNTIF($A$4:$A$206,A46)&gt;1,"Duplicate AIR-ID (one row per AIR-ID)",IF(COUNTIF('AI Register'!$A$4:$A$206,A46)=0,"AIR-ID not in AI Register",IF(OR(AND(N46&lt;&gt;"",NOT(ISNUMBER(N46))),AND(U46&lt;&gt;"",NOT(ISNUMBER(U46)))),"Date field is not a date",IF(OR(S46="",S46="Unsure — assess"),"Art 22A / AIG-OPS-04 tier to assess","Check against source"))))))</f>
        <v/>
      </c>
    </row>
    <row r="47">
      <c r="A47" s="24" t="n"/>
      <c r="B47" s="24" t="n"/>
      <c r="C47" s="24" t="n"/>
      <c r="D47" s="24" t="n"/>
      <c r="E47" s="24" t="n"/>
      <c r="F47" s="24" t="n"/>
      <c r="G47" s="24" t="n"/>
      <c r="H47" s="24" t="n"/>
      <c r="I47" s="24" t="n"/>
      <c r="J47" s="24" t="n"/>
      <c r="K47" s="24" t="n"/>
      <c r="L47" s="24" t="n"/>
      <c r="M47" s="24" t="n"/>
      <c r="N47" s="36" t="n"/>
      <c r="O47" s="24" t="n"/>
      <c r="P47" s="24" t="n"/>
      <c r="Q47" s="24" t="n"/>
      <c r="R47" s="24" t="n"/>
      <c r="S47" s="24" t="n"/>
      <c r="T47" s="24" t="n"/>
      <c r="U47" s="36" t="n"/>
      <c r="V47" s="24">
        <f>IF(COUNTA(A47:U47)=0,"",IF(A47="","AIR-ID missing",IF(COUNTIF($A$4:$A$206,A47)&gt;1,"Duplicate AIR-ID (one row per AIR-ID)",IF(COUNTIF('AI Register'!$A$4:$A$206,A47)=0,"AIR-ID not in AI Register",IF(OR(AND(N47&lt;&gt;"",NOT(ISNUMBER(N47))),AND(U47&lt;&gt;"",NOT(ISNUMBER(U47)))),"Date field is not a date",IF(OR(S47="",S47="Unsure — assess"),"Art 22A / AIG-OPS-04 tier to assess","Check against source"))))))</f>
        <v/>
      </c>
    </row>
    <row r="48">
      <c r="A48" s="22" t="n"/>
      <c r="B48" s="22" t="n"/>
      <c r="C48" s="22" t="n"/>
      <c r="D48" s="22" t="n"/>
      <c r="E48" s="22" t="n"/>
      <c r="F48" s="22" t="n"/>
      <c r="G48" s="22" t="n"/>
      <c r="H48" s="22" t="n"/>
      <c r="I48" s="22" t="n"/>
      <c r="J48" s="22" t="n"/>
      <c r="K48" s="22" t="n"/>
      <c r="L48" s="22" t="n"/>
      <c r="M48" s="22" t="n"/>
      <c r="N48" s="35" t="n"/>
      <c r="O48" s="22" t="n"/>
      <c r="P48" s="22" t="n"/>
      <c r="Q48" s="22" t="n"/>
      <c r="R48" s="22" t="n"/>
      <c r="S48" s="22" t="n"/>
      <c r="T48" s="22" t="n"/>
      <c r="U48" s="35" t="n"/>
      <c r="V48" s="22">
        <f>IF(COUNTA(A48:U48)=0,"",IF(A48="","AIR-ID missing",IF(COUNTIF($A$4:$A$206,A48)&gt;1,"Duplicate AIR-ID (one row per AIR-ID)",IF(COUNTIF('AI Register'!$A$4:$A$206,A48)=0,"AIR-ID not in AI Register",IF(OR(AND(N48&lt;&gt;"",NOT(ISNUMBER(N48))),AND(U48&lt;&gt;"",NOT(ISNUMBER(U48)))),"Date field is not a date",IF(OR(S48="",S48="Unsure — assess"),"Art 22A / AIG-OPS-04 tier to assess","Check against source"))))))</f>
        <v/>
      </c>
    </row>
    <row r="49">
      <c r="A49" s="24" t="n"/>
      <c r="B49" s="24" t="n"/>
      <c r="C49" s="24" t="n"/>
      <c r="D49" s="24" t="n"/>
      <c r="E49" s="24" t="n"/>
      <c r="F49" s="24" t="n"/>
      <c r="G49" s="24" t="n"/>
      <c r="H49" s="24" t="n"/>
      <c r="I49" s="24" t="n"/>
      <c r="J49" s="24" t="n"/>
      <c r="K49" s="24" t="n"/>
      <c r="L49" s="24" t="n"/>
      <c r="M49" s="24" t="n"/>
      <c r="N49" s="36" t="n"/>
      <c r="O49" s="24" t="n"/>
      <c r="P49" s="24" t="n"/>
      <c r="Q49" s="24" t="n"/>
      <c r="R49" s="24" t="n"/>
      <c r="S49" s="24" t="n"/>
      <c r="T49" s="24" t="n"/>
      <c r="U49" s="36" t="n"/>
      <c r="V49" s="24">
        <f>IF(COUNTA(A49:U49)=0,"",IF(A49="","AIR-ID missing",IF(COUNTIF($A$4:$A$206,A49)&gt;1,"Duplicate AIR-ID (one row per AIR-ID)",IF(COUNTIF('AI Register'!$A$4:$A$206,A49)=0,"AIR-ID not in AI Register",IF(OR(AND(N49&lt;&gt;"",NOT(ISNUMBER(N49))),AND(U49&lt;&gt;"",NOT(ISNUMBER(U49)))),"Date field is not a date",IF(OR(S49="",S49="Unsure — assess"),"Art 22A / AIG-OPS-04 tier to assess","Check against source"))))))</f>
        <v/>
      </c>
    </row>
    <row r="50">
      <c r="A50" s="22" t="n"/>
      <c r="B50" s="22" t="n"/>
      <c r="C50" s="22" t="n"/>
      <c r="D50" s="22" t="n"/>
      <c r="E50" s="22" t="n"/>
      <c r="F50" s="22" t="n"/>
      <c r="G50" s="22" t="n"/>
      <c r="H50" s="22" t="n"/>
      <c r="I50" s="22" t="n"/>
      <c r="J50" s="22" t="n"/>
      <c r="K50" s="22" t="n"/>
      <c r="L50" s="22" t="n"/>
      <c r="M50" s="22" t="n"/>
      <c r="N50" s="35" t="n"/>
      <c r="O50" s="22" t="n"/>
      <c r="P50" s="22" t="n"/>
      <c r="Q50" s="22" t="n"/>
      <c r="R50" s="22" t="n"/>
      <c r="S50" s="22" t="n"/>
      <c r="T50" s="22" t="n"/>
      <c r="U50" s="35" t="n"/>
      <c r="V50" s="22">
        <f>IF(COUNTA(A50:U50)=0,"",IF(A50="","AIR-ID missing",IF(COUNTIF($A$4:$A$206,A50)&gt;1,"Duplicate AIR-ID (one row per AIR-ID)",IF(COUNTIF('AI Register'!$A$4:$A$206,A50)=0,"AIR-ID not in AI Register",IF(OR(AND(N50&lt;&gt;"",NOT(ISNUMBER(N50))),AND(U50&lt;&gt;"",NOT(ISNUMBER(U50)))),"Date field is not a date",IF(OR(S50="",S50="Unsure — assess"),"Art 22A / AIG-OPS-04 tier to assess","Check against source"))))))</f>
        <v/>
      </c>
    </row>
    <row r="51">
      <c r="A51" s="24" t="n"/>
      <c r="B51" s="24" t="n"/>
      <c r="C51" s="24" t="n"/>
      <c r="D51" s="24" t="n"/>
      <c r="E51" s="24" t="n"/>
      <c r="F51" s="24" t="n"/>
      <c r="G51" s="24" t="n"/>
      <c r="H51" s="24" t="n"/>
      <c r="I51" s="24" t="n"/>
      <c r="J51" s="24" t="n"/>
      <c r="K51" s="24" t="n"/>
      <c r="L51" s="24" t="n"/>
      <c r="M51" s="24" t="n"/>
      <c r="N51" s="36" t="n"/>
      <c r="O51" s="24" t="n"/>
      <c r="P51" s="24" t="n"/>
      <c r="Q51" s="24" t="n"/>
      <c r="R51" s="24" t="n"/>
      <c r="S51" s="24" t="n"/>
      <c r="T51" s="24" t="n"/>
      <c r="U51" s="36" t="n"/>
      <c r="V51" s="24">
        <f>IF(COUNTA(A51:U51)=0,"",IF(A51="","AIR-ID missing",IF(COUNTIF($A$4:$A$206,A51)&gt;1,"Duplicate AIR-ID (one row per AIR-ID)",IF(COUNTIF('AI Register'!$A$4:$A$206,A51)=0,"AIR-ID not in AI Register",IF(OR(AND(N51&lt;&gt;"",NOT(ISNUMBER(N51))),AND(U51&lt;&gt;"",NOT(ISNUMBER(U51)))),"Date field is not a date",IF(OR(S51="",S51="Unsure — assess"),"Art 22A / AIG-OPS-04 tier to assess","Check against source"))))))</f>
        <v/>
      </c>
    </row>
    <row r="52">
      <c r="A52" s="22" t="n"/>
      <c r="B52" s="22" t="n"/>
      <c r="C52" s="22" t="n"/>
      <c r="D52" s="22" t="n"/>
      <c r="E52" s="22" t="n"/>
      <c r="F52" s="22" t="n"/>
      <c r="G52" s="22" t="n"/>
      <c r="H52" s="22" t="n"/>
      <c r="I52" s="22" t="n"/>
      <c r="J52" s="22" t="n"/>
      <c r="K52" s="22" t="n"/>
      <c r="L52" s="22" t="n"/>
      <c r="M52" s="22" t="n"/>
      <c r="N52" s="35" t="n"/>
      <c r="O52" s="22" t="n"/>
      <c r="P52" s="22" t="n"/>
      <c r="Q52" s="22" t="n"/>
      <c r="R52" s="22" t="n"/>
      <c r="S52" s="22" t="n"/>
      <c r="T52" s="22" t="n"/>
      <c r="U52" s="35" t="n"/>
      <c r="V52" s="22">
        <f>IF(COUNTA(A52:U52)=0,"",IF(A52="","AIR-ID missing",IF(COUNTIF($A$4:$A$206,A52)&gt;1,"Duplicate AIR-ID (one row per AIR-ID)",IF(COUNTIF('AI Register'!$A$4:$A$206,A52)=0,"AIR-ID not in AI Register",IF(OR(AND(N52&lt;&gt;"",NOT(ISNUMBER(N52))),AND(U52&lt;&gt;"",NOT(ISNUMBER(U52)))),"Date field is not a date",IF(OR(S52="",S52="Unsure — assess"),"Art 22A / AIG-OPS-04 tier to assess","Check against source"))))))</f>
        <v/>
      </c>
    </row>
    <row r="53">
      <c r="A53" s="24" t="n"/>
      <c r="B53" s="24" t="n"/>
      <c r="C53" s="24" t="n"/>
      <c r="D53" s="24" t="n"/>
      <c r="E53" s="24" t="n"/>
      <c r="F53" s="24" t="n"/>
      <c r="G53" s="24" t="n"/>
      <c r="H53" s="24" t="n"/>
      <c r="I53" s="24" t="n"/>
      <c r="J53" s="24" t="n"/>
      <c r="K53" s="24" t="n"/>
      <c r="L53" s="24" t="n"/>
      <c r="M53" s="24" t="n"/>
      <c r="N53" s="36" t="n"/>
      <c r="O53" s="24" t="n"/>
      <c r="P53" s="24" t="n"/>
      <c r="Q53" s="24" t="n"/>
      <c r="R53" s="24" t="n"/>
      <c r="S53" s="24" t="n"/>
      <c r="T53" s="24" t="n"/>
      <c r="U53" s="36" t="n"/>
      <c r="V53" s="24">
        <f>IF(COUNTA(A53:U53)=0,"",IF(A53="","AIR-ID missing",IF(COUNTIF($A$4:$A$206,A53)&gt;1,"Duplicate AIR-ID (one row per AIR-ID)",IF(COUNTIF('AI Register'!$A$4:$A$206,A53)=0,"AIR-ID not in AI Register",IF(OR(AND(N53&lt;&gt;"",NOT(ISNUMBER(N53))),AND(U53&lt;&gt;"",NOT(ISNUMBER(U53)))),"Date field is not a date",IF(OR(S53="",S53="Unsure — assess"),"Art 22A / AIG-OPS-04 tier to assess","Check against source"))))))</f>
        <v/>
      </c>
    </row>
    <row r="54">
      <c r="A54" s="22" t="n"/>
      <c r="B54" s="22" t="n"/>
      <c r="C54" s="22" t="n"/>
      <c r="D54" s="22" t="n"/>
      <c r="E54" s="22" t="n"/>
      <c r="F54" s="22" t="n"/>
      <c r="G54" s="22" t="n"/>
      <c r="H54" s="22" t="n"/>
      <c r="I54" s="22" t="n"/>
      <c r="J54" s="22" t="n"/>
      <c r="K54" s="22" t="n"/>
      <c r="L54" s="22" t="n"/>
      <c r="M54" s="22" t="n"/>
      <c r="N54" s="35" t="n"/>
      <c r="O54" s="22" t="n"/>
      <c r="P54" s="22" t="n"/>
      <c r="Q54" s="22" t="n"/>
      <c r="R54" s="22" t="n"/>
      <c r="S54" s="22" t="n"/>
      <c r="T54" s="22" t="n"/>
      <c r="U54" s="35" t="n"/>
      <c r="V54" s="22">
        <f>IF(COUNTA(A54:U54)=0,"",IF(A54="","AIR-ID missing",IF(COUNTIF($A$4:$A$206,A54)&gt;1,"Duplicate AIR-ID (one row per AIR-ID)",IF(COUNTIF('AI Register'!$A$4:$A$206,A54)=0,"AIR-ID not in AI Register",IF(OR(AND(N54&lt;&gt;"",NOT(ISNUMBER(N54))),AND(U54&lt;&gt;"",NOT(ISNUMBER(U54)))),"Date field is not a date",IF(OR(S54="",S54="Unsure — assess"),"Art 22A / AIG-OPS-04 tier to assess","Check against source"))))))</f>
        <v/>
      </c>
    </row>
    <row r="55">
      <c r="A55" s="24" t="n"/>
      <c r="B55" s="24" t="n"/>
      <c r="C55" s="24" t="n"/>
      <c r="D55" s="24" t="n"/>
      <c r="E55" s="24" t="n"/>
      <c r="F55" s="24" t="n"/>
      <c r="G55" s="24" t="n"/>
      <c r="H55" s="24" t="n"/>
      <c r="I55" s="24" t="n"/>
      <c r="J55" s="24" t="n"/>
      <c r="K55" s="24" t="n"/>
      <c r="L55" s="24" t="n"/>
      <c r="M55" s="24" t="n"/>
      <c r="N55" s="36" t="n"/>
      <c r="O55" s="24" t="n"/>
      <c r="P55" s="24" t="n"/>
      <c r="Q55" s="24" t="n"/>
      <c r="R55" s="24" t="n"/>
      <c r="S55" s="24" t="n"/>
      <c r="T55" s="24" t="n"/>
      <c r="U55" s="36" t="n"/>
      <c r="V55" s="24">
        <f>IF(COUNTA(A55:U55)=0,"",IF(A55="","AIR-ID missing",IF(COUNTIF($A$4:$A$206,A55)&gt;1,"Duplicate AIR-ID (one row per AIR-ID)",IF(COUNTIF('AI Register'!$A$4:$A$206,A55)=0,"AIR-ID not in AI Register",IF(OR(AND(N55&lt;&gt;"",NOT(ISNUMBER(N55))),AND(U55&lt;&gt;"",NOT(ISNUMBER(U55)))),"Date field is not a date",IF(OR(S55="",S55="Unsure — assess"),"Art 22A / AIG-OPS-04 tier to assess","Check against source"))))))</f>
        <v/>
      </c>
    </row>
    <row r="56">
      <c r="A56" s="22" t="n"/>
      <c r="B56" s="22" t="n"/>
      <c r="C56" s="22" t="n"/>
      <c r="D56" s="22" t="n"/>
      <c r="E56" s="22" t="n"/>
      <c r="F56" s="22" t="n"/>
      <c r="G56" s="22" t="n"/>
      <c r="H56" s="22" t="n"/>
      <c r="I56" s="22" t="n"/>
      <c r="J56" s="22" t="n"/>
      <c r="K56" s="22" t="n"/>
      <c r="L56" s="22" t="n"/>
      <c r="M56" s="22" t="n"/>
      <c r="N56" s="35" t="n"/>
      <c r="O56" s="22" t="n"/>
      <c r="P56" s="22" t="n"/>
      <c r="Q56" s="22" t="n"/>
      <c r="R56" s="22" t="n"/>
      <c r="S56" s="22" t="n"/>
      <c r="T56" s="22" t="n"/>
      <c r="U56" s="35" t="n"/>
      <c r="V56" s="22">
        <f>IF(COUNTA(A56:U56)=0,"",IF(A56="","AIR-ID missing",IF(COUNTIF($A$4:$A$206,A56)&gt;1,"Duplicate AIR-ID (one row per AIR-ID)",IF(COUNTIF('AI Register'!$A$4:$A$206,A56)=0,"AIR-ID not in AI Register",IF(OR(AND(N56&lt;&gt;"",NOT(ISNUMBER(N56))),AND(U56&lt;&gt;"",NOT(ISNUMBER(U56)))),"Date field is not a date",IF(OR(S56="",S56="Unsure — assess"),"Art 22A / AIG-OPS-04 tier to assess","Check against source"))))))</f>
        <v/>
      </c>
    </row>
    <row r="57">
      <c r="A57" s="24" t="n"/>
      <c r="B57" s="24" t="n"/>
      <c r="C57" s="24" t="n"/>
      <c r="D57" s="24" t="n"/>
      <c r="E57" s="24" t="n"/>
      <c r="F57" s="24" t="n"/>
      <c r="G57" s="24" t="n"/>
      <c r="H57" s="24" t="n"/>
      <c r="I57" s="24" t="n"/>
      <c r="J57" s="24" t="n"/>
      <c r="K57" s="24" t="n"/>
      <c r="L57" s="24" t="n"/>
      <c r="M57" s="24" t="n"/>
      <c r="N57" s="36" t="n"/>
      <c r="O57" s="24" t="n"/>
      <c r="P57" s="24" t="n"/>
      <c r="Q57" s="24" t="n"/>
      <c r="R57" s="24" t="n"/>
      <c r="S57" s="24" t="n"/>
      <c r="T57" s="24" t="n"/>
      <c r="U57" s="36" t="n"/>
      <c r="V57" s="24">
        <f>IF(COUNTA(A57:U57)=0,"",IF(A57="","AIR-ID missing",IF(COUNTIF($A$4:$A$206,A57)&gt;1,"Duplicate AIR-ID (one row per AIR-ID)",IF(COUNTIF('AI Register'!$A$4:$A$206,A57)=0,"AIR-ID not in AI Register",IF(OR(AND(N57&lt;&gt;"",NOT(ISNUMBER(N57))),AND(U57&lt;&gt;"",NOT(ISNUMBER(U57)))),"Date field is not a date",IF(OR(S57="",S57="Unsure — assess"),"Art 22A / AIG-OPS-04 tier to assess","Check against source"))))))</f>
        <v/>
      </c>
    </row>
    <row r="58">
      <c r="A58" s="22" t="n"/>
      <c r="B58" s="22" t="n"/>
      <c r="C58" s="22" t="n"/>
      <c r="D58" s="22" t="n"/>
      <c r="E58" s="22" t="n"/>
      <c r="F58" s="22" t="n"/>
      <c r="G58" s="22" t="n"/>
      <c r="H58" s="22" t="n"/>
      <c r="I58" s="22" t="n"/>
      <c r="J58" s="22" t="n"/>
      <c r="K58" s="22" t="n"/>
      <c r="L58" s="22" t="n"/>
      <c r="M58" s="22" t="n"/>
      <c r="N58" s="35" t="n"/>
      <c r="O58" s="22" t="n"/>
      <c r="P58" s="22" t="n"/>
      <c r="Q58" s="22" t="n"/>
      <c r="R58" s="22" t="n"/>
      <c r="S58" s="22" t="n"/>
      <c r="T58" s="22" t="n"/>
      <c r="U58" s="35" t="n"/>
      <c r="V58" s="22">
        <f>IF(COUNTA(A58:U58)=0,"",IF(A58="","AIR-ID missing",IF(COUNTIF($A$4:$A$206,A58)&gt;1,"Duplicate AIR-ID (one row per AIR-ID)",IF(COUNTIF('AI Register'!$A$4:$A$206,A58)=0,"AIR-ID not in AI Register",IF(OR(AND(N58&lt;&gt;"",NOT(ISNUMBER(N58))),AND(U58&lt;&gt;"",NOT(ISNUMBER(U58)))),"Date field is not a date",IF(OR(S58="",S58="Unsure — assess"),"Art 22A / AIG-OPS-04 tier to assess","Check against source"))))))</f>
        <v/>
      </c>
    </row>
    <row r="59">
      <c r="A59" s="24" t="n"/>
      <c r="B59" s="24" t="n"/>
      <c r="C59" s="24" t="n"/>
      <c r="D59" s="24" t="n"/>
      <c r="E59" s="24" t="n"/>
      <c r="F59" s="24" t="n"/>
      <c r="G59" s="24" t="n"/>
      <c r="H59" s="24" t="n"/>
      <c r="I59" s="24" t="n"/>
      <c r="J59" s="24" t="n"/>
      <c r="K59" s="24" t="n"/>
      <c r="L59" s="24" t="n"/>
      <c r="M59" s="24" t="n"/>
      <c r="N59" s="36" t="n"/>
      <c r="O59" s="24" t="n"/>
      <c r="P59" s="24" t="n"/>
      <c r="Q59" s="24" t="n"/>
      <c r="R59" s="24" t="n"/>
      <c r="S59" s="24" t="n"/>
      <c r="T59" s="24" t="n"/>
      <c r="U59" s="36" t="n"/>
      <c r="V59" s="24">
        <f>IF(COUNTA(A59:U59)=0,"",IF(A59="","AIR-ID missing",IF(COUNTIF($A$4:$A$206,A59)&gt;1,"Duplicate AIR-ID (one row per AIR-ID)",IF(COUNTIF('AI Register'!$A$4:$A$206,A59)=0,"AIR-ID not in AI Register",IF(OR(AND(N59&lt;&gt;"",NOT(ISNUMBER(N59))),AND(U59&lt;&gt;"",NOT(ISNUMBER(U59)))),"Date field is not a date",IF(OR(S59="",S59="Unsure — assess"),"Art 22A / AIG-OPS-04 tier to assess","Check against source"))))))</f>
        <v/>
      </c>
    </row>
    <row r="60">
      <c r="A60" s="22" t="n"/>
      <c r="B60" s="22" t="n"/>
      <c r="C60" s="22" t="n"/>
      <c r="D60" s="22" t="n"/>
      <c r="E60" s="22" t="n"/>
      <c r="F60" s="22" t="n"/>
      <c r="G60" s="22" t="n"/>
      <c r="H60" s="22" t="n"/>
      <c r="I60" s="22" t="n"/>
      <c r="J60" s="22" t="n"/>
      <c r="K60" s="22" t="n"/>
      <c r="L60" s="22" t="n"/>
      <c r="M60" s="22" t="n"/>
      <c r="N60" s="35" t="n"/>
      <c r="O60" s="22" t="n"/>
      <c r="P60" s="22" t="n"/>
      <c r="Q60" s="22" t="n"/>
      <c r="R60" s="22" t="n"/>
      <c r="S60" s="22" t="n"/>
      <c r="T60" s="22" t="n"/>
      <c r="U60" s="35" t="n"/>
      <c r="V60" s="22">
        <f>IF(COUNTA(A60:U60)=0,"",IF(A60="","AIR-ID missing",IF(COUNTIF($A$4:$A$206,A60)&gt;1,"Duplicate AIR-ID (one row per AIR-ID)",IF(COUNTIF('AI Register'!$A$4:$A$206,A60)=0,"AIR-ID not in AI Register",IF(OR(AND(N60&lt;&gt;"",NOT(ISNUMBER(N60))),AND(U60&lt;&gt;"",NOT(ISNUMBER(U60)))),"Date field is not a date",IF(OR(S60="",S60="Unsure — assess"),"Art 22A / AIG-OPS-04 tier to assess","Check against source"))))))</f>
        <v/>
      </c>
    </row>
    <row r="61">
      <c r="A61" s="24" t="n"/>
      <c r="B61" s="24" t="n"/>
      <c r="C61" s="24" t="n"/>
      <c r="D61" s="24" t="n"/>
      <c r="E61" s="24" t="n"/>
      <c r="F61" s="24" t="n"/>
      <c r="G61" s="24" t="n"/>
      <c r="H61" s="24" t="n"/>
      <c r="I61" s="24" t="n"/>
      <c r="J61" s="24" t="n"/>
      <c r="K61" s="24" t="n"/>
      <c r="L61" s="24" t="n"/>
      <c r="M61" s="24" t="n"/>
      <c r="N61" s="36" t="n"/>
      <c r="O61" s="24" t="n"/>
      <c r="P61" s="24" t="n"/>
      <c r="Q61" s="24" t="n"/>
      <c r="R61" s="24" t="n"/>
      <c r="S61" s="24" t="n"/>
      <c r="T61" s="24" t="n"/>
      <c r="U61" s="36" t="n"/>
      <c r="V61" s="24">
        <f>IF(COUNTA(A61:U61)=0,"",IF(A61="","AIR-ID missing",IF(COUNTIF($A$4:$A$206,A61)&gt;1,"Duplicate AIR-ID (one row per AIR-ID)",IF(COUNTIF('AI Register'!$A$4:$A$206,A61)=0,"AIR-ID not in AI Register",IF(OR(AND(N61&lt;&gt;"",NOT(ISNUMBER(N61))),AND(U61&lt;&gt;"",NOT(ISNUMBER(U61)))),"Date field is not a date",IF(OR(S61="",S61="Unsure — assess"),"Art 22A / AIG-OPS-04 tier to assess","Check against source"))))))</f>
        <v/>
      </c>
    </row>
    <row r="62">
      <c r="A62" s="22" t="n"/>
      <c r="B62" s="22" t="n"/>
      <c r="C62" s="22" t="n"/>
      <c r="D62" s="22" t="n"/>
      <c r="E62" s="22" t="n"/>
      <c r="F62" s="22" t="n"/>
      <c r="G62" s="22" t="n"/>
      <c r="H62" s="22" t="n"/>
      <c r="I62" s="22" t="n"/>
      <c r="J62" s="22" t="n"/>
      <c r="K62" s="22" t="n"/>
      <c r="L62" s="22" t="n"/>
      <c r="M62" s="22" t="n"/>
      <c r="N62" s="35" t="n"/>
      <c r="O62" s="22" t="n"/>
      <c r="P62" s="22" t="n"/>
      <c r="Q62" s="22" t="n"/>
      <c r="R62" s="22" t="n"/>
      <c r="S62" s="22" t="n"/>
      <c r="T62" s="22" t="n"/>
      <c r="U62" s="35" t="n"/>
      <c r="V62" s="22">
        <f>IF(COUNTA(A62:U62)=0,"",IF(A62="","AIR-ID missing",IF(COUNTIF($A$4:$A$206,A62)&gt;1,"Duplicate AIR-ID (one row per AIR-ID)",IF(COUNTIF('AI Register'!$A$4:$A$206,A62)=0,"AIR-ID not in AI Register",IF(OR(AND(N62&lt;&gt;"",NOT(ISNUMBER(N62))),AND(U62&lt;&gt;"",NOT(ISNUMBER(U62)))),"Date field is not a date",IF(OR(S62="",S62="Unsure — assess"),"Art 22A / AIG-OPS-04 tier to assess","Check against source"))))))</f>
        <v/>
      </c>
    </row>
    <row r="63">
      <c r="A63" s="24" t="n"/>
      <c r="B63" s="24" t="n"/>
      <c r="C63" s="24" t="n"/>
      <c r="D63" s="24" t="n"/>
      <c r="E63" s="24" t="n"/>
      <c r="F63" s="24" t="n"/>
      <c r="G63" s="24" t="n"/>
      <c r="H63" s="24" t="n"/>
      <c r="I63" s="24" t="n"/>
      <c r="J63" s="24" t="n"/>
      <c r="K63" s="24" t="n"/>
      <c r="L63" s="24" t="n"/>
      <c r="M63" s="24" t="n"/>
      <c r="N63" s="36" t="n"/>
      <c r="O63" s="24" t="n"/>
      <c r="P63" s="24" t="n"/>
      <c r="Q63" s="24" t="n"/>
      <c r="R63" s="24" t="n"/>
      <c r="S63" s="24" t="n"/>
      <c r="T63" s="24" t="n"/>
      <c r="U63" s="36" t="n"/>
      <c r="V63" s="24">
        <f>IF(COUNTA(A63:U63)=0,"",IF(A63="","AIR-ID missing",IF(COUNTIF($A$4:$A$206,A63)&gt;1,"Duplicate AIR-ID (one row per AIR-ID)",IF(COUNTIF('AI Register'!$A$4:$A$206,A63)=0,"AIR-ID not in AI Register",IF(OR(AND(N63&lt;&gt;"",NOT(ISNUMBER(N63))),AND(U63&lt;&gt;"",NOT(ISNUMBER(U63)))),"Date field is not a date",IF(OR(S63="",S63="Unsure — assess"),"Art 22A / AIG-OPS-04 tier to assess","Check against source"))))))</f>
        <v/>
      </c>
    </row>
    <row r="64">
      <c r="A64" s="22" t="n"/>
      <c r="B64" s="22" t="n"/>
      <c r="C64" s="22" t="n"/>
      <c r="D64" s="22" t="n"/>
      <c r="E64" s="22" t="n"/>
      <c r="F64" s="22" t="n"/>
      <c r="G64" s="22" t="n"/>
      <c r="H64" s="22" t="n"/>
      <c r="I64" s="22" t="n"/>
      <c r="J64" s="22" t="n"/>
      <c r="K64" s="22" t="n"/>
      <c r="L64" s="22" t="n"/>
      <c r="M64" s="22" t="n"/>
      <c r="N64" s="35" t="n"/>
      <c r="O64" s="22" t="n"/>
      <c r="P64" s="22" t="n"/>
      <c r="Q64" s="22" t="n"/>
      <c r="R64" s="22" t="n"/>
      <c r="S64" s="22" t="n"/>
      <c r="T64" s="22" t="n"/>
      <c r="U64" s="35" t="n"/>
      <c r="V64" s="22">
        <f>IF(COUNTA(A64:U64)=0,"",IF(A64="","AIR-ID missing",IF(COUNTIF($A$4:$A$206,A64)&gt;1,"Duplicate AIR-ID (one row per AIR-ID)",IF(COUNTIF('AI Register'!$A$4:$A$206,A64)=0,"AIR-ID not in AI Register",IF(OR(AND(N64&lt;&gt;"",NOT(ISNUMBER(N64))),AND(U64&lt;&gt;"",NOT(ISNUMBER(U64)))),"Date field is not a date",IF(OR(S64="",S64="Unsure — assess"),"Art 22A / AIG-OPS-04 tier to assess","Check against source"))))))</f>
        <v/>
      </c>
    </row>
    <row r="65">
      <c r="A65" s="24" t="n"/>
      <c r="B65" s="24" t="n"/>
      <c r="C65" s="24" t="n"/>
      <c r="D65" s="24" t="n"/>
      <c r="E65" s="24" t="n"/>
      <c r="F65" s="24" t="n"/>
      <c r="G65" s="24" t="n"/>
      <c r="H65" s="24" t="n"/>
      <c r="I65" s="24" t="n"/>
      <c r="J65" s="24" t="n"/>
      <c r="K65" s="24" t="n"/>
      <c r="L65" s="24" t="n"/>
      <c r="M65" s="24" t="n"/>
      <c r="N65" s="36" t="n"/>
      <c r="O65" s="24" t="n"/>
      <c r="P65" s="24" t="n"/>
      <c r="Q65" s="24" t="n"/>
      <c r="R65" s="24" t="n"/>
      <c r="S65" s="24" t="n"/>
      <c r="T65" s="24" t="n"/>
      <c r="U65" s="36" t="n"/>
      <c r="V65" s="24">
        <f>IF(COUNTA(A65:U65)=0,"",IF(A65="","AIR-ID missing",IF(COUNTIF($A$4:$A$206,A65)&gt;1,"Duplicate AIR-ID (one row per AIR-ID)",IF(COUNTIF('AI Register'!$A$4:$A$206,A65)=0,"AIR-ID not in AI Register",IF(OR(AND(N65&lt;&gt;"",NOT(ISNUMBER(N65))),AND(U65&lt;&gt;"",NOT(ISNUMBER(U65)))),"Date field is not a date",IF(OR(S65="",S65="Unsure — assess"),"Art 22A / AIG-OPS-04 tier to assess","Check against source"))))))</f>
        <v/>
      </c>
    </row>
    <row r="66">
      <c r="A66" s="22" t="n"/>
      <c r="B66" s="22" t="n"/>
      <c r="C66" s="22" t="n"/>
      <c r="D66" s="22" t="n"/>
      <c r="E66" s="22" t="n"/>
      <c r="F66" s="22" t="n"/>
      <c r="G66" s="22" t="n"/>
      <c r="H66" s="22" t="n"/>
      <c r="I66" s="22" t="n"/>
      <c r="J66" s="22" t="n"/>
      <c r="K66" s="22" t="n"/>
      <c r="L66" s="22" t="n"/>
      <c r="M66" s="22" t="n"/>
      <c r="N66" s="35" t="n"/>
      <c r="O66" s="22" t="n"/>
      <c r="P66" s="22" t="n"/>
      <c r="Q66" s="22" t="n"/>
      <c r="R66" s="22" t="n"/>
      <c r="S66" s="22" t="n"/>
      <c r="T66" s="22" t="n"/>
      <c r="U66" s="35" t="n"/>
      <c r="V66" s="22">
        <f>IF(COUNTA(A66:U66)=0,"",IF(A66="","AIR-ID missing",IF(COUNTIF($A$4:$A$206,A66)&gt;1,"Duplicate AIR-ID (one row per AIR-ID)",IF(COUNTIF('AI Register'!$A$4:$A$206,A66)=0,"AIR-ID not in AI Register",IF(OR(AND(N66&lt;&gt;"",NOT(ISNUMBER(N66))),AND(U66&lt;&gt;"",NOT(ISNUMBER(U66)))),"Date field is not a date",IF(OR(S66="",S66="Unsure — assess"),"Art 22A / AIG-OPS-04 tier to assess","Check against source"))))))</f>
        <v/>
      </c>
    </row>
    <row r="67">
      <c r="A67" s="24" t="n"/>
      <c r="B67" s="24" t="n"/>
      <c r="C67" s="24" t="n"/>
      <c r="D67" s="24" t="n"/>
      <c r="E67" s="24" t="n"/>
      <c r="F67" s="24" t="n"/>
      <c r="G67" s="24" t="n"/>
      <c r="H67" s="24" t="n"/>
      <c r="I67" s="24" t="n"/>
      <c r="J67" s="24" t="n"/>
      <c r="K67" s="24" t="n"/>
      <c r="L67" s="24" t="n"/>
      <c r="M67" s="24" t="n"/>
      <c r="N67" s="36" t="n"/>
      <c r="O67" s="24" t="n"/>
      <c r="P67" s="24" t="n"/>
      <c r="Q67" s="24" t="n"/>
      <c r="R67" s="24" t="n"/>
      <c r="S67" s="24" t="n"/>
      <c r="T67" s="24" t="n"/>
      <c r="U67" s="36" t="n"/>
      <c r="V67" s="24">
        <f>IF(COUNTA(A67:U67)=0,"",IF(A67="","AIR-ID missing",IF(COUNTIF($A$4:$A$206,A67)&gt;1,"Duplicate AIR-ID (one row per AIR-ID)",IF(COUNTIF('AI Register'!$A$4:$A$206,A67)=0,"AIR-ID not in AI Register",IF(OR(AND(N67&lt;&gt;"",NOT(ISNUMBER(N67))),AND(U67&lt;&gt;"",NOT(ISNUMBER(U67)))),"Date field is not a date",IF(OR(S67="",S67="Unsure — assess"),"Art 22A / AIG-OPS-04 tier to assess","Check against source"))))))</f>
        <v/>
      </c>
    </row>
    <row r="68">
      <c r="A68" s="22" t="n"/>
      <c r="B68" s="22" t="n"/>
      <c r="C68" s="22" t="n"/>
      <c r="D68" s="22" t="n"/>
      <c r="E68" s="22" t="n"/>
      <c r="F68" s="22" t="n"/>
      <c r="G68" s="22" t="n"/>
      <c r="H68" s="22" t="n"/>
      <c r="I68" s="22" t="n"/>
      <c r="J68" s="22" t="n"/>
      <c r="K68" s="22" t="n"/>
      <c r="L68" s="22" t="n"/>
      <c r="M68" s="22" t="n"/>
      <c r="N68" s="35" t="n"/>
      <c r="O68" s="22" t="n"/>
      <c r="P68" s="22" t="n"/>
      <c r="Q68" s="22" t="n"/>
      <c r="R68" s="22" t="n"/>
      <c r="S68" s="22" t="n"/>
      <c r="T68" s="22" t="n"/>
      <c r="U68" s="35" t="n"/>
      <c r="V68" s="22">
        <f>IF(COUNTA(A68:U68)=0,"",IF(A68="","AIR-ID missing",IF(COUNTIF($A$4:$A$206,A68)&gt;1,"Duplicate AIR-ID (one row per AIR-ID)",IF(COUNTIF('AI Register'!$A$4:$A$206,A68)=0,"AIR-ID not in AI Register",IF(OR(AND(N68&lt;&gt;"",NOT(ISNUMBER(N68))),AND(U68&lt;&gt;"",NOT(ISNUMBER(U68)))),"Date field is not a date",IF(OR(S68="",S68="Unsure — assess"),"Art 22A / AIG-OPS-04 tier to assess","Check against source"))))))</f>
        <v/>
      </c>
    </row>
    <row r="69">
      <c r="A69" s="24" t="n"/>
      <c r="B69" s="24" t="n"/>
      <c r="C69" s="24" t="n"/>
      <c r="D69" s="24" t="n"/>
      <c r="E69" s="24" t="n"/>
      <c r="F69" s="24" t="n"/>
      <c r="G69" s="24" t="n"/>
      <c r="H69" s="24" t="n"/>
      <c r="I69" s="24" t="n"/>
      <c r="J69" s="24" t="n"/>
      <c r="K69" s="24" t="n"/>
      <c r="L69" s="24" t="n"/>
      <c r="M69" s="24" t="n"/>
      <c r="N69" s="36" t="n"/>
      <c r="O69" s="24" t="n"/>
      <c r="P69" s="24" t="n"/>
      <c r="Q69" s="24" t="n"/>
      <c r="R69" s="24" t="n"/>
      <c r="S69" s="24" t="n"/>
      <c r="T69" s="24" t="n"/>
      <c r="U69" s="36" t="n"/>
      <c r="V69" s="24">
        <f>IF(COUNTA(A69:U69)=0,"",IF(A69="","AIR-ID missing",IF(COUNTIF($A$4:$A$206,A69)&gt;1,"Duplicate AIR-ID (one row per AIR-ID)",IF(COUNTIF('AI Register'!$A$4:$A$206,A69)=0,"AIR-ID not in AI Register",IF(OR(AND(N69&lt;&gt;"",NOT(ISNUMBER(N69))),AND(U69&lt;&gt;"",NOT(ISNUMBER(U69)))),"Date field is not a date",IF(OR(S69="",S69="Unsure — assess"),"Art 22A / AIG-OPS-04 tier to assess","Check against source"))))))</f>
        <v/>
      </c>
    </row>
    <row r="70">
      <c r="A70" s="22" t="n"/>
      <c r="B70" s="22" t="n"/>
      <c r="C70" s="22" t="n"/>
      <c r="D70" s="22" t="n"/>
      <c r="E70" s="22" t="n"/>
      <c r="F70" s="22" t="n"/>
      <c r="G70" s="22" t="n"/>
      <c r="H70" s="22" t="n"/>
      <c r="I70" s="22" t="n"/>
      <c r="J70" s="22" t="n"/>
      <c r="K70" s="22" t="n"/>
      <c r="L70" s="22" t="n"/>
      <c r="M70" s="22" t="n"/>
      <c r="N70" s="35" t="n"/>
      <c r="O70" s="22" t="n"/>
      <c r="P70" s="22" t="n"/>
      <c r="Q70" s="22" t="n"/>
      <c r="R70" s="22" t="n"/>
      <c r="S70" s="22" t="n"/>
      <c r="T70" s="22" t="n"/>
      <c r="U70" s="35" t="n"/>
      <c r="V70" s="22">
        <f>IF(COUNTA(A70:U70)=0,"",IF(A70="","AIR-ID missing",IF(COUNTIF($A$4:$A$206,A70)&gt;1,"Duplicate AIR-ID (one row per AIR-ID)",IF(COUNTIF('AI Register'!$A$4:$A$206,A70)=0,"AIR-ID not in AI Register",IF(OR(AND(N70&lt;&gt;"",NOT(ISNUMBER(N70))),AND(U70&lt;&gt;"",NOT(ISNUMBER(U70)))),"Date field is not a date",IF(OR(S70="",S70="Unsure — assess"),"Art 22A / AIG-OPS-04 tier to assess","Check against source"))))))</f>
        <v/>
      </c>
    </row>
    <row r="71">
      <c r="A71" s="24" t="n"/>
      <c r="B71" s="24" t="n"/>
      <c r="C71" s="24" t="n"/>
      <c r="D71" s="24" t="n"/>
      <c r="E71" s="24" t="n"/>
      <c r="F71" s="24" t="n"/>
      <c r="G71" s="24" t="n"/>
      <c r="H71" s="24" t="n"/>
      <c r="I71" s="24" t="n"/>
      <c r="J71" s="24" t="n"/>
      <c r="K71" s="24" t="n"/>
      <c r="L71" s="24" t="n"/>
      <c r="M71" s="24" t="n"/>
      <c r="N71" s="36" t="n"/>
      <c r="O71" s="24" t="n"/>
      <c r="P71" s="24" t="n"/>
      <c r="Q71" s="24" t="n"/>
      <c r="R71" s="24" t="n"/>
      <c r="S71" s="24" t="n"/>
      <c r="T71" s="24" t="n"/>
      <c r="U71" s="36" t="n"/>
      <c r="V71" s="24">
        <f>IF(COUNTA(A71:U71)=0,"",IF(A71="","AIR-ID missing",IF(COUNTIF($A$4:$A$206,A71)&gt;1,"Duplicate AIR-ID (one row per AIR-ID)",IF(COUNTIF('AI Register'!$A$4:$A$206,A71)=0,"AIR-ID not in AI Register",IF(OR(AND(N71&lt;&gt;"",NOT(ISNUMBER(N71))),AND(U71&lt;&gt;"",NOT(ISNUMBER(U71)))),"Date field is not a date",IF(OR(S71="",S71="Unsure — assess"),"Art 22A / AIG-OPS-04 tier to assess","Check against source"))))))</f>
        <v/>
      </c>
    </row>
    <row r="72">
      <c r="A72" s="22" t="n"/>
      <c r="B72" s="22" t="n"/>
      <c r="C72" s="22" t="n"/>
      <c r="D72" s="22" t="n"/>
      <c r="E72" s="22" t="n"/>
      <c r="F72" s="22" t="n"/>
      <c r="G72" s="22" t="n"/>
      <c r="H72" s="22" t="n"/>
      <c r="I72" s="22" t="n"/>
      <c r="J72" s="22" t="n"/>
      <c r="K72" s="22" t="n"/>
      <c r="L72" s="22" t="n"/>
      <c r="M72" s="22" t="n"/>
      <c r="N72" s="35" t="n"/>
      <c r="O72" s="22" t="n"/>
      <c r="P72" s="22" t="n"/>
      <c r="Q72" s="22" t="n"/>
      <c r="R72" s="22" t="n"/>
      <c r="S72" s="22" t="n"/>
      <c r="T72" s="22" t="n"/>
      <c r="U72" s="35" t="n"/>
      <c r="V72" s="22">
        <f>IF(COUNTA(A72:U72)=0,"",IF(A72="","AIR-ID missing",IF(COUNTIF($A$4:$A$206,A72)&gt;1,"Duplicate AIR-ID (one row per AIR-ID)",IF(COUNTIF('AI Register'!$A$4:$A$206,A72)=0,"AIR-ID not in AI Register",IF(OR(AND(N72&lt;&gt;"",NOT(ISNUMBER(N72))),AND(U72&lt;&gt;"",NOT(ISNUMBER(U72)))),"Date field is not a date",IF(OR(S72="",S72="Unsure — assess"),"Art 22A / AIG-OPS-04 tier to assess","Check against source"))))))</f>
        <v/>
      </c>
    </row>
    <row r="73">
      <c r="A73" s="24" t="n"/>
      <c r="B73" s="24" t="n"/>
      <c r="C73" s="24" t="n"/>
      <c r="D73" s="24" t="n"/>
      <c r="E73" s="24" t="n"/>
      <c r="F73" s="24" t="n"/>
      <c r="G73" s="24" t="n"/>
      <c r="H73" s="24" t="n"/>
      <c r="I73" s="24" t="n"/>
      <c r="J73" s="24" t="n"/>
      <c r="K73" s="24" t="n"/>
      <c r="L73" s="24" t="n"/>
      <c r="M73" s="24" t="n"/>
      <c r="N73" s="36" t="n"/>
      <c r="O73" s="24" t="n"/>
      <c r="P73" s="24" t="n"/>
      <c r="Q73" s="24" t="n"/>
      <c r="R73" s="24" t="n"/>
      <c r="S73" s="24" t="n"/>
      <c r="T73" s="24" t="n"/>
      <c r="U73" s="36" t="n"/>
      <c r="V73" s="24">
        <f>IF(COUNTA(A73:U73)=0,"",IF(A73="","AIR-ID missing",IF(COUNTIF($A$4:$A$206,A73)&gt;1,"Duplicate AIR-ID (one row per AIR-ID)",IF(COUNTIF('AI Register'!$A$4:$A$206,A73)=0,"AIR-ID not in AI Register",IF(OR(AND(N73&lt;&gt;"",NOT(ISNUMBER(N73))),AND(U73&lt;&gt;"",NOT(ISNUMBER(U73)))),"Date field is not a date",IF(OR(S73="",S73="Unsure — assess"),"Art 22A / AIG-OPS-04 tier to assess","Check against source"))))))</f>
        <v/>
      </c>
    </row>
    <row r="74">
      <c r="A74" s="22" t="n"/>
      <c r="B74" s="22" t="n"/>
      <c r="C74" s="22" t="n"/>
      <c r="D74" s="22" t="n"/>
      <c r="E74" s="22" t="n"/>
      <c r="F74" s="22" t="n"/>
      <c r="G74" s="22" t="n"/>
      <c r="H74" s="22" t="n"/>
      <c r="I74" s="22" t="n"/>
      <c r="J74" s="22" t="n"/>
      <c r="K74" s="22" t="n"/>
      <c r="L74" s="22" t="n"/>
      <c r="M74" s="22" t="n"/>
      <c r="N74" s="35" t="n"/>
      <c r="O74" s="22" t="n"/>
      <c r="P74" s="22" t="n"/>
      <c r="Q74" s="22" t="n"/>
      <c r="R74" s="22" t="n"/>
      <c r="S74" s="22" t="n"/>
      <c r="T74" s="22" t="n"/>
      <c r="U74" s="35" t="n"/>
      <c r="V74" s="22">
        <f>IF(COUNTA(A74:U74)=0,"",IF(A74="","AIR-ID missing",IF(COUNTIF($A$4:$A$206,A74)&gt;1,"Duplicate AIR-ID (one row per AIR-ID)",IF(COUNTIF('AI Register'!$A$4:$A$206,A74)=0,"AIR-ID not in AI Register",IF(OR(AND(N74&lt;&gt;"",NOT(ISNUMBER(N74))),AND(U74&lt;&gt;"",NOT(ISNUMBER(U74)))),"Date field is not a date",IF(OR(S74="",S74="Unsure — assess"),"Art 22A / AIG-OPS-04 tier to assess","Check against source"))))))</f>
        <v/>
      </c>
    </row>
    <row r="75">
      <c r="A75" s="24" t="n"/>
      <c r="B75" s="24" t="n"/>
      <c r="C75" s="24" t="n"/>
      <c r="D75" s="24" t="n"/>
      <c r="E75" s="24" t="n"/>
      <c r="F75" s="24" t="n"/>
      <c r="G75" s="24" t="n"/>
      <c r="H75" s="24" t="n"/>
      <c r="I75" s="24" t="n"/>
      <c r="J75" s="24" t="n"/>
      <c r="K75" s="24" t="n"/>
      <c r="L75" s="24" t="n"/>
      <c r="M75" s="24" t="n"/>
      <c r="N75" s="36" t="n"/>
      <c r="O75" s="24" t="n"/>
      <c r="P75" s="24" t="n"/>
      <c r="Q75" s="24" t="n"/>
      <c r="R75" s="24" t="n"/>
      <c r="S75" s="24" t="n"/>
      <c r="T75" s="24" t="n"/>
      <c r="U75" s="36" t="n"/>
      <c r="V75" s="24">
        <f>IF(COUNTA(A75:U75)=0,"",IF(A75="","AIR-ID missing",IF(COUNTIF($A$4:$A$206,A75)&gt;1,"Duplicate AIR-ID (one row per AIR-ID)",IF(COUNTIF('AI Register'!$A$4:$A$206,A75)=0,"AIR-ID not in AI Register",IF(OR(AND(N75&lt;&gt;"",NOT(ISNUMBER(N75))),AND(U75&lt;&gt;"",NOT(ISNUMBER(U75)))),"Date field is not a date",IF(OR(S75="",S75="Unsure — assess"),"Art 22A / AIG-OPS-04 tier to assess","Check against source"))))))</f>
        <v/>
      </c>
    </row>
    <row r="76">
      <c r="A76" s="22" t="n"/>
      <c r="B76" s="22" t="n"/>
      <c r="C76" s="22" t="n"/>
      <c r="D76" s="22" t="n"/>
      <c r="E76" s="22" t="n"/>
      <c r="F76" s="22" t="n"/>
      <c r="G76" s="22" t="n"/>
      <c r="H76" s="22" t="n"/>
      <c r="I76" s="22" t="n"/>
      <c r="J76" s="22" t="n"/>
      <c r="K76" s="22" t="n"/>
      <c r="L76" s="22" t="n"/>
      <c r="M76" s="22" t="n"/>
      <c r="N76" s="35" t="n"/>
      <c r="O76" s="22" t="n"/>
      <c r="P76" s="22" t="n"/>
      <c r="Q76" s="22" t="n"/>
      <c r="R76" s="22" t="n"/>
      <c r="S76" s="22" t="n"/>
      <c r="T76" s="22" t="n"/>
      <c r="U76" s="35" t="n"/>
      <c r="V76" s="22">
        <f>IF(COUNTA(A76:U76)=0,"",IF(A76="","AIR-ID missing",IF(COUNTIF($A$4:$A$206,A76)&gt;1,"Duplicate AIR-ID (one row per AIR-ID)",IF(COUNTIF('AI Register'!$A$4:$A$206,A76)=0,"AIR-ID not in AI Register",IF(OR(AND(N76&lt;&gt;"",NOT(ISNUMBER(N76))),AND(U76&lt;&gt;"",NOT(ISNUMBER(U76)))),"Date field is not a date",IF(OR(S76="",S76="Unsure — assess"),"Art 22A / AIG-OPS-04 tier to assess","Check against source"))))))</f>
        <v/>
      </c>
    </row>
    <row r="77">
      <c r="A77" s="24" t="n"/>
      <c r="B77" s="24" t="n"/>
      <c r="C77" s="24" t="n"/>
      <c r="D77" s="24" t="n"/>
      <c r="E77" s="24" t="n"/>
      <c r="F77" s="24" t="n"/>
      <c r="G77" s="24" t="n"/>
      <c r="H77" s="24" t="n"/>
      <c r="I77" s="24" t="n"/>
      <c r="J77" s="24" t="n"/>
      <c r="K77" s="24" t="n"/>
      <c r="L77" s="24" t="n"/>
      <c r="M77" s="24" t="n"/>
      <c r="N77" s="36" t="n"/>
      <c r="O77" s="24" t="n"/>
      <c r="P77" s="24" t="n"/>
      <c r="Q77" s="24" t="n"/>
      <c r="R77" s="24" t="n"/>
      <c r="S77" s="24" t="n"/>
      <c r="T77" s="24" t="n"/>
      <c r="U77" s="36" t="n"/>
      <c r="V77" s="24">
        <f>IF(COUNTA(A77:U77)=0,"",IF(A77="","AIR-ID missing",IF(COUNTIF($A$4:$A$206,A77)&gt;1,"Duplicate AIR-ID (one row per AIR-ID)",IF(COUNTIF('AI Register'!$A$4:$A$206,A77)=0,"AIR-ID not in AI Register",IF(OR(AND(N77&lt;&gt;"",NOT(ISNUMBER(N77))),AND(U77&lt;&gt;"",NOT(ISNUMBER(U77)))),"Date field is not a date",IF(OR(S77="",S77="Unsure — assess"),"Art 22A / AIG-OPS-04 tier to assess","Check against source"))))))</f>
        <v/>
      </c>
    </row>
    <row r="78">
      <c r="A78" s="22" t="n"/>
      <c r="B78" s="22" t="n"/>
      <c r="C78" s="22" t="n"/>
      <c r="D78" s="22" t="n"/>
      <c r="E78" s="22" t="n"/>
      <c r="F78" s="22" t="n"/>
      <c r="G78" s="22" t="n"/>
      <c r="H78" s="22" t="n"/>
      <c r="I78" s="22" t="n"/>
      <c r="J78" s="22" t="n"/>
      <c r="K78" s="22" t="n"/>
      <c r="L78" s="22" t="n"/>
      <c r="M78" s="22" t="n"/>
      <c r="N78" s="35" t="n"/>
      <c r="O78" s="22" t="n"/>
      <c r="P78" s="22" t="n"/>
      <c r="Q78" s="22" t="n"/>
      <c r="R78" s="22" t="n"/>
      <c r="S78" s="22" t="n"/>
      <c r="T78" s="22" t="n"/>
      <c r="U78" s="35" t="n"/>
      <c r="V78" s="22">
        <f>IF(COUNTA(A78:U78)=0,"",IF(A78="","AIR-ID missing",IF(COUNTIF($A$4:$A$206,A78)&gt;1,"Duplicate AIR-ID (one row per AIR-ID)",IF(COUNTIF('AI Register'!$A$4:$A$206,A78)=0,"AIR-ID not in AI Register",IF(OR(AND(N78&lt;&gt;"",NOT(ISNUMBER(N78))),AND(U78&lt;&gt;"",NOT(ISNUMBER(U78)))),"Date field is not a date",IF(OR(S78="",S78="Unsure — assess"),"Art 22A / AIG-OPS-04 tier to assess","Check against source"))))))</f>
        <v/>
      </c>
    </row>
    <row r="79">
      <c r="A79" s="24" t="n"/>
      <c r="B79" s="24" t="n"/>
      <c r="C79" s="24" t="n"/>
      <c r="D79" s="24" t="n"/>
      <c r="E79" s="24" t="n"/>
      <c r="F79" s="24" t="n"/>
      <c r="G79" s="24" t="n"/>
      <c r="H79" s="24" t="n"/>
      <c r="I79" s="24" t="n"/>
      <c r="J79" s="24" t="n"/>
      <c r="K79" s="24" t="n"/>
      <c r="L79" s="24" t="n"/>
      <c r="M79" s="24" t="n"/>
      <c r="N79" s="36" t="n"/>
      <c r="O79" s="24" t="n"/>
      <c r="P79" s="24" t="n"/>
      <c r="Q79" s="24" t="n"/>
      <c r="R79" s="24" t="n"/>
      <c r="S79" s="24" t="n"/>
      <c r="T79" s="24" t="n"/>
      <c r="U79" s="36" t="n"/>
      <c r="V79" s="24">
        <f>IF(COUNTA(A79:U79)=0,"",IF(A79="","AIR-ID missing",IF(COUNTIF($A$4:$A$206,A79)&gt;1,"Duplicate AIR-ID (one row per AIR-ID)",IF(COUNTIF('AI Register'!$A$4:$A$206,A79)=0,"AIR-ID not in AI Register",IF(OR(AND(N79&lt;&gt;"",NOT(ISNUMBER(N79))),AND(U79&lt;&gt;"",NOT(ISNUMBER(U79)))),"Date field is not a date",IF(OR(S79="",S79="Unsure — assess"),"Art 22A / AIG-OPS-04 tier to assess","Check against source"))))))</f>
        <v/>
      </c>
    </row>
    <row r="80">
      <c r="A80" s="22" t="n"/>
      <c r="B80" s="22" t="n"/>
      <c r="C80" s="22" t="n"/>
      <c r="D80" s="22" t="n"/>
      <c r="E80" s="22" t="n"/>
      <c r="F80" s="22" t="n"/>
      <c r="G80" s="22" t="n"/>
      <c r="H80" s="22" t="n"/>
      <c r="I80" s="22" t="n"/>
      <c r="J80" s="22" t="n"/>
      <c r="K80" s="22" t="n"/>
      <c r="L80" s="22" t="n"/>
      <c r="M80" s="22" t="n"/>
      <c r="N80" s="35" t="n"/>
      <c r="O80" s="22" t="n"/>
      <c r="P80" s="22" t="n"/>
      <c r="Q80" s="22" t="n"/>
      <c r="R80" s="22" t="n"/>
      <c r="S80" s="22" t="n"/>
      <c r="T80" s="22" t="n"/>
      <c r="U80" s="35" t="n"/>
      <c r="V80" s="22">
        <f>IF(COUNTA(A80:U80)=0,"",IF(A80="","AIR-ID missing",IF(COUNTIF($A$4:$A$206,A80)&gt;1,"Duplicate AIR-ID (one row per AIR-ID)",IF(COUNTIF('AI Register'!$A$4:$A$206,A80)=0,"AIR-ID not in AI Register",IF(OR(AND(N80&lt;&gt;"",NOT(ISNUMBER(N80))),AND(U80&lt;&gt;"",NOT(ISNUMBER(U80)))),"Date field is not a date",IF(OR(S80="",S80="Unsure — assess"),"Art 22A / AIG-OPS-04 tier to assess","Check against source"))))))</f>
        <v/>
      </c>
    </row>
    <row r="81">
      <c r="A81" s="24" t="n"/>
      <c r="B81" s="24" t="n"/>
      <c r="C81" s="24" t="n"/>
      <c r="D81" s="24" t="n"/>
      <c r="E81" s="24" t="n"/>
      <c r="F81" s="24" t="n"/>
      <c r="G81" s="24" t="n"/>
      <c r="H81" s="24" t="n"/>
      <c r="I81" s="24" t="n"/>
      <c r="J81" s="24" t="n"/>
      <c r="K81" s="24" t="n"/>
      <c r="L81" s="24" t="n"/>
      <c r="M81" s="24" t="n"/>
      <c r="N81" s="36" t="n"/>
      <c r="O81" s="24" t="n"/>
      <c r="P81" s="24" t="n"/>
      <c r="Q81" s="24" t="n"/>
      <c r="R81" s="24" t="n"/>
      <c r="S81" s="24" t="n"/>
      <c r="T81" s="24" t="n"/>
      <c r="U81" s="36" t="n"/>
      <c r="V81" s="24">
        <f>IF(COUNTA(A81:U81)=0,"",IF(A81="","AIR-ID missing",IF(COUNTIF($A$4:$A$206,A81)&gt;1,"Duplicate AIR-ID (one row per AIR-ID)",IF(COUNTIF('AI Register'!$A$4:$A$206,A81)=0,"AIR-ID not in AI Register",IF(OR(AND(N81&lt;&gt;"",NOT(ISNUMBER(N81))),AND(U81&lt;&gt;"",NOT(ISNUMBER(U81)))),"Date field is not a date",IF(OR(S81="",S81="Unsure — assess"),"Art 22A / AIG-OPS-04 tier to assess","Check against source"))))))</f>
        <v/>
      </c>
    </row>
    <row r="82">
      <c r="A82" s="22" t="n"/>
      <c r="B82" s="22" t="n"/>
      <c r="C82" s="22" t="n"/>
      <c r="D82" s="22" t="n"/>
      <c r="E82" s="22" t="n"/>
      <c r="F82" s="22" t="n"/>
      <c r="G82" s="22" t="n"/>
      <c r="H82" s="22" t="n"/>
      <c r="I82" s="22" t="n"/>
      <c r="J82" s="22" t="n"/>
      <c r="K82" s="22" t="n"/>
      <c r="L82" s="22" t="n"/>
      <c r="M82" s="22" t="n"/>
      <c r="N82" s="35" t="n"/>
      <c r="O82" s="22" t="n"/>
      <c r="P82" s="22" t="n"/>
      <c r="Q82" s="22" t="n"/>
      <c r="R82" s="22" t="n"/>
      <c r="S82" s="22" t="n"/>
      <c r="T82" s="22" t="n"/>
      <c r="U82" s="35" t="n"/>
      <c r="V82" s="22">
        <f>IF(COUNTA(A82:U82)=0,"",IF(A82="","AIR-ID missing",IF(COUNTIF($A$4:$A$206,A82)&gt;1,"Duplicate AIR-ID (one row per AIR-ID)",IF(COUNTIF('AI Register'!$A$4:$A$206,A82)=0,"AIR-ID not in AI Register",IF(OR(AND(N82&lt;&gt;"",NOT(ISNUMBER(N82))),AND(U82&lt;&gt;"",NOT(ISNUMBER(U82)))),"Date field is not a date",IF(OR(S82="",S82="Unsure — assess"),"Art 22A / AIG-OPS-04 tier to assess","Check against source"))))))</f>
        <v/>
      </c>
    </row>
    <row r="83">
      <c r="A83" s="24" t="n"/>
      <c r="B83" s="24" t="n"/>
      <c r="C83" s="24" t="n"/>
      <c r="D83" s="24" t="n"/>
      <c r="E83" s="24" t="n"/>
      <c r="F83" s="24" t="n"/>
      <c r="G83" s="24" t="n"/>
      <c r="H83" s="24" t="n"/>
      <c r="I83" s="24" t="n"/>
      <c r="J83" s="24" t="n"/>
      <c r="K83" s="24" t="n"/>
      <c r="L83" s="24" t="n"/>
      <c r="M83" s="24" t="n"/>
      <c r="N83" s="36" t="n"/>
      <c r="O83" s="24" t="n"/>
      <c r="P83" s="24" t="n"/>
      <c r="Q83" s="24" t="n"/>
      <c r="R83" s="24" t="n"/>
      <c r="S83" s="24" t="n"/>
      <c r="T83" s="24" t="n"/>
      <c r="U83" s="36" t="n"/>
      <c r="V83" s="24">
        <f>IF(COUNTA(A83:U83)=0,"",IF(A83="","AIR-ID missing",IF(COUNTIF($A$4:$A$206,A83)&gt;1,"Duplicate AIR-ID (one row per AIR-ID)",IF(COUNTIF('AI Register'!$A$4:$A$206,A83)=0,"AIR-ID not in AI Register",IF(OR(AND(N83&lt;&gt;"",NOT(ISNUMBER(N83))),AND(U83&lt;&gt;"",NOT(ISNUMBER(U83)))),"Date field is not a date",IF(OR(S83="",S83="Unsure — assess"),"Art 22A / AIG-OPS-04 tier to assess","Check against source"))))))</f>
        <v/>
      </c>
    </row>
    <row r="84">
      <c r="A84" s="22" t="n"/>
      <c r="B84" s="22" t="n"/>
      <c r="C84" s="22" t="n"/>
      <c r="D84" s="22" t="n"/>
      <c r="E84" s="22" t="n"/>
      <c r="F84" s="22" t="n"/>
      <c r="G84" s="22" t="n"/>
      <c r="H84" s="22" t="n"/>
      <c r="I84" s="22" t="n"/>
      <c r="J84" s="22" t="n"/>
      <c r="K84" s="22" t="n"/>
      <c r="L84" s="22" t="n"/>
      <c r="M84" s="22" t="n"/>
      <c r="N84" s="35" t="n"/>
      <c r="O84" s="22" t="n"/>
      <c r="P84" s="22" t="n"/>
      <c r="Q84" s="22" t="n"/>
      <c r="R84" s="22" t="n"/>
      <c r="S84" s="22" t="n"/>
      <c r="T84" s="22" t="n"/>
      <c r="U84" s="35" t="n"/>
      <c r="V84" s="22">
        <f>IF(COUNTA(A84:U84)=0,"",IF(A84="","AIR-ID missing",IF(COUNTIF($A$4:$A$206,A84)&gt;1,"Duplicate AIR-ID (one row per AIR-ID)",IF(COUNTIF('AI Register'!$A$4:$A$206,A84)=0,"AIR-ID not in AI Register",IF(OR(AND(N84&lt;&gt;"",NOT(ISNUMBER(N84))),AND(U84&lt;&gt;"",NOT(ISNUMBER(U84)))),"Date field is not a date",IF(OR(S84="",S84="Unsure — assess"),"Art 22A / AIG-OPS-04 tier to assess","Check against source"))))))</f>
        <v/>
      </c>
    </row>
    <row r="85">
      <c r="A85" s="24" t="n"/>
      <c r="B85" s="24" t="n"/>
      <c r="C85" s="24" t="n"/>
      <c r="D85" s="24" t="n"/>
      <c r="E85" s="24" t="n"/>
      <c r="F85" s="24" t="n"/>
      <c r="G85" s="24" t="n"/>
      <c r="H85" s="24" t="n"/>
      <c r="I85" s="24" t="n"/>
      <c r="J85" s="24" t="n"/>
      <c r="K85" s="24" t="n"/>
      <c r="L85" s="24" t="n"/>
      <c r="M85" s="24" t="n"/>
      <c r="N85" s="36" t="n"/>
      <c r="O85" s="24" t="n"/>
      <c r="P85" s="24" t="n"/>
      <c r="Q85" s="24" t="n"/>
      <c r="R85" s="24" t="n"/>
      <c r="S85" s="24" t="n"/>
      <c r="T85" s="24" t="n"/>
      <c r="U85" s="36" t="n"/>
      <c r="V85" s="24">
        <f>IF(COUNTA(A85:U85)=0,"",IF(A85="","AIR-ID missing",IF(COUNTIF($A$4:$A$206,A85)&gt;1,"Duplicate AIR-ID (one row per AIR-ID)",IF(COUNTIF('AI Register'!$A$4:$A$206,A85)=0,"AIR-ID not in AI Register",IF(OR(AND(N85&lt;&gt;"",NOT(ISNUMBER(N85))),AND(U85&lt;&gt;"",NOT(ISNUMBER(U85)))),"Date field is not a date",IF(OR(S85="",S85="Unsure — assess"),"Art 22A / AIG-OPS-04 tier to assess","Check against source"))))))</f>
        <v/>
      </c>
    </row>
    <row r="86">
      <c r="A86" s="22" t="n"/>
      <c r="B86" s="22" t="n"/>
      <c r="C86" s="22" t="n"/>
      <c r="D86" s="22" t="n"/>
      <c r="E86" s="22" t="n"/>
      <c r="F86" s="22" t="n"/>
      <c r="G86" s="22" t="n"/>
      <c r="H86" s="22" t="n"/>
      <c r="I86" s="22" t="n"/>
      <c r="J86" s="22" t="n"/>
      <c r="K86" s="22" t="n"/>
      <c r="L86" s="22" t="n"/>
      <c r="M86" s="22" t="n"/>
      <c r="N86" s="35" t="n"/>
      <c r="O86" s="22" t="n"/>
      <c r="P86" s="22" t="n"/>
      <c r="Q86" s="22" t="n"/>
      <c r="R86" s="22" t="n"/>
      <c r="S86" s="22" t="n"/>
      <c r="T86" s="22" t="n"/>
      <c r="U86" s="35" t="n"/>
      <c r="V86" s="22">
        <f>IF(COUNTA(A86:U86)=0,"",IF(A86="","AIR-ID missing",IF(COUNTIF($A$4:$A$206,A86)&gt;1,"Duplicate AIR-ID (one row per AIR-ID)",IF(COUNTIF('AI Register'!$A$4:$A$206,A86)=0,"AIR-ID not in AI Register",IF(OR(AND(N86&lt;&gt;"",NOT(ISNUMBER(N86))),AND(U86&lt;&gt;"",NOT(ISNUMBER(U86)))),"Date field is not a date",IF(OR(S86="",S86="Unsure — assess"),"Art 22A / AIG-OPS-04 tier to assess","Check against source"))))))</f>
        <v/>
      </c>
    </row>
    <row r="87">
      <c r="A87" s="24" t="n"/>
      <c r="B87" s="24" t="n"/>
      <c r="C87" s="24" t="n"/>
      <c r="D87" s="24" t="n"/>
      <c r="E87" s="24" t="n"/>
      <c r="F87" s="24" t="n"/>
      <c r="G87" s="24" t="n"/>
      <c r="H87" s="24" t="n"/>
      <c r="I87" s="24" t="n"/>
      <c r="J87" s="24" t="n"/>
      <c r="K87" s="24" t="n"/>
      <c r="L87" s="24" t="n"/>
      <c r="M87" s="24" t="n"/>
      <c r="N87" s="36" t="n"/>
      <c r="O87" s="24" t="n"/>
      <c r="P87" s="24" t="n"/>
      <c r="Q87" s="24" t="n"/>
      <c r="R87" s="24" t="n"/>
      <c r="S87" s="24" t="n"/>
      <c r="T87" s="24" t="n"/>
      <c r="U87" s="36" t="n"/>
      <c r="V87" s="24">
        <f>IF(COUNTA(A87:U87)=0,"",IF(A87="","AIR-ID missing",IF(COUNTIF($A$4:$A$206,A87)&gt;1,"Duplicate AIR-ID (one row per AIR-ID)",IF(COUNTIF('AI Register'!$A$4:$A$206,A87)=0,"AIR-ID not in AI Register",IF(OR(AND(N87&lt;&gt;"",NOT(ISNUMBER(N87))),AND(U87&lt;&gt;"",NOT(ISNUMBER(U87)))),"Date field is not a date",IF(OR(S87="",S87="Unsure — assess"),"Art 22A / AIG-OPS-04 tier to assess","Check against source"))))))</f>
        <v/>
      </c>
    </row>
    <row r="88">
      <c r="A88" s="22" t="n"/>
      <c r="B88" s="22" t="n"/>
      <c r="C88" s="22" t="n"/>
      <c r="D88" s="22" t="n"/>
      <c r="E88" s="22" t="n"/>
      <c r="F88" s="22" t="n"/>
      <c r="G88" s="22" t="n"/>
      <c r="H88" s="22" t="n"/>
      <c r="I88" s="22" t="n"/>
      <c r="J88" s="22" t="n"/>
      <c r="K88" s="22" t="n"/>
      <c r="L88" s="22" t="n"/>
      <c r="M88" s="22" t="n"/>
      <c r="N88" s="35" t="n"/>
      <c r="O88" s="22" t="n"/>
      <c r="P88" s="22" t="n"/>
      <c r="Q88" s="22" t="n"/>
      <c r="R88" s="22" t="n"/>
      <c r="S88" s="22" t="n"/>
      <c r="T88" s="22" t="n"/>
      <c r="U88" s="35" t="n"/>
      <c r="V88" s="22">
        <f>IF(COUNTA(A88:U88)=0,"",IF(A88="","AIR-ID missing",IF(COUNTIF($A$4:$A$206,A88)&gt;1,"Duplicate AIR-ID (one row per AIR-ID)",IF(COUNTIF('AI Register'!$A$4:$A$206,A88)=0,"AIR-ID not in AI Register",IF(OR(AND(N88&lt;&gt;"",NOT(ISNUMBER(N88))),AND(U88&lt;&gt;"",NOT(ISNUMBER(U88)))),"Date field is not a date",IF(OR(S88="",S88="Unsure — assess"),"Art 22A / AIG-OPS-04 tier to assess","Check against source"))))))</f>
        <v/>
      </c>
    </row>
    <row r="89">
      <c r="A89" s="24" t="n"/>
      <c r="B89" s="24" t="n"/>
      <c r="C89" s="24" t="n"/>
      <c r="D89" s="24" t="n"/>
      <c r="E89" s="24" t="n"/>
      <c r="F89" s="24" t="n"/>
      <c r="G89" s="24" t="n"/>
      <c r="H89" s="24" t="n"/>
      <c r="I89" s="24" t="n"/>
      <c r="J89" s="24" t="n"/>
      <c r="K89" s="24" t="n"/>
      <c r="L89" s="24" t="n"/>
      <c r="M89" s="24" t="n"/>
      <c r="N89" s="36" t="n"/>
      <c r="O89" s="24" t="n"/>
      <c r="P89" s="24" t="n"/>
      <c r="Q89" s="24" t="n"/>
      <c r="R89" s="24" t="n"/>
      <c r="S89" s="24" t="n"/>
      <c r="T89" s="24" t="n"/>
      <c r="U89" s="36" t="n"/>
      <c r="V89" s="24">
        <f>IF(COUNTA(A89:U89)=0,"",IF(A89="","AIR-ID missing",IF(COUNTIF($A$4:$A$206,A89)&gt;1,"Duplicate AIR-ID (one row per AIR-ID)",IF(COUNTIF('AI Register'!$A$4:$A$206,A89)=0,"AIR-ID not in AI Register",IF(OR(AND(N89&lt;&gt;"",NOT(ISNUMBER(N89))),AND(U89&lt;&gt;"",NOT(ISNUMBER(U89)))),"Date field is not a date",IF(OR(S89="",S89="Unsure — assess"),"Art 22A / AIG-OPS-04 tier to assess","Check against source"))))))</f>
        <v/>
      </c>
    </row>
    <row r="90">
      <c r="A90" s="22" t="n"/>
      <c r="B90" s="22" t="n"/>
      <c r="C90" s="22" t="n"/>
      <c r="D90" s="22" t="n"/>
      <c r="E90" s="22" t="n"/>
      <c r="F90" s="22" t="n"/>
      <c r="G90" s="22" t="n"/>
      <c r="H90" s="22" t="n"/>
      <c r="I90" s="22" t="n"/>
      <c r="J90" s="22" t="n"/>
      <c r="K90" s="22" t="n"/>
      <c r="L90" s="22" t="n"/>
      <c r="M90" s="22" t="n"/>
      <c r="N90" s="35" t="n"/>
      <c r="O90" s="22" t="n"/>
      <c r="P90" s="22" t="n"/>
      <c r="Q90" s="22" t="n"/>
      <c r="R90" s="22" t="n"/>
      <c r="S90" s="22" t="n"/>
      <c r="T90" s="22" t="n"/>
      <c r="U90" s="35" t="n"/>
      <c r="V90" s="22">
        <f>IF(COUNTA(A90:U90)=0,"",IF(A90="","AIR-ID missing",IF(COUNTIF($A$4:$A$206,A90)&gt;1,"Duplicate AIR-ID (one row per AIR-ID)",IF(COUNTIF('AI Register'!$A$4:$A$206,A90)=0,"AIR-ID not in AI Register",IF(OR(AND(N90&lt;&gt;"",NOT(ISNUMBER(N90))),AND(U90&lt;&gt;"",NOT(ISNUMBER(U90)))),"Date field is not a date",IF(OR(S90="",S90="Unsure — assess"),"Art 22A / AIG-OPS-04 tier to assess","Check against source"))))))</f>
        <v/>
      </c>
    </row>
    <row r="91">
      <c r="A91" s="24" t="n"/>
      <c r="B91" s="24" t="n"/>
      <c r="C91" s="24" t="n"/>
      <c r="D91" s="24" t="n"/>
      <c r="E91" s="24" t="n"/>
      <c r="F91" s="24" t="n"/>
      <c r="G91" s="24" t="n"/>
      <c r="H91" s="24" t="n"/>
      <c r="I91" s="24" t="n"/>
      <c r="J91" s="24" t="n"/>
      <c r="K91" s="24" t="n"/>
      <c r="L91" s="24" t="n"/>
      <c r="M91" s="24" t="n"/>
      <c r="N91" s="36" t="n"/>
      <c r="O91" s="24" t="n"/>
      <c r="P91" s="24" t="n"/>
      <c r="Q91" s="24" t="n"/>
      <c r="R91" s="24" t="n"/>
      <c r="S91" s="24" t="n"/>
      <c r="T91" s="24" t="n"/>
      <c r="U91" s="36" t="n"/>
      <c r="V91" s="24">
        <f>IF(COUNTA(A91:U91)=0,"",IF(A91="","AIR-ID missing",IF(COUNTIF($A$4:$A$206,A91)&gt;1,"Duplicate AIR-ID (one row per AIR-ID)",IF(COUNTIF('AI Register'!$A$4:$A$206,A91)=0,"AIR-ID not in AI Register",IF(OR(AND(N91&lt;&gt;"",NOT(ISNUMBER(N91))),AND(U91&lt;&gt;"",NOT(ISNUMBER(U91)))),"Date field is not a date",IF(OR(S91="",S91="Unsure — assess"),"Art 22A / AIG-OPS-04 tier to assess","Check against source"))))))</f>
        <v/>
      </c>
    </row>
    <row r="92">
      <c r="A92" s="22" t="n"/>
      <c r="B92" s="22" t="n"/>
      <c r="C92" s="22" t="n"/>
      <c r="D92" s="22" t="n"/>
      <c r="E92" s="22" t="n"/>
      <c r="F92" s="22" t="n"/>
      <c r="G92" s="22" t="n"/>
      <c r="H92" s="22" t="n"/>
      <c r="I92" s="22" t="n"/>
      <c r="J92" s="22" t="n"/>
      <c r="K92" s="22" t="n"/>
      <c r="L92" s="22" t="n"/>
      <c r="M92" s="22" t="n"/>
      <c r="N92" s="35" t="n"/>
      <c r="O92" s="22" t="n"/>
      <c r="P92" s="22" t="n"/>
      <c r="Q92" s="22" t="n"/>
      <c r="R92" s="22" t="n"/>
      <c r="S92" s="22" t="n"/>
      <c r="T92" s="22" t="n"/>
      <c r="U92" s="35" t="n"/>
      <c r="V92" s="22">
        <f>IF(COUNTA(A92:U92)=0,"",IF(A92="","AIR-ID missing",IF(COUNTIF($A$4:$A$206,A92)&gt;1,"Duplicate AIR-ID (one row per AIR-ID)",IF(COUNTIF('AI Register'!$A$4:$A$206,A92)=0,"AIR-ID not in AI Register",IF(OR(AND(N92&lt;&gt;"",NOT(ISNUMBER(N92))),AND(U92&lt;&gt;"",NOT(ISNUMBER(U92)))),"Date field is not a date",IF(OR(S92="",S92="Unsure — assess"),"Art 22A / AIG-OPS-04 tier to assess","Check against source"))))))</f>
        <v/>
      </c>
    </row>
    <row r="93">
      <c r="A93" s="24" t="n"/>
      <c r="B93" s="24" t="n"/>
      <c r="C93" s="24" t="n"/>
      <c r="D93" s="24" t="n"/>
      <c r="E93" s="24" t="n"/>
      <c r="F93" s="24" t="n"/>
      <c r="G93" s="24" t="n"/>
      <c r="H93" s="24" t="n"/>
      <c r="I93" s="24" t="n"/>
      <c r="J93" s="24" t="n"/>
      <c r="K93" s="24" t="n"/>
      <c r="L93" s="24" t="n"/>
      <c r="M93" s="24" t="n"/>
      <c r="N93" s="36" t="n"/>
      <c r="O93" s="24" t="n"/>
      <c r="P93" s="24" t="n"/>
      <c r="Q93" s="24" t="n"/>
      <c r="R93" s="24" t="n"/>
      <c r="S93" s="24" t="n"/>
      <c r="T93" s="24" t="n"/>
      <c r="U93" s="36" t="n"/>
      <c r="V93" s="24">
        <f>IF(COUNTA(A93:U93)=0,"",IF(A93="","AIR-ID missing",IF(COUNTIF($A$4:$A$206,A93)&gt;1,"Duplicate AIR-ID (one row per AIR-ID)",IF(COUNTIF('AI Register'!$A$4:$A$206,A93)=0,"AIR-ID not in AI Register",IF(OR(AND(N93&lt;&gt;"",NOT(ISNUMBER(N93))),AND(U93&lt;&gt;"",NOT(ISNUMBER(U93)))),"Date field is not a date",IF(OR(S93="",S93="Unsure — assess"),"Art 22A / AIG-OPS-04 tier to assess","Check against source"))))))</f>
        <v/>
      </c>
    </row>
    <row r="94">
      <c r="A94" s="22" t="n"/>
      <c r="B94" s="22" t="n"/>
      <c r="C94" s="22" t="n"/>
      <c r="D94" s="22" t="n"/>
      <c r="E94" s="22" t="n"/>
      <c r="F94" s="22" t="n"/>
      <c r="G94" s="22" t="n"/>
      <c r="H94" s="22" t="n"/>
      <c r="I94" s="22" t="n"/>
      <c r="J94" s="22" t="n"/>
      <c r="K94" s="22" t="n"/>
      <c r="L94" s="22" t="n"/>
      <c r="M94" s="22" t="n"/>
      <c r="N94" s="35" t="n"/>
      <c r="O94" s="22" t="n"/>
      <c r="P94" s="22" t="n"/>
      <c r="Q94" s="22" t="n"/>
      <c r="R94" s="22" t="n"/>
      <c r="S94" s="22" t="n"/>
      <c r="T94" s="22" t="n"/>
      <c r="U94" s="35" t="n"/>
      <c r="V94" s="22">
        <f>IF(COUNTA(A94:U94)=0,"",IF(A94="","AIR-ID missing",IF(COUNTIF($A$4:$A$206,A94)&gt;1,"Duplicate AIR-ID (one row per AIR-ID)",IF(COUNTIF('AI Register'!$A$4:$A$206,A94)=0,"AIR-ID not in AI Register",IF(OR(AND(N94&lt;&gt;"",NOT(ISNUMBER(N94))),AND(U94&lt;&gt;"",NOT(ISNUMBER(U94)))),"Date field is not a date",IF(OR(S94="",S94="Unsure — assess"),"Art 22A / AIG-OPS-04 tier to assess","Check against source"))))))</f>
        <v/>
      </c>
    </row>
    <row r="95">
      <c r="A95" s="24" t="n"/>
      <c r="B95" s="24" t="n"/>
      <c r="C95" s="24" t="n"/>
      <c r="D95" s="24" t="n"/>
      <c r="E95" s="24" t="n"/>
      <c r="F95" s="24" t="n"/>
      <c r="G95" s="24" t="n"/>
      <c r="H95" s="24" t="n"/>
      <c r="I95" s="24" t="n"/>
      <c r="J95" s="24" t="n"/>
      <c r="K95" s="24" t="n"/>
      <c r="L95" s="24" t="n"/>
      <c r="M95" s="24" t="n"/>
      <c r="N95" s="36" t="n"/>
      <c r="O95" s="24" t="n"/>
      <c r="P95" s="24" t="n"/>
      <c r="Q95" s="24" t="n"/>
      <c r="R95" s="24" t="n"/>
      <c r="S95" s="24" t="n"/>
      <c r="T95" s="24" t="n"/>
      <c r="U95" s="36" t="n"/>
      <c r="V95" s="24">
        <f>IF(COUNTA(A95:U95)=0,"",IF(A95="","AIR-ID missing",IF(COUNTIF($A$4:$A$206,A95)&gt;1,"Duplicate AIR-ID (one row per AIR-ID)",IF(COUNTIF('AI Register'!$A$4:$A$206,A95)=0,"AIR-ID not in AI Register",IF(OR(AND(N95&lt;&gt;"",NOT(ISNUMBER(N95))),AND(U95&lt;&gt;"",NOT(ISNUMBER(U95)))),"Date field is not a date",IF(OR(S95="",S95="Unsure — assess"),"Art 22A / AIG-OPS-04 tier to assess","Check against source"))))))</f>
        <v/>
      </c>
    </row>
    <row r="96">
      <c r="A96" s="22" t="n"/>
      <c r="B96" s="22" t="n"/>
      <c r="C96" s="22" t="n"/>
      <c r="D96" s="22" t="n"/>
      <c r="E96" s="22" t="n"/>
      <c r="F96" s="22" t="n"/>
      <c r="G96" s="22" t="n"/>
      <c r="H96" s="22" t="n"/>
      <c r="I96" s="22" t="n"/>
      <c r="J96" s="22" t="n"/>
      <c r="K96" s="22" t="n"/>
      <c r="L96" s="22" t="n"/>
      <c r="M96" s="22" t="n"/>
      <c r="N96" s="35" t="n"/>
      <c r="O96" s="22" t="n"/>
      <c r="P96" s="22" t="n"/>
      <c r="Q96" s="22" t="n"/>
      <c r="R96" s="22" t="n"/>
      <c r="S96" s="22" t="n"/>
      <c r="T96" s="22" t="n"/>
      <c r="U96" s="35" t="n"/>
      <c r="V96" s="22">
        <f>IF(COUNTA(A96:U96)=0,"",IF(A96="","AIR-ID missing",IF(COUNTIF($A$4:$A$206,A96)&gt;1,"Duplicate AIR-ID (one row per AIR-ID)",IF(COUNTIF('AI Register'!$A$4:$A$206,A96)=0,"AIR-ID not in AI Register",IF(OR(AND(N96&lt;&gt;"",NOT(ISNUMBER(N96))),AND(U96&lt;&gt;"",NOT(ISNUMBER(U96)))),"Date field is not a date",IF(OR(S96="",S96="Unsure — assess"),"Art 22A / AIG-OPS-04 tier to assess","Check against source"))))))</f>
        <v/>
      </c>
    </row>
    <row r="97">
      <c r="A97" s="24" t="n"/>
      <c r="B97" s="24" t="n"/>
      <c r="C97" s="24" t="n"/>
      <c r="D97" s="24" t="n"/>
      <c r="E97" s="24" t="n"/>
      <c r="F97" s="24" t="n"/>
      <c r="G97" s="24" t="n"/>
      <c r="H97" s="24" t="n"/>
      <c r="I97" s="24" t="n"/>
      <c r="J97" s="24" t="n"/>
      <c r="K97" s="24" t="n"/>
      <c r="L97" s="24" t="n"/>
      <c r="M97" s="24" t="n"/>
      <c r="N97" s="36" t="n"/>
      <c r="O97" s="24" t="n"/>
      <c r="P97" s="24" t="n"/>
      <c r="Q97" s="24" t="n"/>
      <c r="R97" s="24" t="n"/>
      <c r="S97" s="24" t="n"/>
      <c r="T97" s="24" t="n"/>
      <c r="U97" s="36" t="n"/>
      <c r="V97" s="24">
        <f>IF(COUNTA(A97:U97)=0,"",IF(A97="","AIR-ID missing",IF(COUNTIF($A$4:$A$206,A97)&gt;1,"Duplicate AIR-ID (one row per AIR-ID)",IF(COUNTIF('AI Register'!$A$4:$A$206,A97)=0,"AIR-ID not in AI Register",IF(OR(AND(N97&lt;&gt;"",NOT(ISNUMBER(N97))),AND(U97&lt;&gt;"",NOT(ISNUMBER(U97)))),"Date field is not a date",IF(OR(S97="",S97="Unsure — assess"),"Art 22A / AIG-OPS-04 tier to assess","Check against source"))))))</f>
        <v/>
      </c>
    </row>
    <row r="98">
      <c r="A98" s="22" t="n"/>
      <c r="B98" s="22" t="n"/>
      <c r="C98" s="22" t="n"/>
      <c r="D98" s="22" t="n"/>
      <c r="E98" s="22" t="n"/>
      <c r="F98" s="22" t="n"/>
      <c r="G98" s="22" t="n"/>
      <c r="H98" s="22" t="n"/>
      <c r="I98" s="22" t="n"/>
      <c r="J98" s="22" t="n"/>
      <c r="K98" s="22" t="n"/>
      <c r="L98" s="22" t="n"/>
      <c r="M98" s="22" t="n"/>
      <c r="N98" s="35" t="n"/>
      <c r="O98" s="22" t="n"/>
      <c r="P98" s="22" t="n"/>
      <c r="Q98" s="22" t="n"/>
      <c r="R98" s="22" t="n"/>
      <c r="S98" s="22" t="n"/>
      <c r="T98" s="22" t="n"/>
      <c r="U98" s="35" t="n"/>
      <c r="V98" s="22">
        <f>IF(COUNTA(A98:U98)=0,"",IF(A98="","AIR-ID missing",IF(COUNTIF($A$4:$A$206,A98)&gt;1,"Duplicate AIR-ID (one row per AIR-ID)",IF(COUNTIF('AI Register'!$A$4:$A$206,A98)=0,"AIR-ID not in AI Register",IF(OR(AND(N98&lt;&gt;"",NOT(ISNUMBER(N98))),AND(U98&lt;&gt;"",NOT(ISNUMBER(U98)))),"Date field is not a date",IF(OR(S98="",S98="Unsure — assess"),"Art 22A / AIG-OPS-04 tier to assess","Check against source"))))))</f>
        <v/>
      </c>
    </row>
    <row r="99">
      <c r="A99" s="24" t="n"/>
      <c r="B99" s="24" t="n"/>
      <c r="C99" s="24" t="n"/>
      <c r="D99" s="24" t="n"/>
      <c r="E99" s="24" t="n"/>
      <c r="F99" s="24" t="n"/>
      <c r="G99" s="24" t="n"/>
      <c r="H99" s="24" t="n"/>
      <c r="I99" s="24" t="n"/>
      <c r="J99" s="24" t="n"/>
      <c r="K99" s="24" t="n"/>
      <c r="L99" s="24" t="n"/>
      <c r="M99" s="24" t="n"/>
      <c r="N99" s="36" t="n"/>
      <c r="O99" s="24" t="n"/>
      <c r="P99" s="24" t="n"/>
      <c r="Q99" s="24" t="n"/>
      <c r="R99" s="24" t="n"/>
      <c r="S99" s="24" t="n"/>
      <c r="T99" s="24" t="n"/>
      <c r="U99" s="36" t="n"/>
      <c r="V99" s="24">
        <f>IF(COUNTA(A99:U99)=0,"",IF(A99="","AIR-ID missing",IF(COUNTIF($A$4:$A$206,A99)&gt;1,"Duplicate AIR-ID (one row per AIR-ID)",IF(COUNTIF('AI Register'!$A$4:$A$206,A99)=0,"AIR-ID not in AI Register",IF(OR(AND(N99&lt;&gt;"",NOT(ISNUMBER(N99))),AND(U99&lt;&gt;"",NOT(ISNUMBER(U99)))),"Date field is not a date",IF(OR(S99="",S99="Unsure — assess"),"Art 22A / AIG-OPS-04 tier to assess","Check against source"))))))</f>
        <v/>
      </c>
    </row>
    <row r="100">
      <c r="A100" s="22" t="n"/>
      <c r="B100" s="22" t="n"/>
      <c r="C100" s="22" t="n"/>
      <c r="D100" s="22" t="n"/>
      <c r="E100" s="22" t="n"/>
      <c r="F100" s="22" t="n"/>
      <c r="G100" s="22" t="n"/>
      <c r="H100" s="22" t="n"/>
      <c r="I100" s="22" t="n"/>
      <c r="J100" s="22" t="n"/>
      <c r="K100" s="22" t="n"/>
      <c r="L100" s="22" t="n"/>
      <c r="M100" s="22" t="n"/>
      <c r="N100" s="35" t="n"/>
      <c r="O100" s="22" t="n"/>
      <c r="P100" s="22" t="n"/>
      <c r="Q100" s="22" t="n"/>
      <c r="R100" s="22" t="n"/>
      <c r="S100" s="22" t="n"/>
      <c r="T100" s="22" t="n"/>
      <c r="U100" s="35" t="n"/>
      <c r="V100" s="22">
        <f>IF(COUNTA(A100:U100)=0,"",IF(A100="","AIR-ID missing",IF(COUNTIF($A$4:$A$206,A100)&gt;1,"Duplicate AIR-ID (one row per AIR-ID)",IF(COUNTIF('AI Register'!$A$4:$A$206,A100)=0,"AIR-ID not in AI Register",IF(OR(AND(N100&lt;&gt;"",NOT(ISNUMBER(N100))),AND(U100&lt;&gt;"",NOT(ISNUMBER(U100)))),"Date field is not a date",IF(OR(S100="",S100="Unsure — assess"),"Art 22A / AIG-OPS-04 tier to assess","Check against source"))))))</f>
        <v/>
      </c>
    </row>
    <row r="101">
      <c r="A101" s="24" t="n"/>
      <c r="B101" s="24" t="n"/>
      <c r="C101" s="24" t="n"/>
      <c r="D101" s="24" t="n"/>
      <c r="E101" s="24" t="n"/>
      <c r="F101" s="24" t="n"/>
      <c r="G101" s="24" t="n"/>
      <c r="H101" s="24" t="n"/>
      <c r="I101" s="24" t="n"/>
      <c r="J101" s="24" t="n"/>
      <c r="K101" s="24" t="n"/>
      <c r="L101" s="24" t="n"/>
      <c r="M101" s="24" t="n"/>
      <c r="N101" s="36" t="n"/>
      <c r="O101" s="24" t="n"/>
      <c r="P101" s="24" t="n"/>
      <c r="Q101" s="24" t="n"/>
      <c r="R101" s="24" t="n"/>
      <c r="S101" s="24" t="n"/>
      <c r="T101" s="24" t="n"/>
      <c r="U101" s="36" t="n"/>
      <c r="V101" s="24">
        <f>IF(COUNTA(A101:U101)=0,"",IF(A101="","AIR-ID missing",IF(COUNTIF($A$4:$A$206,A101)&gt;1,"Duplicate AIR-ID (one row per AIR-ID)",IF(COUNTIF('AI Register'!$A$4:$A$206,A101)=0,"AIR-ID not in AI Register",IF(OR(AND(N101&lt;&gt;"",NOT(ISNUMBER(N101))),AND(U101&lt;&gt;"",NOT(ISNUMBER(U101)))),"Date field is not a date",IF(OR(S101="",S101="Unsure — assess"),"Art 22A / AIG-OPS-04 tier to assess","Check against source"))))))</f>
        <v/>
      </c>
    </row>
    <row r="102">
      <c r="A102" s="22" t="n"/>
      <c r="B102" s="22" t="n"/>
      <c r="C102" s="22" t="n"/>
      <c r="D102" s="22" t="n"/>
      <c r="E102" s="22" t="n"/>
      <c r="F102" s="22" t="n"/>
      <c r="G102" s="22" t="n"/>
      <c r="H102" s="22" t="n"/>
      <c r="I102" s="22" t="n"/>
      <c r="J102" s="22" t="n"/>
      <c r="K102" s="22" t="n"/>
      <c r="L102" s="22" t="n"/>
      <c r="M102" s="22" t="n"/>
      <c r="N102" s="35" t="n"/>
      <c r="O102" s="22" t="n"/>
      <c r="P102" s="22" t="n"/>
      <c r="Q102" s="22" t="n"/>
      <c r="R102" s="22" t="n"/>
      <c r="S102" s="22" t="n"/>
      <c r="T102" s="22" t="n"/>
      <c r="U102" s="35" t="n"/>
      <c r="V102" s="22">
        <f>IF(COUNTA(A102:U102)=0,"",IF(A102="","AIR-ID missing",IF(COUNTIF($A$4:$A$206,A102)&gt;1,"Duplicate AIR-ID (one row per AIR-ID)",IF(COUNTIF('AI Register'!$A$4:$A$206,A102)=0,"AIR-ID not in AI Register",IF(OR(AND(N102&lt;&gt;"",NOT(ISNUMBER(N102))),AND(U102&lt;&gt;"",NOT(ISNUMBER(U102)))),"Date field is not a date",IF(OR(S102="",S102="Unsure — assess"),"Art 22A / AIG-OPS-04 tier to assess","Check against source"))))))</f>
        <v/>
      </c>
    </row>
    <row r="103">
      <c r="A103" s="24" t="n"/>
      <c r="B103" s="24" t="n"/>
      <c r="C103" s="24" t="n"/>
      <c r="D103" s="24" t="n"/>
      <c r="E103" s="24" t="n"/>
      <c r="F103" s="24" t="n"/>
      <c r="G103" s="24" t="n"/>
      <c r="H103" s="24" t="n"/>
      <c r="I103" s="24" t="n"/>
      <c r="J103" s="24" t="n"/>
      <c r="K103" s="24" t="n"/>
      <c r="L103" s="24" t="n"/>
      <c r="M103" s="24" t="n"/>
      <c r="N103" s="36" t="n"/>
      <c r="O103" s="24" t="n"/>
      <c r="P103" s="24" t="n"/>
      <c r="Q103" s="24" t="n"/>
      <c r="R103" s="24" t="n"/>
      <c r="S103" s="24" t="n"/>
      <c r="T103" s="24" t="n"/>
      <c r="U103" s="36" t="n"/>
      <c r="V103" s="24">
        <f>IF(COUNTA(A103:U103)=0,"",IF(A103="","AIR-ID missing",IF(COUNTIF($A$4:$A$206,A103)&gt;1,"Duplicate AIR-ID (one row per AIR-ID)",IF(COUNTIF('AI Register'!$A$4:$A$206,A103)=0,"AIR-ID not in AI Register",IF(OR(AND(N103&lt;&gt;"",NOT(ISNUMBER(N103))),AND(U103&lt;&gt;"",NOT(ISNUMBER(U103)))),"Date field is not a date",IF(OR(S103="",S103="Unsure — assess"),"Art 22A / AIG-OPS-04 tier to assess","Check against source"))))))</f>
        <v/>
      </c>
    </row>
    <row r="104">
      <c r="A104" s="22" t="n"/>
      <c r="B104" s="22" t="n"/>
      <c r="C104" s="22" t="n"/>
      <c r="D104" s="22" t="n"/>
      <c r="E104" s="22" t="n"/>
      <c r="F104" s="22" t="n"/>
      <c r="G104" s="22" t="n"/>
      <c r="H104" s="22" t="n"/>
      <c r="I104" s="22" t="n"/>
      <c r="J104" s="22" t="n"/>
      <c r="K104" s="22" t="n"/>
      <c r="L104" s="22" t="n"/>
      <c r="M104" s="22" t="n"/>
      <c r="N104" s="35" t="n"/>
      <c r="O104" s="22" t="n"/>
      <c r="P104" s="22" t="n"/>
      <c r="Q104" s="22" t="n"/>
      <c r="R104" s="22" t="n"/>
      <c r="S104" s="22" t="n"/>
      <c r="T104" s="22" t="n"/>
      <c r="U104" s="35" t="n"/>
      <c r="V104" s="22">
        <f>IF(COUNTA(A104:U104)=0,"",IF(A104="","AIR-ID missing",IF(COUNTIF($A$4:$A$206,A104)&gt;1,"Duplicate AIR-ID (one row per AIR-ID)",IF(COUNTIF('AI Register'!$A$4:$A$206,A104)=0,"AIR-ID not in AI Register",IF(OR(AND(N104&lt;&gt;"",NOT(ISNUMBER(N104))),AND(U104&lt;&gt;"",NOT(ISNUMBER(U104)))),"Date field is not a date",IF(OR(S104="",S104="Unsure — assess"),"Art 22A / AIG-OPS-04 tier to assess","Check against source"))))))</f>
        <v/>
      </c>
    </row>
    <row r="105">
      <c r="A105" s="24" t="n"/>
      <c r="B105" s="24" t="n"/>
      <c r="C105" s="24" t="n"/>
      <c r="D105" s="24" t="n"/>
      <c r="E105" s="24" t="n"/>
      <c r="F105" s="24" t="n"/>
      <c r="G105" s="24" t="n"/>
      <c r="H105" s="24" t="n"/>
      <c r="I105" s="24" t="n"/>
      <c r="J105" s="24" t="n"/>
      <c r="K105" s="24" t="n"/>
      <c r="L105" s="24" t="n"/>
      <c r="M105" s="24" t="n"/>
      <c r="N105" s="36" t="n"/>
      <c r="O105" s="24" t="n"/>
      <c r="P105" s="24" t="n"/>
      <c r="Q105" s="24" t="n"/>
      <c r="R105" s="24" t="n"/>
      <c r="S105" s="24" t="n"/>
      <c r="T105" s="24" t="n"/>
      <c r="U105" s="36" t="n"/>
      <c r="V105" s="24">
        <f>IF(COUNTA(A105:U105)=0,"",IF(A105="","AIR-ID missing",IF(COUNTIF($A$4:$A$206,A105)&gt;1,"Duplicate AIR-ID (one row per AIR-ID)",IF(COUNTIF('AI Register'!$A$4:$A$206,A105)=0,"AIR-ID not in AI Register",IF(OR(AND(N105&lt;&gt;"",NOT(ISNUMBER(N105))),AND(U105&lt;&gt;"",NOT(ISNUMBER(U105)))),"Date field is not a date",IF(OR(S105="",S105="Unsure — assess"),"Art 22A / AIG-OPS-04 tier to assess","Check against source"))))))</f>
        <v/>
      </c>
    </row>
    <row r="106">
      <c r="A106" s="22" t="n"/>
      <c r="B106" s="22" t="n"/>
      <c r="C106" s="22" t="n"/>
      <c r="D106" s="22" t="n"/>
      <c r="E106" s="22" t="n"/>
      <c r="F106" s="22" t="n"/>
      <c r="G106" s="22" t="n"/>
      <c r="H106" s="22" t="n"/>
      <c r="I106" s="22" t="n"/>
      <c r="J106" s="22" t="n"/>
      <c r="K106" s="22" t="n"/>
      <c r="L106" s="22" t="n"/>
      <c r="M106" s="22" t="n"/>
      <c r="N106" s="35" t="n"/>
      <c r="O106" s="22" t="n"/>
      <c r="P106" s="22" t="n"/>
      <c r="Q106" s="22" t="n"/>
      <c r="R106" s="22" t="n"/>
      <c r="S106" s="22" t="n"/>
      <c r="T106" s="22" t="n"/>
      <c r="U106" s="35" t="n"/>
      <c r="V106" s="22">
        <f>IF(COUNTA(A106:U106)=0,"",IF(A106="","AIR-ID missing",IF(COUNTIF($A$4:$A$206,A106)&gt;1,"Duplicate AIR-ID (one row per AIR-ID)",IF(COUNTIF('AI Register'!$A$4:$A$206,A106)=0,"AIR-ID not in AI Register",IF(OR(AND(N106&lt;&gt;"",NOT(ISNUMBER(N106))),AND(U106&lt;&gt;"",NOT(ISNUMBER(U106)))),"Date field is not a date",IF(OR(S106="",S106="Unsure — assess"),"Art 22A / AIG-OPS-04 tier to assess","Check against source"))))))</f>
        <v/>
      </c>
    </row>
    <row r="107">
      <c r="A107" s="24" t="n"/>
      <c r="B107" s="24" t="n"/>
      <c r="C107" s="24" t="n"/>
      <c r="D107" s="24" t="n"/>
      <c r="E107" s="24" t="n"/>
      <c r="F107" s="24" t="n"/>
      <c r="G107" s="24" t="n"/>
      <c r="H107" s="24" t="n"/>
      <c r="I107" s="24" t="n"/>
      <c r="J107" s="24" t="n"/>
      <c r="K107" s="24" t="n"/>
      <c r="L107" s="24" t="n"/>
      <c r="M107" s="24" t="n"/>
      <c r="N107" s="36" t="n"/>
      <c r="O107" s="24" t="n"/>
      <c r="P107" s="24" t="n"/>
      <c r="Q107" s="24" t="n"/>
      <c r="R107" s="24" t="n"/>
      <c r="S107" s="24" t="n"/>
      <c r="T107" s="24" t="n"/>
      <c r="U107" s="36" t="n"/>
      <c r="V107" s="24">
        <f>IF(COUNTA(A107:U107)=0,"",IF(A107="","AIR-ID missing",IF(COUNTIF($A$4:$A$206,A107)&gt;1,"Duplicate AIR-ID (one row per AIR-ID)",IF(COUNTIF('AI Register'!$A$4:$A$206,A107)=0,"AIR-ID not in AI Register",IF(OR(AND(N107&lt;&gt;"",NOT(ISNUMBER(N107))),AND(U107&lt;&gt;"",NOT(ISNUMBER(U107)))),"Date field is not a date",IF(OR(S107="",S107="Unsure — assess"),"Art 22A / AIG-OPS-04 tier to assess","Check against source"))))))</f>
        <v/>
      </c>
    </row>
    <row r="108">
      <c r="A108" s="22" t="n"/>
      <c r="B108" s="22" t="n"/>
      <c r="C108" s="22" t="n"/>
      <c r="D108" s="22" t="n"/>
      <c r="E108" s="22" t="n"/>
      <c r="F108" s="22" t="n"/>
      <c r="G108" s="22" t="n"/>
      <c r="H108" s="22" t="n"/>
      <c r="I108" s="22" t="n"/>
      <c r="J108" s="22" t="n"/>
      <c r="K108" s="22" t="n"/>
      <c r="L108" s="22" t="n"/>
      <c r="M108" s="22" t="n"/>
      <c r="N108" s="35" t="n"/>
      <c r="O108" s="22" t="n"/>
      <c r="P108" s="22" t="n"/>
      <c r="Q108" s="22" t="n"/>
      <c r="R108" s="22" t="n"/>
      <c r="S108" s="22" t="n"/>
      <c r="T108" s="22" t="n"/>
      <c r="U108" s="35" t="n"/>
      <c r="V108" s="22">
        <f>IF(COUNTA(A108:U108)=0,"",IF(A108="","AIR-ID missing",IF(COUNTIF($A$4:$A$206,A108)&gt;1,"Duplicate AIR-ID (one row per AIR-ID)",IF(COUNTIF('AI Register'!$A$4:$A$206,A108)=0,"AIR-ID not in AI Register",IF(OR(AND(N108&lt;&gt;"",NOT(ISNUMBER(N108))),AND(U108&lt;&gt;"",NOT(ISNUMBER(U108)))),"Date field is not a date",IF(OR(S108="",S108="Unsure — assess"),"Art 22A / AIG-OPS-04 tier to assess","Check against source"))))))</f>
        <v/>
      </c>
    </row>
    <row r="109">
      <c r="A109" s="24" t="n"/>
      <c r="B109" s="24" t="n"/>
      <c r="C109" s="24" t="n"/>
      <c r="D109" s="24" t="n"/>
      <c r="E109" s="24" t="n"/>
      <c r="F109" s="24" t="n"/>
      <c r="G109" s="24" t="n"/>
      <c r="H109" s="24" t="n"/>
      <c r="I109" s="24" t="n"/>
      <c r="J109" s="24" t="n"/>
      <c r="K109" s="24" t="n"/>
      <c r="L109" s="24" t="n"/>
      <c r="M109" s="24" t="n"/>
      <c r="N109" s="36" t="n"/>
      <c r="O109" s="24" t="n"/>
      <c r="P109" s="24" t="n"/>
      <c r="Q109" s="24" t="n"/>
      <c r="R109" s="24" t="n"/>
      <c r="S109" s="24" t="n"/>
      <c r="T109" s="24" t="n"/>
      <c r="U109" s="36" t="n"/>
      <c r="V109" s="24">
        <f>IF(COUNTA(A109:U109)=0,"",IF(A109="","AIR-ID missing",IF(COUNTIF($A$4:$A$206,A109)&gt;1,"Duplicate AIR-ID (one row per AIR-ID)",IF(COUNTIF('AI Register'!$A$4:$A$206,A109)=0,"AIR-ID not in AI Register",IF(OR(AND(N109&lt;&gt;"",NOT(ISNUMBER(N109))),AND(U109&lt;&gt;"",NOT(ISNUMBER(U109)))),"Date field is not a date",IF(OR(S109="",S109="Unsure — assess"),"Art 22A / AIG-OPS-04 tier to assess","Check against source"))))))</f>
        <v/>
      </c>
    </row>
    <row r="110">
      <c r="A110" s="22" t="n"/>
      <c r="B110" s="22" t="n"/>
      <c r="C110" s="22" t="n"/>
      <c r="D110" s="22" t="n"/>
      <c r="E110" s="22" t="n"/>
      <c r="F110" s="22" t="n"/>
      <c r="G110" s="22" t="n"/>
      <c r="H110" s="22" t="n"/>
      <c r="I110" s="22" t="n"/>
      <c r="J110" s="22" t="n"/>
      <c r="K110" s="22" t="n"/>
      <c r="L110" s="22" t="n"/>
      <c r="M110" s="22" t="n"/>
      <c r="N110" s="35" t="n"/>
      <c r="O110" s="22" t="n"/>
      <c r="P110" s="22" t="n"/>
      <c r="Q110" s="22" t="n"/>
      <c r="R110" s="22" t="n"/>
      <c r="S110" s="22" t="n"/>
      <c r="T110" s="22" t="n"/>
      <c r="U110" s="35" t="n"/>
      <c r="V110" s="22">
        <f>IF(COUNTA(A110:U110)=0,"",IF(A110="","AIR-ID missing",IF(COUNTIF($A$4:$A$206,A110)&gt;1,"Duplicate AIR-ID (one row per AIR-ID)",IF(COUNTIF('AI Register'!$A$4:$A$206,A110)=0,"AIR-ID not in AI Register",IF(OR(AND(N110&lt;&gt;"",NOT(ISNUMBER(N110))),AND(U110&lt;&gt;"",NOT(ISNUMBER(U110)))),"Date field is not a date",IF(OR(S110="",S110="Unsure — assess"),"Art 22A / AIG-OPS-04 tier to assess","Check against source"))))))</f>
        <v/>
      </c>
    </row>
    <row r="111">
      <c r="A111" s="24" t="n"/>
      <c r="B111" s="24" t="n"/>
      <c r="C111" s="24" t="n"/>
      <c r="D111" s="24" t="n"/>
      <c r="E111" s="24" t="n"/>
      <c r="F111" s="24" t="n"/>
      <c r="G111" s="24" t="n"/>
      <c r="H111" s="24" t="n"/>
      <c r="I111" s="24" t="n"/>
      <c r="J111" s="24" t="n"/>
      <c r="K111" s="24" t="n"/>
      <c r="L111" s="24" t="n"/>
      <c r="M111" s="24" t="n"/>
      <c r="N111" s="36" t="n"/>
      <c r="O111" s="24" t="n"/>
      <c r="P111" s="24" t="n"/>
      <c r="Q111" s="24" t="n"/>
      <c r="R111" s="24" t="n"/>
      <c r="S111" s="24" t="n"/>
      <c r="T111" s="24" t="n"/>
      <c r="U111" s="36" t="n"/>
      <c r="V111" s="24">
        <f>IF(COUNTA(A111:U111)=0,"",IF(A111="","AIR-ID missing",IF(COUNTIF($A$4:$A$206,A111)&gt;1,"Duplicate AIR-ID (one row per AIR-ID)",IF(COUNTIF('AI Register'!$A$4:$A$206,A111)=0,"AIR-ID not in AI Register",IF(OR(AND(N111&lt;&gt;"",NOT(ISNUMBER(N111))),AND(U111&lt;&gt;"",NOT(ISNUMBER(U111)))),"Date field is not a date",IF(OR(S111="",S111="Unsure — assess"),"Art 22A / AIG-OPS-04 tier to assess","Check against source"))))))</f>
        <v/>
      </c>
    </row>
    <row r="112">
      <c r="A112" s="22" t="n"/>
      <c r="B112" s="22" t="n"/>
      <c r="C112" s="22" t="n"/>
      <c r="D112" s="22" t="n"/>
      <c r="E112" s="22" t="n"/>
      <c r="F112" s="22" t="n"/>
      <c r="G112" s="22" t="n"/>
      <c r="H112" s="22" t="n"/>
      <c r="I112" s="22" t="n"/>
      <c r="J112" s="22" t="n"/>
      <c r="K112" s="22" t="n"/>
      <c r="L112" s="22" t="n"/>
      <c r="M112" s="22" t="n"/>
      <c r="N112" s="35" t="n"/>
      <c r="O112" s="22" t="n"/>
      <c r="P112" s="22" t="n"/>
      <c r="Q112" s="22" t="n"/>
      <c r="R112" s="22" t="n"/>
      <c r="S112" s="22" t="n"/>
      <c r="T112" s="22" t="n"/>
      <c r="U112" s="35" t="n"/>
      <c r="V112" s="22">
        <f>IF(COUNTA(A112:U112)=0,"",IF(A112="","AIR-ID missing",IF(COUNTIF($A$4:$A$206,A112)&gt;1,"Duplicate AIR-ID (one row per AIR-ID)",IF(COUNTIF('AI Register'!$A$4:$A$206,A112)=0,"AIR-ID not in AI Register",IF(OR(AND(N112&lt;&gt;"",NOT(ISNUMBER(N112))),AND(U112&lt;&gt;"",NOT(ISNUMBER(U112)))),"Date field is not a date",IF(OR(S112="",S112="Unsure — assess"),"Art 22A / AIG-OPS-04 tier to assess","Check against source"))))))</f>
        <v/>
      </c>
    </row>
    <row r="113">
      <c r="A113" s="24" t="n"/>
      <c r="B113" s="24" t="n"/>
      <c r="C113" s="24" t="n"/>
      <c r="D113" s="24" t="n"/>
      <c r="E113" s="24" t="n"/>
      <c r="F113" s="24" t="n"/>
      <c r="G113" s="24" t="n"/>
      <c r="H113" s="24" t="n"/>
      <c r="I113" s="24" t="n"/>
      <c r="J113" s="24" t="n"/>
      <c r="K113" s="24" t="n"/>
      <c r="L113" s="24" t="n"/>
      <c r="M113" s="24" t="n"/>
      <c r="N113" s="36" t="n"/>
      <c r="O113" s="24" t="n"/>
      <c r="P113" s="24" t="n"/>
      <c r="Q113" s="24" t="n"/>
      <c r="R113" s="24" t="n"/>
      <c r="S113" s="24" t="n"/>
      <c r="T113" s="24" t="n"/>
      <c r="U113" s="36" t="n"/>
      <c r="V113" s="24">
        <f>IF(COUNTA(A113:U113)=0,"",IF(A113="","AIR-ID missing",IF(COUNTIF($A$4:$A$206,A113)&gt;1,"Duplicate AIR-ID (one row per AIR-ID)",IF(COUNTIF('AI Register'!$A$4:$A$206,A113)=0,"AIR-ID not in AI Register",IF(OR(AND(N113&lt;&gt;"",NOT(ISNUMBER(N113))),AND(U113&lt;&gt;"",NOT(ISNUMBER(U113)))),"Date field is not a date",IF(OR(S113="",S113="Unsure — assess"),"Art 22A / AIG-OPS-04 tier to assess","Check against source"))))))</f>
        <v/>
      </c>
    </row>
    <row r="114">
      <c r="A114" s="22" t="n"/>
      <c r="B114" s="22" t="n"/>
      <c r="C114" s="22" t="n"/>
      <c r="D114" s="22" t="n"/>
      <c r="E114" s="22" t="n"/>
      <c r="F114" s="22" t="n"/>
      <c r="G114" s="22" t="n"/>
      <c r="H114" s="22" t="n"/>
      <c r="I114" s="22" t="n"/>
      <c r="J114" s="22" t="n"/>
      <c r="K114" s="22" t="n"/>
      <c r="L114" s="22" t="n"/>
      <c r="M114" s="22" t="n"/>
      <c r="N114" s="35" t="n"/>
      <c r="O114" s="22" t="n"/>
      <c r="P114" s="22" t="n"/>
      <c r="Q114" s="22" t="n"/>
      <c r="R114" s="22" t="n"/>
      <c r="S114" s="22" t="n"/>
      <c r="T114" s="22" t="n"/>
      <c r="U114" s="35" t="n"/>
      <c r="V114" s="22">
        <f>IF(COUNTA(A114:U114)=0,"",IF(A114="","AIR-ID missing",IF(COUNTIF($A$4:$A$206,A114)&gt;1,"Duplicate AIR-ID (one row per AIR-ID)",IF(COUNTIF('AI Register'!$A$4:$A$206,A114)=0,"AIR-ID not in AI Register",IF(OR(AND(N114&lt;&gt;"",NOT(ISNUMBER(N114))),AND(U114&lt;&gt;"",NOT(ISNUMBER(U114)))),"Date field is not a date",IF(OR(S114="",S114="Unsure — assess"),"Art 22A / AIG-OPS-04 tier to assess","Check against source"))))))</f>
        <v/>
      </c>
    </row>
    <row r="115">
      <c r="A115" s="24" t="n"/>
      <c r="B115" s="24" t="n"/>
      <c r="C115" s="24" t="n"/>
      <c r="D115" s="24" t="n"/>
      <c r="E115" s="24" t="n"/>
      <c r="F115" s="24" t="n"/>
      <c r="G115" s="24" t="n"/>
      <c r="H115" s="24" t="n"/>
      <c r="I115" s="24" t="n"/>
      <c r="J115" s="24" t="n"/>
      <c r="K115" s="24" t="n"/>
      <c r="L115" s="24" t="n"/>
      <c r="M115" s="24" t="n"/>
      <c r="N115" s="36" t="n"/>
      <c r="O115" s="24" t="n"/>
      <c r="P115" s="24" t="n"/>
      <c r="Q115" s="24" t="n"/>
      <c r="R115" s="24" t="n"/>
      <c r="S115" s="24" t="n"/>
      <c r="T115" s="24" t="n"/>
      <c r="U115" s="36" t="n"/>
      <c r="V115" s="24">
        <f>IF(COUNTA(A115:U115)=0,"",IF(A115="","AIR-ID missing",IF(COUNTIF($A$4:$A$206,A115)&gt;1,"Duplicate AIR-ID (one row per AIR-ID)",IF(COUNTIF('AI Register'!$A$4:$A$206,A115)=0,"AIR-ID not in AI Register",IF(OR(AND(N115&lt;&gt;"",NOT(ISNUMBER(N115))),AND(U115&lt;&gt;"",NOT(ISNUMBER(U115)))),"Date field is not a date",IF(OR(S115="",S115="Unsure — assess"),"Art 22A / AIG-OPS-04 tier to assess","Check against source"))))))</f>
        <v/>
      </c>
    </row>
    <row r="116">
      <c r="A116" s="22" t="n"/>
      <c r="B116" s="22" t="n"/>
      <c r="C116" s="22" t="n"/>
      <c r="D116" s="22" t="n"/>
      <c r="E116" s="22" t="n"/>
      <c r="F116" s="22" t="n"/>
      <c r="G116" s="22" t="n"/>
      <c r="H116" s="22" t="n"/>
      <c r="I116" s="22" t="n"/>
      <c r="J116" s="22" t="n"/>
      <c r="K116" s="22" t="n"/>
      <c r="L116" s="22" t="n"/>
      <c r="M116" s="22" t="n"/>
      <c r="N116" s="35" t="n"/>
      <c r="O116" s="22" t="n"/>
      <c r="P116" s="22" t="n"/>
      <c r="Q116" s="22" t="n"/>
      <c r="R116" s="22" t="n"/>
      <c r="S116" s="22" t="n"/>
      <c r="T116" s="22" t="n"/>
      <c r="U116" s="35" t="n"/>
      <c r="V116" s="22">
        <f>IF(COUNTA(A116:U116)=0,"",IF(A116="","AIR-ID missing",IF(COUNTIF($A$4:$A$206,A116)&gt;1,"Duplicate AIR-ID (one row per AIR-ID)",IF(COUNTIF('AI Register'!$A$4:$A$206,A116)=0,"AIR-ID not in AI Register",IF(OR(AND(N116&lt;&gt;"",NOT(ISNUMBER(N116))),AND(U116&lt;&gt;"",NOT(ISNUMBER(U116)))),"Date field is not a date",IF(OR(S116="",S116="Unsure — assess"),"Art 22A / AIG-OPS-04 tier to assess","Check against source"))))))</f>
        <v/>
      </c>
    </row>
    <row r="117">
      <c r="A117" s="24" t="n"/>
      <c r="B117" s="24" t="n"/>
      <c r="C117" s="24" t="n"/>
      <c r="D117" s="24" t="n"/>
      <c r="E117" s="24" t="n"/>
      <c r="F117" s="24" t="n"/>
      <c r="G117" s="24" t="n"/>
      <c r="H117" s="24" t="n"/>
      <c r="I117" s="24" t="n"/>
      <c r="J117" s="24" t="n"/>
      <c r="K117" s="24" t="n"/>
      <c r="L117" s="24" t="n"/>
      <c r="M117" s="24" t="n"/>
      <c r="N117" s="36" t="n"/>
      <c r="O117" s="24" t="n"/>
      <c r="P117" s="24" t="n"/>
      <c r="Q117" s="24" t="n"/>
      <c r="R117" s="24" t="n"/>
      <c r="S117" s="24" t="n"/>
      <c r="T117" s="24" t="n"/>
      <c r="U117" s="36" t="n"/>
      <c r="V117" s="24">
        <f>IF(COUNTA(A117:U117)=0,"",IF(A117="","AIR-ID missing",IF(COUNTIF($A$4:$A$206,A117)&gt;1,"Duplicate AIR-ID (one row per AIR-ID)",IF(COUNTIF('AI Register'!$A$4:$A$206,A117)=0,"AIR-ID not in AI Register",IF(OR(AND(N117&lt;&gt;"",NOT(ISNUMBER(N117))),AND(U117&lt;&gt;"",NOT(ISNUMBER(U117)))),"Date field is not a date",IF(OR(S117="",S117="Unsure — assess"),"Art 22A / AIG-OPS-04 tier to assess","Check against source"))))))</f>
        <v/>
      </c>
    </row>
    <row r="118">
      <c r="A118" s="22" t="n"/>
      <c r="B118" s="22" t="n"/>
      <c r="C118" s="22" t="n"/>
      <c r="D118" s="22" t="n"/>
      <c r="E118" s="22" t="n"/>
      <c r="F118" s="22" t="n"/>
      <c r="G118" s="22" t="n"/>
      <c r="H118" s="22" t="n"/>
      <c r="I118" s="22" t="n"/>
      <c r="J118" s="22" t="n"/>
      <c r="K118" s="22" t="n"/>
      <c r="L118" s="22" t="n"/>
      <c r="M118" s="22" t="n"/>
      <c r="N118" s="35" t="n"/>
      <c r="O118" s="22" t="n"/>
      <c r="P118" s="22" t="n"/>
      <c r="Q118" s="22" t="n"/>
      <c r="R118" s="22" t="n"/>
      <c r="S118" s="22" t="n"/>
      <c r="T118" s="22" t="n"/>
      <c r="U118" s="35" t="n"/>
      <c r="V118" s="22">
        <f>IF(COUNTA(A118:U118)=0,"",IF(A118="","AIR-ID missing",IF(COUNTIF($A$4:$A$206,A118)&gt;1,"Duplicate AIR-ID (one row per AIR-ID)",IF(COUNTIF('AI Register'!$A$4:$A$206,A118)=0,"AIR-ID not in AI Register",IF(OR(AND(N118&lt;&gt;"",NOT(ISNUMBER(N118))),AND(U118&lt;&gt;"",NOT(ISNUMBER(U118)))),"Date field is not a date",IF(OR(S118="",S118="Unsure — assess"),"Art 22A / AIG-OPS-04 tier to assess","Check against source"))))))</f>
        <v/>
      </c>
    </row>
    <row r="119">
      <c r="A119" s="24" t="n"/>
      <c r="B119" s="24" t="n"/>
      <c r="C119" s="24" t="n"/>
      <c r="D119" s="24" t="n"/>
      <c r="E119" s="24" t="n"/>
      <c r="F119" s="24" t="n"/>
      <c r="G119" s="24" t="n"/>
      <c r="H119" s="24" t="n"/>
      <c r="I119" s="24" t="n"/>
      <c r="J119" s="24" t="n"/>
      <c r="K119" s="24" t="n"/>
      <c r="L119" s="24" t="n"/>
      <c r="M119" s="24" t="n"/>
      <c r="N119" s="36" t="n"/>
      <c r="O119" s="24" t="n"/>
      <c r="P119" s="24" t="n"/>
      <c r="Q119" s="24" t="n"/>
      <c r="R119" s="24" t="n"/>
      <c r="S119" s="24" t="n"/>
      <c r="T119" s="24" t="n"/>
      <c r="U119" s="36" t="n"/>
      <c r="V119" s="24">
        <f>IF(COUNTA(A119:U119)=0,"",IF(A119="","AIR-ID missing",IF(COUNTIF($A$4:$A$206,A119)&gt;1,"Duplicate AIR-ID (one row per AIR-ID)",IF(COUNTIF('AI Register'!$A$4:$A$206,A119)=0,"AIR-ID not in AI Register",IF(OR(AND(N119&lt;&gt;"",NOT(ISNUMBER(N119))),AND(U119&lt;&gt;"",NOT(ISNUMBER(U119)))),"Date field is not a date",IF(OR(S119="",S119="Unsure — assess"),"Art 22A / AIG-OPS-04 tier to assess","Check against source"))))))</f>
        <v/>
      </c>
    </row>
    <row r="120">
      <c r="A120" s="22" t="n"/>
      <c r="B120" s="22" t="n"/>
      <c r="C120" s="22" t="n"/>
      <c r="D120" s="22" t="n"/>
      <c r="E120" s="22" t="n"/>
      <c r="F120" s="22" t="n"/>
      <c r="G120" s="22" t="n"/>
      <c r="H120" s="22" t="n"/>
      <c r="I120" s="22" t="n"/>
      <c r="J120" s="22" t="n"/>
      <c r="K120" s="22" t="n"/>
      <c r="L120" s="22" t="n"/>
      <c r="M120" s="22" t="n"/>
      <c r="N120" s="35" t="n"/>
      <c r="O120" s="22" t="n"/>
      <c r="P120" s="22" t="n"/>
      <c r="Q120" s="22" t="n"/>
      <c r="R120" s="22" t="n"/>
      <c r="S120" s="22" t="n"/>
      <c r="T120" s="22" t="n"/>
      <c r="U120" s="35" t="n"/>
      <c r="V120" s="22">
        <f>IF(COUNTA(A120:U120)=0,"",IF(A120="","AIR-ID missing",IF(COUNTIF($A$4:$A$206,A120)&gt;1,"Duplicate AIR-ID (one row per AIR-ID)",IF(COUNTIF('AI Register'!$A$4:$A$206,A120)=0,"AIR-ID not in AI Register",IF(OR(AND(N120&lt;&gt;"",NOT(ISNUMBER(N120))),AND(U120&lt;&gt;"",NOT(ISNUMBER(U120)))),"Date field is not a date",IF(OR(S120="",S120="Unsure — assess"),"Art 22A / AIG-OPS-04 tier to assess","Check against source"))))))</f>
        <v/>
      </c>
    </row>
    <row r="121">
      <c r="A121" s="24" t="n"/>
      <c r="B121" s="24" t="n"/>
      <c r="C121" s="24" t="n"/>
      <c r="D121" s="24" t="n"/>
      <c r="E121" s="24" t="n"/>
      <c r="F121" s="24" t="n"/>
      <c r="G121" s="24" t="n"/>
      <c r="H121" s="24" t="n"/>
      <c r="I121" s="24" t="n"/>
      <c r="J121" s="24" t="n"/>
      <c r="K121" s="24" t="n"/>
      <c r="L121" s="24" t="n"/>
      <c r="M121" s="24" t="n"/>
      <c r="N121" s="36" t="n"/>
      <c r="O121" s="24" t="n"/>
      <c r="P121" s="24" t="n"/>
      <c r="Q121" s="24" t="n"/>
      <c r="R121" s="24" t="n"/>
      <c r="S121" s="24" t="n"/>
      <c r="T121" s="24" t="n"/>
      <c r="U121" s="36" t="n"/>
      <c r="V121" s="24">
        <f>IF(COUNTA(A121:U121)=0,"",IF(A121="","AIR-ID missing",IF(COUNTIF($A$4:$A$206,A121)&gt;1,"Duplicate AIR-ID (one row per AIR-ID)",IF(COUNTIF('AI Register'!$A$4:$A$206,A121)=0,"AIR-ID not in AI Register",IF(OR(AND(N121&lt;&gt;"",NOT(ISNUMBER(N121))),AND(U121&lt;&gt;"",NOT(ISNUMBER(U121)))),"Date field is not a date",IF(OR(S121="",S121="Unsure — assess"),"Art 22A / AIG-OPS-04 tier to assess","Check against source"))))))</f>
        <v/>
      </c>
    </row>
    <row r="122">
      <c r="A122" s="22" t="n"/>
      <c r="B122" s="22" t="n"/>
      <c r="C122" s="22" t="n"/>
      <c r="D122" s="22" t="n"/>
      <c r="E122" s="22" t="n"/>
      <c r="F122" s="22" t="n"/>
      <c r="G122" s="22" t="n"/>
      <c r="H122" s="22" t="n"/>
      <c r="I122" s="22" t="n"/>
      <c r="J122" s="22" t="n"/>
      <c r="K122" s="22" t="n"/>
      <c r="L122" s="22" t="n"/>
      <c r="M122" s="22" t="n"/>
      <c r="N122" s="35" t="n"/>
      <c r="O122" s="22" t="n"/>
      <c r="P122" s="22" t="n"/>
      <c r="Q122" s="22" t="n"/>
      <c r="R122" s="22" t="n"/>
      <c r="S122" s="22" t="n"/>
      <c r="T122" s="22" t="n"/>
      <c r="U122" s="35" t="n"/>
      <c r="V122" s="22">
        <f>IF(COUNTA(A122:U122)=0,"",IF(A122="","AIR-ID missing",IF(COUNTIF($A$4:$A$206,A122)&gt;1,"Duplicate AIR-ID (one row per AIR-ID)",IF(COUNTIF('AI Register'!$A$4:$A$206,A122)=0,"AIR-ID not in AI Register",IF(OR(AND(N122&lt;&gt;"",NOT(ISNUMBER(N122))),AND(U122&lt;&gt;"",NOT(ISNUMBER(U122)))),"Date field is not a date",IF(OR(S122="",S122="Unsure — assess"),"Art 22A / AIG-OPS-04 tier to assess","Check against source"))))))</f>
        <v/>
      </c>
    </row>
    <row r="123">
      <c r="A123" s="24" t="n"/>
      <c r="B123" s="24" t="n"/>
      <c r="C123" s="24" t="n"/>
      <c r="D123" s="24" t="n"/>
      <c r="E123" s="24" t="n"/>
      <c r="F123" s="24" t="n"/>
      <c r="G123" s="24" t="n"/>
      <c r="H123" s="24" t="n"/>
      <c r="I123" s="24" t="n"/>
      <c r="J123" s="24" t="n"/>
      <c r="K123" s="24" t="n"/>
      <c r="L123" s="24" t="n"/>
      <c r="M123" s="24" t="n"/>
      <c r="N123" s="36" t="n"/>
      <c r="O123" s="24" t="n"/>
      <c r="P123" s="24" t="n"/>
      <c r="Q123" s="24" t="n"/>
      <c r="R123" s="24" t="n"/>
      <c r="S123" s="24" t="n"/>
      <c r="T123" s="24" t="n"/>
      <c r="U123" s="36" t="n"/>
      <c r="V123" s="24">
        <f>IF(COUNTA(A123:U123)=0,"",IF(A123="","AIR-ID missing",IF(COUNTIF($A$4:$A$206,A123)&gt;1,"Duplicate AIR-ID (one row per AIR-ID)",IF(COUNTIF('AI Register'!$A$4:$A$206,A123)=0,"AIR-ID not in AI Register",IF(OR(AND(N123&lt;&gt;"",NOT(ISNUMBER(N123))),AND(U123&lt;&gt;"",NOT(ISNUMBER(U123)))),"Date field is not a date",IF(OR(S123="",S123="Unsure — assess"),"Art 22A / AIG-OPS-04 tier to assess","Check against source"))))))</f>
        <v/>
      </c>
    </row>
    <row r="124">
      <c r="A124" s="22" t="n"/>
      <c r="B124" s="22" t="n"/>
      <c r="C124" s="22" t="n"/>
      <c r="D124" s="22" t="n"/>
      <c r="E124" s="22" t="n"/>
      <c r="F124" s="22" t="n"/>
      <c r="G124" s="22" t="n"/>
      <c r="H124" s="22" t="n"/>
      <c r="I124" s="22" t="n"/>
      <c r="J124" s="22" t="n"/>
      <c r="K124" s="22" t="n"/>
      <c r="L124" s="22" t="n"/>
      <c r="M124" s="22" t="n"/>
      <c r="N124" s="35" t="n"/>
      <c r="O124" s="22" t="n"/>
      <c r="P124" s="22" t="n"/>
      <c r="Q124" s="22" t="n"/>
      <c r="R124" s="22" t="n"/>
      <c r="S124" s="22" t="n"/>
      <c r="T124" s="22" t="n"/>
      <c r="U124" s="35" t="n"/>
      <c r="V124" s="22">
        <f>IF(COUNTA(A124:U124)=0,"",IF(A124="","AIR-ID missing",IF(COUNTIF($A$4:$A$206,A124)&gt;1,"Duplicate AIR-ID (one row per AIR-ID)",IF(COUNTIF('AI Register'!$A$4:$A$206,A124)=0,"AIR-ID not in AI Register",IF(OR(AND(N124&lt;&gt;"",NOT(ISNUMBER(N124))),AND(U124&lt;&gt;"",NOT(ISNUMBER(U124)))),"Date field is not a date",IF(OR(S124="",S124="Unsure — assess"),"Art 22A / AIG-OPS-04 tier to assess","Check against source"))))))</f>
        <v/>
      </c>
    </row>
    <row r="125">
      <c r="A125" s="24" t="n"/>
      <c r="B125" s="24" t="n"/>
      <c r="C125" s="24" t="n"/>
      <c r="D125" s="24" t="n"/>
      <c r="E125" s="24" t="n"/>
      <c r="F125" s="24" t="n"/>
      <c r="G125" s="24" t="n"/>
      <c r="H125" s="24" t="n"/>
      <c r="I125" s="24" t="n"/>
      <c r="J125" s="24" t="n"/>
      <c r="K125" s="24" t="n"/>
      <c r="L125" s="24" t="n"/>
      <c r="M125" s="24" t="n"/>
      <c r="N125" s="36" t="n"/>
      <c r="O125" s="24" t="n"/>
      <c r="P125" s="24" t="n"/>
      <c r="Q125" s="24" t="n"/>
      <c r="R125" s="24" t="n"/>
      <c r="S125" s="24" t="n"/>
      <c r="T125" s="24" t="n"/>
      <c r="U125" s="36" t="n"/>
      <c r="V125" s="24">
        <f>IF(COUNTA(A125:U125)=0,"",IF(A125="","AIR-ID missing",IF(COUNTIF($A$4:$A$206,A125)&gt;1,"Duplicate AIR-ID (one row per AIR-ID)",IF(COUNTIF('AI Register'!$A$4:$A$206,A125)=0,"AIR-ID not in AI Register",IF(OR(AND(N125&lt;&gt;"",NOT(ISNUMBER(N125))),AND(U125&lt;&gt;"",NOT(ISNUMBER(U125)))),"Date field is not a date",IF(OR(S125="",S125="Unsure — assess"),"Art 22A / AIG-OPS-04 tier to assess","Check against source"))))))</f>
        <v/>
      </c>
    </row>
    <row r="126">
      <c r="A126" s="22" t="n"/>
      <c r="B126" s="22" t="n"/>
      <c r="C126" s="22" t="n"/>
      <c r="D126" s="22" t="n"/>
      <c r="E126" s="22" t="n"/>
      <c r="F126" s="22" t="n"/>
      <c r="G126" s="22" t="n"/>
      <c r="H126" s="22" t="n"/>
      <c r="I126" s="22" t="n"/>
      <c r="J126" s="22" t="n"/>
      <c r="K126" s="22" t="n"/>
      <c r="L126" s="22" t="n"/>
      <c r="M126" s="22" t="n"/>
      <c r="N126" s="35" t="n"/>
      <c r="O126" s="22" t="n"/>
      <c r="P126" s="22" t="n"/>
      <c r="Q126" s="22" t="n"/>
      <c r="R126" s="22" t="n"/>
      <c r="S126" s="22" t="n"/>
      <c r="T126" s="22" t="n"/>
      <c r="U126" s="35" t="n"/>
      <c r="V126" s="22">
        <f>IF(COUNTA(A126:U126)=0,"",IF(A126="","AIR-ID missing",IF(COUNTIF($A$4:$A$206,A126)&gt;1,"Duplicate AIR-ID (one row per AIR-ID)",IF(COUNTIF('AI Register'!$A$4:$A$206,A126)=0,"AIR-ID not in AI Register",IF(OR(AND(N126&lt;&gt;"",NOT(ISNUMBER(N126))),AND(U126&lt;&gt;"",NOT(ISNUMBER(U126)))),"Date field is not a date",IF(OR(S126="",S126="Unsure — assess"),"Art 22A / AIG-OPS-04 tier to assess","Check against source"))))))</f>
        <v/>
      </c>
    </row>
    <row r="127">
      <c r="A127" s="24" t="n"/>
      <c r="B127" s="24" t="n"/>
      <c r="C127" s="24" t="n"/>
      <c r="D127" s="24" t="n"/>
      <c r="E127" s="24" t="n"/>
      <c r="F127" s="24" t="n"/>
      <c r="G127" s="24" t="n"/>
      <c r="H127" s="24" t="n"/>
      <c r="I127" s="24" t="n"/>
      <c r="J127" s="24" t="n"/>
      <c r="K127" s="24" t="n"/>
      <c r="L127" s="24" t="n"/>
      <c r="M127" s="24" t="n"/>
      <c r="N127" s="36" t="n"/>
      <c r="O127" s="24" t="n"/>
      <c r="P127" s="24" t="n"/>
      <c r="Q127" s="24" t="n"/>
      <c r="R127" s="24" t="n"/>
      <c r="S127" s="24" t="n"/>
      <c r="T127" s="24" t="n"/>
      <c r="U127" s="36" t="n"/>
      <c r="V127" s="24">
        <f>IF(COUNTA(A127:U127)=0,"",IF(A127="","AIR-ID missing",IF(COUNTIF($A$4:$A$206,A127)&gt;1,"Duplicate AIR-ID (one row per AIR-ID)",IF(COUNTIF('AI Register'!$A$4:$A$206,A127)=0,"AIR-ID not in AI Register",IF(OR(AND(N127&lt;&gt;"",NOT(ISNUMBER(N127))),AND(U127&lt;&gt;"",NOT(ISNUMBER(U127)))),"Date field is not a date",IF(OR(S127="",S127="Unsure — assess"),"Art 22A / AIG-OPS-04 tier to assess","Check against source"))))))</f>
        <v/>
      </c>
    </row>
    <row r="128">
      <c r="A128" s="22" t="n"/>
      <c r="B128" s="22" t="n"/>
      <c r="C128" s="22" t="n"/>
      <c r="D128" s="22" t="n"/>
      <c r="E128" s="22" t="n"/>
      <c r="F128" s="22" t="n"/>
      <c r="G128" s="22" t="n"/>
      <c r="H128" s="22" t="n"/>
      <c r="I128" s="22" t="n"/>
      <c r="J128" s="22" t="n"/>
      <c r="K128" s="22" t="n"/>
      <c r="L128" s="22" t="n"/>
      <c r="M128" s="22" t="n"/>
      <c r="N128" s="35" t="n"/>
      <c r="O128" s="22" t="n"/>
      <c r="P128" s="22" t="n"/>
      <c r="Q128" s="22" t="n"/>
      <c r="R128" s="22" t="n"/>
      <c r="S128" s="22" t="n"/>
      <c r="T128" s="22" t="n"/>
      <c r="U128" s="35" t="n"/>
      <c r="V128" s="22">
        <f>IF(COUNTA(A128:U128)=0,"",IF(A128="","AIR-ID missing",IF(COUNTIF($A$4:$A$206,A128)&gt;1,"Duplicate AIR-ID (one row per AIR-ID)",IF(COUNTIF('AI Register'!$A$4:$A$206,A128)=0,"AIR-ID not in AI Register",IF(OR(AND(N128&lt;&gt;"",NOT(ISNUMBER(N128))),AND(U128&lt;&gt;"",NOT(ISNUMBER(U128)))),"Date field is not a date",IF(OR(S128="",S128="Unsure — assess"),"Art 22A / AIG-OPS-04 tier to assess","Check against source"))))))</f>
        <v/>
      </c>
    </row>
    <row r="129">
      <c r="A129" s="24" t="n"/>
      <c r="B129" s="24" t="n"/>
      <c r="C129" s="24" t="n"/>
      <c r="D129" s="24" t="n"/>
      <c r="E129" s="24" t="n"/>
      <c r="F129" s="24" t="n"/>
      <c r="G129" s="24" t="n"/>
      <c r="H129" s="24" t="n"/>
      <c r="I129" s="24" t="n"/>
      <c r="J129" s="24" t="n"/>
      <c r="K129" s="24" t="n"/>
      <c r="L129" s="24" t="n"/>
      <c r="M129" s="24" t="n"/>
      <c r="N129" s="36" t="n"/>
      <c r="O129" s="24" t="n"/>
      <c r="P129" s="24" t="n"/>
      <c r="Q129" s="24" t="n"/>
      <c r="R129" s="24" t="n"/>
      <c r="S129" s="24" t="n"/>
      <c r="T129" s="24" t="n"/>
      <c r="U129" s="36" t="n"/>
      <c r="V129" s="24">
        <f>IF(COUNTA(A129:U129)=0,"",IF(A129="","AIR-ID missing",IF(COUNTIF($A$4:$A$206,A129)&gt;1,"Duplicate AIR-ID (one row per AIR-ID)",IF(COUNTIF('AI Register'!$A$4:$A$206,A129)=0,"AIR-ID not in AI Register",IF(OR(AND(N129&lt;&gt;"",NOT(ISNUMBER(N129))),AND(U129&lt;&gt;"",NOT(ISNUMBER(U129)))),"Date field is not a date",IF(OR(S129="",S129="Unsure — assess"),"Art 22A / AIG-OPS-04 tier to assess","Check against source"))))))</f>
        <v/>
      </c>
    </row>
    <row r="130">
      <c r="A130" s="22" t="n"/>
      <c r="B130" s="22" t="n"/>
      <c r="C130" s="22" t="n"/>
      <c r="D130" s="22" t="n"/>
      <c r="E130" s="22" t="n"/>
      <c r="F130" s="22" t="n"/>
      <c r="G130" s="22" t="n"/>
      <c r="H130" s="22" t="n"/>
      <c r="I130" s="22" t="n"/>
      <c r="J130" s="22" t="n"/>
      <c r="K130" s="22" t="n"/>
      <c r="L130" s="22" t="n"/>
      <c r="M130" s="22" t="n"/>
      <c r="N130" s="35" t="n"/>
      <c r="O130" s="22" t="n"/>
      <c r="P130" s="22" t="n"/>
      <c r="Q130" s="22" t="n"/>
      <c r="R130" s="22" t="n"/>
      <c r="S130" s="22" t="n"/>
      <c r="T130" s="22" t="n"/>
      <c r="U130" s="35" t="n"/>
      <c r="V130" s="22">
        <f>IF(COUNTA(A130:U130)=0,"",IF(A130="","AIR-ID missing",IF(COUNTIF($A$4:$A$206,A130)&gt;1,"Duplicate AIR-ID (one row per AIR-ID)",IF(COUNTIF('AI Register'!$A$4:$A$206,A130)=0,"AIR-ID not in AI Register",IF(OR(AND(N130&lt;&gt;"",NOT(ISNUMBER(N130))),AND(U130&lt;&gt;"",NOT(ISNUMBER(U130)))),"Date field is not a date",IF(OR(S130="",S130="Unsure — assess"),"Art 22A / AIG-OPS-04 tier to assess","Check against source"))))))</f>
        <v/>
      </c>
    </row>
    <row r="131">
      <c r="A131" s="24" t="n"/>
      <c r="B131" s="24" t="n"/>
      <c r="C131" s="24" t="n"/>
      <c r="D131" s="24" t="n"/>
      <c r="E131" s="24" t="n"/>
      <c r="F131" s="24" t="n"/>
      <c r="G131" s="24" t="n"/>
      <c r="H131" s="24" t="n"/>
      <c r="I131" s="24" t="n"/>
      <c r="J131" s="24" t="n"/>
      <c r="K131" s="24" t="n"/>
      <c r="L131" s="24" t="n"/>
      <c r="M131" s="24" t="n"/>
      <c r="N131" s="36" t="n"/>
      <c r="O131" s="24" t="n"/>
      <c r="P131" s="24" t="n"/>
      <c r="Q131" s="24" t="n"/>
      <c r="R131" s="24" t="n"/>
      <c r="S131" s="24" t="n"/>
      <c r="T131" s="24" t="n"/>
      <c r="U131" s="36" t="n"/>
      <c r="V131" s="24">
        <f>IF(COUNTA(A131:U131)=0,"",IF(A131="","AIR-ID missing",IF(COUNTIF($A$4:$A$206,A131)&gt;1,"Duplicate AIR-ID (one row per AIR-ID)",IF(COUNTIF('AI Register'!$A$4:$A$206,A131)=0,"AIR-ID not in AI Register",IF(OR(AND(N131&lt;&gt;"",NOT(ISNUMBER(N131))),AND(U131&lt;&gt;"",NOT(ISNUMBER(U131)))),"Date field is not a date",IF(OR(S131="",S131="Unsure — assess"),"Art 22A / AIG-OPS-04 tier to assess","Check against source"))))))</f>
        <v/>
      </c>
    </row>
    <row r="132">
      <c r="A132" s="22" t="n"/>
      <c r="B132" s="22" t="n"/>
      <c r="C132" s="22" t="n"/>
      <c r="D132" s="22" t="n"/>
      <c r="E132" s="22" t="n"/>
      <c r="F132" s="22" t="n"/>
      <c r="G132" s="22" t="n"/>
      <c r="H132" s="22" t="n"/>
      <c r="I132" s="22" t="n"/>
      <c r="J132" s="22" t="n"/>
      <c r="K132" s="22" t="n"/>
      <c r="L132" s="22" t="n"/>
      <c r="M132" s="22" t="n"/>
      <c r="N132" s="35" t="n"/>
      <c r="O132" s="22" t="n"/>
      <c r="P132" s="22" t="n"/>
      <c r="Q132" s="22" t="n"/>
      <c r="R132" s="22" t="n"/>
      <c r="S132" s="22" t="n"/>
      <c r="T132" s="22" t="n"/>
      <c r="U132" s="35" t="n"/>
      <c r="V132" s="22">
        <f>IF(COUNTA(A132:U132)=0,"",IF(A132="","AIR-ID missing",IF(COUNTIF($A$4:$A$206,A132)&gt;1,"Duplicate AIR-ID (one row per AIR-ID)",IF(COUNTIF('AI Register'!$A$4:$A$206,A132)=0,"AIR-ID not in AI Register",IF(OR(AND(N132&lt;&gt;"",NOT(ISNUMBER(N132))),AND(U132&lt;&gt;"",NOT(ISNUMBER(U132)))),"Date field is not a date",IF(OR(S132="",S132="Unsure — assess"),"Art 22A / AIG-OPS-04 tier to assess","Check against source"))))))</f>
        <v/>
      </c>
    </row>
    <row r="133">
      <c r="A133" s="24" t="n"/>
      <c r="B133" s="24" t="n"/>
      <c r="C133" s="24" t="n"/>
      <c r="D133" s="24" t="n"/>
      <c r="E133" s="24" t="n"/>
      <c r="F133" s="24" t="n"/>
      <c r="G133" s="24" t="n"/>
      <c r="H133" s="24" t="n"/>
      <c r="I133" s="24" t="n"/>
      <c r="J133" s="24" t="n"/>
      <c r="K133" s="24" t="n"/>
      <c r="L133" s="24" t="n"/>
      <c r="M133" s="24" t="n"/>
      <c r="N133" s="36" t="n"/>
      <c r="O133" s="24" t="n"/>
      <c r="P133" s="24" t="n"/>
      <c r="Q133" s="24" t="n"/>
      <c r="R133" s="24" t="n"/>
      <c r="S133" s="24" t="n"/>
      <c r="T133" s="24" t="n"/>
      <c r="U133" s="36" t="n"/>
      <c r="V133" s="24">
        <f>IF(COUNTA(A133:U133)=0,"",IF(A133="","AIR-ID missing",IF(COUNTIF($A$4:$A$206,A133)&gt;1,"Duplicate AIR-ID (one row per AIR-ID)",IF(COUNTIF('AI Register'!$A$4:$A$206,A133)=0,"AIR-ID not in AI Register",IF(OR(AND(N133&lt;&gt;"",NOT(ISNUMBER(N133))),AND(U133&lt;&gt;"",NOT(ISNUMBER(U133)))),"Date field is not a date",IF(OR(S133="",S133="Unsure — assess"),"Art 22A / AIG-OPS-04 tier to assess","Check against source"))))))</f>
        <v/>
      </c>
    </row>
    <row r="134">
      <c r="A134" s="22" t="n"/>
      <c r="B134" s="22" t="n"/>
      <c r="C134" s="22" t="n"/>
      <c r="D134" s="22" t="n"/>
      <c r="E134" s="22" t="n"/>
      <c r="F134" s="22" t="n"/>
      <c r="G134" s="22" t="n"/>
      <c r="H134" s="22" t="n"/>
      <c r="I134" s="22" t="n"/>
      <c r="J134" s="22" t="n"/>
      <c r="K134" s="22" t="n"/>
      <c r="L134" s="22" t="n"/>
      <c r="M134" s="22" t="n"/>
      <c r="N134" s="35" t="n"/>
      <c r="O134" s="22" t="n"/>
      <c r="P134" s="22" t="n"/>
      <c r="Q134" s="22" t="n"/>
      <c r="R134" s="22" t="n"/>
      <c r="S134" s="22" t="n"/>
      <c r="T134" s="22" t="n"/>
      <c r="U134" s="35" t="n"/>
      <c r="V134" s="22">
        <f>IF(COUNTA(A134:U134)=0,"",IF(A134="","AIR-ID missing",IF(COUNTIF($A$4:$A$206,A134)&gt;1,"Duplicate AIR-ID (one row per AIR-ID)",IF(COUNTIF('AI Register'!$A$4:$A$206,A134)=0,"AIR-ID not in AI Register",IF(OR(AND(N134&lt;&gt;"",NOT(ISNUMBER(N134))),AND(U134&lt;&gt;"",NOT(ISNUMBER(U134)))),"Date field is not a date",IF(OR(S134="",S134="Unsure — assess"),"Art 22A / AIG-OPS-04 tier to assess","Check against source"))))))</f>
        <v/>
      </c>
    </row>
    <row r="135">
      <c r="A135" s="24" t="n"/>
      <c r="B135" s="24" t="n"/>
      <c r="C135" s="24" t="n"/>
      <c r="D135" s="24" t="n"/>
      <c r="E135" s="24" t="n"/>
      <c r="F135" s="24" t="n"/>
      <c r="G135" s="24" t="n"/>
      <c r="H135" s="24" t="n"/>
      <c r="I135" s="24" t="n"/>
      <c r="J135" s="24" t="n"/>
      <c r="K135" s="24" t="n"/>
      <c r="L135" s="24" t="n"/>
      <c r="M135" s="24" t="n"/>
      <c r="N135" s="36" t="n"/>
      <c r="O135" s="24" t="n"/>
      <c r="P135" s="24" t="n"/>
      <c r="Q135" s="24" t="n"/>
      <c r="R135" s="24" t="n"/>
      <c r="S135" s="24" t="n"/>
      <c r="T135" s="24" t="n"/>
      <c r="U135" s="36" t="n"/>
      <c r="V135" s="24">
        <f>IF(COUNTA(A135:U135)=0,"",IF(A135="","AIR-ID missing",IF(COUNTIF($A$4:$A$206,A135)&gt;1,"Duplicate AIR-ID (one row per AIR-ID)",IF(COUNTIF('AI Register'!$A$4:$A$206,A135)=0,"AIR-ID not in AI Register",IF(OR(AND(N135&lt;&gt;"",NOT(ISNUMBER(N135))),AND(U135&lt;&gt;"",NOT(ISNUMBER(U135)))),"Date field is not a date",IF(OR(S135="",S135="Unsure — assess"),"Art 22A / AIG-OPS-04 tier to assess","Check against source"))))))</f>
        <v/>
      </c>
    </row>
    <row r="136">
      <c r="A136" s="22" t="n"/>
      <c r="B136" s="22" t="n"/>
      <c r="C136" s="22" t="n"/>
      <c r="D136" s="22" t="n"/>
      <c r="E136" s="22" t="n"/>
      <c r="F136" s="22" t="n"/>
      <c r="G136" s="22" t="n"/>
      <c r="H136" s="22" t="n"/>
      <c r="I136" s="22" t="n"/>
      <c r="J136" s="22" t="n"/>
      <c r="K136" s="22" t="n"/>
      <c r="L136" s="22" t="n"/>
      <c r="M136" s="22" t="n"/>
      <c r="N136" s="35" t="n"/>
      <c r="O136" s="22" t="n"/>
      <c r="P136" s="22" t="n"/>
      <c r="Q136" s="22" t="n"/>
      <c r="R136" s="22" t="n"/>
      <c r="S136" s="22" t="n"/>
      <c r="T136" s="22" t="n"/>
      <c r="U136" s="35" t="n"/>
      <c r="V136" s="22">
        <f>IF(COUNTA(A136:U136)=0,"",IF(A136="","AIR-ID missing",IF(COUNTIF($A$4:$A$206,A136)&gt;1,"Duplicate AIR-ID (one row per AIR-ID)",IF(COUNTIF('AI Register'!$A$4:$A$206,A136)=0,"AIR-ID not in AI Register",IF(OR(AND(N136&lt;&gt;"",NOT(ISNUMBER(N136))),AND(U136&lt;&gt;"",NOT(ISNUMBER(U136)))),"Date field is not a date",IF(OR(S136="",S136="Unsure — assess"),"Art 22A / AIG-OPS-04 tier to assess","Check against source"))))))</f>
        <v/>
      </c>
    </row>
    <row r="137">
      <c r="A137" s="24" t="n"/>
      <c r="B137" s="24" t="n"/>
      <c r="C137" s="24" t="n"/>
      <c r="D137" s="24" t="n"/>
      <c r="E137" s="24" t="n"/>
      <c r="F137" s="24" t="n"/>
      <c r="G137" s="24" t="n"/>
      <c r="H137" s="24" t="n"/>
      <c r="I137" s="24" t="n"/>
      <c r="J137" s="24" t="n"/>
      <c r="K137" s="24" t="n"/>
      <c r="L137" s="24" t="n"/>
      <c r="M137" s="24" t="n"/>
      <c r="N137" s="36" t="n"/>
      <c r="O137" s="24" t="n"/>
      <c r="P137" s="24" t="n"/>
      <c r="Q137" s="24" t="n"/>
      <c r="R137" s="24" t="n"/>
      <c r="S137" s="24" t="n"/>
      <c r="T137" s="24" t="n"/>
      <c r="U137" s="36" t="n"/>
      <c r="V137" s="24">
        <f>IF(COUNTA(A137:U137)=0,"",IF(A137="","AIR-ID missing",IF(COUNTIF($A$4:$A$206,A137)&gt;1,"Duplicate AIR-ID (one row per AIR-ID)",IF(COUNTIF('AI Register'!$A$4:$A$206,A137)=0,"AIR-ID not in AI Register",IF(OR(AND(N137&lt;&gt;"",NOT(ISNUMBER(N137))),AND(U137&lt;&gt;"",NOT(ISNUMBER(U137)))),"Date field is not a date",IF(OR(S137="",S137="Unsure — assess"),"Art 22A / AIG-OPS-04 tier to assess","Check against source"))))))</f>
        <v/>
      </c>
    </row>
    <row r="138">
      <c r="A138" s="22" t="n"/>
      <c r="B138" s="22" t="n"/>
      <c r="C138" s="22" t="n"/>
      <c r="D138" s="22" t="n"/>
      <c r="E138" s="22" t="n"/>
      <c r="F138" s="22" t="n"/>
      <c r="G138" s="22" t="n"/>
      <c r="H138" s="22" t="n"/>
      <c r="I138" s="22" t="n"/>
      <c r="J138" s="22" t="n"/>
      <c r="K138" s="22" t="n"/>
      <c r="L138" s="22" t="n"/>
      <c r="M138" s="22" t="n"/>
      <c r="N138" s="35" t="n"/>
      <c r="O138" s="22" t="n"/>
      <c r="P138" s="22" t="n"/>
      <c r="Q138" s="22" t="n"/>
      <c r="R138" s="22" t="n"/>
      <c r="S138" s="22" t="n"/>
      <c r="T138" s="22" t="n"/>
      <c r="U138" s="35" t="n"/>
      <c r="V138" s="22">
        <f>IF(COUNTA(A138:U138)=0,"",IF(A138="","AIR-ID missing",IF(COUNTIF($A$4:$A$206,A138)&gt;1,"Duplicate AIR-ID (one row per AIR-ID)",IF(COUNTIF('AI Register'!$A$4:$A$206,A138)=0,"AIR-ID not in AI Register",IF(OR(AND(N138&lt;&gt;"",NOT(ISNUMBER(N138))),AND(U138&lt;&gt;"",NOT(ISNUMBER(U138)))),"Date field is not a date",IF(OR(S138="",S138="Unsure — assess"),"Art 22A / AIG-OPS-04 tier to assess","Check against source"))))))</f>
        <v/>
      </c>
    </row>
    <row r="139">
      <c r="A139" s="24" t="n"/>
      <c r="B139" s="24" t="n"/>
      <c r="C139" s="24" t="n"/>
      <c r="D139" s="24" t="n"/>
      <c r="E139" s="24" t="n"/>
      <c r="F139" s="24" t="n"/>
      <c r="G139" s="24" t="n"/>
      <c r="H139" s="24" t="n"/>
      <c r="I139" s="24" t="n"/>
      <c r="J139" s="24" t="n"/>
      <c r="K139" s="24" t="n"/>
      <c r="L139" s="24" t="n"/>
      <c r="M139" s="24" t="n"/>
      <c r="N139" s="36" t="n"/>
      <c r="O139" s="24" t="n"/>
      <c r="P139" s="24" t="n"/>
      <c r="Q139" s="24" t="n"/>
      <c r="R139" s="24" t="n"/>
      <c r="S139" s="24" t="n"/>
      <c r="T139" s="24" t="n"/>
      <c r="U139" s="36" t="n"/>
      <c r="V139" s="24">
        <f>IF(COUNTA(A139:U139)=0,"",IF(A139="","AIR-ID missing",IF(COUNTIF($A$4:$A$206,A139)&gt;1,"Duplicate AIR-ID (one row per AIR-ID)",IF(COUNTIF('AI Register'!$A$4:$A$206,A139)=0,"AIR-ID not in AI Register",IF(OR(AND(N139&lt;&gt;"",NOT(ISNUMBER(N139))),AND(U139&lt;&gt;"",NOT(ISNUMBER(U139)))),"Date field is not a date",IF(OR(S139="",S139="Unsure — assess"),"Art 22A / AIG-OPS-04 tier to assess","Check against source"))))))</f>
        <v/>
      </c>
    </row>
    <row r="140">
      <c r="A140" s="22" t="n"/>
      <c r="B140" s="22" t="n"/>
      <c r="C140" s="22" t="n"/>
      <c r="D140" s="22" t="n"/>
      <c r="E140" s="22" t="n"/>
      <c r="F140" s="22" t="n"/>
      <c r="G140" s="22" t="n"/>
      <c r="H140" s="22" t="n"/>
      <c r="I140" s="22" t="n"/>
      <c r="J140" s="22" t="n"/>
      <c r="K140" s="22" t="n"/>
      <c r="L140" s="22" t="n"/>
      <c r="M140" s="22" t="n"/>
      <c r="N140" s="35" t="n"/>
      <c r="O140" s="22" t="n"/>
      <c r="P140" s="22" t="n"/>
      <c r="Q140" s="22" t="n"/>
      <c r="R140" s="22" t="n"/>
      <c r="S140" s="22" t="n"/>
      <c r="T140" s="22" t="n"/>
      <c r="U140" s="35" t="n"/>
      <c r="V140" s="22">
        <f>IF(COUNTA(A140:U140)=0,"",IF(A140="","AIR-ID missing",IF(COUNTIF($A$4:$A$206,A140)&gt;1,"Duplicate AIR-ID (one row per AIR-ID)",IF(COUNTIF('AI Register'!$A$4:$A$206,A140)=0,"AIR-ID not in AI Register",IF(OR(AND(N140&lt;&gt;"",NOT(ISNUMBER(N140))),AND(U140&lt;&gt;"",NOT(ISNUMBER(U140)))),"Date field is not a date",IF(OR(S140="",S140="Unsure — assess"),"Art 22A / AIG-OPS-04 tier to assess","Check against source"))))))</f>
        <v/>
      </c>
    </row>
    <row r="141">
      <c r="A141" s="24" t="n"/>
      <c r="B141" s="24" t="n"/>
      <c r="C141" s="24" t="n"/>
      <c r="D141" s="24" t="n"/>
      <c r="E141" s="24" t="n"/>
      <c r="F141" s="24" t="n"/>
      <c r="G141" s="24" t="n"/>
      <c r="H141" s="24" t="n"/>
      <c r="I141" s="24" t="n"/>
      <c r="J141" s="24" t="n"/>
      <c r="K141" s="24" t="n"/>
      <c r="L141" s="24" t="n"/>
      <c r="M141" s="24" t="n"/>
      <c r="N141" s="36" t="n"/>
      <c r="O141" s="24" t="n"/>
      <c r="P141" s="24" t="n"/>
      <c r="Q141" s="24" t="n"/>
      <c r="R141" s="24" t="n"/>
      <c r="S141" s="24" t="n"/>
      <c r="T141" s="24" t="n"/>
      <c r="U141" s="36" t="n"/>
      <c r="V141" s="24">
        <f>IF(COUNTA(A141:U141)=0,"",IF(A141="","AIR-ID missing",IF(COUNTIF($A$4:$A$206,A141)&gt;1,"Duplicate AIR-ID (one row per AIR-ID)",IF(COUNTIF('AI Register'!$A$4:$A$206,A141)=0,"AIR-ID not in AI Register",IF(OR(AND(N141&lt;&gt;"",NOT(ISNUMBER(N141))),AND(U141&lt;&gt;"",NOT(ISNUMBER(U141)))),"Date field is not a date",IF(OR(S141="",S141="Unsure — assess"),"Art 22A / AIG-OPS-04 tier to assess","Check against source"))))))</f>
        <v/>
      </c>
    </row>
    <row r="142">
      <c r="A142" s="22" t="n"/>
      <c r="B142" s="22" t="n"/>
      <c r="C142" s="22" t="n"/>
      <c r="D142" s="22" t="n"/>
      <c r="E142" s="22" t="n"/>
      <c r="F142" s="22" t="n"/>
      <c r="G142" s="22" t="n"/>
      <c r="H142" s="22" t="n"/>
      <c r="I142" s="22" t="n"/>
      <c r="J142" s="22" t="n"/>
      <c r="K142" s="22" t="n"/>
      <c r="L142" s="22" t="n"/>
      <c r="M142" s="22" t="n"/>
      <c r="N142" s="35" t="n"/>
      <c r="O142" s="22" t="n"/>
      <c r="P142" s="22" t="n"/>
      <c r="Q142" s="22" t="n"/>
      <c r="R142" s="22" t="n"/>
      <c r="S142" s="22" t="n"/>
      <c r="T142" s="22" t="n"/>
      <c r="U142" s="35" t="n"/>
      <c r="V142" s="22">
        <f>IF(COUNTA(A142:U142)=0,"",IF(A142="","AIR-ID missing",IF(COUNTIF($A$4:$A$206,A142)&gt;1,"Duplicate AIR-ID (one row per AIR-ID)",IF(COUNTIF('AI Register'!$A$4:$A$206,A142)=0,"AIR-ID not in AI Register",IF(OR(AND(N142&lt;&gt;"",NOT(ISNUMBER(N142))),AND(U142&lt;&gt;"",NOT(ISNUMBER(U142)))),"Date field is not a date",IF(OR(S142="",S142="Unsure — assess"),"Art 22A / AIG-OPS-04 tier to assess","Check against source"))))))</f>
        <v/>
      </c>
    </row>
    <row r="143">
      <c r="A143" s="24" t="n"/>
      <c r="B143" s="24" t="n"/>
      <c r="C143" s="24" t="n"/>
      <c r="D143" s="24" t="n"/>
      <c r="E143" s="24" t="n"/>
      <c r="F143" s="24" t="n"/>
      <c r="G143" s="24" t="n"/>
      <c r="H143" s="24" t="n"/>
      <c r="I143" s="24" t="n"/>
      <c r="J143" s="24" t="n"/>
      <c r="K143" s="24" t="n"/>
      <c r="L143" s="24" t="n"/>
      <c r="M143" s="24" t="n"/>
      <c r="N143" s="36" t="n"/>
      <c r="O143" s="24" t="n"/>
      <c r="P143" s="24" t="n"/>
      <c r="Q143" s="24" t="n"/>
      <c r="R143" s="24" t="n"/>
      <c r="S143" s="24" t="n"/>
      <c r="T143" s="24" t="n"/>
      <c r="U143" s="36" t="n"/>
      <c r="V143" s="24">
        <f>IF(COUNTA(A143:U143)=0,"",IF(A143="","AIR-ID missing",IF(COUNTIF($A$4:$A$206,A143)&gt;1,"Duplicate AIR-ID (one row per AIR-ID)",IF(COUNTIF('AI Register'!$A$4:$A$206,A143)=0,"AIR-ID not in AI Register",IF(OR(AND(N143&lt;&gt;"",NOT(ISNUMBER(N143))),AND(U143&lt;&gt;"",NOT(ISNUMBER(U143)))),"Date field is not a date",IF(OR(S143="",S143="Unsure — assess"),"Art 22A / AIG-OPS-04 tier to assess","Check against source"))))))</f>
        <v/>
      </c>
    </row>
    <row r="144">
      <c r="A144" s="22" t="n"/>
      <c r="B144" s="22" t="n"/>
      <c r="C144" s="22" t="n"/>
      <c r="D144" s="22" t="n"/>
      <c r="E144" s="22" t="n"/>
      <c r="F144" s="22" t="n"/>
      <c r="G144" s="22" t="n"/>
      <c r="H144" s="22" t="n"/>
      <c r="I144" s="22" t="n"/>
      <c r="J144" s="22" t="n"/>
      <c r="K144" s="22" t="n"/>
      <c r="L144" s="22" t="n"/>
      <c r="M144" s="22" t="n"/>
      <c r="N144" s="35" t="n"/>
      <c r="O144" s="22" t="n"/>
      <c r="P144" s="22" t="n"/>
      <c r="Q144" s="22" t="n"/>
      <c r="R144" s="22" t="n"/>
      <c r="S144" s="22" t="n"/>
      <c r="T144" s="22" t="n"/>
      <c r="U144" s="35" t="n"/>
      <c r="V144" s="22">
        <f>IF(COUNTA(A144:U144)=0,"",IF(A144="","AIR-ID missing",IF(COUNTIF($A$4:$A$206,A144)&gt;1,"Duplicate AIR-ID (one row per AIR-ID)",IF(COUNTIF('AI Register'!$A$4:$A$206,A144)=0,"AIR-ID not in AI Register",IF(OR(AND(N144&lt;&gt;"",NOT(ISNUMBER(N144))),AND(U144&lt;&gt;"",NOT(ISNUMBER(U144)))),"Date field is not a date",IF(OR(S144="",S144="Unsure — assess"),"Art 22A / AIG-OPS-04 tier to assess","Check against source"))))))</f>
        <v/>
      </c>
    </row>
    <row r="145">
      <c r="A145" s="24" t="n"/>
      <c r="B145" s="24" t="n"/>
      <c r="C145" s="24" t="n"/>
      <c r="D145" s="24" t="n"/>
      <c r="E145" s="24" t="n"/>
      <c r="F145" s="24" t="n"/>
      <c r="G145" s="24" t="n"/>
      <c r="H145" s="24" t="n"/>
      <c r="I145" s="24" t="n"/>
      <c r="J145" s="24" t="n"/>
      <c r="K145" s="24" t="n"/>
      <c r="L145" s="24" t="n"/>
      <c r="M145" s="24" t="n"/>
      <c r="N145" s="36" t="n"/>
      <c r="O145" s="24" t="n"/>
      <c r="P145" s="24" t="n"/>
      <c r="Q145" s="24" t="n"/>
      <c r="R145" s="24" t="n"/>
      <c r="S145" s="24" t="n"/>
      <c r="T145" s="24" t="n"/>
      <c r="U145" s="36" t="n"/>
      <c r="V145" s="24">
        <f>IF(COUNTA(A145:U145)=0,"",IF(A145="","AIR-ID missing",IF(COUNTIF($A$4:$A$206,A145)&gt;1,"Duplicate AIR-ID (one row per AIR-ID)",IF(COUNTIF('AI Register'!$A$4:$A$206,A145)=0,"AIR-ID not in AI Register",IF(OR(AND(N145&lt;&gt;"",NOT(ISNUMBER(N145))),AND(U145&lt;&gt;"",NOT(ISNUMBER(U145)))),"Date field is not a date",IF(OR(S145="",S145="Unsure — assess"),"Art 22A / AIG-OPS-04 tier to assess","Check against source"))))))</f>
        <v/>
      </c>
    </row>
    <row r="146">
      <c r="A146" s="22" t="n"/>
      <c r="B146" s="22" t="n"/>
      <c r="C146" s="22" t="n"/>
      <c r="D146" s="22" t="n"/>
      <c r="E146" s="22" t="n"/>
      <c r="F146" s="22" t="n"/>
      <c r="G146" s="22" t="n"/>
      <c r="H146" s="22" t="n"/>
      <c r="I146" s="22" t="n"/>
      <c r="J146" s="22" t="n"/>
      <c r="K146" s="22" t="n"/>
      <c r="L146" s="22" t="n"/>
      <c r="M146" s="22" t="n"/>
      <c r="N146" s="35" t="n"/>
      <c r="O146" s="22" t="n"/>
      <c r="P146" s="22" t="n"/>
      <c r="Q146" s="22" t="n"/>
      <c r="R146" s="22" t="n"/>
      <c r="S146" s="22" t="n"/>
      <c r="T146" s="22" t="n"/>
      <c r="U146" s="35" t="n"/>
      <c r="V146" s="22">
        <f>IF(COUNTA(A146:U146)=0,"",IF(A146="","AIR-ID missing",IF(COUNTIF($A$4:$A$206,A146)&gt;1,"Duplicate AIR-ID (one row per AIR-ID)",IF(COUNTIF('AI Register'!$A$4:$A$206,A146)=0,"AIR-ID not in AI Register",IF(OR(AND(N146&lt;&gt;"",NOT(ISNUMBER(N146))),AND(U146&lt;&gt;"",NOT(ISNUMBER(U146)))),"Date field is not a date",IF(OR(S146="",S146="Unsure — assess"),"Art 22A / AIG-OPS-04 tier to assess","Check against source"))))))</f>
        <v/>
      </c>
    </row>
    <row r="147">
      <c r="A147" s="24" t="n"/>
      <c r="B147" s="24" t="n"/>
      <c r="C147" s="24" t="n"/>
      <c r="D147" s="24" t="n"/>
      <c r="E147" s="24" t="n"/>
      <c r="F147" s="24" t="n"/>
      <c r="G147" s="24" t="n"/>
      <c r="H147" s="24" t="n"/>
      <c r="I147" s="24" t="n"/>
      <c r="J147" s="24" t="n"/>
      <c r="K147" s="24" t="n"/>
      <c r="L147" s="24" t="n"/>
      <c r="M147" s="24" t="n"/>
      <c r="N147" s="36" t="n"/>
      <c r="O147" s="24" t="n"/>
      <c r="P147" s="24" t="n"/>
      <c r="Q147" s="24" t="n"/>
      <c r="R147" s="24" t="n"/>
      <c r="S147" s="24" t="n"/>
      <c r="T147" s="24" t="n"/>
      <c r="U147" s="36" t="n"/>
      <c r="V147" s="24">
        <f>IF(COUNTA(A147:U147)=0,"",IF(A147="","AIR-ID missing",IF(COUNTIF($A$4:$A$206,A147)&gt;1,"Duplicate AIR-ID (one row per AIR-ID)",IF(COUNTIF('AI Register'!$A$4:$A$206,A147)=0,"AIR-ID not in AI Register",IF(OR(AND(N147&lt;&gt;"",NOT(ISNUMBER(N147))),AND(U147&lt;&gt;"",NOT(ISNUMBER(U147)))),"Date field is not a date",IF(OR(S147="",S147="Unsure — assess"),"Art 22A / AIG-OPS-04 tier to assess","Check against source"))))))</f>
        <v/>
      </c>
    </row>
    <row r="148">
      <c r="A148" s="22" t="n"/>
      <c r="B148" s="22" t="n"/>
      <c r="C148" s="22" t="n"/>
      <c r="D148" s="22" t="n"/>
      <c r="E148" s="22" t="n"/>
      <c r="F148" s="22" t="n"/>
      <c r="G148" s="22" t="n"/>
      <c r="H148" s="22" t="n"/>
      <c r="I148" s="22" t="n"/>
      <c r="J148" s="22" t="n"/>
      <c r="K148" s="22" t="n"/>
      <c r="L148" s="22" t="n"/>
      <c r="M148" s="22" t="n"/>
      <c r="N148" s="35" t="n"/>
      <c r="O148" s="22" t="n"/>
      <c r="P148" s="22" t="n"/>
      <c r="Q148" s="22" t="n"/>
      <c r="R148" s="22" t="n"/>
      <c r="S148" s="22" t="n"/>
      <c r="T148" s="22" t="n"/>
      <c r="U148" s="35" t="n"/>
      <c r="V148" s="22">
        <f>IF(COUNTA(A148:U148)=0,"",IF(A148="","AIR-ID missing",IF(COUNTIF($A$4:$A$206,A148)&gt;1,"Duplicate AIR-ID (one row per AIR-ID)",IF(COUNTIF('AI Register'!$A$4:$A$206,A148)=0,"AIR-ID not in AI Register",IF(OR(AND(N148&lt;&gt;"",NOT(ISNUMBER(N148))),AND(U148&lt;&gt;"",NOT(ISNUMBER(U148)))),"Date field is not a date",IF(OR(S148="",S148="Unsure — assess"),"Art 22A / AIG-OPS-04 tier to assess","Check against source"))))))</f>
        <v/>
      </c>
    </row>
    <row r="149">
      <c r="A149" s="24" t="n"/>
      <c r="B149" s="24" t="n"/>
      <c r="C149" s="24" t="n"/>
      <c r="D149" s="24" t="n"/>
      <c r="E149" s="24" t="n"/>
      <c r="F149" s="24" t="n"/>
      <c r="G149" s="24" t="n"/>
      <c r="H149" s="24" t="n"/>
      <c r="I149" s="24" t="n"/>
      <c r="J149" s="24" t="n"/>
      <c r="K149" s="24" t="n"/>
      <c r="L149" s="24" t="n"/>
      <c r="M149" s="24" t="n"/>
      <c r="N149" s="36" t="n"/>
      <c r="O149" s="24" t="n"/>
      <c r="P149" s="24" t="n"/>
      <c r="Q149" s="24" t="n"/>
      <c r="R149" s="24" t="n"/>
      <c r="S149" s="24" t="n"/>
      <c r="T149" s="24" t="n"/>
      <c r="U149" s="36" t="n"/>
      <c r="V149" s="24">
        <f>IF(COUNTA(A149:U149)=0,"",IF(A149="","AIR-ID missing",IF(COUNTIF($A$4:$A$206,A149)&gt;1,"Duplicate AIR-ID (one row per AIR-ID)",IF(COUNTIF('AI Register'!$A$4:$A$206,A149)=0,"AIR-ID not in AI Register",IF(OR(AND(N149&lt;&gt;"",NOT(ISNUMBER(N149))),AND(U149&lt;&gt;"",NOT(ISNUMBER(U149)))),"Date field is not a date",IF(OR(S149="",S149="Unsure — assess"),"Art 22A / AIG-OPS-04 tier to assess","Check against source"))))))</f>
        <v/>
      </c>
    </row>
    <row r="150">
      <c r="A150" s="22" t="n"/>
      <c r="B150" s="22" t="n"/>
      <c r="C150" s="22" t="n"/>
      <c r="D150" s="22" t="n"/>
      <c r="E150" s="22" t="n"/>
      <c r="F150" s="22" t="n"/>
      <c r="G150" s="22" t="n"/>
      <c r="H150" s="22" t="n"/>
      <c r="I150" s="22" t="n"/>
      <c r="J150" s="22" t="n"/>
      <c r="K150" s="22" t="n"/>
      <c r="L150" s="22" t="n"/>
      <c r="M150" s="22" t="n"/>
      <c r="N150" s="35" t="n"/>
      <c r="O150" s="22" t="n"/>
      <c r="P150" s="22" t="n"/>
      <c r="Q150" s="22" t="n"/>
      <c r="R150" s="22" t="n"/>
      <c r="S150" s="22" t="n"/>
      <c r="T150" s="22" t="n"/>
      <c r="U150" s="35" t="n"/>
      <c r="V150" s="22">
        <f>IF(COUNTA(A150:U150)=0,"",IF(A150="","AIR-ID missing",IF(COUNTIF($A$4:$A$206,A150)&gt;1,"Duplicate AIR-ID (one row per AIR-ID)",IF(COUNTIF('AI Register'!$A$4:$A$206,A150)=0,"AIR-ID not in AI Register",IF(OR(AND(N150&lt;&gt;"",NOT(ISNUMBER(N150))),AND(U150&lt;&gt;"",NOT(ISNUMBER(U150)))),"Date field is not a date",IF(OR(S150="",S150="Unsure — assess"),"Art 22A / AIG-OPS-04 tier to assess","Check against source"))))))</f>
        <v/>
      </c>
    </row>
    <row r="151">
      <c r="A151" s="24" t="n"/>
      <c r="B151" s="24" t="n"/>
      <c r="C151" s="24" t="n"/>
      <c r="D151" s="24" t="n"/>
      <c r="E151" s="24" t="n"/>
      <c r="F151" s="24" t="n"/>
      <c r="G151" s="24" t="n"/>
      <c r="H151" s="24" t="n"/>
      <c r="I151" s="24" t="n"/>
      <c r="J151" s="24" t="n"/>
      <c r="K151" s="24" t="n"/>
      <c r="L151" s="24" t="n"/>
      <c r="M151" s="24" t="n"/>
      <c r="N151" s="36" t="n"/>
      <c r="O151" s="24" t="n"/>
      <c r="P151" s="24" t="n"/>
      <c r="Q151" s="24" t="n"/>
      <c r="R151" s="24" t="n"/>
      <c r="S151" s="24" t="n"/>
      <c r="T151" s="24" t="n"/>
      <c r="U151" s="36" t="n"/>
      <c r="V151" s="24">
        <f>IF(COUNTA(A151:U151)=0,"",IF(A151="","AIR-ID missing",IF(COUNTIF($A$4:$A$206,A151)&gt;1,"Duplicate AIR-ID (one row per AIR-ID)",IF(COUNTIF('AI Register'!$A$4:$A$206,A151)=0,"AIR-ID not in AI Register",IF(OR(AND(N151&lt;&gt;"",NOT(ISNUMBER(N151))),AND(U151&lt;&gt;"",NOT(ISNUMBER(U151)))),"Date field is not a date",IF(OR(S151="",S151="Unsure — assess"),"Art 22A / AIG-OPS-04 tier to assess","Check against source"))))))</f>
        <v/>
      </c>
    </row>
    <row r="152">
      <c r="A152" s="22" t="n"/>
      <c r="B152" s="22" t="n"/>
      <c r="C152" s="22" t="n"/>
      <c r="D152" s="22" t="n"/>
      <c r="E152" s="22" t="n"/>
      <c r="F152" s="22" t="n"/>
      <c r="G152" s="22" t="n"/>
      <c r="H152" s="22" t="n"/>
      <c r="I152" s="22" t="n"/>
      <c r="J152" s="22" t="n"/>
      <c r="K152" s="22" t="n"/>
      <c r="L152" s="22" t="n"/>
      <c r="M152" s="22" t="n"/>
      <c r="N152" s="35" t="n"/>
      <c r="O152" s="22" t="n"/>
      <c r="P152" s="22" t="n"/>
      <c r="Q152" s="22" t="n"/>
      <c r="R152" s="22" t="n"/>
      <c r="S152" s="22" t="n"/>
      <c r="T152" s="22" t="n"/>
      <c r="U152" s="35" t="n"/>
      <c r="V152" s="22">
        <f>IF(COUNTA(A152:U152)=0,"",IF(A152="","AIR-ID missing",IF(COUNTIF($A$4:$A$206,A152)&gt;1,"Duplicate AIR-ID (one row per AIR-ID)",IF(COUNTIF('AI Register'!$A$4:$A$206,A152)=0,"AIR-ID not in AI Register",IF(OR(AND(N152&lt;&gt;"",NOT(ISNUMBER(N152))),AND(U152&lt;&gt;"",NOT(ISNUMBER(U152)))),"Date field is not a date",IF(OR(S152="",S152="Unsure — assess"),"Art 22A / AIG-OPS-04 tier to assess","Check against source"))))))</f>
        <v/>
      </c>
    </row>
    <row r="153">
      <c r="A153" s="24" t="n"/>
      <c r="B153" s="24" t="n"/>
      <c r="C153" s="24" t="n"/>
      <c r="D153" s="24" t="n"/>
      <c r="E153" s="24" t="n"/>
      <c r="F153" s="24" t="n"/>
      <c r="G153" s="24" t="n"/>
      <c r="H153" s="24" t="n"/>
      <c r="I153" s="24" t="n"/>
      <c r="J153" s="24" t="n"/>
      <c r="K153" s="24" t="n"/>
      <c r="L153" s="24" t="n"/>
      <c r="M153" s="24" t="n"/>
      <c r="N153" s="36" t="n"/>
      <c r="O153" s="24" t="n"/>
      <c r="P153" s="24" t="n"/>
      <c r="Q153" s="24" t="n"/>
      <c r="R153" s="24" t="n"/>
      <c r="S153" s="24" t="n"/>
      <c r="T153" s="24" t="n"/>
      <c r="U153" s="36" t="n"/>
      <c r="V153" s="24">
        <f>IF(COUNTA(A153:U153)=0,"",IF(A153="","AIR-ID missing",IF(COUNTIF($A$4:$A$206,A153)&gt;1,"Duplicate AIR-ID (one row per AIR-ID)",IF(COUNTIF('AI Register'!$A$4:$A$206,A153)=0,"AIR-ID not in AI Register",IF(OR(AND(N153&lt;&gt;"",NOT(ISNUMBER(N153))),AND(U153&lt;&gt;"",NOT(ISNUMBER(U153)))),"Date field is not a date",IF(OR(S153="",S153="Unsure — assess"),"Art 22A / AIG-OPS-04 tier to assess","Check against source"))))))</f>
        <v/>
      </c>
    </row>
    <row r="154">
      <c r="A154" s="22" t="n"/>
      <c r="B154" s="22" t="n"/>
      <c r="C154" s="22" t="n"/>
      <c r="D154" s="22" t="n"/>
      <c r="E154" s="22" t="n"/>
      <c r="F154" s="22" t="n"/>
      <c r="G154" s="22" t="n"/>
      <c r="H154" s="22" t="n"/>
      <c r="I154" s="22" t="n"/>
      <c r="J154" s="22" t="n"/>
      <c r="K154" s="22" t="n"/>
      <c r="L154" s="22" t="n"/>
      <c r="M154" s="22" t="n"/>
      <c r="N154" s="35" t="n"/>
      <c r="O154" s="22" t="n"/>
      <c r="P154" s="22" t="n"/>
      <c r="Q154" s="22" t="n"/>
      <c r="R154" s="22" t="n"/>
      <c r="S154" s="22" t="n"/>
      <c r="T154" s="22" t="n"/>
      <c r="U154" s="35" t="n"/>
      <c r="V154" s="22">
        <f>IF(COUNTA(A154:U154)=0,"",IF(A154="","AIR-ID missing",IF(COUNTIF($A$4:$A$206,A154)&gt;1,"Duplicate AIR-ID (one row per AIR-ID)",IF(COUNTIF('AI Register'!$A$4:$A$206,A154)=0,"AIR-ID not in AI Register",IF(OR(AND(N154&lt;&gt;"",NOT(ISNUMBER(N154))),AND(U154&lt;&gt;"",NOT(ISNUMBER(U154)))),"Date field is not a date",IF(OR(S154="",S154="Unsure — assess"),"Art 22A / AIG-OPS-04 tier to assess","Check against source"))))))</f>
        <v/>
      </c>
    </row>
    <row r="155">
      <c r="A155" s="24" t="n"/>
      <c r="B155" s="24" t="n"/>
      <c r="C155" s="24" t="n"/>
      <c r="D155" s="24" t="n"/>
      <c r="E155" s="24" t="n"/>
      <c r="F155" s="24" t="n"/>
      <c r="G155" s="24" t="n"/>
      <c r="H155" s="24" t="n"/>
      <c r="I155" s="24" t="n"/>
      <c r="J155" s="24" t="n"/>
      <c r="K155" s="24" t="n"/>
      <c r="L155" s="24" t="n"/>
      <c r="M155" s="24" t="n"/>
      <c r="N155" s="36" t="n"/>
      <c r="O155" s="24" t="n"/>
      <c r="P155" s="24" t="n"/>
      <c r="Q155" s="24" t="n"/>
      <c r="R155" s="24" t="n"/>
      <c r="S155" s="24" t="n"/>
      <c r="T155" s="24" t="n"/>
      <c r="U155" s="36" t="n"/>
      <c r="V155" s="24">
        <f>IF(COUNTA(A155:U155)=0,"",IF(A155="","AIR-ID missing",IF(COUNTIF($A$4:$A$206,A155)&gt;1,"Duplicate AIR-ID (one row per AIR-ID)",IF(COUNTIF('AI Register'!$A$4:$A$206,A155)=0,"AIR-ID not in AI Register",IF(OR(AND(N155&lt;&gt;"",NOT(ISNUMBER(N155))),AND(U155&lt;&gt;"",NOT(ISNUMBER(U155)))),"Date field is not a date",IF(OR(S155="",S155="Unsure — assess"),"Art 22A / AIG-OPS-04 tier to assess","Check against source"))))))</f>
        <v/>
      </c>
    </row>
    <row r="156">
      <c r="A156" s="22" t="n"/>
      <c r="B156" s="22" t="n"/>
      <c r="C156" s="22" t="n"/>
      <c r="D156" s="22" t="n"/>
      <c r="E156" s="22" t="n"/>
      <c r="F156" s="22" t="n"/>
      <c r="G156" s="22" t="n"/>
      <c r="H156" s="22" t="n"/>
      <c r="I156" s="22" t="n"/>
      <c r="J156" s="22" t="n"/>
      <c r="K156" s="22" t="n"/>
      <c r="L156" s="22" t="n"/>
      <c r="M156" s="22" t="n"/>
      <c r="N156" s="35" t="n"/>
      <c r="O156" s="22" t="n"/>
      <c r="P156" s="22" t="n"/>
      <c r="Q156" s="22" t="n"/>
      <c r="R156" s="22" t="n"/>
      <c r="S156" s="22" t="n"/>
      <c r="T156" s="22" t="n"/>
      <c r="U156" s="35" t="n"/>
      <c r="V156" s="22">
        <f>IF(COUNTA(A156:U156)=0,"",IF(A156="","AIR-ID missing",IF(COUNTIF($A$4:$A$206,A156)&gt;1,"Duplicate AIR-ID (one row per AIR-ID)",IF(COUNTIF('AI Register'!$A$4:$A$206,A156)=0,"AIR-ID not in AI Register",IF(OR(AND(N156&lt;&gt;"",NOT(ISNUMBER(N156))),AND(U156&lt;&gt;"",NOT(ISNUMBER(U156)))),"Date field is not a date",IF(OR(S156="",S156="Unsure — assess"),"Art 22A / AIG-OPS-04 tier to assess","Check against source"))))))</f>
        <v/>
      </c>
    </row>
    <row r="157">
      <c r="A157" s="24" t="n"/>
      <c r="B157" s="24" t="n"/>
      <c r="C157" s="24" t="n"/>
      <c r="D157" s="24" t="n"/>
      <c r="E157" s="24" t="n"/>
      <c r="F157" s="24" t="n"/>
      <c r="G157" s="24" t="n"/>
      <c r="H157" s="24" t="n"/>
      <c r="I157" s="24" t="n"/>
      <c r="J157" s="24" t="n"/>
      <c r="K157" s="24" t="n"/>
      <c r="L157" s="24" t="n"/>
      <c r="M157" s="24" t="n"/>
      <c r="N157" s="36" t="n"/>
      <c r="O157" s="24" t="n"/>
      <c r="P157" s="24" t="n"/>
      <c r="Q157" s="24" t="n"/>
      <c r="R157" s="24" t="n"/>
      <c r="S157" s="24" t="n"/>
      <c r="T157" s="24" t="n"/>
      <c r="U157" s="36" t="n"/>
      <c r="V157" s="24">
        <f>IF(COUNTA(A157:U157)=0,"",IF(A157="","AIR-ID missing",IF(COUNTIF($A$4:$A$206,A157)&gt;1,"Duplicate AIR-ID (one row per AIR-ID)",IF(COUNTIF('AI Register'!$A$4:$A$206,A157)=0,"AIR-ID not in AI Register",IF(OR(AND(N157&lt;&gt;"",NOT(ISNUMBER(N157))),AND(U157&lt;&gt;"",NOT(ISNUMBER(U157)))),"Date field is not a date",IF(OR(S157="",S157="Unsure — assess"),"Art 22A / AIG-OPS-04 tier to assess","Check against source"))))))</f>
        <v/>
      </c>
    </row>
    <row r="158">
      <c r="A158" s="22" t="n"/>
      <c r="B158" s="22" t="n"/>
      <c r="C158" s="22" t="n"/>
      <c r="D158" s="22" t="n"/>
      <c r="E158" s="22" t="n"/>
      <c r="F158" s="22" t="n"/>
      <c r="G158" s="22" t="n"/>
      <c r="H158" s="22" t="n"/>
      <c r="I158" s="22" t="n"/>
      <c r="J158" s="22" t="n"/>
      <c r="K158" s="22" t="n"/>
      <c r="L158" s="22" t="n"/>
      <c r="M158" s="22" t="n"/>
      <c r="N158" s="35" t="n"/>
      <c r="O158" s="22" t="n"/>
      <c r="P158" s="22" t="n"/>
      <c r="Q158" s="22" t="n"/>
      <c r="R158" s="22" t="n"/>
      <c r="S158" s="22" t="n"/>
      <c r="T158" s="22" t="n"/>
      <c r="U158" s="35" t="n"/>
      <c r="V158" s="22">
        <f>IF(COUNTA(A158:U158)=0,"",IF(A158="","AIR-ID missing",IF(COUNTIF($A$4:$A$206,A158)&gt;1,"Duplicate AIR-ID (one row per AIR-ID)",IF(COUNTIF('AI Register'!$A$4:$A$206,A158)=0,"AIR-ID not in AI Register",IF(OR(AND(N158&lt;&gt;"",NOT(ISNUMBER(N158))),AND(U158&lt;&gt;"",NOT(ISNUMBER(U158)))),"Date field is not a date",IF(OR(S158="",S158="Unsure — assess"),"Art 22A / AIG-OPS-04 tier to assess","Check against source"))))))</f>
        <v/>
      </c>
    </row>
    <row r="159">
      <c r="A159" s="24" t="n"/>
      <c r="B159" s="24" t="n"/>
      <c r="C159" s="24" t="n"/>
      <c r="D159" s="24" t="n"/>
      <c r="E159" s="24" t="n"/>
      <c r="F159" s="24" t="n"/>
      <c r="G159" s="24" t="n"/>
      <c r="H159" s="24" t="n"/>
      <c r="I159" s="24" t="n"/>
      <c r="J159" s="24" t="n"/>
      <c r="K159" s="24" t="n"/>
      <c r="L159" s="24" t="n"/>
      <c r="M159" s="24" t="n"/>
      <c r="N159" s="36" t="n"/>
      <c r="O159" s="24" t="n"/>
      <c r="P159" s="24" t="n"/>
      <c r="Q159" s="24" t="n"/>
      <c r="R159" s="24" t="n"/>
      <c r="S159" s="24" t="n"/>
      <c r="T159" s="24" t="n"/>
      <c r="U159" s="36" t="n"/>
      <c r="V159" s="24">
        <f>IF(COUNTA(A159:U159)=0,"",IF(A159="","AIR-ID missing",IF(COUNTIF($A$4:$A$206,A159)&gt;1,"Duplicate AIR-ID (one row per AIR-ID)",IF(COUNTIF('AI Register'!$A$4:$A$206,A159)=0,"AIR-ID not in AI Register",IF(OR(AND(N159&lt;&gt;"",NOT(ISNUMBER(N159))),AND(U159&lt;&gt;"",NOT(ISNUMBER(U159)))),"Date field is not a date",IF(OR(S159="",S159="Unsure — assess"),"Art 22A / AIG-OPS-04 tier to assess","Check against source"))))))</f>
        <v/>
      </c>
    </row>
    <row r="160">
      <c r="A160" s="22" t="n"/>
      <c r="B160" s="22" t="n"/>
      <c r="C160" s="22" t="n"/>
      <c r="D160" s="22" t="n"/>
      <c r="E160" s="22" t="n"/>
      <c r="F160" s="22" t="n"/>
      <c r="G160" s="22" t="n"/>
      <c r="H160" s="22" t="n"/>
      <c r="I160" s="22" t="n"/>
      <c r="J160" s="22" t="n"/>
      <c r="K160" s="22" t="n"/>
      <c r="L160" s="22" t="n"/>
      <c r="M160" s="22" t="n"/>
      <c r="N160" s="35" t="n"/>
      <c r="O160" s="22" t="n"/>
      <c r="P160" s="22" t="n"/>
      <c r="Q160" s="22" t="n"/>
      <c r="R160" s="22" t="n"/>
      <c r="S160" s="22" t="n"/>
      <c r="T160" s="22" t="n"/>
      <c r="U160" s="35" t="n"/>
      <c r="V160" s="22">
        <f>IF(COUNTA(A160:U160)=0,"",IF(A160="","AIR-ID missing",IF(COUNTIF($A$4:$A$206,A160)&gt;1,"Duplicate AIR-ID (one row per AIR-ID)",IF(COUNTIF('AI Register'!$A$4:$A$206,A160)=0,"AIR-ID not in AI Register",IF(OR(AND(N160&lt;&gt;"",NOT(ISNUMBER(N160))),AND(U160&lt;&gt;"",NOT(ISNUMBER(U160)))),"Date field is not a date",IF(OR(S160="",S160="Unsure — assess"),"Art 22A / AIG-OPS-04 tier to assess","Check against source"))))))</f>
        <v/>
      </c>
    </row>
    <row r="161">
      <c r="A161" s="24" t="n"/>
      <c r="B161" s="24" t="n"/>
      <c r="C161" s="24" t="n"/>
      <c r="D161" s="24" t="n"/>
      <c r="E161" s="24" t="n"/>
      <c r="F161" s="24" t="n"/>
      <c r="G161" s="24" t="n"/>
      <c r="H161" s="24" t="n"/>
      <c r="I161" s="24" t="n"/>
      <c r="J161" s="24" t="n"/>
      <c r="K161" s="24" t="n"/>
      <c r="L161" s="24" t="n"/>
      <c r="M161" s="24" t="n"/>
      <c r="N161" s="36" t="n"/>
      <c r="O161" s="24" t="n"/>
      <c r="P161" s="24" t="n"/>
      <c r="Q161" s="24" t="n"/>
      <c r="R161" s="24" t="n"/>
      <c r="S161" s="24" t="n"/>
      <c r="T161" s="24" t="n"/>
      <c r="U161" s="36" t="n"/>
      <c r="V161" s="24">
        <f>IF(COUNTA(A161:U161)=0,"",IF(A161="","AIR-ID missing",IF(COUNTIF($A$4:$A$206,A161)&gt;1,"Duplicate AIR-ID (one row per AIR-ID)",IF(COUNTIF('AI Register'!$A$4:$A$206,A161)=0,"AIR-ID not in AI Register",IF(OR(AND(N161&lt;&gt;"",NOT(ISNUMBER(N161))),AND(U161&lt;&gt;"",NOT(ISNUMBER(U161)))),"Date field is not a date",IF(OR(S161="",S161="Unsure — assess"),"Art 22A / AIG-OPS-04 tier to assess","Check against source"))))))</f>
        <v/>
      </c>
    </row>
    <row r="162">
      <c r="A162" s="22" t="n"/>
      <c r="B162" s="22" t="n"/>
      <c r="C162" s="22" t="n"/>
      <c r="D162" s="22" t="n"/>
      <c r="E162" s="22" t="n"/>
      <c r="F162" s="22" t="n"/>
      <c r="G162" s="22" t="n"/>
      <c r="H162" s="22" t="n"/>
      <c r="I162" s="22" t="n"/>
      <c r="J162" s="22" t="n"/>
      <c r="K162" s="22" t="n"/>
      <c r="L162" s="22" t="n"/>
      <c r="M162" s="22" t="n"/>
      <c r="N162" s="35" t="n"/>
      <c r="O162" s="22" t="n"/>
      <c r="P162" s="22" t="n"/>
      <c r="Q162" s="22" t="n"/>
      <c r="R162" s="22" t="n"/>
      <c r="S162" s="22" t="n"/>
      <c r="T162" s="22" t="n"/>
      <c r="U162" s="35" t="n"/>
      <c r="V162" s="22">
        <f>IF(COUNTA(A162:U162)=0,"",IF(A162="","AIR-ID missing",IF(COUNTIF($A$4:$A$206,A162)&gt;1,"Duplicate AIR-ID (one row per AIR-ID)",IF(COUNTIF('AI Register'!$A$4:$A$206,A162)=0,"AIR-ID not in AI Register",IF(OR(AND(N162&lt;&gt;"",NOT(ISNUMBER(N162))),AND(U162&lt;&gt;"",NOT(ISNUMBER(U162)))),"Date field is not a date",IF(OR(S162="",S162="Unsure — assess"),"Art 22A / AIG-OPS-04 tier to assess","Check against source"))))))</f>
        <v/>
      </c>
    </row>
    <row r="163">
      <c r="A163" s="24" t="n"/>
      <c r="B163" s="24" t="n"/>
      <c r="C163" s="24" t="n"/>
      <c r="D163" s="24" t="n"/>
      <c r="E163" s="24" t="n"/>
      <c r="F163" s="24" t="n"/>
      <c r="G163" s="24" t="n"/>
      <c r="H163" s="24" t="n"/>
      <c r="I163" s="24" t="n"/>
      <c r="J163" s="24" t="n"/>
      <c r="K163" s="24" t="n"/>
      <c r="L163" s="24" t="n"/>
      <c r="M163" s="24" t="n"/>
      <c r="N163" s="36" t="n"/>
      <c r="O163" s="24" t="n"/>
      <c r="P163" s="24" t="n"/>
      <c r="Q163" s="24" t="n"/>
      <c r="R163" s="24" t="n"/>
      <c r="S163" s="24" t="n"/>
      <c r="T163" s="24" t="n"/>
      <c r="U163" s="36" t="n"/>
      <c r="V163" s="24">
        <f>IF(COUNTA(A163:U163)=0,"",IF(A163="","AIR-ID missing",IF(COUNTIF($A$4:$A$206,A163)&gt;1,"Duplicate AIR-ID (one row per AIR-ID)",IF(COUNTIF('AI Register'!$A$4:$A$206,A163)=0,"AIR-ID not in AI Register",IF(OR(AND(N163&lt;&gt;"",NOT(ISNUMBER(N163))),AND(U163&lt;&gt;"",NOT(ISNUMBER(U163)))),"Date field is not a date",IF(OR(S163="",S163="Unsure — assess"),"Art 22A / AIG-OPS-04 tier to assess","Check against source"))))))</f>
        <v/>
      </c>
    </row>
    <row r="164">
      <c r="A164" s="22" t="n"/>
      <c r="B164" s="22" t="n"/>
      <c r="C164" s="22" t="n"/>
      <c r="D164" s="22" t="n"/>
      <c r="E164" s="22" t="n"/>
      <c r="F164" s="22" t="n"/>
      <c r="G164" s="22" t="n"/>
      <c r="H164" s="22" t="n"/>
      <c r="I164" s="22" t="n"/>
      <c r="J164" s="22" t="n"/>
      <c r="K164" s="22" t="n"/>
      <c r="L164" s="22" t="n"/>
      <c r="M164" s="22" t="n"/>
      <c r="N164" s="35" t="n"/>
      <c r="O164" s="22" t="n"/>
      <c r="P164" s="22" t="n"/>
      <c r="Q164" s="22" t="n"/>
      <c r="R164" s="22" t="n"/>
      <c r="S164" s="22" t="n"/>
      <c r="T164" s="22" t="n"/>
      <c r="U164" s="35" t="n"/>
      <c r="V164" s="22">
        <f>IF(COUNTA(A164:U164)=0,"",IF(A164="","AIR-ID missing",IF(COUNTIF($A$4:$A$206,A164)&gt;1,"Duplicate AIR-ID (one row per AIR-ID)",IF(COUNTIF('AI Register'!$A$4:$A$206,A164)=0,"AIR-ID not in AI Register",IF(OR(AND(N164&lt;&gt;"",NOT(ISNUMBER(N164))),AND(U164&lt;&gt;"",NOT(ISNUMBER(U164)))),"Date field is not a date",IF(OR(S164="",S164="Unsure — assess"),"Art 22A / AIG-OPS-04 tier to assess","Check against source"))))))</f>
        <v/>
      </c>
    </row>
    <row r="165">
      <c r="A165" s="24" t="n"/>
      <c r="B165" s="24" t="n"/>
      <c r="C165" s="24" t="n"/>
      <c r="D165" s="24" t="n"/>
      <c r="E165" s="24" t="n"/>
      <c r="F165" s="24" t="n"/>
      <c r="G165" s="24" t="n"/>
      <c r="H165" s="24" t="n"/>
      <c r="I165" s="24" t="n"/>
      <c r="J165" s="24" t="n"/>
      <c r="K165" s="24" t="n"/>
      <c r="L165" s="24" t="n"/>
      <c r="M165" s="24" t="n"/>
      <c r="N165" s="36" t="n"/>
      <c r="O165" s="24" t="n"/>
      <c r="P165" s="24" t="n"/>
      <c r="Q165" s="24" t="n"/>
      <c r="R165" s="24" t="n"/>
      <c r="S165" s="24" t="n"/>
      <c r="T165" s="24" t="n"/>
      <c r="U165" s="36" t="n"/>
      <c r="V165" s="24">
        <f>IF(COUNTA(A165:U165)=0,"",IF(A165="","AIR-ID missing",IF(COUNTIF($A$4:$A$206,A165)&gt;1,"Duplicate AIR-ID (one row per AIR-ID)",IF(COUNTIF('AI Register'!$A$4:$A$206,A165)=0,"AIR-ID not in AI Register",IF(OR(AND(N165&lt;&gt;"",NOT(ISNUMBER(N165))),AND(U165&lt;&gt;"",NOT(ISNUMBER(U165)))),"Date field is not a date",IF(OR(S165="",S165="Unsure — assess"),"Art 22A / AIG-OPS-04 tier to assess","Check against source"))))))</f>
        <v/>
      </c>
    </row>
    <row r="166">
      <c r="A166" s="22" t="n"/>
      <c r="B166" s="22" t="n"/>
      <c r="C166" s="22" t="n"/>
      <c r="D166" s="22" t="n"/>
      <c r="E166" s="22" t="n"/>
      <c r="F166" s="22" t="n"/>
      <c r="G166" s="22" t="n"/>
      <c r="H166" s="22" t="n"/>
      <c r="I166" s="22" t="n"/>
      <c r="J166" s="22" t="n"/>
      <c r="K166" s="22" t="n"/>
      <c r="L166" s="22" t="n"/>
      <c r="M166" s="22" t="n"/>
      <c r="N166" s="35" t="n"/>
      <c r="O166" s="22" t="n"/>
      <c r="P166" s="22" t="n"/>
      <c r="Q166" s="22" t="n"/>
      <c r="R166" s="22" t="n"/>
      <c r="S166" s="22" t="n"/>
      <c r="T166" s="22" t="n"/>
      <c r="U166" s="35" t="n"/>
      <c r="V166" s="22">
        <f>IF(COUNTA(A166:U166)=0,"",IF(A166="","AIR-ID missing",IF(COUNTIF($A$4:$A$206,A166)&gt;1,"Duplicate AIR-ID (one row per AIR-ID)",IF(COUNTIF('AI Register'!$A$4:$A$206,A166)=0,"AIR-ID not in AI Register",IF(OR(AND(N166&lt;&gt;"",NOT(ISNUMBER(N166))),AND(U166&lt;&gt;"",NOT(ISNUMBER(U166)))),"Date field is not a date",IF(OR(S166="",S166="Unsure — assess"),"Art 22A / AIG-OPS-04 tier to assess","Check against source"))))))</f>
        <v/>
      </c>
    </row>
    <row r="167">
      <c r="A167" s="24" t="n"/>
      <c r="B167" s="24" t="n"/>
      <c r="C167" s="24" t="n"/>
      <c r="D167" s="24" t="n"/>
      <c r="E167" s="24" t="n"/>
      <c r="F167" s="24" t="n"/>
      <c r="G167" s="24" t="n"/>
      <c r="H167" s="24" t="n"/>
      <c r="I167" s="24" t="n"/>
      <c r="J167" s="24" t="n"/>
      <c r="K167" s="24" t="n"/>
      <c r="L167" s="24" t="n"/>
      <c r="M167" s="24" t="n"/>
      <c r="N167" s="36" t="n"/>
      <c r="O167" s="24" t="n"/>
      <c r="P167" s="24" t="n"/>
      <c r="Q167" s="24" t="n"/>
      <c r="R167" s="24" t="n"/>
      <c r="S167" s="24" t="n"/>
      <c r="T167" s="24" t="n"/>
      <c r="U167" s="36" t="n"/>
      <c r="V167" s="24">
        <f>IF(COUNTA(A167:U167)=0,"",IF(A167="","AIR-ID missing",IF(COUNTIF($A$4:$A$206,A167)&gt;1,"Duplicate AIR-ID (one row per AIR-ID)",IF(COUNTIF('AI Register'!$A$4:$A$206,A167)=0,"AIR-ID not in AI Register",IF(OR(AND(N167&lt;&gt;"",NOT(ISNUMBER(N167))),AND(U167&lt;&gt;"",NOT(ISNUMBER(U167)))),"Date field is not a date",IF(OR(S167="",S167="Unsure — assess"),"Art 22A / AIG-OPS-04 tier to assess","Check against source"))))))</f>
        <v/>
      </c>
    </row>
    <row r="168">
      <c r="A168" s="22" t="n"/>
      <c r="B168" s="22" t="n"/>
      <c r="C168" s="22" t="n"/>
      <c r="D168" s="22" t="n"/>
      <c r="E168" s="22" t="n"/>
      <c r="F168" s="22" t="n"/>
      <c r="G168" s="22" t="n"/>
      <c r="H168" s="22" t="n"/>
      <c r="I168" s="22" t="n"/>
      <c r="J168" s="22" t="n"/>
      <c r="K168" s="22" t="n"/>
      <c r="L168" s="22" t="n"/>
      <c r="M168" s="22" t="n"/>
      <c r="N168" s="35" t="n"/>
      <c r="O168" s="22" t="n"/>
      <c r="P168" s="22" t="n"/>
      <c r="Q168" s="22" t="n"/>
      <c r="R168" s="22" t="n"/>
      <c r="S168" s="22" t="n"/>
      <c r="T168" s="22" t="n"/>
      <c r="U168" s="35" t="n"/>
      <c r="V168" s="22">
        <f>IF(COUNTA(A168:U168)=0,"",IF(A168="","AIR-ID missing",IF(COUNTIF($A$4:$A$206,A168)&gt;1,"Duplicate AIR-ID (one row per AIR-ID)",IF(COUNTIF('AI Register'!$A$4:$A$206,A168)=0,"AIR-ID not in AI Register",IF(OR(AND(N168&lt;&gt;"",NOT(ISNUMBER(N168))),AND(U168&lt;&gt;"",NOT(ISNUMBER(U168)))),"Date field is not a date",IF(OR(S168="",S168="Unsure — assess"),"Art 22A / AIG-OPS-04 tier to assess","Check against source"))))))</f>
        <v/>
      </c>
    </row>
    <row r="169">
      <c r="A169" s="24" t="n"/>
      <c r="B169" s="24" t="n"/>
      <c r="C169" s="24" t="n"/>
      <c r="D169" s="24" t="n"/>
      <c r="E169" s="24" t="n"/>
      <c r="F169" s="24" t="n"/>
      <c r="G169" s="24" t="n"/>
      <c r="H169" s="24" t="n"/>
      <c r="I169" s="24" t="n"/>
      <c r="J169" s="24" t="n"/>
      <c r="K169" s="24" t="n"/>
      <c r="L169" s="24" t="n"/>
      <c r="M169" s="24" t="n"/>
      <c r="N169" s="36" t="n"/>
      <c r="O169" s="24" t="n"/>
      <c r="P169" s="24" t="n"/>
      <c r="Q169" s="24" t="n"/>
      <c r="R169" s="24" t="n"/>
      <c r="S169" s="24" t="n"/>
      <c r="T169" s="24" t="n"/>
      <c r="U169" s="36" t="n"/>
      <c r="V169" s="24">
        <f>IF(COUNTA(A169:U169)=0,"",IF(A169="","AIR-ID missing",IF(COUNTIF($A$4:$A$206,A169)&gt;1,"Duplicate AIR-ID (one row per AIR-ID)",IF(COUNTIF('AI Register'!$A$4:$A$206,A169)=0,"AIR-ID not in AI Register",IF(OR(AND(N169&lt;&gt;"",NOT(ISNUMBER(N169))),AND(U169&lt;&gt;"",NOT(ISNUMBER(U169)))),"Date field is not a date",IF(OR(S169="",S169="Unsure — assess"),"Art 22A / AIG-OPS-04 tier to assess","Check against source"))))))</f>
        <v/>
      </c>
    </row>
    <row r="170">
      <c r="A170" s="22" t="n"/>
      <c r="B170" s="22" t="n"/>
      <c r="C170" s="22" t="n"/>
      <c r="D170" s="22" t="n"/>
      <c r="E170" s="22" t="n"/>
      <c r="F170" s="22" t="n"/>
      <c r="G170" s="22" t="n"/>
      <c r="H170" s="22" t="n"/>
      <c r="I170" s="22" t="n"/>
      <c r="J170" s="22" t="n"/>
      <c r="K170" s="22" t="n"/>
      <c r="L170" s="22" t="n"/>
      <c r="M170" s="22" t="n"/>
      <c r="N170" s="35" t="n"/>
      <c r="O170" s="22" t="n"/>
      <c r="P170" s="22" t="n"/>
      <c r="Q170" s="22" t="n"/>
      <c r="R170" s="22" t="n"/>
      <c r="S170" s="22" t="n"/>
      <c r="T170" s="22" t="n"/>
      <c r="U170" s="35" t="n"/>
      <c r="V170" s="22">
        <f>IF(COUNTA(A170:U170)=0,"",IF(A170="","AIR-ID missing",IF(COUNTIF($A$4:$A$206,A170)&gt;1,"Duplicate AIR-ID (one row per AIR-ID)",IF(COUNTIF('AI Register'!$A$4:$A$206,A170)=0,"AIR-ID not in AI Register",IF(OR(AND(N170&lt;&gt;"",NOT(ISNUMBER(N170))),AND(U170&lt;&gt;"",NOT(ISNUMBER(U170)))),"Date field is not a date",IF(OR(S170="",S170="Unsure — assess"),"Art 22A / AIG-OPS-04 tier to assess","Check against source"))))))</f>
        <v/>
      </c>
    </row>
    <row r="171">
      <c r="A171" s="24" t="n"/>
      <c r="B171" s="24" t="n"/>
      <c r="C171" s="24" t="n"/>
      <c r="D171" s="24" t="n"/>
      <c r="E171" s="24" t="n"/>
      <c r="F171" s="24" t="n"/>
      <c r="G171" s="24" t="n"/>
      <c r="H171" s="24" t="n"/>
      <c r="I171" s="24" t="n"/>
      <c r="J171" s="24" t="n"/>
      <c r="K171" s="24" t="n"/>
      <c r="L171" s="24" t="n"/>
      <c r="M171" s="24" t="n"/>
      <c r="N171" s="36" t="n"/>
      <c r="O171" s="24" t="n"/>
      <c r="P171" s="24" t="n"/>
      <c r="Q171" s="24" t="n"/>
      <c r="R171" s="24" t="n"/>
      <c r="S171" s="24" t="n"/>
      <c r="T171" s="24" t="n"/>
      <c r="U171" s="36" t="n"/>
      <c r="V171" s="24">
        <f>IF(COUNTA(A171:U171)=0,"",IF(A171="","AIR-ID missing",IF(COUNTIF($A$4:$A$206,A171)&gt;1,"Duplicate AIR-ID (one row per AIR-ID)",IF(COUNTIF('AI Register'!$A$4:$A$206,A171)=0,"AIR-ID not in AI Register",IF(OR(AND(N171&lt;&gt;"",NOT(ISNUMBER(N171))),AND(U171&lt;&gt;"",NOT(ISNUMBER(U171)))),"Date field is not a date",IF(OR(S171="",S171="Unsure — assess"),"Art 22A / AIG-OPS-04 tier to assess","Check against source"))))))</f>
        <v/>
      </c>
    </row>
    <row r="172">
      <c r="A172" s="22" t="n"/>
      <c r="B172" s="22" t="n"/>
      <c r="C172" s="22" t="n"/>
      <c r="D172" s="22" t="n"/>
      <c r="E172" s="22" t="n"/>
      <c r="F172" s="22" t="n"/>
      <c r="G172" s="22" t="n"/>
      <c r="H172" s="22" t="n"/>
      <c r="I172" s="22" t="n"/>
      <c r="J172" s="22" t="n"/>
      <c r="K172" s="22" t="n"/>
      <c r="L172" s="22" t="n"/>
      <c r="M172" s="22" t="n"/>
      <c r="N172" s="35" t="n"/>
      <c r="O172" s="22" t="n"/>
      <c r="P172" s="22" t="n"/>
      <c r="Q172" s="22" t="n"/>
      <c r="R172" s="22" t="n"/>
      <c r="S172" s="22" t="n"/>
      <c r="T172" s="22" t="n"/>
      <c r="U172" s="35" t="n"/>
      <c r="V172" s="22">
        <f>IF(COUNTA(A172:U172)=0,"",IF(A172="","AIR-ID missing",IF(COUNTIF($A$4:$A$206,A172)&gt;1,"Duplicate AIR-ID (one row per AIR-ID)",IF(COUNTIF('AI Register'!$A$4:$A$206,A172)=0,"AIR-ID not in AI Register",IF(OR(AND(N172&lt;&gt;"",NOT(ISNUMBER(N172))),AND(U172&lt;&gt;"",NOT(ISNUMBER(U172)))),"Date field is not a date",IF(OR(S172="",S172="Unsure — assess"),"Art 22A / AIG-OPS-04 tier to assess","Check against source"))))))</f>
        <v/>
      </c>
    </row>
    <row r="173">
      <c r="A173" s="24" t="n"/>
      <c r="B173" s="24" t="n"/>
      <c r="C173" s="24" t="n"/>
      <c r="D173" s="24" t="n"/>
      <c r="E173" s="24" t="n"/>
      <c r="F173" s="24" t="n"/>
      <c r="G173" s="24" t="n"/>
      <c r="H173" s="24" t="n"/>
      <c r="I173" s="24" t="n"/>
      <c r="J173" s="24" t="n"/>
      <c r="K173" s="24" t="n"/>
      <c r="L173" s="24" t="n"/>
      <c r="M173" s="24" t="n"/>
      <c r="N173" s="36" t="n"/>
      <c r="O173" s="24" t="n"/>
      <c r="P173" s="24" t="n"/>
      <c r="Q173" s="24" t="n"/>
      <c r="R173" s="24" t="n"/>
      <c r="S173" s="24" t="n"/>
      <c r="T173" s="24" t="n"/>
      <c r="U173" s="36" t="n"/>
      <c r="V173" s="24">
        <f>IF(COUNTA(A173:U173)=0,"",IF(A173="","AIR-ID missing",IF(COUNTIF($A$4:$A$206,A173)&gt;1,"Duplicate AIR-ID (one row per AIR-ID)",IF(COUNTIF('AI Register'!$A$4:$A$206,A173)=0,"AIR-ID not in AI Register",IF(OR(AND(N173&lt;&gt;"",NOT(ISNUMBER(N173))),AND(U173&lt;&gt;"",NOT(ISNUMBER(U173)))),"Date field is not a date",IF(OR(S173="",S173="Unsure — assess"),"Art 22A / AIG-OPS-04 tier to assess","Check against source"))))))</f>
        <v/>
      </c>
    </row>
    <row r="174">
      <c r="A174" s="22" t="n"/>
      <c r="B174" s="22" t="n"/>
      <c r="C174" s="22" t="n"/>
      <c r="D174" s="22" t="n"/>
      <c r="E174" s="22" t="n"/>
      <c r="F174" s="22" t="n"/>
      <c r="G174" s="22" t="n"/>
      <c r="H174" s="22" t="n"/>
      <c r="I174" s="22" t="n"/>
      <c r="J174" s="22" t="n"/>
      <c r="K174" s="22" t="n"/>
      <c r="L174" s="22" t="n"/>
      <c r="M174" s="22" t="n"/>
      <c r="N174" s="35" t="n"/>
      <c r="O174" s="22" t="n"/>
      <c r="P174" s="22" t="n"/>
      <c r="Q174" s="22" t="n"/>
      <c r="R174" s="22" t="n"/>
      <c r="S174" s="22" t="n"/>
      <c r="T174" s="22" t="n"/>
      <c r="U174" s="35" t="n"/>
      <c r="V174" s="22">
        <f>IF(COUNTA(A174:U174)=0,"",IF(A174="","AIR-ID missing",IF(COUNTIF($A$4:$A$206,A174)&gt;1,"Duplicate AIR-ID (one row per AIR-ID)",IF(COUNTIF('AI Register'!$A$4:$A$206,A174)=0,"AIR-ID not in AI Register",IF(OR(AND(N174&lt;&gt;"",NOT(ISNUMBER(N174))),AND(U174&lt;&gt;"",NOT(ISNUMBER(U174)))),"Date field is not a date",IF(OR(S174="",S174="Unsure — assess"),"Art 22A / AIG-OPS-04 tier to assess","Check against source"))))))</f>
        <v/>
      </c>
    </row>
    <row r="175">
      <c r="A175" s="24" t="n"/>
      <c r="B175" s="24" t="n"/>
      <c r="C175" s="24" t="n"/>
      <c r="D175" s="24" t="n"/>
      <c r="E175" s="24" t="n"/>
      <c r="F175" s="24" t="n"/>
      <c r="G175" s="24" t="n"/>
      <c r="H175" s="24" t="n"/>
      <c r="I175" s="24" t="n"/>
      <c r="J175" s="24" t="n"/>
      <c r="K175" s="24" t="n"/>
      <c r="L175" s="24" t="n"/>
      <c r="M175" s="24" t="n"/>
      <c r="N175" s="36" t="n"/>
      <c r="O175" s="24" t="n"/>
      <c r="P175" s="24" t="n"/>
      <c r="Q175" s="24" t="n"/>
      <c r="R175" s="24" t="n"/>
      <c r="S175" s="24" t="n"/>
      <c r="T175" s="24" t="n"/>
      <c r="U175" s="36" t="n"/>
      <c r="V175" s="24">
        <f>IF(COUNTA(A175:U175)=0,"",IF(A175="","AIR-ID missing",IF(COUNTIF($A$4:$A$206,A175)&gt;1,"Duplicate AIR-ID (one row per AIR-ID)",IF(COUNTIF('AI Register'!$A$4:$A$206,A175)=0,"AIR-ID not in AI Register",IF(OR(AND(N175&lt;&gt;"",NOT(ISNUMBER(N175))),AND(U175&lt;&gt;"",NOT(ISNUMBER(U175)))),"Date field is not a date",IF(OR(S175="",S175="Unsure — assess"),"Art 22A / AIG-OPS-04 tier to assess","Check against source"))))))</f>
        <v/>
      </c>
    </row>
    <row r="176">
      <c r="A176" s="22" t="n"/>
      <c r="B176" s="22" t="n"/>
      <c r="C176" s="22" t="n"/>
      <c r="D176" s="22" t="n"/>
      <c r="E176" s="22" t="n"/>
      <c r="F176" s="22" t="n"/>
      <c r="G176" s="22" t="n"/>
      <c r="H176" s="22" t="n"/>
      <c r="I176" s="22" t="n"/>
      <c r="J176" s="22" t="n"/>
      <c r="K176" s="22" t="n"/>
      <c r="L176" s="22" t="n"/>
      <c r="M176" s="22" t="n"/>
      <c r="N176" s="35" t="n"/>
      <c r="O176" s="22" t="n"/>
      <c r="P176" s="22" t="n"/>
      <c r="Q176" s="22" t="n"/>
      <c r="R176" s="22" t="n"/>
      <c r="S176" s="22" t="n"/>
      <c r="T176" s="22" t="n"/>
      <c r="U176" s="35" t="n"/>
      <c r="V176" s="22">
        <f>IF(COUNTA(A176:U176)=0,"",IF(A176="","AIR-ID missing",IF(COUNTIF($A$4:$A$206,A176)&gt;1,"Duplicate AIR-ID (one row per AIR-ID)",IF(COUNTIF('AI Register'!$A$4:$A$206,A176)=0,"AIR-ID not in AI Register",IF(OR(AND(N176&lt;&gt;"",NOT(ISNUMBER(N176))),AND(U176&lt;&gt;"",NOT(ISNUMBER(U176)))),"Date field is not a date",IF(OR(S176="",S176="Unsure — assess"),"Art 22A / AIG-OPS-04 tier to assess","Check against source"))))))</f>
        <v/>
      </c>
    </row>
    <row r="177">
      <c r="A177" s="24" t="n"/>
      <c r="B177" s="24" t="n"/>
      <c r="C177" s="24" t="n"/>
      <c r="D177" s="24" t="n"/>
      <c r="E177" s="24" t="n"/>
      <c r="F177" s="24" t="n"/>
      <c r="G177" s="24" t="n"/>
      <c r="H177" s="24" t="n"/>
      <c r="I177" s="24" t="n"/>
      <c r="J177" s="24" t="n"/>
      <c r="K177" s="24" t="n"/>
      <c r="L177" s="24" t="n"/>
      <c r="M177" s="24" t="n"/>
      <c r="N177" s="36" t="n"/>
      <c r="O177" s="24" t="n"/>
      <c r="P177" s="24" t="n"/>
      <c r="Q177" s="24" t="n"/>
      <c r="R177" s="24" t="n"/>
      <c r="S177" s="24" t="n"/>
      <c r="T177" s="24" t="n"/>
      <c r="U177" s="36" t="n"/>
      <c r="V177" s="24">
        <f>IF(COUNTA(A177:U177)=0,"",IF(A177="","AIR-ID missing",IF(COUNTIF($A$4:$A$206,A177)&gt;1,"Duplicate AIR-ID (one row per AIR-ID)",IF(COUNTIF('AI Register'!$A$4:$A$206,A177)=0,"AIR-ID not in AI Register",IF(OR(AND(N177&lt;&gt;"",NOT(ISNUMBER(N177))),AND(U177&lt;&gt;"",NOT(ISNUMBER(U177)))),"Date field is not a date",IF(OR(S177="",S177="Unsure — assess"),"Art 22A / AIG-OPS-04 tier to assess","Check against source"))))))</f>
        <v/>
      </c>
    </row>
    <row r="178">
      <c r="A178" s="22" t="n"/>
      <c r="B178" s="22" t="n"/>
      <c r="C178" s="22" t="n"/>
      <c r="D178" s="22" t="n"/>
      <c r="E178" s="22" t="n"/>
      <c r="F178" s="22" t="n"/>
      <c r="G178" s="22" t="n"/>
      <c r="H178" s="22" t="n"/>
      <c r="I178" s="22" t="n"/>
      <c r="J178" s="22" t="n"/>
      <c r="K178" s="22" t="n"/>
      <c r="L178" s="22" t="n"/>
      <c r="M178" s="22" t="n"/>
      <c r="N178" s="35" t="n"/>
      <c r="O178" s="22" t="n"/>
      <c r="P178" s="22" t="n"/>
      <c r="Q178" s="22" t="n"/>
      <c r="R178" s="22" t="n"/>
      <c r="S178" s="22" t="n"/>
      <c r="T178" s="22" t="n"/>
      <c r="U178" s="35" t="n"/>
      <c r="V178" s="22">
        <f>IF(COUNTA(A178:U178)=0,"",IF(A178="","AIR-ID missing",IF(COUNTIF($A$4:$A$206,A178)&gt;1,"Duplicate AIR-ID (one row per AIR-ID)",IF(COUNTIF('AI Register'!$A$4:$A$206,A178)=0,"AIR-ID not in AI Register",IF(OR(AND(N178&lt;&gt;"",NOT(ISNUMBER(N178))),AND(U178&lt;&gt;"",NOT(ISNUMBER(U178)))),"Date field is not a date",IF(OR(S178="",S178="Unsure — assess"),"Art 22A / AIG-OPS-04 tier to assess","Check against source"))))))</f>
        <v/>
      </c>
    </row>
    <row r="179">
      <c r="A179" s="24" t="n"/>
      <c r="B179" s="24" t="n"/>
      <c r="C179" s="24" t="n"/>
      <c r="D179" s="24" t="n"/>
      <c r="E179" s="24" t="n"/>
      <c r="F179" s="24" t="n"/>
      <c r="G179" s="24" t="n"/>
      <c r="H179" s="24" t="n"/>
      <c r="I179" s="24" t="n"/>
      <c r="J179" s="24" t="n"/>
      <c r="K179" s="24" t="n"/>
      <c r="L179" s="24" t="n"/>
      <c r="M179" s="24" t="n"/>
      <c r="N179" s="36" t="n"/>
      <c r="O179" s="24" t="n"/>
      <c r="P179" s="24" t="n"/>
      <c r="Q179" s="24" t="n"/>
      <c r="R179" s="24" t="n"/>
      <c r="S179" s="24" t="n"/>
      <c r="T179" s="24" t="n"/>
      <c r="U179" s="36" t="n"/>
      <c r="V179" s="24">
        <f>IF(COUNTA(A179:U179)=0,"",IF(A179="","AIR-ID missing",IF(COUNTIF($A$4:$A$206,A179)&gt;1,"Duplicate AIR-ID (one row per AIR-ID)",IF(COUNTIF('AI Register'!$A$4:$A$206,A179)=0,"AIR-ID not in AI Register",IF(OR(AND(N179&lt;&gt;"",NOT(ISNUMBER(N179))),AND(U179&lt;&gt;"",NOT(ISNUMBER(U179)))),"Date field is not a date",IF(OR(S179="",S179="Unsure — assess"),"Art 22A / AIG-OPS-04 tier to assess","Check against source"))))))</f>
        <v/>
      </c>
    </row>
    <row r="180">
      <c r="A180" s="22" t="n"/>
      <c r="B180" s="22" t="n"/>
      <c r="C180" s="22" t="n"/>
      <c r="D180" s="22" t="n"/>
      <c r="E180" s="22" t="n"/>
      <c r="F180" s="22" t="n"/>
      <c r="G180" s="22" t="n"/>
      <c r="H180" s="22" t="n"/>
      <c r="I180" s="22" t="n"/>
      <c r="J180" s="22" t="n"/>
      <c r="K180" s="22" t="n"/>
      <c r="L180" s="22" t="n"/>
      <c r="M180" s="22" t="n"/>
      <c r="N180" s="35" t="n"/>
      <c r="O180" s="22" t="n"/>
      <c r="P180" s="22" t="n"/>
      <c r="Q180" s="22" t="n"/>
      <c r="R180" s="22" t="n"/>
      <c r="S180" s="22" t="n"/>
      <c r="T180" s="22" t="n"/>
      <c r="U180" s="35" t="n"/>
      <c r="V180" s="22">
        <f>IF(COUNTA(A180:U180)=0,"",IF(A180="","AIR-ID missing",IF(COUNTIF($A$4:$A$206,A180)&gt;1,"Duplicate AIR-ID (one row per AIR-ID)",IF(COUNTIF('AI Register'!$A$4:$A$206,A180)=0,"AIR-ID not in AI Register",IF(OR(AND(N180&lt;&gt;"",NOT(ISNUMBER(N180))),AND(U180&lt;&gt;"",NOT(ISNUMBER(U180)))),"Date field is not a date",IF(OR(S180="",S180="Unsure — assess"),"Art 22A / AIG-OPS-04 tier to assess","Check against source"))))))</f>
        <v/>
      </c>
    </row>
    <row r="181">
      <c r="A181" s="24" t="n"/>
      <c r="B181" s="24" t="n"/>
      <c r="C181" s="24" t="n"/>
      <c r="D181" s="24" t="n"/>
      <c r="E181" s="24" t="n"/>
      <c r="F181" s="24" t="n"/>
      <c r="G181" s="24" t="n"/>
      <c r="H181" s="24" t="n"/>
      <c r="I181" s="24" t="n"/>
      <c r="J181" s="24" t="n"/>
      <c r="K181" s="24" t="n"/>
      <c r="L181" s="24" t="n"/>
      <c r="M181" s="24" t="n"/>
      <c r="N181" s="36" t="n"/>
      <c r="O181" s="24" t="n"/>
      <c r="P181" s="24" t="n"/>
      <c r="Q181" s="24" t="n"/>
      <c r="R181" s="24" t="n"/>
      <c r="S181" s="24" t="n"/>
      <c r="T181" s="24" t="n"/>
      <c r="U181" s="36" t="n"/>
      <c r="V181" s="24">
        <f>IF(COUNTA(A181:U181)=0,"",IF(A181="","AIR-ID missing",IF(COUNTIF($A$4:$A$206,A181)&gt;1,"Duplicate AIR-ID (one row per AIR-ID)",IF(COUNTIF('AI Register'!$A$4:$A$206,A181)=0,"AIR-ID not in AI Register",IF(OR(AND(N181&lt;&gt;"",NOT(ISNUMBER(N181))),AND(U181&lt;&gt;"",NOT(ISNUMBER(U181)))),"Date field is not a date",IF(OR(S181="",S181="Unsure — assess"),"Art 22A / AIG-OPS-04 tier to assess","Check against source"))))))</f>
        <v/>
      </c>
    </row>
    <row r="182">
      <c r="A182" s="22" t="n"/>
      <c r="B182" s="22" t="n"/>
      <c r="C182" s="22" t="n"/>
      <c r="D182" s="22" t="n"/>
      <c r="E182" s="22" t="n"/>
      <c r="F182" s="22" t="n"/>
      <c r="G182" s="22" t="n"/>
      <c r="H182" s="22" t="n"/>
      <c r="I182" s="22" t="n"/>
      <c r="J182" s="22" t="n"/>
      <c r="K182" s="22" t="n"/>
      <c r="L182" s="22" t="n"/>
      <c r="M182" s="22" t="n"/>
      <c r="N182" s="35" t="n"/>
      <c r="O182" s="22" t="n"/>
      <c r="P182" s="22" t="n"/>
      <c r="Q182" s="22" t="n"/>
      <c r="R182" s="22" t="n"/>
      <c r="S182" s="22" t="n"/>
      <c r="T182" s="22" t="n"/>
      <c r="U182" s="35" t="n"/>
      <c r="V182" s="22">
        <f>IF(COUNTA(A182:U182)=0,"",IF(A182="","AIR-ID missing",IF(COUNTIF($A$4:$A$206,A182)&gt;1,"Duplicate AIR-ID (one row per AIR-ID)",IF(COUNTIF('AI Register'!$A$4:$A$206,A182)=0,"AIR-ID not in AI Register",IF(OR(AND(N182&lt;&gt;"",NOT(ISNUMBER(N182))),AND(U182&lt;&gt;"",NOT(ISNUMBER(U182)))),"Date field is not a date",IF(OR(S182="",S182="Unsure — assess"),"Art 22A / AIG-OPS-04 tier to assess","Check against source"))))))</f>
        <v/>
      </c>
    </row>
    <row r="183">
      <c r="A183" s="24" t="n"/>
      <c r="B183" s="24" t="n"/>
      <c r="C183" s="24" t="n"/>
      <c r="D183" s="24" t="n"/>
      <c r="E183" s="24" t="n"/>
      <c r="F183" s="24" t="n"/>
      <c r="G183" s="24" t="n"/>
      <c r="H183" s="24" t="n"/>
      <c r="I183" s="24" t="n"/>
      <c r="J183" s="24" t="n"/>
      <c r="K183" s="24" t="n"/>
      <c r="L183" s="24" t="n"/>
      <c r="M183" s="24" t="n"/>
      <c r="N183" s="36" t="n"/>
      <c r="O183" s="24" t="n"/>
      <c r="P183" s="24" t="n"/>
      <c r="Q183" s="24" t="n"/>
      <c r="R183" s="24" t="n"/>
      <c r="S183" s="24" t="n"/>
      <c r="T183" s="24" t="n"/>
      <c r="U183" s="36" t="n"/>
      <c r="V183" s="24">
        <f>IF(COUNTA(A183:U183)=0,"",IF(A183="","AIR-ID missing",IF(COUNTIF($A$4:$A$206,A183)&gt;1,"Duplicate AIR-ID (one row per AIR-ID)",IF(COUNTIF('AI Register'!$A$4:$A$206,A183)=0,"AIR-ID not in AI Register",IF(OR(AND(N183&lt;&gt;"",NOT(ISNUMBER(N183))),AND(U183&lt;&gt;"",NOT(ISNUMBER(U183)))),"Date field is not a date",IF(OR(S183="",S183="Unsure — assess"),"Art 22A / AIG-OPS-04 tier to assess","Check against source"))))))</f>
        <v/>
      </c>
    </row>
    <row r="184">
      <c r="A184" s="22" t="n"/>
      <c r="B184" s="22" t="n"/>
      <c r="C184" s="22" t="n"/>
      <c r="D184" s="22" t="n"/>
      <c r="E184" s="22" t="n"/>
      <c r="F184" s="22" t="n"/>
      <c r="G184" s="22" t="n"/>
      <c r="H184" s="22" t="n"/>
      <c r="I184" s="22" t="n"/>
      <c r="J184" s="22" t="n"/>
      <c r="K184" s="22" t="n"/>
      <c r="L184" s="22" t="n"/>
      <c r="M184" s="22" t="n"/>
      <c r="N184" s="35" t="n"/>
      <c r="O184" s="22" t="n"/>
      <c r="P184" s="22" t="n"/>
      <c r="Q184" s="22" t="n"/>
      <c r="R184" s="22" t="n"/>
      <c r="S184" s="22" t="n"/>
      <c r="T184" s="22" t="n"/>
      <c r="U184" s="35" t="n"/>
      <c r="V184" s="22">
        <f>IF(COUNTA(A184:U184)=0,"",IF(A184="","AIR-ID missing",IF(COUNTIF($A$4:$A$206,A184)&gt;1,"Duplicate AIR-ID (one row per AIR-ID)",IF(COUNTIF('AI Register'!$A$4:$A$206,A184)=0,"AIR-ID not in AI Register",IF(OR(AND(N184&lt;&gt;"",NOT(ISNUMBER(N184))),AND(U184&lt;&gt;"",NOT(ISNUMBER(U184)))),"Date field is not a date",IF(OR(S184="",S184="Unsure — assess"),"Art 22A / AIG-OPS-04 tier to assess","Check against source"))))))</f>
        <v/>
      </c>
    </row>
    <row r="185">
      <c r="A185" s="24" t="n"/>
      <c r="B185" s="24" t="n"/>
      <c r="C185" s="24" t="n"/>
      <c r="D185" s="24" t="n"/>
      <c r="E185" s="24" t="n"/>
      <c r="F185" s="24" t="n"/>
      <c r="G185" s="24" t="n"/>
      <c r="H185" s="24" t="n"/>
      <c r="I185" s="24" t="n"/>
      <c r="J185" s="24" t="n"/>
      <c r="K185" s="24" t="n"/>
      <c r="L185" s="24" t="n"/>
      <c r="M185" s="24" t="n"/>
      <c r="N185" s="36" t="n"/>
      <c r="O185" s="24" t="n"/>
      <c r="P185" s="24" t="n"/>
      <c r="Q185" s="24" t="n"/>
      <c r="R185" s="24" t="n"/>
      <c r="S185" s="24" t="n"/>
      <c r="T185" s="24" t="n"/>
      <c r="U185" s="36" t="n"/>
      <c r="V185" s="24">
        <f>IF(COUNTA(A185:U185)=0,"",IF(A185="","AIR-ID missing",IF(COUNTIF($A$4:$A$206,A185)&gt;1,"Duplicate AIR-ID (one row per AIR-ID)",IF(COUNTIF('AI Register'!$A$4:$A$206,A185)=0,"AIR-ID not in AI Register",IF(OR(AND(N185&lt;&gt;"",NOT(ISNUMBER(N185))),AND(U185&lt;&gt;"",NOT(ISNUMBER(U185)))),"Date field is not a date",IF(OR(S185="",S185="Unsure — assess"),"Art 22A / AIG-OPS-04 tier to assess","Check against source"))))))</f>
        <v/>
      </c>
    </row>
    <row r="186">
      <c r="A186" s="22" t="n"/>
      <c r="B186" s="22" t="n"/>
      <c r="C186" s="22" t="n"/>
      <c r="D186" s="22" t="n"/>
      <c r="E186" s="22" t="n"/>
      <c r="F186" s="22" t="n"/>
      <c r="G186" s="22" t="n"/>
      <c r="H186" s="22" t="n"/>
      <c r="I186" s="22" t="n"/>
      <c r="J186" s="22" t="n"/>
      <c r="K186" s="22" t="n"/>
      <c r="L186" s="22" t="n"/>
      <c r="M186" s="22" t="n"/>
      <c r="N186" s="35" t="n"/>
      <c r="O186" s="22" t="n"/>
      <c r="P186" s="22" t="n"/>
      <c r="Q186" s="22" t="n"/>
      <c r="R186" s="22" t="n"/>
      <c r="S186" s="22" t="n"/>
      <c r="T186" s="22" t="n"/>
      <c r="U186" s="35" t="n"/>
      <c r="V186" s="22">
        <f>IF(COUNTA(A186:U186)=0,"",IF(A186="","AIR-ID missing",IF(COUNTIF($A$4:$A$206,A186)&gt;1,"Duplicate AIR-ID (one row per AIR-ID)",IF(COUNTIF('AI Register'!$A$4:$A$206,A186)=0,"AIR-ID not in AI Register",IF(OR(AND(N186&lt;&gt;"",NOT(ISNUMBER(N186))),AND(U186&lt;&gt;"",NOT(ISNUMBER(U186)))),"Date field is not a date",IF(OR(S186="",S186="Unsure — assess"),"Art 22A / AIG-OPS-04 tier to assess","Check against source"))))))</f>
        <v/>
      </c>
    </row>
    <row r="187">
      <c r="A187" s="24" t="n"/>
      <c r="B187" s="24" t="n"/>
      <c r="C187" s="24" t="n"/>
      <c r="D187" s="24" t="n"/>
      <c r="E187" s="24" t="n"/>
      <c r="F187" s="24" t="n"/>
      <c r="G187" s="24" t="n"/>
      <c r="H187" s="24" t="n"/>
      <c r="I187" s="24" t="n"/>
      <c r="J187" s="24" t="n"/>
      <c r="K187" s="24" t="n"/>
      <c r="L187" s="24" t="n"/>
      <c r="M187" s="24" t="n"/>
      <c r="N187" s="36" t="n"/>
      <c r="O187" s="24" t="n"/>
      <c r="P187" s="24" t="n"/>
      <c r="Q187" s="24" t="n"/>
      <c r="R187" s="24" t="n"/>
      <c r="S187" s="24" t="n"/>
      <c r="T187" s="24" t="n"/>
      <c r="U187" s="36" t="n"/>
      <c r="V187" s="24">
        <f>IF(COUNTA(A187:U187)=0,"",IF(A187="","AIR-ID missing",IF(COUNTIF($A$4:$A$206,A187)&gt;1,"Duplicate AIR-ID (one row per AIR-ID)",IF(COUNTIF('AI Register'!$A$4:$A$206,A187)=0,"AIR-ID not in AI Register",IF(OR(AND(N187&lt;&gt;"",NOT(ISNUMBER(N187))),AND(U187&lt;&gt;"",NOT(ISNUMBER(U187)))),"Date field is not a date",IF(OR(S187="",S187="Unsure — assess"),"Art 22A / AIG-OPS-04 tier to assess","Check against source"))))))</f>
        <v/>
      </c>
    </row>
    <row r="188">
      <c r="A188" s="22" t="n"/>
      <c r="B188" s="22" t="n"/>
      <c r="C188" s="22" t="n"/>
      <c r="D188" s="22" t="n"/>
      <c r="E188" s="22" t="n"/>
      <c r="F188" s="22" t="n"/>
      <c r="G188" s="22" t="n"/>
      <c r="H188" s="22" t="n"/>
      <c r="I188" s="22" t="n"/>
      <c r="J188" s="22" t="n"/>
      <c r="K188" s="22" t="n"/>
      <c r="L188" s="22" t="n"/>
      <c r="M188" s="22" t="n"/>
      <c r="N188" s="35" t="n"/>
      <c r="O188" s="22" t="n"/>
      <c r="P188" s="22" t="n"/>
      <c r="Q188" s="22" t="n"/>
      <c r="R188" s="22" t="n"/>
      <c r="S188" s="22" t="n"/>
      <c r="T188" s="22" t="n"/>
      <c r="U188" s="35" t="n"/>
      <c r="V188" s="22">
        <f>IF(COUNTA(A188:U188)=0,"",IF(A188="","AIR-ID missing",IF(COUNTIF($A$4:$A$206,A188)&gt;1,"Duplicate AIR-ID (one row per AIR-ID)",IF(COUNTIF('AI Register'!$A$4:$A$206,A188)=0,"AIR-ID not in AI Register",IF(OR(AND(N188&lt;&gt;"",NOT(ISNUMBER(N188))),AND(U188&lt;&gt;"",NOT(ISNUMBER(U188)))),"Date field is not a date",IF(OR(S188="",S188="Unsure — assess"),"Art 22A / AIG-OPS-04 tier to assess","Check against source"))))))</f>
        <v/>
      </c>
    </row>
    <row r="189">
      <c r="A189" s="24" t="n"/>
      <c r="B189" s="24" t="n"/>
      <c r="C189" s="24" t="n"/>
      <c r="D189" s="24" t="n"/>
      <c r="E189" s="24" t="n"/>
      <c r="F189" s="24" t="n"/>
      <c r="G189" s="24" t="n"/>
      <c r="H189" s="24" t="n"/>
      <c r="I189" s="24" t="n"/>
      <c r="J189" s="24" t="n"/>
      <c r="K189" s="24" t="n"/>
      <c r="L189" s="24" t="n"/>
      <c r="M189" s="24" t="n"/>
      <c r="N189" s="36" t="n"/>
      <c r="O189" s="24" t="n"/>
      <c r="P189" s="24" t="n"/>
      <c r="Q189" s="24" t="n"/>
      <c r="R189" s="24" t="n"/>
      <c r="S189" s="24" t="n"/>
      <c r="T189" s="24" t="n"/>
      <c r="U189" s="36" t="n"/>
      <c r="V189" s="24">
        <f>IF(COUNTA(A189:U189)=0,"",IF(A189="","AIR-ID missing",IF(COUNTIF($A$4:$A$206,A189)&gt;1,"Duplicate AIR-ID (one row per AIR-ID)",IF(COUNTIF('AI Register'!$A$4:$A$206,A189)=0,"AIR-ID not in AI Register",IF(OR(AND(N189&lt;&gt;"",NOT(ISNUMBER(N189))),AND(U189&lt;&gt;"",NOT(ISNUMBER(U189)))),"Date field is not a date",IF(OR(S189="",S189="Unsure — assess"),"Art 22A / AIG-OPS-04 tier to assess","Check against source"))))))</f>
        <v/>
      </c>
    </row>
    <row r="190">
      <c r="A190" s="22" t="n"/>
      <c r="B190" s="22" t="n"/>
      <c r="C190" s="22" t="n"/>
      <c r="D190" s="22" t="n"/>
      <c r="E190" s="22" t="n"/>
      <c r="F190" s="22" t="n"/>
      <c r="G190" s="22" t="n"/>
      <c r="H190" s="22" t="n"/>
      <c r="I190" s="22" t="n"/>
      <c r="J190" s="22" t="n"/>
      <c r="K190" s="22" t="n"/>
      <c r="L190" s="22" t="n"/>
      <c r="M190" s="22" t="n"/>
      <c r="N190" s="35" t="n"/>
      <c r="O190" s="22" t="n"/>
      <c r="P190" s="22" t="n"/>
      <c r="Q190" s="22" t="n"/>
      <c r="R190" s="22" t="n"/>
      <c r="S190" s="22" t="n"/>
      <c r="T190" s="22" t="n"/>
      <c r="U190" s="35" t="n"/>
      <c r="V190" s="22">
        <f>IF(COUNTA(A190:U190)=0,"",IF(A190="","AIR-ID missing",IF(COUNTIF($A$4:$A$206,A190)&gt;1,"Duplicate AIR-ID (one row per AIR-ID)",IF(COUNTIF('AI Register'!$A$4:$A$206,A190)=0,"AIR-ID not in AI Register",IF(OR(AND(N190&lt;&gt;"",NOT(ISNUMBER(N190))),AND(U190&lt;&gt;"",NOT(ISNUMBER(U190)))),"Date field is not a date",IF(OR(S190="",S190="Unsure — assess"),"Art 22A / AIG-OPS-04 tier to assess","Check against source"))))))</f>
        <v/>
      </c>
    </row>
    <row r="191">
      <c r="A191" s="24" t="n"/>
      <c r="B191" s="24" t="n"/>
      <c r="C191" s="24" t="n"/>
      <c r="D191" s="24" t="n"/>
      <c r="E191" s="24" t="n"/>
      <c r="F191" s="24" t="n"/>
      <c r="G191" s="24" t="n"/>
      <c r="H191" s="24" t="n"/>
      <c r="I191" s="24" t="n"/>
      <c r="J191" s="24" t="n"/>
      <c r="K191" s="24" t="n"/>
      <c r="L191" s="24" t="n"/>
      <c r="M191" s="24" t="n"/>
      <c r="N191" s="36" t="n"/>
      <c r="O191" s="24" t="n"/>
      <c r="P191" s="24" t="n"/>
      <c r="Q191" s="24" t="n"/>
      <c r="R191" s="24" t="n"/>
      <c r="S191" s="24" t="n"/>
      <c r="T191" s="24" t="n"/>
      <c r="U191" s="36" t="n"/>
      <c r="V191" s="24">
        <f>IF(COUNTA(A191:U191)=0,"",IF(A191="","AIR-ID missing",IF(COUNTIF($A$4:$A$206,A191)&gt;1,"Duplicate AIR-ID (one row per AIR-ID)",IF(COUNTIF('AI Register'!$A$4:$A$206,A191)=0,"AIR-ID not in AI Register",IF(OR(AND(N191&lt;&gt;"",NOT(ISNUMBER(N191))),AND(U191&lt;&gt;"",NOT(ISNUMBER(U191)))),"Date field is not a date",IF(OR(S191="",S191="Unsure — assess"),"Art 22A / AIG-OPS-04 tier to assess","Check against source"))))))</f>
        <v/>
      </c>
    </row>
    <row r="192">
      <c r="A192" s="22" t="n"/>
      <c r="B192" s="22" t="n"/>
      <c r="C192" s="22" t="n"/>
      <c r="D192" s="22" t="n"/>
      <c r="E192" s="22" t="n"/>
      <c r="F192" s="22" t="n"/>
      <c r="G192" s="22" t="n"/>
      <c r="H192" s="22" t="n"/>
      <c r="I192" s="22" t="n"/>
      <c r="J192" s="22" t="n"/>
      <c r="K192" s="22" t="n"/>
      <c r="L192" s="22" t="n"/>
      <c r="M192" s="22" t="n"/>
      <c r="N192" s="35" t="n"/>
      <c r="O192" s="22" t="n"/>
      <c r="P192" s="22" t="n"/>
      <c r="Q192" s="22" t="n"/>
      <c r="R192" s="22" t="n"/>
      <c r="S192" s="22" t="n"/>
      <c r="T192" s="22" t="n"/>
      <c r="U192" s="35" t="n"/>
      <c r="V192" s="22">
        <f>IF(COUNTA(A192:U192)=0,"",IF(A192="","AIR-ID missing",IF(COUNTIF($A$4:$A$206,A192)&gt;1,"Duplicate AIR-ID (one row per AIR-ID)",IF(COUNTIF('AI Register'!$A$4:$A$206,A192)=0,"AIR-ID not in AI Register",IF(OR(AND(N192&lt;&gt;"",NOT(ISNUMBER(N192))),AND(U192&lt;&gt;"",NOT(ISNUMBER(U192)))),"Date field is not a date",IF(OR(S192="",S192="Unsure — assess"),"Art 22A / AIG-OPS-04 tier to assess","Check against source"))))))</f>
        <v/>
      </c>
    </row>
    <row r="193">
      <c r="A193" s="24" t="n"/>
      <c r="B193" s="24" t="n"/>
      <c r="C193" s="24" t="n"/>
      <c r="D193" s="24" t="n"/>
      <c r="E193" s="24" t="n"/>
      <c r="F193" s="24" t="n"/>
      <c r="G193" s="24" t="n"/>
      <c r="H193" s="24" t="n"/>
      <c r="I193" s="24" t="n"/>
      <c r="J193" s="24" t="n"/>
      <c r="K193" s="24" t="n"/>
      <c r="L193" s="24" t="n"/>
      <c r="M193" s="24" t="n"/>
      <c r="N193" s="36" t="n"/>
      <c r="O193" s="24" t="n"/>
      <c r="P193" s="24" t="n"/>
      <c r="Q193" s="24" t="n"/>
      <c r="R193" s="24" t="n"/>
      <c r="S193" s="24" t="n"/>
      <c r="T193" s="24" t="n"/>
      <c r="U193" s="36" t="n"/>
      <c r="V193" s="24">
        <f>IF(COUNTA(A193:U193)=0,"",IF(A193="","AIR-ID missing",IF(COUNTIF($A$4:$A$206,A193)&gt;1,"Duplicate AIR-ID (one row per AIR-ID)",IF(COUNTIF('AI Register'!$A$4:$A$206,A193)=0,"AIR-ID not in AI Register",IF(OR(AND(N193&lt;&gt;"",NOT(ISNUMBER(N193))),AND(U193&lt;&gt;"",NOT(ISNUMBER(U193)))),"Date field is not a date",IF(OR(S193="",S193="Unsure — assess"),"Art 22A / AIG-OPS-04 tier to assess","Check against source"))))))</f>
        <v/>
      </c>
    </row>
    <row r="194">
      <c r="A194" s="22" t="n"/>
      <c r="B194" s="22" t="n"/>
      <c r="C194" s="22" t="n"/>
      <c r="D194" s="22" t="n"/>
      <c r="E194" s="22" t="n"/>
      <c r="F194" s="22" t="n"/>
      <c r="G194" s="22" t="n"/>
      <c r="H194" s="22" t="n"/>
      <c r="I194" s="22" t="n"/>
      <c r="J194" s="22" t="n"/>
      <c r="K194" s="22" t="n"/>
      <c r="L194" s="22" t="n"/>
      <c r="M194" s="22" t="n"/>
      <c r="N194" s="35" t="n"/>
      <c r="O194" s="22" t="n"/>
      <c r="P194" s="22" t="n"/>
      <c r="Q194" s="22" t="n"/>
      <c r="R194" s="22" t="n"/>
      <c r="S194" s="22" t="n"/>
      <c r="T194" s="22" t="n"/>
      <c r="U194" s="35" t="n"/>
      <c r="V194" s="22">
        <f>IF(COUNTA(A194:U194)=0,"",IF(A194="","AIR-ID missing",IF(COUNTIF($A$4:$A$206,A194)&gt;1,"Duplicate AIR-ID (one row per AIR-ID)",IF(COUNTIF('AI Register'!$A$4:$A$206,A194)=0,"AIR-ID not in AI Register",IF(OR(AND(N194&lt;&gt;"",NOT(ISNUMBER(N194))),AND(U194&lt;&gt;"",NOT(ISNUMBER(U194)))),"Date field is not a date",IF(OR(S194="",S194="Unsure — assess"),"Art 22A / AIG-OPS-04 tier to assess","Check against source"))))))</f>
        <v/>
      </c>
    </row>
    <row r="195">
      <c r="A195" s="24" t="n"/>
      <c r="B195" s="24" t="n"/>
      <c r="C195" s="24" t="n"/>
      <c r="D195" s="24" t="n"/>
      <c r="E195" s="24" t="n"/>
      <c r="F195" s="24" t="n"/>
      <c r="G195" s="24" t="n"/>
      <c r="H195" s="24" t="n"/>
      <c r="I195" s="24" t="n"/>
      <c r="J195" s="24" t="n"/>
      <c r="K195" s="24" t="n"/>
      <c r="L195" s="24" t="n"/>
      <c r="M195" s="24" t="n"/>
      <c r="N195" s="36" t="n"/>
      <c r="O195" s="24" t="n"/>
      <c r="P195" s="24" t="n"/>
      <c r="Q195" s="24" t="n"/>
      <c r="R195" s="24" t="n"/>
      <c r="S195" s="24" t="n"/>
      <c r="T195" s="24" t="n"/>
      <c r="U195" s="36" t="n"/>
      <c r="V195" s="24">
        <f>IF(COUNTA(A195:U195)=0,"",IF(A195="","AIR-ID missing",IF(COUNTIF($A$4:$A$206,A195)&gt;1,"Duplicate AIR-ID (one row per AIR-ID)",IF(COUNTIF('AI Register'!$A$4:$A$206,A195)=0,"AIR-ID not in AI Register",IF(OR(AND(N195&lt;&gt;"",NOT(ISNUMBER(N195))),AND(U195&lt;&gt;"",NOT(ISNUMBER(U195)))),"Date field is not a date",IF(OR(S195="",S195="Unsure — assess"),"Art 22A / AIG-OPS-04 tier to assess","Check against source"))))))</f>
        <v/>
      </c>
    </row>
    <row r="196">
      <c r="A196" s="22" t="n"/>
      <c r="B196" s="22" t="n"/>
      <c r="C196" s="22" t="n"/>
      <c r="D196" s="22" t="n"/>
      <c r="E196" s="22" t="n"/>
      <c r="F196" s="22" t="n"/>
      <c r="G196" s="22" t="n"/>
      <c r="H196" s="22" t="n"/>
      <c r="I196" s="22" t="n"/>
      <c r="J196" s="22" t="n"/>
      <c r="K196" s="22" t="n"/>
      <c r="L196" s="22" t="n"/>
      <c r="M196" s="22" t="n"/>
      <c r="N196" s="35" t="n"/>
      <c r="O196" s="22" t="n"/>
      <c r="P196" s="22" t="n"/>
      <c r="Q196" s="22" t="n"/>
      <c r="R196" s="22" t="n"/>
      <c r="S196" s="22" t="n"/>
      <c r="T196" s="22" t="n"/>
      <c r="U196" s="35" t="n"/>
      <c r="V196" s="22">
        <f>IF(COUNTA(A196:U196)=0,"",IF(A196="","AIR-ID missing",IF(COUNTIF($A$4:$A$206,A196)&gt;1,"Duplicate AIR-ID (one row per AIR-ID)",IF(COUNTIF('AI Register'!$A$4:$A$206,A196)=0,"AIR-ID not in AI Register",IF(OR(AND(N196&lt;&gt;"",NOT(ISNUMBER(N196))),AND(U196&lt;&gt;"",NOT(ISNUMBER(U196)))),"Date field is not a date",IF(OR(S196="",S196="Unsure — assess"),"Art 22A / AIG-OPS-04 tier to assess","Check against source"))))))</f>
        <v/>
      </c>
    </row>
    <row r="197">
      <c r="A197" s="24" t="n"/>
      <c r="B197" s="24" t="n"/>
      <c r="C197" s="24" t="n"/>
      <c r="D197" s="24" t="n"/>
      <c r="E197" s="24" t="n"/>
      <c r="F197" s="24" t="n"/>
      <c r="G197" s="24" t="n"/>
      <c r="H197" s="24" t="n"/>
      <c r="I197" s="24" t="n"/>
      <c r="J197" s="24" t="n"/>
      <c r="K197" s="24" t="n"/>
      <c r="L197" s="24" t="n"/>
      <c r="M197" s="24" t="n"/>
      <c r="N197" s="36" t="n"/>
      <c r="O197" s="24" t="n"/>
      <c r="P197" s="24" t="n"/>
      <c r="Q197" s="24" t="n"/>
      <c r="R197" s="24" t="n"/>
      <c r="S197" s="24" t="n"/>
      <c r="T197" s="24" t="n"/>
      <c r="U197" s="36" t="n"/>
      <c r="V197" s="24">
        <f>IF(COUNTA(A197:U197)=0,"",IF(A197="","AIR-ID missing",IF(COUNTIF($A$4:$A$206,A197)&gt;1,"Duplicate AIR-ID (one row per AIR-ID)",IF(COUNTIF('AI Register'!$A$4:$A$206,A197)=0,"AIR-ID not in AI Register",IF(OR(AND(N197&lt;&gt;"",NOT(ISNUMBER(N197))),AND(U197&lt;&gt;"",NOT(ISNUMBER(U197)))),"Date field is not a date",IF(OR(S197="",S197="Unsure — assess"),"Art 22A / AIG-OPS-04 tier to assess","Check against source"))))))</f>
        <v/>
      </c>
    </row>
    <row r="198">
      <c r="A198" s="22" t="n"/>
      <c r="B198" s="22" t="n"/>
      <c r="C198" s="22" t="n"/>
      <c r="D198" s="22" t="n"/>
      <c r="E198" s="22" t="n"/>
      <c r="F198" s="22" t="n"/>
      <c r="G198" s="22" t="n"/>
      <c r="H198" s="22" t="n"/>
      <c r="I198" s="22" t="n"/>
      <c r="J198" s="22" t="n"/>
      <c r="K198" s="22" t="n"/>
      <c r="L198" s="22" t="n"/>
      <c r="M198" s="22" t="n"/>
      <c r="N198" s="35" t="n"/>
      <c r="O198" s="22" t="n"/>
      <c r="P198" s="22" t="n"/>
      <c r="Q198" s="22" t="n"/>
      <c r="R198" s="22" t="n"/>
      <c r="S198" s="22" t="n"/>
      <c r="T198" s="22" t="n"/>
      <c r="U198" s="35" t="n"/>
      <c r="V198" s="22">
        <f>IF(COUNTA(A198:U198)=0,"",IF(A198="","AIR-ID missing",IF(COUNTIF($A$4:$A$206,A198)&gt;1,"Duplicate AIR-ID (one row per AIR-ID)",IF(COUNTIF('AI Register'!$A$4:$A$206,A198)=0,"AIR-ID not in AI Register",IF(OR(AND(N198&lt;&gt;"",NOT(ISNUMBER(N198))),AND(U198&lt;&gt;"",NOT(ISNUMBER(U198)))),"Date field is not a date",IF(OR(S198="",S198="Unsure — assess"),"Art 22A / AIG-OPS-04 tier to assess","Check against source"))))))</f>
        <v/>
      </c>
    </row>
    <row r="199">
      <c r="A199" s="24" t="n"/>
      <c r="B199" s="24" t="n"/>
      <c r="C199" s="24" t="n"/>
      <c r="D199" s="24" t="n"/>
      <c r="E199" s="24" t="n"/>
      <c r="F199" s="24" t="n"/>
      <c r="G199" s="24" t="n"/>
      <c r="H199" s="24" t="n"/>
      <c r="I199" s="24" t="n"/>
      <c r="J199" s="24" t="n"/>
      <c r="K199" s="24" t="n"/>
      <c r="L199" s="24" t="n"/>
      <c r="M199" s="24" t="n"/>
      <c r="N199" s="36" t="n"/>
      <c r="O199" s="24" t="n"/>
      <c r="P199" s="24" t="n"/>
      <c r="Q199" s="24" t="n"/>
      <c r="R199" s="24" t="n"/>
      <c r="S199" s="24" t="n"/>
      <c r="T199" s="24" t="n"/>
      <c r="U199" s="36" t="n"/>
      <c r="V199" s="24">
        <f>IF(COUNTA(A199:U199)=0,"",IF(A199="","AIR-ID missing",IF(COUNTIF($A$4:$A$206,A199)&gt;1,"Duplicate AIR-ID (one row per AIR-ID)",IF(COUNTIF('AI Register'!$A$4:$A$206,A199)=0,"AIR-ID not in AI Register",IF(OR(AND(N199&lt;&gt;"",NOT(ISNUMBER(N199))),AND(U199&lt;&gt;"",NOT(ISNUMBER(U199)))),"Date field is not a date",IF(OR(S199="",S199="Unsure — assess"),"Art 22A / AIG-OPS-04 tier to assess","Check against source"))))))</f>
        <v/>
      </c>
    </row>
    <row r="200">
      <c r="A200" s="22" t="n"/>
      <c r="B200" s="22" t="n"/>
      <c r="C200" s="22" t="n"/>
      <c r="D200" s="22" t="n"/>
      <c r="E200" s="22" t="n"/>
      <c r="F200" s="22" t="n"/>
      <c r="G200" s="22" t="n"/>
      <c r="H200" s="22" t="n"/>
      <c r="I200" s="22" t="n"/>
      <c r="J200" s="22" t="n"/>
      <c r="K200" s="22" t="n"/>
      <c r="L200" s="22" t="n"/>
      <c r="M200" s="22" t="n"/>
      <c r="N200" s="35" t="n"/>
      <c r="O200" s="22" t="n"/>
      <c r="P200" s="22" t="n"/>
      <c r="Q200" s="22" t="n"/>
      <c r="R200" s="22" t="n"/>
      <c r="S200" s="22" t="n"/>
      <c r="T200" s="22" t="n"/>
      <c r="U200" s="35" t="n"/>
      <c r="V200" s="22">
        <f>IF(COUNTA(A200:U200)=0,"",IF(A200="","AIR-ID missing",IF(COUNTIF($A$4:$A$206,A200)&gt;1,"Duplicate AIR-ID (one row per AIR-ID)",IF(COUNTIF('AI Register'!$A$4:$A$206,A200)=0,"AIR-ID not in AI Register",IF(OR(AND(N200&lt;&gt;"",NOT(ISNUMBER(N200))),AND(U200&lt;&gt;"",NOT(ISNUMBER(U200)))),"Date field is not a date",IF(OR(S200="",S200="Unsure — assess"),"Art 22A / AIG-OPS-04 tier to assess","Check against source"))))))</f>
        <v/>
      </c>
    </row>
    <row r="201">
      <c r="A201" s="24" t="n"/>
      <c r="B201" s="24" t="n"/>
      <c r="C201" s="24" t="n"/>
      <c r="D201" s="24" t="n"/>
      <c r="E201" s="24" t="n"/>
      <c r="F201" s="24" t="n"/>
      <c r="G201" s="24" t="n"/>
      <c r="H201" s="24" t="n"/>
      <c r="I201" s="24" t="n"/>
      <c r="J201" s="24" t="n"/>
      <c r="K201" s="24" t="n"/>
      <c r="L201" s="24" t="n"/>
      <c r="M201" s="24" t="n"/>
      <c r="N201" s="36" t="n"/>
      <c r="O201" s="24" t="n"/>
      <c r="P201" s="24" t="n"/>
      <c r="Q201" s="24" t="n"/>
      <c r="R201" s="24" t="n"/>
      <c r="S201" s="24" t="n"/>
      <c r="T201" s="24" t="n"/>
      <c r="U201" s="36" t="n"/>
      <c r="V201" s="24">
        <f>IF(COUNTA(A201:U201)=0,"",IF(A201="","AIR-ID missing",IF(COUNTIF($A$4:$A$206,A201)&gt;1,"Duplicate AIR-ID (one row per AIR-ID)",IF(COUNTIF('AI Register'!$A$4:$A$206,A201)=0,"AIR-ID not in AI Register",IF(OR(AND(N201&lt;&gt;"",NOT(ISNUMBER(N201))),AND(U201&lt;&gt;"",NOT(ISNUMBER(U201)))),"Date field is not a date",IF(OR(S201="",S201="Unsure — assess"),"Art 22A / AIG-OPS-04 tier to assess","Check against source"))))))</f>
        <v/>
      </c>
    </row>
    <row r="202">
      <c r="A202" s="22" t="n"/>
      <c r="B202" s="22" t="n"/>
      <c r="C202" s="22" t="n"/>
      <c r="D202" s="22" t="n"/>
      <c r="E202" s="22" t="n"/>
      <c r="F202" s="22" t="n"/>
      <c r="G202" s="22" t="n"/>
      <c r="H202" s="22" t="n"/>
      <c r="I202" s="22" t="n"/>
      <c r="J202" s="22" t="n"/>
      <c r="K202" s="22" t="n"/>
      <c r="L202" s="22" t="n"/>
      <c r="M202" s="22" t="n"/>
      <c r="N202" s="35" t="n"/>
      <c r="O202" s="22" t="n"/>
      <c r="P202" s="22" t="n"/>
      <c r="Q202" s="22" t="n"/>
      <c r="R202" s="22" t="n"/>
      <c r="S202" s="22" t="n"/>
      <c r="T202" s="22" t="n"/>
      <c r="U202" s="35" t="n"/>
      <c r="V202" s="22">
        <f>IF(COUNTA(A202:U202)=0,"",IF(A202="","AIR-ID missing",IF(COUNTIF($A$4:$A$206,A202)&gt;1,"Duplicate AIR-ID (one row per AIR-ID)",IF(COUNTIF('AI Register'!$A$4:$A$206,A202)=0,"AIR-ID not in AI Register",IF(OR(AND(N202&lt;&gt;"",NOT(ISNUMBER(N202))),AND(U202&lt;&gt;"",NOT(ISNUMBER(U202)))),"Date field is not a date",IF(OR(S202="",S202="Unsure — assess"),"Art 22A / AIG-OPS-04 tier to assess","Check against source"))))))</f>
        <v/>
      </c>
    </row>
    <row r="203">
      <c r="A203" s="24" t="n"/>
      <c r="B203" s="24" t="n"/>
      <c r="C203" s="24" t="n"/>
      <c r="D203" s="24" t="n"/>
      <c r="E203" s="24" t="n"/>
      <c r="F203" s="24" t="n"/>
      <c r="G203" s="24" t="n"/>
      <c r="H203" s="24" t="n"/>
      <c r="I203" s="24" t="n"/>
      <c r="J203" s="24" t="n"/>
      <c r="K203" s="24" t="n"/>
      <c r="L203" s="24" t="n"/>
      <c r="M203" s="24" t="n"/>
      <c r="N203" s="36" t="n"/>
      <c r="O203" s="24" t="n"/>
      <c r="P203" s="24" t="n"/>
      <c r="Q203" s="24" t="n"/>
      <c r="R203" s="24" t="n"/>
      <c r="S203" s="24" t="n"/>
      <c r="T203" s="24" t="n"/>
      <c r="U203" s="36" t="n"/>
      <c r="V203" s="24">
        <f>IF(COUNTA(A203:U203)=0,"",IF(A203="","AIR-ID missing",IF(COUNTIF($A$4:$A$206,A203)&gt;1,"Duplicate AIR-ID (one row per AIR-ID)",IF(COUNTIF('AI Register'!$A$4:$A$206,A203)=0,"AIR-ID not in AI Register",IF(OR(AND(N203&lt;&gt;"",NOT(ISNUMBER(N203))),AND(U203&lt;&gt;"",NOT(ISNUMBER(U203)))),"Date field is not a date",IF(OR(S203="",S203="Unsure — assess"),"Art 22A / AIG-OPS-04 tier to assess","Check against source"))))))</f>
        <v/>
      </c>
    </row>
    <row r="204">
      <c r="A204" s="22" t="n"/>
      <c r="B204" s="22" t="n"/>
      <c r="C204" s="22" t="n"/>
      <c r="D204" s="22" t="n"/>
      <c r="E204" s="22" t="n"/>
      <c r="F204" s="22" t="n"/>
      <c r="G204" s="22" t="n"/>
      <c r="H204" s="22" t="n"/>
      <c r="I204" s="22" t="n"/>
      <c r="J204" s="22" t="n"/>
      <c r="K204" s="22" t="n"/>
      <c r="L204" s="22" t="n"/>
      <c r="M204" s="22" t="n"/>
      <c r="N204" s="35" t="n"/>
      <c r="O204" s="22" t="n"/>
      <c r="P204" s="22" t="n"/>
      <c r="Q204" s="22" t="n"/>
      <c r="R204" s="22" t="n"/>
      <c r="S204" s="22" t="n"/>
      <c r="T204" s="22" t="n"/>
      <c r="U204" s="35" t="n"/>
      <c r="V204" s="22">
        <f>IF(COUNTA(A204:U204)=0,"",IF(A204="","AIR-ID missing",IF(COUNTIF($A$4:$A$206,A204)&gt;1,"Duplicate AIR-ID (one row per AIR-ID)",IF(COUNTIF('AI Register'!$A$4:$A$206,A204)=0,"AIR-ID not in AI Register",IF(OR(AND(N204&lt;&gt;"",NOT(ISNUMBER(N204))),AND(U204&lt;&gt;"",NOT(ISNUMBER(U204)))),"Date field is not a date",IF(OR(S204="",S204="Unsure — assess"),"Art 22A / AIG-OPS-04 tier to assess","Check against source"))))))</f>
        <v/>
      </c>
    </row>
    <row r="205">
      <c r="A205" s="24" t="n"/>
      <c r="B205" s="24" t="n"/>
      <c r="C205" s="24" t="n"/>
      <c r="D205" s="24" t="n"/>
      <c r="E205" s="24" t="n"/>
      <c r="F205" s="24" t="n"/>
      <c r="G205" s="24" t="n"/>
      <c r="H205" s="24" t="n"/>
      <c r="I205" s="24" t="n"/>
      <c r="J205" s="24" t="n"/>
      <c r="K205" s="24" t="n"/>
      <c r="L205" s="24" t="n"/>
      <c r="M205" s="24" t="n"/>
      <c r="N205" s="36" t="n"/>
      <c r="O205" s="24" t="n"/>
      <c r="P205" s="24" t="n"/>
      <c r="Q205" s="24" t="n"/>
      <c r="R205" s="24" t="n"/>
      <c r="S205" s="24" t="n"/>
      <c r="T205" s="24" t="n"/>
      <c r="U205" s="36" t="n"/>
      <c r="V205" s="24">
        <f>IF(COUNTA(A205:U205)=0,"",IF(A205="","AIR-ID missing",IF(COUNTIF($A$4:$A$206,A205)&gt;1,"Duplicate AIR-ID (one row per AIR-ID)",IF(COUNTIF('AI Register'!$A$4:$A$206,A205)=0,"AIR-ID not in AI Register",IF(OR(AND(N205&lt;&gt;"",NOT(ISNUMBER(N205))),AND(U205&lt;&gt;"",NOT(ISNUMBER(U205)))),"Date field is not a date",IF(OR(S205="",S205="Unsure — assess"),"Art 22A / AIG-OPS-04 tier to assess","Check against source"))))))</f>
        <v/>
      </c>
    </row>
    <row r="206">
      <c r="A206" s="22" t="n"/>
      <c r="B206" s="22" t="n"/>
      <c r="C206" s="22" t="n"/>
      <c r="D206" s="22" t="n"/>
      <c r="E206" s="22" t="n"/>
      <c r="F206" s="22" t="n"/>
      <c r="G206" s="22" t="n"/>
      <c r="H206" s="22" t="n"/>
      <c r="I206" s="22" t="n"/>
      <c r="J206" s="22" t="n"/>
      <c r="K206" s="22" t="n"/>
      <c r="L206" s="22" t="n"/>
      <c r="M206" s="22" t="n"/>
      <c r="N206" s="35" t="n"/>
      <c r="O206" s="22" t="n"/>
      <c r="P206" s="22" t="n"/>
      <c r="Q206" s="22" t="n"/>
      <c r="R206" s="22" t="n"/>
      <c r="S206" s="22" t="n"/>
      <c r="T206" s="22" t="n"/>
      <c r="U206" s="35" t="n"/>
      <c r="V206" s="22">
        <f>IF(COUNTA(A206:U206)=0,"",IF(A206="","AIR-ID missing",IF(COUNTIF($A$4:$A$206,A206)&gt;1,"Duplicate AIR-ID (one row per AIR-ID)",IF(COUNTIF('AI Register'!$A$4:$A$206,A206)=0,"AIR-ID not in AI Register",IF(OR(AND(N206&lt;&gt;"",NOT(ISNUMBER(N206))),AND(U206&lt;&gt;"",NOT(ISNUMBER(U206)))),"Date field is not a date",IF(OR(S206="",S206="Unsure — assess"),"Art 22A / AIG-OPS-04 tier to assess","Check against source"))))))</f>
        <v/>
      </c>
    </row>
  </sheetData>
  <mergeCells count="2">
    <mergeCell ref="A2:N2"/>
    <mergeCell ref="A1:N1"/>
  </mergeCells>
  <conditionalFormatting sqref="V4:V206">
    <cfRule type="expression" priority="1" dxfId="1">
      <formula>AND($V4&lt;&gt;"",$V4&lt;&gt;"Check against source")</formula>
    </cfRule>
  </conditionalFormatting>
  <dataValidations count="8">
    <dataValidation sqref="B4:B206" showDropDown="0" showInputMessage="0" showErrorMessage="1" allowBlank="1" errorTitle="Controlled value" error="Choose a value from the list." type="list">
      <formula1>"Priority 1 – Critical,Priority 2 – High,Priority 3 – Standard,Priority 4 – Routine,Priority 5 – Observe"</formula1>
    </dataValidation>
    <dataValidation sqref="D4:D206" showDropDown="0" showInputMessage="0" showErrorMessage="1" allowBlank="1" errorTitle="Controlled value" error="Choose a value from the list." type="list">
      <formula1>"Low,Medium,High,Critical"</formula1>
    </dataValidation>
    <dataValidation sqref="O4:O206" showDropDown="0" showInputMessage="0" showErrorMessage="1" allowBlank="1" errorTitle="Controlled value" error="AGPI score is 0–100." type="decimal" errorStyle="stop" operator="between">
      <formula1>0</formula1>
      <formula2>100</formula2>
    </dataValidation>
    <dataValidation sqref="P4:P206" showDropDown="0" showInputMessage="0" showErrorMessage="1" allowBlank="1" errorTitle="Controlled value" error="Inherent score is L × I, 1–25." type="whole" errorStyle="stop" operator="between">
      <formula1>1</formula1>
      <formula2>25</formula2>
    </dataValidation>
    <dataValidation sqref="Q4:Q206" showDropDown="0" showInputMessage="0" showErrorMessage="1" allowBlank="1" errorTitle="Controlled value" error="Control effectiveness is 1–5." type="whole" errorStyle="stop" operator="between">
      <formula1>1</formula1>
      <formula2>5</formula2>
    </dataValidation>
    <dataValidation sqref="R4:R206" showDropDown="0" showInputMessage="0" showErrorMessage="1" allowBlank="1" errorTitle="Controlled value" error="Residual score is 0–25." type="decimal" errorStyle="stop" operator="between">
      <formula1>0</formula1>
      <formula2>25</formula2>
    </dataValidation>
    <dataValidation sqref="S4:S206" showDropDown="0" showInputMessage="0" showErrorMessage="1" allowBlank="1" type="list" errorStyle="stop">
      <formula1>"Tier A — solely automated significant decision (Art 22A),Tier B — AI materially influences a human decision,Tier C — no bearing on decisions about individuals,Unsure — assess"</formula1>
    </dataValidation>
    <dataValidation sqref="U4:U206" showDropDown="0" showInputMessage="0" showErrorMessage="1" allowBlank="1" errorTitle="Controlled value" error="Enter a date." type="date" errorStyle="stop" operator="greaterThan">
      <formula1>0</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O353"/>
  <sheetViews>
    <sheetView showGridLines="0" workbookViewId="0">
      <pane xSplit="2" ySplit="3" topLeftCell="C4" activePane="bottomRight" state="frozen"/>
      <selection activeCell="A1" sqref="A1"/>
    </sheetView>
  </sheetViews>
  <sheetFormatPr baseColWidth="8" defaultRowHeight="15"/>
  <cols>
    <col width="20" customWidth="1" min="1" max="1"/>
    <col width="17" customWidth="1" min="2" max="2"/>
    <col width="25" customWidth="1" min="3" max="3"/>
    <col width="35" customWidth="1" min="4" max="4"/>
    <col width="20" customWidth="1" min="5" max="5"/>
    <col width="25" customWidth="1" min="6" max="6"/>
    <col width="20" customWidth="1" min="7" max="7"/>
    <col width="55" customWidth="1" min="8" max="8"/>
    <col width="42" customWidth="1" min="9" max="9"/>
    <col width="20" customWidth="1" min="10" max="10"/>
    <col width="20" customWidth="1" min="11" max="11"/>
    <col width="36" customWidth="1" min="12" max="12"/>
    <col width="18" customWidth="1" min="13" max="13"/>
    <col width="16" customWidth="1" min="14" max="14"/>
    <col width="30" customWidth="1" min="15" max="15"/>
  </cols>
  <sheetData>
    <row r="1" ht="34" customHeight="1">
      <c r="A1" s="19" t="inlineStr">
        <is>
          <t>AIG-INV-04 / EVIDENCE INDEX</t>
        </is>
      </c>
    </row>
    <row r="2" ht="43" customHeight="1">
      <c r="A2" s="20" t="inlineStr">
        <is>
          <t>Pointers only: retain original assessments, advice, tests and approved decisions in their authoritative locations. Never infer acceptance from a linked file.</t>
        </is>
      </c>
    </row>
    <row r="3" ht="33" customHeight="1">
      <c r="A3" s="21" t="inlineStr">
        <is>
          <t>Evidence ID</t>
        </is>
      </c>
      <c r="B3" s="21" t="inlineStr">
        <is>
          <t>AIR-ID</t>
        </is>
      </c>
      <c r="C3" s="21" t="inlineStr">
        <is>
          <t>Artefact / record</t>
        </is>
      </c>
      <c r="D3" s="21" t="inlineStr">
        <is>
          <t>Type / subject</t>
        </is>
      </c>
      <c r="E3" s="21" t="inlineStr">
        <is>
          <t>Version / as-at</t>
        </is>
      </c>
      <c r="F3" s="21" t="inlineStr">
        <is>
          <t>Owner / author</t>
        </is>
      </c>
      <c r="G3" s="21" t="inlineStr">
        <is>
          <t>Status</t>
        </is>
      </c>
      <c r="H3" s="21" t="inlineStr">
        <is>
          <t>Location / link</t>
        </is>
      </c>
      <c r="I3" s="21" t="inlineStr">
        <is>
          <t>Notes</t>
        </is>
      </c>
      <c r="J3" s="21" t="inlineStr">
        <is>
          <t>Event ID (AIG-DEC-04)</t>
        </is>
      </c>
      <c r="K3" s="21" t="inlineStr">
        <is>
          <t>Condition ID (AIG-DEC-04)</t>
        </is>
      </c>
      <c r="L3" s="21" t="inlineStr">
        <is>
          <t>Row check</t>
        </is>
      </c>
      <c r="M3" s="21" t="inlineStr">
        <is>
          <t>Completed / last reviewed</t>
        </is>
      </c>
      <c r="N3" s="21" t="inlineStr">
        <is>
          <t>Review due</t>
        </is>
      </c>
      <c r="O3" s="21" t="inlineStr">
        <is>
          <t>Still-holds review ref (if over 12 months old)</t>
        </is>
      </c>
    </row>
    <row r="4">
      <c r="A4" s="22" t="n"/>
      <c r="B4" s="22" t="n"/>
      <c r="C4" s="22" t="n"/>
      <c r="D4" s="22" t="n"/>
      <c r="E4" s="22" t="n"/>
      <c r="F4" s="22" t="n"/>
      <c r="G4" s="22" t="n"/>
      <c r="H4" s="22" t="n"/>
      <c r="I4" s="22" t="n"/>
      <c r="J4" s="22" t="n"/>
      <c r="K4" s="22" t="n"/>
      <c r="L4" s="22">
        <f>IF(COUNTA(A4:K4,M4:O4)=0,"",IF(A4="","Evidence ID missing",IF(COUNTIF($A$4:$A$353,A4)&gt;1,"Duplicate Evidence ID",IF(B4="","AIR-ID missing",IF(COUNTIF('AI Register'!$A$4:$A$206,B4)=0,"AIR-ID not in AI Register",IF(OR(C4="",H4=""),"Artefact or location missing",IF(AND(M4&lt;&gt;"",NOT(ISNUMBER(M4))),"Completed / last reviewed is not a date",IF(AND(N4&lt;&gt;"",NOT(ISNUMBER(N4))),"Review due is not a date",IF(AND(ISNUMBER(N4),N4&lt;TODAY()),"Review date passed: re-review before citing by reference (Playbook §4.6)",IF(AND(G4="Accepted",ISNUMBER(M4),EDATE(M4,12)&lt;TODAY(),O4=""),"Over 12 months old: owner's still-holds review needed before citing by reference","Check against source"))))))))))</f>
        <v/>
      </c>
      <c r="M4" s="35" t="n"/>
      <c r="N4" s="35" t="n"/>
      <c r="O4" s="22" t="n"/>
    </row>
    <row r="5">
      <c r="A5" s="24" t="n"/>
      <c r="B5" s="24" t="n"/>
      <c r="C5" s="24" t="n"/>
      <c r="D5" s="24" t="n"/>
      <c r="E5" s="24" t="n"/>
      <c r="F5" s="24" t="n"/>
      <c r="G5" s="24" t="n"/>
      <c r="H5" s="24" t="n"/>
      <c r="I5" s="24" t="n"/>
      <c r="J5" s="24" t="n"/>
      <c r="K5" s="24" t="n"/>
      <c r="L5" s="24">
        <f>IF(COUNTA(A5:K5,M5:O5)=0,"",IF(A5="","Evidence ID missing",IF(COUNTIF($A$4:$A$353,A5)&gt;1,"Duplicate Evidence ID",IF(B5="","AIR-ID missing",IF(COUNTIF('AI Register'!$A$4:$A$206,B5)=0,"AIR-ID not in AI Register",IF(OR(C5="",H5=""),"Artefact or location missing",IF(AND(M5&lt;&gt;"",NOT(ISNUMBER(M5))),"Completed / last reviewed is not a date",IF(AND(N5&lt;&gt;"",NOT(ISNUMBER(N5))),"Review due is not a date",IF(AND(ISNUMBER(N5),N5&lt;TODAY()),"Review date passed: re-review before citing by reference (Playbook §4.6)",IF(AND(G5="Accepted",ISNUMBER(M5),EDATE(M5,12)&lt;TODAY(),O5=""),"Over 12 months old: owner's still-holds review needed before citing by reference","Check against source"))))))))))</f>
        <v/>
      </c>
      <c r="M5" s="36" t="n"/>
      <c r="N5" s="36" t="n"/>
      <c r="O5" s="24" t="n"/>
    </row>
    <row r="6">
      <c r="A6" s="22" t="n"/>
      <c r="B6" s="22" t="n"/>
      <c r="C6" s="22" t="n"/>
      <c r="D6" s="22" t="n"/>
      <c r="E6" s="22" t="n"/>
      <c r="F6" s="22" t="n"/>
      <c r="G6" s="22" t="n"/>
      <c r="H6" s="22" t="n"/>
      <c r="I6" s="22" t="n"/>
      <c r="J6" s="22" t="n"/>
      <c r="K6" s="22" t="n"/>
      <c r="L6" s="22">
        <f>IF(COUNTA(A6:K6,M6:O6)=0,"",IF(A6="","Evidence ID missing",IF(COUNTIF($A$4:$A$353,A6)&gt;1,"Duplicate Evidence ID",IF(B6="","AIR-ID missing",IF(COUNTIF('AI Register'!$A$4:$A$206,B6)=0,"AIR-ID not in AI Register",IF(OR(C6="",H6=""),"Artefact or location missing",IF(AND(M6&lt;&gt;"",NOT(ISNUMBER(M6))),"Completed / last reviewed is not a date",IF(AND(N6&lt;&gt;"",NOT(ISNUMBER(N6))),"Review due is not a date",IF(AND(ISNUMBER(N6),N6&lt;TODAY()),"Review date passed: re-review before citing by reference (Playbook §4.6)",IF(AND(G6="Accepted",ISNUMBER(M6),EDATE(M6,12)&lt;TODAY(),O6=""),"Over 12 months old: owner's still-holds review needed before citing by reference","Check against source"))))))))))</f>
        <v/>
      </c>
      <c r="M6" s="35" t="n"/>
      <c r="N6" s="35" t="n"/>
      <c r="O6" s="22" t="n"/>
    </row>
    <row r="7">
      <c r="A7" s="24" t="n"/>
      <c r="B7" s="24" t="n"/>
      <c r="C7" s="24" t="n"/>
      <c r="D7" s="24" t="n"/>
      <c r="E7" s="24" t="n"/>
      <c r="F7" s="24" t="n"/>
      <c r="G7" s="24" t="n"/>
      <c r="H7" s="24" t="n"/>
      <c r="I7" s="24" t="n"/>
      <c r="J7" s="24" t="n"/>
      <c r="K7" s="24" t="n"/>
      <c r="L7" s="24">
        <f>IF(COUNTA(A7:K7,M7:O7)=0,"",IF(A7="","Evidence ID missing",IF(COUNTIF($A$4:$A$353,A7)&gt;1,"Duplicate Evidence ID",IF(B7="","AIR-ID missing",IF(COUNTIF('AI Register'!$A$4:$A$206,B7)=0,"AIR-ID not in AI Register",IF(OR(C7="",H7=""),"Artefact or location missing",IF(AND(M7&lt;&gt;"",NOT(ISNUMBER(M7))),"Completed / last reviewed is not a date",IF(AND(N7&lt;&gt;"",NOT(ISNUMBER(N7))),"Review due is not a date",IF(AND(ISNUMBER(N7),N7&lt;TODAY()),"Review date passed: re-review before citing by reference (Playbook §4.6)",IF(AND(G7="Accepted",ISNUMBER(M7),EDATE(M7,12)&lt;TODAY(),O7=""),"Over 12 months old: owner's still-holds review needed before citing by reference","Check against source"))))))))))</f>
        <v/>
      </c>
      <c r="M7" s="36" t="n"/>
      <c r="N7" s="36" t="n"/>
      <c r="O7" s="24" t="n"/>
    </row>
    <row r="8">
      <c r="A8" s="22" t="n"/>
      <c r="B8" s="22" t="n"/>
      <c r="C8" s="22" t="n"/>
      <c r="D8" s="22" t="n"/>
      <c r="E8" s="22" t="n"/>
      <c r="F8" s="22" t="n"/>
      <c r="G8" s="22" t="n"/>
      <c r="H8" s="22" t="n"/>
      <c r="I8" s="22" t="n"/>
      <c r="J8" s="22" t="n"/>
      <c r="K8" s="22" t="n"/>
      <c r="L8" s="22">
        <f>IF(COUNTA(A8:K8,M8:O8)=0,"",IF(A8="","Evidence ID missing",IF(COUNTIF($A$4:$A$353,A8)&gt;1,"Duplicate Evidence ID",IF(B8="","AIR-ID missing",IF(COUNTIF('AI Register'!$A$4:$A$206,B8)=0,"AIR-ID not in AI Register",IF(OR(C8="",H8=""),"Artefact or location missing",IF(AND(M8&lt;&gt;"",NOT(ISNUMBER(M8))),"Completed / last reviewed is not a date",IF(AND(N8&lt;&gt;"",NOT(ISNUMBER(N8))),"Review due is not a date",IF(AND(ISNUMBER(N8),N8&lt;TODAY()),"Review date passed: re-review before citing by reference (Playbook §4.6)",IF(AND(G8="Accepted",ISNUMBER(M8),EDATE(M8,12)&lt;TODAY(),O8=""),"Over 12 months old: owner's still-holds review needed before citing by reference","Check against source"))))))))))</f>
        <v/>
      </c>
      <c r="M8" s="35" t="n"/>
      <c r="N8" s="35" t="n"/>
      <c r="O8" s="22" t="n"/>
    </row>
    <row r="9">
      <c r="A9" s="24" t="n"/>
      <c r="B9" s="24" t="n"/>
      <c r="C9" s="24" t="n"/>
      <c r="D9" s="24" t="n"/>
      <c r="E9" s="24" t="n"/>
      <c r="F9" s="24" t="n"/>
      <c r="G9" s="24" t="n"/>
      <c r="H9" s="24" t="n"/>
      <c r="I9" s="24" t="n"/>
      <c r="J9" s="24" t="n"/>
      <c r="K9" s="24" t="n"/>
      <c r="L9" s="24">
        <f>IF(COUNTA(A9:K9,M9:O9)=0,"",IF(A9="","Evidence ID missing",IF(COUNTIF($A$4:$A$353,A9)&gt;1,"Duplicate Evidence ID",IF(B9="","AIR-ID missing",IF(COUNTIF('AI Register'!$A$4:$A$206,B9)=0,"AIR-ID not in AI Register",IF(OR(C9="",H9=""),"Artefact or location missing",IF(AND(M9&lt;&gt;"",NOT(ISNUMBER(M9))),"Completed / last reviewed is not a date",IF(AND(N9&lt;&gt;"",NOT(ISNUMBER(N9))),"Review due is not a date",IF(AND(ISNUMBER(N9),N9&lt;TODAY()),"Review date passed: re-review before citing by reference (Playbook §4.6)",IF(AND(G9="Accepted",ISNUMBER(M9),EDATE(M9,12)&lt;TODAY(),O9=""),"Over 12 months old: owner's still-holds review needed before citing by reference","Check against source"))))))))))</f>
        <v/>
      </c>
      <c r="M9" s="36" t="n"/>
      <c r="N9" s="36" t="n"/>
      <c r="O9" s="24" t="n"/>
    </row>
    <row r="10">
      <c r="A10" s="22" t="n"/>
      <c r="B10" s="22" t="n"/>
      <c r="C10" s="22" t="n"/>
      <c r="D10" s="22" t="n"/>
      <c r="E10" s="22" t="n"/>
      <c r="F10" s="22" t="n"/>
      <c r="G10" s="22" t="n"/>
      <c r="H10" s="22" t="n"/>
      <c r="I10" s="22" t="n"/>
      <c r="J10" s="22" t="n"/>
      <c r="K10" s="22" t="n"/>
      <c r="L10" s="22">
        <f>IF(COUNTA(A10:K10,M10:O10)=0,"",IF(A10="","Evidence ID missing",IF(COUNTIF($A$4:$A$353,A10)&gt;1,"Duplicate Evidence ID",IF(B10="","AIR-ID missing",IF(COUNTIF('AI Register'!$A$4:$A$206,B10)=0,"AIR-ID not in AI Register",IF(OR(C10="",H10=""),"Artefact or location missing",IF(AND(M10&lt;&gt;"",NOT(ISNUMBER(M10))),"Completed / last reviewed is not a date",IF(AND(N10&lt;&gt;"",NOT(ISNUMBER(N10))),"Review due is not a date",IF(AND(ISNUMBER(N10),N10&lt;TODAY()),"Review date passed: re-review before citing by reference (Playbook §4.6)",IF(AND(G10="Accepted",ISNUMBER(M10),EDATE(M10,12)&lt;TODAY(),O10=""),"Over 12 months old: owner's still-holds review needed before citing by reference","Check against source"))))))))))</f>
        <v/>
      </c>
      <c r="M10" s="35" t="n"/>
      <c r="N10" s="35" t="n"/>
      <c r="O10" s="22" t="n"/>
    </row>
    <row r="11">
      <c r="A11" s="24" t="n"/>
      <c r="B11" s="24" t="n"/>
      <c r="C11" s="24" t="n"/>
      <c r="D11" s="24" t="n"/>
      <c r="E11" s="24" t="n"/>
      <c r="F11" s="24" t="n"/>
      <c r="G11" s="24" t="n"/>
      <c r="H11" s="24" t="n"/>
      <c r="I11" s="24" t="n"/>
      <c r="J11" s="24" t="n"/>
      <c r="K11" s="24" t="n"/>
      <c r="L11" s="24">
        <f>IF(COUNTA(A11:K11,M11:O11)=0,"",IF(A11="","Evidence ID missing",IF(COUNTIF($A$4:$A$353,A11)&gt;1,"Duplicate Evidence ID",IF(B11="","AIR-ID missing",IF(COUNTIF('AI Register'!$A$4:$A$206,B11)=0,"AIR-ID not in AI Register",IF(OR(C11="",H11=""),"Artefact or location missing",IF(AND(M11&lt;&gt;"",NOT(ISNUMBER(M11))),"Completed / last reviewed is not a date",IF(AND(N11&lt;&gt;"",NOT(ISNUMBER(N11))),"Review due is not a date",IF(AND(ISNUMBER(N11),N11&lt;TODAY()),"Review date passed: re-review before citing by reference (Playbook §4.6)",IF(AND(G11="Accepted",ISNUMBER(M11),EDATE(M11,12)&lt;TODAY(),O11=""),"Over 12 months old: owner's still-holds review needed before citing by reference","Check against source"))))))))))</f>
        <v/>
      </c>
      <c r="M11" s="36" t="n"/>
      <c r="N11" s="36" t="n"/>
      <c r="O11" s="24" t="n"/>
    </row>
    <row r="12">
      <c r="A12" s="22" t="n"/>
      <c r="B12" s="22" t="n"/>
      <c r="C12" s="22" t="n"/>
      <c r="D12" s="22" t="n"/>
      <c r="E12" s="22" t="n"/>
      <c r="F12" s="22" t="n"/>
      <c r="G12" s="22" t="n"/>
      <c r="H12" s="22" t="n"/>
      <c r="I12" s="22" t="n"/>
      <c r="J12" s="22" t="n"/>
      <c r="K12" s="22" t="n"/>
      <c r="L12" s="22">
        <f>IF(COUNTA(A12:K12,M12:O12)=0,"",IF(A12="","Evidence ID missing",IF(COUNTIF($A$4:$A$353,A12)&gt;1,"Duplicate Evidence ID",IF(B12="","AIR-ID missing",IF(COUNTIF('AI Register'!$A$4:$A$206,B12)=0,"AIR-ID not in AI Register",IF(OR(C12="",H12=""),"Artefact or location missing",IF(AND(M12&lt;&gt;"",NOT(ISNUMBER(M12))),"Completed / last reviewed is not a date",IF(AND(N12&lt;&gt;"",NOT(ISNUMBER(N12))),"Review due is not a date",IF(AND(ISNUMBER(N12),N12&lt;TODAY()),"Review date passed: re-review before citing by reference (Playbook §4.6)",IF(AND(G12="Accepted",ISNUMBER(M12),EDATE(M12,12)&lt;TODAY(),O12=""),"Over 12 months old: owner's still-holds review needed before citing by reference","Check against source"))))))))))</f>
        <v/>
      </c>
      <c r="M12" s="35" t="n"/>
      <c r="N12" s="35" t="n"/>
      <c r="O12" s="22" t="n"/>
    </row>
    <row r="13">
      <c r="A13" s="24" t="n"/>
      <c r="B13" s="24" t="n"/>
      <c r="C13" s="24" t="n"/>
      <c r="D13" s="24" t="n"/>
      <c r="E13" s="24" t="n"/>
      <c r="F13" s="24" t="n"/>
      <c r="G13" s="24" t="n"/>
      <c r="H13" s="24" t="n"/>
      <c r="I13" s="24" t="n"/>
      <c r="J13" s="24" t="n"/>
      <c r="K13" s="24" t="n"/>
      <c r="L13" s="24">
        <f>IF(COUNTA(A13:K13,M13:O13)=0,"",IF(A13="","Evidence ID missing",IF(COUNTIF($A$4:$A$353,A13)&gt;1,"Duplicate Evidence ID",IF(B13="","AIR-ID missing",IF(COUNTIF('AI Register'!$A$4:$A$206,B13)=0,"AIR-ID not in AI Register",IF(OR(C13="",H13=""),"Artefact or location missing",IF(AND(M13&lt;&gt;"",NOT(ISNUMBER(M13))),"Completed / last reviewed is not a date",IF(AND(N13&lt;&gt;"",NOT(ISNUMBER(N13))),"Review due is not a date",IF(AND(ISNUMBER(N13),N13&lt;TODAY()),"Review date passed: re-review before citing by reference (Playbook §4.6)",IF(AND(G13="Accepted",ISNUMBER(M13),EDATE(M13,12)&lt;TODAY(),O13=""),"Over 12 months old: owner's still-holds review needed before citing by reference","Check against source"))))))))))</f>
        <v/>
      </c>
      <c r="M13" s="36" t="n"/>
      <c r="N13" s="36" t="n"/>
      <c r="O13" s="24" t="n"/>
    </row>
    <row r="14">
      <c r="A14" s="22" t="n"/>
      <c r="B14" s="22" t="n"/>
      <c r="C14" s="22" t="n"/>
      <c r="D14" s="22" t="n"/>
      <c r="E14" s="22" t="n"/>
      <c r="F14" s="22" t="n"/>
      <c r="G14" s="22" t="n"/>
      <c r="H14" s="22" t="n"/>
      <c r="I14" s="22" t="n"/>
      <c r="J14" s="22" t="n"/>
      <c r="K14" s="22" t="n"/>
      <c r="L14" s="22">
        <f>IF(COUNTA(A14:K14,M14:O14)=0,"",IF(A14="","Evidence ID missing",IF(COUNTIF($A$4:$A$353,A14)&gt;1,"Duplicate Evidence ID",IF(B14="","AIR-ID missing",IF(COUNTIF('AI Register'!$A$4:$A$206,B14)=0,"AIR-ID not in AI Register",IF(OR(C14="",H14=""),"Artefact or location missing",IF(AND(M14&lt;&gt;"",NOT(ISNUMBER(M14))),"Completed / last reviewed is not a date",IF(AND(N14&lt;&gt;"",NOT(ISNUMBER(N14))),"Review due is not a date",IF(AND(ISNUMBER(N14),N14&lt;TODAY()),"Review date passed: re-review before citing by reference (Playbook §4.6)",IF(AND(G14="Accepted",ISNUMBER(M14),EDATE(M14,12)&lt;TODAY(),O14=""),"Over 12 months old: owner's still-holds review needed before citing by reference","Check against source"))))))))))</f>
        <v/>
      </c>
      <c r="M14" s="35" t="n"/>
      <c r="N14" s="35" t="n"/>
      <c r="O14" s="22" t="n"/>
    </row>
    <row r="15">
      <c r="A15" s="24" t="n"/>
      <c r="B15" s="24" t="n"/>
      <c r="C15" s="24" t="n"/>
      <c r="D15" s="24" t="n"/>
      <c r="E15" s="24" t="n"/>
      <c r="F15" s="24" t="n"/>
      <c r="G15" s="24" t="n"/>
      <c r="H15" s="24" t="n"/>
      <c r="I15" s="24" t="n"/>
      <c r="J15" s="24" t="n"/>
      <c r="K15" s="24" t="n"/>
      <c r="L15" s="24">
        <f>IF(COUNTA(A15:K15,M15:O15)=0,"",IF(A15="","Evidence ID missing",IF(COUNTIF($A$4:$A$353,A15)&gt;1,"Duplicate Evidence ID",IF(B15="","AIR-ID missing",IF(COUNTIF('AI Register'!$A$4:$A$206,B15)=0,"AIR-ID not in AI Register",IF(OR(C15="",H15=""),"Artefact or location missing",IF(AND(M15&lt;&gt;"",NOT(ISNUMBER(M15))),"Completed / last reviewed is not a date",IF(AND(N15&lt;&gt;"",NOT(ISNUMBER(N15))),"Review due is not a date",IF(AND(ISNUMBER(N15),N15&lt;TODAY()),"Review date passed: re-review before citing by reference (Playbook §4.6)",IF(AND(G15="Accepted",ISNUMBER(M15),EDATE(M15,12)&lt;TODAY(),O15=""),"Over 12 months old: owner's still-holds review needed before citing by reference","Check against source"))))))))))</f>
        <v/>
      </c>
      <c r="M15" s="36" t="n"/>
      <c r="N15" s="36" t="n"/>
      <c r="O15" s="24" t="n"/>
    </row>
    <row r="16">
      <c r="A16" s="22" t="n"/>
      <c r="B16" s="22" t="n"/>
      <c r="C16" s="22" t="n"/>
      <c r="D16" s="22" t="n"/>
      <c r="E16" s="22" t="n"/>
      <c r="F16" s="22" t="n"/>
      <c r="G16" s="22" t="n"/>
      <c r="H16" s="22" t="n"/>
      <c r="I16" s="22" t="n"/>
      <c r="J16" s="22" t="n"/>
      <c r="K16" s="22" t="n"/>
      <c r="L16" s="22">
        <f>IF(COUNTA(A16:K16,M16:O16)=0,"",IF(A16="","Evidence ID missing",IF(COUNTIF($A$4:$A$353,A16)&gt;1,"Duplicate Evidence ID",IF(B16="","AIR-ID missing",IF(COUNTIF('AI Register'!$A$4:$A$206,B16)=0,"AIR-ID not in AI Register",IF(OR(C16="",H16=""),"Artefact or location missing",IF(AND(M16&lt;&gt;"",NOT(ISNUMBER(M16))),"Completed / last reviewed is not a date",IF(AND(N16&lt;&gt;"",NOT(ISNUMBER(N16))),"Review due is not a date",IF(AND(ISNUMBER(N16),N16&lt;TODAY()),"Review date passed: re-review before citing by reference (Playbook §4.6)",IF(AND(G16="Accepted",ISNUMBER(M16),EDATE(M16,12)&lt;TODAY(),O16=""),"Over 12 months old: owner's still-holds review needed before citing by reference","Check against source"))))))))))</f>
        <v/>
      </c>
      <c r="M16" s="35" t="n"/>
      <c r="N16" s="35" t="n"/>
      <c r="O16" s="22" t="n"/>
    </row>
    <row r="17">
      <c r="A17" s="24" t="n"/>
      <c r="B17" s="24" t="n"/>
      <c r="C17" s="24" t="n"/>
      <c r="D17" s="24" t="n"/>
      <c r="E17" s="24" t="n"/>
      <c r="F17" s="24" t="n"/>
      <c r="G17" s="24" t="n"/>
      <c r="H17" s="24" t="n"/>
      <c r="I17" s="24" t="n"/>
      <c r="J17" s="24" t="n"/>
      <c r="K17" s="24" t="n"/>
      <c r="L17" s="24">
        <f>IF(COUNTA(A17:K17,M17:O17)=0,"",IF(A17="","Evidence ID missing",IF(COUNTIF($A$4:$A$353,A17)&gt;1,"Duplicate Evidence ID",IF(B17="","AIR-ID missing",IF(COUNTIF('AI Register'!$A$4:$A$206,B17)=0,"AIR-ID not in AI Register",IF(OR(C17="",H17=""),"Artefact or location missing",IF(AND(M17&lt;&gt;"",NOT(ISNUMBER(M17))),"Completed / last reviewed is not a date",IF(AND(N17&lt;&gt;"",NOT(ISNUMBER(N17))),"Review due is not a date",IF(AND(ISNUMBER(N17),N17&lt;TODAY()),"Review date passed: re-review before citing by reference (Playbook §4.6)",IF(AND(G17="Accepted",ISNUMBER(M17),EDATE(M17,12)&lt;TODAY(),O17=""),"Over 12 months old: owner's still-holds review needed before citing by reference","Check against source"))))))))))</f>
        <v/>
      </c>
      <c r="M17" s="36" t="n"/>
      <c r="N17" s="36" t="n"/>
      <c r="O17" s="24" t="n"/>
    </row>
    <row r="18">
      <c r="A18" s="22" t="n"/>
      <c r="B18" s="22" t="n"/>
      <c r="C18" s="22" t="n"/>
      <c r="D18" s="22" t="n"/>
      <c r="E18" s="22" t="n"/>
      <c r="F18" s="22" t="n"/>
      <c r="G18" s="22" t="n"/>
      <c r="H18" s="22" t="n"/>
      <c r="I18" s="22" t="n"/>
      <c r="J18" s="22" t="n"/>
      <c r="K18" s="22" t="n"/>
      <c r="L18" s="22">
        <f>IF(COUNTA(A18:K18,M18:O18)=0,"",IF(A18="","Evidence ID missing",IF(COUNTIF($A$4:$A$353,A18)&gt;1,"Duplicate Evidence ID",IF(B18="","AIR-ID missing",IF(COUNTIF('AI Register'!$A$4:$A$206,B18)=0,"AIR-ID not in AI Register",IF(OR(C18="",H18=""),"Artefact or location missing",IF(AND(M18&lt;&gt;"",NOT(ISNUMBER(M18))),"Completed / last reviewed is not a date",IF(AND(N18&lt;&gt;"",NOT(ISNUMBER(N18))),"Review due is not a date",IF(AND(ISNUMBER(N18),N18&lt;TODAY()),"Review date passed: re-review before citing by reference (Playbook §4.6)",IF(AND(G18="Accepted",ISNUMBER(M18),EDATE(M18,12)&lt;TODAY(),O18=""),"Over 12 months old: owner's still-holds review needed before citing by reference","Check against source"))))))))))</f>
        <v/>
      </c>
      <c r="M18" s="35" t="n"/>
      <c r="N18" s="35" t="n"/>
      <c r="O18" s="22" t="n"/>
    </row>
    <row r="19">
      <c r="A19" s="24" t="n"/>
      <c r="B19" s="24" t="n"/>
      <c r="C19" s="24" t="n"/>
      <c r="D19" s="24" t="n"/>
      <c r="E19" s="24" t="n"/>
      <c r="F19" s="24" t="n"/>
      <c r="G19" s="24" t="n"/>
      <c r="H19" s="24" t="n"/>
      <c r="I19" s="24" t="n"/>
      <c r="J19" s="24" t="n"/>
      <c r="K19" s="24" t="n"/>
      <c r="L19" s="24">
        <f>IF(COUNTA(A19:K19,M19:O19)=0,"",IF(A19="","Evidence ID missing",IF(COUNTIF($A$4:$A$353,A19)&gt;1,"Duplicate Evidence ID",IF(B19="","AIR-ID missing",IF(COUNTIF('AI Register'!$A$4:$A$206,B19)=0,"AIR-ID not in AI Register",IF(OR(C19="",H19=""),"Artefact or location missing",IF(AND(M19&lt;&gt;"",NOT(ISNUMBER(M19))),"Completed / last reviewed is not a date",IF(AND(N19&lt;&gt;"",NOT(ISNUMBER(N19))),"Review due is not a date",IF(AND(ISNUMBER(N19),N19&lt;TODAY()),"Review date passed: re-review before citing by reference (Playbook §4.6)",IF(AND(G19="Accepted",ISNUMBER(M19),EDATE(M19,12)&lt;TODAY(),O19=""),"Over 12 months old: owner's still-holds review needed before citing by reference","Check against source"))))))))))</f>
        <v/>
      </c>
      <c r="M19" s="36" t="n"/>
      <c r="N19" s="36" t="n"/>
      <c r="O19" s="24" t="n"/>
    </row>
    <row r="20">
      <c r="A20" s="22" t="n"/>
      <c r="B20" s="22" t="n"/>
      <c r="C20" s="22" t="n"/>
      <c r="D20" s="22" t="n"/>
      <c r="E20" s="22" t="n"/>
      <c r="F20" s="22" t="n"/>
      <c r="G20" s="22" t="n"/>
      <c r="H20" s="22" t="n"/>
      <c r="I20" s="22" t="n"/>
      <c r="J20" s="22" t="n"/>
      <c r="K20" s="22" t="n"/>
      <c r="L20" s="22">
        <f>IF(COUNTA(A20:K20,M20:O20)=0,"",IF(A20="","Evidence ID missing",IF(COUNTIF($A$4:$A$353,A20)&gt;1,"Duplicate Evidence ID",IF(B20="","AIR-ID missing",IF(COUNTIF('AI Register'!$A$4:$A$206,B20)=0,"AIR-ID not in AI Register",IF(OR(C20="",H20=""),"Artefact or location missing",IF(AND(M20&lt;&gt;"",NOT(ISNUMBER(M20))),"Completed / last reviewed is not a date",IF(AND(N20&lt;&gt;"",NOT(ISNUMBER(N20))),"Review due is not a date",IF(AND(ISNUMBER(N20),N20&lt;TODAY()),"Review date passed: re-review before citing by reference (Playbook §4.6)",IF(AND(G20="Accepted",ISNUMBER(M20),EDATE(M20,12)&lt;TODAY(),O20=""),"Over 12 months old: owner's still-holds review needed before citing by reference","Check against source"))))))))))</f>
        <v/>
      </c>
      <c r="M20" s="35" t="n"/>
      <c r="N20" s="35" t="n"/>
      <c r="O20" s="22" t="n"/>
    </row>
    <row r="21">
      <c r="A21" s="24" t="n"/>
      <c r="B21" s="24" t="n"/>
      <c r="C21" s="24" t="n"/>
      <c r="D21" s="24" t="n"/>
      <c r="E21" s="24" t="n"/>
      <c r="F21" s="24" t="n"/>
      <c r="G21" s="24" t="n"/>
      <c r="H21" s="24" t="n"/>
      <c r="I21" s="24" t="n"/>
      <c r="J21" s="24" t="n"/>
      <c r="K21" s="24" t="n"/>
      <c r="L21" s="24">
        <f>IF(COUNTA(A21:K21,M21:O21)=0,"",IF(A21="","Evidence ID missing",IF(COUNTIF($A$4:$A$353,A21)&gt;1,"Duplicate Evidence ID",IF(B21="","AIR-ID missing",IF(COUNTIF('AI Register'!$A$4:$A$206,B21)=0,"AIR-ID not in AI Register",IF(OR(C21="",H21=""),"Artefact or location missing",IF(AND(M21&lt;&gt;"",NOT(ISNUMBER(M21))),"Completed / last reviewed is not a date",IF(AND(N21&lt;&gt;"",NOT(ISNUMBER(N21))),"Review due is not a date",IF(AND(ISNUMBER(N21),N21&lt;TODAY()),"Review date passed: re-review before citing by reference (Playbook §4.6)",IF(AND(G21="Accepted",ISNUMBER(M21),EDATE(M21,12)&lt;TODAY(),O21=""),"Over 12 months old: owner's still-holds review needed before citing by reference","Check against source"))))))))))</f>
        <v/>
      </c>
      <c r="M21" s="36" t="n"/>
      <c r="N21" s="36" t="n"/>
      <c r="O21" s="24" t="n"/>
    </row>
    <row r="22">
      <c r="A22" s="22" t="n"/>
      <c r="B22" s="22" t="n"/>
      <c r="C22" s="22" t="n"/>
      <c r="D22" s="22" t="n"/>
      <c r="E22" s="22" t="n"/>
      <c r="F22" s="22" t="n"/>
      <c r="G22" s="22" t="n"/>
      <c r="H22" s="22" t="n"/>
      <c r="I22" s="22" t="n"/>
      <c r="J22" s="22" t="n"/>
      <c r="K22" s="22" t="n"/>
      <c r="L22" s="22">
        <f>IF(COUNTA(A22:K22,M22:O22)=0,"",IF(A22="","Evidence ID missing",IF(COUNTIF($A$4:$A$353,A22)&gt;1,"Duplicate Evidence ID",IF(B22="","AIR-ID missing",IF(COUNTIF('AI Register'!$A$4:$A$206,B22)=0,"AIR-ID not in AI Register",IF(OR(C22="",H22=""),"Artefact or location missing",IF(AND(M22&lt;&gt;"",NOT(ISNUMBER(M22))),"Completed / last reviewed is not a date",IF(AND(N22&lt;&gt;"",NOT(ISNUMBER(N22))),"Review due is not a date",IF(AND(ISNUMBER(N22),N22&lt;TODAY()),"Review date passed: re-review before citing by reference (Playbook §4.6)",IF(AND(G22="Accepted",ISNUMBER(M22),EDATE(M22,12)&lt;TODAY(),O22=""),"Over 12 months old: owner's still-holds review needed before citing by reference","Check against source"))))))))))</f>
        <v/>
      </c>
      <c r="M22" s="35" t="n"/>
      <c r="N22" s="35" t="n"/>
      <c r="O22" s="22" t="n"/>
    </row>
    <row r="23">
      <c r="A23" s="24" t="n"/>
      <c r="B23" s="24" t="n"/>
      <c r="C23" s="24" t="n"/>
      <c r="D23" s="24" t="n"/>
      <c r="E23" s="24" t="n"/>
      <c r="F23" s="24" t="n"/>
      <c r="G23" s="24" t="n"/>
      <c r="H23" s="24" t="n"/>
      <c r="I23" s="24" t="n"/>
      <c r="J23" s="24" t="n"/>
      <c r="K23" s="24" t="n"/>
      <c r="L23" s="24">
        <f>IF(COUNTA(A23:K23,M23:O23)=0,"",IF(A23="","Evidence ID missing",IF(COUNTIF($A$4:$A$353,A23)&gt;1,"Duplicate Evidence ID",IF(B23="","AIR-ID missing",IF(COUNTIF('AI Register'!$A$4:$A$206,B23)=0,"AIR-ID not in AI Register",IF(OR(C23="",H23=""),"Artefact or location missing",IF(AND(M23&lt;&gt;"",NOT(ISNUMBER(M23))),"Completed / last reviewed is not a date",IF(AND(N23&lt;&gt;"",NOT(ISNUMBER(N23))),"Review due is not a date",IF(AND(ISNUMBER(N23),N23&lt;TODAY()),"Review date passed: re-review before citing by reference (Playbook §4.6)",IF(AND(G23="Accepted",ISNUMBER(M23),EDATE(M23,12)&lt;TODAY(),O23=""),"Over 12 months old: owner's still-holds review needed before citing by reference","Check against source"))))))))))</f>
        <v/>
      </c>
      <c r="M23" s="36" t="n"/>
      <c r="N23" s="36" t="n"/>
      <c r="O23" s="24" t="n"/>
    </row>
    <row r="24">
      <c r="A24" s="22" t="n"/>
      <c r="B24" s="22" t="n"/>
      <c r="C24" s="22" t="n"/>
      <c r="D24" s="22" t="n"/>
      <c r="E24" s="22" t="n"/>
      <c r="F24" s="22" t="n"/>
      <c r="G24" s="22" t="n"/>
      <c r="H24" s="22" t="n"/>
      <c r="I24" s="22" t="n"/>
      <c r="J24" s="22" t="n"/>
      <c r="K24" s="22" t="n"/>
      <c r="L24" s="22">
        <f>IF(COUNTA(A24:K24,M24:O24)=0,"",IF(A24="","Evidence ID missing",IF(COUNTIF($A$4:$A$353,A24)&gt;1,"Duplicate Evidence ID",IF(B24="","AIR-ID missing",IF(COUNTIF('AI Register'!$A$4:$A$206,B24)=0,"AIR-ID not in AI Register",IF(OR(C24="",H24=""),"Artefact or location missing",IF(AND(M24&lt;&gt;"",NOT(ISNUMBER(M24))),"Completed / last reviewed is not a date",IF(AND(N24&lt;&gt;"",NOT(ISNUMBER(N24))),"Review due is not a date",IF(AND(ISNUMBER(N24),N24&lt;TODAY()),"Review date passed: re-review before citing by reference (Playbook §4.6)",IF(AND(G24="Accepted",ISNUMBER(M24),EDATE(M24,12)&lt;TODAY(),O24=""),"Over 12 months old: owner's still-holds review needed before citing by reference","Check against source"))))))))))</f>
        <v/>
      </c>
      <c r="M24" s="35" t="n"/>
      <c r="N24" s="35" t="n"/>
      <c r="O24" s="22" t="n"/>
    </row>
    <row r="25">
      <c r="A25" s="24" t="n"/>
      <c r="B25" s="24" t="n"/>
      <c r="C25" s="24" t="n"/>
      <c r="D25" s="24" t="n"/>
      <c r="E25" s="24" t="n"/>
      <c r="F25" s="24" t="n"/>
      <c r="G25" s="24" t="n"/>
      <c r="H25" s="24" t="n"/>
      <c r="I25" s="24" t="n"/>
      <c r="J25" s="24" t="n"/>
      <c r="K25" s="24" t="n"/>
      <c r="L25" s="24">
        <f>IF(COUNTA(A25:K25,M25:O25)=0,"",IF(A25="","Evidence ID missing",IF(COUNTIF($A$4:$A$353,A25)&gt;1,"Duplicate Evidence ID",IF(B25="","AIR-ID missing",IF(COUNTIF('AI Register'!$A$4:$A$206,B25)=0,"AIR-ID not in AI Register",IF(OR(C25="",H25=""),"Artefact or location missing",IF(AND(M25&lt;&gt;"",NOT(ISNUMBER(M25))),"Completed / last reviewed is not a date",IF(AND(N25&lt;&gt;"",NOT(ISNUMBER(N25))),"Review due is not a date",IF(AND(ISNUMBER(N25),N25&lt;TODAY()),"Review date passed: re-review before citing by reference (Playbook §4.6)",IF(AND(G25="Accepted",ISNUMBER(M25),EDATE(M25,12)&lt;TODAY(),O25=""),"Over 12 months old: owner's still-holds review needed before citing by reference","Check against source"))))))))))</f>
        <v/>
      </c>
      <c r="M25" s="36" t="n"/>
      <c r="N25" s="36" t="n"/>
      <c r="O25" s="24" t="n"/>
    </row>
    <row r="26">
      <c r="A26" s="22" t="n"/>
      <c r="B26" s="22" t="n"/>
      <c r="C26" s="22" t="n"/>
      <c r="D26" s="22" t="n"/>
      <c r="E26" s="22" t="n"/>
      <c r="F26" s="22" t="n"/>
      <c r="G26" s="22" t="n"/>
      <c r="H26" s="22" t="n"/>
      <c r="I26" s="22" t="n"/>
      <c r="J26" s="22" t="n"/>
      <c r="K26" s="22" t="n"/>
      <c r="L26" s="22">
        <f>IF(COUNTA(A26:K26,M26:O26)=0,"",IF(A26="","Evidence ID missing",IF(COUNTIF($A$4:$A$353,A26)&gt;1,"Duplicate Evidence ID",IF(B26="","AIR-ID missing",IF(COUNTIF('AI Register'!$A$4:$A$206,B26)=0,"AIR-ID not in AI Register",IF(OR(C26="",H26=""),"Artefact or location missing",IF(AND(M26&lt;&gt;"",NOT(ISNUMBER(M26))),"Completed / last reviewed is not a date",IF(AND(N26&lt;&gt;"",NOT(ISNUMBER(N26))),"Review due is not a date",IF(AND(ISNUMBER(N26),N26&lt;TODAY()),"Review date passed: re-review before citing by reference (Playbook §4.6)",IF(AND(G26="Accepted",ISNUMBER(M26),EDATE(M26,12)&lt;TODAY(),O26=""),"Over 12 months old: owner's still-holds review needed before citing by reference","Check against source"))))))))))</f>
        <v/>
      </c>
      <c r="M26" s="35" t="n"/>
      <c r="N26" s="35" t="n"/>
      <c r="O26" s="22" t="n"/>
    </row>
    <row r="27">
      <c r="A27" s="24" t="n"/>
      <c r="B27" s="24" t="n"/>
      <c r="C27" s="24" t="n"/>
      <c r="D27" s="24" t="n"/>
      <c r="E27" s="24" t="n"/>
      <c r="F27" s="24" t="n"/>
      <c r="G27" s="24" t="n"/>
      <c r="H27" s="24" t="n"/>
      <c r="I27" s="24" t="n"/>
      <c r="J27" s="24" t="n"/>
      <c r="K27" s="24" t="n"/>
      <c r="L27" s="24">
        <f>IF(COUNTA(A27:K27,M27:O27)=0,"",IF(A27="","Evidence ID missing",IF(COUNTIF($A$4:$A$353,A27)&gt;1,"Duplicate Evidence ID",IF(B27="","AIR-ID missing",IF(COUNTIF('AI Register'!$A$4:$A$206,B27)=0,"AIR-ID not in AI Register",IF(OR(C27="",H27=""),"Artefact or location missing",IF(AND(M27&lt;&gt;"",NOT(ISNUMBER(M27))),"Completed / last reviewed is not a date",IF(AND(N27&lt;&gt;"",NOT(ISNUMBER(N27))),"Review due is not a date",IF(AND(ISNUMBER(N27),N27&lt;TODAY()),"Review date passed: re-review before citing by reference (Playbook §4.6)",IF(AND(G27="Accepted",ISNUMBER(M27),EDATE(M27,12)&lt;TODAY(),O27=""),"Over 12 months old: owner's still-holds review needed before citing by reference","Check against source"))))))))))</f>
        <v/>
      </c>
      <c r="M27" s="36" t="n"/>
      <c r="N27" s="36" t="n"/>
      <c r="O27" s="24" t="n"/>
    </row>
    <row r="28">
      <c r="A28" s="22" t="n"/>
      <c r="B28" s="22" t="n"/>
      <c r="C28" s="22" t="n"/>
      <c r="D28" s="22" t="n"/>
      <c r="E28" s="22" t="n"/>
      <c r="F28" s="22" t="n"/>
      <c r="G28" s="22" t="n"/>
      <c r="H28" s="22" t="n"/>
      <c r="I28" s="22" t="n"/>
      <c r="J28" s="22" t="n"/>
      <c r="K28" s="22" t="n"/>
      <c r="L28" s="22">
        <f>IF(COUNTA(A28:K28,M28:O28)=0,"",IF(A28="","Evidence ID missing",IF(COUNTIF($A$4:$A$353,A28)&gt;1,"Duplicate Evidence ID",IF(B28="","AIR-ID missing",IF(COUNTIF('AI Register'!$A$4:$A$206,B28)=0,"AIR-ID not in AI Register",IF(OR(C28="",H28=""),"Artefact or location missing",IF(AND(M28&lt;&gt;"",NOT(ISNUMBER(M28))),"Completed / last reviewed is not a date",IF(AND(N28&lt;&gt;"",NOT(ISNUMBER(N28))),"Review due is not a date",IF(AND(ISNUMBER(N28),N28&lt;TODAY()),"Review date passed: re-review before citing by reference (Playbook §4.6)",IF(AND(G28="Accepted",ISNUMBER(M28),EDATE(M28,12)&lt;TODAY(),O28=""),"Over 12 months old: owner's still-holds review needed before citing by reference","Check against source"))))))))))</f>
        <v/>
      </c>
      <c r="M28" s="35" t="n"/>
      <c r="N28" s="35" t="n"/>
      <c r="O28" s="22" t="n"/>
    </row>
    <row r="29">
      <c r="A29" s="24" t="n"/>
      <c r="B29" s="24" t="n"/>
      <c r="C29" s="24" t="n"/>
      <c r="D29" s="24" t="n"/>
      <c r="E29" s="24" t="n"/>
      <c r="F29" s="24" t="n"/>
      <c r="G29" s="24" t="n"/>
      <c r="H29" s="24" t="n"/>
      <c r="I29" s="24" t="n"/>
      <c r="J29" s="24" t="n"/>
      <c r="K29" s="24" t="n"/>
      <c r="L29" s="24">
        <f>IF(COUNTA(A29:K29,M29:O29)=0,"",IF(A29="","Evidence ID missing",IF(COUNTIF($A$4:$A$353,A29)&gt;1,"Duplicate Evidence ID",IF(B29="","AIR-ID missing",IF(COUNTIF('AI Register'!$A$4:$A$206,B29)=0,"AIR-ID not in AI Register",IF(OR(C29="",H29=""),"Artefact or location missing",IF(AND(M29&lt;&gt;"",NOT(ISNUMBER(M29))),"Completed / last reviewed is not a date",IF(AND(N29&lt;&gt;"",NOT(ISNUMBER(N29))),"Review due is not a date",IF(AND(ISNUMBER(N29),N29&lt;TODAY()),"Review date passed: re-review before citing by reference (Playbook §4.6)",IF(AND(G29="Accepted",ISNUMBER(M29),EDATE(M29,12)&lt;TODAY(),O29=""),"Over 12 months old: owner's still-holds review needed before citing by reference","Check against source"))))))))))</f>
        <v/>
      </c>
      <c r="M29" s="36" t="n"/>
      <c r="N29" s="36" t="n"/>
      <c r="O29" s="24" t="n"/>
    </row>
    <row r="30">
      <c r="A30" s="22" t="n"/>
      <c r="B30" s="22" t="n"/>
      <c r="C30" s="22" t="n"/>
      <c r="D30" s="22" t="n"/>
      <c r="E30" s="22" t="n"/>
      <c r="F30" s="22" t="n"/>
      <c r="G30" s="22" t="n"/>
      <c r="H30" s="22" t="n"/>
      <c r="I30" s="22" t="n"/>
      <c r="J30" s="22" t="n"/>
      <c r="K30" s="22" t="n"/>
      <c r="L30" s="22">
        <f>IF(COUNTA(A30:K30,M30:O30)=0,"",IF(A30="","Evidence ID missing",IF(COUNTIF($A$4:$A$353,A30)&gt;1,"Duplicate Evidence ID",IF(B30="","AIR-ID missing",IF(COUNTIF('AI Register'!$A$4:$A$206,B30)=0,"AIR-ID not in AI Register",IF(OR(C30="",H30=""),"Artefact or location missing",IF(AND(M30&lt;&gt;"",NOT(ISNUMBER(M30))),"Completed / last reviewed is not a date",IF(AND(N30&lt;&gt;"",NOT(ISNUMBER(N30))),"Review due is not a date",IF(AND(ISNUMBER(N30),N30&lt;TODAY()),"Review date passed: re-review before citing by reference (Playbook §4.6)",IF(AND(G30="Accepted",ISNUMBER(M30),EDATE(M30,12)&lt;TODAY(),O30=""),"Over 12 months old: owner's still-holds review needed before citing by reference","Check against source"))))))))))</f>
        <v/>
      </c>
      <c r="M30" s="35" t="n"/>
      <c r="N30" s="35" t="n"/>
      <c r="O30" s="22" t="n"/>
    </row>
    <row r="31">
      <c r="A31" s="24" t="n"/>
      <c r="B31" s="24" t="n"/>
      <c r="C31" s="24" t="n"/>
      <c r="D31" s="24" t="n"/>
      <c r="E31" s="24" t="n"/>
      <c r="F31" s="24" t="n"/>
      <c r="G31" s="24" t="n"/>
      <c r="H31" s="24" t="n"/>
      <c r="I31" s="24" t="n"/>
      <c r="J31" s="24" t="n"/>
      <c r="K31" s="24" t="n"/>
      <c r="L31" s="24">
        <f>IF(COUNTA(A31:K31,M31:O31)=0,"",IF(A31="","Evidence ID missing",IF(COUNTIF($A$4:$A$353,A31)&gt;1,"Duplicate Evidence ID",IF(B31="","AIR-ID missing",IF(COUNTIF('AI Register'!$A$4:$A$206,B31)=0,"AIR-ID not in AI Register",IF(OR(C31="",H31=""),"Artefact or location missing",IF(AND(M31&lt;&gt;"",NOT(ISNUMBER(M31))),"Completed / last reviewed is not a date",IF(AND(N31&lt;&gt;"",NOT(ISNUMBER(N31))),"Review due is not a date",IF(AND(ISNUMBER(N31),N31&lt;TODAY()),"Review date passed: re-review before citing by reference (Playbook §4.6)",IF(AND(G31="Accepted",ISNUMBER(M31),EDATE(M31,12)&lt;TODAY(),O31=""),"Over 12 months old: owner's still-holds review needed before citing by reference","Check against source"))))))))))</f>
        <v/>
      </c>
      <c r="M31" s="36" t="n"/>
      <c r="N31" s="36" t="n"/>
      <c r="O31" s="24" t="n"/>
    </row>
    <row r="32">
      <c r="A32" s="22" t="n"/>
      <c r="B32" s="22" t="n"/>
      <c r="C32" s="22" t="n"/>
      <c r="D32" s="22" t="n"/>
      <c r="E32" s="22" t="n"/>
      <c r="F32" s="22" t="n"/>
      <c r="G32" s="22" t="n"/>
      <c r="H32" s="22" t="n"/>
      <c r="I32" s="22" t="n"/>
      <c r="J32" s="22" t="n"/>
      <c r="K32" s="22" t="n"/>
      <c r="L32" s="22">
        <f>IF(COUNTA(A32:K32,M32:O32)=0,"",IF(A32="","Evidence ID missing",IF(COUNTIF($A$4:$A$353,A32)&gt;1,"Duplicate Evidence ID",IF(B32="","AIR-ID missing",IF(COUNTIF('AI Register'!$A$4:$A$206,B32)=0,"AIR-ID not in AI Register",IF(OR(C32="",H32=""),"Artefact or location missing",IF(AND(M32&lt;&gt;"",NOT(ISNUMBER(M32))),"Completed / last reviewed is not a date",IF(AND(N32&lt;&gt;"",NOT(ISNUMBER(N32))),"Review due is not a date",IF(AND(ISNUMBER(N32),N32&lt;TODAY()),"Review date passed: re-review before citing by reference (Playbook §4.6)",IF(AND(G32="Accepted",ISNUMBER(M32),EDATE(M32,12)&lt;TODAY(),O32=""),"Over 12 months old: owner's still-holds review needed before citing by reference","Check against source"))))))))))</f>
        <v/>
      </c>
      <c r="M32" s="35" t="n"/>
      <c r="N32" s="35" t="n"/>
      <c r="O32" s="22" t="n"/>
    </row>
    <row r="33">
      <c r="A33" s="24" t="n"/>
      <c r="B33" s="24" t="n"/>
      <c r="C33" s="24" t="n"/>
      <c r="D33" s="24" t="n"/>
      <c r="E33" s="24" t="n"/>
      <c r="F33" s="24" t="n"/>
      <c r="G33" s="24" t="n"/>
      <c r="H33" s="24" t="n"/>
      <c r="I33" s="24" t="n"/>
      <c r="J33" s="24" t="n"/>
      <c r="K33" s="24" t="n"/>
      <c r="L33" s="24">
        <f>IF(COUNTA(A33:K33,M33:O33)=0,"",IF(A33="","Evidence ID missing",IF(COUNTIF($A$4:$A$353,A33)&gt;1,"Duplicate Evidence ID",IF(B33="","AIR-ID missing",IF(COUNTIF('AI Register'!$A$4:$A$206,B33)=0,"AIR-ID not in AI Register",IF(OR(C33="",H33=""),"Artefact or location missing",IF(AND(M33&lt;&gt;"",NOT(ISNUMBER(M33))),"Completed / last reviewed is not a date",IF(AND(N33&lt;&gt;"",NOT(ISNUMBER(N33))),"Review due is not a date",IF(AND(ISNUMBER(N33),N33&lt;TODAY()),"Review date passed: re-review before citing by reference (Playbook §4.6)",IF(AND(G33="Accepted",ISNUMBER(M33),EDATE(M33,12)&lt;TODAY(),O33=""),"Over 12 months old: owner's still-holds review needed before citing by reference","Check against source"))))))))))</f>
        <v/>
      </c>
      <c r="M33" s="36" t="n"/>
      <c r="N33" s="36" t="n"/>
      <c r="O33" s="24" t="n"/>
    </row>
    <row r="34">
      <c r="A34" s="22" t="n"/>
      <c r="B34" s="22" t="n"/>
      <c r="C34" s="22" t="n"/>
      <c r="D34" s="22" t="n"/>
      <c r="E34" s="22" t="n"/>
      <c r="F34" s="22" t="n"/>
      <c r="G34" s="22" t="n"/>
      <c r="H34" s="22" t="n"/>
      <c r="I34" s="22" t="n"/>
      <c r="J34" s="22" t="n"/>
      <c r="K34" s="22" t="n"/>
      <c r="L34" s="22">
        <f>IF(COUNTA(A34:K34,M34:O34)=0,"",IF(A34="","Evidence ID missing",IF(COUNTIF($A$4:$A$353,A34)&gt;1,"Duplicate Evidence ID",IF(B34="","AIR-ID missing",IF(COUNTIF('AI Register'!$A$4:$A$206,B34)=0,"AIR-ID not in AI Register",IF(OR(C34="",H34=""),"Artefact or location missing",IF(AND(M34&lt;&gt;"",NOT(ISNUMBER(M34))),"Completed / last reviewed is not a date",IF(AND(N34&lt;&gt;"",NOT(ISNUMBER(N34))),"Review due is not a date",IF(AND(ISNUMBER(N34),N34&lt;TODAY()),"Review date passed: re-review before citing by reference (Playbook §4.6)",IF(AND(G34="Accepted",ISNUMBER(M34),EDATE(M34,12)&lt;TODAY(),O34=""),"Over 12 months old: owner's still-holds review needed before citing by reference","Check against source"))))))))))</f>
        <v/>
      </c>
      <c r="M34" s="35" t="n"/>
      <c r="N34" s="35" t="n"/>
      <c r="O34" s="22" t="n"/>
    </row>
    <row r="35">
      <c r="A35" s="24" t="n"/>
      <c r="B35" s="24" t="n"/>
      <c r="C35" s="24" t="n"/>
      <c r="D35" s="24" t="n"/>
      <c r="E35" s="24" t="n"/>
      <c r="F35" s="24" t="n"/>
      <c r="G35" s="24" t="n"/>
      <c r="H35" s="24" t="n"/>
      <c r="I35" s="24" t="n"/>
      <c r="J35" s="24" t="n"/>
      <c r="K35" s="24" t="n"/>
      <c r="L35" s="24">
        <f>IF(COUNTA(A35:K35,M35:O35)=0,"",IF(A35="","Evidence ID missing",IF(COUNTIF($A$4:$A$353,A35)&gt;1,"Duplicate Evidence ID",IF(B35="","AIR-ID missing",IF(COUNTIF('AI Register'!$A$4:$A$206,B35)=0,"AIR-ID not in AI Register",IF(OR(C35="",H35=""),"Artefact or location missing",IF(AND(M35&lt;&gt;"",NOT(ISNUMBER(M35))),"Completed / last reviewed is not a date",IF(AND(N35&lt;&gt;"",NOT(ISNUMBER(N35))),"Review due is not a date",IF(AND(ISNUMBER(N35),N35&lt;TODAY()),"Review date passed: re-review before citing by reference (Playbook §4.6)",IF(AND(G35="Accepted",ISNUMBER(M35),EDATE(M35,12)&lt;TODAY(),O35=""),"Over 12 months old: owner's still-holds review needed before citing by reference","Check against source"))))))))))</f>
        <v/>
      </c>
      <c r="M35" s="36" t="n"/>
      <c r="N35" s="36" t="n"/>
      <c r="O35" s="24" t="n"/>
    </row>
    <row r="36">
      <c r="A36" s="22" t="n"/>
      <c r="B36" s="22" t="n"/>
      <c r="C36" s="22" t="n"/>
      <c r="D36" s="22" t="n"/>
      <c r="E36" s="22" t="n"/>
      <c r="F36" s="22" t="n"/>
      <c r="G36" s="22" t="n"/>
      <c r="H36" s="22" t="n"/>
      <c r="I36" s="22" t="n"/>
      <c r="J36" s="22" t="n"/>
      <c r="K36" s="22" t="n"/>
      <c r="L36" s="22">
        <f>IF(COUNTA(A36:K36,M36:O36)=0,"",IF(A36="","Evidence ID missing",IF(COUNTIF($A$4:$A$353,A36)&gt;1,"Duplicate Evidence ID",IF(B36="","AIR-ID missing",IF(COUNTIF('AI Register'!$A$4:$A$206,B36)=0,"AIR-ID not in AI Register",IF(OR(C36="",H36=""),"Artefact or location missing",IF(AND(M36&lt;&gt;"",NOT(ISNUMBER(M36))),"Completed / last reviewed is not a date",IF(AND(N36&lt;&gt;"",NOT(ISNUMBER(N36))),"Review due is not a date",IF(AND(ISNUMBER(N36),N36&lt;TODAY()),"Review date passed: re-review before citing by reference (Playbook §4.6)",IF(AND(G36="Accepted",ISNUMBER(M36),EDATE(M36,12)&lt;TODAY(),O36=""),"Over 12 months old: owner's still-holds review needed before citing by reference","Check against source"))))))))))</f>
        <v/>
      </c>
      <c r="M36" s="35" t="n"/>
      <c r="N36" s="35" t="n"/>
      <c r="O36" s="22" t="n"/>
    </row>
    <row r="37">
      <c r="A37" s="24" t="n"/>
      <c r="B37" s="24" t="n"/>
      <c r="C37" s="24" t="n"/>
      <c r="D37" s="24" t="n"/>
      <c r="E37" s="24" t="n"/>
      <c r="F37" s="24" t="n"/>
      <c r="G37" s="24" t="n"/>
      <c r="H37" s="24" t="n"/>
      <c r="I37" s="24" t="n"/>
      <c r="J37" s="24" t="n"/>
      <c r="K37" s="24" t="n"/>
      <c r="L37" s="24">
        <f>IF(COUNTA(A37:K37,M37:O37)=0,"",IF(A37="","Evidence ID missing",IF(COUNTIF($A$4:$A$353,A37)&gt;1,"Duplicate Evidence ID",IF(B37="","AIR-ID missing",IF(COUNTIF('AI Register'!$A$4:$A$206,B37)=0,"AIR-ID not in AI Register",IF(OR(C37="",H37=""),"Artefact or location missing",IF(AND(M37&lt;&gt;"",NOT(ISNUMBER(M37))),"Completed / last reviewed is not a date",IF(AND(N37&lt;&gt;"",NOT(ISNUMBER(N37))),"Review due is not a date",IF(AND(ISNUMBER(N37),N37&lt;TODAY()),"Review date passed: re-review before citing by reference (Playbook §4.6)",IF(AND(G37="Accepted",ISNUMBER(M37),EDATE(M37,12)&lt;TODAY(),O37=""),"Over 12 months old: owner's still-holds review needed before citing by reference","Check against source"))))))))))</f>
        <v/>
      </c>
      <c r="M37" s="36" t="n"/>
      <c r="N37" s="36" t="n"/>
      <c r="O37" s="24" t="n"/>
    </row>
    <row r="38">
      <c r="A38" s="22" t="n"/>
      <c r="B38" s="22" t="n"/>
      <c r="C38" s="22" t="n"/>
      <c r="D38" s="22" t="n"/>
      <c r="E38" s="22" t="n"/>
      <c r="F38" s="22" t="n"/>
      <c r="G38" s="22" t="n"/>
      <c r="H38" s="22" t="n"/>
      <c r="I38" s="22" t="n"/>
      <c r="J38" s="22" t="n"/>
      <c r="K38" s="22" t="n"/>
      <c r="L38" s="22">
        <f>IF(COUNTA(A38:K38,M38:O38)=0,"",IF(A38="","Evidence ID missing",IF(COUNTIF($A$4:$A$353,A38)&gt;1,"Duplicate Evidence ID",IF(B38="","AIR-ID missing",IF(COUNTIF('AI Register'!$A$4:$A$206,B38)=0,"AIR-ID not in AI Register",IF(OR(C38="",H38=""),"Artefact or location missing",IF(AND(M38&lt;&gt;"",NOT(ISNUMBER(M38))),"Completed / last reviewed is not a date",IF(AND(N38&lt;&gt;"",NOT(ISNUMBER(N38))),"Review due is not a date",IF(AND(ISNUMBER(N38),N38&lt;TODAY()),"Review date passed: re-review before citing by reference (Playbook §4.6)",IF(AND(G38="Accepted",ISNUMBER(M38),EDATE(M38,12)&lt;TODAY(),O38=""),"Over 12 months old: owner's still-holds review needed before citing by reference","Check against source"))))))))))</f>
        <v/>
      </c>
      <c r="M38" s="35" t="n"/>
      <c r="N38" s="35" t="n"/>
      <c r="O38" s="22" t="n"/>
    </row>
    <row r="39">
      <c r="A39" s="24" t="n"/>
      <c r="B39" s="24" t="n"/>
      <c r="C39" s="24" t="n"/>
      <c r="D39" s="24" t="n"/>
      <c r="E39" s="24" t="n"/>
      <c r="F39" s="24" t="n"/>
      <c r="G39" s="24" t="n"/>
      <c r="H39" s="24" t="n"/>
      <c r="I39" s="24" t="n"/>
      <c r="J39" s="24" t="n"/>
      <c r="K39" s="24" t="n"/>
      <c r="L39" s="24">
        <f>IF(COUNTA(A39:K39,M39:O39)=0,"",IF(A39="","Evidence ID missing",IF(COUNTIF($A$4:$A$353,A39)&gt;1,"Duplicate Evidence ID",IF(B39="","AIR-ID missing",IF(COUNTIF('AI Register'!$A$4:$A$206,B39)=0,"AIR-ID not in AI Register",IF(OR(C39="",H39=""),"Artefact or location missing",IF(AND(M39&lt;&gt;"",NOT(ISNUMBER(M39))),"Completed / last reviewed is not a date",IF(AND(N39&lt;&gt;"",NOT(ISNUMBER(N39))),"Review due is not a date",IF(AND(ISNUMBER(N39),N39&lt;TODAY()),"Review date passed: re-review before citing by reference (Playbook §4.6)",IF(AND(G39="Accepted",ISNUMBER(M39),EDATE(M39,12)&lt;TODAY(),O39=""),"Over 12 months old: owner's still-holds review needed before citing by reference","Check against source"))))))))))</f>
        <v/>
      </c>
      <c r="M39" s="36" t="n"/>
      <c r="N39" s="36" t="n"/>
      <c r="O39" s="24" t="n"/>
    </row>
    <row r="40">
      <c r="A40" s="22" t="n"/>
      <c r="B40" s="22" t="n"/>
      <c r="C40" s="22" t="n"/>
      <c r="D40" s="22" t="n"/>
      <c r="E40" s="22" t="n"/>
      <c r="F40" s="22" t="n"/>
      <c r="G40" s="22" t="n"/>
      <c r="H40" s="22" t="n"/>
      <c r="I40" s="22" t="n"/>
      <c r="J40" s="22" t="n"/>
      <c r="K40" s="22" t="n"/>
      <c r="L40" s="22">
        <f>IF(COUNTA(A40:K40,M40:O40)=0,"",IF(A40="","Evidence ID missing",IF(COUNTIF($A$4:$A$353,A40)&gt;1,"Duplicate Evidence ID",IF(B40="","AIR-ID missing",IF(COUNTIF('AI Register'!$A$4:$A$206,B40)=0,"AIR-ID not in AI Register",IF(OR(C40="",H40=""),"Artefact or location missing",IF(AND(M40&lt;&gt;"",NOT(ISNUMBER(M40))),"Completed / last reviewed is not a date",IF(AND(N40&lt;&gt;"",NOT(ISNUMBER(N40))),"Review due is not a date",IF(AND(ISNUMBER(N40),N40&lt;TODAY()),"Review date passed: re-review before citing by reference (Playbook §4.6)",IF(AND(G40="Accepted",ISNUMBER(M40),EDATE(M40,12)&lt;TODAY(),O40=""),"Over 12 months old: owner's still-holds review needed before citing by reference","Check against source"))))))))))</f>
        <v/>
      </c>
      <c r="M40" s="35" t="n"/>
      <c r="N40" s="35" t="n"/>
      <c r="O40" s="22" t="n"/>
    </row>
    <row r="41">
      <c r="A41" s="24" t="n"/>
      <c r="B41" s="24" t="n"/>
      <c r="C41" s="24" t="n"/>
      <c r="D41" s="24" t="n"/>
      <c r="E41" s="24" t="n"/>
      <c r="F41" s="24" t="n"/>
      <c r="G41" s="24" t="n"/>
      <c r="H41" s="24" t="n"/>
      <c r="I41" s="24" t="n"/>
      <c r="J41" s="24" t="n"/>
      <c r="K41" s="24" t="n"/>
      <c r="L41" s="24">
        <f>IF(COUNTA(A41:K41,M41:O41)=0,"",IF(A41="","Evidence ID missing",IF(COUNTIF($A$4:$A$353,A41)&gt;1,"Duplicate Evidence ID",IF(B41="","AIR-ID missing",IF(COUNTIF('AI Register'!$A$4:$A$206,B41)=0,"AIR-ID not in AI Register",IF(OR(C41="",H41=""),"Artefact or location missing",IF(AND(M41&lt;&gt;"",NOT(ISNUMBER(M41))),"Completed / last reviewed is not a date",IF(AND(N41&lt;&gt;"",NOT(ISNUMBER(N41))),"Review due is not a date",IF(AND(ISNUMBER(N41),N41&lt;TODAY()),"Review date passed: re-review before citing by reference (Playbook §4.6)",IF(AND(G41="Accepted",ISNUMBER(M41),EDATE(M41,12)&lt;TODAY(),O41=""),"Over 12 months old: owner's still-holds review needed before citing by reference","Check against source"))))))))))</f>
        <v/>
      </c>
      <c r="M41" s="36" t="n"/>
      <c r="N41" s="36" t="n"/>
      <c r="O41" s="24" t="n"/>
    </row>
    <row r="42">
      <c r="A42" s="22" t="n"/>
      <c r="B42" s="22" t="n"/>
      <c r="C42" s="22" t="n"/>
      <c r="D42" s="22" t="n"/>
      <c r="E42" s="22" t="n"/>
      <c r="F42" s="22" t="n"/>
      <c r="G42" s="22" t="n"/>
      <c r="H42" s="22" t="n"/>
      <c r="I42" s="22" t="n"/>
      <c r="J42" s="22" t="n"/>
      <c r="K42" s="22" t="n"/>
      <c r="L42" s="22">
        <f>IF(COUNTA(A42:K42,M42:O42)=0,"",IF(A42="","Evidence ID missing",IF(COUNTIF($A$4:$A$353,A42)&gt;1,"Duplicate Evidence ID",IF(B42="","AIR-ID missing",IF(COUNTIF('AI Register'!$A$4:$A$206,B42)=0,"AIR-ID not in AI Register",IF(OR(C42="",H42=""),"Artefact or location missing",IF(AND(M42&lt;&gt;"",NOT(ISNUMBER(M42))),"Completed / last reviewed is not a date",IF(AND(N42&lt;&gt;"",NOT(ISNUMBER(N42))),"Review due is not a date",IF(AND(ISNUMBER(N42),N42&lt;TODAY()),"Review date passed: re-review before citing by reference (Playbook §4.6)",IF(AND(G42="Accepted",ISNUMBER(M42),EDATE(M42,12)&lt;TODAY(),O42=""),"Over 12 months old: owner's still-holds review needed before citing by reference","Check against source"))))))))))</f>
        <v/>
      </c>
      <c r="M42" s="35" t="n"/>
      <c r="N42" s="35" t="n"/>
      <c r="O42" s="22" t="n"/>
    </row>
    <row r="43">
      <c r="A43" s="24" t="n"/>
      <c r="B43" s="24" t="n"/>
      <c r="C43" s="24" t="n"/>
      <c r="D43" s="24" t="n"/>
      <c r="E43" s="24" t="n"/>
      <c r="F43" s="24" t="n"/>
      <c r="G43" s="24" t="n"/>
      <c r="H43" s="24" t="n"/>
      <c r="I43" s="24" t="n"/>
      <c r="J43" s="24" t="n"/>
      <c r="K43" s="24" t="n"/>
      <c r="L43" s="24">
        <f>IF(COUNTA(A43:K43,M43:O43)=0,"",IF(A43="","Evidence ID missing",IF(COUNTIF($A$4:$A$353,A43)&gt;1,"Duplicate Evidence ID",IF(B43="","AIR-ID missing",IF(COUNTIF('AI Register'!$A$4:$A$206,B43)=0,"AIR-ID not in AI Register",IF(OR(C43="",H43=""),"Artefact or location missing",IF(AND(M43&lt;&gt;"",NOT(ISNUMBER(M43))),"Completed / last reviewed is not a date",IF(AND(N43&lt;&gt;"",NOT(ISNUMBER(N43))),"Review due is not a date",IF(AND(ISNUMBER(N43),N43&lt;TODAY()),"Review date passed: re-review before citing by reference (Playbook §4.6)",IF(AND(G43="Accepted",ISNUMBER(M43),EDATE(M43,12)&lt;TODAY(),O43=""),"Over 12 months old: owner's still-holds review needed before citing by reference","Check against source"))))))))))</f>
        <v/>
      </c>
      <c r="M43" s="36" t="n"/>
      <c r="N43" s="36" t="n"/>
      <c r="O43" s="24" t="n"/>
    </row>
    <row r="44">
      <c r="A44" s="22" t="n"/>
      <c r="B44" s="22" t="n"/>
      <c r="C44" s="22" t="n"/>
      <c r="D44" s="22" t="n"/>
      <c r="E44" s="22" t="n"/>
      <c r="F44" s="22" t="n"/>
      <c r="G44" s="22" t="n"/>
      <c r="H44" s="22" t="n"/>
      <c r="I44" s="22" t="n"/>
      <c r="J44" s="22" t="n"/>
      <c r="K44" s="22" t="n"/>
      <c r="L44" s="22">
        <f>IF(COUNTA(A44:K44,M44:O44)=0,"",IF(A44="","Evidence ID missing",IF(COUNTIF($A$4:$A$353,A44)&gt;1,"Duplicate Evidence ID",IF(B44="","AIR-ID missing",IF(COUNTIF('AI Register'!$A$4:$A$206,B44)=0,"AIR-ID not in AI Register",IF(OR(C44="",H44=""),"Artefact or location missing",IF(AND(M44&lt;&gt;"",NOT(ISNUMBER(M44))),"Completed / last reviewed is not a date",IF(AND(N44&lt;&gt;"",NOT(ISNUMBER(N44))),"Review due is not a date",IF(AND(ISNUMBER(N44),N44&lt;TODAY()),"Review date passed: re-review before citing by reference (Playbook §4.6)",IF(AND(G44="Accepted",ISNUMBER(M44),EDATE(M44,12)&lt;TODAY(),O44=""),"Over 12 months old: owner's still-holds review needed before citing by reference","Check against source"))))))))))</f>
        <v/>
      </c>
      <c r="M44" s="35" t="n"/>
      <c r="N44" s="35" t="n"/>
      <c r="O44" s="22" t="n"/>
    </row>
    <row r="45">
      <c r="A45" s="24" t="n"/>
      <c r="B45" s="24" t="n"/>
      <c r="C45" s="24" t="n"/>
      <c r="D45" s="24" t="n"/>
      <c r="E45" s="24" t="n"/>
      <c r="F45" s="24" t="n"/>
      <c r="G45" s="24" t="n"/>
      <c r="H45" s="24" t="n"/>
      <c r="I45" s="24" t="n"/>
      <c r="J45" s="24" t="n"/>
      <c r="K45" s="24" t="n"/>
      <c r="L45" s="24">
        <f>IF(COUNTA(A45:K45,M45:O45)=0,"",IF(A45="","Evidence ID missing",IF(COUNTIF($A$4:$A$353,A45)&gt;1,"Duplicate Evidence ID",IF(B45="","AIR-ID missing",IF(COUNTIF('AI Register'!$A$4:$A$206,B45)=0,"AIR-ID not in AI Register",IF(OR(C45="",H45=""),"Artefact or location missing",IF(AND(M45&lt;&gt;"",NOT(ISNUMBER(M45))),"Completed / last reviewed is not a date",IF(AND(N45&lt;&gt;"",NOT(ISNUMBER(N45))),"Review due is not a date",IF(AND(ISNUMBER(N45),N45&lt;TODAY()),"Review date passed: re-review before citing by reference (Playbook §4.6)",IF(AND(G45="Accepted",ISNUMBER(M45),EDATE(M45,12)&lt;TODAY(),O45=""),"Over 12 months old: owner's still-holds review needed before citing by reference","Check against source"))))))))))</f>
        <v/>
      </c>
      <c r="M45" s="36" t="n"/>
      <c r="N45" s="36" t="n"/>
      <c r="O45" s="24" t="n"/>
    </row>
    <row r="46">
      <c r="A46" s="22" t="n"/>
      <c r="B46" s="22" t="n"/>
      <c r="C46" s="22" t="n"/>
      <c r="D46" s="22" t="n"/>
      <c r="E46" s="22" t="n"/>
      <c r="F46" s="22" t="n"/>
      <c r="G46" s="22" t="n"/>
      <c r="H46" s="22" t="n"/>
      <c r="I46" s="22" t="n"/>
      <c r="J46" s="22" t="n"/>
      <c r="K46" s="22" t="n"/>
      <c r="L46" s="22">
        <f>IF(COUNTA(A46:K46,M46:O46)=0,"",IF(A46="","Evidence ID missing",IF(COUNTIF($A$4:$A$353,A46)&gt;1,"Duplicate Evidence ID",IF(B46="","AIR-ID missing",IF(COUNTIF('AI Register'!$A$4:$A$206,B46)=0,"AIR-ID not in AI Register",IF(OR(C46="",H46=""),"Artefact or location missing",IF(AND(M46&lt;&gt;"",NOT(ISNUMBER(M46))),"Completed / last reviewed is not a date",IF(AND(N46&lt;&gt;"",NOT(ISNUMBER(N46))),"Review due is not a date",IF(AND(ISNUMBER(N46),N46&lt;TODAY()),"Review date passed: re-review before citing by reference (Playbook §4.6)",IF(AND(G46="Accepted",ISNUMBER(M46),EDATE(M46,12)&lt;TODAY(),O46=""),"Over 12 months old: owner's still-holds review needed before citing by reference","Check against source"))))))))))</f>
        <v/>
      </c>
      <c r="M46" s="35" t="n"/>
      <c r="N46" s="35" t="n"/>
      <c r="O46" s="22" t="n"/>
    </row>
    <row r="47">
      <c r="A47" s="24" t="n"/>
      <c r="B47" s="24" t="n"/>
      <c r="C47" s="24" t="n"/>
      <c r="D47" s="24" t="n"/>
      <c r="E47" s="24" t="n"/>
      <c r="F47" s="24" t="n"/>
      <c r="G47" s="24" t="n"/>
      <c r="H47" s="24" t="n"/>
      <c r="I47" s="24" t="n"/>
      <c r="J47" s="24" t="n"/>
      <c r="K47" s="24" t="n"/>
      <c r="L47" s="24">
        <f>IF(COUNTA(A47:K47,M47:O47)=0,"",IF(A47="","Evidence ID missing",IF(COUNTIF($A$4:$A$353,A47)&gt;1,"Duplicate Evidence ID",IF(B47="","AIR-ID missing",IF(COUNTIF('AI Register'!$A$4:$A$206,B47)=0,"AIR-ID not in AI Register",IF(OR(C47="",H47=""),"Artefact or location missing",IF(AND(M47&lt;&gt;"",NOT(ISNUMBER(M47))),"Completed / last reviewed is not a date",IF(AND(N47&lt;&gt;"",NOT(ISNUMBER(N47))),"Review due is not a date",IF(AND(ISNUMBER(N47),N47&lt;TODAY()),"Review date passed: re-review before citing by reference (Playbook §4.6)",IF(AND(G47="Accepted",ISNUMBER(M47),EDATE(M47,12)&lt;TODAY(),O47=""),"Over 12 months old: owner's still-holds review needed before citing by reference","Check against source"))))))))))</f>
        <v/>
      </c>
      <c r="M47" s="36" t="n"/>
      <c r="N47" s="36" t="n"/>
      <c r="O47" s="24" t="n"/>
    </row>
    <row r="48">
      <c r="A48" s="22" t="n"/>
      <c r="B48" s="22" t="n"/>
      <c r="C48" s="22" t="n"/>
      <c r="D48" s="22" t="n"/>
      <c r="E48" s="22" t="n"/>
      <c r="F48" s="22" t="n"/>
      <c r="G48" s="22" t="n"/>
      <c r="H48" s="22" t="n"/>
      <c r="I48" s="22" t="n"/>
      <c r="J48" s="22" t="n"/>
      <c r="K48" s="22" t="n"/>
      <c r="L48" s="22">
        <f>IF(COUNTA(A48:K48,M48:O48)=0,"",IF(A48="","Evidence ID missing",IF(COUNTIF($A$4:$A$353,A48)&gt;1,"Duplicate Evidence ID",IF(B48="","AIR-ID missing",IF(COUNTIF('AI Register'!$A$4:$A$206,B48)=0,"AIR-ID not in AI Register",IF(OR(C48="",H48=""),"Artefact or location missing",IF(AND(M48&lt;&gt;"",NOT(ISNUMBER(M48))),"Completed / last reviewed is not a date",IF(AND(N48&lt;&gt;"",NOT(ISNUMBER(N48))),"Review due is not a date",IF(AND(ISNUMBER(N48),N48&lt;TODAY()),"Review date passed: re-review before citing by reference (Playbook §4.6)",IF(AND(G48="Accepted",ISNUMBER(M48),EDATE(M48,12)&lt;TODAY(),O48=""),"Over 12 months old: owner's still-holds review needed before citing by reference","Check against source"))))))))))</f>
        <v/>
      </c>
      <c r="M48" s="35" t="n"/>
      <c r="N48" s="35" t="n"/>
      <c r="O48" s="22" t="n"/>
    </row>
    <row r="49">
      <c r="A49" s="24" t="n"/>
      <c r="B49" s="24" t="n"/>
      <c r="C49" s="24" t="n"/>
      <c r="D49" s="24" t="n"/>
      <c r="E49" s="24" t="n"/>
      <c r="F49" s="24" t="n"/>
      <c r="G49" s="24" t="n"/>
      <c r="H49" s="24" t="n"/>
      <c r="I49" s="24" t="n"/>
      <c r="J49" s="24" t="n"/>
      <c r="K49" s="24" t="n"/>
      <c r="L49" s="24">
        <f>IF(COUNTA(A49:K49,M49:O49)=0,"",IF(A49="","Evidence ID missing",IF(COUNTIF($A$4:$A$353,A49)&gt;1,"Duplicate Evidence ID",IF(B49="","AIR-ID missing",IF(COUNTIF('AI Register'!$A$4:$A$206,B49)=0,"AIR-ID not in AI Register",IF(OR(C49="",H49=""),"Artefact or location missing",IF(AND(M49&lt;&gt;"",NOT(ISNUMBER(M49))),"Completed / last reviewed is not a date",IF(AND(N49&lt;&gt;"",NOT(ISNUMBER(N49))),"Review due is not a date",IF(AND(ISNUMBER(N49),N49&lt;TODAY()),"Review date passed: re-review before citing by reference (Playbook §4.6)",IF(AND(G49="Accepted",ISNUMBER(M49),EDATE(M49,12)&lt;TODAY(),O49=""),"Over 12 months old: owner's still-holds review needed before citing by reference","Check against source"))))))))))</f>
        <v/>
      </c>
      <c r="M49" s="36" t="n"/>
      <c r="N49" s="36" t="n"/>
      <c r="O49" s="24" t="n"/>
    </row>
    <row r="50">
      <c r="A50" s="22" t="n"/>
      <c r="B50" s="22" t="n"/>
      <c r="C50" s="22" t="n"/>
      <c r="D50" s="22" t="n"/>
      <c r="E50" s="22" t="n"/>
      <c r="F50" s="22" t="n"/>
      <c r="G50" s="22" t="n"/>
      <c r="H50" s="22" t="n"/>
      <c r="I50" s="22" t="n"/>
      <c r="J50" s="22" t="n"/>
      <c r="K50" s="22" t="n"/>
      <c r="L50" s="22">
        <f>IF(COUNTA(A50:K50,M50:O50)=0,"",IF(A50="","Evidence ID missing",IF(COUNTIF($A$4:$A$353,A50)&gt;1,"Duplicate Evidence ID",IF(B50="","AIR-ID missing",IF(COUNTIF('AI Register'!$A$4:$A$206,B50)=0,"AIR-ID not in AI Register",IF(OR(C50="",H50=""),"Artefact or location missing",IF(AND(M50&lt;&gt;"",NOT(ISNUMBER(M50))),"Completed / last reviewed is not a date",IF(AND(N50&lt;&gt;"",NOT(ISNUMBER(N50))),"Review due is not a date",IF(AND(ISNUMBER(N50),N50&lt;TODAY()),"Review date passed: re-review before citing by reference (Playbook §4.6)",IF(AND(G50="Accepted",ISNUMBER(M50),EDATE(M50,12)&lt;TODAY(),O50=""),"Over 12 months old: owner's still-holds review needed before citing by reference","Check against source"))))))))))</f>
        <v/>
      </c>
      <c r="M50" s="35" t="n"/>
      <c r="N50" s="35" t="n"/>
      <c r="O50" s="22" t="n"/>
    </row>
    <row r="51">
      <c r="A51" s="24" t="n"/>
      <c r="B51" s="24" t="n"/>
      <c r="C51" s="24" t="n"/>
      <c r="D51" s="24" t="n"/>
      <c r="E51" s="24" t="n"/>
      <c r="F51" s="24" t="n"/>
      <c r="G51" s="24" t="n"/>
      <c r="H51" s="24" t="n"/>
      <c r="I51" s="24" t="n"/>
      <c r="J51" s="24" t="n"/>
      <c r="K51" s="24" t="n"/>
      <c r="L51" s="24">
        <f>IF(COUNTA(A51:K51,M51:O51)=0,"",IF(A51="","Evidence ID missing",IF(COUNTIF($A$4:$A$353,A51)&gt;1,"Duplicate Evidence ID",IF(B51="","AIR-ID missing",IF(COUNTIF('AI Register'!$A$4:$A$206,B51)=0,"AIR-ID not in AI Register",IF(OR(C51="",H51=""),"Artefact or location missing",IF(AND(M51&lt;&gt;"",NOT(ISNUMBER(M51))),"Completed / last reviewed is not a date",IF(AND(N51&lt;&gt;"",NOT(ISNUMBER(N51))),"Review due is not a date",IF(AND(ISNUMBER(N51),N51&lt;TODAY()),"Review date passed: re-review before citing by reference (Playbook §4.6)",IF(AND(G51="Accepted",ISNUMBER(M51),EDATE(M51,12)&lt;TODAY(),O51=""),"Over 12 months old: owner's still-holds review needed before citing by reference","Check against source"))))))))))</f>
        <v/>
      </c>
      <c r="M51" s="36" t="n"/>
      <c r="N51" s="36" t="n"/>
      <c r="O51" s="24" t="n"/>
    </row>
    <row r="52">
      <c r="A52" s="22" t="n"/>
      <c r="B52" s="22" t="n"/>
      <c r="C52" s="22" t="n"/>
      <c r="D52" s="22" t="n"/>
      <c r="E52" s="22" t="n"/>
      <c r="F52" s="22" t="n"/>
      <c r="G52" s="22" t="n"/>
      <c r="H52" s="22" t="n"/>
      <c r="I52" s="22" t="n"/>
      <c r="J52" s="22" t="n"/>
      <c r="K52" s="22" t="n"/>
      <c r="L52" s="22">
        <f>IF(COUNTA(A52:K52,M52:O52)=0,"",IF(A52="","Evidence ID missing",IF(COUNTIF($A$4:$A$353,A52)&gt;1,"Duplicate Evidence ID",IF(B52="","AIR-ID missing",IF(COUNTIF('AI Register'!$A$4:$A$206,B52)=0,"AIR-ID not in AI Register",IF(OR(C52="",H52=""),"Artefact or location missing",IF(AND(M52&lt;&gt;"",NOT(ISNUMBER(M52))),"Completed / last reviewed is not a date",IF(AND(N52&lt;&gt;"",NOT(ISNUMBER(N52))),"Review due is not a date",IF(AND(ISNUMBER(N52),N52&lt;TODAY()),"Review date passed: re-review before citing by reference (Playbook §4.6)",IF(AND(G52="Accepted",ISNUMBER(M52),EDATE(M52,12)&lt;TODAY(),O52=""),"Over 12 months old: owner's still-holds review needed before citing by reference","Check against source"))))))))))</f>
        <v/>
      </c>
      <c r="M52" s="35" t="n"/>
      <c r="N52" s="35" t="n"/>
      <c r="O52" s="22" t="n"/>
    </row>
    <row r="53">
      <c r="A53" s="24" t="n"/>
      <c r="B53" s="24" t="n"/>
      <c r="C53" s="24" t="n"/>
      <c r="D53" s="24" t="n"/>
      <c r="E53" s="24" t="n"/>
      <c r="F53" s="24" t="n"/>
      <c r="G53" s="24" t="n"/>
      <c r="H53" s="24" t="n"/>
      <c r="I53" s="24" t="n"/>
      <c r="J53" s="24" t="n"/>
      <c r="K53" s="24" t="n"/>
      <c r="L53" s="24">
        <f>IF(COUNTA(A53:K53,M53:O53)=0,"",IF(A53="","Evidence ID missing",IF(COUNTIF($A$4:$A$353,A53)&gt;1,"Duplicate Evidence ID",IF(B53="","AIR-ID missing",IF(COUNTIF('AI Register'!$A$4:$A$206,B53)=0,"AIR-ID not in AI Register",IF(OR(C53="",H53=""),"Artefact or location missing",IF(AND(M53&lt;&gt;"",NOT(ISNUMBER(M53))),"Completed / last reviewed is not a date",IF(AND(N53&lt;&gt;"",NOT(ISNUMBER(N53))),"Review due is not a date",IF(AND(ISNUMBER(N53),N53&lt;TODAY()),"Review date passed: re-review before citing by reference (Playbook §4.6)",IF(AND(G53="Accepted",ISNUMBER(M53),EDATE(M53,12)&lt;TODAY(),O53=""),"Over 12 months old: owner's still-holds review needed before citing by reference","Check against source"))))))))))</f>
        <v/>
      </c>
      <c r="M53" s="36" t="n"/>
      <c r="N53" s="36" t="n"/>
      <c r="O53" s="24" t="n"/>
    </row>
    <row r="54">
      <c r="A54" s="22" t="n"/>
      <c r="B54" s="22" t="n"/>
      <c r="C54" s="22" t="n"/>
      <c r="D54" s="22" t="n"/>
      <c r="E54" s="22" t="n"/>
      <c r="F54" s="22" t="n"/>
      <c r="G54" s="22" t="n"/>
      <c r="H54" s="22" t="n"/>
      <c r="I54" s="22" t="n"/>
      <c r="J54" s="22" t="n"/>
      <c r="K54" s="22" t="n"/>
      <c r="L54" s="22">
        <f>IF(COUNTA(A54:K54,M54:O54)=0,"",IF(A54="","Evidence ID missing",IF(COUNTIF($A$4:$A$353,A54)&gt;1,"Duplicate Evidence ID",IF(B54="","AIR-ID missing",IF(COUNTIF('AI Register'!$A$4:$A$206,B54)=0,"AIR-ID not in AI Register",IF(OR(C54="",H54=""),"Artefact or location missing",IF(AND(M54&lt;&gt;"",NOT(ISNUMBER(M54))),"Completed / last reviewed is not a date",IF(AND(N54&lt;&gt;"",NOT(ISNUMBER(N54))),"Review due is not a date",IF(AND(ISNUMBER(N54),N54&lt;TODAY()),"Review date passed: re-review before citing by reference (Playbook §4.6)",IF(AND(G54="Accepted",ISNUMBER(M54),EDATE(M54,12)&lt;TODAY(),O54=""),"Over 12 months old: owner's still-holds review needed before citing by reference","Check against source"))))))))))</f>
        <v/>
      </c>
      <c r="M54" s="35" t="n"/>
      <c r="N54" s="35" t="n"/>
      <c r="O54" s="22" t="n"/>
    </row>
    <row r="55">
      <c r="A55" s="24" t="n"/>
      <c r="B55" s="24" t="n"/>
      <c r="C55" s="24" t="n"/>
      <c r="D55" s="24" t="n"/>
      <c r="E55" s="24" t="n"/>
      <c r="F55" s="24" t="n"/>
      <c r="G55" s="24" t="n"/>
      <c r="H55" s="24" t="n"/>
      <c r="I55" s="24" t="n"/>
      <c r="J55" s="24" t="n"/>
      <c r="K55" s="24" t="n"/>
      <c r="L55" s="24">
        <f>IF(COUNTA(A55:K55,M55:O55)=0,"",IF(A55="","Evidence ID missing",IF(COUNTIF($A$4:$A$353,A55)&gt;1,"Duplicate Evidence ID",IF(B55="","AIR-ID missing",IF(COUNTIF('AI Register'!$A$4:$A$206,B55)=0,"AIR-ID not in AI Register",IF(OR(C55="",H55=""),"Artefact or location missing",IF(AND(M55&lt;&gt;"",NOT(ISNUMBER(M55))),"Completed / last reviewed is not a date",IF(AND(N55&lt;&gt;"",NOT(ISNUMBER(N55))),"Review due is not a date",IF(AND(ISNUMBER(N55),N55&lt;TODAY()),"Review date passed: re-review before citing by reference (Playbook §4.6)",IF(AND(G55="Accepted",ISNUMBER(M55),EDATE(M55,12)&lt;TODAY(),O55=""),"Over 12 months old: owner's still-holds review needed before citing by reference","Check against source"))))))))))</f>
        <v/>
      </c>
      <c r="M55" s="36" t="n"/>
      <c r="N55" s="36" t="n"/>
      <c r="O55" s="24" t="n"/>
    </row>
    <row r="56">
      <c r="A56" s="22" t="n"/>
      <c r="B56" s="22" t="n"/>
      <c r="C56" s="22" t="n"/>
      <c r="D56" s="22" t="n"/>
      <c r="E56" s="22" t="n"/>
      <c r="F56" s="22" t="n"/>
      <c r="G56" s="22" t="n"/>
      <c r="H56" s="22" t="n"/>
      <c r="I56" s="22" t="n"/>
      <c r="J56" s="22" t="n"/>
      <c r="K56" s="22" t="n"/>
      <c r="L56" s="22">
        <f>IF(COUNTA(A56:K56,M56:O56)=0,"",IF(A56="","Evidence ID missing",IF(COUNTIF($A$4:$A$353,A56)&gt;1,"Duplicate Evidence ID",IF(B56="","AIR-ID missing",IF(COUNTIF('AI Register'!$A$4:$A$206,B56)=0,"AIR-ID not in AI Register",IF(OR(C56="",H56=""),"Artefact or location missing",IF(AND(M56&lt;&gt;"",NOT(ISNUMBER(M56))),"Completed / last reviewed is not a date",IF(AND(N56&lt;&gt;"",NOT(ISNUMBER(N56))),"Review due is not a date",IF(AND(ISNUMBER(N56),N56&lt;TODAY()),"Review date passed: re-review before citing by reference (Playbook §4.6)",IF(AND(G56="Accepted",ISNUMBER(M56),EDATE(M56,12)&lt;TODAY(),O56=""),"Over 12 months old: owner's still-holds review needed before citing by reference","Check against source"))))))))))</f>
        <v/>
      </c>
      <c r="M56" s="35" t="n"/>
      <c r="N56" s="35" t="n"/>
      <c r="O56" s="22" t="n"/>
    </row>
    <row r="57">
      <c r="A57" s="24" t="n"/>
      <c r="B57" s="24" t="n"/>
      <c r="C57" s="24" t="n"/>
      <c r="D57" s="24" t="n"/>
      <c r="E57" s="24" t="n"/>
      <c r="F57" s="24" t="n"/>
      <c r="G57" s="24" t="n"/>
      <c r="H57" s="24" t="n"/>
      <c r="I57" s="24" t="n"/>
      <c r="J57" s="24" t="n"/>
      <c r="K57" s="24" t="n"/>
      <c r="L57" s="24">
        <f>IF(COUNTA(A57:K57,M57:O57)=0,"",IF(A57="","Evidence ID missing",IF(COUNTIF($A$4:$A$353,A57)&gt;1,"Duplicate Evidence ID",IF(B57="","AIR-ID missing",IF(COUNTIF('AI Register'!$A$4:$A$206,B57)=0,"AIR-ID not in AI Register",IF(OR(C57="",H57=""),"Artefact or location missing",IF(AND(M57&lt;&gt;"",NOT(ISNUMBER(M57))),"Completed / last reviewed is not a date",IF(AND(N57&lt;&gt;"",NOT(ISNUMBER(N57))),"Review due is not a date",IF(AND(ISNUMBER(N57),N57&lt;TODAY()),"Review date passed: re-review before citing by reference (Playbook §4.6)",IF(AND(G57="Accepted",ISNUMBER(M57),EDATE(M57,12)&lt;TODAY(),O57=""),"Over 12 months old: owner's still-holds review needed before citing by reference","Check against source"))))))))))</f>
        <v/>
      </c>
      <c r="M57" s="36" t="n"/>
      <c r="N57" s="36" t="n"/>
      <c r="O57" s="24" t="n"/>
    </row>
    <row r="58">
      <c r="A58" s="22" t="n"/>
      <c r="B58" s="22" t="n"/>
      <c r="C58" s="22" t="n"/>
      <c r="D58" s="22" t="n"/>
      <c r="E58" s="22" t="n"/>
      <c r="F58" s="22" t="n"/>
      <c r="G58" s="22" t="n"/>
      <c r="H58" s="22" t="n"/>
      <c r="I58" s="22" t="n"/>
      <c r="J58" s="22" t="n"/>
      <c r="K58" s="22" t="n"/>
      <c r="L58" s="22">
        <f>IF(COUNTA(A58:K58,M58:O58)=0,"",IF(A58="","Evidence ID missing",IF(COUNTIF($A$4:$A$353,A58)&gt;1,"Duplicate Evidence ID",IF(B58="","AIR-ID missing",IF(COUNTIF('AI Register'!$A$4:$A$206,B58)=0,"AIR-ID not in AI Register",IF(OR(C58="",H58=""),"Artefact or location missing",IF(AND(M58&lt;&gt;"",NOT(ISNUMBER(M58))),"Completed / last reviewed is not a date",IF(AND(N58&lt;&gt;"",NOT(ISNUMBER(N58))),"Review due is not a date",IF(AND(ISNUMBER(N58),N58&lt;TODAY()),"Review date passed: re-review before citing by reference (Playbook §4.6)",IF(AND(G58="Accepted",ISNUMBER(M58),EDATE(M58,12)&lt;TODAY(),O58=""),"Over 12 months old: owner's still-holds review needed before citing by reference","Check against source"))))))))))</f>
        <v/>
      </c>
      <c r="M58" s="35" t="n"/>
      <c r="N58" s="35" t="n"/>
      <c r="O58" s="22" t="n"/>
    </row>
    <row r="59">
      <c r="A59" s="24" t="n"/>
      <c r="B59" s="24" t="n"/>
      <c r="C59" s="24" t="n"/>
      <c r="D59" s="24" t="n"/>
      <c r="E59" s="24" t="n"/>
      <c r="F59" s="24" t="n"/>
      <c r="G59" s="24" t="n"/>
      <c r="H59" s="24" t="n"/>
      <c r="I59" s="24" t="n"/>
      <c r="J59" s="24" t="n"/>
      <c r="K59" s="24" t="n"/>
      <c r="L59" s="24">
        <f>IF(COUNTA(A59:K59,M59:O59)=0,"",IF(A59="","Evidence ID missing",IF(COUNTIF($A$4:$A$353,A59)&gt;1,"Duplicate Evidence ID",IF(B59="","AIR-ID missing",IF(COUNTIF('AI Register'!$A$4:$A$206,B59)=0,"AIR-ID not in AI Register",IF(OR(C59="",H59=""),"Artefact or location missing",IF(AND(M59&lt;&gt;"",NOT(ISNUMBER(M59))),"Completed / last reviewed is not a date",IF(AND(N59&lt;&gt;"",NOT(ISNUMBER(N59))),"Review due is not a date",IF(AND(ISNUMBER(N59),N59&lt;TODAY()),"Review date passed: re-review before citing by reference (Playbook §4.6)",IF(AND(G59="Accepted",ISNUMBER(M59),EDATE(M59,12)&lt;TODAY(),O59=""),"Over 12 months old: owner's still-holds review needed before citing by reference","Check against source"))))))))))</f>
        <v/>
      </c>
      <c r="M59" s="36" t="n"/>
      <c r="N59" s="36" t="n"/>
      <c r="O59" s="24" t="n"/>
    </row>
    <row r="60">
      <c r="A60" s="22" t="n"/>
      <c r="B60" s="22" t="n"/>
      <c r="C60" s="22" t="n"/>
      <c r="D60" s="22" t="n"/>
      <c r="E60" s="22" t="n"/>
      <c r="F60" s="22" t="n"/>
      <c r="G60" s="22" t="n"/>
      <c r="H60" s="22" t="n"/>
      <c r="I60" s="22" t="n"/>
      <c r="J60" s="22" t="n"/>
      <c r="K60" s="22" t="n"/>
      <c r="L60" s="22">
        <f>IF(COUNTA(A60:K60,M60:O60)=0,"",IF(A60="","Evidence ID missing",IF(COUNTIF($A$4:$A$353,A60)&gt;1,"Duplicate Evidence ID",IF(B60="","AIR-ID missing",IF(COUNTIF('AI Register'!$A$4:$A$206,B60)=0,"AIR-ID not in AI Register",IF(OR(C60="",H60=""),"Artefact or location missing",IF(AND(M60&lt;&gt;"",NOT(ISNUMBER(M60))),"Completed / last reviewed is not a date",IF(AND(N60&lt;&gt;"",NOT(ISNUMBER(N60))),"Review due is not a date",IF(AND(ISNUMBER(N60),N60&lt;TODAY()),"Review date passed: re-review before citing by reference (Playbook §4.6)",IF(AND(G60="Accepted",ISNUMBER(M60),EDATE(M60,12)&lt;TODAY(),O60=""),"Over 12 months old: owner's still-holds review needed before citing by reference","Check against source"))))))))))</f>
        <v/>
      </c>
      <c r="M60" s="35" t="n"/>
      <c r="N60" s="35" t="n"/>
      <c r="O60" s="22" t="n"/>
    </row>
    <row r="61">
      <c r="A61" s="24" t="n"/>
      <c r="B61" s="24" t="n"/>
      <c r="C61" s="24" t="n"/>
      <c r="D61" s="24" t="n"/>
      <c r="E61" s="24" t="n"/>
      <c r="F61" s="24" t="n"/>
      <c r="G61" s="24" t="n"/>
      <c r="H61" s="24" t="n"/>
      <c r="I61" s="24" t="n"/>
      <c r="J61" s="24" t="n"/>
      <c r="K61" s="24" t="n"/>
      <c r="L61" s="24">
        <f>IF(COUNTA(A61:K61,M61:O61)=0,"",IF(A61="","Evidence ID missing",IF(COUNTIF($A$4:$A$353,A61)&gt;1,"Duplicate Evidence ID",IF(B61="","AIR-ID missing",IF(COUNTIF('AI Register'!$A$4:$A$206,B61)=0,"AIR-ID not in AI Register",IF(OR(C61="",H61=""),"Artefact or location missing",IF(AND(M61&lt;&gt;"",NOT(ISNUMBER(M61))),"Completed / last reviewed is not a date",IF(AND(N61&lt;&gt;"",NOT(ISNUMBER(N61))),"Review due is not a date",IF(AND(ISNUMBER(N61),N61&lt;TODAY()),"Review date passed: re-review before citing by reference (Playbook §4.6)",IF(AND(G61="Accepted",ISNUMBER(M61),EDATE(M61,12)&lt;TODAY(),O61=""),"Over 12 months old: owner's still-holds review needed before citing by reference","Check against source"))))))))))</f>
        <v/>
      </c>
      <c r="M61" s="36" t="n"/>
      <c r="N61" s="36" t="n"/>
      <c r="O61" s="24" t="n"/>
    </row>
    <row r="62">
      <c r="A62" s="22" t="n"/>
      <c r="B62" s="22" t="n"/>
      <c r="C62" s="22" t="n"/>
      <c r="D62" s="22" t="n"/>
      <c r="E62" s="22" t="n"/>
      <c r="F62" s="22" t="n"/>
      <c r="G62" s="22" t="n"/>
      <c r="H62" s="22" t="n"/>
      <c r="I62" s="22" t="n"/>
      <c r="J62" s="22" t="n"/>
      <c r="K62" s="22" t="n"/>
      <c r="L62" s="22">
        <f>IF(COUNTA(A62:K62,M62:O62)=0,"",IF(A62="","Evidence ID missing",IF(COUNTIF($A$4:$A$353,A62)&gt;1,"Duplicate Evidence ID",IF(B62="","AIR-ID missing",IF(COUNTIF('AI Register'!$A$4:$A$206,B62)=0,"AIR-ID not in AI Register",IF(OR(C62="",H62=""),"Artefact or location missing",IF(AND(M62&lt;&gt;"",NOT(ISNUMBER(M62))),"Completed / last reviewed is not a date",IF(AND(N62&lt;&gt;"",NOT(ISNUMBER(N62))),"Review due is not a date",IF(AND(ISNUMBER(N62),N62&lt;TODAY()),"Review date passed: re-review before citing by reference (Playbook §4.6)",IF(AND(G62="Accepted",ISNUMBER(M62),EDATE(M62,12)&lt;TODAY(),O62=""),"Over 12 months old: owner's still-holds review needed before citing by reference","Check against source"))))))))))</f>
        <v/>
      </c>
      <c r="M62" s="35" t="n"/>
      <c r="N62" s="35" t="n"/>
      <c r="O62" s="22" t="n"/>
    </row>
    <row r="63">
      <c r="A63" s="24" t="n"/>
      <c r="B63" s="24" t="n"/>
      <c r="C63" s="24" t="n"/>
      <c r="D63" s="24" t="n"/>
      <c r="E63" s="24" t="n"/>
      <c r="F63" s="24" t="n"/>
      <c r="G63" s="24" t="n"/>
      <c r="H63" s="24" t="n"/>
      <c r="I63" s="24" t="n"/>
      <c r="J63" s="24" t="n"/>
      <c r="K63" s="24" t="n"/>
      <c r="L63" s="24">
        <f>IF(COUNTA(A63:K63,M63:O63)=0,"",IF(A63="","Evidence ID missing",IF(COUNTIF($A$4:$A$353,A63)&gt;1,"Duplicate Evidence ID",IF(B63="","AIR-ID missing",IF(COUNTIF('AI Register'!$A$4:$A$206,B63)=0,"AIR-ID not in AI Register",IF(OR(C63="",H63=""),"Artefact or location missing",IF(AND(M63&lt;&gt;"",NOT(ISNUMBER(M63))),"Completed / last reviewed is not a date",IF(AND(N63&lt;&gt;"",NOT(ISNUMBER(N63))),"Review due is not a date",IF(AND(ISNUMBER(N63),N63&lt;TODAY()),"Review date passed: re-review before citing by reference (Playbook §4.6)",IF(AND(G63="Accepted",ISNUMBER(M63),EDATE(M63,12)&lt;TODAY(),O63=""),"Over 12 months old: owner's still-holds review needed before citing by reference","Check against source"))))))))))</f>
        <v/>
      </c>
      <c r="M63" s="36" t="n"/>
      <c r="N63" s="36" t="n"/>
      <c r="O63" s="24" t="n"/>
    </row>
    <row r="64">
      <c r="A64" s="22" t="n"/>
      <c r="B64" s="22" t="n"/>
      <c r="C64" s="22" t="n"/>
      <c r="D64" s="22" t="n"/>
      <c r="E64" s="22" t="n"/>
      <c r="F64" s="22" t="n"/>
      <c r="G64" s="22" t="n"/>
      <c r="H64" s="22" t="n"/>
      <c r="I64" s="22" t="n"/>
      <c r="J64" s="22" t="n"/>
      <c r="K64" s="22" t="n"/>
      <c r="L64" s="22">
        <f>IF(COUNTA(A64:K64,M64:O64)=0,"",IF(A64="","Evidence ID missing",IF(COUNTIF($A$4:$A$353,A64)&gt;1,"Duplicate Evidence ID",IF(B64="","AIR-ID missing",IF(COUNTIF('AI Register'!$A$4:$A$206,B64)=0,"AIR-ID not in AI Register",IF(OR(C64="",H64=""),"Artefact or location missing",IF(AND(M64&lt;&gt;"",NOT(ISNUMBER(M64))),"Completed / last reviewed is not a date",IF(AND(N64&lt;&gt;"",NOT(ISNUMBER(N64))),"Review due is not a date",IF(AND(ISNUMBER(N64),N64&lt;TODAY()),"Review date passed: re-review before citing by reference (Playbook §4.6)",IF(AND(G64="Accepted",ISNUMBER(M64),EDATE(M64,12)&lt;TODAY(),O64=""),"Over 12 months old: owner's still-holds review needed before citing by reference","Check against source"))))))))))</f>
        <v/>
      </c>
      <c r="M64" s="35" t="n"/>
      <c r="N64" s="35" t="n"/>
      <c r="O64" s="22" t="n"/>
    </row>
    <row r="65">
      <c r="A65" s="24" t="n"/>
      <c r="B65" s="24" t="n"/>
      <c r="C65" s="24" t="n"/>
      <c r="D65" s="24" t="n"/>
      <c r="E65" s="24" t="n"/>
      <c r="F65" s="24" t="n"/>
      <c r="G65" s="24" t="n"/>
      <c r="H65" s="24" t="n"/>
      <c r="I65" s="24" t="n"/>
      <c r="J65" s="24" t="n"/>
      <c r="K65" s="24" t="n"/>
      <c r="L65" s="24">
        <f>IF(COUNTA(A65:K65,M65:O65)=0,"",IF(A65="","Evidence ID missing",IF(COUNTIF($A$4:$A$353,A65)&gt;1,"Duplicate Evidence ID",IF(B65="","AIR-ID missing",IF(COUNTIF('AI Register'!$A$4:$A$206,B65)=0,"AIR-ID not in AI Register",IF(OR(C65="",H65=""),"Artefact or location missing",IF(AND(M65&lt;&gt;"",NOT(ISNUMBER(M65))),"Completed / last reviewed is not a date",IF(AND(N65&lt;&gt;"",NOT(ISNUMBER(N65))),"Review due is not a date",IF(AND(ISNUMBER(N65),N65&lt;TODAY()),"Review date passed: re-review before citing by reference (Playbook §4.6)",IF(AND(G65="Accepted",ISNUMBER(M65),EDATE(M65,12)&lt;TODAY(),O65=""),"Over 12 months old: owner's still-holds review needed before citing by reference","Check against source"))))))))))</f>
        <v/>
      </c>
      <c r="M65" s="36" t="n"/>
      <c r="N65" s="36" t="n"/>
      <c r="O65" s="24" t="n"/>
    </row>
    <row r="66">
      <c r="A66" s="22" t="n"/>
      <c r="B66" s="22" t="n"/>
      <c r="C66" s="22" t="n"/>
      <c r="D66" s="22" t="n"/>
      <c r="E66" s="22" t="n"/>
      <c r="F66" s="22" t="n"/>
      <c r="G66" s="22" t="n"/>
      <c r="H66" s="22" t="n"/>
      <c r="I66" s="22" t="n"/>
      <c r="J66" s="22" t="n"/>
      <c r="K66" s="22" t="n"/>
      <c r="L66" s="22">
        <f>IF(COUNTA(A66:K66,M66:O66)=0,"",IF(A66="","Evidence ID missing",IF(COUNTIF($A$4:$A$353,A66)&gt;1,"Duplicate Evidence ID",IF(B66="","AIR-ID missing",IF(COUNTIF('AI Register'!$A$4:$A$206,B66)=0,"AIR-ID not in AI Register",IF(OR(C66="",H66=""),"Artefact or location missing",IF(AND(M66&lt;&gt;"",NOT(ISNUMBER(M66))),"Completed / last reviewed is not a date",IF(AND(N66&lt;&gt;"",NOT(ISNUMBER(N66))),"Review due is not a date",IF(AND(ISNUMBER(N66),N66&lt;TODAY()),"Review date passed: re-review before citing by reference (Playbook §4.6)",IF(AND(G66="Accepted",ISNUMBER(M66),EDATE(M66,12)&lt;TODAY(),O66=""),"Over 12 months old: owner's still-holds review needed before citing by reference","Check against source"))))))))))</f>
        <v/>
      </c>
      <c r="M66" s="35" t="n"/>
      <c r="N66" s="35" t="n"/>
      <c r="O66" s="22" t="n"/>
    </row>
    <row r="67">
      <c r="A67" s="24" t="n"/>
      <c r="B67" s="24" t="n"/>
      <c r="C67" s="24" t="n"/>
      <c r="D67" s="24" t="n"/>
      <c r="E67" s="24" t="n"/>
      <c r="F67" s="24" t="n"/>
      <c r="G67" s="24" t="n"/>
      <c r="H67" s="24" t="n"/>
      <c r="I67" s="24" t="n"/>
      <c r="J67" s="24" t="n"/>
      <c r="K67" s="24" t="n"/>
      <c r="L67" s="24">
        <f>IF(COUNTA(A67:K67,M67:O67)=0,"",IF(A67="","Evidence ID missing",IF(COUNTIF($A$4:$A$353,A67)&gt;1,"Duplicate Evidence ID",IF(B67="","AIR-ID missing",IF(COUNTIF('AI Register'!$A$4:$A$206,B67)=0,"AIR-ID not in AI Register",IF(OR(C67="",H67=""),"Artefact or location missing",IF(AND(M67&lt;&gt;"",NOT(ISNUMBER(M67))),"Completed / last reviewed is not a date",IF(AND(N67&lt;&gt;"",NOT(ISNUMBER(N67))),"Review due is not a date",IF(AND(ISNUMBER(N67),N67&lt;TODAY()),"Review date passed: re-review before citing by reference (Playbook §4.6)",IF(AND(G67="Accepted",ISNUMBER(M67),EDATE(M67,12)&lt;TODAY(),O67=""),"Over 12 months old: owner's still-holds review needed before citing by reference","Check against source"))))))))))</f>
        <v/>
      </c>
      <c r="M67" s="36" t="n"/>
      <c r="N67" s="36" t="n"/>
      <c r="O67" s="24" t="n"/>
    </row>
    <row r="68">
      <c r="A68" s="22" t="n"/>
      <c r="B68" s="22" t="n"/>
      <c r="C68" s="22" t="n"/>
      <c r="D68" s="22" t="n"/>
      <c r="E68" s="22" t="n"/>
      <c r="F68" s="22" t="n"/>
      <c r="G68" s="22" t="n"/>
      <c r="H68" s="22" t="n"/>
      <c r="I68" s="22" t="n"/>
      <c r="J68" s="22" t="n"/>
      <c r="K68" s="22" t="n"/>
      <c r="L68" s="22">
        <f>IF(COUNTA(A68:K68,M68:O68)=0,"",IF(A68="","Evidence ID missing",IF(COUNTIF($A$4:$A$353,A68)&gt;1,"Duplicate Evidence ID",IF(B68="","AIR-ID missing",IF(COUNTIF('AI Register'!$A$4:$A$206,B68)=0,"AIR-ID not in AI Register",IF(OR(C68="",H68=""),"Artefact or location missing",IF(AND(M68&lt;&gt;"",NOT(ISNUMBER(M68))),"Completed / last reviewed is not a date",IF(AND(N68&lt;&gt;"",NOT(ISNUMBER(N68))),"Review due is not a date",IF(AND(ISNUMBER(N68),N68&lt;TODAY()),"Review date passed: re-review before citing by reference (Playbook §4.6)",IF(AND(G68="Accepted",ISNUMBER(M68),EDATE(M68,12)&lt;TODAY(),O68=""),"Over 12 months old: owner's still-holds review needed before citing by reference","Check against source"))))))))))</f>
        <v/>
      </c>
      <c r="M68" s="35" t="n"/>
      <c r="N68" s="35" t="n"/>
      <c r="O68" s="22" t="n"/>
    </row>
    <row r="69">
      <c r="A69" s="24" t="n"/>
      <c r="B69" s="24" t="n"/>
      <c r="C69" s="24" t="n"/>
      <c r="D69" s="24" t="n"/>
      <c r="E69" s="24" t="n"/>
      <c r="F69" s="24" t="n"/>
      <c r="G69" s="24" t="n"/>
      <c r="H69" s="24" t="n"/>
      <c r="I69" s="24" t="n"/>
      <c r="J69" s="24" t="n"/>
      <c r="K69" s="24" t="n"/>
      <c r="L69" s="24">
        <f>IF(COUNTA(A69:K69,M69:O69)=0,"",IF(A69="","Evidence ID missing",IF(COUNTIF($A$4:$A$353,A69)&gt;1,"Duplicate Evidence ID",IF(B69="","AIR-ID missing",IF(COUNTIF('AI Register'!$A$4:$A$206,B69)=0,"AIR-ID not in AI Register",IF(OR(C69="",H69=""),"Artefact or location missing",IF(AND(M69&lt;&gt;"",NOT(ISNUMBER(M69))),"Completed / last reviewed is not a date",IF(AND(N69&lt;&gt;"",NOT(ISNUMBER(N69))),"Review due is not a date",IF(AND(ISNUMBER(N69),N69&lt;TODAY()),"Review date passed: re-review before citing by reference (Playbook §4.6)",IF(AND(G69="Accepted",ISNUMBER(M69),EDATE(M69,12)&lt;TODAY(),O69=""),"Over 12 months old: owner's still-holds review needed before citing by reference","Check against source"))))))))))</f>
        <v/>
      </c>
      <c r="M69" s="36" t="n"/>
      <c r="N69" s="36" t="n"/>
      <c r="O69" s="24" t="n"/>
    </row>
    <row r="70">
      <c r="A70" s="22" t="n"/>
      <c r="B70" s="22" t="n"/>
      <c r="C70" s="22" t="n"/>
      <c r="D70" s="22" t="n"/>
      <c r="E70" s="22" t="n"/>
      <c r="F70" s="22" t="n"/>
      <c r="G70" s="22" t="n"/>
      <c r="H70" s="22" t="n"/>
      <c r="I70" s="22" t="n"/>
      <c r="J70" s="22" t="n"/>
      <c r="K70" s="22" t="n"/>
      <c r="L70" s="22">
        <f>IF(COUNTA(A70:K70,M70:O70)=0,"",IF(A70="","Evidence ID missing",IF(COUNTIF($A$4:$A$353,A70)&gt;1,"Duplicate Evidence ID",IF(B70="","AIR-ID missing",IF(COUNTIF('AI Register'!$A$4:$A$206,B70)=0,"AIR-ID not in AI Register",IF(OR(C70="",H70=""),"Artefact or location missing",IF(AND(M70&lt;&gt;"",NOT(ISNUMBER(M70))),"Completed / last reviewed is not a date",IF(AND(N70&lt;&gt;"",NOT(ISNUMBER(N70))),"Review due is not a date",IF(AND(ISNUMBER(N70),N70&lt;TODAY()),"Review date passed: re-review before citing by reference (Playbook §4.6)",IF(AND(G70="Accepted",ISNUMBER(M70),EDATE(M70,12)&lt;TODAY(),O70=""),"Over 12 months old: owner's still-holds review needed before citing by reference","Check against source"))))))))))</f>
        <v/>
      </c>
      <c r="M70" s="35" t="n"/>
      <c r="N70" s="35" t="n"/>
      <c r="O70" s="22" t="n"/>
    </row>
    <row r="71">
      <c r="A71" s="24" t="n"/>
      <c r="B71" s="24" t="n"/>
      <c r="C71" s="24" t="n"/>
      <c r="D71" s="24" t="n"/>
      <c r="E71" s="24" t="n"/>
      <c r="F71" s="24" t="n"/>
      <c r="G71" s="24" t="n"/>
      <c r="H71" s="24" t="n"/>
      <c r="I71" s="24" t="n"/>
      <c r="J71" s="24" t="n"/>
      <c r="K71" s="24" t="n"/>
      <c r="L71" s="24">
        <f>IF(COUNTA(A71:K71,M71:O71)=0,"",IF(A71="","Evidence ID missing",IF(COUNTIF($A$4:$A$353,A71)&gt;1,"Duplicate Evidence ID",IF(B71="","AIR-ID missing",IF(COUNTIF('AI Register'!$A$4:$A$206,B71)=0,"AIR-ID not in AI Register",IF(OR(C71="",H71=""),"Artefact or location missing",IF(AND(M71&lt;&gt;"",NOT(ISNUMBER(M71))),"Completed / last reviewed is not a date",IF(AND(N71&lt;&gt;"",NOT(ISNUMBER(N71))),"Review due is not a date",IF(AND(ISNUMBER(N71),N71&lt;TODAY()),"Review date passed: re-review before citing by reference (Playbook §4.6)",IF(AND(G71="Accepted",ISNUMBER(M71),EDATE(M71,12)&lt;TODAY(),O71=""),"Over 12 months old: owner's still-holds review needed before citing by reference","Check against source"))))))))))</f>
        <v/>
      </c>
      <c r="M71" s="36" t="n"/>
      <c r="N71" s="36" t="n"/>
      <c r="O71" s="24" t="n"/>
    </row>
    <row r="72">
      <c r="A72" s="22" t="n"/>
      <c r="B72" s="22" t="n"/>
      <c r="C72" s="22" t="n"/>
      <c r="D72" s="22" t="n"/>
      <c r="E72" s="22" t="n"/>
      <c r="F72" s="22" t="n"/>
      <c r="G72" s="22" t="n"/>
      <c r="H72" s="22" t="n"/>
      <c r="I72" s="22" t="n"/>
      <c r="J72" s="22" t="n"/>
      <c r="K72" s="22" t="n"/>
      <c r="L72" s="22">
        <f>IF(COUNTA(A72:K72,M72:O72)=0,"",IF(A72="","Evidence ID missing",IF(COUNTIF($A$4:$A$353,A72)&gt;1,"Duplicate Evidence ID",IF(B72="","AIR-ID missing",IF(COUNTIF('AI Register'!$A$4:$A$206,B72)=0,"AIR-ID not in AI Register",IF(OR(C72="",H72=""),"Artefact or location missing",IF(AND(M72&lt;&gt;"",NOT(ISNUMBER(M72))),"Completed / last reviewed is not a date",IF(AND(N72&lt;&gt;"",NOT(ISNUMBER(N72))),"Review due is not a date",IF(AND(ISNUMBER(N72),N72&lt;TODAY()),"Review date passed: re-review before citing by reference (Playbook §4.6)",IF(AND(G72="Accepted",ISNUMBER(M72),EDATE(M72,12)&lt;TODAY(),O72=""),"Over 12 months old: owner's still-holds review needed before citing by reference","Check against source"))))))))))</f>
        <v/>
      </c>
      <c r="M72" s="35" t="n"/>
      <c r="N72" s="35" t="n"/>
      <c r="O72" s="22" t="n"/>
    </row>
    <row r="73">
      <c r="A73" s="24" t="n"/>
      <c r="B73" s="24" t="n"/>
      <c r="C73" s="24" t="n"/>
      <c r="D73" s="24" t="n"/>
      <c r="E73" s="24" t="n"/>
      <c r="F73" s="24" t="n"/>
      <c r="G73" s="24" t="n"/>
      <c r="H73" s="24" t="n"/>
      <c r="I73" s="24" t="n"/>
      <c r="J73" s="24" t="n"/>
      <c r="K73" s="24" t="n"/>
      <c r="L73" s="24">
        <f>IF(COUNTA(A73:K73,M73:O73)=0,"",IF(A73="","Evidence ID missing",IF(COUNTIF($A$4:$A$353,A73)&gt;1,"Duplicate Evidence ID",IF(B73="","AIR-ID missing",IF(COUNTIF('AI Register'!$A$4:$A$206,B73)=0,"AIR-ID not in AI Register",IF(OR(C73="",H73=""),"Artefact or location missing",IF(AND(M73&lt;&gt;"",NOT(ISNUMBER(M73))),"Completed / last reviewed is not a date",IF(AND(N73&lt;&gt;"",NOT(ISNUMBER(N73))),"Review due is not a date",IF(AND(ISNUMBER(N73),N73&lt;TODAY()),"Review date passed: re-review before citing by reference (Playbook §4.6)",IF(AND(G73="Accepted",ISNUMBER(M73),EDATE(M73,12)&lt;TODAY(),O73=""),"Over 12 months old: owner's still-holds review needed before citing by reference","Check against source"))))))))))</f>
        <v/>
      </c>
      <c r="M73" s="36" t="n"/>
      <c r="N73" s="36" t="n"/>
      <c r="O73" s="24" t="n"/>
    </row>
    <row r="74">
      <c r="A74" s="22" t="n"/>
      <c r="B74" s="22" t="n"/>
      <c r="C74" s="22" t="n"/>
      <c r="D74" s="22" t="n"/>
      <c r="E74" s="22" t="n"/>
      <c r="F74" s="22" t="n"/>
      <c r="G74" s="22" t="n"/>
      <c r="H74" s="22" t="n"/>
      <c r="I74" s="22" t="n"/>
      <c r="J74" s="22" t="n"/>
      <c r="K74" s="22" t="n"/>
      <c r="L74" s="22">
        <f>IF(COUNTA(A74:K74,M74:O74)=0,"",IF(A74="","Evidence ID missing",IF(COUNTIF($A$4:$A$353,A74)&gt;1,"Duplicate Evidence ID",IF(B74="","AIR-ID missing",IF(COUNTIF('AI Register'!$A$4:$A$206,B74)=0,"AIR-ID not in AI Register",IF(OR(C74="",H74=""),"Artefact or location missing",IF(AND(M74&lt;&gt;"",NOT(ISNUMBER(M74))),"Completed / last reviewed is not a date",IF(AND(N74&lt;&gt;"",NOT(ISNUMBER(N74))),"Review due is not a date",IF(AND(ISNUMBER(N74),N74&lt;TODAY()),"Review date passed: re-review before citing by reference (Playbook §4.6)",IF(AND(G74="Accepted",ISNUMBER(M74),EDATE(M74,12)&lt;TODAY(),O74=""),"Over 12 months old: owner's still-holds review needed before citing by reference","Check against source"))))))))))</f>
        <v/>
      </c>
      <c r="M74" s="35" t="n"/>
      <c r="N74" s="35" t="n"/>
      <c r="O74" s="22" t="n"/>
    </row>
    <row r="75">
      <c r="A75" s="24" t="n"/>
      <c r="B75" s="24" t="n"/>
      <c r="C75" s="24" t="n"/>
      <c r="D75" s="24" t="n"/>
      <c r="E75" s="24" t="n"/>
      <c r="F75" s="24" t="n"/>
      <c r="G75" s="24" t="n"/>
      <c r="H75" s="24" t="n"/>
      <c r="I75" s="24" t="n"/>
      <c r="J75" s="24" t="n"/>
      <c r="K75" s="24" t="n"/>
      <c r="L75" s="24">
        <f>IF(COUNTA(A75:K75,M75:O75)=0,"",IF(A75="","Evidence ID missing",IF(COUNTIF($A$4:$A$353,A75)&gt;1,"Duplicate Evidence ID",IF(B75="","AIR-ID missing",IF(COUNTIF('AI Register'!$A$4:$A$206,B75)=0,"AIR-ID not in AI Register",IF(OR(C75="",H75=""),"Artefact or location missing",IF(AND(M75&lt;&gt;"",NOT(ISNUMBER(M75))),"Completed / last reviewed is not a date",IF(AND(N75&lt;&gt;"",NOT(ISNUMBER(N75))),"Review due is not a date",IF(AND(ISNUMBER(N75),N75&lt;TODAY()),"Review date passed: re-review before citing by reference (Playbook §4.6)",IF(AND(G75="Accepted",ISNUMBER(M75),EDATE(M75,12)&lt;TODAY(),O75=""),"Over 12 months old: owner's still-holds review needed before citing by reference","Check against source"))))))))))</f>
        <v/>
      </c>
      <c r="M75" s="36" t="n"/>
      <c r="N75" s="36" t="n"/>
      <c r="O75" s="24" t="n"/>
    </row>
    <row r="76">
      <c r="A76" s="22" t="n"/>
      <c r="B76" s="22" t="n"/>
      <c r="C76" s="22" t="n"/>
      <c r="D76" s="22" t="n"/>
      <c r="E76" s="22" t="n"/>
      <c r="F76" s="22" t="n"/>
      <c r="G76" s="22" t="n"/>
      <c r="H76" s="22" t="n"/>
      <c r="I76" s="22" t="n"/>
      <c r="J76" s="22" t="n"/>
      <c r="K76" s="22" t="n"/>
      <c r="L76" s="22">
        <f>IF(COUNTA(A76:K76,M76:O76)=0,"",IF(A76="","Evidence ID missing",IF(COUNTIF($A$4:$A$353,A76)&gt;1,"Duplicate Evidence ID",IF(B76="","AIR-ID missing",IF(COUNTIF('AI Register'!$A$4:$A$206,B76)=0,"AIR-ID not in AI Register",IF(OR(C76="",H76=""),"Artefact or location missing",IF(AND(M76&lt;&gt;"",NOT(ISNUMBER(M76))),"Completed / last reviewed is not a date",IF(AND(N76&lt;&gt;"",NOT(ISNUMBER(N76))),"Review due is not a date",IF(AND(ISNUMBER(N76),N76&lt;TODAY()),"Review date passed: re-review before citing by reference (Playbook §4.6)",IF(AND(G76="Accepted",ISNUMBER(M76),EDATE(M76,12)&lt;TODAY(),O76=""),"Over 12 months old: owner's still-holds review needed before citing by reference","Check against source"))))))))))</f>
        <v/>
      </c>
      <c r="M76" s="35" t="n"/>
      <c r="N76" s="35" t="n"/>
      <c r="O76" s="22" t="n"/>
    </row>
    <row r="77">
      <c r="A77" s="24" t="n"/>
      <c r="B77" s="24" t="n"/>
      <c r="C77" s="24" t="n"/>
      <c r="D77" s="24" t="n"/>
      <c r="E77" s="24" t="n"/>
      <c r="F77" s="24" t="n"/>
      <c r="G77" s="24" t="n"/>
      <c r="H77" s="24" t="n"/>
      <c r="I77" s="24" t="n"/>
      <c r="J77" s="24" t="n"/>
      <c r="K77" s="24" t="n"/>
      <c r="L77" s="24">
        <f>IF(COUNTA(A77:K77,M77:O77)=0,"",IF(A77="","Evidence ID missing",IF(COUNTIF($A$4:$A$353,A77)&gt;1,"Duplicate Evidence ID",IF(B77="","AIR-ID missing",IF(COUNTIF('AI Register'!$A$4:$A$206,B77)=0,"AIR-ID not in AI Register",IF(OR(C77="",H77=""),"Artefact or location missing",IF(AND(M77&lt;&gt;"",NOT(ISNUMBER(M77))),"Completed / last reviewed is not a date",IF(AND(N77&lt;&gt;"",NOT(ISNUMBER(N77))),"Review due is not a date",IF(AND(ISNUMBER(N77),N77&lt;TODAY()),"Review date passed: re-review before citing by reference (Playbook §4.6)",IF(AND(G77="Accepted",ISNUMBER(M77),EDATE(M77,12)&lt;TODAY(),O77=""),"Over 12 months old: owner's still-holds review needed before citing by reference","Check against source"))))))))))</f>
        <v/>
      </c>
      <c r="M77" s="36" t="n"/>
      <c r="N77" s="36" t="n"/>
      <c r="O77" s="24" t="n"/>
    </row>
    <row r="78">
      <c r="A78" s="22" t="n"/>
      <c r="B78" s="22" t="n"/>
      <c r="C78" s="22" t="n"/>
      <c r="D78" s="22" t="n"/>
      <c r="E78" s="22" t="n"/>
      <c r="F78" s="22" t="n"/>
      <c r="G78" s="22" t="n"/>
      <c r="H78" s="22" t="n"/>
      <c r="I78" s="22" t="n"/>
      <c r="J78" s="22" t="n"/>
      <c r="K78" s="22" t="n"/>
      <c r="L78" s="22">
        <f>IF(COUNTA(A78:K78,M78:O78)=0,"",IF(A78="","Evidence ID missing",IF(COUNTIF($A$4:$A$353,A78)&gt;1,"Duplicate Evidence ID",IF(B78="","AIR-ID missing",IF(COUNTIF('AI Register'!$A$4:$A$206,B78)=0,"AIR-ID not in AI Register",IF(OR(C78="",H78=""),"Artefact or location missing",IF(AND(M78&lt;&gt;"",NOT(ISNUMBER(M78))),"Completed / last reviewed is not a date",IF(AND(N78&lt;&gt;"",NOT(ISNUMBER(N78))),"Review due is not a date",IF(AND(ISNUMBER(N78),N78&lt;TODAY()),"Review date passed: re-review before citing by reference (Playbook §4.6)",IF(AND(G78="Accepted",ISNUMBER(M78),EDATE(M78,12)&lt;TODAY(),O78=""),"Over 12 months old: owner's still-holds review needed before citing by reference","Check against source"))))))))))</f>
        <v/>
      </c>
      <c r="M78" s="35" t="n"/>
      <c r="N78" s="35" t="n"/>
      <c r="O78" s="22" t="n"/>
    </row>
    <row r="79">
      <c r="A79" s="24" t="n"/>
      <c r="B79" s="24" t="n"/>
      <c r="C79" s="24" t="n"/>
      <c r="D79" s="24" t="n"/>
      <c r="E79" s="24" t="n"/>
      <c r="F79" s="24" t="n"/>
      <c r="G79" s="24" t="n"/>
      <c r="H79" s="24" t="n"/>
      <c r="I79" s="24" t="n"/>
      <c r="J79" s="24" t="n"/>
      <c r="K79" s="24" t="n"/>
      <c r="L79" s="24">
        <f>IF(COUNTA(A79:K79,M79:O79)=0,"",IF(A79="","Evidence ID missing",IF(COUNTIF($A$4:$A$353,A79)&gt;1,"Duplicate Evidence ID",IF(B79="","AIR-ID missing",IF(COUNTIF('AI Register'!$A$4:$A$206,B79)=0,"AIR-ID not in AI Register",IF(OR(C79="",H79=""),"Artefact or location missing",IF(AND(M79&lt;&gt;"",NOT(ISNUMBER(M79))),"Completed / last reviewed is not a date",IF(AND(N79&lt;&gt;"",NOT(ISNUMBER(N79))),"Review due is not a date",IF(AND(ISNUMBER(N79),N79&lt;TODAY()),"Review date passed: re-review before citing by reference (Playbook §4.6)",IF(AND(G79="Accepted",ISNUMBER(M79),EDATE(M79,12)&lt;TODAY(),O79=""),"Over 12 months old: owner's still-holds review needed before citing by reference","Check against source"))))))))))</f>
        <v/>
      </c>
      <c r="M79" s="36" t="n"/>
      <c r="N79" s="36" t="n"/>
      <c r="O79" s="24" t="n"/>
    </row>
    <row r="80">
      <c r="A80" s="22" t="n"/>
      <c r="B80" s="22" t="n"/>
      <c r="C80" s="22" t="n"/>
      <c r="D80" s="22" t="n"/>
      <c r="E80" s="22" t="n"/>
      <c r="F80" s="22" t="n"/>
      <c r="G80" s="22" t="n"/>
      <c r="H80" s="22" t="n"/>
      <c r="I80" s="22" t="n"/>
      <c r="J80" s="22" t="n"/>
      <c r="K80" s="22" t="n"/>
      <c r="L80" s="22">
        <f>IF(COUNTA(A80:K80,M80:O80)=0,"",IF(A80="","Evidence ID missing",IF(COUNTIF($A$4:$A$353,A80)&gt;1,"Duplicate Evidence ID",IF(B80="","AIR-ID missing",IF(COUNTIF('AI Register'!$A$4:$A$206,B80)=0,"AIR-ID not in AI Register",IF(OR(C80="",H80=""),"Artefact or location missing",IF(AND(M80&lt;&gt;"",NOT(ISNUMBER(M80))),"Completed / last reviewed is not a date",IF(AND(N80&lt;&gt;"",NOT(ISNUMBER(N80))),"Review due is not a date",IF(AND(ISNUMBER(N80),N80&lt;TODAY()),"Review date passed: re-review before citing by reference (Playbook §4.6)",IF(AND(G80="Accepted",ISNUMBER(M80),EDATE(M80,12)&lt;TODAY(),O80=""),"Over 12 months old: owner's still-holds review needed before citing by reference","Check against source"))))))))))</f>
        <v/>
      </c>
      <c r="M80" s="35" t="n"/>
      <c r="N80" s="35" t="n"/>
      <c r="O80" s="22" t="n"/>
    </row>
    <row r="81">
      <c r="A81" s="24" t="n"/>
      <c r="B81" s="24" t="n"/>
      <c r="C81" s="24" t="n"/>
      <c r="D81" s="24" t="n"/>
      <c r="E81" s="24" t="n"/>
      <c r="F81" s="24" t="n"/>
      <c r="G81" s="24" t="n"/>
      <c r="H81" s="24" t="n"/>
      <c r="I81" s="24" t="n"/>
      <c r="J81" s="24" t="n"/>
      <c r="K81" s="24" t="n"/>
      <c r="L81" s="24">
        <f>IF(COUNTA(A81:K81,M81:O81)=0,"",IF(A81="","Evidence ID missing",IF(COUNTIF($A$4:$A$353,A81)&gt;1,"Duplicate Evidence ID",IF(B81="","AIR-ID missing",IF(COUNTIF('AI Register'!$A$4:$A$206,B81)=0,"AIR-ID not in AI Register",IF(OR(C81="",H81=""),"Artefact or location missing",IF(AND(M81&lt;&gt;"",NOT(ISNUMBER(M81))),"Completed / last reviewed is not a date",IF(AND(N81&lt;&gt;"",NOT(ISNUMBER(N81))),"Review due is not a date",IF(AND(ISNUMBER(N81),N81&lt;TODAY()),"Review date passed: re-review before citing by reference (Playbook §4.6)",IF(AND(G81="Accepted",ISNUMBER(M81),EDATE(M81,12)&lt;TODAY(),O81=""),"Over 12 months old: owner's still-holds review needed before citing by reference","Check against source"))))))))))</f>
        <v/>
      </c>
      <c r="M81" s="36" t="n"/>
      <c r="N81" s="36" t="n"/>
      <c r="O81" s="24" t="n"/>
    </row>
    <row r="82">
      <c r="A82" s="22" t="n"/>
      <c r="B82" s="22" t="n"/>
      <c r="C82" s="22" t="n"/>
      <c r="D82" s="22" t="n"/>
      <c r="E82" s="22" t="n"/>
      <c r="F82" s="22" t="n"/>
      <c r="G82" s="22" t="n"/>
      <c r="H82" s="22" t="n"/>
      <c r="I82" s="22" t="n"/>
      <c r="J82" s="22" t="n"/>
      <c r="K82" s="22" t="n"/>
      <c r="L82" s="22">
        <f>IF(COUNTA(A82:K82,M82:O82)=0,"",IF(A82="","Evidence ID missing",IF(COUNTIF($A$4:$A$353,A82)&gt;1,"Duplicate Evidence ID",IF(B82="","AIR-ID missing",IF(COUNTIF('AI Register'!$A$4:$A$206,B82)=0,"AIR-ID not in AI Register",IF(OR(C82="",H82=""),"Artefact or location missing",IF(AND(M82&lt;&gt;"",NOT(ISNUMBER(M82))),"Completed / last reviewed is not a date",IF(AND(N82&lt;&gt;"",NOT(ISNUMBER(N82))),"Review due is not a date",IF(AND(ISNUMBER(N82),N82&lt;TODAY()),"Review date passed: re-review before citing by reference (Playbook §4.6)",IF(AND(G82="Accepted",ISNUMBER(M82),EDATE(M82,12)&lt;TODAY(),O82=""),"Over 12 months old: owner's still-holds review needed before citing by reference","Check against source"))))))))))</f>
        <v/>
      </c>
      <c r="M82" s="35" t="n"/>
      <c r="N82" s="35" t="n"/>
      <c r="O82" s="22" t="n"/>
    </row>
    <row r="83">
      <c r="A83" s="24" t="n"/>
      <c r="B83" s="24" t="n"/>
      <c r="C83" s="24" t="n"/>
      <c r="D83" s="24" t="n"/>
      <c r="E83" s="24" t="n"/>
      <c r="F83" s="24" t="n"/>
      <c r="G83" s="24" t="n"/>
      <c r="H83" s="24" t="n"/>
      <c r="I83" s="24" t="n"/>
      <c r="J83" s="24" t="n"/>
      <c r="K83" s="24" t="n"/>
      <c r="L83" s="24">
        <f>IF(COUNTA(A83:K83,M83:O83)=0,"",IF(A83="","Evidence ID missing",IF(COUNTIF($A$4:$A$353,A83)&gt;1,"Duplicate Evidence ID",IF(B83="","AIR-ID missing",IF(COUNTIF('AI Register'!$A$4:$A$206,B83)=0,"AIR-ID not in AI Register",IF(OR(C83="",H83=""),"Artefact or location missing",IF(AND(M83&lt;&gt;"",NOT(ISNUMBER(M83))),"Completed / last reviewed is not a date",IF(AND(N83&lt;&gt;"",NOT(ISNUMBER(N83))),"Review due is not a date",IF(AND(ISNUMBER(N83),N83&lt;TODAY()),"Review date passed: re-review before citing by reference (Playbook §4.6)",IF(AND(G83="Accepted",ISNUMBER(M83),EDATE(M83,12)&lt;TODAY(),O83=""),"Over 12 months old: owner's still-holds review needed before citing by reference","Check against source"))))))))))</f>
        <v/>
      </c>
      <c r="M83" s="36" t="n"/>
      <c r="N83" s="36" t="n"/>
      <c r="O83" s="24" t="n"/>
    </row>
    <row r="84">
      <c r="A84" s="22" t="n"/>
      <c r="B84" s="22" t="n"/>
      <c r="C84" s="22" t="n"/>
      <c r="D84" s="22" t="n"/>
      <c r="E84" s="22" t="n"/>
      <c r="F84" s="22" t="n"/>
      <c r="G84" s="22" t="n"/>
      <c r="H84" s="22" t="n"/>
      <c r="I84" s="22" t="n"/>
      <c r="J84" s="22" t="n"/>
      <c r="K84" s="22" t="n"/>
      <c r="L84" s="22">
        <f>IF(COUNTA(A84:K84,M84:O84)=0,"",IF(A84="","Evidence ID missing",IF(COUNTIF($A$4:$A$353,A84)&gt;1,"Duplicate Evidence ID",IF(B84="","AIR-ID missing",IF(COUNTIF('AI Register'!$A$4:$A$206,B84)=0,"AIR-ID not in AI Register",IF(OR(C84="",H84=""),"Artefact or location missing",IF(AND(M84&lt;&gt;"",NOT(ISNUMBER(M84))),"Completed / last reviewed is not a date",IF(AND(N84&lt;&gt;"",NOT(ISNUMBER(N84))),"Review due is not a date",IF(AND(ISNUMBER(N84),N84&lt;TODAY()),"Review date passed: re-review before citing by reference (Playbook §4.6)",IF(AND(G84="Accepted",ISNUMBER(M84),EDATE(M84,12)&lt;TODAY(),O84=""),"Over 12 months old: owner's still-holds review needed before citing by reference","Check against source"))))))))))</f>
        <v/>
      </c>
      <c r="M84" s="35" t="n"/>
      <c r="N84" s="35" t="n"/>
      <c r="O84" s="22" t="n"/>
    </row>
    <row r="85">
      <c r="A85" s="24" t="n"/>
      <c r="B85" s="24" t="n"/>
      <c r="C85" s="24" t="n"/>
      <c r="D85" s="24" t="n"/>
      <c r="E85" s="24" t="n"/>
      <c r="F85" s="24" t="n"/>
      <c r="G85" s="24" t="n"/>
      <c r="H85" s="24" t="n"/>
      <c r="I85" s="24" t="n"/>
      <c r="J85" s="24" t="n"/>
      <c r="K85" s="24" t="n"/>
      <c r="L85" s="24">
        <f>IF(COUNTA(A85:K85,M85:O85)=0,"",IF(A85="","Evidence ID missing",IF(COUNTIF($A$4:$A$353,A85)&gt;1,"Duplicate Evidence ID",IF(B85="","AIR-ID missing",IF(COUNTIF('AI Register'!$A$4:$A$206,B85)=0,"AIR-ID not in AI Register",IF(OR(C85="",H85=""),"Artefact or location missing",IF(AND(M85&lt;&gt;"",NOT(ISNUMBER(M85))),"Completed / last reviewed is not a date",IF(AND(N85&lt;&gt;"",NOT(ISNUMBER(N85))),"Review due is not a date",IF(AND(ISNUMBER(N85),N85&lt;TODAY()),"Review date passed: re-review before citing by reference (Playbook §4.6)",IF(AND(G85="Accepted",ISNUMBER(M85),EDATE(M85,12)&lt;TODAY(),O85=""),"Over 12 months old: owner's still-holds review needed before citing by reference","Check against source"))))))))))</f>
        <v/>
      </c>
      <c r="M85" s="36" t="n"/>
      <c r="N85" s="36" t="n"/>
      <c r="O85" s="24" t="n"/>
    </row>
    <row r="86">
      <c r="A86" s="22" t="n"/>
      <c r="B86" s="22" t="n"/>
      <c r="C86" s="22" t="n"/>
      <c r="D86" s="22" t="n"/>
      <c r="E86" s="22" t="n"/>
      <c r="F86" s="22" t="n"/>
      <c r="G86" s="22" t="n"/>
      <c r="H86" s="22" t="n"/>
      <c r="I86" s="22" t="n"/>
      <c r="J86" s="22" t="n"/>
      <c r="K86" s="22" t="n"/>
      <c r="L86" s="22">
        <f>IF(COUNTA(A86:K86,M86:O86)=0,"",IF(A86="","Evidence ID missing",IF(COUNTIF($A$4:$A$353,A86)&gt;1,"Duplicate Evidence ID",IF(B86="","AIR-ID missing",IF(COUNTIF('AI Register'!$A$4:$A$206,B86)=0,"AIR-ID not in AI Register",IF(OR(C86="",H86=""),"Artefact or location missing",IF(AND(M86&lt;&gt;"",NOT(ISNUMBER(M86))),"Completed / last reviewed is not a date",IF(AND(N86&lt;&gt;"",NOT(ISNUMBER(N86))),"Review due is not a date",IF(AND(ISNUMBER(N86),N86&lt;TODAY()),"Review date passed: re-review before citing by reference (Playbook §4.6)",IF(AND(G86="Accepted",ISNUMBER(M86),EDATE(M86,12)&lt;TODAY(),O86=""),"Over 12 months old: owner's still-holds review needed before citing by reference","Check against source"))))))))))</f>
        <v/>
      </c>
      <c r="M86" s="35" t="n"/>
      <c r="N86" s="35" t="n"/>
      <c r="O86" s="22" t="n"/>
    </row>
    <row r="87">
      <c r="A87" s="24" t="n"/>
      <c r="B87" s="24" t="n"/>
      <c r="C87" s="24" t="n"/>
      <c r="D87" s="24" t="n"/>
      <c r="E87" s="24" t="n"/>
      <c r="F87" s="24" t="n"/>
      <c r="G87" s="24" t="n"/>
      <c r="H87" s="24" t="n"/>
      <c r="I87" s="24" t="n"/>
      <c r="J87" s="24" t="n"/>
      <c r="K87" s="24" t="n"/>
      <c r="L87" s="24">
        <f>IF(COUNTA(A87:K87,M87:O87)=0,"",IF(A87="","Evidence ID missing",IF(COUNTIF($A$4:$A$353,A87)&gt;1,"Duplicate Evidence ID",IF(B87="","AIR-ID missing",IF(COUNTIF('AI Register'!$A$4:$A$206,B87)=0,"AIR-ID not in AI Register",IF(OR(C87="",H87=""),"Artefact or location missing",IF(AND(M87&lt;&gt;"",NOT(ISNUMBER(M87))),"Completed / last reviewed is not a date",IF(AND(N87&lt;&gt;"",NOT(ISNUMBER(N87))),"Review due is not a date",IF(AND(ISNUMBER(N87),N87&lt;TODAY()),"Review date passed: re-review before citing by reference (Playbook §4.6)",IF(AND(G87="Accepted",ISNUMBER(M87),EDATE(M87,12)&lt;TODAY(),O87=""),"Over 12 months old: owner's still-holds review needed before citing by reference","Check against source"))))))))))</f>
        <v/>
      </c>
      <c r="M87" s="36" t="n"/>
      <c r="N87" s="36" t="n"/>
      <c r="O87" s="24" t="n"/>
    </row>
    <row r="88">
      <c r="A88" s="22" t="n"/>
      <c r="B88" s="22" t="n"/>
      <c r="C88" s="22" t="n"/>
      <c r="D88" s="22" t="n"/>
      <c r="E88" s="22" t="n"/>
      <c r="F88" s="22" t="n"/>
      <c r="G88" s="22" t="n"/>
      <c r="H88" s="22" t="n"/>
      <c r="I88" s="22" t="n"/>
      <c r="J88" s="22" t="n"/>
      <c r="K88" s="22" t="n"/>
      <c r="L88" s="22">
        <f>IF(COUNTA(A88:K88,M88:O88)=0,"",IF(A88="","Evidence ID missing",IF(COUNTIF($A$4:$A$353,A88)&gt;1,"Duplicate Evidence ID",IF(B88="","AIR-ID missing",IF(COUNTIF('AI Register'!$A$4:$A$206,B88)=0,"AIR-ID not in AI Register",IF(OR(C88="",H88=""),"Artefact or location missing",IF(AND(M88&lt;&gt;"",NOT(ISNUMBER(M88))),"Completed / last reviewed is not a date",IF(AND(N88&lt;&gt;"",NOT(ISNUMBER(N88))),"Review due is not a date",IF(AND(ISNUMBER(N88),N88&lt;TODAY()),"Review date passed: re-review before citing by reference (Playbook §4.6)",IF(AND(G88="Accepted",ISNUMBER(M88),EDATE(M88,12)&lt;TODAY(),O88=""),"Over 12 months old: owner's still-holds review needed before citing by reference","Check against source"))))))))))</f>
        <v/>
      </c>
      <c r="M88" s="35" t="n"/>
      <c r="N88" s="35" t="n"/>
      <c r="O88" s="22" t="n"/>
    </row>
    <row r="89">
      <c r="A89" s="24" t="n"/>
      <c r="B89" s="24" t="n"/>
      <c r="C89" s="24" t="n"/>
      <c r="D89" s="24" t="n"/>
      <c r="E89" s="24" t="n"/>
      <c r="F89" s="24" t="n"/>
      <c r="G89" s="24" t="n"/>
      <c r="H89" s="24" t="n"/>
      <c r="I89" s="24" t="n"/>
      <c r="J89" s="24" t="n"/>
      <c r="K89" s="24" t="n"/>
      <c r="L89" s="24">
        <f>IF(COUNTA(A89:K89,M89:O89)=0,"",IF(A89="","Evidence ID missing",IF(COUNTIF($A$4:$A$353,A89)&gt;1,"Duplicate Evidence ID",IF(B89="","AIR-ID missing",IF(COUNTIF('AI Register'!$A$4:$A$206,B89)=0,"AIR-ID not in AI Register",IF(OR(C89="",H89=""),"Artefact or location missing",IF(AND(M89&lt;&gt;"",NOT(ISNUMBER(M89))),"Completed / last reviewed is not a date",IF(AND(N89&lt;&gt;"",NOT(ISNUMBER(N89))),"Review due is not a date",IF(AND(ISNUMBER(N89),N89&lt;TODAY()),"Review date passed: re-review before citing by reference (Playbook §4.6)",IF(AND(G89="Accepted",ISNUMBER(M89),EDATE(M89,12)&lt;TODAY(),O89=""),"Over 12 months old: owner's still-holds review needed before citing by reference","Check against source"))))))))))</f>
        <v/>
      </c>
      <c r="M89" s="36" t="n"/>
      <c r="N89" s="36" t="n"/>
      <c r="O89" s="24" t="n"/>
    </row>
    <row r="90">
      <c r="A90" s="22" t="n"/>
      <c r="B90" s="22" t="n"/>
      <c r="C90" s="22" t="n"/>
      <c r="D90" s="22" t="n"/>
      <c r="E90" s="22" t="n"/>
      <c r="F90" s="22" t="n"/>
      <c r="G90" s="22" t="n"/>
      <c r="H90" s="22" t="n"/>
      <c r="I90" s="22" t="n"/>
      <c r="J90" s="22" t="n"/>
      <c r="K90" s="22" t="n"/>
      <c r="L90" s="22">
        <f>IF(COUNTA(A90:K90,M90:O90)=0,"",IF(A90="","Evidence ID missing",IF(COUNTIF($A$4:$A$353,A90)&gt;1,"Duplicate Evidence ID",IF(B90="","AIR-ID missing",IF(COUNTIF('AI Register'!$A$4:$A$206,B90)=0,"AIR-ID not in AI Register",IF(OR(C90="",H90=""),"Artefact or location missing",IF(AND(M90&lt;&gt;"",NOT(ISNUMBER(M90))),"Completed / last reviewed is not a date",IF(AND(N90&lt;&gt;"",NOT(ISNUMBER(N90))),"Review due is not a date",IF(AND(ISNUMBER(N90),N90&lt;TODAY()),"Review date passed: re-review before citing by reference (Playbook §4.6)",IF(AND(G90="Accepted",ISNUMBER(M90),EDATE(M90,12)&lt;TODAY(),O90=""),"Over 12 months old: owner's still-holds review needed before citing by reference","Check against source"))))))))))</f>
        <v/>
      </c>
      <c r="M90" s="35" t="n"/>
      <c r="N90" s="35" t="n"/>
      <c r="O90" s="22" t="n"/>
    </row>
    <row r="91">
      <c r="A91" s="24" t="n"/>
      <c r="B91" s="24" t="n"/>
      <c r="C91" s="24" t="n"/>
      <c r="D91" s="24" t="n"/>
      <c r="E91" s="24" t="n"/>
      <c r="F91" s="24" t="n"/>
      <c r="G91" s="24" t="n"/>
      <c r="H91" s="24" t="n"/>
      <c r="I91" s="24" t="n"/>
      <c r="J91" s="24" t="n"/>
      <c r="K91" s="24" t="n"/>
      <c r="L91" s="24">
        <f>IF(COUNTA(A91:K91,M91:O91)=0,"",IF(A91="","Evidence ID missing",IF(COUNTIF($A$4:$A$353,A91)&gt;1,"Duplicate Evidence ID",IF(B91="","AIR-ID missing",IF(COUNTIF('AI Register'!$A$4:$A$206,B91)=0,"AIR-ID not in AI Register",IF(OR(C91="",H91=""),"Artefact or location missing",IF(AND(M91&lt;&gt;"",NOT(ISNUMBER(M91))),"Completed / last reviewed is not a date",IF(AND(N91&lt;&gt;"",NOT(ISNUMBER(N91))),"Review due is not a date",IF(AND(ISNUMBER(N91),N91&lt;TODAY()),"Review date passed: re-review before citing by reference (Playbook §4.6)",IF(AND(G91="Accepted",ISNUMBER(M91),EDATE(M91,12)&lt;TODAY(),O91=""),"Over 12 months old: owner's still-holds review needed before citing by reference","Check against source"))))))))))</f>
        <v/>
      </c>
      <c r="M91" s="36" t="n"/>
      <c r="N91" s="36" t="n"/>
      <c r="O91" s="24" t="n"/>
    </row>
    <row r="92">
      <c r="A92" s="22" t="n"/>
      <c r="B92" s="22" t="n"/>
      <c r="C92" s="22" t="n"/>
      <c r="D92" s="22" t="n"/>
      <c r="E92" s="22" t="n"/>
      <c r="F92" s="22" t="n"/>
      <c r="G92" s="22" t="n"/>
      <c r="H92" s="22" t="n"/>
      <c r="I92" s="22" t="n"/>
      <c r="J92" s="22" t="n"/>
      <c r="K92" s="22" t="n"/>
      <c r="L92" s="22">
        <f>IF(COUNTA(A92:K92,M92:O92)=0,"",IF(A92="","Evidence ID missing",IF(COUNTIF($A$4:$A$353,A92)&gt;1,"Duplicate Evidence ID",IF(B92="","AIR-ID missing",IF(COUNTIF('AI Register'!$A$4:$A$206,B92)=0,"AIR-ID not in AI Register",IF(OR(C92="",H92=""),"Artefact or location missing",IF(AND(M92&lt;&gt;"",NOT(ISNUMBER(M92))),"Completed / last reviewed is not a date",IF(AND(N92&lt;&gt;"",NOT(ISNUMBER(N92))),"Review due is not a date",IF(AND(ISNUMBER(N92),N92&lt;TODAY()),"Review date passed: re-review before citing by reference (Playbook §4.6)",IF(AND(G92="Accepted",ISNUMBER(M92),EDATE(M92,12)&lt;TODAY(),O92=""),"Over 12 months old: owner's still-holds review needed before citing by reference","Check against source"))))))))))</f>
        <v/>
      </c>
      <c r="M92" s="35" t="n"/>
      <c r="N92" s="35" t="n"/>
      <c r="O92" s="22" t="n"/>
    </row>
    <row r="93">
      <c r="A93" s="24" t="n"/>
      <c r="B93" s="24" t="n"/>
      <c r="C93" s="24" t="n"/>
      <c r="D93" s="24" t="n"/>
      <c r="E93" s="24" t="n"/>
      <c r="F93" s="24" t="n"/>
      <c r="G93" s="24" t="n"/>
      <c r="H93" s="24" t="n"/>
      <c r="I93" s="24" t="n"/>
      <c r="J93" s="24" t="n"/>
      <c r="K93" s="24" t="n"/>
      <c r="L93" s="24">
        <f>IF(COUNTA(A93:K93,M93:O93)=0,"",IF(A93="","Evidence ID missing",IF(COUNTIF($A$4:$A$353,A93)&gt;1,"Duplicate Evidence ID",IF(B93="","AIR-ID missing",IF(COUNTIF('AI Register'!$A$4:$A$206,B93)=0,"AIR-ID not in AI Register",IF(OR(C93="",H93=""),"Artefact or location missing",IF(AND(M93&lt;&gt;"",NOT(ISNUMBER(M93))),"Completed / last reviewed is not a date",IF(AND(N93&lt;&gt;"",NOT(ISNUMBER(N93))),"Review due is not a date",IF(AND(ISNUMBER(N93),N93&lt;TODAY()),"Review date passed: re-review before citing by reference (Playbook §4.6)",IF(AND(G93="Accepted",ISNUMBER(M93),EDATE(M93,12)&lt;TODAY(),O93=""),"Over 12 months old: owner's still-holds review needed before citing by reference","Check against source"))))))))))</f>
        <v/>
      </c>
      <c r="M93" s="36" t="n"/>
      <c r="N93" s="36" t="n"/>
      <c r="O93" s="24" t="n"/>
    </row>
    <row r="94">
      <c r="A94" s="22" t="n"/>
      <c r="B94" s="22" t="n"/>
      <c r="C94" s="22" t="n"/>
      <c r="D94" s="22" t="n"/>
      <c r="E94" s="22" t="n"/>
      <c r="F94" s="22" t="n"/>
      <c r="G94" s="22" t="n"/>
      <c r="H94" s="22" t="n"/>
      <c r="I94" s="22" t="n"/>
      <c r="J94" s="22" t="n"/>
      <c r="K94" s="22" t="n"/>
      <c r="L94" s="22">
        <f>IF(COUNTA(A94:K94,M94:O94)=0,"",IF(A94="","Evidence ID missing",IF(COUNTIF($A$4:$A$353,A94)&gt;1,"Duplicate Evidence ID",IF(B94="","AIR-ID missing",IF(COUNTIF('AI Register'!$A$4:$A$206,B94)=0,"AIR-ID not in AI Register",IF(OR(C94="",H94=""),"Artefact or location missing",IF(AND(M94&lt;&gt;"",NOT(ISNUMBER(M94))),"Completed / last reviewed is not a date",IF(AND(N94&lt;&gt;"",NOT(ISNUMBER(N94))),"Review due is not a date",IF(AND(ISNUMBER(N94),N94&lt;TODAY()),"Review date passed: re-review before citing by reference (Playbook §4.6)",IF(AND(G94="Accepted",ISNUMBER(M94),EDATE(M94,12)&lt;TODAY(),O94=""),"Over 12 months old: owner's still-holds review needed before citing by reference","Check against source"))))))))))</f>
        <v/>
      </c>
      <c r="M94" s="35" t="n"/>
      <c r="N94" s="35" t="n"/>
      <c r="O94" s="22" t="n"/>
    </row>
    <row r="95">
      <c r="A95" s="24" t="n"/>
      <c r="B95" s="24" t="n"/>
      <c r="C95" s="24" t="n"/>
      <c r="D95" s="24" t="n"/>
      <c r="E95" s="24" t="n"/>
      <c r="F95" s="24" t="n"/>
      <c r="G95" s="24" t="n"/>
      <c r="H95" s="24" t="n"/>
      <c r="I95" s="24" t="n"/>
      <c r="J95" s="24" t="n"/>
      <c r="K95" s="24" t="n"/>
      <c r="L95" s="24">
        <f>IF(COUNTA(A95:K95,M95:O95)=0,"",IF(A95="","Evidence ID missing",IF(COUNTIF($A$4:$A$353,A95)&gt;1,"Duplicate Evidence ID",IF(B95="","AIR-ID missing",IF(COUNTIF('AI Register'!$A$4:$A$206,B95)=0,"AIR-ID not in AI Register",IF(OR(C95="",H95=""),"Artefact or location missing",IF(AND(M95&lt;&gt;"",NOT(ISNUMBER(M95))),"Completed / last reviewed is not a date",IF(AND(N95&lt;&gt;"",NOT(ISNUMBER(N95))),"Review due is not a date",IF(AND(ISNUMBER(N95),N95&lt;TODAY()),"Review date passed: re-review before citing by reference (Playbook §4.6)",IF(AND(G95="Accepted",ISNUMBER(M95),EDATE(M95,12)&lt;TODAY(),O95=""),"Over 12 months old: owner's still-holds review needed before citing by reference","Check against source"))))))))))</f>
        <v/>
      </c>
      <c r="M95" s="36" t="n"/>
      <c r="N95" s="36" t="n"/>
      <c r="O95" s="24" t="n"/>
    </row>
    <row r="96">
      <c r="A96" s="22" t="n"/>
      <c r="B96" s="22" t="n"/>
      <c r="C96" s="22" t="n"/>
      <c r="D96" s="22" t="n"/>
      <c r="E96" s="22" t="n"/>
      <c r="F96" s="22" t="n"/>
      <c r="G96" s="22" t="n"/>
      <c r="H96" s="22" t="n"/>
      <c r="I96" s="22" t="n"/>
      <c r="J96" s="22" t="n"/>
      <c r="K96" s="22" t="n"/>
      <c r="L96" s="22">
        <f>IF(COUNTA(A96:K96,M96:O96)=0,"",IF(A96="","Evidence ID missing",IF(COUNTIF($A$4:$A$353,A96)&gt;1,"Duplicate Evidence ID",IF(B96="","AIR-ID missing",IF(COUNTIF('AI Register'!$A$4:$A$206,B96)=0,"AIR-ID not in AI Register",IF(OR(C96="",H96=""),"Artefact or location missing",IF(AND(M96&lt;&gt;"",NOT(ISNUMBER(M96))),"Completed / last reviewed is not a date",IF(AND(N96&lt;&gt;"",NOT(ISNUMBER(N96))),"Review due is not a date",IF(AND(ISNUMBER(N96),N96&lt;TODAY()),"Review date passed: re-review before citing by reference (Playbook §4.6)",IF(AND(G96="Accepted",ISNUMBER(M96),EDATE(M96,12)&lt;TODAY(),O96=""),"Over 12 months old: owner's still-holds review needed before citing by reference","Check against source"))))))))))</f>
        <v/>
      </c>
      <c r="M96" s="35" t="n"/>
      <c r="N96" s="35" t="n"/>
      <c r="O96" s="22" t="n"/>
    </row>
    <row r="97">
      <c r="A97" s="24" t="n"/>
      <c r="B97" s="24" t="n"/>
      <c r="C97" s="24" t="n"/>
      <c r="D97" s="24" t="n"/>
      <c r="E97" s="24" t="n"/>
      <c r="F97" s="24" t="n"/>
      <c r="G97" s="24" t="n"/>
      <c r="H97" s="24" t="n"/>
      <c r="I97" s="24" t="n"/>
      <c r="J97" s="24" t="n"/>
      <c r="K97" s="24" t="n"/>
      <c r="L97" s="24">
        <f>IF(COUNTA(A97:K97,M97:O97)=0,"",IF(A97="","Evidence ID missing",IF(COUNTIF($A$4:$A$353,A97)&gt;1,"Duplicate Evidence ID",IF(B97="","AIR-ID missing",IF(COUNTIF('AI Register'!$A$4:$A$206,B97)=0,"AIR-ID not in AI Register",IF(OR(C97="",H97=""),"Artefact or location missing",IF(AND(M97&lt;&gt;"",NOT(ISNUMBER(M97))),"Completed / last reviewed is not a date",IF(AND(N97&lt;&gt;"",NOT(ISNUMBER(N97))),"Review due is not a date",IF(AND(ISNUMBER(N97),N97&lt;TODAY()),"Review date passed: re-review before citing by reference (Playbook §4.6)",IF(AND(G97="Accepted",ISNUMBER(M97),EDATE(M97,12)&lt;TODAY(),O97=""),"Over 12 months old: owner's still-holds review needed before citing by reference","Check against source"))))))))))</f>
        <v/>
      </c>
      <c r="M97" s="36" t="n"/>
      <c r="N97" s="36" t="n"/>
      <c r="O97" s="24" t="n"/>
    </row>
    <row r="98">
      <c r="A98" s="22" t="n"/>
      <c r="B98" s="22" t="n"/>
      <c r="C98" s="22" t="n"/>
      <c r="D98" s="22" t="n"/>
      <c r="E98" s="22" t="n"/>
      <c r="F98" s="22" t="n"/>
      <c r="G98" s="22" t="n"/>
      <c r="H98" s="22" t="n"/>
      <c r="I98" s="22" t="n"/>
      <c r="J98" s="22" t="n"/>
      <c r="K98" s="22" t="n"/>
      <c r="L98" s="22">
        <f>IF(COUNTA(A98:K98,M98:O98)=0,"",IF(A98="","Evidence ID missing",IF(COUNTIF($A$4:$A$353,A98)&gt;1,"Duplicate Evidence ID",IF(B98="","AIR-ID missing",IF(COUNTIF('AI Register'!$A$4:$A$206,B98)=0,"AIR-ID not in AI Register",IF(OR(C98="",H98=""),"Artefact or location missing",IF(AND(M98&lt;&gt;"",NOT(ISNUMBER(M98))),"Completed / last reviewed is not a date",IF(AND(N98&lt;&gt;"",NOT(ISNUMBER(N98))),"Review due is not a date",IF(AND(ISNUMBER(N98),N98&lt;TODAY()),"Review date passed: re-review before citing by reference (Playbook §4.6)",IF(AND(G98="Accepted",ISNUMBER(M98),EDATE(M98,12)&lt;TODAY(),O98=""),"Over 12 months old: owner's still-holds review needed before citing by reference","Check against source"))))))))))</f>
        <v/>
      </c>
      <c r="M98" s="35" t="n"/>
      <c r="N98" s="35" t="n"/>
      <c r="O98" s="22" t="n"/>
    </row>
    <row r="99">
      <c r="A99" s="24" t="n"/>
      <c r="B99" s="24" t="n"/>
      <c r="C99" s="24" t="n"/>
      <c r="D99" s="24" t="n"/>
      <c r="E99" s="24" t="n"/>
      <c r="F99" s="24" t="n"/>
      <c r="G99" s="24" t="n"/>
      <c r="H99" s="24" t="n"/>
      <c r="I99" s="24" t="n"/>
      <c r="J99" s="24" t="n"/>
      <c r="K99" s="24" t="n"/>
      <c r="L99" s="24">
        <f>IF(COUNTA(A99:K99,M99:O99)=0,"",IF(A99="","Evidence ID missing",IF(COUNTIF($A$4:$A$353,A99)&gt;1,"Duplicate Evidence ID",IF(B99="","AIR-ID missing",IF(COUNTIF('AI Register'!$A$4:$A$206,B99)=0,"AIR-ID not in AI Register",IF(OR(C99="",H99=""),"Artefact or location missing",IF(AND(M99&lt;&gt;"",NOT(ISNUMBER(M99))),"Completed / last reviewed is not a date",IF(AND(N99&lt;&gt;"",NOT(ISNUMBER(N99))),"Review due is not a date",IF(AND(ISNUMBER(N99),N99&lt;TODAY()),"Review date passed: re-review before citing by reference (Playbook §4.6)",IF(AND(G99="Accepted",ISNUMBER(M99),EDATE(M99,12)&lt;TODAY(),O99=""),"Over 12 months old: owner's still-holds review needed before citing by reference","Check against source"))))))))))</f>
        <v/>
      </c>
      <c r="M99" s="36" t="n"/>
      <c r="N99" s="36" t="n"/>
      <c r="O99" s="24" t="n"/>
    </row>
    <row r="100">
      <c r="A100" s="22" t="n"/>
      <c r="B100" s="22" t="n"/>
      <c r="C100" s="22" t="n"/>
      <c r="D100" s="22" t="n"/>
      <c r="E100" s="22" t="n"/>
      <c r="F100" s="22" t="n"/>
      <c r="G100" s="22" t="n"/>
      <c r="H100" s="22" t="n"/>
      <c r="I100" s="22" t="n"/>
      <c r="J100" s="22" t="n"/>
      <c r="K100" s="22" t="n"/>
      <c r="L100" s="22">
        <f>IF(COUNTA(A100:K100,M100:O100)=0,"",IF(A100="","Evidence ID missing",IF(COUNTIF($A$4:$A$353,A100)&gt;1,"Duplicate Evidence ID",IF(B100="","AIR-ID missing",IF(COUNTIF('AI Register'!$A$4:$A$206,B100)=0,"AIR-ID not in AI Register",IF(OR(C100="",H100=""),"Artefact or location missing",IF(AND(M100&lt;&gt;"",NOT(ISNUMBER(M100))),"Completed / last reviewed is not a date",IF(AND(N100&lt;&gt;"",NOT(ISNUMBER(N100))),"Review due is not a date",IF(AND(ISNUMBER(N100),N100&lt;TODAY()),"Review date passed: re-review before citing by reference (Playbook §4.6)",IF(AND(G100="Accepted",ISNUMBER(M100),EDATE(M100,12)&lt;TODAY(),O100=""),"Over 12 months old: owner's still-holds review needed before citing by reference","Check against source"))))))))))</f>
        <v/>
      </c>
      <c r="M100" s="35" t="n"/>
      <c r="N100" s="35" t="n"/>
      <c r="O100" s="22" t="n"/>
    </row>
    <row r="101">
      <c r="A101" s="24" t="n"/>
      <c r="B101" s="24" t="n"/>
      <c r="C101" s="24" t="n"/>
      <c r="D101" s="24" t="n"/>
      <c r="E101" s="24" t="n"/>
      <c r="F101" s="24" t="n"/>
      <c r="G101" s="24" t="n"/>
      <c r="H101" s="24" t="n"/>
      <c r="I101" s="24" t="n"/>
      <c r="J101" s="24" t="n"/>
      <c r="K101" s="24" t="n"/>
      <c r="L101" s="24">
        <f>IF(COUNTA(A101:K101,M101:O101)=0,"",IF(A101="","Evidence ID missing",IF(COUNTIF($A$4:$A$353,A101)&gt;1,"Duplicate Evidence ID",IF(B101="","AIR-ID missing",IF(COUNTIF('AI Register'!$A$4:$A$206,B101)=0,"AIR-ID not in AI Register",IF(OR(C101="",H101=""),"Artefact or location missing",IF(AND(M101&lt;&gt;"",NOT(ISNUMBER(M101))),"Completed / last reviewed is not a date",IF(AND(N101&lt;&gt;"",NOT(ISNUMBER(N101))),"Review due is not a date",IF(AND(ISNUMBER(N101),N101&lt;TODAY()),"Review date passed: re-review before citing by reference (Playbook §4.6)",IF(AND(G101="Accepted",ISNUMBER(M101),EDATE(M101,12)&lt;TODAY(),O101=""),"Over 12 months old: owner's still-holds review needed before citing by reference","Check against source"))))))))))</f>
        <v/>
      </c>
      <c r="M101" s="36" t="n"/>
      <c r="N101" s="36" t="n"/>
      <c r="O101" s="24" t="n"/>
    </row>
    <row r="102">
      <c r="A102" s="22" t="n"/>
      <c r="B102" s="22" t="n"/>
      <c r="C102" s="22" t="n"/>
      <c r="D102" s="22" t="n"/>
      <c r="E102" s="22" t="n"/>
      <c r="F102" s="22" t="n"/>
      <c r="G102" s="22" t="n"/>
      <c r="H102" s="22" t="n"/>
      <c r="I102" s="22" t="n"/>
      <c r="J102" s="22" t="n"/>
      <c r="K102" s="22" t="n"/>
      <c r="L102" s="22">
        <f>IF(COUNTA(A102:K102,M102:O102)=0,"",IF(A102="","Evidence ID missing",IF(COUNTIF($A$4:$A$353,A102)&gt;1,"Duplicate Evidence ID",IF(B102="","AIR-ID missing",IF(COUNTIF('AI Register'!$A$4:$A$206,B102)=0,"AIR-ID not in AI Register",IF(OR(C102="",H102=""),"Artefact or location missing",IF(AND(M102&lt;&gt;"",NOT(ISNUMBER(M102))),"Completed / last reviewed is not a date",IF(AND(N102&lt;&gt;"",NOT(ISNUMBER(N102))),"Review due is not a date",IF(AND(ISNUMBER(N102),N102&lt;TODAY()),"Review date passed: re-review before citing by reference (Playbook §4.6)",IF(AND(G102="Accepted",ISNUMBER(M102),EDATE(M102,12)&lt;TODAY(),O102=""),"Over 12 months old: owner's still-holds review needed before citing by reference","Check against source"))))))))))</f>
        <v/>
      </c>
      <c r="M102" s="35" t="n"/>
      <c r="N102" s="35" t="n"/>
      <c r="O102" s="22" t="n"/>
    </row>
    <row r="103">
      <c r="A103" s="24" t="n"/>
      <c r="B103" s="24" t="n"/>
      <c r="C103" s="24" t="n"/>
      <c r="D103" s="24" t="n"/>
      <c r="E103" s="24" t="n"/>
      <c r="F103" s="24" t="n"/>
      <c r="G103" s="24" t="n"/>
      <c r="H103" s="24" t="n"/>
      <c r="I103" s="24" t="n"/>
      <c r="J103" s="24" t="n"/>
      <c r="K103" s="24" t="n"/>
      <c r="L103" s="24">
        <f>IF(COUNTA(A103:K103,M103:O103)=0,"",IF(A103="","Evidence ID missing",IF(COUNTIF($A$4:$A$353,A103)&gt;1,"Duplicate Evidence ID",IF(B103="","AIR-ID missing",IF(COUNTIF('AI Register'!$A$4:$A$206,B103)=0,"AIR-ID not in AI Register",IF(OR(C103="",H103=""),"Artefact or location missing",IF(AND(M103&lt;&gt;"",NOT(ISNUMBER(M103))),"Completed / last reviewed is not a date",IF(AND(N103&lt;&gt;"",NOT(ISNUMBER(N103))),"Review due is not a date",IF(AND(ISNUMBER(N103),N103&lt;TODAY()),"Review date passed: re-review before citing by reference (Playbook §4.6)",IF(AND(G103="Accepted",ISNUMBER(M103),EDATE(M103,12)&lt;TODAY(),O103=""),"Over 12 months old: owner's still-holds review needed before citing by reference","Check against source"))))))))))</f>
        <v/>
      </c>
      <c r="M103" s="36" t="n"/>
      <c r="N103" s="36" t="n"/>
      <c r="O103" s="24" t="n"/>
    </row>
    <row r="104">
      <c r="A104" s="22" t="n"/>
      <c r="B104" s="22" t="n"/>
      <c r="C104" s="22" t="n"/>
      <c r="D104" s="22" t="n"/>
      <c r="E104" s="22" t="n"/>
      <c r="F104" s="22" t="n"/>
      <c r="G104" s="22" t="n"/>
      <c r="H104" s="22" t="n"/>
      <c r="I104" s="22" t="n"/>
      <c r="J104" s="22" t="n"/>
      <c r="K104" s="22" t="n"/>
      <c r="L104" s="22">
        <f>IF(COUNTA(A104:K104,M104:O104)=0,"",IF(A104="","Evidence ID missing",IF(COUNTIF($A$4:$A$353,A104)&gt;1,"Duplicate Evidence ID",IF(B104="","AIR-ID missing",IF(COUNTIF('AI Register'!$A$4:$A$206,B104)=0,"AIR-ID not in AI Register",IF(OR(C104="",H104=""),"Artefact or location missing",IF(AND(M104&lt;&gt;"",NOT(ISNUMBER(M104))),"Completed / last reviewed is not a date",IF(AND(N104&lt;&gt;"",NOT(ISNUMBER(N104))),"Review due is not a date",IF(AND(ISNUMBER(N104),N104&lt;TODAY()),"Review date passed: re-review before citing by reference (Playbook §4.6)",IF(AND(G104="Accepted",ISNUMBER(M104),EDATE(M104,12)&lt;TODAY(),O104=""),"Over 12 months old: owner's still-holds review needed before citing by reference","Check against source"))))))))))</f>
        <v/>
      </c>
      <c r="M104" s="35" t="n"/>
      <c r="N104" s="35" t="n"/>
      <c r="O104" s="22" t="n"/>
    </row>
    <row r="105">
      <c r="A105" s="24" t="n"/>
      <c r="B105" s="24" t="n"/>
      <c r="C105" s="24" t="n"/>
      <c r="D105" s="24" t="n"/>
      <c r="E105" s="24" t="n"/>
      <c r="F105" s="24" t="n"/>
      <c r="G105" s="24" t="n"/>
      <c r="H105" s="24" t="n"/>
      <c r="I105" s="24" t="n"/>
      <c r="J105" s="24" t="n"/>
      <c r="K105" s="24" t="n"/>
      <c r="L105" s="24">
        <f>IF(COUNTA(A105:K105,M105:O105)=0,"",IF(A105="","Evidence ID missing",IF(COUNTIF($A$4:$A$353,A105)&gt;1,"Duplicate Evidence ID",IF(B105="","AIR-ID missing",IF(COUNTIF('AI Register'!$A$4:$A$206,B105)=0,"AIR-ID not in AI Register",IF(OR(C105="",H105=""),"Artefact or location missing",IF(AND(M105&lt;&gt;"",NOT(ISNUMBER(M105))),"Completed / last reviewed is not a date",IF(AND(N105&lt;&gt;"",NOT(ISNUMBER(N105))),"Review due is not a date",IF(AND(ISNUMBER(N105),N105&lt;TODAY()),"Review date passed: re-review before citing by reference (Playbook §4.6)",IF(AND(G105="Accepted",ISNUMBER(M105),EDATE(M105,12)&lt;TODAY(),O105=""),"Over 12 months old: owner's still-holds review needed before citing by reference","Check against source"))))))))))</f>
        <v/>
      </c>
      <c r="M105" s="36" t="n"/>
      <c r="N105" s="36" t="n"/>
      <c r="O105" s="24" t="n"/>
    </row>
    <row r="106">
      <c r="A106" s="22" t="n"/>
      <c r="B106" s="22" t="n"/>
      <c r="C106" s="22" t="n"/>
      <c r="D106" s="22" t="n"/>
      <c r="E106" s="22" t="n"/>
      <c r="F106" s="22" t="n"/>
      <c r="G106" s="22" t="n"/>
      <c r="H106" s="22" t="n"/>
      <c r="I106" s="22" t="n"/>
      <c r="J106" s="22" t="n"/>
      <c r="K106" s="22" t="n"/>
      <c r="L106" s="22">
        <f>IF(COUNTA(A106:K106,M106:O106)=0,"",IF(A106="","Evidence ID missing",IF(COUNTIF($A$4:$A$353,A106)&gt;1,"Duplicate Evidence ID",IF(B106="","AIR-ID missing",IF(COUNTIF('AI Register'!$A$4:$A$206,B106)=0,"AIR-ID not in AI Register",IF(OR(C106="",H106=""),"Artefact or location missing",IF(AND(M106&lt;&gt;"",NOT(ISNUMBER(M106))),"Completed / last reviewed is not a date",IF(AND(N106&lt;&gt;"",NOT(ISNUMBER(N106))),"Review due is not a date",IF(AND(ISNUMBER(N106),N106&lt;TODAY()),"Review date passed: re-review before citing by reference (Playbook §4.6)",IF(AND(G106="Accepted",ISNUMBER(M106),EDATE(M106,12)&lt;TODAY(),O106=""),"Over 12 months old: owner's still-holds review needed before citing by reference","Check against source"))))))))))</f>
        <v/>
      </c>
      <c r="M106" s="35" t="n"/>
      <c r="N106" s="35" t="n"/>
      <c r="O106" s="22" t="n"/>
    </row>
    <row r="107">
      <c r="A107" s="24" t="n"/>
      <c r="B107" s="24" t="n"/>
      <c r="C107" s="24" t="n"/>
      <c r="D107" s="24" t="n"/>
      <c r="E107" s="24" t="n"/>
      <c r="F107" s="24" t="n"/>
      <c r="G107" s="24" t="n"/>
      <c r="H107" s="24" t="n"/>
      <c r="I107" s="24" t="n"/>
      <c r="J107" s="24" t="n"/>
      <c r="K107" s="24" t="n"/>
      <c r="L107" s="24">
        <f>IF(COUNTA(A107:K107,M107:O107)=0,"",IF(A107="","Evidence ID missing",IF(COUNTIF($A$4:$A$353,A107)&gt;1,"Duplicate Evidence ID",IF(B107="","AIR-ID missing",IF(COUNTIF('AI Register'!$A$4:$A$206,B107)=0,"AIR-ID not in AI Register",IF(OR(C107="",H107=""),"Artefact or location missing",IF(AND(M107&lt;&gt;"",NOT(ISNUMBER(M107))),"Completed / last reviewed is not a date",IF(AND(N107&lt;&gt;"",NOT(ISNUMBER(N107))),"Review due is not a date",IF(AND(ISNUMBER(N107),N107&lt;TODAY()),"Review date passed: re-review before citing by reference (Playbook §4.6)",IF(AND(G107="Accepted",ISNUMBER(M107),EDATE(M107,12)&lt;TODAY(),O107=""),"Over 12 months old: owner's still-holds review needed before citing by reference","Check against source"))))))))))</f>
        <v/>
      </c>
      <c r="M107" s="36" t="n"/>
      <c r="N107" s="36" t="n"/>
      <c r="O107" s="24" t="n"/>
    </row>
    <row r="108">
      <c r="A108" s="22" t="n"/>
      <c r="B108" s="22" t="n"/>
      <c r="C108" s="22" t="n"/>
      <c r="D108" s="22" t="n"/>
      <c r="E108" s="22" t="n"/>
      <c r="F108" s="22" t="n"/>
      <c r="G108" s="22" t="n"/>
      <c r="H108" s="22" t="n"/>
      <c r="I108" s="22" t="n"/>
      <c r="J108" s="22" t="n"/>
      <c r="K108" s="22" t="n"/>
      <c r="L108" s="22">
        <f>IF(COUNTA(A108:K108,M108:O108)=0,"",IF(A108="","Evidence ID missing",IF(COUNTIF($A$4:$A$353,A108)&gt;1,"Duplicate Evidence ID",IF(B108="","AIR-ID missing",IF(COUNTIF('AI Register'!$A$4:$A$206,B108)=0,"AIR-ID not in AI Register",IF(OR(C108="",H108=""),"Artefact or location missing",IF(AND(M108&lt;&gt;"",NOT(ISNUMBER(M108))),"Completed / last reviewed is not a date",IF(AND(N108&lt;&gt;"",NOT(ISNUMBER(N108))),"Review due is not a date",IF(AND(ISNUMBER(N108),N108&lt;TODAY()),"Review date passed: re-review before citing by reference (Playbook §4.6)",IF(AND(G108="Accepted",ISNUMBER(M108),EDATE(M108,12)&lt;TODAY(),O108=""),"Over 12 months old: owner's still-holds review needed before citing by reference","Check against source"))))))))))</f>
        <v/>
      </c>
      <c r="M108" s="35" t="n"/>
      <c r="N108" s="35" t="n"/>
      <c r="O108" s="22" t="n"/>
    </row>
    <row r="109">
      <c r="A109" s="24" t="n"/>
      <c r="B109" s="24" t="n"/>
      <c r="C109" s="24" t="n"/>
      <c r="D109" s="24" t="n"/>
      <c r="E109" s="24" t="n"/>
      <c r="F109" s="24" t="n"/>
      <c r="G109" s="24" t="n"/>
      <c r="H109" s="24" t="n"/>
      <c r="I109" s="24" t="n"/>
      <c r="J109" s="24" t="n"/>
      <c r="K109" s="24" t="n"/>
      <c r="L109" s="24">
        <f>IF(COUNTA(A109:K109,M109:O109)=0,"",IF(A109="","Evidence ID missing",IF(COUNTIF($A$4:$A$353,A109)&gt;1,"Duplicate Evidence ID",IF(B109="","AIR-ID missing",IF(COUNTIF('AI Register'!$A$4:$A$206,B109)=0,"AIR-ID not in AI Register",IF(OR(C109="",H109=""),"Artefact or location missing",IF(AND(M109&lt;&gt;"",NOT(ISNUMBER(M109))),"Completed / last reviewed is not a date",IF(AND(N109&lt;&gt;"",NOT(ISNUMBER(N109))),"Review due is not a date",IF(AND(ISNUMBER(N109),N109&lt;TODAY()),"Review date passed: re-review before citing by reference (Playbook §4.6)",IF(AND(G109="Accepted",ISNUMBER(M109),EDATE(M109,12)&lt;TODAY(),O109=""),"Over 12 months old: owner's still-holds review needed before citing by reference","Check against source"))))))))))</f>
        <v/>
      </c>
      <c r="M109" s="36" t="n"/>
      <c r="N109" s="36" t="n"/>
      <c r="O109" s="24" t="n"/>
    </row>
    <row r="110">
      <c r="A110" s="22" t="n"/>
      <c r="B110" s="22" t="n"/>
      <c r="C110" s="22" t="n"/>
      <c r="D110" s="22" t="n"/>
      <c r="E110" s="22" t="n"/>
      <c r="F110" s="22" t="n"/>
      <c r="G110" s="22" t="n"/>
      <c r="H110" s="22" t="n"/>
      <c r="I110" s="22" t="n"/>
      <c r="J110" s="22" t="n"/>
      <c r="K110" s="22" t="n"/>
      <c r="L110" s="22">
        <f>IF(COUNTA(A110:K110,M110:O110)=0,"",IF(A110="","Evidence ID missing",IF(COUNTIF($A$4:$A$353,A110)&gt;1,"Duplicate Evidence ID",IF(B110="","AIR-ID missing",IF(COUNTIF('AI Register'!$A$4:$A$206,B110)=0,"AIR-ID not in AI Register",IF(OR(C110="",H110=""),"Artefact or location missing",IF(AND(M110&lt;&gt;"",NOT(ISNUMBER(M110))),"Completed / last reviewed is not a date",IF(AND(N110&lt;&gt;"",NOT(ISNUMBER(N110))),"Review due is not a date",IF(AND(ISNUMBER(N110),N110&lt;TODAY()),"Review date passed: re-review before citing by reference (Playbook §4.6)",IF(AND(G110="Accepted",ISNUMBER(M110),EDATE(M110,12)&lt;TODAY(),O110=""),"Over 12 months old: owner's still-holds review needed before citing by reference","Check against source"))))))))))</f>
        <v/>
      </c>
      <c r="M110" s="35" t="n"/>
      <c r="N110" s="35" t="n"/>
      <c r="O110" s="22" t="n"/>
    </row>
    <row r="111">
      <c r="A111" s="24" t="n"/>
      <c r="B111" s="24" t="n"/>
      <c r="C111" s="24" t="n"/>
      <c r="D111" s="24" t="n"/>
      <c r="E111" s="24" t="n"/>
      <c r="F111" s="24" t="n"/>
      <c r="G111" s="24" t="n"/>
      <c r="H111" s="24" t="n"/>
      <c r="I111" s="24" t="n"/>
      <c r="J111" s="24" t="n"/>
      <c r="K111" s="24" t="n"/>
      <c r="L111" s="24">
        <f>IF(COUNTA(A111:K111,M111:O111)=0,"",IF(A111="","Evidence ID missing",IF(COUNTIF($A$4:$A$353,A111)&gt;1,"Duplicate Evidence ID",IF(B111="","AIR-ID missing",IF(COUNTIF('AI Register'!$A$4:$A$206,B111)=0,"AIR-ID not in AI Register",IF(OR(C111="",H111=""),"Artefact or location missing",IF(AND(M111&lt;&gt;"",NOT(ISNUMBER(M111))),"Completed / last reviewed is not a date",IF(AND(N111&lt;&gt;"",NOT(ISNUMBER(N111))),"Review due is not a date",IF(AND(ISNUMBER(N111),N111&lt;TODAY()),"Review date passed: re-review before citing by reference (Playbook §4.6)",IF(AND(G111="Accepted",ISNUMBER(M111),EDATE(M111,12)&lt;TODAY(),O111=""),"Over 12 months old: owner's still-holds review needed before citing by reference","Check against source"))))))))))</f>
        <v/>
      </c>
      <c r="M111" s="36" t="n"/>
      <c r="N111" s="36" t="n"/>
      <c r="O111" s="24" t="n"/>
    </row>
    <row r="112">
      <c r="A112" s="22" t="n"/>
      <c r="B112" s="22" t="n"/>
      <c r="C112" s="22" t="n"/>
      <c r="D112" s="22" t="n"/>
      <c r="E112" s="22" t="n"/>
      <c r="F112" s="22" t="n"/>
      <c r="G112" s="22" t="n"/>
      <c r="H112" s="22" t="n"/>
      <c r="I112" s="22" t="n"/>
      <c r="J112" s="22" t="n"/>
      <c r="K112" s="22" t="n"/>
      <c r="L112" s="22">
        <f>IF(COUNTA(A112:K112,M112:O112)=0,"",IF(A112="","Evidence ID missing",IF(COUNTIF($A$4:$A$353,A112)&gt;1,"Duplicate Evidence ID",IF(B112="","AIR-ID missing",IF(COUNTIF('AI Register'!$A$4:$A$206,B112)=0,"AIR-ID not in AI Register",IF(OR(C112="",H112=""),"Artefact or location missing",IF(AND(M112&lt;&gt;"",NOT(ISNUMBER(M112))),"Completed / last reviewed is not a date",IF(AND(N112&lt;&gt;"",NOT(ISNUMBER(N112))),"Review due is not a date",IF(AND(ISNUMBER(N112),N112&lt;TODAY()),"Review date passed: re-review before citing by reference (Playbook §4.6)",IF(AND(G112="Accepted",ISNUMBER(M112),EDATE(M112,12)&lt;TODAY(),O112=""),"Over 12 months old: owner's still-holds review needed before citing by reference","Check against source"))))))))))</f>
        <v/>
      </c>
      <c r="M112" s="35" t="n"/>
      <c r="N112" s="35" t="n"/>
      <c r="O112" s="22" t="n"/>
    </row>
    <row r="113">
      <c r="A113" s="24" t="n"/>
      <c r="B113" s="24" t="n"/>
      <c r="C113" s="24" t="n"/>
      <c r="D113" s="24" t="n"/>
      <c r="E113" s="24" t="n"/>
      <c r="F113" s="24" t="n"/>
      <c r="G113" s="24" t="n"/>
      <c r="H113" s="24" t="n"/>
      <c r="I113" s="24" t="n"/>
      <c r="J113" s="24" t="n"/>
      <c r="K113" s="24" t="n"/>
      <c r="L113" s="24">
        <f>IF(COUNTA(A113:K113,M113:O113)=0,"",IF(A113="","Evidence ID missing",IF(COUNTIF($A$4:$A$353,A113)&gt;1,"Duplicate Evidence ID",IF(B113="","AIR-ID missing",IF(COUNTIF('AI Register'!$A$4:$A$206,B113)=0,"AIR-ID not in AI Register",IF(OR(C113="",H113=""),"Artefact or location missing",IF(AND(M113&lt;&gt;"",NOT(ISNUMBER(M113))),"Completed / last reviewed is not a date",IF(AND(N113&lt;&gt;"",NOT(ISNUMBER(N113))),"Review due is not a date",IF(AND(ISNUMBER(N113),N113&lt;TODAY()),"Review date passed: re-review before citing by reference (Playbook §4.6)",IF(AND(G113="Accepted",ISNUMBER(M113),EDATE(M113,12)&lt;TODAY(),O113=""),"Over 12 months old: owner's still-holds review needed before citing by reference","Check against source"))))))))))</f>
        <v/>
      </c>
      <c r="M113" s="36" t="n"/>
      <c r="N113" s="36" t="n"/>
      <c r="O113" s="24" t="n"/>
    </row>
    <row r="114">
      <c r="A114" s="22" t="n"/>
      <c r="B114" s="22" t="n"/>
      <c r="C114" s="22" t="n"/>
      <c r="D114" s="22" t="n"/>
      <c r="E114" s="22" t="n"/>
      <c r="F114" s="22" t="n"/>
      <c r="G114" s="22" t="n"/>
      <c r="H114" s="22" t="n"/>
      <c r="I114" s="22" t="n"/>
      <c r="J114" s="22" t="n"/>
      <c r="K114" s="22" t="n"/>
      <c r="L114" s="22">
        <f>IF(COUNTA(A114:K114,M114:O114)=0,"",IF(A114="","Evidence ID missing",IF(COUNTIF($A$4:$A$353,A114)&gt;1,"Duplicate Evidence ID",IF(B114="","AIR-ID missing",IF(COUNTIF('AI Register'!$A$4:$A$206,B114)=0,"AIR-ID not in AI Register",IF(OR(C114="",H114=""),"Artefact or location missing",IF(AND(M114&lt;&gt;"",NOT(ISNUMBER(M114))),"Completed / last reviewed is not a date",IF(AND(N114&lt;&gt;"",NOT(ISNUMBER(N114))),"Review due is not a date",IF(AND(ISNUMBER(N114),N114&lt;TODAY()),"Review date passed: re-review before citing by reference (Playbook §4.6)",IF(AND(G114="Accepted",ISNUMBER(M114),EDATE(M114,12)&lt;TODAY(),O114=""),"Over 12 months old: owner's still-holds review needed before citing by reference","Check against source"))))))))))</f>
        <v/>
      </c>
      <c r="M114" s="35" t="n"/>
      <c r="N114" s="35" t="n"/>
      <c r="O114" s="22" t="n"/>
    </row>
    <row r="115">
      <c r="A115" s="24" t="n"/>
      <c r="B115" s="24" t="n"/>
      <c r="C115" s="24" t="n"/>
      <c r="D115" s="24" t="n"/>
      <c r="E115" s="24" t="n"/>
      <c r="F115" s="24" t="n"/>
      <c r="G115" s="24" t="n"/>
      <c r="H115" s="24" t="n"/>
      <c r="I115" s="24" t="n"/>
      <c r="J115" s="24" t="n"/>
      <c r="K115" s="24" t="n"/>
      <c r="L115" s="24">
        <f>IF(COUNTA(A115:K115,M115:O115)=0,"",IF(A115="","Evidence ID missing",IF(COUNTIF($A$4:$A$353,A115)&gt;1,"Duplicate Evidence ID",IF(B115="","AIR-ID missing",IF(COUNTIF('AI Register'!$A$4:$A$206,B115)=0,"AIR-ID not in AI Register",IF(OR(C115="",H115=""),"Artefact or location missing",IF(AND(M115&lt;&gt;"",NOT(ISNUMBER(M115))),"Completed / last reviewed is not a date",IF(AND(N115&lt;&gt;"",NOT(ISNUMBER(N115))),"Review due is not a date",IF(AND(ISNUMBER(N115),N115&lt;TODAY()),"Review date passed: re-review before citing by reference (Playbook §4.6)",IF(AND(G115="Accepted",ISNUMBER(M115),EDATE(M115,12)&lt;TODAY(),O115=""),"Over 12 months old: owner's still-holds review needed before citing by reference","Check against source"))))))))))</f>
        <v/>
      </c>
      <c r="M115" s="36" t="n"/>
      <c r="N115" s="36" t="n"/>
      <c r="O115" s="24" t="n"/>
    </row>
    <row r="116">
      <c r="A116" s="22" t="n"/>
      <c r="B116" s="22" t="n"/>
      <c r="C116" s="22" t="n"/>
      <c r="D116" s="22" t="n"/>
      <c r="E116" s="22" t="n"/>
      <c r="F116" s="22" t="n"/>
      <c r="G116" s="22" t="n"/>
      <c r="H116" s="22" t="n"/>
      <c r="I116" s="22" t="n"/>
      <c r="J116" s="22" t="n"/>
      <c r="K116" s="22" t="n"/>
      <c r="L116" s="22">
        <f>IF(COUNTA(A116:K116,M116:O116)=0,"",IF(A116="","Evidence ID missing",IF(COUNTIF($A$4:$A$353,A116)&gt;1,"Duplicate Evidence ID",IF(B116="","AIR-ID missing",IF(COUNTIF('AI Register'!$A$4:$A$206,B116)=0,"AIR-ID not in AI Register",IF(OR(C116="",H116=""),"Artefact or location missing",IF(AND(M116&lt;&gt;"",NOT(ISNUMBER(M116))),"Completed / last reviewed is not a date",IF(AND(N116&lt;&gt;"",NOT(ISNUMBER(N116))),"Review due is not a date",IF(AND(ISNUMBER(N116),N116&lt;TODAY()),"Review date passed: re-review before citing by reference (Playbook §4.6)",IF(AND(G116="Accepted",ISNUMBER(M116),EDATE(M116,12)&lt;TODAY(),O116=""),"Over 12 months old: owner's still-holds review needed before citing by reference","Check against source"))))))))))</f>
        <v/>
      </c>
      <c r="M116" s="35" t="n"/>
      <c r="N116" s="35" t="n"/>
      <c r="O116" s="22" t="n"/>
    </row>
    <row r="117">
      <c r="A117" s="24" t="n"/>
      <c r="B117" s="24" t="n"/>
      <c r="C117" s="24" t="n"/>
      <c r="D117" s="24" t="n"/>
      <c r="E117" s="24" t="n"/>
      <c r="F117" s="24" t="n"/>
      <c r="G117" s="24" t="n"/>
      <c r="H117" s="24" t="n"/>
      <c r="I117" s="24" t="n"/>
      <c r="J117" s="24" t="n"/>
      <c r="K117" s="24" t="n"/>
      <c r="L117" s="24">
        <f>IF(COUNTA(A117:K117,M117:O117)=0,"",IF(A117="","Evidence ID missing",IF(COUNTIF($A$4:$A$353,A117)&gt;1,"Duplicate Evidence ID",IF(B117="","AIR-ID missing",IF(COUNTIF('AI Register'!$A$4:$A$206,B117)=0,"AIR-ID not in AI Register",IF(OR(C117="",H117=""),"Artefact or location missing",IF(AND(M117&lt;&gt;"",NOT(ISNUMBER(M117))),"Completed / last reviewed is not a date",IF(AND(N117&lt;&gt;"",NOT(ISNUMBER(N117))),"Review due is not a date",IF(AND(ISNUMBER(N117),N117&lt;TODAY()),"Review date passed: re-review before citing by reference (Playbook §4.6)",IF(AND(G117="Accepted",ISNUMBER(M117),EDATE(M117,12)&lt;TODAY(),O117=""),"Over 12 months old: owner's still-holds review needed before citing by reference","Check against source"))))))))))</f>
        <v/>
      </c>
      <c r="M117" s="36" t="n"/>
      <c r="N117" s="36" t="n"/>
      <c r="O117" s="24" t="n"/>
    </row>
    <row r="118">
      <c r="A118" s="22" t="n"/>
      <c r="B118" s="22" t="n"/>
      <c r="C118" s="22" t="n"/>
      <c r="D118" s="22" t="n"/>
      <c r="E118" s="22" t="n"/>
      <c r="F118" s="22" t="n"/>
      <c r="G118" s="22" t="n"/>
      <c r="H118" s="22" t="n"/>
      <c r="I118" s="22" t="n"/>
      <c r="J118" s="22" t="n"/>
      <c r="K118" s="22" t="n"/>
      <c r="L118" s="22">
        <f>IF(COUNTA(A118:K118,M118:O118)=0,"",IF(A118="","Evidence ID missing",IF(COUNTIF($A$4:$A$353,A118)&gt;1,"Duplicate Evidence ID",IF(B118="","AIR-ID missing",IF(COUNTIF('AI Register'!$A$4:$A$206,B118)=0,"AIR-ID not in AI Register",IF(OR(C118="",H118=""),"Artefact or location missing",IF(AND(M118&lt;&gt;"",NOT(ISNUMBER(M118))),"Completed / last reviewed is not a date",IF(AND(N118&lt;&gt;"",NOT(ISNUMBER(N118))),"Review due is not a date",IF(AND(ISNUMBER(N118),N118&lt;TODAY()),"Review date passed: re-review before citing by reference (Playbook §4.6)",IF(AND(G118="Accepted",ISNUMBER(M118),EDATE(M118,12)&lt;TODAY(),O118=""),"Over 12 months old: owner's still-holds review needed before citing by reference","Check against source"))))))))))</f>
        <v/>
      </c>
      <c r="M118" s="35" t="n"/>
      <c r="N118" s="35" t="n"/>
      <c r="O118" s="22" t="n"/>
    </row>
    <row r="119">
      <c r="A119" s="24" t="n"/>
      <c r="B119" s="24" t="n"/>
      <c r="C119" s="24" t="n"/>
      <c r="D119" s="24" t="n"/>
      <c r="E119" s="24" t="n"/>
      <c r="F119" s="24" t="n"/>
      <c r="G119" s="24" t="n"/>
      <c r="H119" s="24" t="n"/>
      <c r="I119" s="24" t="n"/>
      <c r="J119" s="24" t="n"/>
      <c r="K119" s="24" t="n"/>
      <c r="L119" s="24">
        <f>IF(COUNTA(A119:K119,M119:O119)=0,"",IF(A119="","Evidence ID missing",IF(COUNTIF($A$4:$A$353,A119)&gt;1,"Duplicate Evidence ID",IF(B119="","AIR-ID missing",IF(COUNTIF('AI Register'!$A$4:$A$206,B119)=0,"AIR-ID not in AI Register",IF(OR(C119="",H119=""),"Artefact or location missing",IF(AND(M119&lt;&gt;"",NOT(ISNUMBER(M119))),"Completed / last reviewed is not a date",IF(AND(N119&lt;&gt;"",NOT(ISNUMBER(N119))),"Review due is not a date",IF(AND(ISNUMBER(N119),N119&lt;TODAY()),"Review date passed: re-review before citing by reference (Playbook §4.6)",IF(AND(G119="Accepted",ISNUMBER(M119),EDATE(M119,12)&lt;TODAY(),O119=""),"Over 12 months old: owner's still-holds review needed before citing by reference","Check against source"))))))))))</f>
        <v/>
      </c>
      <c r="M119" s="36" t="n"/>
      <c r="N119" s="36" t="n"/>
      <c r="O119" s="24" t="n"/>
    </row>
    <row r="120">
      <c r="A120" s="22" t="n"/>
      <c r="B120" s="22" t="n"/>
      <c r="C120" s="22" t="n"/>
      <c r="D120" s="22" t="n"/>
      <c r="E120" s="22" t="n"/>
      <c r="F120" s="22" t="n"/>
      <c r="G120" s="22" t="n"/>
      <c r="H120" s="22" t="n"/>
      <c r="I120" s="22" t="n"/>
      <c r="J120" s="22" t="n"/>
      <c r="K120" s="22" t="n"/>
      <c r="L120" s="22">
        <f>IF(COUNTA(A120:K120,M120:O120)=0,"",IF(A120="","Evidence ID missing",IF(COUNTIF($A$4:$A$353,A120)&gt;1,"Duplicate Evidence ID",IF(B120="","AIR-ID missing",IF(COUNTIF('AI Register'!$A$4:$A$206,B120)=0,"AIR-ID not in AI Register",IF(OR(C120="",H120=""),"Artefact or location missing",IF(AND(M120&lt;&gt;"",NOT(ISNUMBER(M120))),"Completed / last reviewed is not a date",IF(AND(N120&lt;&gt;"",NOT(ISNUMBER(N120))),"Review due is not a date",IF(AND(ISNUMBER(N120),N120&lt;TODAY()),"Review date passed: re-review before citing by reference (Playbook §4.6)",IF(AND(G120="Accepted",ISNUMBER(M120),EDATE(M120,12)&lt;TODAY(),O120=""),"Over 12 months old: owner's still-holds review needed before citing by reference","Check against source"))))))))))</f>
        <v/>
      </c>
      <c r="M120" s="35" t="n"/>
      <c r="N120" s="35" t="n"/>
      <c r="O120" s="22" t="n"/>
    </row>
    <row r="121">
      <c r="A121" s="24" t="n"/>
      <c r="B121" s="24" t="n"/>
      <c r="C121" s="24" t="n"/>
      <c r="D121" s="24" t="n"/>
      <c r="E121" s="24" t="n"/>
      <c r="F121" s="24" t="n"/>
      <c r="G121" s="24" t="n"/>
      <c r="H121" s="24" t="n"/>
      <c r="I121" s="24" t="n"/>
      <c r="J121" s="24" t="n"/>
      <c r="K121" s="24" t="n"/>
      <c r="L121" s="24">
        <f>IF(COUNTA(A121:K121,M121:O121)=0,"",IF(A121="","Evidence ID missing",IF(COUNTIF($A$4:$A$353,A121)&gt;1,"Duplicate Evidence ID",IF(B121="","AIR-ID missing",IF(COUNTIF('AI Register'!$A$4:$A$206,B121)=0,"AIR-ID not in AI Register",IF(OR(C121="",H121=""),"Artefact or location missing",IF(AND(M121&lt;&gt;"",NOT(ISNUMBER(M121))),"Completed / last reviewed is not a date",IF(AND(N121&lt;&gt;"",NOT(ISNUMBER(N121))),"Review due is not a date",IF(AND(ISNUMBER(N121),N121&lt;TODAY()),"Review date passed: re-review before citing by reference (Playbook §4.6)",IF(AND(G121="Accepted",ISNUMBER(M121),EDATE(M121,12)&lt;TODAY(),O121=""),"Over 12 months old: owner's still-holds review needed before citing by reference","Check against source"))))))))))</f>
        <v/>
      </c>
      <c r="M121" s="36" t="n"/>
      <c r="N121" s="36" t="n"/>
      <c r="O121" s="24" t="n"/>
    </row>
    <row r="122">
      <c r="A122" s="22" t="n"/>
      <c r="B122" s="22" t="n"/>
      <c r="C122" s="22" t="n"/>
      <c r="D122" s="22" t="n"/>
      <c r="E122" s="22" t="n"/>
      <c r="F122" s="22" t="n"/>
      <c r="G122" s="22" t="n"/>
      <c r="H122" s="22" t="n"/>
      <c r="I122" s="22" t="n"/>
      <c r="J122" s="22" t="n"/>
      <c r="K122" s="22" t="n"/>
      <c r="L122" s="22">
        <f>IF(COUNTA(A122:K122,M122:O122)=0,"",IF(A122="","Evidence ID missing",IF(COUNTIF($A$4:$A$353,A122)&gt;1,"Duplicate Evidence ID",IF(B122="","AIR-ID missing",IF(COUNTIF('AI Register'!$A$4:$A$206,B122)=0,"AIR-ID not in AI Register",IF(OR(C122="",H122=""),"Artefact or location missing",IF(AND(M122&lt;&gt;"",NOT(ISNUMBER(M122))),"Completed / last reviewed is not a date",IF(AND(N122&lt;&gt;"",NOT(ISNUMBER(N122))),"Review due is not a date",IF(AND(ISNUMBER(N122),N122&lt;TODAY()),"Review date passed: re-review before citing by reference (Playbook §4.6)",IF(AND(G122="Accepted",ISNUMBER(M122),EDATE(M122,12)&lt;TODAY(),O122=""),"Over 12 months old: owner's still-holds review needed before citing by reference","Check against source"))))))))))</f>
        <v/>
      </c>
      <c r="M122" s="35" t="n"/>
      <c r="N122" s="35" t="n"/>
      <c r="O122" s="22" t="n"/>
    </row>
    <row r="123">
      <c r="A123" s="24" t="n"/>
      <c r="B123" s="24" t="n"/>
      <c r="C123" s="24" t="n"/>
      <c r="D123" s="24" t="n"/>
      <c r="E123" s="24" t="n"/>
      <c r="F123" s="24" t="n"/>
      <c r="G123" s="24" t="n"/>
      <c r="H123" s="24" t="n"/>
      <c r="I123" s="24" t="n"/>
      <c r="J123" s="24" t="n"/>
      <c r="K123" s="24" t="n"/>
      <c r="L123" s="24">
        <f>IF(COUNTA(A123:K123,M123:O123)=0,"",IF(A123="","Evidence ID missing",IF(COUNTIF($A$4:$A$353,A123)&gt;1,"Duplicate Evidence ID",IF(B123="","AIR-ID missing",IF(COUNTIF('AI Register'!$A$4:$A$206,B123)=0,"AIR-ID not in AI Register",IF(OR(C123="",H123=""),"Artefact or location missing",IF(AND(M123&lt;&gt;"",NOT(ISNUMBER(M123))),"Completed / last reviewed is not a date",IF(AND(N123&lt;&gt;"",NOT(ISNUMBER(N123))),"Review due is not a date",IF(AND(ISNUMBER(N123),N123&lt;TODAY()),"Review date passed: re-review before citing by reference (Playbook §4.6)",IF(AND(G123="Accepted",ISNUMBER(M123),EDATE(M123,12)&lt;TODAY(),O123=""),"Over 12 months old: owner's still-holds review needed before citing by reference","Check against source"))))))))))</f>
        <v/>
      </c>
      <c r="M123" s="36" t="n"/>
      <c r="N123" s="36" t="n"/>
      <c r="O123" s="24" t="n"/>
    </row>
    <row r="124">
      <c r="A124" s="22" t="n"/>
      <c r="B124" s="22" t="n"/>
      <c r="C124" s="22" t="n"/>
      <c r="D124" s="22" t="n"/>
      <c r="E124" s="22" t="n"/>
      <c r="F124" s="22" t="n"/>
      <c r="G124" s="22" t="n"/>
      <c r="H124" s="22" t="n"/>
      <c r="I124" s="22" t="n"/>
      <c r="J124" s="22" t="n"/>
      <c r="K124" s="22" t="n"/>
      <c r="L124" s="22">
        <f>IF(COUNTA(A124:K124,M124:O124)=0,"",IF(A124="","Evidence ID missing",IF(COUNTIF($A$4:$A$353,A124)&gt;1,"Duplicate Evidence ID",IF(B124="","AIR-ID missing",IF(COUNTIF('AI Register'!$A$4:$A$206,B124)=0,"AIR-ID not in AI Register",IF(OR(C124="",H124=""),"Artefact or location missing",IF(AND(M124&lt;&gt;"",NOT(ISNUMBER(M124))),"Completed / last reviewed is not a date",IF(AND(N124&lt;&gt;"",NOT(ISNUMBER(N124))),"Review due is not a date",IF(AND(ISNUMBER(N124),N124&lt;TODAY()),"Review date passed: re-review before citing by reference (Playbook §4.6)",IF(AND(G124="Accepted",ISNUMBER(M124),EDATE(M124,12)&lt;TODAY(),O124=""),"Over 12 months old: owner's still-holds review needed before citing by reference","Check against source"))))))))))</f>
        <v/>
      </c>
      <c r="M124" s="35" t="n"/>
      <c r="N124" s="35" t="n"/>
      <c r="O124" s="22" t="n"/>
    </row>
    <row r="125">
      <c r="A125" s="24" t="n"/>
      <c r="B125" s="24" t="n"/>
      <c r="C125" s="24" t="n"/>
      <c r="D125" s="24" t="n"/>
      <c r="E125" s="24" t="n"/>
      <c r="F125" s="24" t="n"/>
      <c r="G125" s="24" t="n"/>
      <c r="H125" s="24" t="n"/>
      <c r="I125" s="24" t="n"/>
      <c r="J125" s="24" t="n"/>
      <c r="K125" s="24" t="n"/>
      <c r="L125" s="24">
        <f>IF(COUNTA(A125:K125,M125:O125)=0,"",IF(A125="","Evidence ID missing",IF(COUNTIF($A$4:$A$353,A125)&gt;1,"Duplicate Evidence ID",IF(B125="","AIR-ID missing",IF(COUNTIF('AI Register'!$A$4:$A$206,B125)=0,"AIR-ID not in AI Register",IF(OR(C125="",H125=""),"Artefact or location missing",IF(AND(M125&lt;&gt;"",NOT(ISNUMBER(M125))),"Completed / last reviewed is not a date",IF(AND(N125&lt;&gt;"",NOT(ISNUMBER(N125))),"Review due is not a date",IF(AND(ISNUMBER(N125),N125&lt;TODAY()),"Review date passed: re-review before citing by reference (Playbook §4.6)",IF(AND(G125="Accepted",ISNUMBER(M125),EDATE(M125,12)&lt;TODAY(),O125=""),"Over 12 months old: owner's still-holds review needed before citing by reference","Check against source"))))))))))</f>
        <v/>
      </c>
      <c r="M125" s="36" t="n"/>
      <c r="N125" s="36" t="n"/>
      <c r="O125" s="24" t="n"/>
    </row>
    <row r="126">
      <c r="A126" s="22" t="n"/>
      <c r="B126" s="22" t="n"/>
      <c r="C126" s="22" t="n"/>
      <c r="D126" s="22" t="n"/>
      <c r="E126" s="22" t="n"/>
      <c r="F126" s="22" t="n"/>
      <c r="G126" s="22" t="n"/>
      <c r="H126" s="22" t="n"/>
      <c r="I126" s="22" t="n"/>
      <c r="J126" s="22" t="n"/>
      <c r="K126" s="22" t="n"/>
      <c r="L126" s="22">
        <f>IF(COUNTA(A126:K126,M126:O126)=0,"",IF(A126="","Evidence ID missing",IF(COUNTIF($A$4:$A$353,A126)&gt;1,"Duplicate Evidence ID",IF(B126="","AIR-ID missing",IF(COUNTIF('AI Register'!$A$4:$A$206,B126)=0,"AIR-ID not in AI Register",IF(OR(C126="",H126=""),"Artefact or location missing",IF(AND(M126&lt;&gt;"",NOT(ISNUMBER(M126))),"Completed / last reviewed is not a date",IF(AND(N126&lt;&gt;"",NOT(ISNUMBER(N126))),"Review due is not a date",IF(AND(ISNUMBER(N126),N126&lt;TODAY()),"Review date passed: re-review before citing by reference (Playbook §4.6)",IF(AND(G126="Accepted",ISNUMBER(M126),EDATE(M126,12)&lt;TODAY(),O126=""),"Over 12 months old: owner's still-holds review needed before citing by reference","Check against source"))))))))))</f>
        <v/>
      </c>
      <c r="M126" s="35" t="n"/>
      <c r="N126" s="35" t="n"/>
      <c r="O126" s="22" t="n"/>
    </row>
    <row r="127">
      <c r="A127" s="24" t="n"/>
      <c r="B127" s="24" t="n"/>
      <c r="C127" s="24" t="n"/>
      <c r="D127" s="24" t="n"/>
      <c r="E127" s="24" t="n"/>
      <c r="F127" s="24" t="n"/>
      <c r="G127" s="24" t="n"/>
      <c r="H127" s="24" t="n"/>
      <c r="I127" s="24" t="n"/>
      <c r="J127" s="24" t="n"/>
      <c r="K127" s="24" t="n"/>
      <c r="L127" s="24">
        <f>IF(COUNTA(A127:K127,M127:O127)=0,"",IF(A127="","Evidence ID missing",IF(COUNTIF($A$4:$A$353,A127)&gt;1,"Duplicate Evidence ID",IF(B127="","AIR-ID missing",IF(COUNTIF('AI Register'!$A$4:$A$206,B127)=0,"AIR-ID not in AI Register",IF(OR(C127="",H127=""),"Artefact or location missing",IF(AND(M127&lt;&gt;"",NOT(ISNUMBER(M127))),"Completed / last reviewed is not a date",IF(AND(N127&lt;&gt;"",NOT(ISNUMBER(N127))),"Review due is not a date",IF(AND(ISNUMBER(N127),N127&lt;TODAY()),"Review date passed: re-review before citing by reference (Playbook §4.6)",IF(AND(G127="Accepted",ISNUMBER(M127),EDATE(M127,12)&lt;TODAY(),O127=""),"Over 12 months old: owner's still-holds review needed before citing by reference","Check against source"))))))))))</f>
        <v/>
      </c>
      <c r="M127" s="36" t="n"/>
      <c r="N127" s="36" t="n"/>
      <c r="O127" s="24" t="n"/>
    </row>
    <row r="128">
      <c r="A128" s="22" t="n"/>
      <c r="B128" s="22" t="n"/>
      <c r="C128" s="22" t="n"/>
      <c r="D128" s="22" t="n"/>
      <c r="E128" s="22" t="n"/>
      <c r="F128" s="22" t="n"/>
      <c r="G128" s="22" t="n"/>
      <c r="H128" s="22" t="n"/>
      <c r="I128" s="22" t="n"/>
      <c r="J128" s="22" t="n"/>
      <c r="K128" s="22" t="n"/>
      <c r="L128" s="22">
        <f>IF(COUNTA(A128:K128,M128:O128)=0,"",IF(A128="","Evidence ID missing",IF(COUNTIF($A$4:$A$353,A128)&gt;1,"Duplicate Evidence ID",IF(B128="","AIR-ID missing",IF(COUNTIF('AI Register'!$A$4:$A$206,B128)=0,"AIR-ID not in AI Register",IF(OR(C128="",H128=""),"Artefact or location missing",IF(AND(M128&lt;&gt;"",NOT(ISNUMBER(M128))),"Completed / last reviewed is not a date",IF(AND(N128&lt;&gt;"",NOT(ISNUMBER(N128))),"Review due is not a date",IF(AND(ISNUMBER(N128),N128&lt;TODAY()),"Review date passed: re-review before citing by reference (Playbook §4.6)",IF(AND(G128="Accepted",ISNUMBER(M128),EDATE(M128,12)&lt;TODAY(),O128=""),"Over 12 months old: owner's still-holds review needed before citing by reference","Check against source"))))))))))</f>
        <v/>
      </c>
      <c r="M128" s="35" t="n"/>
      <c r="N128" s="35" t="n"/>
      <c r="O128" s="22" t="n"/>
    </row>
    <row r="129">
      <c r="A129" s="24" t="n"/>
      <c r="B129" s="24" t="n"/>
      <c r="C129" s="24" t="n"/>
      <c r="D129" s="24" t="n"/>
      <c r="E129" s="24" t="n"/>
      <c r="F129" s="24" t="n"/>
      <c r="G129" s="24" t="n"/>
      <c r="H129" s="24" t="n"/>
      <c r="I129" s="24" t="n"/>
      <c r="J129" s="24" t="n"/>
      <c r="K129" s="24" t="n"/>
      <c r="L129" s="24">
        <f>IF(COUNTA(A129:K129,M129:O129)=0,"",IF(A129="","Evidence ID missing",IF(COUNTIF($A$4:$A$353,A129)&gt;1,"Duplicate Evidence ID",IF(B129="","AIR-ID missing",IF(COUNTIF('AI Register'!$A$4:$A$206,B129)=0,"AIR-ID not in AI Register",IF(OR(C129="",H129=""),"Artefact or location missing",IF(AND(M129&lt;&gt;"",NOT(ISNUMBER(M129))),"Completed / last reviewed is not a date",IF(AND(N129&lt;&gt;"",NOT(ISNUMBER(N129))),"Review due is not a date",IF(AND(ISNUMBER(N129),N129&lt;TODAY()),"Review date passed: re-review before citing by reference (Playbook §4.6)",IF(AND(G129="Accepted",ISNUMBER(M129),EDATE(M129,12)&lt;TODAY(),O129=""),"Over 12 months old: owner's still-holds review needed before citing by reference","Check against source"))))))))))</f>
        <v/>
      </c>
      <c r="M129" s="36" t="n"/>
      <c r="N129" s="36" t="n"/>
      <c r="O129" s="24" t="n"/>
    </row>
    <row r="130">
      <c r="A130" s="22" t="n"/>
      <c r="B130" s="22" t="n"/>
      <c r="C130" s="22" t="n"/>
      <c r="D130" s="22" t="n"/>
      <c r="E130" s="22" t="n"/>
      <c r="F130" s="22" t="n"/>
      <c r="G130" s="22" t="n"/>
      <c r="H130" s="22" t="n"/>
      <c r="I130" s="22" t="n"/>
      <c r="J130" s="22" t="n"/>
      <c r="K130" s="22" t="n"/>
      <c r="L130" s="22">
        <f>IF(COUNTA(A130:K130,M130:O130)=0,"",IF(A130="","Evidence ID missing",IF(COUNTIF($A$4:$A$353,A130)&gt;1,"Duplicate Evidence ID",IF(B130="","AIR-ID missing",IF(COUNTIF('AI Register'!$A$4:$A$206,B130)=0,"AIR-ID not in AI Register",IF(OR(C130="",H130=""),"Artefact or location missing",IF(AND(M130&lt;&gt;"",NOT(ISNUMBER(M130))),"Completed / last reviewed is not a date",IF(AND(N130&lt;&gt;"",NOT(ISNUMBER(N130))),"Review due is not a date",IF(AND(ISNUMBER(N130),N130&lt;TODAY()),"Review date passed: re-review before citing by reference (Playbook §4.6)",IF(AND(G130="Accepted",ISNUMBER(M130),EDATE(M130,12)&lt;TODAY(),O130=""),"Over 12 months old: owner's still-holds review needed before citing by reference","Check against source"))))))))))</f>
        <v/>
      </c>
      <c r="M130" s="35" t="n"/>
      <c r="N130" s="35" t="n"/>
      <c r="O130" s="22" t="n"/>
    </row>
    <row r="131">
      <c r="A131" s="24" t="n"/>
      <c r="B131" s="24" t="n"/>
      <c r="C131" s="24" t="n"/>
      <c r="D131" s="24" t="n"/>
      <c r="E131" s="24" t="n"/>
      <c r="F131" s="24" t="n"/>
      <c r="G131" s="24" t="n"/>
      <c r="H131" s="24" t="n"/>
      <c r="I131" s="24" t="n"/>
      <c r="J131" s="24" t="n"/>
      <c r="K131" s="24" t="n"/>
      <c r="L131" s="24">
        <f>IF(COUNTA(A131:K131,M131:O131)=0,"",IF(A131="","Evidence ID missing",IF(COUNTIF($A$4:$A$353,A131)&gt;1,"Duplicate Evidence ID",IF(B131="","AIR-ID missing",IF(COUNTIF('AI Register'!$A$4:$A$206,B131)=0,"AIR-ID not in AI Register",IF(OR(C131="",H131=""),"Artefact or location missing",IF(AND(M131&lt;&gt;"",NOT(ISNUMBER(M131))),"Completed / last reviewed is not a date",IF(AND(N131&lt;&gt;"",NOT(ISNUMBER(N131))),"Review due is not a date",IF(AND(ISNUMBER(N131),N131&lt;TODAY()),"Review date passed: re-review before citing by reference (Playbook §4.6)",IF(AND(G131="Accepted",ISNUMBER(M131),EDATE(M131,12)&lt;TODAY(),O131=""),"Over 12 months old: owner's still-holds review needed before citing by reference","Check against source"))))))))))</f>
        <v/>
      </c>
      <c r="M131" s="36" t="n"/>
      <c r="N131" s="36" t="n"/>
      <c r="O131" s="24" t="n"/>
    </row>
    <row r="132">
      <c r="A132" s="22" t="n"/>
      <c r="B132" s="22" t="n"/>
      <c r="C132" s="22" t="n"/>
      <c r="D132" s="22" t="n"/>
      <c r="E132" s="22" t="n"/>
      <c r="F132" s="22" t="n"/>
      <c r="G132" s="22" t="n"/>
      <c r="H132" s="22" t="n"/>
      <c r="I132" s="22" t="n"/>
      <c r="J132" s="22" t="n"/>
      <c r="K132" s="22" t="n"/>
      <c r="L132" s="22">
        <f>IF(COUNTA(A132:K132,M132:O132)=0,"",IF(A132="","Evidence ID missing",IF(COUNTIF($A$4:$A$353,A132)&gt;1,"Duplicate Evidence ID",IF(B132="","AIR-ID missing",IF(COUNTIF('AI Register'!$A$4:$A$206,B132)=0,"AIR-ID not in AI Register",IF(OR(C132="",H132=""),"Artefact or location missing",IF(AND(M132&lt;&gt;"",NOT(ISNUMBER(M132))),"Completed / last reviewed is not a date",IF(AND(N132&lt;&gt;"",NOT(ISNUMBER(N132))),"Review due is not a date",IF(AND(ISNUMBER(N132),N132&lt;TODAY()),"Review date passed: re-review before citing by reference (Playbook §4.6)",IF(AND(G132="Accepted",ISNUMBER(M132),EDATE(M132,12)&lt;TODAY(),O132=""),"Over 12 months old: owner's still-holds review needed before citing by reference","Check against source"))))))))))</f>
        <v/>
      </c>
      <c r="M132" s="35" t="n"/>
      <c r="N132" s="35" t="n"/>
      <c r="O132" s="22" t="n"/>
    </row>
    <row r="133">
      <c r="A133" s="24" t="n"/>
      <c r="B133" s="24" t="n"/>
      <c r="C133" s="24" t="n"/>
      <c r="D133" s="24" t="n"/>
      <c r="E133" s="24" t="n"/>
      <c r="F133" s="24" t="n"/>
      <c r="G133" s="24" t="n"/>
      <c r="H133" s="24" t="n"/>
      <c r="I133" s="24" t="n"/>
      <c r="J133" s="24" t="n"/>
      <c r="K133" s="24" t="n"/>
      <c r="L133" s="24">
        <f>IF(COUNTA(A133:K133,M133:O133)=0,"",IF(A133="","Evidence ID missing",IF(COUNTIF($A$4:$A$353,A133)&gt;1,"Duplicate Evidence ID",IF(B133="","AIR-ID missing",IF(COUNTIF('AI Register'!$A$4:$A$206,B133)=0,"AIR-ID not in AI Register",IF(OR(C133="",H133=""),"Artefact or location missing",IF(AND(M133&lt;&gt;"",NOT(ISNUMBER(M133))),"Completed / last reviewed is not a date",IF(AND(N133&lt;&gt;"",NOT(ISNUMBER(N133))),"Review due is not a date",IF(AND(ISNUMBER(N133),N133&lt;TODAY()),"Review date passed: re-review before citing by reference (Playbook §4.6)",IF(AND(G133="Accepted",ISNUMBER(M133),EDATE(M133,12)&lt;TODAY(),O133=""),"Over 12 months old: owner's still-holds review needed before citing by reference","Check against source"))))))))))</f>
        <v/>
      </c>
      <c r="M133" s="36" t="n"/>
      <c r="N133" s="36" t="n"/>
      <c r="O133" s="24" t="n"/>
    </row>
    <row r="134">
      <c r="A134" s="22" t="n"/>
      <c r="B134" s="22" t="n"/>
      <c r="C134" s="22" t="n"/>
      <c r="D134" s="22" t="n"/>
      <c r="E134" s="22" t="n"/>
      <c r="F134" s="22" t="n"/>
      <c r="G134" s="22" t="n"/>
      <c r="H134" s="22" t="n"/>
      <c r="I134" s="22" t="n"/>
      <c r="J134" s="22" t="n"/>
      <c r="K134" s="22" t="n"/>
      <c r="L134" s="22">
        <f>IF(COUNTA(A134:K134,M134:O134)=0,"",IF(A134="","Evidence ID missing",IF(COUNTIF($A$4:$A$353,A134)&gt;1,"Duplicate Evidence ID",IF(B134="","AIR-ID missing",IF(COUNTIF('AI Register'!$A$4:$A$206,B134)=0,"AIR-ID not in AI Register",IF(OR(C134="",H134=""),"Artefact or location missing",IF(AND(M134&lt;&gt;"",NOT(ISNUMBER(M134))),"Completed / last reviewed is not a date",IF(AND(N134&lt;&gt;"",NOT(ISNUMBER(N134))),"Review due is not a date",IF(AND(ISNUMBER(N134),N134&lt;TODAY()),"Review date passed: re-review before citing by reference (Playbook §4.6)",IF(AND(G134="Accepted",ISNUMBER(M134),EDATE(M134,12)&lt;TODAY(),O134=""),"Over 12 months old: owner's still-holds review needed before citing by reference","Check against source"))))))))))</f>
        <v/>
      </c>
      <c r="M134" s="35" t="n"/>
      <c r="N134" s="35" t="n"/>
      <c r="O134" s="22" t="n"/>
    </row>
    <row r="135">
      <c r="A135" s="24" t="n"/>
      <c r="B135" s="24" t="n"/>
      <c r="C135" s="24" t="n"/>
      <c r="D135" s="24" t="n"/>
      <c r="E135" s="24" t="n"/>
      <c r="F135" s="24" t="n"/>
      <c r="G135" s="24" t="n"/>
      <c r="H135" s="24" t="n"/>
      <c r="I135" s="24" t="n"/>
      <c r="J135" s="24" t="n"/>
      <c r="K135" s="24" t="n"/>
      <c r="L135" s="24">
        <f>IF(COUNTA(A135:K135,M135:O135)=0,"",IF(A135="","Evidence ID missing",IF(COUNTIF($A$4:$A$353,A135)&gt;1,"Duplicate Evidence ID",IF(B135="","AIR-ID missing",IF(COUNTIF('AI Register'!$A$4:$A$206,B135)=0,"AIR-ID not in AI Register",IF(OR(C135="",H135=""),"Artefact or location missing",IF(AND(M135&lt;&gt;"",NOT(ISNUMBER(M135))),"Completed / last reviewed is not a date",IF(AND(N135&lt;&gt;"",NOT(ISNUMBER(N135))),"Review due is not a date",IF(AND(ISNUMBER(N135),N135&lt;TODAY()),"Review date passed: re-review before citing by reference (Playbook §4.6)",IF(AND(G135="Accepted",ISNUMBER(M135),EDATE(M135,12)&lt;TODAY(),O135=""),"Over 12 months old: owner's still-holds review needed before citing by reference","Check against source"))))))))))</f>
        <v/>
      </c>
      <c r="M135" s="36" t="n"/>
      <c r="N135" s="36" t="n"/>
      <c r="O135" s="24" t="n"/>
    </row>
    <row r="136">
      <c r="A136" s="22" t="n"/>
      <c r="B136" s="22" t="n"/>
      <c r="C136" s="22" t="n"/>
      <c r="D136" s="22" t="n"/>
      <c r="E136" s="22" t="n"/>
      <c r="F136" s="22" t="n"/>
      <c r="G136" s="22" t="n"/>
      <c r="H136" s="22" t="n"/>
      <c r="I136" s="22" t="n"/>
      <c r="J136" s="22" t="n"/>
      <c r="K136" s="22" t="n"/>
      <c r="L136" s="22">
        <f>IF(COUNTA(A136:K136,M136:O136)=0,"",IF(A136="","Evidence ID missing",IF(COUNTIF($A$4:$A$353,A136)&gt;1,"Duplicate Evidence ID",IF(B136="","AIR-ID missing",IF(COUNTIF('AI Register'!$A$4:$A$206,B136)=0,"AIR-ID not in AI Register",IF(OR(C136="",H136=""),"Artefact or location missing",IF(AND(M136&lt;&gt;"",NOT(ISNUMBER(M136))),"Completed / last reviewed is not a date",IF(AND(N136&lt;&gt;"",NOT(ISNUMBER(N136))),"Review due is not a date",IF(AND(ISNUMBER(N136),N136&lt;TODAY()),"Review date passed: re-review before citing by reference (Playbook §4.6)",IF(AND(G136="Accepted",ISNUMBER(M136),EDATE(M136,12)&lt;TODAY(),O136=""),"Over 12 months old: owner's still-holds review needed before citing by reference","Check against source"))))))))))</f>
        <v/>
      </c>
      <c r="M136" s="35" t="n"/>
      <c r="N136" s="35" t="n"/>
      <c r="O136" s="22" t="n"/>
    </row>
    <row r="137">
      <c r="A137" s="24" t="n"/>
      <c r="B137" s="24" t="n"/>
      <c r="C137" s="24" t="n"/>
      <c r="D137" s="24" t="n"/>
      <c r="E137" s="24" t="n"/>
      <c r="F137" s="24" t="n"/>
      <c r="G137" s="24" t="n"/>
      <c r="H137" s="24" t="n"/>
      <c r="I137" s="24" t="n"/>
      <c r="J137" s="24" t="n"/>
      <c r="K137" s="24" t="n"/>
      <c r="L137" s="24">
        <f>IF(COUNTA(A137:K137,M137:O137)=0,"",IF(A137="","Evidence ID missing",IF(COUNTIF($A$4:$A$353,A137)&gt;1,"Duplicate Evidence ID",IF(B137="","AIR-ID missing",IF(COUNTIF('AI Register'!$A$4:$A$206,B137)=0,"AIR-ID not in AI Register",IF(OR(C137="",H137=""),"Artefact or location missing",IF(AND(M137&lt;&gt;"",NOT(ISNUMBER(M137))),"Completed / last reviewed is not a date",IF(AND(N137&lt;&gt;"",NOT(ISNUMBER(N137))),"Review due is not a date",IF(AND(ISNUMBER(N137),N137&lt;TODAY()),"Review date passed: re-review before citing by reference (Playbook §4.6)",IF(AND(G137="Accepted",ISNUMBER(M137),EDATE(M137,12)&lt;TODAY(),O137=""),"Over 12 months old: owner's still-holds review needed before citing by reference","Check against source"))))))))))</f>
        <v/>
      </c>
      <c r="M137" s="36" t="n"/>
      <c r="N137" s="36" t="n"/>
      <c r="O137" s="24" t="n"/>
    </row>
    <row r="138">
      <c r="A138" s="22" t="n"/>
      <c r="B138" s="22" t="n"/>
      <c r="C138" s="22" t="n"/>
      <c r="D138" s="22" t="n"/>
      <c r="E138" s="22" t="n"/>
      <c r="F138" s="22" t="n"/>
      <c r="G138" s="22" t="n"/>
      <c r="H138" s="22" t="n"/>
      <c r="I138" s="22" t="n"/>
      <c r="J138" s="22" t="n"/>
      <c r="K138" s="22" t="n"/>
      <c r="L138" s="22">
        <f>IF(COUNTA(A138:K138,M138:O138)=0,"",IF(A138="","Evidence ID missing",IF(COUNTIF($A$4:$A$353,A138)&gt;1,"Duplicate Evidence ID",IF(B138="","AIR-ID missing",IF(COUNTIF('AI Register'!$A$4:$A$206,B138)=0,"AIR-ID not in AI Register",IF(OR(C138="",H138=""),"Artefact or location missing",IF(AND(M138&lt;&gt;"",NOT(ISNUMBER(M138))),"Completed / last reviewed is not a date",IF(AND(N138&lt;&gt;"",NOT(ISNUMBER(N138))),"Review due is not a date",IF(AND(ISNUMBER(N138),N138&lt;TODAY()),"Review date passed: re-review before citing by reference (Playbook §4.6)",IF(AND(G138="Accepted",ISNUMBER(M138),EDATE(M138,12)&lt;TODAY(),O138=""),"Over 12 months old: owner's still-holds review needed before citing by reference","Check against source"))))))))))</f>
        <v/>
      </c>
      <c r="M138" s="35" t="n"/>
      <c r="N138" s="35" t="n"/>
      <c r="O138" s="22" t="n"/>
    </row>
    <row r="139">
      <c r="A139" s="24" t="n"/>
      <c r="B139" s="24" t="n"/>
      <c r="C139" s="24" t="n"/>
      <c r="D139" s="24" t="n"/>
      <c r="E139" s="24" t="n"/>
      <c r="F139" s="24" t="n"/>
      <c r="G139" s="24" t="n"/>
      <c r="H139" s="24" t="n"/>
      <c r="I139" s="24" t="n"/>
      <c r="J139" s="24" t="n"/>
      <c r="K139" s="24" t="n"/>
      <c r="L139" s="24">
        <f>IF(COUNTA(A139:K139,M139:O139)=0,"",IF(A139="","Evidence ID missing",IF(COUNTIF($A$4:$A$353,A139)&gt;1,"Duplicate Evidence ID",IF(B139="","AIR-ID missing",IF(COUNTIF('AI Register'!$A$4:$A$206,B139)=0,"AIR-ID not in AI Register",IF(OR(C139="",H139=""),"Artefact or location missing",IF(AND(M139&lt;&gt;"",NOT(ISNUMBER(M139))),"Completed / last reviewed is not a date",IF(AND(N139&lt;&gt;"",NOT(ISNUMBER(N139))),"Review due is not a date",IF(AND(ISNUMBER(N139),N139&lt;TODAY()),"Review date passed: re-review before citing by reference (Playbook §4.6)",IF(AND(G139="Accepted",ISNUMBER(M139),EDATE(M139,12)&lt;TODAY(),O139=""),"Over 12 months old: owner's still-holds review needed before citing by reference","Check against source"))))))))))</f>
        <v/>
      </c>
      <c r="M139" s="36" t="n"/>
      <c r="N139" s="36" t="n"/>
      <c r="O139" s="24" t="n"/>
    </row>
    <row r="140">
      <c r="A140" s="22" t="n"/>
      <c r="B140" s="22" t="n"/>
      <c r="C140" s="22" t="n"/>
      <c r="D140" s="22" t="n"/>
      <c r="E140" s="22" t="n"/>
      <c r="F140" s="22" t="n"/>
      <c r="G140" s="22" t="n"/>
      <c r="H140" s="22" t="n"/>
      <c r="I140" s="22" t="n"/>
      <c r="J140" s="22" t="n"/>
      <c r="K140" s="22" t="n"/>
      <c r="L140" s="22">
        <f>IF(COUNTA(A140:K140,M140:O140)=0,"",IF(A140="","Evidence ID missing",IF(COUNTIF($A$4:$A$353,A140)&gt;1,"Duplicate Evidence ID",IF(B140="","AIR-ID missing",IF(COUNTIF('AI Register'!$A$4:$A$206,B140)=0,"AIR-ID not in AI Register",IF(OR(C140="",H140=""),"Artefact or location missing",IF(AND(M140&lt;&gt;"",NOT(ISNUMBER(M140))),"Completed / last reviewed is not a date",IF(AND(N140&lt;&gt;"",NOT(ISNUMBER(N140))),"Review due is not a date",IF(AND(ISNUMBER(N140),N140&lt;TODAY()),"Review date passed: re-review before citing by reference (Playbook §4.6)",IF(AND(G140="Accepted",ISNUMBER(M140),EDATE(M140,12)&lt;TODAY(),O140=""),"Over 12 months old: owner's still-holds review needed before citing by reference","Check against source"))))))))))</f>
        <v/>
      </c>
      <c r="M140" s="35" t="n"/>
      <c r="N140" s="35" t="n"/>
      <c r="O140" s="22" t="n"/>
    </row>
    <row r="141">
      <c r="A141" s="24" t="n"/>
      <c r="B141" s="24" t="n"/>
      <c r="C141" s="24" t="n"/>
      <c r="D141" s="24" t="n"/>
      <c r="E141" s="24" t="n"/>
      <c r="F141" s="24" t="n"/>
      <c r="G141" s="24" t="n"/>
      <c r="H141" s="24" t="n"/>
      <c r="I141" s="24" t="n"/>
      <c r="J141" s="24" t="n"/>
      <c r="K141" s="24" t="n"/>
      <c r="L141" s="24">
        <f>IF(COUNTA(A141:K141,M141:O141)=0,"",IF(A141="","Evidence ID missing",IF(COUNTIF($A$4:$A$353,A141)&gt;1,"Duplicate Evidence ID",IF(B141="","AIR-ID missing",IF(COUNTIF('AI Register'!$A$4:$A$206,B141)=0,"AIR-ID not in AI Register",IF(OR(C141="",H141=""),"Artefact or location missing",IF(AND(M141&lt;&gt;"",NOT(ISNUMBER(M141))),"Completed / last reviewed is not a date",IF(AND(N141&lt;&gt;"",NOT(ISNUMBER(N141))),"Review due is not a date",IF(AND(ISNUMBER(N141),N141&lt;TODAY()),"Review date passed: re-review before citing by reference (Playbook §4.6)",IF(AND(G141="Accepted",ISNUMBER(M141),EDATE(M141,12)&lt;TODAY(),O141=""),"Over 12 months old: owner's still-holds review needed before citing by reference","Check against source"))))))))))</f>
        <v/>
      </c>
      <c r="M141" s="36" t="n"/>
      <c r="N141" s="36" t="n"/>
      <c r="O141" s="24" t="n"/>
    </row>
    <row r="142">
      <c r="A142" s="22" t="n"/>
      <c r="B142" s="22" t="n"/>
      <c r="C142" s="22" t="n"/>
      <c r="D142" s="22" t="n"/>
      <c r="E142" s="22" t="n"/>
      <c r="F142" s="22" t="n"/>
      <c r="G142" s="22" t="n"/>
      <c r="H142" s="22" t="n"/>
      <c r="I142" s="22" t="n"/>
      <c r="J142" s="22" t="n"/>
      <c r="K142" s="22" t="n"/>
      <c r="L142" s="22">
        <f>IF(COUNTA(A142:K142,M142:O142)=0,"",IF(A142="","Evidence ID missing",IF(COUNTIF($A$4:$A$353,A142)&gt;1,"Duplicate Evidence ID",IF(B142="","AIR-ID missing",IF(COUNTIF('AI Register'!$A$4:$A$206,B142)=0,"AIR-ID not in AI Register",IF(OR(C142="",H142=""),"Artefact or location missing",IF(AND(M142&lt;&gt;"",NOT(ISNUMBER(M142))),"Completed / last reviewed is not a date",IF(AND(N142&lt;&gt;"",NOT(ISNUMBER(N142))),"Review due is not a date",IF(AND(ISNUMBER(N142),N142&lt;TODAY()),"Review date passed: re-review before citing by reference (Playbook §4.6)",IF(AND(G142="Accepted",ISNUMBER(M142),EDATE(M142,12)&lt;TODAY(),O142=""),"Over 12 months old: owner's still-holds review needed before citing by reference","Check against source"))))))))))</f>
        <v/>
      </c>
      <c r="M142" s="35" t="n"/>
      <c r="N142" s="35" t="n"/>
      <c r="O142" s="22" t="n"/>
    </row>
    <row r="143">
      <c r="A143" s="24" t="n"/>
      <c r="B143" s="24" t="n"/>
      <c r="C143" s="24" t="n"/>
      <c r="D143" s="24" t="n"/>
      <c r="E143" s="24" t="n"/>
      <c r="F143" s="24" t="n"/>
      <c r="G143" s="24" t="n"/>
      <c r="H143" s="24" t="n"/>
      <c r="I143" s="24" t="n"/>
      <c r="J143" s="24" t="n"/>
      <c r="K143" s="24" t="n"/>
      <c r="L143" s="24">
        <f>IF(COUNTA(A143:K143,M143:O143)=0,"",IF(A143="","Evidence ID missing",IF(COUNTIF($A$4:$A$353,A143)&gt;1,"Duplicate Evidence ID",IF(B143="","AIR-ID missing",IF(COUNTIF('AI Register'!$A$4:$A$206,B143)=0,"AIR-ID not in AI Register",IF(OR(C143="",H143=""),"Artefact or location missing",IF(AND(M143&lt;&gt;"",NOT(ISNUMBER(M143))),"Completed / last reviewed is not a date",IF(AND(N143&lt;&gt;"",NOT(ISNUMBER(N143))),"Review due is not a date",IF(AND(ISNUMBER(N143),N143&lt;TODAY()),"Review date passed: re-review before citing by reference (Playbook §4.6)",IF(AND(G143="Accepted",ISNUMBER(M143),EDATE(M143,12)&lt;TODAY(),O143=""),"Over 12 months old: owner's still-holds review needed before citing by reference","Check against source"))))))))))</f>
        <v/>
      </c>
      <c r="M143" s="36" t="n"/>
      <c r="N143" s="36" t="n"/>
      <c r="O143" s="24" t="n"/>
    </row>
    <row r="144">
      <c r="A144" s="22" t="n"/>
      <c r="B144" s="22" t="n"/>
      <c r="C144" s="22" t="n"/>
      <c r="D144" s="22" t="n"/>
      <c r="E144" s="22" t="n"/>
      <c r="F144" s="22" t="n"/>
      <c r="G144" s="22" t="n"/>
      <c r="H144" s="22" t="n"/>
      <c r="I144" s="22" t="n"/>
      <c r="J144" s="22" t="n"/>
      <c r="K144" s="22" t="n"/>
      <c r="L144" s="22">
        <f>IF(COUNTA(A144:K144,M144:O144)=0,"",IF(A144="","Evidence ID missing",IF(COUNTIF($A$4:$A$353,A144)&gt;1,"Duplicate Evidence ID",IF(B144="","AIR-ID missing",IF(COUNTIF('AI Register'!$A$4:$A$206,B144)=0,"AIR-ID not in AI Register",IF(OR(C144="",H144=""),"Artefact or location missing",IF(AND(M144&lt;&gt;"",NOT(ISNUMBER(M144))),"Completed / last reviewed is not a date",IF(AND(N144&lt;&gt;"",NOT(ISNUMBER(N144))),"Review due is not a date",IF(AND(ISNUMBER(N144),N144&lt;TODAY()),"Review date passed: re-review before citing by reference (Playbook §4.6)",IF(AND(G144="Accepted",ISNUMBER(M144),EDATE(M144,12)&lt;TODAY(),O144=""),"Over 12 months old: owner's still-holds review needed before citing by reference","Check against source"))))))))))</f>
        <v/>
      </c>
      <c r="M144" s="35" t="n"/>
      <c r="N144" s="35" t="n"/>
      <c r="O144" s="22" t="n"/>
    </row>
    <row r="145">
      <c r="A145" s="24" t="n"/>
      <c r="B145" s="24" t="n"/>
      <c r="C145" s="24" t="n"/>
      <c r="D145" s="24" t="n"/>
      <c r="E145" s="24" t="n"/>
      <c r="F145" s="24" t="n"/>
      <c r="G145" s="24" t="n"/>
      <c r="H145" s="24" t="n"/>
      <c r="I145" s="24" t="n"/>
      <c r="J145" s="24" t="n"/>
      <c r="K145" s="24" t="n"/>
      <c r="L145" s="24">
        <f>IF(COUNTA(A145:K145,M145:O145)=0,"",IF(A145="","Evidence ID missing",IF(COUNTIF($A$4:$A$353,A145)&gt;1,"Duplicate Evidence ID",IF(B145="","AIR-ID missing",IF(COUNTIF('AI Register'!$A$4:$A$206,B145)=0,"AIR-ID not in AI Register",IF(OR(C145="",H145=""),"Artefact or location missing",IF(AND(M145&lt;&gt;"",NOT(ISNUMBER(M145))),"Completed / last reviewed is not a date",IF(AND(N145&lt;&gt;"",NOT(ISNUMBER(N145))),"Review due is not a date",IF(AND(ISNUMBER(N145),N145&lt;TODAY()),"Review date passed: re-review before citing by reference (Playbook §4.6)",IF(AND(G145="Accepted",ISNUMBER(M145),EDATE(M145,12)&lt;TODAY(),O145=""),"Over 12 months old: owner's still-holds review needed before citing by reference","Check against source"))))))))))</f>
        <v/>
      </c>
      <c r="M145" s="36" t="n"/>
      <c r="N145" s="36" t="n"/>
      <c r="O145" s="24" t="n"/>
    </row>
    <row r="146">
      <c r="A146" s="22" t="n"/>
      <c r="B146" s="22" t="n"/>
      <c r="C146" s="22" t="n"/>
      <c r="D146" s="22" t="n"/>
      <c r="E146" s="22" t="n"/>
      <c r="F146" s="22" t="n"/>
      <c r="G146" s="22" t="n"/>
      <c r="H146" s="22" t="n"/>
      <c r="I146" s="22" t="n"/>
      <c r="J146" s="22" t="n"/>
      <c r="K146" s="22" t="n"/>
      <c r="L146" s="22">
        <f>IF(COUNTA(A146:K146,M146:O146)=0,"",IF(A146="","Evidence ID missing",IF(COUNTIF($A$4:$A$353,A146)&gt;1,"Duplicate Evidence ID",IF(B146="","AIR-ID missing",IF(COUNTIF('AI Register'!$A$4:$A$206,B146)=0,"AIR-ID not in AI Register",IF(OR(C146="",H146=""),"Artefact or location missing",IF(AND(M146&lt;&gt;"",NOT(ISNUMBER(M146))),"Completed / last reviewed is not a date",IF(AND(N146&lt;&gt;"",NOT(ISNUMBER(N146))),"Review due is not a date",IF(AND(ISNUMBER(N146),N146&lt;TODAY()),"Review date passed: re-review before citing by reference (Playbook §4.6)",IF(AND(G146="Accepted",ISNUMBER(M146),EDATE(M146,12)&lt;TODAY(),O146=""),"Over 12 months old: owner's still-holds review needed before citing by reference","Check against source"))))))))))</f>
        <v/>
      </c>
      <c r="M146" s="35" t="n"/>
      <c r="N146" s="35" t="n"/>
      <c r="O146" s="22" t="n"/>
    </row>
    <row r="147">
      <c r="A147" s="24" t="n"/>
      <c r="B147" s="24" t="n"/>
      <c r="C147" s="24" t="n"/>
      <c r="D147" s="24" t="n"/>
      <c r="E147" s="24" t="n"/>
      <c r="F147" s="24" t="n"/>
      <c r="G147" s="24" t="n"/>
      <c r="H147" s="24" t="n"/>
      <c r="I147" s="24" t="n"/>
      <c r="J147" s="24" t="n"/>
      <c r="K147" s="24" t="n"/>
      <c r="L147" s="24">
        <f>IF(COUNTA(A147:K147,M147:O147)=0,"",IF(A147="","Evidence ID missing",IF(COUNTIF($A$4:$A$353,A147)&gt;1,"Duplicate Evidence ID",IF(B147="","AIR-ID missing",IF(COUNTIF('AI Register'!$A$4:$A$206,B147)=0,"AIR-ID not in AI Register",IF(OR(C147="",H147=""),"Artefact or location missing",IF(AND(M147&lt;&gt;"",NOT(ISNUMBER(M147))),"Completed / last reviewed is not a date",IF(AND(N147&lt;&gt;"",NOT(ISNUMBER(N147))),"Review due is not a date",IF(AND(ISNUMBER(N147),N147&lt;TODAY()),"Review date passed: re-review before citing by reference (Playbook §4.6)",IF(AND(G147="Accepted",ISNUMBER(M147),EDATE(M147,12)&lt;TODAY(),O147=""),"Over 12 months old: owner's still-holds review needed before citing by reference","Check against source"))))))))))</f>
        <v/>
      </c>
      <c r="M147" s="36" t="n"/>
      <c r="N147" s="36" t="n"/>
      <c r="O147" s="24" t="n"/>
    </row>
    <row r="148">
      <c r="A148" s="22" t="n"/>
      <c r="B148" s="22" t="n"/>
      <c r="C148" s="22" t="n"/>
      <c r="D148" s="22" t="n"/>
      <c r="E148" s="22" t="n"/>
      <c r="F148" s="22" t="n"/>
      <c r="G148" s="22" t="n"/>
      <c r="H148" s="22" t="n"/>
      <c r="I148" s="22" t="n"/>
      <c r="J148" s="22" t="n"/>
      <c r="K148" s="22" t="n"/>
      <c r="L148" s="22">
        <f>IF(COUNTA(A148:K148,M148:O148)=0,"",IF(A148="","Evidence ID missing",IF(COUNTIF($A$4:$A$353,A148)&gt;1,"Duplicate Evidence ID",IF(B148="","AIR-ID missing",IF(COUNTIF('AI Register'!$A$4:$A$206,B148)=0,"AIR-ID not in AI Register",IF(OR(C148="",H148=""),"Artefact or location missing",IF(AND(M148&lt;&gt;"",NOT(ISNUMBER(M148))),"Completed / last reviewed is not a date",IF(AND(N148&lt;&gt;"",NOT(ISNUMBER(N148))),"Review due is not a date",IF(AND(ISNUMBER(N148),N148&lt;TODAY()),"Review date passed: re-review before citing by reference (Playbook §4.6)",IF(AND(G148="Accepted",ISNUMBER(M148),EDATE(M148,12)&lt;TODAY(),O148=""),"Over 12 months old: owner's still-holds review needed before citing by reference","Check against source"))))))))))</f>
        <v/>
      </c>
      <c r="M148" s="35" t="n"/>
      <c r="N148" s="35" t="n"/>
      <c r="O148" s="22" t="n"/>
    </row>
    <row r="149">
      <c r="A149" s="24" t="n"/>
      <c r="B149" s="24" t="n"/>
      <c r="C149" s="24" t="n"/>
      <c r="D149" s="24" t="n"/>
      <c r="E149" s="24" t="n"/>
      <c r="F149" s="24" t="n"/>
      <c r="G149" s="24" t="n"/>
      <c r="H149" s="24" t="n"/>
      <c r="I149" s="24" t="n"/>
      <c r="J149" s="24" t="n"/>
      <c r="K149" s="24" t="n"/>
      <c r="L149" s="24">
        <f>IF(COUNTA(A149:K149,M149:O149)=0,"",IF(A149="","Evidence ID missing",IF(COUNTIF($A$4:$A$353,A149)&gt;1,"Duplicate Evidence ID",IF(B149="","AIR-ID missing",IF(COUNTIF('AI Register'!$A$4:$A$206,B149)=0,"AIR-ID not in AI Register",IF(OR(C149="",H149=""),"Artefact or location missing",IF(AND(M149&lt;&gt;"",NOT(ISNUMBER(M149))),"Completed / last reviewed is not a date",IF(AND(N149&lt;&gt;"",NOT(ISNUMBER(N149))),"Review due is not a date",IF(AND(ISNUMBER(N149),N149&lt;TODAY()),"Review date passed: re-review before citing by reference (Playbook §4.6)",IF(AND(G149="Accepted",ISNUMBER(M149),EDATE(M149,12)&lt;TODAY(),O149=""),"Over 12 months old: owner's still-holds review needed before citing by reference","Check against source"))))))))))</f>
        <v/>
      </c>
      <c r="M149" s="36" t="n"/>
      <c r="N149" s="36" t="n"/>
      <c r="O149" s="24" t="n"/>
    </row>
    <row r="150">
      <c r="A150" s="22" t="n"/>
      <c r="B150" s="22" t="n"/>
      <c r="C150" s="22" t="n"/>
      <c r="D150" s="22" t="n"/>
      <c r="E150" s="22" t="n"/>
      <c r="F150" s="22" t="n"/>
      <c r="G150" s="22" t="n"/>
      <c r="H150" s="22" t="n"/>
      <c r="I150" s="22" t="n"/>
      <c r="J150" s="22" t="n"/>
      <c r="K150" s="22" t="n"/>
      <c r="L150" s="22">
        <f>IF(COUNTA(A150:K150,M150:O150)=0,"",IF(A150="","Evidence ID missing",IF(COUNTIF($A$4:$A$353,A150)&gt;1,"Duplicate Evidence ID",IF(B150="","AIR-ID missing",IF(COUNTIF('AI Register'!$A$4:$A$206,B150)=0,"AIR-ID not in AI Register",IF(OR(C150="",H150=""),"Artefact or location missing",IF(AND(M150&lt;&gt;"",NOT(ISNUMBER(M150))),"Completed / last reviewed is not a date",IF(AND(N150&lt;&gt;"",NOT(ISNUMBER(N150))),"Review due is not a date",IF(AND(ISNUMBER(N150),N150&lt;TODAY()),"Review date passed: re-review before citing by reference (Playbook §4.6)",IF(AND(G150="Accepted",ISNUMBER(M150),EDATE(M150,12)&lt;TODAY(),O150=""),"Over 12 months old: owner's still-holds review needed before citing by reference","Check against source"))))))))))</f>
        <v/>
      </c>
      <c r="M150" s="35" t="n"/>
      <c r="N150" s="35" t="n"/>
      <c r="O150" s="22" t="n"/>
    </row>
    <row r="151">
      <c r="A151" s="24" t="n"/>
      <c r="B151" s="24" t="n"/>
      <c r="C151" s="24" t="n"/>
      <c r="D151" s="24" t="n"/>
      <c r="E151" s="24" t="n"/>
      <c r="F151" s="24" t="n"/>
      <c r="G151" s="24" t="n"/>
      <c r="H151" s="24" t="n"/>
      <c r="I151" s="24" t="n"/>
      <c r="J151" s="24" t="n"/>
      <c r="K151" s="24" t="n"/>
      <c r="L151" s="24">
        <f>IF(COUNTA(A151:K151,M151:O151)=0,"",IF(A151="","Evidence ID missing",IF(COUNTIF($A$4:$A$353,A151)&gt;1,"Duplicate Evidence ID",IF(B151="","AIR-ID missing",IF(COUNTIF('AI Register'!$A$4:$A$206,B151)=0,"AIR-ID not in AI Register",IF(OR(C151="",H151=""),"Artefact or location missing",IF(AND(M151&lt;&gt;"",NOT(ISNUMBER(M151))),"Completed / last reviewed is not a date",IF(AND(N151&lt;&gt;"",NOT(ISNUMBER(N151))),"Review due is not a date",IF(AND(ISNUMBER(N151),N151&lt;TODAY()),"Review date passed: re-review before citing by reference (Playbook §4.6)",IF(AND(G151="Accepted",ISNUMBER(M151),EDATE(M151,12)&lt;TODAY(),O151=""),"Over 12 months old: owner's still-holds review needed before citing by reference","Check against source"))))))))))</f>
        <v/>
      </c>
      <c r="M151" s="36" t="n"/>
      <c r="N151" s="36" t="n"/>
      <c r="O151" s="24" t="n"/>
    </row>
    <row r="152">
      <c r="A152" s="22" t="n"/>
      <c r="B152" s="22" t="n"/>
      <c r="C152" s="22" t="n"/>
      <c r="D152" s="22" t="n"/>
      <c r="E152" s="22" t="n"/>
      <c r="F152" s="22" t="n"/>
      <c r="G152" s="22" t="n"/>
      <c r="H152" s="22" t="n"/>
      <c r="I152" s="22" t="n"/>
      <c r="J152" s="22" t="n"/>
      <c r="K152" s="22" t="n"/>
      <c r="L152" s="22">
        <f>IF(COUNTA(A152:K152,M152:O152)=0,"",IF(A152="","Evidence ID missing",IF(COUNTIF($A$4:$A$353,A152)&gt;1,"Duplicate Evidence ID",IF(B152="","AIR-ID missing",IF(COUNTIF('AI Register'!$A$4:$A$206,B152)=0,"AIR-ID not in AI Register",IF(OR(C152="",H152=""),"Artefact or location missing",IF(AND(M152&lt;&gt;"",NOT(ISNUMBER(M152))),"Completed / last reviewed is not a date",IF(AND(N152&lt;&gt;"",NOT(ISNUMBER(N152))),"Review due is not a date",IF(AND(ISNUMBER(N152),N152&lt;TODAY()),"Review date passed: re-review before citing by reference (Playbook §4.6)",IF(AND(G152="Accepted",ISNUMBER(M152),EDATE(M152,12)&lt;TODAY(),O152=""),"Over 12 months old: owner's still-holds review needed before citing by reference","Check against source"))))))))))</f>
        <v/>
      </c>
      <c r="M152" s="35" t="n"/>
      <c r="N152" s="35" t="n"/>
      <c r="O152" s="22" t="n"/>
    </row>
    <row r="153">
      <c r="A153" s="24" t="n"/>
      <c r="B153" s="24" t="n"/>
      <c r="C153" s="24" t="n"/>
      <c r="D153" s="24" t="n"/>
      <c r="E153" s="24" t="n"/>
      <c r="F153" s="24" t="n"/>
      <c r="G153" s="24" t="n"/>
      <c r="H153" s="24" t="n"/>
      <c r="I153" s="24" t="n"/>
      <c r="J153" s="24" t="n"/>
      <c r="K153" s="24" t="n"/>
      <c r="L153" s="24">
        <f>IF(COUNTA(A153:K153,M153:O153)=0,"",IF(A153="","Evidence ID missing",IF(COUNTIF($A$4:$A$353,A153)&gt;1,"Duplicate Evidence ID",IF(B153="","AIR-ID missing",IF(COUNTIF('AI Register'!$A$4:$A$206,B153)=0,"AIR-ID not in AI Register",IF(OR(C153="",H153=""),"Artefact or location missing",IF(AND(M153&lt;&gt;"",NOT(ISNUMBER(M153))),"Completed / last reviewed is not a date",IF(AND(N153&lt;&gt;"",NOT(ISNUMBER(N153))),"Review due is not a date",IF(AND(ISNUMBER(N153),N153&lt;TODAY()),"Review date passed: re-review before citing by reference (Playbook §4.6)",IF(AND(G153="Accepted",ISNUMBER(M153),EDATE(M153,12)&lt;TODAY(),O153=""),"Over 12 months old: owner's still-holds review needed before citing by reference","Check against source"))))))))))</f>
        <v/>
      </c>
      <c r="M153" s="36" t="n"/>
      <c r="N153" s="36" t="n"/>
      <c r="O153" s="24" t="n"/>
    </row>
    <row r="154">
      <c r="A154" s="22" t="n"/>
      <c r="B154" s="22" t="n"/>
      <c r="C154" s="22" t="n"/>
      <c r="D154" s="22" t="n"/>
      <c r="E154" s="22" t="n"/>
      <c r="F154" s="22" t="n"/>
      <c r="G154" s="22" t="n"/>
      <c r="H154" s="22" t="n"/>
      <c r="I154" s="22" t="n"/>
      <c r="J154" s="22" t="n"/>
      <c r="K154" s="22" t="n"/>
      <c r="L154" s="22">
        <f>IF(COUNTA(A154:K154,M154:O154)=0,"",IF(A154="","Evidence ID missing",IF(COUNTIF($A$4:$A$353,A154)&gt;1,"Duplicate Evidence ID",IF(B154="","AIR-ID missing",IF(COUNTIF('AI Register'!$A$4:$A$206,B154)=0,"AIR-ID not in AI Register",IF(OR(C154="",H154=""),"Artefact or location missing",IF(AND(M154&lt;&gt;"",NOT(ISNUMBER(M154))),"Completed / last reviewed is not a date",IF(AND(N154&lt;&gt;"",NOT(ISNUMBER(N154))),"Review due is not a date",IF(AND(ISNUMBER(N154),N154&lt;TODAY()),"Review date passed: re-review before citing by reference (Playbook §4.6)",IF(AND(G154="Accepted",ISNUMBER(M154),EDATE(M154,12)&lt;TODAY(),O154=""),"Over 12 months old: owner's still-holds review needed before citing by reference","Check against source"))))))))))</f>
        <v/>
      </c>
      <c r="M154" s="35" t="n"/>
      <c r="N154" s="35" t="n"/>
      <c r="O154" s="22" t="n"/>
    </row>
    <row r="155">
      <c r="A155" s="24" t="n"/>
      <c r="B155" s="24" t="n"/>
      <c r="C155" s="24" t="n"/>
      <c r="D155" s="24" t="n"/>
      <c r="E155" s="24" t="n"/>
      <c r="F155" s="24" t="n"/>
      <c r="G155" s="24" t="n"/>
      <c r="H155" s="24" t="n"/>
      <c r="I155" s="24" t="n"/>
      <c r="J155" s="24" t="n"/>
      <c r="K155" s="24" t="n"/>
      <c r="L155" s="24">
        <f>IF(COUNTA(A155:K155,M155:O155)=0,"",IF(A155="","Evidence ID missing",IF(COUNTIF($A$4:$A$353,A155)&gt;1,"Duplicate Evidence ID",IF(B155="","AIR-ID missing",IF(COUNTIF('AI Register'!$A$4:$A$206,B155)=0,"AIR-ID not in AI Register",IF(OR(C155="",H155=""),"Artefact or location missing",IF(AND(M155&lt;&gt;"",NOT(ISNUMBER(M155))),"Completed / last reviewed is not a date",IF(AND(N155&lt;&gt;"",NOT(ISNUMBER(N155))),"Review due is not a date",IF(AND(ISNUMBER(N155),N155&lt;TODAY()),"Review date passed: re-review before citing by reference (Playbook §4.6)",IF(AND(G155="Accepted",ISNUMBER(M155),EDATE(M155,12)&lt;TODAY(),O155=""),"Over 12 months old: owner's still-holds review needed before citing by reference","Check against source"))))))))))</f>
        <v/>
      </c>
      <c r="M155" s="36" t="n"/>
      <c r="N155" s="36" t="n"/>
      <c r="O155" s="24" t="n"/>
    </row>
    <row r="156">
      <c r="A156" s="22" t="n"/>
      <c r="B156" s="22" t="n"/>
      <c r="C156" s="22" t="n"/>
      <c r="D156" s="22" t="n"/>
      <c r="E156" s="22" t="n"/>
      <c r="F156" s="22" t="n"/>
      <c r="G156" s="22" t="n"/>
      <c r="H156" s="22" t="n"/>
      <c r="I156" s="22" t="n"/>
      <c r="J156" s="22" t="n"/>
      <c r="K156" s="22" t="n"/>
      <c r="L156" s="22">
        <f>IF(COUNTA(A156:K156,M156:O156)=0,"",IF(A156="","Evidence ID missing",IF(COUNTIF($A$4:$A$353,A156)&gt;1,"Duplicate Evidence ID",IF(B156="","AIR-ID missing",IF(COUNTIF('AI Register'!$A$4:$A$206,B156)=0,"AIR-ID not in AI Register",IF(OR(C156="",H156=""),"Artefact or location missing",IF(AND(M156&lt;&gt;"",NOT(ISNUMBER(M156))),"Completed / last reviewed is not a date",IF(AND(N156&lt;&gt;"",NOT(ISNUMBER(N156))),"Review due is not a date",IF(AND(ISNUMBER(N156),N156&lt;TODAY()),"Review date passed: re-review before citing by reference (Playbook §4.6)",IF(AND(G156="Accepted",ISNUMBER(M156),EDATE(M156,12)&lt;TODAY(),O156=""),"Over 12 months old: owner's still-holds review needed before citing by reference","Check against source"))))))))))</f>
        <v/>
      </c>
      <c r="M156" s="35" t="n"/>
      <c r="N156" s="35" t="n"/>
      <c r="O156" s="22" t="n"/>
    </row>
    <row r="157">
      <c r="A157" s="24" t="n"/>
      <c r="B157" s="24" t="n"/>
      <c r="C157" s="24" t="n"/>
      <c r="D157" s="24" t="n"/>
      <c r="E157" s="24" t="n"/>
      <c r="F157" s="24" t="n"/>
      <c r="G157" s="24" t="n"/>
      <c r="H157" s="24" t="n"/>
      <c r="I157" s="24" t="n"/>
      <c r="J157" s="24" t="n"/>
      <c r="K157" s="24" t="n"/>
      <c r="L157" s="24">
        <f>IF(COUNTA(A157:K157,M157:O157)=0,"",IF(A157="","Evidence ID missing",IF(COUNTIF($A$4:$A$353,A157)&gt;1,"Duplicate Evidence ID",IF(B157="","AIR-ID missing",IF(COUNTIF('AI Register'!$A$4:$A$206,B157)=0,"AIR-ID not in AI Register",IF(OR(C157="",H157=""),"Artefact or location missing",IF(AND(M157&lt;&gt;"",NOT(ISNUMBER(M157))),"Completed / last reviewed is not a date",IF(AND(N157&lt;&gt;"",NOT(ISNUMBER(N157))),"Review due is not a date",IF(AND(ISNUMBER(N157),N157&lt;TODAY()),"Review date passed: re-review before citing by reference (Playbook §4.6)",IF(AND(G157="Accepted",ISNUMBER(M157),EDATE(M157,12)&lt;TODAY(),O157=""),"Over 12 months old: owner's still-holds review needed before citing by reference","Check against source"))))))))))</f>
        <v/>
      </c>
      <c r="M157" s="36" t="n"/>
      <c r="N157" s="36" t="n"/>
      <c r="O157" s="24" t="n"/>
    </row>
    <row r="158">
      <c r="A158" s="22" t="n"/>
      <c r="B158" s="22" t="n"/>
      <c r="C158" s="22" t="n"/>
      <c r="D158" s="22" t="n"/>
      <c r="E158" s="22" t="n"/>
      <c r="F158" s="22" t="n"/>
      <c r="G158" s="22" t="n"/>
      <c r="H158" s="22" t="n"/>
      <c r="I158" s="22" t="n"/>
      <c r="J158" s="22" t="n"/>
      <c r="K158" s="22" t="n"/>
      <c r="L158" s="22">
        <f>IF(COUNTA(A158:K158,M158:O158)=0,"",IF(A158="","Evidence ID missing",IF(COUNTIF($A$4:$A$353,A158)&gt;1,"Duplicate Evidence ID",IF(B158="","AIR-ID missing",IF(COUNTIF('AI Register'!$A$4:$A$206,B158)=0,"AIR-ID not in AI Register",IF(OR(C158="",H158=""),"Artefact or location missing",IF(AND(M158&lt;&gt;"",NOT(ISNUMBER(M158))),"Completed / last reviewed is not a date",IF(AND(N158&lt;&gt;"",NOT(ISNUMBER(N158))),"Review due is not a date",IF(AND(ISNUMBER(N158),N158&lt;TODAY()),"Review date passed: re-review before citing by reference (Playbook §4.6)",IF(AND(G158="Accepted",ISNUMBER(M158),EDATE(M158,12)&lt;TODAY(),O158=""),"Over 12 months old: owner's still-holds review needed before citing by reference","Check against source"))))))))))</f>
        <v/>
      </c>
      <c r="M158" s="35" t="n"/>
      <c r="N158" s="35" t="n"/>
      <c r="O158" s="22" t="n"/>
    </row>
    <row r="159">
      <c r="A159" s="24" t="n"/>
      <c r="B159" s="24" t="n"/>
      <c r="C159" s="24" t="n"/>
      <c r="D159" s="24" t="n"/>
      <c r="E159" s="24" t="n"/>
      <c r="F159" s="24" t="n"/>
      <c r="G159" s="24" t="n"/>
      <c r="H159" s="24" t="n"/>
      <c r="I159" s="24" t="n"/>
      <c r="J159" s="24" t="n"/>
      <c r="K159" s="24" t="n"/>
      <c r="L159" s="24">
        <f>IF(COUNTA(A159:K159,M159:O159)=0,"",IF(A159="","Evidence ID missing",IF(COUNTIF($A$4:$A$353,A159)&gt;1,"Duplicate Evidence ID",IF(B159="","AIR-ID missing",IF(COUNTIF('AI Register'!$A$4:$A$206,B159)=0,"AIR-ID not in AI Register",IF(OR(C159="",H159=""),"Artefact or location missing",IF(AND(M159&lt;&gt;"",NOT(ISNUMBER(M159))),"Completed / last reviewed is not a date",IF(AND(N159&lt;&gt;"",NOT(ISNUMBER(N159))),"Review due is not a date",IF(AND(ISNUMBER(N159),N159&lt;TODAY()),"Review date passed: re-review before citing by reference (Playbook §4.6)",IF(AND(G159="Accepted",ISNUMBER(M159),EDATE(M159,12)&lt;TODAY(),O159=""),"Over 12 months old: owner's still-holds review needed before citing by reference","Check against source"))))))))))</f>
        <v/>
      </c>
      <c r="M159" s="36" t="n"/>
      <c r="N159" s="36" t="n"/>
      <c r="O159" s="24" t="n"/>
    </row>
    <row r="160">
      <c r="A160" s="22" t="n"/>
      <c r="B160" s="22" t="n"/>
      <c r="C160" s="22" t="n"/>
      <c r="D160" s="22" t="n"/>
      <c r="E160" s="22" t="n"/>
      <c r="F160" s="22" t="n"/>
      <c r="G160" s="22" t="n"/>
      <c r="H160" s="22" t="n"/>
      <c r="I160" s="22" t="n"/>
      <c r="J160" s="22" t="n"/>
      <c r="K160" s="22" t="n"/>
      <c r="L160" s="22">
        <f>IF(COUNTA(A160:K160,M160:O160)=0,"",IF(A160="","Evidence ID missing",IF(COUNTIF($A$4:$A$353,A160)&gt;1,"Duplicate Evidence ID",IF(B160="","AIR-ID missing",IF(COUNTIF('AI Register'!$A$4:$A$206,B160)=0,"AIR-ID not in AI Register",IF(OR(C160="",H160=""),"Artefact or location missing",IF(AND(M160&lt;&gt;"",NOT(ISNUMBER(M160))),"Completed / last reviewed is not a date",IF(AND(N160&lt;&gt;"",NOT(ISNUMBER(N160))),"Review due is not a date",IF(AND(ISNUMBER(N160),N160&lt;TODAY()),"Review date passed: re-review before citing by reference (Playbook §4.6)",IF(AND(G160="Accepted",ISNUMBER(M160),EDATE(M160,12)&lt;TODAY(),O160=""),"Over 12 months old: owner's still-holds review needed before citing by reference","Check against source"))))))))))</f>
        <v/>
      </c>
      <c r="M160" s="35" t="n"/>
      <c r="N160" s="35" t="n"/>
      <c r="O160" s="22" t="n"/>
    </row>
    <row r="161">
      <c r="A161" s="24" t="n"/>
      <c r="B161" s="24" t="n"/>
      <c r="C161" s="24" t="n"/>
      <c r="D161" s="24" t="n"/>
      <c r="E161" s="24" t="n"/>
      <c r="F161" s="24" t="n"/>
      <c r="G161" s="24" t="n"/>
      <c r="H161" s="24" t="n"/>
      <c r="I161" s="24" t="n"/>
      <c r="J161" s="24" t="n"/>
      <c r="K161" s="24" t="n"/>
      <c r="L161" s="24">
        <f>IF(COUNTA(A161:K161,M161:O161)=0,"",IF(A161="","Evidence ID missing",IF(COUNTIF($A$4:$A$353,A161)&gt;1,"Duplicate Evidence ID",IF(B161="","AIR-ID missing",IF(COUNTIF('AI Register'!$A$4:$A$206,B161)=0,"AIR-ID not in AI Register",IF(OR(C161="",H161=""),"Artefact or location missing",IF(AND(M161&lt;&gt;"",NOT(ISNUMBER(M161))),"Completed / last reviewed is not a date",IF(AND(N161&lt;&gt;"",NOT(ISNUMBER(N161))),"Review due is not a date",IF(AND(ISNUMBER(N161),N161&lt;TODAY()),"Review date passed: re-review before citing by reference (Playbook §4.6)",IF(AND(G161="Accepted",ISNUMBER(M161),EDATE(M161,12)&lt;TODAY(),O161=""),"Over 12 months old: owner's still-holds review needed before citing by reference","Check against source"))))))))))</f>
        <v/>
      </c>
      <c r="M161" s="36" t="n"/>
      <c r="N161" s="36" t="n"/>
      <c r="O161" s="24" t="n"/>
    </row>
    <row r="162">
      <c r="A162" s="22" t="n"/>
      <c r="B162" s="22" t="n"/>
      <c r="C162" s="22" t="n"/>
      <c r="D162" s="22" t="n"/>
      <c r="E162" s="22" t="n"/>
      <c r="F162" s="22" t="n"/>
      <c r="G162" s="22" t="n"/>
      <c r="H162" s="22" t="n"/>
      <c r="I162" s="22" t="n"/>
      <c r="J162" s="22" t="n"/>
      <c r="K162" s="22" t="n"/>
      <c r="L162" s="22">
        <f>IF(COUNTA(A162:K162,M162:O162)=0,"",IF(A162="","Evidence ID missing",IF(COUNTIF($A$4:$A$353,A162)&gt;1,"Duplicate Evidence ID",IF(B162="","AIR-ID missing",IF(COUNTIF('AI Register'!$A$4:$A$206,B162)=0,"AIR-ID not in AI Register",IF(OR(C162="",H162=""),"Artefact or location missing",IF(AND(M162&lt;&gt;"",NOT(ISNUMBER(M162))),"Completed / last reviewed is not a date",IF(AND(N162&lt;&gt;"",NOT(ISNUMBER(N162))),"Review due is not a date",IF(AND(ISNUMBER(N162),N162&lt;TODAY()),"Review date passed: re-review before citing by reference (Playbook §4.6)",IF(AND(G162="Accepted",ISNUMBER(M162),EDATE(M162,12)&lt;TODAY(),O162=""),"Over 12 months old: owner's still-holds review needed before citing by reference","Check against source"))))))))))</f>
        <v/>
      </c>
      <c r="M162" s="35" t="n"/>
      <c r="N162" s="35" t="n"/>
      <c r="O162" s="22" t="n"/>
    </row>
    <row r="163">
      <c r="A163" s="24" t="n"/>
      <c r="B163" s="24" t="n"/>
      <c r="C163" s="24" t="n"/>
      <c r="D163" s="24" t="n"/>
      <c r="E163" s="24" t="n"/>
      <c r="F163" s="24" t="n"/>
      <c r="G163" s="24" t="n"/>
      <c r="H163" s="24" t="n"/>
      <c r="I163" s="24" t="n"/>
      <c r="J163" s="24" t="n"/>
      <c r="K163" s="24" t="n"/>
      <c r="L163" s="24">
        <f>IF(COUNTA(A163:K163,M163:O163)=0,"",IF(A163="","Evidence ID missing",IF(COUNTIF($A$4:$A$353,A163)&gt;1,"Duplicate Evidence ID",IF(B163="","AIR-ID missing",IF(COUNTIF('AI Register'!$A$4:$A$206,B163)=0,"AIR-ID not in AI Register",IF(OR(C163="",H163=""),"Artefact or location missing",IF(AND(M163&lt;&gt;"",NOT(ISNUMBER(M163))),"Completed / last reviewed is not a date",IF(AND(N163&lt;&gt;"",NOT(ISNUMBER(N163))),"Review due is not a date",IF(AND(ISNUMBER(N163),N163&lt;TODAY()),"Review date passed: re-review before citing by reference (Playbook §4.6)",IF(AND(G163="Accepted",ISNUMBER(M163),EDATE(M163,12)&lt;TODAY(),O163=""),"Over 12 months old: owner's still-holds review needed before citing by reference","Check against source"))))))))))</f>
        <v/>
      </c>
      <c r="M163" s="36" t="n"/>
      <c r="N163" s="36" t="n"/>
      <c r="O163" s="24" t="n"/>
    </row>
    <row r="164">
      <c r="A164" s="22" t="n"/>
      <c r="B164" s="22" t="n"/>
      <c r="C164" s="22" t="n"/>
      <c r="D164" s="22" t="n"/>
      <c r="E164" s="22" t="n"/>
      <c r="F164" s="22" t="n"/>
      <c r="G164" s="22" t="n"/>
      <c r="H164" s="22" t="n"/>
      <c r="I164" s="22" t="n"/>
      <c r="J164" s="22" t="n"/>
      <c r="K164" s="22" t="n"/>
      <c r="L164" s="22">
        <f>IF(COUNTA(A164:K164,M164:O164)=0,"",IF(A164="","Evidence ID missing",IF(COUNTIF($A$4:$A$353,A164)&gt;1,"Duplicate Evidence ID",IF(B164="","AIR-ID missing",IF(COUNTIF('AI Register'!$A$4:$A$206,B164)=0,"AIR-ID not in AI Register",IF(OR(C164="",H164=""),"Artefact or location missing",IF(AND(M164&lt;&gt;"",NOT(ISNUMBER(M164))),"Completed / last reviewed is not a date",IF(AND(N164&lt;&gt;"",NOT(ISNUMBER(N164))),"Review due is not a date",IF(AND(ISNUMBER(N164),N164&lt;TODAY()),"Review date passed: re-review before citing by reference (Playbook §4.6)",IF(AND(G164="Accepted",ISNUMBER(M164),EDATE(M164,12)&lt;TODAY(),O164=""),"Over 12 months old: owner's still-holds review needed before citing by reference","Check against source"))))))))))</f>
        <v/>
      </c>
      <c r="M164" s="35" t="n"/>
      <c r="N164" s="35" t="n"/>
      <c r="O164" s="22" t="n"/>
    </row>
    <row r="165">
      <c r="A165" s="24" t="n"/>
      <c r="B165" s="24" t="n"/>
      <c r="C165" s="24" t="n"/>
      <c r="D165" s="24" t="n"/>
      <c r="E165" s="24" t="n"/>
      <c r="F165" s="24" t="n"/>
      <c r="G165" s="24" t="n"/>
      <c r="H165" s="24" t="n"/>
      <c r="I165" s="24" t="n"/>
      <c r="J165" s="24" t="n"/>
      <c r="K165" s="24" t="n"/>
      <c r="L165" s="24">
        <f>IF(COUNTA(A165:K165,M165:O165)=0,"",IF(A165="","Evidence ID missing",IF(COUNTIF($A$4:$A$353,A165)&gt;1,"Duplicate Evidence ID",IF(B165="","AIR-ID missing",IF(COUNTIF('AI Register'!$A$4:$A$206,B165)=0,"AIR-ID not in AI Register",IF(OR(C165="",H165=""),"Artefact or location missing",IF(AND(M165&lt;&gt;"",NOT(ISNUMBER(M165))),"Completed / last reviewed is not a date",IF(AND(N165&lt;&gt;"",NOT(ISNUMBER(N165))),"Review due is not a date",IF(AND(ISNUMBER(N165),N165&lt;TODAY()),"Review date passed: re-review before citing by reference (Playbook §4.6)",IF(AND(G165="Accepted",ISNUMBER(M165),EDATE(M165,12)&lt;TODAY(),O165=""),"Over 12 months old: owner's still-holds review needed before citing by reference","Check against source"))))))))))</f>
        <v/>
      </c>
      <c r="M165" s="36" t="n"/>
      <c r="N165" s="36" t="n"/>
      <c r="O165" s="24" t="n"/>
    </row>
    <row r="166">
      <c r="A166" s="22" t="n"/>
      <c r="B166" s="22" t="n"/>
      <c r="C166" s="22" t="n"/>
      <c r="D166" s="22" t="n"/>
      <c r="E166" s="22" t="n"/>
      <c r="F166" s="22" t="n"/>
      <c r="G166" s="22" t="n"/>
      <c r="H166" s="22" t="n"/>
      <c r="I166" s="22" t="n"/>
      <c r="J166" s="22" t="n"/>
      <c r="K166" s="22" t="n"/>
      <c r="L166" s="22">
        <f>IF(COUNTA(A166:K166,M166:O166)=0,"",IF(A166="","Evidence ID missing",IF(COUNTIF($A$4:$A$353,A166)&gt;1,"Duplicate Evidence ID",IF(B166="","AIR-ID missing",IF(COUNTIF('AI Register'!$A$4:$A$206,B166)=0,"AIR-ID not in AI Register",IF(OR(C166="",H166=""),"Artefact or location missing",IF(AND(M166&lt;&gt;"",NOT(ISNUMBER(M166))),"Completed / last reviewed is not a date",IF(AND(N166&lt;&gt;"",NOT(ISNUMBER(N166))),"Review due is not a date",IF(AND(ISNUMBER(N166),N166&lt;TODAY()),"Review date passed: re-review before citing by reference (Playbook §4.6)",IF(AND(G166="Accepted",ISNUMBER(M166),EDATE(M166,12)&lt;TODAY(),O166=""),"Over 12 months old: owner's still-holds review needed before citing by reference","Check against source"))))))))))</f>
        <v/>
      </c>
      <c r="M166" s="35" t="n"/>
      <c r="N166" s="35" t="n"/>
      <c r="O166" s="22" t="n"/>
    </row>
    <row r="167">
      <c r="A167" s="24" t="n"/>
      <c r="B167" s="24" t="n"/>
      <c r="C167" s="24" t="n"/>
      <c r="D167" s="24" t="n"/>
      <c r="E167" s="24" t="n"/>
      <c r="F167" s="24" t="n"/>
      <c r="G167" s="24" t="n"/>
      <c r="H167" s="24" t="n"/>
      <c r="I167" s="24" t="n"/>
      <c r="J167" s="24" t="n"/>
      <c r="K167" s="24" t="n"/>
      <c r="L167" s="24">
        <f>IF(COUNTA(A167:K167,M167:O167)=0,"",IF(A167="","Evidence ID missing",IF(COUNTIF($A$4:$A$353,A167)&gt;1,"Duplicate Evidence ID",IF(B167="","AIR-ID missing",IF(COUNTIF('AI Register'!$A$4:$A$206,B167)=0,"AIR-ID not in AI Register",IF(OR(C167="",H167=""),"Artefact or location missing",IF(AND(M167&lt;&gt;"",NOT(ISNUMBER(M167))),"Completed / last reviewed is not a date",IF(AND(N167&lt;&gt;"",NOT(ISNUMBER(N167))),"Review due is not a date",IF(AND(ISNUMBER(N167),N167&lt;TODAY()),"Review date passed: re-review before citing by reference (Playbook §4.6)",IF(AND(G167="Accepted",ISNUMBER(M167),EDATE(M167,12)&lt;TODAY(),O167=""),"Over 12 months old: owner's still-holds review needed before citing by reference","Check against source"))))))))))</f>
        <v/>
      </c>
      <c r="M167" s="36" t="n"/>
      <c r="N167" s="36" t="n"/>
      <c r="O167" s="24" t="n"/>
    </row>
    <row r="168">
      <c r="A168" s="22" t="n"/>
      <c r="B168" s="22" t="n"/>
      <c r="C168" s="22" t="n"/>
      <c r="D168" s="22" t="n"/>
      <c r="E168" s="22" t="n"/>
      <c r="F168" s="22" t="n"/>
      <c r="G168" s="22" t="n"/>
      <c r="H168" s="22" t="n"/>
      <c r="I168" s="22" t="n"/>
      <c r="J168" s="22" t="n"/>
      <c r="K168" s="22" t="n"/>
      <c r="L168" s="22">
        <f>IF(COUNTA(A168:K168,M168:O168)=0,"",IF(A168="","Evidence ID missing",IF(COUNTIF($A$4:$A$353,A168)&gt;1,"Duplicate Evidence ID",IF(B168="","AIR-ID missing",IF(COUNTIF('AI Register'!$A$4:$A$206,B168)=0,"AIR-ID not in AI Register",IF(OR(C168="",H168=""),"Artefact or location missing",IF(AND(M168&lt;&gt;"",NOT(ISNUMBER(M168))),"Completed / last reviewed is not a date",IF(AND(N168&lt;&gt;"",NOT(ISNUMBER(N168))),"Review due is not a date",IF(AND(ISNUMBER(N168),N168&lt;TODAY()),"Review date passed: re-review before citing by reference (Playbook §4.6)",IF(AND(G168="Accepted",ISNUMBER(M168),EDATE(M168,12)&lt;TODAY(),O168=""),"Over 12 months old: owner's still-holds review needed before citing by reference","Check against source"))))))))))</f>
        <v/>
      </c>
      <c r="M168" s="35" t="n"/>
      <c r="N168" s="35" t="n"/>
      <c r="O168" s="22" t="n"/>
    </row>
    <row r="169">
      <c r="A169" s="24" t="n"/>
      <c r="B169" s="24" t="n"/>
      <c r="C169" s="24" t="n"/>
      <c r="D169" s="24" t="n"/>
      <c r="E169" s="24" t="n"/>
      <c r="F169" s="24" t="n"/>
      <c r="G169" s="24" t="n"/>
      <c r="H169" s="24" t="n"/>
      <c r="I169" s="24" t="n"/>
      <c r="J169" s="24" t="n"/>
      <c r="K169" s="24" t="n"/>
      <c r="L169" s="24">
        <f>IF(COUNTA(A169:K169,M169:O169)=0,"",IF(A169="","Evidence ID missing",IF(COUNTIF($A$4:$A$353,A169)&gt;1,"Duplicate Evidence ID",IF(B169="","AIR-ID missing",IF(COUNTIF('AI Register'!$A$4:$A$206,B169)=0,"AIR-ID not in AI Register",IF(OR(C169="",H169=""),"Artefact or location missing",IF(AND(M169&lt;&gt;"",NOT(ISNUMBER(M169))),"Completed / last reviewed is not a date",IF(AND(N169&lt;&gt;"",NOT(ISNUMBER(N169))),"Review due is not a date",IF(AND(ISNUMBER(N169),N169&lt;TODAY()),"Review date passed: re-review before citing by reference (Playbook §4.6)",IF(AND(G169="Accepted",ISNUMBER(M169),EDATE(M169,12)&lt;TODAY(),O169=""),"Over 12 months old: owner's still-holds review needed before citing by reference","Check against source"))))))))))</f>
        <v/>
      </c>
      <c r="M169" s="36" t="n"/>
      <c r="N169" s="36" t="n"/>
      <c r="O169" s="24" t="n"/>
    </row>
    <row r="170">
      <c r="A170" s="22" t="n"/>
      <c r="B170" s="22" t="n"/>
      <c r="C170" s="22" t="n"/>
      <c r="D170" s="22" t="n"/>
      <c r="E170" s="22" t="n"/>
      <c r="F170" s="22" t="n"/>
      <c r="G170" s="22" t="n"/>
      <c r="H170" s="22" t="n"/>
      <c r="I170" s="22" t="n"/>
      <c r="J170" s="22" t="n"/>
      <c r="K170" s="22" t="n"/>
      <c r="L170" s="22">
        <f>IF(COUNTA(A170:K170,M170:O170)=0,"",IF(A170="","Evidence ID missing",IF(COUNTIF($A$4:$A$353,A170)&gt;1,"Duplicate Evidence ID",IF(B170="","AIR-ID missing",IF(COUNTIF('AI Register'!$A$4:$A$206,B170)=0,"AIR-ID not in AI Register",IF(OR(C170="",H170=""),"Artefact or location missing",IF(AND(M170&lt;&gt;"",NOT(ISNUMBER(M170))),"Completed / last reviewed is not a date",IF(AND(N170&lt;&gt;"",NOT(ISNUMBER(N170))),"Review due is not a date",IF(AND(ISNUMBER(N170),N170&lt;TODAY()),"Review date passed: re-review before citing by reference (Playbook §4.6)",IF(AND(G170="Accepted",ISNUMBER(M170),EDATE(M170,12)&lt;TODAY(),O170=""),"Over 12 months old: owner's still-holds review needed before citing by reference","Check against source"))))))))))</f>
        <v/>
      </c>
      <c r="M170" s="35" t="n"/>
      <c r="N170" s="35" t="n"/>
      <c r="O170" s="22" t="n"/>
    </row>
    <row r="171">
      <c r="A171" s="24" t="n"/>
      <c r="B171" s="24" t="n"/>
      <c r="C171" s="24" t="n"/>
      <c r="D171" s="24" t="n"/>
      <c r="E171" s="24" t="n"/>
      <c r="F171" s="24" t="n"/>
      <c r="G171" s="24" t="n"/>
      <c r="H171" s="24" t="n"/>
      <c r="I171" s="24" t="n"/>
      <c r="J171" s="24" t="n"/>
      <c r="K171" s="24" t="n"/>
      <c r="L171" s="24">
        <f>IF(COUNTA(A171:K171,M171:O171)=0,"",IF(A171="","Evidence ID missing",IF(COUNTIF($A$4:$A$353,A171)&gt;1,"Duplicate Evidence ID",IF(B171="","AIR-ID missing",IF(COUNTIF('AI Register'!$A$4:$A$206,B171)=0,"AIR-ID not in AI Register",IF(OR(C171="",H171=""),"Artefact or location missing",IF(AND(M171&lt;&gt;"",NOT(ISNUMBER(M171))),"Completed / last reviewed is not a date",IF(AND(N171&lt;&gt;"",NOT(ISNUMBER(N171))),"Review due is not a date",IF(AND(ISNUMBER(N171),N171&lt;TODAY()),"Review date passed: re-review before citing by reference (Playbook §4.6)",IF(AND(G171="Accepted",ISNUMBER(M171),EDATE(M171,12)&lt;TODAY(),O171=""),"Over 12 months old: owner's still-holds review needed before citing by reference","Check against source"))))))))))</f>
        <v/>
      </c>
      <c r="M171" s="36" t="n"/>
      <c r="N171" s="36" t="n"/>
      <c r="O171" s="24" t="n"/>
    </row>
    <row r="172">
      <c r="A172" s="22" t="n"/>
      <c r="B172" s="22" t="n"/>
      <c r="C172" s="22" t="n"/>
      <c r="D172" s="22" t="n"/>
      <c r="E172" s="22" t="n"/>
      <c r="F172" s="22" t="n"/>
      <c r="G172" s="22" t="n"/>
      <c r="H172" s="22" t="n"/>
      <c r="I172" s="22" t="n"/>
      <c r="J172" s="22" t="n"/>
      <c r="K172" s="22" t="n"/>
      <c r="L172" s="22">
        <f>IF(COUNTA(A172:K172,M172:O172)=0,"",IF(A172="","Evidence ID missing",IF(COUNTIF($A$4:$A$353,A172)&gt;1,"Duplicate Evidence ID",IF(B172="","AIR-ID missing",IF(COUNTIF('AI Register'!$A$4:$A$206,B172)=0,"AIR-ID not in AI Register",IF(OR(C172="",H172=""),"Artefact or location missing",IF(AND(M172&lt;&gt;"",NOT(ISNUMBER(M172))),"Completed / last reviewed is not a date",IF(AND(N172&lt;&gt;"",NOT(ISNUMBER(N172))),"Review due is not a date",IF(AND(ISNUMBER(N172),N172&lt;TODAY()),"Review date passed: re-review before citing by reference (Playbook §4.6)",IF(AND(G172="Accepted",ISNUMBER(M172),EDATE(M172,12)&lt;TODAY(),O172=""),"Over 12 months old: owner's still-holds review needed before citing by reference","Check against source"))))))))))</f>
        <v/>
      </c>
      <c r="M172" s="35" t="n"/>
      <c r="N172" s="35" t="n"/>
      <c r="O172" s="22" t="n"/>
    </row>
    <row r="173">
      <c r="A173" s="24" t="n"/>
      <c r="B173" s="24" t="n"/>
      <c r="C173" s="24" t="n"/>
      <c r="D173" s="24" t="n"/>
      <c r="E173" s="24" t="n"/>
      <c r="F173" s="24" t="n"/>
      <c r="G173" s="24" t="n"/>
      <c r="H173" s="24" t="n"/>
      <c r="I173" s="24" t="n"/>
      <c r="J173" s="24" t="n"/>
      <c r="K173" s="24" t="n"/>
      <c r="L173" s="24">
        <f>IF(COUNTA(A173:K173,M173:O173)=0,"",IF(A173="","Evidence ID missing",IF(COUNTIF($A$4:$A$353,A173)&gt;1,"Duplicate Evidence ID",IF(B173="","AIR-ID missing",IF(COUNTIF('AI Register'!$A$4:$A$206,B173)=0,"AIR-ID not in AI Register",IF(OR(C173="",H173=""),"Artefact or location missing",IF(AND(M173&lt;&gt;"",NOT(ISNUMBER(M173))),"Completed / last reviewed is not a date",IF(AND(N173&lt;&gt;"",NOT(ISNUMBER(N173))),"Review due is not a date",IF(AND(ISNUMBER(N173),N173&lt;TODAY()),"Review date passed: re-review before citing by reference (Playbook §4.6)",IF(AND(G173="Accepted",ISNUMBER(M173),EDATE(M173,12)&lt;TODAY(),O173=""),"Over 12 months old: owner's still-holds review needed before citing by reference","Check against source"))))))))))</f>
        <v/>
      </c>
      <c r="M173" s="36" t="n"/>
      <c r="N173" s="36" t="n"/>
      <c r="O173" s="24" t="n"/>
    </row>
    <row r="174">
      <c r="A174" s="22" t="n"/>
      <c r="B174" s="22" t="n"/>
      <c r="C174" s="22" t="n"/>
      <c r="D174" s="22" t="n"/>
      <c r="E174" s="22" t="n"/>
      <c r="F174" s="22" t="n"/>
      <c r="G174" s="22" t="n"/>
      <c r="H174" s="22" t="n"/>
      <c r="I174" s="22" t="n"/>
      <c r="J174" s="22" t="n"/>
      <c r="K174" s="22" t="n"/>
      <c r="L174" s="22">
        <f>IF(COUNTA(A174:K174,M174:O174)=0,"",IF(A174="","Evidence ID missing",IF(COUNTIF($A$4:$A$353,A174)&gt;1,"Duplicate Evidence ID",IF(B174="","AIR-ID missing",IF(COUNTIF('AI Register'!$A$4:$A$206,B174)=0,"AIR-ID not in AI Register",IF(OR(C174="",H174=""),"Artefact or location missing",IF(AND(M174&lt;&gt;"",NOT(ISNUMBER(M174))),"Completed / last reviewed is not a date",IF(AND(N174&lt;&gt;"",NOT(ISNUMBER(N174))),"Review due is not a date",IF(AND(ISNUMBER(N174),N174&lt;TODAY()),"Review date passed: re-review before citing by reference (Playbook §4.6)",IF(AND(G174="Accepted",ISNUMBER(M174),EDATE(M174,12)&lt;TODAY(),O174=""),"Over 12 months old: owner's still-holds review needed before citing by reference","Check against source"))))))))))</f>
        <v/>
      </c>
      <c r="M174" s="35" t="n"/>
      <c r="N174" s="35" t="n"/>
      <c r="O174" s="22" t="n"/>
    </row>
    <row r="175">
      <c r="A175" s="24" t="n"/>
      <c r="B175" s="24" t="n"/>
      <c r="C175" s="24" t="n"/>
      <c r="D175" s="24" t="n"/>
      <c r="E175" s="24" t="n"/>
      <c r="F175" s="24" t="n"/>
      <c r="G175" s="24" t="n"/>
      <c r="H175" s="24" t="n"/>
      <c r="I175" s="24" t="n"/>
      <c r="J175" s="24" t="n"/>
      <c r="K175" s="24" t="n"/>
      <c r="L175" s="24">
        <f>IF(COUNTA(A175:K175,M175:O175)=0,"",IF(A175="","Evidence ID missing",IF(COUNTIF($A$4:$A$353,A175)&gt;1,"Duplicate Evidence ID",IF(B175="","AIR-ID missing",IF(COUNTIF('AI Register'!$A$4:$A$206,B175)=0,"AIR-ID not in AI Register",IF(OR(C175="",H175=""),"Artefact or location missing",IF(AND(M175&lt;&gt;"",NOT(ISNUMBER(M175))),"Completed / last reviewed is not a date",IF(AND(N175&lt;&gt;"",NOT(ISNUMBER(N175))),"Review due is not a date",IF(AND(ISNUMBER(N175),N175&lt;TODAY()),"Review date passed: re-review before citing by reference (Playbook §4.6)",IF(AND(G175="Accepted",ISNUMBER(M175),EDATE(M175,12)&lt;TODAY(),O175=""),"Over 12 months old: owner's still-holds review needed before citing by reference","Check against source"))))))))))</f>
        <v/>
      </c>
      <c r="M175" s="36" t="n"/>
      <c r="N175" s="36" t="n"/>
      <c r="O175" s="24" t="n"/>
    </row>
    <row r="176">
      <c r="A176" s="22" t="n"/>
      <c r="B176" s="22" t="n"/>
      <c r="C176" s="22" t="n"/>
      <c r="D176" s="22" t="n"/>
      <c r="E176" s="22" t="n"/>
      <c r="F176" s="22" t="n"/>
      <c r="G176" s="22" t="n"/>
      <c r="H176" s="22" t="n"/>
      <c r="I176" s="22" t="n"/>
      <c r="J176" s="22" t="n"/>
      <c r="K176" s="22" t="n"/>
      <c r="L176" s="22">
        <f>IF(COUNTA(A176:K176,M176:O176)=0,"",IF(A176="","Evidence ID missing",IF(COUNTIF($A$4:$A$353,A176)&gt;1,"Duplicate Evidence ID",IF(B176="","AIR-ID missing",IF(COUNTIF('AI Register'!$A$4:$A$206,B176)=0,"AIR-ID not in AI Register",IF(OR(C176="",H176=""),"Artefact or location missing",IF(AND(M176&lt;&gt;"",NOT(ISNUMBER(M176))),"Completed / last reviewed is not a date",IF(AND(N176&lt;&gt;"",NOT(ISNUMBER(N176))),"Review due is not a date",IF(AND(ISNUMBER(N176),N176&lt;TODAY()),"Review date passed: re-review before citing by reference (Playbook §4.6)",IF(AND(G176="Accepted",ISNUMBER(M176),EDATE(M176,12)&lt;TODAY(),O176=""),"Over 12 months old: owner's still-holds review needed before citing by reference","Check against source"))))))))))</f>
        <v/>
      </c>
      <c r="M176" s="35" t="n"/>
      <c r="N176" s="35" t="n"/>
      <c r="O176" s="22" t="n"/>
    </row>
    <row r="177">
      <c r="A177" s="24" t="n"/>
      <c r="B177" s="24" t="n"/>
      <c r="C177" s="24" t="n"/>
      <c r="D177" s="24" t="n"/>
      <c r="E177" s="24" t="n"/>
      <c r="F177" s="24" t="n"/>
      <c r="G177" s="24" t="n"/>
      <c r="H177" s="24" t="n"/>
      <c r="I177" s="24" t="n"/>
      <c r="J177" s="24" t="n"/>
      <c r="K177" s="24" t="n"/>
      <c r="L177" s="24">
        <f>IF(COUNTA(A177:K177,M177:O177)=0,"",IF(A177="","Evidence ID missing",IF(COUNTIF($A$4:$A$353,A177)&gt;1,"Duplicate Evidence ID",IF(B177="","AIR-ID missing",IF(COUNTIF('AI Register'!$A$4:$A$206,B177)=0,"AIR-ID not in AI Register",IF(OR(C177="",H177=""),"Artefact or location missing",IF(AND(M177&lt;&gt;"",NOT(ISNUMBER(M177))),"Completed / last reviewed is not a date",IF(AND(N177&lt;&gt;"",NOT(ISNUMBER(N177))),"Review due is not a date",IF(AND(ISNUMBER(N177),N177&lt;TODAY()),"Review date passed: re-review before citing by reference (Playbook §4.6)",IF(AND(G177="Accepted",ISNUMBER(M177),EDATE(M177,12)&lt;TODAY(),O177=""),"Over 12 months old: owner's still-holds review needed before citing by reference","Check against source"))))))))))</f>
        <v/>
      </c>
      <c r="M177" s="36" t="n"/>
      <c r="N177" s="36" t="n"/>
      <c r="O177" s="24" t="n"/>
    </row>
    <row r="178">
      <c r="A178" s="22" t="n"/>
      <c r="B178" s="22" t="n"/>
      <c r="C178" s="22" t="n"/>
      <c r="D178" s="22" t="n"/>
      <c r="E178" s="22" t="n"/>
      <c r="F178" s="22" t="n"/>
      <c r="G178" s="22" t="n"/>
      <c r="H178" s="22" t="n"/>
      <c r="I178" s="22" t="n"/>
      <c r="J178" s="22" t="n"/>
      <c r="K178" s="22" t="n"/>
      <c r="L178" s="22">
        <f>IF(COUNTA(A178:K178,M178:O178)=0,"",IF(A178="","Evidence ID missing",IF(COUNTIF($A$4:$A$353,A178)&gt;1,"Duplicate Evidence ID",IF(B178="","AIR-ID missing",IF(COUNTIF('AI Register'!$A$4:$A$206,B178)=0,"AIR-ID not in AI Register",IF(OR(C178="",H178=""),"Artefact or location missing",IF(AND(M178&lt;&gt;"",NOT(ISNUMBER(M178))),"Completed / last reviewed is not a date",IF(AND(N178&lt;&gt;"",NOT(ISNUMBER(N178))),"Review due is not a date",IF(AND(ISNUMBER(N178),N178&lt;TODAY()),"Review date passed: re-review before citing by reference (Playbook §4.6)",IF(AND(G178="Accepted",ISNUMBER(M178),EDATE(M178,12)&lt;TODAY(),O178=""),"Over 12 months old: owner's still-holds review needed before citing by reference","Check against source"))))))))))</f>
        <v/>
      </c>
      <c r="M178" s="35" t="n"/>
      <c r="N178" s="35" t="n"/>
      <c r="O178" s="22" t="n"/>
    </row>
    <row r="179">
      <c r="A179" s="24" t="n"/>
      <c r="B179" s="24" t="n"/>
      <c r="C179" s="24" t="n"/>
      <c r="D179" s="24" t="n"/>
      <c r="E179" s="24" t="n"/>
      <c r="F179" s="24" t="n"/>
      <c r="G179" s="24" t="n"/>
      <c r="H179" s="24" t="n"/>
      <c r="I179" s="24" t="n"/>
      <c r="J179" s="24" t="n"/>
      <c r="K179" s="24" t="n"/>
      <c r="L179" s="24">
        <f>IF(COUNTA(A179:K179,M179:O179)=0,"",IF(A179="","Evidence ID missing",IF(COUNTIF($A$4:$A$353,A179)&gt;1,"Duplicate Evidence ID",IF(B179="","AIR-ID missing",IF(COUNTIF('AI Register'!$A$4:$A$206,B179)=0,"AIR-ID not in AI Register",IF(OR(C179="",H179=""),"Artefact or location missing",IF(AND(M179&lt;&gt;"",NOT(ISNUMBER(M179))),"Completed / last reviewed is not a date",IF(AND(N179&lt;&gt;"",NOT(ISNUMBER(N179))),"Review due is not a date",IF(AND(ISNUMBER(N179),N179&lt;TODAY()),"Review date passed: re-review before citing by reference (Playbook §4.6)",IF(AND(G179="Accepted",ISNUMBER(M179),EDATE(M179,12)&lt;TODAY(),O179=""),"Over 12 months old: owner's still-holds review needed before citing by reference","Check against source"))))))))))</f>
        <v/>
      </c>
      <c r="M179" s="36" t="n"/>
      <c r="N179" s="36" t="n"/>
      <c r="O179" s="24" t="n"/>
    </row>
    <row r="180">
      <c r="A180" s="22" t="n"/>
      <c r="B180" s="22" t="n"/>
      <c r="C180" s="22" t="n"/>
      <c r="D180" s="22" t="n"/>
      <c r="E180" s="22" t="n"/>
      <c r="F180" s="22" t="n"/>
      <c r="G180" s="22" t="n"/>
      <c r="H180" s="22" t="n"/>
      <c r="I180" s="22" t="n"/>
      <c r="J180" s="22" t="n"/>
      <c r="K180" s="22" t="n"/>
      <c r="L180" s="22">
        <f>IF(COUNTA(A180:K180,M180:O180)=0,"",IF(A180="","Evidence ID missing",IF(COUNTIF($A$4:$A$353,A180)&gt;1,"Duplicate Evidence ID",IF(B180="","AIR-ID missing",IF(COUNTIF('AI Register'!$A$4:$A$206,B180)=0,"AIR-ID not in AI Register",IF(OR(C180="",H180=""),"Artefact or location missing",IF(AND(M180&lt;&gt;"",NOT(ISNUMBER(M180))),"Completed / last reviewed is not a date",IF(AND(N180&lt;&gt;"",NOT(ISNUMBER(N180))),"Review due is not a date",IF(AND(ISNUMBER(N180),N180&lt;TODAY()),"Review date passed: re-review before citing by reference (Playbook §4.6)",IF(AND(G180="Accepted",ISNUMBER(M180),EDATE(M180,12)&lt;TODAY(),O180=""),"Over 12 months old: owner's still-holds review needed before citing by reference","Check against source"))))))))))</f>
        <v/>
      </c>
      <c r="M180" s="35" t="n"/>
      <c r="N180" s="35" t="n"/>
      <c r="O180" s="22" t="n"/>
    </row>
    <row r="181">
      <c r="A181" s="24" t="n"/>
      <c r="B181" s="24" t="n"/>
      <c r="C181" s="24" t="n"/>
      <c r="D181" s="24" t="n"/>
      <c r="E181" s="24" t="n"/>
      <c r="F181" s="24" t="n"/>
      <c r="G181" s="24" t="n"/>
      <c r="H181" s="24" t="n"/>
      <c r="I181" s="24" t="n"/>
      <c r="J181" s="24" t="n"/>
      <c r="K181" s="24" t="n"/>
      <c r="L181" s="24">
        <f>IF(COUNTA(A181:K181,M181:O181)=0,"",IF(A181="","Evidence ID missing",IF(COUNTIF($A$4:$A$353,A181)&gt;1,"Duplicate Evidence ID",IF(B181="","AIR-ID missing",IF(COUNTIF('AI Register'!$A$4:$A$206,B181)=0,"AIR-ID not in AI Register",IF(OR(C181="",H181=""),"Artefact or location missing",IF(AND(M181&lt;&gt;"",NOT(ISNUMBER(M181))),"Completed / last reviewed is not a date",IF(AND(N181&lt;&gt;"",NOT(ISNUMBER(N181))),"Review due is not a date",IF(AND(ISNUMBER(N181),N181&lt;TODAY()),"Review date passed: re-review before citing by reference (Playbook §4.6)",IF(AND(G181="Accepted",ISNUMBER(M181),EDATE(M181,12)&lt;TODAY(),O181=""),"Over 12 months old: owner's still-holds review needed before citing by reference","Check against source"))))))))))</f>
        <v/>
      </c>
      <c r="M181" s="36" t="n"/>
      <c r="N181" s="36" t="n"/>
      <c r="O181" s="24" t="n"/>
    </row>
    <row r="182">
      <c r="A182" s="22" t="n"/>
      <c r="B182" s="22" t="n"/>
      <c r="C182" s="22" t="n"/>
      <c r="D182" s="22" t="n"/>
      <c r="E182" s="22" t="n"/>
      <c r="F182" s="22" t="n"/>
      <c r="G182" s="22" t="n"/>
      <c r="H182" s="22" t="n"/>
      <c r="I182" s="22" t="n"/>
      <c r="J182" s="22" t="n"/>
      <c r="K182" s="22" t="n"/>
      <c r="L182" s="22">
        <f>IF(COUNTA(A182:K182,M182:O182)=0,"",IF(A182="","Evidence ID missing",IF(COUNTIF($A$4:$A$353,A182)&gt;1,"Duplicate Evidence ID",IF(B182="","AIR-ID missing",IF(COUNTIF('AI Register'!$A$4:$A$206,B182)=0,"AIR-ID not in AI Register",IF(OR(C182="",H182=""),"Artefact or location missing",IF(AND(M182&lt;&gt;"",NOT(ISNUMBER(M182))),"Completed / last reviewed is not a date",IF(AND(N182&lt;&gt;"",NOT(ISNUMBER(N182))),"Review due is not a date",IF(AND(ISNUMBER(N182),N182&lt;TODAY()),"Review date passed: re-review before citing by reference (Playbook §4.6)",IF(AND(G182="Accepted",ISNUMBER(M182),EDATE(M182,12)&lt;TODAY(),O182=""),"Over 12 months old: owner's still-holds review needed before citing by reference","Check against source"))))))))))</f>
        <v/>
      </c>
      <c r="M182" s="35" t="n"/>
      <c r="N182" s="35" t="n"/>
      <c r="O182" s="22" t="n"/>
    </row>
    <row r="183">
      <c r="A183" s="24" t="n"/>
      <c r="B183" s="24" t="n"/>
      <c r="C183" s="24" t="n"/>
      <c r="D183" s="24" t="n"/>
      <c r="E183" s="24" t="n"/>
      <c r="F183" s="24" t="n"/>
      <c r="G183" s="24" t="n"/>
      <c r="H183" s="24" t="n"/>
      <c r="I183" s="24" t="n"/>
      <c r="J183" s="24" t="n"/>
      <c r="K183" s="24" t="n"/>
      <c r="L183" s="24">
        <f>IF(COUNTA(A183:K183,M183:O183)=0,"",IF(A183="","Evidence ID missing",IF(COUNTIF($A$4:$A$353,A183)&gt;1,"Duplicate Evidence ID",IF(B183="","AIR-ID missing",IF(COUNTIF('AI Register'!$A$4:$A$206,B183)=0,"AIR-ID not in AI Register",IF(OR(C183="",H183=""),"Artefact or location missing",IF(AND(M183&lt;&gt;"",NOT(ISNUMBER(M183))),"Completed / last reviewed is not a date",IF(AND(N183&lt;&gt;"",NOT(ISNUMBER(N183))),"Review due is not a date",IF(AND(ISNUMBER(N183),N183&lt;TODAY()),"Review date passed: re-review before citing by reference (Playbook §4.6)",IF(AND(G183="Accepted",ISNUMBER(M183),EDATE(M183,12)&lt;TODAY(),O183=""),"Over 12 months old: owner's still-holds review needed before citing by reference","Check against source"))))))))))</f>
        <v/>
      </c>
      <c r="M183" s="36" t="n"/>
      <c r="N183" s="36" t="n"/>
      <c r="O183" s="24" t="n"/>
    </row>
    <row r="184">
      <c r="A184" s="22" t="n"/>
      <c r="B184" s="22" t="n"/>
      <c r="C184" s="22" t="n"/>
      <c r="D184" s="22" t="n"/>
      <c r="E184" s="22" t="n"/>
      <c r="F184" s="22" t="n"/>
      <c r="G184" s="22" t="n"/>
      <c r="H184" s="22" t="n"/>
      <c r="I184" s="22" t="n"/>
      <c r="J184" s="22" t="n"/>
      <c r="K184" s="22" t="n"/>
      <c r="L184" s="22">
        <f>IF(COUNTA(A184:K184,M184:O184)=0,"",IF(A184="","Evidence ID missing",IF(COUNTIF($A$4:$A$353,A184)&gt;1,"Duplicate Evidence ID",IF(B184="","AIR-ID missing",IF(COUNTIF('AI Register'!$A$4:$A$206,B184)=0,"AIR-ID not in AI Register",IF(OR(C184="",H184=""),"Artefact or location missing",IF(AND(M184&lt;&gt;"",NOT(ISNUMBER(M184))),"Completed / last reviewed is not a date",IF(AND(N184&lt;&gt;"",NOT(ISNUMBER(N184))),"Review due is not a date",IF(AND(ISNUMBER(N184),N184&lt;TODAY()),"Review date passed: re-review before citing by reference (Playbook §4.6)",IF(AND(G184="Accepted",ISNUMBER(M184),EDATE(M184,12)&lt;TODAY(),O184=""),"Over 12 months old: owner's still-holds review needed before citing by reference","Check against source"))))))))))</f>
        <v/>
      </c>
      <c r="M184" s="35" t="n"/>
      <c r="N184" s="35" t="n"/>
      <c r="O184" s="22" t="n"/>
    </row>
    <row r="185">
      <c r="A185" s="24" t="n"/>
      <c r="B185" s="24" t="n"/>
      <c r="C185" s="24" t="n"/>
      <c r="D185" s="24" t="n"/>
      <c r="E185" s="24" t="n"/>
      <c r="F185" s="24" t="n"/>
      <c r="G185" s="24" t="n"/>
      <c r="H185" s="24" t="n"/>
      <c r="I185" s="24" t="n"/>
      <c r="J185" s="24" t="n"/>
      <c r="K185" s="24" t="n"/>
      <c r="L185" s="24">
        <f>IF(COUNTA(A185:K185,M185:O185)=0,"",IF(A185="","Evidence ID missing",IF(COUNTIF($A$4:$A$353,A185)&gt;1,"Duplicate Evidence ID",IF(B185="","AIR-ID missing",IF(COUNTIF('AI Register'!$A$4:$A$206,B185)=0,"AIR-ID not in AI Register",IF(OR(C185="",H185=""),"Artefact or location missing",IF(AND(M185&lt;&gt;"",NOT(ISNUMBER(M185))),"Completed / last reviewed is not a date",IF(AND(N185&lt;&gt;"",NOT(ISNUMBER(N185))),"Review due is not a date",IF(AND(ISNUMBER(N185),N185&lt;TODAY()),"Review date passed: re-review before citing by reference (Playbook §4.6)",IF(AND(G185="Accepted",ISNUMBER(M185),EDATE(M185,12)&lt;TODAY(),O185=""),"Over 12 months old: owner's still-holds review needed before citing by reference","Check against source"))))))))))</f>
        <v/>
      </c>
      <c r="M185" s="36" t="n"/>
      <c r="N185" s="36" t="n"/>
      <c r="O185" s="24" t="n"/>
    </row>
    <row r="186">
      <c r="A186" s="22" t="n"/>
      <c r="B186" s="22" t="n"/>
      <c r="C186" s="22" t="n"/>
      <c r="D186" s="22" t="n"/>
      <c r="E186" s="22" t="n"/>
      <c r="F186" s="22" t="n"/>
      <c r="G186" s="22" t="n"/>
      <c r="H186" s="22" t="n"/>
      <c r="I186" s="22" t="n"/>
      <c r="J186" s="22" t="n"/>
      <c r="K186" s="22" t="n"/>
      <c r="L186" s="22">
        <f>IF(COUNTA(A186:K186,M186:O186)=0,"",IF(A186="","Evidence ID missing",IF(COUNTIF($A$4:$A$353,A186)&gt;1,"Duplicate Evidence ID",IF(B186="","AIR-ID missing",IF(COUNTIF('AI Register'!$A$4:$A$206,B186)=0,"AIR-ID not in AI Register",IF(OR(C186="",H186=""),"Artefact or location missing",IF(AND(M186&lt;&gt;"",NOT(ISNUMBER(M186))),"Completed / last reviewed is not a date",IF(AND(N186&lt;&gt;"",NOT(ISNUMBER(N186))),"Review due is not a date",IF(AND(ISNUMBER(N186),N186&lt;TODAY()),"Review date passed: re-review before citing by reference (Playbook §4.6)",IF(AND(G186="Accepted",ISNUMBER(M186),EDATE(M186,12)&lt;TODAY(),O186=""),"Over 12 months old: owner's still-holds review needed before citing by reference","Check against source"))))))))))</f>
        <v/>
      </c>
      <c r="M186" s="35" t="n"/>
      <c r="N186" s="35" t="n"/>
      <c r="O186" s="22" t="n"/>
    </row>
    <row r="187">
      <c r="A187" s="24" t="n"/>
      <c r="B187" s="24" t="n"/>
      <c r="C187" s="24" t="n"/>
      <c r="D187" s="24" t="n"/>
      <c r="E187" s="24" t="n"/>
      <c r="F187" s="24" t="n"/>
      <c r="G187" s="24" t="n"/>
      <c r="H187" s="24" t="n"/>
      <c r="I187" s="24" t="n"/>
      <c r="J187" s="24" t="n"/>
      <c r="K187" s="24" t="n"/>
      <c r="L187" s="24">
        <f>IF(COUNTA(A187:K187,M187:O187)=0,"",IF(A187="","Evidence ID missing",IF(COUNTIF($A$4:$A$353,A187)&gt;1,"Duplicate Evidence ID",IF(B187="","AIR-ID missing",IF(COUNTIF('AI Register'!$A$4:$A$206,B187)=0,"AIR-ID not in AI Register",IF(OR(C187="",H187=""),"Artefact or location missing",IF(AND(M187&lt;&gt;"",NOT(ISNUMBER(M187))),"Completed / last reviewed is not a date",IF(AND(N187&lt;&gt;"",NOT(ISNUMBER(N187))),"Review due is not a date",IF(AND(ISNUMBER(N187),N187&lt;TODAY()),"Review date passed: re-review before citing by reference (Playbook §4.6)",IF(AND(G187="Accepted",ISNUMBER(M187),EDATE(M187,12)&lt;TODAY(),O187=""),"Over 12 months old: owner's still-holds review needed before citing by reference","Check against source"))))))))))</f>
        <v/>
      </c>
      <c r="M187" s="36" t="n"/>
      <c r="N187" s="36" t="n"/>
      <c r="O187" s="24" t="n"/>
    </row>
    <row r="188">
      <c r="A188" s="22" t="n"/>
      <c r="B188" s="22" t="n"/>
      <c r="C188" s="22" t="n"/>
      <c r="D188" s="22" t="n"/>
      <c r="E188" s="22" t="n"/>
      <c r="F188" s="22" t="n"/>
      <c r="G188" s="22" t="n"/>
      <c r="H188" s="22" t="n"/>
      <c r="I188" s="22" t="n"/>
      <c r="J188" s="22" t="n"/>
      <c r="K188" s="22" t="n"/>
      <c r="L188" s="22">
        <f>IF(COUNTA(A188:K188,M188:O188)=0,"",IF(A188="","Evidence ID missing",IF(COUNTIF($A$4:$A$353,A188)&gt;1,"Duplicate Evidence ID",IF(B188="","AIR-ID missing",IF(COUNTIF('AI Register'!$A$4:$A$206,B188)=0,"AIR-ID not in AI Register",IF(OR(C188="",H188=""),"Artefact or location missing",IF(AND(M188&lt;&gt;"",NOT(ISNUMBER(M188))),"Completed / last reviewed is not a date",IF(AND(N188&lt;&gt;"",NOT(ISNUMBER(N188))),"Review due is not a date",IF(AND(ISNUMBER(N188),N188&lt;TODAY()),"Review date passed: re-review before citing by reference (Playbook §4.6)",IF(AND(G188="Accepted",ISNUMBER(M188),EDATE(M188,12)&lt;TODAY(),O188=""),"Over 12 months old: owner's still-holds review needed before citing by reference","Check against source"))))))))))</f>
        <v/>
      </c>
      <c r="M188" s="35" t="n"/>
      <c r="N188" s="35" t="n"/>
      <c r="O188" s="22" t="n"/>
    </row>
    <row r="189">
      <c r="A189" s="24" t="n"/>
      <c r="B189" s="24" t="n"/>
      <c r="C189" s="24" t="n"/>
      <c r="D189" s="24" t="n"/>
      <c r="E189" s="24" t="n"/>
      <c r="F189" s="24" t="n"/>
      <c r="G189" s="24" t="n"/>
      <c r="H189" s="24" t="n"/>
      <c r="I189" s="24" t="n"/>
      <c r="J189" s="24" t="n"/>
      <c r="K189" s="24" t="n"/>
      <c r="L189" s="24">
        <f>IF(COUNTA(A189:K189,M189:O189)=0,"",IF(A189="","Evidence ID missing",IF(COUNTIF($A$4:$A$353,A189)&gt;1,"Duplicate Evidence ID",IF(B189="","AIR-ID missing",IF(COUNTIF('AI Register'!$A$4:$A$206,B189)=0,"AIR-ID not in AI Register",IF(OR(C189="",H189=""),"Artefact or location missing",IF(AND(M189&lt;&gt;"",NOT(ISNUMBER(M189))),"Completed / last reviewed is not a date",IF(AND(N189&lt;&gt;"",NOT(ISNUMBER(N189))),"Review due is not a date",IF(AND(ISNUMBER(N189),N189&lt;TODAY()),"Review date passed: re-review before citing by reference (Playbook §4.6)",IF(AND(G189="Accepted",ISNUMBER(M189),EDATE(M189,12)&lt;TODAY(),O189=""),"Over 12 months old: owner's still-holds review needed before citing by reference","Check against source"))))))))))</f>
        <v/>
      </c>
      <c r="M189" s="36" t="n"/>
      <c r="N189" s="36" t="n"/>
      <c r="O189" s="24" t="n"/>
    </row>
    <row r="190">
      <c r="A190" s="22" t="n"/>
      <c r="B190" s="22" t="n"/>
      <c r="C190" s="22" t="n"/>
      <c r="D190" s="22" t="n"/>
      <c r="E190" s="22" t="n"/>
      <c r="F190" s="22" t="n"/>
      <c r="G190" s="22" t="n"/>
      <c r="H190" s="22" t="n"/>
      <c r="I190" s="22" t="n"/>
      <c r="J190" s="22" t="n"/>
      <c r="K190" s="22" t="n"/>
      <c r="L190" s="22">
        <f>IF(COUNTA(A190:K190,M190:O190)=0,"",IF(A190="","Evidence ID missing",IF(COUNTIF($A$4:$A$353,A190)&gt;1,"Duplicate Evidence ID",IF(B190="","AIR-ID missing",IF(COUNTIF('AI Register'!$A$4:$A$206,B190)=0,"AIR-ID not in AI Register",IF(OR(C190="",H190=""),"Artefact or location missing",IF(AND(M190&lt;&gt;"",NOT(ISNUMBER(M190))),"Completed / last reviewed is not a date",IF(AND(N190&lt;&gt;"",NOT(ISNUMBER(N190))),"Review due is not a date",IF(AND(ISNUMBER(N190),N190&lt;TODAY()),"Review date passed: re-review before citing by reference (Playbook §4.6)",IF(AND(G190="Accepted",ISNUMBER(M190),EDATE(M190,12)&lt;TODAY(),O190=""),"Over 12 months old: owner's still-holds review needed before citing by reference","Check against source"))))))))))</f>
        <v/>
      </c>
      <c r="M190" s="35" t="n"/>
      <c r="N190" s="35" t="n"/>
      <c r="O190" s="22" t="n"/>
    </row>
    <row r="191">
      <c r="A191" s="24" t="n"/>
      <c r="B191" s="24" t="n"/>
      <c r="C191" s="24" t="n"/>
      <c r="D191" s="24" t="n"/>
      <c r="E191" s="24" t="n"/>
      <c r="F191" s="24" t="n"/>
      <c r="G191" s="24" t="n"/>
      <c r="H191" s="24" t="n"/>
      <c r="I191" s="24" t="n"/>
      <c r="J191" s="24" t="n"/>
      <c r="K191" s="24" t="n"/>
      <c r="L191" s="24">
        <f>IF(COUNTA(A191:K191,M191:O191)=0,"",IF(A191="","Evidence ID missing",IF(COUNTIF($A$4:$A$353,A191)&gt;1,"Duplicate Evidence ID",IF(B191="","AIR-ID missing",IF(COUNTIF('AI Register'!$A$4:$A$206,B191)=0,"AIR-ID not in AI Register",IF(OR(C191="",H191=""),"Artefact or location missing",IF(AND(M191&lt;&gt;"",NOT(ISNUMBER(M191))),"Completed / last reviewed is not a date",IF(AND(N191&lt;&gt;"",NOT(ISNUMBER(N191))),"Review due is not a date",IF(AND(ISNUMBER(N191),N191&lt;TODAY()),"Review date passed: re-review before citing by reference (Playbook §4.6)",IF(AND(G191="Accepted",ISNUMBER(M191),EDATE(M191,12)&lt;TODAY(),O191=""),"Over 12 months old: owner's still-holds review needed before citing by reference","Check against source"))))))))))</f>
        <v/>
      </c>
      <c r="M191" s="36" t="n"/>
      <c r="N191" s="36" t="n"/>
      <c r="O191" s="24" t="n"/>
    </row>
    <row r="192">
      <c r="A192" s="22" t="n"/>
      <c r="B192" s="22" t="n"/>
      <c r="C192" s="22" t="n"/>
      <c r="D192" s="22" t="n"/>
      <c r="E192" s="22" t="n"/>
      <c r="F192" s="22" t="n"/>
      <c r="G192" s="22" t="n"/>
      <c r="H192" s="22" t="n"/>
      <c r="I192" s="22" t="n"/>
      <c r="J192" s="22" t="n"/>
      <c r="K192" s="22" t="n"/>
      <c r="L192" s="22">
        <f>IF(COUNTA(A192:K192,M192:O192)=0,"",IF(A192="","Evidence ID missing",IF(COUNTIF($A$4:$A$353,A192)&gt;1,"Duplicate Evidence ID",IF(B192="","AIR-ID missing",IF(COUNTIF('AI Register'!$A$4:$A$206,B192)=0,"AIR-ID not in AI Register",IF(OR(C192="",H192=""),"Artefact or location missing",IF(AND(M192&lt;&gt;"",NOT(ISNUMBER(M192))),"Completed / last reviewed is not a date",IF(AND(N192&lt;&gt;"",NOT(ISNUMBER(N192))),"Review due is not a date",IF(AND(ISNUMBER(N192),N192&lt;TODAY()),"Review date passed: re-review before citing by reference (Playbook §4.6)",IF(AND(G192="Accepted",ISNUMBER(M192),EDATE(M192,12)&lt;TODAY(),O192=""),"Over 12 months old: owner's still-holds review needed before citing by reference","Check against source"))))))))))</f>
        <v/>
      </c>
      <c r="M192" s="35" t="n"/>
      <c r="N192" s="35" t="n"/>
      <c r="O192" s="22" t="n"/>
    </row>
    <row r="193">
      <c r="A193" s="24" t="n"/>
      <c r="B193" s="24" t="n"/>
      <c r="C193" s="24" t="n"/>
      <c r="D193" s="24" t="n"/>
      <c r="E193" s="24" t="n"/>
      <c r="F193" s="24" t="n"/>
      <c r="G193" s="24" t="n"/>
      <c r="H193" s="24" t="n"/>
      <c r="I193" s="24" t="n"/>
      <c r="J193" s="24" t="n"/>
      <c r="K193" s="24" t="n"/>
      <c r="L193" s="24">
        <f>IF(COUNTA(A193:K193,M193:O193)=0,"",IF(A193="","Evidence ID missing",IF(COUNTIF($A$4:$A$353,A193)&gt;1,"Duplicate Evidence ID",IF(B193="","AIR-ID missing",IF(COUNTIF('AI Register'!$A$4:$A$206,B193)=0,"AIR-ID not in AI Register",IF(OR(C193="",H193=""),"Artefact or location missing",IF(AND(M193&lt;&gt;"",NOT(ISNUMBER(M193))),"Completed / last reviewed is not a date",IF(AND(N193&lt;&gt;"",NOT(ISNUMBER(N193))),"Review due is not a date",IF(AND(ISNUMBER(N193),N193&lt;TODAY()),"Review date passed: re-review before citing by reference (Playbook §4.6)",IF(AND(G193="Accepted",ISNUMBER(M193),EDATE(M193,12)&lt;TODAY(),O193=""),"Over 12 months old: owner's still-holds review needed before citing by reference","Check against source"))))))))))</f>
        <v/>
      </c>
      <c r="M193" s="36" t="n"/>
      <c r="N193" s="36" t="n"/>
      <c r="O193" s="24" t="n"/>
    </row>
    <row r="194">
      <c r="A194" s="22" t="n"/>
      <c r="B194" s="22" t="n"/>
      <c r="C194" s="22" t="n"/>
      <c r="D194" s="22" t="n"/>
      <c r="E194" s="22" t="n"/>
      <c r="F194" s="22" t="n"/>
      <c r="G194" s="22" t="n"/>
      <c r="H194" s="22" t="n"/>
      <c r="I194" s="22" t="n"/>
      <c r="J194" s="22" t="n"/>
      <c r="K194" s="22" t="n"/>
      <c r="L194" s="22">
        <f>IF(COUNTA(A194:K194,M194:O194)=0,"",IF(A194="","Evidence ID missing",IF(COUNTIF($A$4:$A$353,A194)&gt;1,"Duplicate Evidence ID",IF(B194="","AIR-ID missing",IF(COUNTIF('AI Register'!$A$4:$A$206,B194)=0,"AIR-ID not in AI Register",IF(OR(C194="",H194=""),"Artefact or location missing",IF(AND(M194&lt;&gt;"",NOT(ISNUMBER(M194))),"Completed / last reviewed is not a date",IF(AND(N194&lt;&gt;"",NOT(ISNUMBER(N194))),"Review due is not a date",IF(AND(ISNUMBER(N194),N194&lt;TODAY()),"Review date passed: re-review before citing by reference (Playbook §4.6)",IF(AND(G194="Accepted",ISNUMBER(M194),EDATE(M194,12)&lt;TODAY(),O194=""),"Over 12 months old: owner's still-holds review needed before citing by reference","Check against source"))))))))))</f>
        <v/>
      </c>
      <c r="M194" s="35" t="n"/>
      <c r="N194" s="35" t="n"/>
      <c r="O194" s="22" t="n"/>
    </row>
    <row r="195">
      <c r="A195" s="24" t="n"/>
      <c r="B195" s="24" t="n"/>
      <c r="C195" s="24" t="n"/>
      <c r="D195" s="24" t="n"/>
      <c r="E195" s="24" t="n"/>
      <c r="F195" s="24" t="n"/>
      <c r="G195" s="24" t="n"/>
      <c r="H195" s="24" t="n"/>
      <c r="I195" s="24" t="n"/>
      <c r="J195" s="24" t="n"/>
      <c r="K195" s="24" t="n"/>
      <c r="L195" s="24">
        <f>IF(COUNTA(A195:K195,M195:O195)=0,"",IF(A195="","Evidence ID missing",IF(COUNTIF($A$4:$A$353,A195)&gt;1,"Duplicate Evidence ID",IF(B195="","AIR-ID missing",IF(COUNTIF('AI Register'!$A$4:$A$206,B195)=0,"AIR-ID not in AI Register",IF(OR(C195="",H195=""),"Artefact or location missing",IF(AND(M195&lt;&gt;"",NOT(ISNUMBER(M195))),"Completed / last reviewed is not a date",IF(AND(N195&lt;&gt;"",NOT(ISNUMBER(N195))),"Review due is not a date",IF(AND(ISNUMBER(N195),N195&lt;TODAY()),"Review date passed: re-review before citing by reference (Playbook §4.6)",IF(AND(G195="Accepted",ISNUMBER(M195),EDATE(M195,12)&lt;TODAY(),O195=""),"Over 12 months old: owner's still-holds review needed before citing by reference","Check against source"))))))))))</f>
        <v/>
      </c>
      <c r="M195" s="36" t="n"/>
      <c r="N195" s="36" t="n"/>
      <c r="O195" s="24" t="n"/>
    </row>
    <row r="196">
      <c r="A196" s="22" t="n"/>
      <c r="B196" s="22" t="n"/>
      <c r="C196" s="22" t="n"/>
      <c r="D196" s="22" t="n"/>
      <c r="E196" s="22" t="n"/>
      <c r="F196" s="22" t="n"/>
      <c r="G196" s="22" t="n"/>
      <c r="H196" s="22" t="n"/>
      <c r="I196" s="22" t="n"/>
      <c r="J196" s="22" t="n"/>
      <c r="K196" s="22" t="n"/>
      <c r="L196" s="22">
        <f>IF(COUNTA(A196:K196,M196:O196)=0,"",IF(A196="","Evidence ID missing",IF(COUNTIF($A$4:$A$353,A196)&gt;1,"Duplicate Evidence ID",IF(B196="","AIR-ID missing",IF(COUNTIF('AI Register'!$A$4:$A$206,B196)=0,"AIR-ID not in AI Register",IF(OR(C196="",H196=""),"Artefact or location missing",IF(AND(M196&lt;&gt;"",NOT(ISNUMBER(M196))),"Completed / last reviewed is not a date",IF(AND(N196&lt;&gt;"",NOT(ISNUMBER(N196))),"Review due is not a date",IF(AND(ISNUMBER(N196),N196&lt;TODAY()),"Review date passed: re-review before citing by reference (Playbook §4.6)",IF(AND(G196="Accepted",ISNUMBER(M196),EDATE(M196,12)&lt;TODAY(),O196=""),"Over 12 months old: owner's still-holds review needed before citing by reference","Check against source"))))))))))</f>
        <v/>
      </c>
      <c r="M196" s="35" t="n"/>
      <c r="N196" s="35" t="n"/>
      <c r="O196" s="22" t="n"/>
    </row>
    <row r="197">
      <c r="A197" s="24" t="n"/>
      <c r="B197" s="24" t="n"/>
      <c r="C197" s="24" t="n"/>
      <c r="D197" s="24" t="n"/>
      <c r="E197" s="24" t="n"/>
      <c r="F197" s="24" t="n"/>
      <c r="G197" s="24" t="n"/>
      <c r="H197" s="24" t="n"/>
      <c r="I197" s="24" t="n"/>
      <c r="J197" s="24" t="n"/>
      <c r="K197" s="24" t="n"/>
      <c r="L197" s="24">
        <f>IF(COUNTA(A197:K197,M197:O197)=0,"",IF(A197="","Evidence ID missing",IF(COUNTIF($A$4:$A$353,A197)&gt;1,"Duplicate Evidence ID",IF(B197="","AIR-ID missing",IF(COUNTIF('AI Register'!$A$4:$A$206,B197)=0,"AIR-ID not in AI Register",IF(OR(C197="",H197=""),"Artefact or location missing",IF(AND(M197&lt;&gt;"",NOT(ISNUMBER(M197))),"Completed / last reviewed is not a date",IF(AND(N197&lt;&gt;"",NOT(ISNUMBER(N197))),"Review due is not a date",IF(AND(ISNUMBER(N197),N197&lt;TODAY()),"Review date passed: re-review before citing by reference (Playbook §4.6)",IF(AND(G197="Accepted",ISNUMBER(M197),EDATE(M197,12)&lt;TODAY(),O197=""),"Over 12 months old: owner's still-holds review needed before citing by reference","Check against source"))))))))))</f>
        <v/>
      </c>
      <c r="M197" s="36" t="n"/>
      <c r="N197" s="36" t="n"/>
      <c r="O197" s="24" t="n"/>
    </row>
    <row r="198">
      <c r="A198" s="22" t="n"/>
      <c r="B198" s="22" t="n"/>
      <c r="C198" s="22" t="n"/>
      <c r="D198" s="22" t="n"/>
      <c r="E198" s="22" t="n"/>
      <c r="F198" s="22" t="n"/>
      <c r="G198" s="22" t="n"/>
      <c r="H198" s="22" t="n"/>
      <c r="I198" s="22" t="n"/>
      <c r="J198" s="22" t="n"/>
      <c r="K198" s="22" t="n"/>
      <c r="L198" s="22">
        <f>IF(COUNTA(A198:K198,M198:O198)=0,"",IF(A198="","Evidence ID missing",IF(COUNTIF($A$4:$A$353,A198)&gt;1,"Duplicate Evidence ID",IF(B198="","AIR-ID missing",IF(COUNTIF('AI Register'!$A$4:$A$206,B198)=0,"AIR-ID not in AI Register",IF(OR(C198="",H198=""),"Artefact or location missing",IF(AND(M198&lt;&gt;"",NOT(ISNUMBER(M198))),"Completed / last reviewed is not a date",IF(AND(N198&lt;&gt;"",NOT(ISNUMBER(N198))),"Review due is not a date",IF(AND(ISNUMBER(N198),N198&lt;TODAY()),"Review date passed: re-review before citing by reference (Playbook §4.6)",IF(AND(G198="Accepted",ISNUMBER(M198),EDATE(M198,12)&lt;TODAY(),O198=""),"Over 12 months old: owner's still-holds review needed before citing by reference","Check against source"))))))))))</f>
        <v/>
      </c>
      <c r="M198" s="35" t="n"/>
      <c r="N198" s="35" t="n"/>
      <c r="O198" s="22" t="n"/>
    </row>
    <row r="199">
      <c r="A199" s="24" t="n"/>
      <c r="B199" s="24" t="n"/>
      <c r="C199" s="24" t="n"/>
      <c r="D199" s="24" t="n"/>
      <c r="E199" s="24" t="n"/>
      <c r="F199" s="24" t="n"/>
      <c r="G199" s="24" t="n"/>
      <c r="H199" s="24" t="n"/>
      <c r="I199" s="24" t="n"/>
      <c r="J199" s="24" t="n"/>
      <c r="K199" s="24" t="n"/>
      <c r="L199" s="24">
        <f>IF(COUNTA(A199:K199,M199:O199)=0,"",IF(A199="","Evidence ID missing",IF(COUNTIF($A$4:$A$353,A199)&gt;1,"Duplicate Evidence ID",IF(B199="","AIR-ID missing",IF(COUNTIF('AI Register'!$A$4:$A$206,B199)=0,"AIR-ID not in AI Register",IF(OR(C199="",H199=""),"Artefact or location missing",IF(AND(M199&lt;&gt;"",NOT(ISNUMBER(M199))),"Completed / last reviewed is not a date",IF(AND(N199&lt;&gt;"",NOT(ISNUMBER(N199))),"Review due is not a date",IF(AND(ISNUMBER(N199),N199&lt;TODAY()),"Review date passed: re-review before citing by reference (Playbook §4.6)",IF(AND(G199="Accepted",ISNUMBER(M199),EDATE(M199,12)&lt;TODAY(),O199=""),"Over 12 months old: owner's still-holds review needed before citing by reference","Check against source"))))))))))</f>
        <v/>
      </c>
      <c r="M199" s="36" t="n"/>
      <c r="N199" s="36" t="n"/>
      <c r="O199" s="24" t="n"/>
    </row>
    <row r="200">
      <c r="A200" s="22" t="n"/>
      <c r="B200" s="22" t="n"/>
      <c r="C200" s="22" t="n"/>
      <c r="D200" s="22" t="n"/>
      <c r="E200" s="22" t="n"/>
      <c r="F200" s="22" t="n"/>
      <c r="G200" s="22" t="n"/>
      <c r="H200" s="22" t="n"/>
      <c r="I200" s="22" t="n"/>
      <c r="J200" s="22" t="n"/>
      <c r="K200" s="22" t="n"/>
      <c r="L200" s="22">
        <f>IF(COUNTA(A200:K200,M200:O200)=0,"",IF(A200="","Evidence ID missing",IF(COUNTIF($A$4:$A$353,A200)&gt;1,"Duplicate Evidence ID",IF(B200="","AIR-ID missing",IF(COUNTIF('AI Register'!$A$4:$A$206,B200)=0,"AIR-ID not in AI Register",IF(OR(C200="",H200=""),"Artefact or location missing",IF(AND(M200&lt;&gt;"",NOT(ISNUMBER(M200))),"Completed / last reviewed is not a date",IF(AND(N200&lt;&gt;"",NOT(ISNUMBER(N200))),"Review due is not a date",IF(AND(ISNUMBER(N200),N200&lt;TODAY()),"Review date passed: re-review before citing by reference (Playbook §4.6)",IF(AND(G200="Accepted",ISNUMBER(M200),EDATE(M200,12)&lt;TODAY(),O200=""),"Over 12 months old: owner's still-holds review needed before citing by reference","Check against source"))))))))))</f>
        <v/>
      </c>
      <c r="M200" s="35" t="n"/>
      <c r="N200" s="35" t="n"/>
      <c r="O200" s="22" t="n"/>
    </row>
    <row r="201">
      <c r="A201" s="24" t="n"/>
      <c r="B201" s="24" t="n"/>
      <c r="C201" s="24" t="n"/>
      <c r="D201" s="24" t="n"/>
      <c r="E201" s="24" t="n"/>
      <c r="F201" s="24" t="n"/>
      <c r="G201" s="24" t="n"/>
      <c r="H201" s="24" t="n"/>
      <c r="I201" s="24" t="n"/>
      <c r="J201" s="24" t="n"/>
      <c r="K201" s="24" t="n"/>
      <c r="L201" s="24">
        <f>IF(COUNTA(A201:K201,M201:O201)=0,"",IF(A201="","Evidence ID missing",IF(COUNTIF($A$4:$A$353,A201)&gt;1,"Duplicate Evidence ID",IF(B201="","AIR-ID missing",IF(COUNTIF('AI Register'!$A$4:$A$206,B201)=0,"AIR-ID not in AI Register",IF(OR(C201="",H201=""),"Artefact or location missing",IF(AND(M201&lt;&gt;"",NOT(ISNUMBER(M201))),"Completed / last reviewed is not a date",IF(AND(N201&lt;&gt;"",NOT(ISNUMBER(N201))),"Review due is not a date",IF(AND(ISNUMBER(N201),N201&lt;TODAY()),"Review date passed: re-review before citing by reference (Playbook §4.6)",IF(AND(G201="Accepted",ISNUMBER(M201),EDATE(M201,12)&lt;TODAY(),O201=""),"Over 12 months old: owner's still-holds review needed before citing by reference","Check against source"))))))))))</f>
        <v/>
      </c>
      <c r="M201" s="36" t="n"/>
      <c r="N201" s="36" t="n"/>
      <c r="O201" s="24" t="n"/>
    </row>
    <row r="202">
      <c r="A202" s="22" t="n"/>
      <c r="B202" s="22" t="n"/>
      <c r="C202" s="22" t="n"/>
      <c r="D202" s="22" t="n"/>
      <c r="E202" s="22" t="n"/>
      <c r="F202" s="22" t="n"/>
      <c r="G202" s="22" t="n"/>
      <c r="H202" s="22" t="n"/>
      <c r="I202" s="22" t="n"/>
      <c r="J202" s="22" t="n"/>
      <c r="K202" s="22" t="n"/>
      <c r="L202" s="22">
        <f>IF(COUNTA(A202:K202,M202:O202)=0,"",IF(A202="","Evidence ID missing",IF(COUNTIF($A$4:$A$353,A202)&gt;1,"Duplicate Evidence ID",IF(B202="","AIR-ID missing",IF(COUNTIF('AI Register'!$A$4:$A$206,B202)=0,"AIR-ID not in AI Register",IF(OR(C202="",H202=""),"Artefact or location missing",IF(AND(M202&lt;&gt;"",NOT(ISNUMBER(M202))),"Completed / last reviewed is not a date",IF(AND(N202&lt;&gt;"",NOT(ISNUMBER(N202))),"Review due is not a date",IF(AND(ISNUMBER(N202),N202&lt;TODAY()),"Review date passed: re-review before citing by reference (Playbook §4.6)",IF(AND(G202="Accepted",ISNUMBER(M202),EDATE(M202,12)&lt;TODAY(),O202=""),"Over 12 months old: owner's still-holds review needed before citing by reference","Check against source"))))))))))</f>
        <v/>
      </c>
      <c r="M202" s="35" t="n"/>
      <c r="N202" s="35" t="n"/>
      <c r="O202" s="22" t="n"/>
    </row>
    <row r="203">
      <c r="A203" s="24" t="n"/>
      <c r="B203" s="24" t="n"/>
      <c r="C203" s="24" t="n"/>
      <c r="D203" s="24" t="n"/>
      <c r="E203" s="24" t="n"/>
      <c r="F203" s="24" t="n"/>
      <c r="G203" s="24" t="n"/>
      <c r="H203" s="24" t="n"/>
      <c r="I203" s="24" t="n"/>
      <c r="J203" s="24" t="n"/>
      <c r="K203" s="24" t="n"/>
      <c r="L203" s="24">
        <f>IF(COUNTA(A203:K203,M203:O203)=0,"",IF(A203="","Evidence ID missing",IF(COUNTIF($A$4:$A$353,A203)&gt;1,"Duplicate Evidence ID",IF(B203="","AIR-ID missing",IF(COUNTIF('AI Register'!$A$4:$A$206,B203)=0,"AIR-ID not in AI Register",IF(OR(C203="",H203=""),"Artefact or location missing",IF(AND(M203&lt;&gt;"",NOT(ISNUMBER(M203))),"Completed / last reviewed is not a date",IF(AND(N203&lt;&gt;"",NOT(ISNUMBER(N203))),"Review due is not a date",IF(AND(ISNUMBER(N203),N203&lt;TODAY()),"Review date passed: re-review before citing by reference (Playbook §4.6)",IF(AND(G203="Accepted",ISNUMBER(M203),EDATE(M203,12)&lt;TODAY(),O203=""),"Over 12 months old: owner's still-holds review needed before citing by reference","Check against source"))))))))))</f>
        <v/>
      </c>
      <c r="M203" s="36" t="n"/>
      <c r="N203" s="36" t="n"/>
      <c r="O203" s="24" t="n"/>
    </row>
    <row r="204">
      <c r="A204" s="22" t="n"/>
      <c r="B204" s="22" t="n"/>
      <c r="C204" s="22" t="n"/>
      <c r="D204" s="22" t="n"/>
      <c r="E204" s="22" t="n"/>
      <c r="F204" s="22" t="n"/>
      <c r="G204" s="22" t="n"/>
      <c r="H204" s="22" t="n"/>
      <c r="I204" s="22" t="n"/>
      <c r="J204" s="22" t="n"/>
      <c r="K204" s="22" t="n"/>
      <c r="L204" s="22">
        <f>IF(COUNTA(A204:K204,M204:O204)=0,"",IF(A204="","Evidence ID missing",IF(COUNTIF($A$4:$A$353,A204)&gt;1,"Duplicate Evidence ID",IF(B204="","AIR-ID missing",IF(COUNTIF('AI Register'!$A$4:$A$206,B204)=0,"AIR-ID not in AI Register",IF(OR(C204="",H204=""),"Artefact or location missing",IF(AND(M204&lt;&gt;"",NOT(ISNUMBER(M204))),"Completed / last reviewed is not a date",IF(AND(N204&lt;&gt;"",NOT(ISNUMBER(N204))),"Review due is not a date",IF(AND(ISNUMBER(N204),N204&lt;TODAY()),"Review date passed: re-review before citing by reference (Playbook §4.6)",IF(AND(G204="Accepted",ISNUMBER(M204),EDATE(M204,12)&lt;TODAY(),O204=""),"Over 12 months old: owner's still-holds review needed before citing by reference","Check against source"))))))))))</f>
        <v/>
      </c>
      <c r="M204" s="35" t="n"/>
      <c r="N204" s="35" t="n"/>
      <c r="O204" s="22" t="n"/>
    </row>
    <row r="205">
      <c r="A205" s="24" t="n"/>
      <c r="B205" s="24" t="n"/>
      <c r="C205" s="24" t="n"/>
      <c r="D205" s="24" t="n"/>
      <c r="E205" s="24" t="n"/>
      <c r="F205" s="24" t="n"/>
      <c r="G205" s="24" t="n"/>
      <c r="H205" s="24" t="n"/>
      <c r="I205" s="24" t="n"/>
      <c r="J205" s="24" t="n"/>
      <c r="K205" s="24" t="n"/>
      <c r="L205" s="24">
        <f>IF(COUNTA(A205:K205,M205:O205)=0,"",IF(A205="","Evidence ID missing",IF(COUNTIF($A$4:$A$353,A205)&gt;1,"Duplicate Evidence ID",IF(B205="","AIR-ID missing",IF(COUNTIF('AI Register'!$A$4:$A$206,B205)=0,"AIR-ID not in AI Register",IF(OR(C205="",H205=""),"Artefact or location missing",IF(AND(M205&lt;&gt;"",NOT(ISNUMBER(M205))),"Completed / last reviewed is not a date",IF(AND(N205&lt;&gt;"",NOT(ISNUMBER(N205))),"Review due is not a date",IF(AND(ISNUMBER(N205),N205&lt;TODAY()),"Review date passed: re-review before citing by reference (Playbook §4.6)",IF(AND(G205="Accepted",ISNUMBER(M205),EDATE(M205,12)&lt;TODAY(),O205=""),"Over 12 months old: owner's still-holds review needed before citing by reference","Check against source"))))))))))</f>
        <v/>
      </c>
      <c r="M205" s="36" t="n"/>
      <c r="N205" s="36" t="n"/>
      <c r="O205" s="24" t="n"/>
    </row>
    <row r="206">
      <c r="A206" s="22" t="n"/>
      <c r="B206" s="22" t="n"/>
      <c r="C206" s="22" t="n"/>
      <c r="D206" s="22" t="n"/>
      <c r="E206" s="22" t="n"/>
      <c r="F206" s="22" t="n"/>
      <c r="G206" s="22" t="n"/>
      <c r="H206" s="22" t="n"/>
      <c r="I206" s="22" t="n"/>
      <c r="J206" s="22" t="n"/>
      <c r="K206" s="22" t="n"/>
      <c r="L206" s="22">
        <f>IF(COUNTA(A206:K206,M206:O206)=0,"",IF(A206="","Evidence ID missing",IF(COUNTIF($A$4:$A$353,A206)&gt;1,"Duplicate Evidence ID",IF(B206="","AIR-ID missing",IF(COUNTIF('AI Register'!$A$4:$A$206,B206)=0,"AIR-ID not in AI Register",IF(OR(C206="",H206=""),"Artefact or location missing",IF(AND(M206&lt;&gt;"",NOT(ISNUMBER(M206))),"Completed / last reviewed is not a date",IF(AND(N206&lt;&gt;"",NOT(ISNUMBER(N206))),"Review due is not a date",IF(AND(ISNUMBER(N206),N206&lt;TODAY()),"Review date passed: re-review before citing by reference (Playbook §4.6)",IF(AND(G206="Accepted",ISNUMBER(M206),EDATE(M206,12)&lt;TODAY(),O206=""),"Over 12 months old: owner's still-holds review needed before citing by reference","Check against source"))))))))))</f>
        <v/>
      </c>
      <c r="M206" s="35" t="n"/>
      <c r="N206" s="35" t="n"/>
      <c r="O206" s="22" t="n"/>
    </row>
    <row r="207">
      <c r="A207" s="24" t="n"/>
      <c r="B207" s="24" t="n"/>
      <c r="C207" s="24" t="n"/>
      <c r="D207" s="24" t="n"/>
      <c r="E207" s="24" t="n"/>
      <c r="F207" s="24" t="n"/>
      <c r="G207" s="24" t="n"/>
      <c r="H207" s="24" t="n"/>
      <c r="I207" s="24" t="n"/>
      <c r="J207" s="24" t="n"/>
      <c r="K207" s="24" t="n"/>
      <c r="L207" s="24">
        <f>IF(COUNTA(A207:K207,M207:O207)=0,"",IF(A207="","Evidence ID missing",IF(COUNTIF($A$4:$A$353,A207)&gt;1,"Duplicate Evidence ID",IF(B207="","AIR-ID missing",IF(COUNTIF('AI Register'!$A$4:$A$206,B207)=0,"AIR-ID not in AI Register",IF(OR(C207="",H207=""),"Artefact or location missing",IF(AND(M207&lt;&gt;"",NOT(ISNUMBER(M207))),"Completed / last reviewed is not a date",IF(AND(N207&lt;&gt;"",NOT(ISNUMBER(N207))),"Review due is not a date",IF(AND(ISNUMBER(N207),N207&lt;TODAY()),"Review date passed: re-review before citing by reference (Playbook §4.6)",IF(AND(G207="Accepted",ISNUMBER(M207),EDATE(M207,12)&lt;TODAY(),O207=""),"Over 12 months old: owner's still-holds review needed before citing by reference","Check against source"))))))))))</f>
        <v/>
      </c>
      <c r="M207" s="36" t="n"/>
      <c r="N207" s="36" t="n"/>
      <c r="O207" s="24" t="n"/>
    </row>
    <row r="208">
      <c r="A208" s="22" t="n"/>
      <c r="B208" s="22" t="n"/>
      <c r="C208" s="22" t="n"/>
      <c r="D208" s="22" t="n"/>
      <c r="E208" s="22" t="n"/>
      <c r="F208" s="22" t="n"/>
      <c r="G208" s="22" t="n"/>
      <c r="H208" s="22" t="n"/>
      <c r="I208" s="22" t="n"/>
      <c r="J208" s="22" t="n"/>
      <c r="K208" s="22" t="n"/>
      <c r="L208" s="22">
        <f>IF(COUNTA(A208:K208,M208:O208)=0,"",IF(A208="","Evidence ID missing",IF(COUNTIF($A$4:$A$353,A208)&gt;1,"Duplicate Evidence ID",IF(B208="","AIR-ID missing",IF(COUNTIF('AI Register'!$A$4:$A$206,B208)=0,"AIR-ID not in AI Register",IF(OR(C208="",H208=""),"Artefact or location missing",IF(AND(M208&lt;&gt;"",NOT(ISNUMBER(M208))),"Completed / last reviewed is not a date",IF(AND(N208&lt;&gt;"",NOT(ISNUMBER(N208))),"Review due is not a date",IF(AND(ISNUMBER(N208),N208&lt;TODAY()),"Review date passed: re-review before citing by reference (Playbook §4.6)",IF(AND(G208="Accepted",ISNUMBER(M208),EDATE(M208,12)&lt;TODAY(),O208=""),"Over 12 months old: owner's still-holds review needed before citing by reference","Check against source"))))))))))</f>
        <v/>
      </c>
      <c r="M208" s="35" t="n"/>
      <c r="N208" s="35" t="n"/>
      <c r="O208" s="22" t="n"/>
    </row>
    <row r="209">
      <c r="A209" s="24" t="n"/>
      <c r="B209" s="24" t="n"/>
      <c r="C209" s="24" t="n"/>
      <c r="D209" s="24" t="n"/>
      <c r="E209" s="24" t="n"/>
      <c r="F209" s="24" t="n"/>
      <c r="G209" s="24" t="n"/>
      <c r="H209" s="24" t="n"/>
      <c r="I209" s="24" t="n"/>
      <c r="J209" s="24" t="n"/>
      <c r="K209" s="24" t="n"/>
      <c r="L209" s="24">
        <f>IF(COUNTA(A209:K209,M209:O209)=0,"",IF(A209="","Evidence ID missing",IF(COUNTIF($A$4:$A$353,A209)&gt;1,"Duplicate Evidence ID",IF(B209="","AIR-ID missing",IF(COUNTIF('AI Register'!$A$4:$A$206,B209)=0,"AIR-ID not in AI Register",IF(OR(C209="",H209=""),"Artefact or location missing",IF(AND(M209&lt;&gt;"",NOT(ISNUMBER(M209))),"Completed / last reviewed is not a date",IF(AND(N209&lt;&gt;"",NOT(ISNUMBER(N209))),"Review due is not a date",IF(AND(ISNUMBER(N209),N209&lt;TODAY()),"Review date passed: re-review before citing by reference (Playbook §4.6)",IF(AND(G209="Accepted",ISNUMBER(M209),EDATE(M209,12)&lt;TODAY(),O209=""),"Over 12 months old: owner's still-holds review needed before citing by reference","Check against source"))))))))))</f>
        <v/>
      </c>
      <c r="M209" s="36" t="n"/>
      <c r="N209" s="36" t="n"/>
      <c r="O209" s="24" t="n"/>
    </row>
    <row r="210">
      <c r="A210" s="22" t="n"/>
      <c r="B210" s="22" t="n"/>
      <c r="C210" s="22" t="n"/>
      <c r="D210" s="22" t="n"/>
      <c r="E210" s="22" t="n"/>
      <c r="F210" s="22" t="n"/>
      <c r="G210" s="22" t="n"/>
      <c r="H210" s="22" t="n"/>
      <c r="I210" s="22" t="n"/>
      <c r="J210" s="22" t="n"/>
      <c r="K210" s="22" t="n"/>
      <c r="L210" s="22">
        <f>IF(COUNTA(A210:K210,M210:O210)=0,"",IF(A210="","Evidence ID missing",IF(COUNTIF($A$4:$A$353,A210)&gt;1,"Duplicate Evidence ID",IF(B210="","AIR-ID missing",IF(COUNTIF('AI Register'!$A$4:$A$206,B210)=0,"AIR-ID not in AI Register",IF(OR(C210="",H210=""),"Artefact or location missing",IF(AND(M210&lt;&gt;"",NOT(ISNUMBER(M210))),"Completed / last reviewed is not a date",IF(AND(N210&lt;&gt;"",NOT(ISNUMBER(N210))),"Review due is not a date",IF(AND(ISNUMBER(N210),N210&lt;TODAY()),"Review date passed: re-review before citing by reference (Playbook §4.6)",IF(AND(G210="Accepted",ISNUMBER(M210),EDATE(M210,12)&lt;TODAY(),O210=""),"Over 12 months old: owner's still-holds review needed before citing by reference","Check against source"))))))))))</f>
        <v/>
      </c>
      <c r="M210" s="35" t="n"/>
      <c r="N210" s="35" t="n"/>
      <c r="O210" s="22" t="n"/>
    </row>
    <row r="211">
      <c r="A211" s="24" t="n"/>
      <c r="B211" s="24" t="n"/>
      <c r="C211" s="24" t="n"/>
      <c r="D211" s="24" t="n"/>
      <c r="E211" s="24" t="n"/>
      <c r="F211" s="24" t="n"/>
      <c r="G211" s="24" t="n"/>
      <c r="H211" s="24" t="n"/>
      <c r="I211" s="24" t="n"/>
      <c r="J211" s="24" t="n"/>
      <c r="K211" s="24" t="n"/>
      <c r="L211" s="24">
        <f>IF(COUNTA(A211:K211,M211:O211)=0,"",IF(A211="","Evidence ID missing",IF(COUNTIF($A$4:$A$353,A211)&gt;1,"Duplicate Evidence ID",IF(B211="","AIR-ID missing",IF(COUNTIF('AI Register'!$A$4:$A$206,B211)=0,"AIR-ID not in AI Register",IF(OR(C211="",H211=""),"Artefact or location missing",IF(AND(M211&lt;&gt;"",NOT(ISNUMBER(M211))),"Completed / last reviewed is not a date",IF(AND(N211&lt;&gt;"",NOT(ISNUMBER(N211))),"Review due is not a date",IF(AND(ISNUMBER(N211),N211&lt;TODAY()),"Review date passed: re-review before citing by reference (Playbook §4.6)",IF(AND(G211="Accepted",ISNUMBER(M211),EDATE(M211,12)&lt;TODAY(),O211=""),"Over 12 months old: owner's still-holds review needed before citing by reference","Check against source"))))))))))</f>
        <v/>
      </c>
      <c r="M211" s="36" t="n"/>
      <c r="N211" s="36" t="n"/>
      <c r="O211" s="24" t="n"/>
    </row>
    <row r="212">
      <c r="A212" s="22" t="n"/>
      <c r="B212" s="22" t="n"/>
      <c r="C212" s="22" t="n"/>
      <c r="D212" s="22" t="n"/>
      <c r="E212" s="22" t="n"/>
      <c r="F212" s="22" t="n"/>
      <c r="G212" s="22" t="n"/>
      <c r="H212" s="22" t="n"/>
      <c r="I212" s="22" t="n"/>
      <c r="J212" s="22" t="n"/>
      <c r="K212" s="22" t="n"/>
      <c r="L212" s="22">
        <f>IF(COUNTA(A212:K212,M212:O212)=0,"",IF(A212="","Evidence ID missing",IF(COUNTIF($A$4:$A$353,A212)&gt;1,"Duplicate Evidence ID",IF(B212="","AIR-ID missing",IF(COUNTIF('AI Register'!$A$4:$A$206,B212)=0,"AIR-ID not in AI Register",IF(OR(C212="",H212=""),"Artefact or location missing",IF(AND(M212&lt;&gt;"",NOT(ISNUMBER(M212))),"Completed / last reviewed is not a date",IF(AND(N212&lt;&gt;"",NOT(ISNUMBER(N212))),"Review due is not a date",IF(AND(ISNUMBER(N212),N212&lt;TODAY()),"Review date passed: re-review before citing by reference (Playbook §4.6)",IF(AND(G212="Accepted",ISNUMBER(M212),EDATE(M212,12)&lt;TODAY(),O212=""),"Over 12 months old: owner's still-holds review needed before citing by reference","Check against source"))))))))))</f>
        <v/>
      </c>
      <c r="M212" s="35" t="n"/>
      <c r="N212" s="35" t="n"/>
      <c r="O212" s="22" t="n"/>
    </row>
    <row r="213">
      <c r="A213" s="24" t="n"/>
      <c r="B213" s="24" t="n"/>
      <c r="C213" s="24" t="n"/>
      <c r="D213" s="24" t="n"/>
      <c r="E213" s="24" t="n"/>
      <c r="F213" s="24" t="n"/>
      <c r="G213" s="24" t="n"/>
      <c r="H213" s="24" t="n"/>
      <c r="I213" s="24" t="n"/>
      <c r="J213" s="24" t="n"/>
      <c r="K213" s="24" t="n"/>
      <c r="L213" s="24">
        <f>IF(COUNTA(A213:K213,M213:O213)=0,"",IF(A213="","Evidence ID missing",IF(COUNTIF($A$4:$A$353,A213)&gt;1,"Duplicate Evidence ID",IF(B213="","AIR-ID missing",IF(COUNTIF('AI Register'!$A$4:$A$206,B213)=0,"AIR-ID not in AI Register",IF(OR(C213="",H213=""),"Artefact or location missing",IF(AND(M213&lt;&gt;"",NOT(ISNUMBER(M213))),"Completed / last reviewed is not a date",IF(AND(N213&lt;&gt;"",NOT(ISNUMBER(N213))),"Review due is not a date",IF(AND(ISNUMBER(N213),N213&lt;TODAY()),"Review date passed: re-review before citing by reference (Playbook §4.6)",IF(AND(G213="Accepted",ISNUMBER(M213),EDATE(M213,12)&lt;TODAY(),O213=""),"Over 12 months old: owner's still-holds review needed before citing by reference","Check against source"))))))))))</f>
        <v/>
      </c>
      <c r="M213" s="36" t="n"/>
      <c r="N213" s="36" t="n"/>
      <c r="O213" s="24" t="n"/>
    </row>
    <row r="214">
      <c r="A214" s="22" t="n"/>
      <c r="B214" s="22" t="n"/>
      <c r="C214" s="22" t="n"/>
      <c r="D214" s="22" t="n"/>
      <c r="E214" s="22" t="n"/>
      <c r="F214" s="22" t="n"/>
      <c r="G214" s="22" t="n"/>
      <c r="H214" s="22" t="n"/>
      <c r="I214" s="22" t="n"/>
      <c r="J214" s="22" t="n"/>
      <c r="K214" s="22" t="n"/>
      <c r="L214" s="22">
        <f>IF(COUNTA(A214:K214,M214:O214)=0,"",IF(A214="","Evidence ID missing",IF(COUNTIF($A$4:$A$353,A214)&gt;1,"Duplicate Evidence ID",IF(B214="","AIR-ID missing",IF(COUNTIF('AI Register'!$A$4:$A$206,B214)=0,"AIR-ID not in AI Register",IF(OR(C214="",H214=""),"Artefact or location missing",IF(AND(M214&lt;&gt;"",NOT(ISNUMBER(M214))),"Completed / last reviewed is not a date",IF(AND(N214&lt;&gt;"",NOT(ISNUMBER(N214))),"Review due is not a date",IF(AND(ISNUMBER(N214),N214&lt;TODAY()),"Review date passed: re-review before citing by reference (Playbook §4.6)",IF(AND(G214="Accepted",ISNUMBER(M214),EDATE(M214,12)&lt;TODAY(),O214=""),"Over 12 months old: owner's still-holds review needed before citing by reference","Check against source"))))))))))</f>
        <v/>
      </c>
      <c r="M214" s="35" t="n"/>
      <c r="N214" s="35" t="n"/>
      <c r="O214" s="22" t="n"/>
    </row>
    <row r="215">
      <c r="A215" s="24" t="n"/>
      <c r="B215" s="24" t="n"/>
      <c r="C215" s="24" t="n"/>
      <c r="D215" s="24" t="n"/>
      <c r="E215" s="24" t="n"/>
      <c r="F215" s="24" t="n"/>
      <c r="G215" s="24" t="n"/>
      <c r="H215" s="24" t="n"/>
      <c r="I215" s="24" t="n"/>
      <c r="J215" s="24" t="n"/>
      <c r="K215" s="24" t="n"/>
      <c r="L215" s="24">
        <f>IF(COUNTA(A215:K215,M215:O215)=0,"",IF(A215="","Evidence ID missing",IF(COUNTIF($A$4:$A$353,A215)&gt;1,"Duplicate Evidence ID",IF(B215="","AIR-ID missing",IF(COUNTIF('AI Register'!$A$4:$A$206,B215)=0,"AIR-ID not in AI Register",IF(OR(C215="",H215=""),"Artefact or location missing",IF(AND(M215&lt;&gt;"",NOT(ISNUMBER(M215))),"Completed / last reviewed is not a date",IF(AND(N215&lt;&gt;"",NOT(ISNUMBER(N215))),"Review due is not a date",IF(AND(ISNUMBER(N215),N215&lt;TODAY()),"Review date passed: re-review before citing by reference (Playbook §4.6)",IF(AND(G215="Accepted",ISNUMBER(M215),EDATE(M215,12)&lt;TODAY(),O215=""),"Over 12 months old: owner's still-holds review needed before citing by reference","Check against source"))))))))))</f>
        <v/>
      </c>
      <c r="M215" s="36" t="n"/>
      <c r="N215" s="36" t="n"/>
      <c r="O215" s="24" t="n"/>
    </row>
    <row r="216">
      <c r="A216" s="22" t="n"/>
      <c r="B216" s="22" t="n"/>
      <c r="C216" s="22" t="n"/>
      <c r="D216" s="22" t="n"/>
      <c r="E216" s="22" t="n"/>
      <c r="F216" s="22" t="n"/>
      <c r="G216" s="22" t="n"/>
      <c r="H216" s="22" t="n"/>
      <c r="I216" s="22" t="n"/>
      <c r="J216" s="22" t="n"/>
      <c r="K216" s="22" t="n"/>
      <c r="L216" s="22">
        <f>IF(COUNTA(A216:K216,M216:O216)=0,"",IF(A216="","Evidence ID missing",IF(COUNTIF($A$4:$A$353,A216)&gt;1,"Duplicate Evidence ID",IF(B216="","AIR-ID missing",IF(COUNTIF('AI Register'!$A$4:$A$206,B216)=0,"AIR-ID not in AI Register",IF(OR(C216="",H216=""),"Artefact or location missing",IF(AND(M216&lt;&gt;"",NOT(ISNUMBER(M216))),"Completed / last reviewed is not a date",IF(AND(N216&lt;&gt;"",NOT(ISNUMBER(N216))),"Review due is not a date",IF(AND(ISNUMBER(N216),N216&lt;TODAY()),"Review date passed: re-review before citing by reference (Playbook §4.6)",IF(AND(G216="Accepted",ISNUMBER(M216),EDATE(M216,12)&lt;TODAY(),O216=""),"Over 12 months old: owner's still-holds review needed before citing by reference","Check against source"))))))))))</f>
        <v/>
      </c>
      <c r="M216" s="35" t="n"/>
      <c r="N216" s="35" t="n"/>
      <c r="O216" s="22" t="n"/>
    </row>
    <row r="217">
      <c r="A217" s="24" t="n"/>
      <c r="B217" s="24" t="n"/>
      <c r="C217" s="24" t="n"/>
      <c r="D217" s="24" t="n"/>
      <c r="E217" s="24" t="n"/>
      <c r="F217" s="24" t="n"/>
      <c r="G217" s="24" t="n"/>
      <c r="H217" s="24" t="n"/>
      <c r="I217" s="24" t="n"/>
      <c r="J217" s="24" t="n"/>
      <c r="K217" s="24" t="n"/>
      <c r="L217" s="24">
        <f>IF(COUNTA(A217:K217,M217:O217)=0,"",IF(A217="","Evidence ID missing",IF(COUNTIF($A$4:$A$353,A217)&gt;1,"Duplicate Evidence ID",IF(B217="","AIR-ID missing",IF(COUNTIF('AI Register'!$A$4:$A$206,B217)=0,"AIR-ID not in AI Register",IF(OR(C217="",H217=""),"Artefact or location missing",IF(AND(M217&lt;&gt;"",NOT(ISNUMBER(M217))),"Completed / last reviewed is not a date",IF(AND(N217&lt;&gt;"",NOT(ISNUMBER(N217))),"Review due is not a date",IF(AND(ISNUMBER(N217),N217&lt;TODAY()),"Review date passed: re-review before citing by reference (Playbook §4.6)",IF(AND(G217="Accepted",ISNUMBER(M217),EDATE(M217,12)&lt;TODAY(),O217=""),"Over 12 months old: owner's still-holds review needed before citing by reference","Check against source"))))))))))</f>
        <v/>
      </c>
      <c r="M217" s="36" t="n"/>
      <c r="N217" s="36" t="n"/>
      <c r="O217" s="24" t="n"/>
    </row>
    <row r="218">
      <c r="A218" s="22" t="n"/>
      <c r="B218" s="22" t="n"/>
      <c r="C218" s="22" t="n"/>
      <c r="D218" s="22" t="n"/>
      <c r="E218" s="22" t="n"/>
      <c r="F218" s="22" t="n"/>
      <c r="G218" s="22" t="n"/>
      <c r="H218" s="22" t="n"/>
      <c r="I218" s="22" t="n"/>
      <c r="J218" s="22" t="n"/>
      <c r="K218" s="22" t="n"/>
      <c r="L218" s="22">
        <f>IF(COUNTA(A218:K218,M218:O218)=0,"",IF(A218="","Evidence ID missing",IF(COUNTIF($A$4:$A$353,A218)&gt;1,"Duplicate Evidence ID",IF(B218="","AIR-ID missing",IF(COUNTIF('AI Register'!$A$4:$A$206,B218)=0,"AIR-ID not in AI Register",IF(OR(C218="",H218=""),"Artefact or location missing",IF(AND(M218&lt;&gt;"",NOT(ISNUMBER(M218))),"Completed / last reviewed is not a date",IF(AND(N218&lt;&gt;"",NOT(ISNUMBER(N218))),"Review due is not a date",IF(AND(ISNUMBER(N218),N218&lt;TODAY()),"Review date passed: re-review before citing by reference (Playbook §4.6)",IF(AND(G218="Accepted",ISNUMBER(M218),EDATE(M218,12)&lt;TODAY(),O218=""),"Over 12 months old: owner's still-holds review needed before citing by reference","Check against source"))))))))))</f>
        <v/>
      </c>
      <c r="M218" s="35" t="n"/>
      <c r="N218" s="35" t="n"/>
      <c r="O218" s="22" t="n"/>
    </row>
    <row r="219">
      <c r="A219" s="24" t="n"/>
      <c r="B219" s="24" t="n"/>
      <c r="C219" s="24" t="n"/>
      <c r="D219" s="24" t="n"/>
      <c r="E219" s="24" t="n"/>
      <c r="F219" s="24" t="n"/>
      <c r="G219" s="24" t="n"/>
      <c r="H219" s="24" t="n"/>
      <c r="I219" s="24" t="n"/>
      <c r="J219" s="24" t="n"/>
      <c r="K219" s="24" t="n"/>
      <c r="L219" s="24">
        <f>IF(COUNTA(A219:K219,M219:O219)=0,"",IF(A219="","Evidence ID missing",IF(COUNTIF($A$4:$A$353,A219)&gt;1,"Duplicate Evidence ID",IF(B219="","AIR-ID missing",IF(COUNTIF('AI Register'!$A$4:$A$206,B219)=0,"AIR-ID not in AI Register",IF(OR(C219="",H219=""),"Artefact or location missing",IF(AND(M219&lt;&gt;"",NOT(ISNUMBER(M219))),"Completed / last reviewed is not a date",IF(AND(N219&lt;&gt;"",NOT(ISNUMBER(N219))),"Review due is not a date",IF(AND(ISNUMBER(N219),N219&lt;TODAY()),"Review date passed: re-review before citing by reference (Playbook §4.6)",IF(AND(G219="Accepted",ISNUMBER(M219),EDATE(M219,12)&lt;TODAY(),O219=""),"Over 12 months old: owner's still-holds review needed before citing by reference","Check against source"))))))))))</f>
        <v/>
      </c>
      <c r="M219" s="36" t="n"/>
      <c r="N219" s="36" t="n"/>
      <c r="O219" s="24" t="n"/>
    </row>
    <row r="220">
      <c r="A220" s="22" t="n"/>
      <c r="B220" s="22" t="n"/>
      <c r="C220" s="22" t="n"/>
      <c r="D220" s="22" t="n"/>
      <c r="E220" s="22" t="n"/>
      <c r="F220" s="22" t="n"/>
      <c r="G220" s="22" t="n"/>
      <c r="H220" s="22" t="n"/>
      <c r="I220" s="22" t="n"/>
      <c r="J220" s="22" t="n"/>
      <c r="K220" s="22" t="n"/>
      <c r="L220" s="22">
        <f>IF(COUNTA(A220:K220,M220:O220)=0,"",IF(A220="","Evidence ID missing",IF(COUNTIF($A$4:$A$353,A220)&gt;1,"Duplicate Evidence ID",IF(B220="","AIR-ID missing",IF(COUNTIF('AI Register'!$A$4:$A$206,B220)=0,"AIR-ID not in AI Register",IF(OR(C220="",H220=""),"Artefact or location missing",IF(AND(M220&lt;&gt;"",NOT(ISNUMBER(M220))),"Completed / last reviewed is not a date",IF(AND(N220&lt;&gt;"",NOT(ISNUMBER(N220))),"Review due is not a date",IF(AND(ISNUMBER(N220),N220&lt;TODAY()),"Review date passed: re-review before citing by reference (Playbook §4.6)",IF(AND(G220="Accepted",ISNUMBER(M220),EDATE(M220,12)&lt;TODAY(),O220=""),"Over 12 months old: owner's still-holds review needed before citing by reference","Check against source"))))))))))</f>
        <v/>
      </c>
      <c r="M220" s="35" t="n"/>
      <c r="N220" s="35" t="n"/>
      <c r="O220" s="22" t="n"/>
    </row>
    <row r="221">
      <c r="A221" s="24" t="n"/>
      <c r="B221" s="24" t="n"/>
      <c r="C221" s="24" t="n"/>
      <c r="D221" s="24" t="n"/>
      <c r="E221" s="24" t="n"/>
      <c r="F221" s="24" t="n"/>
      <c r="G221" s="24" t="n"/>
      <c r="H221" s="24" t="n"/>
      <c r="I221" s="24" t="n"/>
      <c r="J221" s="24" t="n"/>
      <c r="K221" s="24" t="n"/>
      <c r="L221" s="24">
        <f>IF(COUNTA(A221:K221,M221:O221)=0,"",IF(A221="","Evidence ID missing",IF(COUNTIF($A$4:$A$353,A221)&gt;1,"Duplicate Evidence ID",IF(B221="","AIR-ID missing",IF(COUNTIF('AI Register'!$A$4:$A$206,B221)=0,"AIR-ID not in AI Register",IF(OR(C221="",H221=""),"Artefact or location missing",IF(AND(M221&lt;&gt;"",NOT(ISNUMBER(M221))),"Completed / last reviewed is not a date",IF(AND(N221&lt;&gt;"",NOT(ISNUMBER(N221))),"Review due is not a date",IF(AND(ISNUMBER(N221),N221&lt;TODAY()),"Review date passed: re-review before citing by reference (Playbook §4.6)",IF(AND(G221="Accepted",ISNUMBER(M221),EDATE(M221,12)&lt;TODAY(),O221=""),"Over 12 months old: owner's still-holds review needed before citing by reference","Check against source"))))))))))</f>
        <v/>
      </c>
      <c r="M221" s="36" t="n"/>
      <c r="N221" s="36" t="n"/>
      <c r="O221" s="24" t="n"/>
    </row>
    <row r="222">
      <c r="A222" s="22" t="n"/>
      <c r="B222" s="22" t="n"/>
      <c r="C222" s="22" t="n"/>
      <c r="D222" s="22" t="n"/>
      <c r="E222" s="22" t="n"/>
      <c r="F222" s="22" t="n"/>
      <c r="G222" s="22" t="n"/>
      <c r="H222" s="22" t="n"/>
      <c r="I222" s="22" t="n"/>
      <c r="J222" s="22" t="n"/>
      <c r="K222" s="22" t="n"/>
      <c r="L222" s="22">
        <f>IF(COUNTA(A222:K222,M222:O222)=0,"",IF(A222="","Evidence ID missing",IF(COUNTIF($A$4:$A$353,A222)&gt;1,"Duplicate Evidence ID",IF(B222="","AIR-ID missing",IF(COUNTIF('AI Register'!$A$4:$A$206,B222)=0,"AIR-ID not in AI Register",IF(OR(C222="",H222=""),"Artefact or location missing",IF(AND(M222&lt;&gt;"",NOT(ISNUMBER(M222))),"Completed / last reviewed is not a date",IF(AND(N222&lt;&gt;"",NOT(ISNUMBER(N222))),"Review due is not a date",IF(AND(ISNUMBER(N222),N222&lt;TODAY()),"Review date passed: re-review before citing by reference (Playbook §4.6)",IF(AND(G222="Accepted",ISNUMBER(M222),EDATE(M222,12)&lt;TODAY(),O222=""),"Over 12 months old: owner's still-holds review needed before citing by reference","Check against source"))))))))))</f>
        <v/>
      </c>
      <c r="M222" s="35" t="n"/>
      <c r="N222" s="35" t="n"/>
      <c r="O222" s="22" t="n"/>
    </row>
    <row r="223">
      <c r="A223" s="24" t="n"/>
      <c r="B223" s="24" t="n"/>
      <c r="C223" s="24" t="n"/>
      <c r="D223" s="24" t="n"/>
      <c r="E223" s="24" t="n"/>
      <c r="F223" s="24" t="n"/>
      <c r="G223" s="24" t="n"/>
      <c r="H223" s="24" t="n"/>
      <c r="I223" s="24" t="n"/>
      <c r="J223" s="24" t="n"/>
      <c r="K223" s="24" t="n"/>
      <c r="L223" s="24">
        <f>IF(COUNTA(A223:K223,M223:O223)=0,"",IF(A223="","Evidence ID missing",IF(COUNTIF($A$4:$A$353,A223)&gt;1,"Duplicate Evidence ID",IF(B223="","AIR-ID missing",IF(COUNTIF('AI Register'!$A$4:$A$206,B223)=0,"AIR-ID not in AI Register",IF(OR(C223="",H223=""),"Artefact or location missing",IF(AND(M223&lt;&gt;"",NOT(ISNUMBER(M223))),"Completed / last reviewed is not a date",IF(AND(N223&lt;&gt;"",NOT(ISNUMBER(N223))),"Review due is not a date",IF(AND(ISNUMBER(N223),N223&lt;TODAY()),"Review date passed: re-review before citing by reference (Playbook §4.6)",IF(AND(G223="Accepted",ISNUMBER(M223),EDATE(M223,12)&lt;TODAY(),O223=""),"Over 12 months old: owner's still-holds review needed before citing by reference","Check against source"))))))))))</f>
        <v/>
      </c>
      <c r="M223" s="36" t="n"/>
      <c r="N223" s="36" t="n"/>
      <c r="O223" s="24" t="n"/>
    </row>
    <row r="224">
      <c r="A224" s="22" t="n"/>
      <c r="B224" s="22" t="n"/>
      <c r="C224" s="22" t="n"/>
      <c r="D224" s="22" t="n"/>
      <c r="E224" s="22" t="n"/>
      <c r="F224" s="22" t="n"/>
      <c r="G224" s="22" t="n"/>
      <c r="H224" s="22" t="n"/>
      <c r="I224" s="22" t="n"/>
      <c r="J224" s="22" t="n"/>
      <c r="K224" s="22" t="n"/>
      <c r="L224" s="22">
        <f>IF(COUNTA(A224:K224,M224:O224)=0,"",IF(A224="","Evidence ID missing",IF(COUNTIF($A$4:$A$353,A224)&gt;1,"Duplicate Evidence ID",IF(B224="","AIR-ID missing",IF(COUNTIF('AI Register'!$A$4:$A$206,B224)=0,"AIR-ID not in AI Register",IF(OR(C224="",H224=""),"Artefact or location missing",IF(AND(M224&lt;&gt;"",NOT(ISNUMBER(M224))),"Completed / last reviewed is not a date",IF(AND(N224&lt;&gt;"",NOT(ISNUMBER(N224))),"Review due is not a date",IF(AND(ISNUMBER(N224),N224&lt;TODAY()),"Review date passed: re-review before citing by reference (Playbook §4.6)",IF(AND(G224="Accepted",ISNUMBER(M224),EDATE(M224,12)&lt;TODAY(),O224=""),"Over 12 months old: owner's still-holds review needed before citing by reference","Check against source"))))))))))</f>
        <v/>
      </c>
      <c r="M224" s="35" t="n"/>
      <c r="N224" s="35" t="n"/>
      <c r="O224" s="22" t="n"/>
    </row>
    <row r="225">
      <c r="A225" s="24" t="n"/>
      <c r="B225" s="24" t="n"/>
      <c r="C225" s="24" t="n"/>
      <c r="D225" s="24" t="n"/>
      <c r="E225" s="24" t="n"/>
      <c r="F225" s="24" t="n"/>
      <c r="G225" s="24" t="n"/>
      <c r="H225" s="24" t="n"/>
      <c r="I225" s="24" t="n"/>
      <c r="J225" s="24" t="n"/>
      <c r="K225" s="24" t="n"/>
      <c r="L225" s="24">
        <f>IF(COUNTA(A225:K225,M225:O225)=0,"",IF(A225="","Evidence ID missing",IF(COUNTIF($A$4:$A$353,A225)&gt;1,"Duplicate Evidence ID",IF(B225="","AIR-ID missing",IF(COUNTIF('AI Register'!$A$4:$A$206,B225)=0,"AIR-ID not in AI Register",IF(OR(C225="",H225=""),"Artefact or location missing",IF(AND(M225&lt;&gt;"",NOT(ISNUMBER(M225))),"Completed / last reviewed is not a date",IF(AND(N225&lt;&gt;"",NOT(ISNUMBER(N225))),"Review due is not a date",IF(AND(ISNUMBER(N225),N225&lt;TODAY()),"Review date passed: re-review before citing by reference (Playbook §4.6)",IF(AND(G225="Accepted",ISNUMBER(M225),EDATE(M225,12)&lt;TODAY(),O225=""),"Over 12 months old: owner's still-holds review needed before citing by reference","Check against source"))))))))))</f>
        <v/>
      </c>
      <c r="M225" s="36" t="n"/>
      <c r="N225" s="36" t="n"/>
      <c r="O225" s="24" t="n"/>
    </row>
    <row r="226">
      <c r="A226" s="22" t="n"/>
      <c r="B226" s="22" t="n"/>
      <c r="C226" s="22" t="n"/>
      <c r="D226" s="22" t="n"/>
      <c r="E226" s="22" t="n"/>
      <c r="F226" s="22" t="n"/>
      <c r="G226" s="22" t="n"/>
      <c r="H226" s="22" t="n"/>
      <c r="I226" s="22" t="n"/>
      <c r="J226" s="22" t="n"/>
      <c r="K226" s="22" t="n"/>
      <c r="L226" s="22">
        <f>IF(COUNTA(A226:K226,M226:O226)=0,"",IF(A226="","Evidence ID missing",IF(COUNTIF($A$4:$A$353,A226)&gt;1,"Duplicate Evidence ID",IF(B226="","AIR-ID missing",IF(COUNTIF('AI Register'!$A$4:$A$206,B226)=0,"AIR-ID not in AI Register",IF(OR(C226="",H226=""),"Artefact or location missing",IF(AND(M226&lt;&gt;"",NOT(ISNUMBER(M226))),"Completed / last reviewed is not a date",IF(AND(N226&lt;&gt;"",NOT(ISNUMBER(N226))),"Review due is not a date",IF(AND(ISNUMBER(N226),N226&lt;TODAY()),"Review date passed: re-review before citing by reference (Playbook §4.6)",IF(AND(G226="Accepted",ISNUMBER(M226),EDATE(M226,12)&lt;TODAY(),O226=""),"Over 12 months old: owner's still-holds review needed before citing by reference","Check against source"))))))))))</f>
        <v/>
      </c>
      <c r="M226" s="35" t="n"/>
      <c r="N226" s="35" t="n"/>
      <c r="O226" s="22" t="n"/>
    </row>
    <row r="227">
      <c r="A227" s="24" t="n"/>
      <c r="B227" s="24" t="n"/>
      <c r="C227" s="24" t="n"/>
      <c r="D227" s="24" t="n"/>
      <c r="E227" s="24" t="n"/>
      <c r="F227" s="24" t="n"/>
      <c r="G227" s="24" t="n"/>
      <c r="H227" s="24" t="n"/>
      <c r="I227" s="24" t="n"/>
      <c r="J227" s="24" t="n"/>
      <c r="K227" s="24" t="n"/>
      <c r="L227" s="24">
        <f>IF(COUNTA(A227:K227,M227:O227)=0,"",IF(A227="","Evidence ID missing",IF(COUNTIF($A$4:$A$353,A227)&gt;1,"Duplicate Evidence ID",IF(B227="","AIR-ID missing",IF(COUNTIF('AI Register'!$A$4:$A$206,B227)=0,"AIR-ID not in AI Register",IF(OR(C227="",H227=""),"Artefact or location missing",IF(AND(M227&lt;&gt;"",NOT(ISNUMBER(M227))),"Completed / last reviewed is not a date",IF(AND(N227&lt;&gt;"",NOT(ISNUMBER(N227))),"Review due is not a date",IF(AND(ISNUMBER(N227),N227&lt;TODAY()),"Review date passed: re-review before citing by reference (Playbook §4.6)",IF(AND(G227="Accepted",ISNUMBER(M227),EDATE(M227,12)&lt;TODAY(),O227=""),"Over 12 months old: owner's still-holds review needed before citing by reference","Check against source"))))))))))</f>
        <v/>
      </c>
      <c r="M227" s="36" t="n"/>
      <c r="N227" s="36" t="n"/>
      <c r="O227" s="24" t="n"/>
    </row>
    <row r="228">
      <c r="A228" s="22" t="n"/>
      <c r="B228" s="22" t="n"/>
      <c r="C228" s="22" t="n"/>
      <c r="D228" s="22" t="n"/>
      <c r="E228" s="22" t="n"/>
      <c r="F228" s="22" t="n"/>
      <c r="G228" s="22" t="n"/>
      <c r="H228" s="22" t="n"/>
      <c r="I228" s="22" t="n"/>
      <c r="J228" s="22" t="n"/>
      <c r="K228" s="22" t="n"/>
      <c r="L228" s="22">
        <f>IF(COUNTA(A228:K228,M228:O228)=0,"",IF(A228="","Evidence ID missing",IF(COUNTIF($A$4:$A$353,A228)&gt;1,"Duplicate Evidence ID",IF(B228="","AIR-ID missing",IF(COUNTIF('AI Register'!$A$4:$A$206,B228)=0,"AIR-ID not in AI Register",IF(OR(C228="",H228=""),"Artefact or location missing",IF(AND(M228&lt;&gt;"",NOT(ISNUMBER(M228))),"Completed / last reviewed is not a date",IF(AND(N228&lt;&gt;"",NOT(ISNUMBER(N228))),"Review due is not a date",IF(AND(ISNUMBER(N228),N228&lt;TODAY()),"Review date passed: re-review before citing by reference (Playbook §4.6)",IF(AND(G228="Accepted",ISNUMBER(M228),EDATE(M228,12)&lt;TODAY(),O228=""),"Over 12 months old: owner's still-holds review needed before citing by reference","Check against source"))))))))))</f>
        <v/>
      </c>
      <c r="M228" s="35" t="n"/>
      <c r="N228" s="35" t="n"/>
      <c r="O228" s="22" t="n"/>
    </row>
    <row r="229">
      <c r="A229" s="24" t="n"/>
      <c r="B229" s="24" t="n"/>
      <c r="C229" s="24" t="n"/>
      <c r="D229" s="24" t="n"/>
      <c r="E229" s="24" t="n"/>
      <c r="F229" s="24" t="n"/>
      <c r="G229" s="24" t="n"/>
      <c r="H229" s="24" t="n"/>
      <c r="I229" s="24" t="n"/>
      <c r="J229" s="24" t="n"/>
      <c r="K229" s="24" t="n"/>
      <c r="L229" s="24">
        <f>IF(COUNTA(A229:K229,M229:O229)=0,"",IF(A229="","Evidence ID missing",IF(COUNTIF($A$4:$A$353,A229)&gt;1,"Duplicate Evidence ID",IF(B229="","AIR-ID missing",IF(COUNTIF('AI Register'!$A$4:$A$206,B229)=0,"AIR-ID not in AI Register",IF(OR(C229="",H229=""),"Artefact or location missing",IF(AND(M229&lt;&gt;"",NOT(ISNUMBER(M229))),"Completed / last reviewed is not a date",IF(AND(N229&lt;&gt;"",NOT(ISNUMBER(N229))),"Review due is not a date",IF(AND(ISNUMBER(N229),N229&lt;TODAY()),"Review date passed: re-review before citing by reference (Playbook §4.6)",IF(AND(G229="Accepted",ISNUMBER(M229),EDATE(M229,12)&lt;TODAY(),O229=""),"Over 12 months old: owner's still-holds review needed before citing by reference","Check against source"))))))))))</f>
        <v/>
      </c>
      <c r="M229" s="36" t="n"/>
      <c r="N229" s="36" t="n"/>
      <c r="O229" s="24" t="n"/>
    </row>
    <row r="230">
      <c r="A230" s="22" t="n"/>
      <c r="B230" s="22" t="n"/>
      <c r="C230" s="22" t="n"/>
      <c r="D230" s="22" t="n"/>
      <c r="E230" s="22" t="n"/>
      <c r="F230" s="22" t="n"/>
      <c r="G230" s="22" t="n"/>
      <c r="H230" s="22" t="n"/>
      <c r="I230" s="22" t="n"/>
      <c r="J230" s="22" t="n"/>
      <c r="K230" s="22" t="n"/>
      <c r="L230" s="22">
        <f>IF(COUNTA(A230:K230,M230:O230)=0,"",IF(A230="","Evidence ID missing",IF(COUNTIF($A$4:$A$353,A230)&gt;1,"Duplicate Evidence ID",IF(B230="","AIR-ID missing",IF(COUNTIF('AI Register'!$A$4:$A$206,B230)=0,"AIR-ID not in AI Register",IF(OR(C230="",H230=""),"Artefact or location missing",IF(AND(M230&lt;&gt;"",NOT(ISNUMBER(M230))),"Completed / last reviewed is not a date",IF(AND(N230&lt;&gt;"",NOT(ISNUMBER(N230))),"Review due is not a date",IF(AND(ISNUMBER(N230),N230&lt;TODAY()),"Review date passed: re-review before citing by reference (Playbook §4.6)",IF(AND(G230="Accepted",ISNUMBER(M230),EDATE(M230,12)&lt;TODAY(),O230=""),"Over 12 months old: owner's still-holds review needed before citing by reference","Check against source"))))))))))</f>
        <v/>
      </c>
      <c r="M230" s="35" t="n"/>
      <c r="N230" s="35" t="n"/>
      <c r="O230" s="22" t="n"/>
    </row>
    <row r="231">
      <c r="A231" s="24" t="n"/>
      <c r="B231" s="24" t="n"/>
      <c r="C231" s="24" t="n"/>
      <c r="D231" s="24" t="n"/>
      <c r="E231" s="24" t="n"/>
      <c r="F231" s="24" t="n"/>
      <c r="G231" s="24" t="n"/>
      <c r="H231" s="24" t="n"/>
      <c r="I231" s="24" t="n"/>
      <c r="J231" s="24" t="n"/>
      <c r="K231" s="24" t="n"/>
      <c r="L231" s="24">
        <f>IF(COUNTA(A231:K231,M231:O231)=0,"",IF(A231="","Evidence ID missing",IF(COUNTIF($A$4:$A$353,A231)&gt;1,"Duplicate Evidence ID",IF(B231="","AIR-ID missing",IF(COUNTIF('AI Register'!$A$4:$A$206,B231)=0,"AIR-ID not in AI Register",IF(OR(C231="",H231=""),"Artefact or location missing",IF(AND(M231&lt;&gt;"",NOT(ISNUMBER(M231))),"Completed / last reviewed is not a date",IF(AND(N231&lt;&gt;"",NOT(ISNUMBER(N231))),"Review due is not a date",IF(AND(ISNUMBER(N231),N231&lt;TODAY()),"Review date passed: re-review before citing by reference (Playbook §4.6)",IF(AND(G231="Accepted",ISNUMBER(M231),EDATE(M231,12)&lt;TODAY(),O231=""),"Over 12 months old: owner's still-holds review needed before citing by reference","Check against source"))))))))))</f>
        <v/>
      </c>
      <c r="M231" s="36" t="n"/>
      <c r="N231" s="36" t="n"/>
      <c r="O231" s="24" t="n"/>
    </row>
    <row r="232">
      <c r="A232" s="22" t="n"/>
      <c r="B232" s="22" t="n"/>
      <c r="C232" s="22" t="n"/>
      <c r="D232" s="22" t="n"/>
      <c r="E232" s="22" t="n"/>
      <c r="F232" s="22" t="n"/>
      <c r="G232" s="22" t="n"/>
      <c r="H232" s="22" t="n"/>
      <c r="I232" s="22" t="n"/>
      <c r="J232" s="22" t="n"/>
      <c r="K232" s="22" t="n"/>
      <c r="L232" s="22">
        <f>IF(COUNTA(A232:K232,M232:O232)=0,"",IF(A232="","Evidence ID missing",IF(COUNTIF($A$4:$A$353,A232)&gt;1,"Duplicate Evidence ID",IF(B232="","AIR-ID missing",IF(COUNTIF('AI Register'!$A$4:$A$206,B232)=0,"AIR-ID not in AI Register",IF(OR(C232="",H232=""),"Artefact or location missing",IF(AND(M232&lt;&gt;"",NOT(ISNUMBER(M232))),"Completed / last reviewed is not a date",IF(AND(N232&lt;&gt;"",NOT(ISNUMBER(N232))),"Review due is not a date",IF(AND(ISNUMBER(N232),N232&lt;TODAY()),"Review date passed: re-review before citing by reference (Playbook §4.6)",IF(AND(G232="Accepted",ISNUMBER(M232),EDATE(M232,12)&lt;TODAY(),O232=""),"Over 12 months old: owner's still-holds review needed before citing by reference","Check against source"))))))))))</f>
        <v/>
      </c>
      <c r="M232" s="35" t="n"/>
      <c r="N232" s="35" t="n"/>
      <c r="O232" s="22" t="n"/>
    </row>
    <row r="233">
      <c r="A233" s="24" t="n"/>
      <c r="B233" s="24" t="n"/>
      <c r="C233" s="24" t="n"/>
      <c r="D233" s="24" t="n"/>
      <c r="E233" s="24" t="n"/>
      <c r="F233" s="24" t="n"/>
      <c r="G233" s="24" t="n"/>
      <c r="H233" s="24" t="n"/>
      <c r="I233" s="24" t="n"/>
      <c r="J233" s="24" t="n"/>
      <c r="K233" s="24" t="n"/>
      <c r="L233" s="24">
        <f>IF(COUNTA(A233:K233,M233:O233)=0,"",IF(A233="","Evidence ID missing",IF(COUNTIF($A$4:$A$353,A233)&gt;1,"Duplicate Evidence ID",IF(B233="","AIR-ID missing",IF(COUNTIF('AI Register'!$A$4:$A$206,B233)=0,"AIR-ID not in AI Register",IF(OR(C233="",H233=""),"Artefact or location missing",IF(AND(M233&lt;&gt;"",NOT(ISNUMBER(M233))),"Completed / last reviewed is not a date",IF(AND(N233&lt;&gt;"",NOT(ISNUMBER(N233))),"Review due is not a date",IF(AND(ISNUMBER(N233),N233&lt;TODAY()),"Review date passed: re-review before citing by reference (Playbook §4.6)",IF(AND(G233="Accepted",ISNUMBER(M233),EDATE(M233,12)&lt;TODAY(),O233=""),"Over 12 months old: owner's still-holds review needed before citing by reference","Check against source"))))))))))</f>
        <v/>
      </c>
      <c r="M233" s="36" t="n"/>
      <c r="N233" s="36" t="n"/>
      <c r="O233" s="24" t="n"/>
    </row>
    <row r="234">
      <c r="A234" s="22" t="n"/>
      <c r="B234" s="22" t="n"/>
      <c r="C234" s="22" t="n"/>
      <c r="D234" s="22" t="n"/>
      <c r="E234" s="22" t="n"/>
      <c r="F234" s="22" t="n"/>
      <c r="G234" s="22" t="n"/>
      <c r="H234" s="22" t="n"/>
      <c r="I234" s="22" t="n"/>
      <c r="J234" s="22" t="n"/>
      <c r="K234" s="22" t="n"/>
      <c r="L234" s="22">
        <f>IF(COUNTA(A234:K234,M234:O234)=0,"",IF(A234="","Evidence ID missing",IF(COUNTIF($A$4:$A$353,A234)&gt;1,"Duplicate Evidence ID",IF(B234="","AIR-ID missing",IF(COUNTIF('AI Register'!$A$4:$A$206,B234)=0,"AIR-ID not in AI Register",IF(OR(C234="",H234=""),"Artefact or location missing",IF(AND(M234&lt;&gt;"",NOT(ISNUMBER(M234))),"Completed / last reviewed is not a date",IF(AND(N234&lt;&gt;"",NOT(ISNUMBER(N234))),"Review due is not a date",IF(AND(ISNUMBER(N234),N234&lt;TODAY()),"Review date passed: re-review before citing by reference (Playbook §4.6)",IF(AND(G234="Accepted",ISNUMBER(M234),EDATE(M234,12)&lt;TODAY(),O234=""),"Over 12 months old: owner's still-holds review needed before citing by reference","Check against source"))))))))))</f>
        <v/>
      </c>
      <c r="M234" s="35" t="n"/>
      <c r="N234" s="35" t="n"/>
      <c r="O234" s="22" t="n"/>
    </row>
    <row r="235">
      <c r="A235" s="24" t="n"/>
      <c r="B235" s="24" t="n"/>
      <c r="C235" s="24" t="n"/>
      <c r="D235" s="24" t="n"/>
      <c r="E235" s="24" t="n"/>
      <c r="F235" s="24" t="n"/>
      <c r="G235" s="24" t="n"/>
      <c r="H235" s="24" t="n"/>
      <c r="I235" s="24" t="n"/>
      <c r="J235" s="24" t="n"/>
      <c r="K235" s="24" t="n"/>
      <c r="L235" s="24">
        <f>IF(COUNTA(A235:K235,M235:O235)=0,"",IF(A235="","Evidence ID missing",IF(COUNTIF($A$4:$A$353,A235)&gt;1,"Duplicate Evidence ID",IF(B235="","AIR-ID missing",IF(COUNTIF('AI Register'!$A$4:$A$206,B235)=0,"AIR-ID not in AI Register",IF(OR(C235="",H235=""),"Artefact or location missing",IF(AND(M235&lt;&gt;"",NOT(ISNUMBER(M235))),"Completed / last reviewed is not a date",IF(AND(N235&lt;&gt;"",NOT(ISNUMBER(N235))),"Review due is not a date",IF(AND(ISNUMBER(N235),N235&lt;TODAY()),"Review date passed: re-review before citing by reference (Playbook §4.6)",IF(AND(G235="Accepted",ISNUMBER(M235),EDATE(M235,12)&lt;TODAY(),O235=""),"Over 12 months old: owner's still-holds review needed before citing by reference","Check against source"))))))))))</f>
        <v/>
      </c>
      <c r="M235" s="36" t="n"/>
      <c r="N235" s="36" t="n"/>
      <c r="O235" s="24" t="n"/>
    </row>
    <row r="236">
      <c r="A236" s="22" t="n"/>
      <c r="B236" s="22" t="n"/>
      <c r="C236" s="22" t="n"/>
      <c r="D236" s="22" t="n"/>
      <c r="E236" s="22" t="n"/>
      <c r="F236" s="22" t="n"/>
      <c r="G236" s="22" t="n"/>
      <c r="H236" s="22" t="n"/>
      <c r="I236" s="22" t="n"/>
      <c r="J236" s="22" t="n"/>
      <c r="K236" s="22" t="n"/>
      <c r="L236" s="22">
        <f>IF(COUNTA(A236:K236,M236:O236)=0,"",IF(A236="","Evidence ID missing",IF(COUNTIF($A$4:$A$353,A236)&gt;1,"Duplicate Evidence ID",IF(B236="","AIR-ID missing",IF(COUNTIF('AI Register'!$A$4:$A$206,B236)=0,"AIR-ID not in AI Register",IF(OR(C236="",H236=""),"Artefact or location missing",IF(AND(M236&lt;&gt;"",NOT(ISNUMBER(M236))),"Completed / last reviewed is not a date",IF(AND(N236&lt;&gt;"",NOT(ISNUMBER(N236))),"Review due is not a date",IF(AND(ISNUMBER(N236),N236&lt;TODAY()),"Review date passed: re-review before citing by reference (Playbook §4.6)",IF(AND(G236="Accepted",ISNUMBER(M236),EDATE(M236,12)&lt;TODAY(),O236=""),"Over 12 months old: owner's still-holds review needed before citing by reference","Check against source"))))))))))</f>
        <v/>
      </c>
      <c r="M236" s="35" t="n"/>
      <c r="N236" s="35" t="n"/>
      <c r="O236" s="22" t="n"/>
    </row>
    <row r="237">
      <c r="A237" s="24" t="n"/>
      <c r="B237" s="24" t="n"/>
      <c r="C237" s="24" t="n"/>
      <c r="D237" s="24" t="n"/>
      <c r="E237" s="24" t="n"/>
      <c r="F237" s="24" t="n"/>
      <c r="G237" s="24" t="n"/>
      <c r="H237" s="24" t="n"/>
      <c r="I237" s="24" t="n"/>
      <c r="J237" s="24" t="n"/>
      <c r="K237" s="24" t="n"/>
      <c r="L237" s="24">
        <f>IF(COUNTA(A237:K237,M237:O237)=0,"",IF(A237="","Evidence ID missing",IF(COUNTIF($A$4:$A$353,A237)&gt;1,"Duplicate Evidence ID",IF(B237="","AIR-ID missing",IF(COUNTIF('AI Register'!$A$4:$A$206,B237)=0,"AIR-ID not in AI Register",IF(OR(C237="",H237=""),"Artefact or location missing",IF(AND(M237&lt;&gt;"",NOT(ISNUMBER(M237))),"Completed / last reviewed is not a date",IF(AND(N237&lt;&gt;"",NOT(ISNUMBER(N237))),"Review due is not a date",IF(AND(ISNUMBER(N237),N237&lt;TODAY()),"Review date passed: re-review before citing by reference (Playbook §4.6)",IF(AND(G237="Accepted",ISNUMBER(M237),EDATE(M237,12)&lt;TODAY(),O237=""),"Over 12 months old: owner's still-holds review needed before citing by reference","Check against source"))))))))))</f>
        <v/>
      </c>
      <c r="M237" s="36" t="n"/>
      <c r="N237" s="36" t="n"/>
      <c r="O237" s="24" t="n"/>
    </row>
    <row r="238">
      <c r="A238" s="22" t="n"/>
      <c r="B238" s="22" t="n"/>
      <c r="C238" s="22" t="n"/>
      <c r="D238" s="22" t="n"/>
      <c r="E238" s="22" t="n"/>
      <c r="F238" s="22" t="n"/>
      <c r="G238" s="22" t="n"/>
      <c r="H238" s="22" t="n"/>
      <c r="I238" s="22" t="n"/>
      <c r="J238" s="22" t="n"/>
      <c r="K238" s="22" t="n"/>
      <c r="L238" s="22">
        <f>IF(COUNTA(A238:K238,M238:O238)=0,"",IF(A238="","Evidence ID missing",IF(COUNTIF($A$4:$A$353,A238)&gt;1,"Duplicate Evidence ID",IF(B238="","AIR-ID missing",IF(COUNTIF('AI Register'!$A$4:$A$206,B238)=0,"AIR-ID not in AI Register",IF(OR(C238="",H238=""),"Artefact or location missing",IF(AND(M238&lt;&gt;"",NOT(ISNUMBER(M238))),"Completed / last reviewed is not a date",IF(AND(N238&lt;&gt;"",NOT(ISNUMBER(N238))),"Review due is not a date",IF(AND(ISNUMBER(N238),N238&lt;TODAY()),"Review date passed: re-review before citing by reference (Playbook §4.6)",IF(AND(G238="Accepted",ISNUMBER(M238),EDATE(M238,12)&lt;TODAY(),O238=""),"Over 12 months old: owner's still-holds review needed before citing by reference","Check against source"))))))))))</f>
        <v/>
      </c>
      <c r="M238" s="35" t="n"/>
      <c r="N238" s="35" t="n"/>
      <c r="O238" s="22" t="n"/>
    </row>
    <row r="239">
      <c r="A239" s="24" t="n"/>
      <c r="B239" s="24" t="n"/>
      <c r="C239" s="24" t="n"/>
      <c r="D239" s="24" t="n"/>
      <c r="E239" s="24" t="n"/>
      <c r="F239" s="24" t="n"/>
      <c r="G239" s="24" t="n"/>
      <c r="H239" s="24" t="n"/>
      <c r="I239" s="24" t="n"/>
      <c r="J239" s="24" t="n"/>
      <c r="K239" s="24" t="n"/>
      <c r="L239" s="24">
        <f>IF(COUNTA(A239:K239,M239:O239)=0,"",IF(A239="","Evidence ID missing",IF(COUNTIF($A$4:$A$353,A239)&gt;1,"Duplicate Evidence ID",IF(B239="","AIR-ID missing",IF(COUNTIF('AI Register'!$A$4:$A$206,B239)=0,"AIR-ID not in AI Register",IF(OR(C239="",H239=""),"Artefact or location missing",IF(AND(M239&lt;&gt;"",NOT(ISNUMBER(M239))),"Completed / last reviewed is not a date",IF(AND(N239&lt;&gt;"",NOT(ISNUMBER(N239))),"Review due is not a date",IF(AND(ISNUMBER(N239),N239&lt;TODAY()),"Review date passed: re-review before citing by reference (Playbook §4.6)",IF(AND(G239="Accepted",ISNUMBER(M239),EDATE(M239,12)&lt;TODAY(),O239=""),"Over 12 months old: owner's still-holds review needed before citing by reference","Check against source"))))))))))</f>
        <v/>
      </c>
      <c r="M239" s="36" t="n"/>
      <c r="N239" s="36" t="n"/>
      <c r="O239" s="24" t="n"/>
    </row>
    <row r="240">
      <c r="A240" s="22" t="n"/>
      <c r="B240" s="22" t="n"/>
      <c r="C240" s="22" t="n"/>
      <c r="D240" s="22" t="n"/>
      <c r="E240" s="22" t="n"/>
      <c r="F240" s="22" t="n"/>
      <c r="G240" s="22" t="n"/>
      <c r="H240" s="22" t="n"/>
      <c r="I240" s="22" t="n"/>
      <c r="J240" s="22" t="n"/>
      <c r="K240" s="22" t="n"/>
      <c r="L240" s="22">
        <f>IF(COUNTA(A240:K240,M240:O240)=0,"",IF(A240="","Evidence ID missing",IF(COUNTIF($A$4:$A$353,A240)&gt;1,"Duplicate Evidence ID",IF(B240="","AIR-ID missing",IF(COUNTIF('AI Register'!$A$4:$A$206,B240)=0,"AIR-ID not in AI Register",IF(OR(C240="",H240=""),"Artefact or location missing",IF(AND(M240&lt;&gt;"",NOT(ISNUMBER(M240))),"Completed / last reviewed is not a date",IF(AND(N240&lt;&gt;"",NOT(ISNUMBER(N240))),"Review due is not a date",IF(AND(ISNUMBER(N240),N240&lt;TODAY()),"Review date passed: re-review before citing by reference (Playbook §4.6)",IF(AND(G240="Accepted",ISNUMBER(M240),EDATE(M240,12)&lt;TODAY(),O240=""),"Over 12 months old: owner's still-holds review needed before citing by reference","Check against source"))))))))))</f>
        <v/>
      </c>
      <c r="M240" s="35" t="n"/>
      <c r="N240" s="35" t="n"/>
      <c r="O240" s="22" t="n"/>
    </row>
    <row r="241">
      <c r="A241" s="24" t="n"/>
      <c r="B241" s="24" t="n"/>
      <c r="C241" s="24" t="n"/>
      <c r="D241" s="24" t="n"/>
      <c r="E241" s="24" t="n"/>
      <c r="F241" s="24" t="n"/>
      <c r="G241" s="24" t="n"/>
      <c r="H241" s="24" t="n"/>
      <c r="I241" s="24" t="n"/>
      <c r="J241" s="24" t="n"/>
      <c r="K241" s="24" t="n"/>
      <c r="L241" s="24">
        <f>IF(COUNTA(A241:K241,M241:O241)=0,"",IF(A241="","Evidence ID missing",IF(COUNTIF($A$4:$A$353,A241)&gt;1,"Duplicate Evidence ID",IF(B241="","AIR-ID missing",IF(COUNTIF('AI Register'!$A$4:$A$206,B241)=0,"AIR-ID not in AI Register",IF(OR(C241="",H241=""),"Artefact or location missing",IF(AND(M241&lt;&gt;"",NOT(ISNUMBER(M241))),"Completed / last reviewed is not a date",IF(AND(N241&lt;&gt;"",NOT(ISNUMBER(N241))),"Review due is not a date",IF(AND(ISNUMBER(N241),N241&lt;TODAY()),"Review date passed: re-review before citing by reference (Playbook §4.6)",IF(AND(G241="Accepted",ISNUMBER(M241),EDATE(M241,12)&lt;TODAY(),O241=""),"Over 12 months old: owner's still-holds review needed before citing by reference","Check against source"))))))))))</f>
        <v/>
      </c>
      <c r="M241" s="36" t="n"/>
      <c r="N241" s="36" t="n"/>
      <c r="O241" s="24" t="n"/>
    </row>
    <row r="242">
      <c r="A242" s="22" t="n"/>
      <c r="B242" s="22" t="n"/>
      <c r="C242" s="22" t="n"/>
      <c r="D242" s="22" t="n"/>
      <c r="E242" s="22" t="n"/>
      <c r="F242" s="22" t="n"/>
      <c r="G242" s="22" t="n"/>
      <c r="H242" s="22" t="n"/>
      <c r="I242" s="22" t="n"/>
      <c r="J242" s="22" t="n"/>
      <c r="K242" s="22" t="n"/>
      <c r="L242" s="22">
        <f>IF(COUNTA(A242:K242,M242:O242)=0,"",IF(A242="","Evidence ID missing",IF(COUNTIF($A$4:$A$353,A242)&gt;1,"Duplicate Evidence ID",IF(B242="","AIR-ID missing",IF(COUNTIF('AI Register'!$A$4:$A$206,B242)=0,"AIR-ID not in AI Register",IF(OR(C242="",H242=""),"Artefact or location missing",IF(AND(M242&lt;&gt;"",NOT(ISNUMBER(M242))),"Completed / last reviewed is not a date",IF(AND(N242&lt;&gt;"",NOT(ISNUMBER(N242))),"Review due is not a date",IF(AND(ISNUMBER(N242),N242&lt;TODAY()),"Review date passed: re-review before citing by reference (Playbook §4.6)",IF(AND(G242="Accepted",ISNUMBER(M242),EDATE(M242,12)&lt;TODAY(),O242=""),"Over 12 months old: owner's still-holds review needed before citing by reference","Check against source"))))))))))</f>
        <v/>
      </c>
      <c r="M242" s="35" t="n"/>
      <c r="N242" s="35" t="n"/>
      <c r="O242" s="22" t="n"/>
    </row>
    <row r="243">
      <c r="A243" s="24" t="n"/>
      <c r="B243" s="24" t="n"/>
      <c r="C243" s="24" t="n"/>
      <c r="D243" s="24" t="n"/>
      <c r="E243" s="24" t="n"/>
      <c r="F243" s="24" t="n"/>
      <c r="G243" s="24" t="n"/>
      <c r="H243" s="24" t="n"/>
      <c r="I243" s="24" t="n"/>
      <c r="J243" s="24" t="n"/>
      <c r="K243" s="24" t="n"/>
      <c r="L243" s="24">
        <f>IF(COUNTA(A243:K243,M243:O243)=0,"",IF(A243="","Evidence ID missing",IF(COUNTIF($A$4:$A$353,A243)&gt;1,"Duplicate Evidence ID",IF(B243="","AIR-ID missing",IF(COUNTIF('AI Register'!$A$4:$A$206,B243)=0,"AIR-ID not in AI Register",IF(OR(C243="",H243=""),"Artefact or location missing",IF(AND(M243&lt;&gt;"",NOT(ISNUMBER(M243))),"Completed / last reviewed is not a date",IF(AND(N243&lt;&gt;"",NOT(ISNUMBER(N243))),"Review due is not a date",IF(AND(ISNUMBER(N243),N243&lt;TODAY()),"Review date passed: re-review before citing by reference (Playbook §4.6)",IF(AND(G243="Accepted",ISNUMBER(M243),EDATE(M243,12)&lt;TODAY(),O243=""),"Over 12 months old: owner's still-holds review needed before citing by reference","Check against source"))))))))))</f>
        <v/>
      </c>
      <c r="M243" s="36" t="n"/>
      <c r="N243" s="36" t="n"/>
      <c r="O243" s="24" t="n"/>
    </row>
    <row r="244">
      <c r="A244" s="22" t="n"/>
      <c r="B244" s="22" t="n"/>
      <c r="C244" s="22" t="n"/>
      <c r="D244" s="22" t="n"/>
      <c r="E244" s="22" t="n"/>
      <c r="F244" s="22" t="n"/>
      <c r="G244" s="22" t="n"/>
      <c r="H244" s="22" t="n"/>
      <c r="I244" s="22" t="n"/>
      <c r="J244" s="22" t="n"/>
      <c r="K244" s="22" t="n"/>
      <c r="L244" s="22">
        <f>IF(COUNTA(A244:K244,M244:O244)=0,"",IF(A244="","Evidence ID missing",IF(COUNTIF($A$4:$A$353,A244)&gt;1,"Duplicate Evidence ID",IF(B244="","AIR-ID missing",IF(COUNTIF('AI Register'!$A$4:$A$206,B244)=0,"AIR-ID not in AI Register",IF(OR(C244="",H244=""),"Artefact or location missing",IF(AND(M244&lt;&gt;"",NOT(ISNUMBER(M244))),"Completed / last reviewed is not a date",IF(AND(N244&lt;&gt;"",NOT(ISNUMBER(N244))),"Review due is not a date",IF(AND(ISNUMBER(N244),N244&lt;TODAY()),"Review date passed: re-review before citing by reference (Playbook §4.6)",IF(AND(G244="Accepted",ISNUMBER(M244),EDATE(M244,12)&lt;TODAY(),O244=""),"Over 12 months old: owner's still-holds review needed before citing by reference","Check against source"))))))))))</f>
        <v/>
      </c>
      <c r="M244" s="35" t="n"/>
      <c r="N244" s="35" t="n"/>
      <c r="O244" s="22" t="n"/>
    </row>
    <row r="245">
      <c r="A245" s="24" t="n"/>
      <c r="B245" s="24" t="n"/>
      <c r="C245" s="24" t="n"/>
      <c r="D245" s="24" t="n"/>
      <c r="E245" s="24" t="n"/>
      <c r="F245" s="24" t="n"/>
      <c r="G245" s="24" t="n"/>
      <c r="H245" s="24" t="n"/>
      <c r="I245" s="24" t="n"/>
      <c r="J245" s="24" t="n"/>
      <c r="K245" s="24" t="n"/>
      <c r="L245" s="24">
        <f>IF(COUNTA(A245:K245,M245:O245)=0,"",IF(A245="","Evidence ID missing",IF(COUNTIF($A$4:$A$353,A245)&gt;1,"Duplicate Evidence ID",IF(B245="","AIR-ID missing",IF(COUNTIF('AI Register'!$A$4:$A$206,B245)=0,"AIR-ID not in AI Register",IF(OR(C245="",H245=""),"Artefact or location missing",IF(AND(M245&lt;&gt;"",NOT(ISNUMBER(M245))),"Completed / last reviewed is not a date",IF(AND(N245&lt;&gt;"",NOT(ISNUMBER(N245))),"Review due is not a date",IF(AND(ISNUMBER(N245),N245&lt;TODAY()),"Review date passed: re-review before citing by reference (Playbook §4.6)",IF(AND(G245="Accepted",ISNUMBER(M245),EDATE(M245,12)&lt;TODAY(),O245=""),"Over 12 months old: owner's still-holds review needed before citing by reference","Check against source"))))))))))</f>
        <v/>
      </c>
      <c r="M245" s="36" t="n"/>
      <c r="N245" s="36" t="n"/>
      <c r="O245" s="24" t="n"/>
    </row>
    <row r="246">
      <c r="A246" s="22" t="n"/>
      <c r="B246" s="22" t="n"/>
      <c r="C246" s="22" t="n"/>
      <c r="D246" s="22" t="n"/>
      <c r="E246" s="22" t="n"/>
      <c r="F246" s="22" t="n"/>
      <c r="G246" s="22" t="n"/>
      <c r="H246" s="22" t="n"/>
      <c r="I246" s="22" t="n"/>
      <c r="J246" s="22" t="n"/>
      <c r="K246" s="22" t="n"/>
      <c r="L246" s="22">
        <f>IF(COUNTA(A246:K246,M246:O246)=0,"",IF(A246="","Evidence ID missing",IF(COUNTIF($A$4:$A$353,A246)&gt;1,"Duplicate Evidence ID",IF(B246="","AIR-ID missing",IF(COUNTIF('AI Register'!$A$4:$A$206,B246)=0,"AIR-ID not in AI Register",IF(OR(C246="",H246=""),"Artefact or location missing",IF(AND(M246&lt;&gt;"",NOT(ISNUMBER(M246))),"Completed / last reviewed is not a date",IF(AND(N246&lt;&gt;"",NOT(ISNUMBER(N246))),"Review due is not a date",IF(AND(ISNUMBER(N246),N246&lt;TODAY()),"Review date passed: re-review before citing by reference (Playbook §4.6)",IF(AND(G246="Accepted",ISNUMBER(M246),EDATE(M246,12)&lt;TODAY(),O246=""),"Over 12 months old: owner's still-holds review needed before citing by reference","Check against source"))))))))))</f>
        <v/>
      </c>
      <c r="M246" s="35" t="n"/>
      <c r="N246" s="35" t="n"/>
      <c r="O246" s="22" t="n"/>
    </row>
    <row r="247">
      <c r="A247" s="24" t="n"/>
      <c r="B247" s="24" t="n"/>
      <c r="C247" s="24" t="n"/>
      <c r="D247" s="24" t="n"/>
      <c r="E247" s="24" t="n"/>
      <c r="F247" s="24" t="n"/>
      <c r="G247" s="24" t="n"/>
      <c r="H247" s="24" t="n"/>
      <c r="I247" s="24" t="n"/>
      <c r="J247" s="24" t="n"/>
      <c r="K247" s="24" t="n"/>
      <c r="L247" s="24">
        <f>IF(COUNTA(A247:K247,M247:O247)=0,"",IF(A247="","Evidence ID missing",IF(COUNTIF($A$4:$A$353,A247)&gt;1,"Duplicate Evidence ID",IF(B247="","AIR-ID missing",IF(COUNTIF('AI Register'!$A$4:$A$206,B247)=0,"AIR-ID not in AI Register",IF(OR(C247="",H247=""),"Artefact or location missing",IF(AND(M247&lt;&gt;"",NOT(ISNUMBER(M247))),"Completed / last reviewed is not a date",IF(AND(N247&lt;&gt;"",NOT(ISNUMBER(N247))),"Review due is not a date",IF(AND(ISNUMBER(N247),N247&lt;TODAY()),"Review date passed: re-review before citing by reference (Playbook §4.6)",IF(AND(G247="Accepted",ISNUMBER(M247),EDATE(M247,12)&lt;TODAY(),O247=""),"Over 12 months old: owner's still-holds review needed before citing by reference","Check against source"))))))))))</f>
        <v/>
      </c>
      <c r="M247" s="36" t="n"/>
      <c r="N247" s="36" t="n"/>
      <c r="O247" s="24" t="n"/>
    </row>
    <row r="248">
      <c r="A248" s="22" t="n"/>
      <c r="B248" s="22" t="n"/>
      <c r="C248" s="22" t="n"/>
      <c r="D248" s="22" t="n"/>
      <c r="E248" s="22" t="n"/>
      <c r="F248" s="22" t="n"/>
      <c r="G248" s="22" t="n"/>
      <c r="H248" s="22" t="n"/>
      <c r="I248" s="22" t="n"/>
      <c r="J248" s="22" t="n"/>
      <c r="K248" s="22" t="n"/>
      <c r="L248" s="22">
        <f>IF(COUNTA(A248:K248,M248:O248)=0,"",IF(A248="","Evidence ID missing",IF(COUNTIF($A$4:$A$353,A248)&gt;1,"Duplicate Evidence ID",IF(B248="","AIR-ID missing",IF(COUNTIF('AI Register'!$A$4:$A$206,B248)=0,"AIR-ID not in AI Register",IF(OR(C248="",H248=""),"Artefact or location missing",IF(AND(M248&lt;&gt;"",NOT(ISNUMBER(M248))),"Completed / last reviewed is not a date",IF(AND(N248&lt;&gt;"",NOT(ISNUMBER(N248))),"Review due is not a date",IF(AND(ISNUMBER(N248),N248&lt;TODAY()),"Review date passed: re-review before citing by reference (Playbook §4.6)",IF(AND(G248="Accepted",ISNUMBER(M248),EDATE(M248,12)&lt;TODAY(),O248=""),"Over 12 months old: owner's still-holds review needed before citing by reference","Check against source"))))))))))</f>
        <v/>
      </c>
      <c r="M248" s="35" t="n"/>
      <c r="N248" s="35" t="n"/>
      <c r="O248" s="22" t="n"/>
    </row>
    <row r="249">
      <c r="A249" s="24" t="n"/>
      <c r="B249" s="24" t="n"/>
      <c r="C249" s="24" t="n"/>
      <c r="D249" s="24" t="n"/>
      <c r="E249" s="24" t="n"/>
      <c r="F249" s="24" t="n"/>
      <c r="G249" s="24" t="n"/>
      <c r="H249" s="24" t="n"/>
      <c r="I249" s="24" t="n"/>
      <c r="J249" s="24" t="n"/>
      <c r="K249" s="24" t="n"/>
      <c r="L249" s="24">
        <f>IF(COUNTA(A249:K249,M249:O249)=0,"",IF(A249="","Evidence ID missing",IF(COUNTIF($A$4:$A$353,A249)&gt;1,"Duplicate Evidence ID",IF(B249="","AIR-ID missing",IF(COUNTIF('AI Register'!$A$4:$A$206,B249)=0,"AIR-ID not in AI Register",IF(OR(C249="",H249=""),"Artefact or location missing",IF(AND(M249&lt;&gt;"",NOT(ISNUMBER(M249))),"Completed / last reviewed is not a date",IF(AND(N249&lt;&gt;"",NOT(ISNUMBER(N249))),"Review due is not a date",IF(AND(ISNUMBER(N249),N249&lt;TODAY()),"Review date passed: re-review before citing by reference (Playbook §4.6)",IF(AND(G249="Accepted",ISNUMBER(M249),EDATE(M249,12)&lt;TODAY(),O249=""),"Over 12 months old: owner's still-holds review needed before citing by reference","Check against source"))))))))))</f>
        <v/>
      </c>
      <c r="M249" s="36" t="n"/>
      <c r="N249" s="36" t="n"/>
      <c r="O249" s="24" t="n"/>
    </row>
    <row r="250">
      <c r="A250" s="22" t="n"/>
      <c r="B250" s="22" t="n"/>
      <c r="C250" s="22" t="n"/>
      <c r="D250" s="22" t="n"/>
      <c r="E250" s="22" t="n"/>
      <c r="F250" s="22" t="n"/>
      <c r="G250" s="22" t="n"/>
      <c r="H250" s="22" t="n"/>
      <c r="I250" s="22" t="n"/>
      <c r="J250" s="22" t="n"/>
      <c r="K250" s="22" t="n"/>
      <c r="L250" s="22">
        <f>IF(COUNTA(A250:K250,M250:O250)=0,"",IF(A250="","Evidence ID missing",IF(COUNTIF($A$4:$A$353,A250)&gt;1,"Duplicate Evidence ID",IF(B250="","AIR-ID missing",IF(COUNTIF('AI Register'!$A$4:$A$206,B250)=0,"AIR-ID not in AI Register",IF(OR(C250="",H250=""),"Artefact or location missing",IF(AND(M250&lt;&gt;"",NOT(ISNUMBER(M250))),"Completed / last reviewed is not a date",IF(AND(N250&lt;&gt;"",NOT(ISNUMBER(N250))),"Review due is not a date",IF(AND(ISNUMBER(N250),N250&lt;TODAY()),"Review date passed: re-review before citing by reference (Playbook §4.6)",IF(AND(G250="Accepted",ISNUMBER(M250),EDATE(M250,12)&lt;TODAY(),O250=""),"Over 12 months old: owner's still-holds review needed before citing by reference","Check against source"))))))))))</f>
        <v/>
      </c>
      <c r="M250" s="35" t="n"/>
      <c r="N250" s="35" t="n"/>
      <c r="O250" s="22" t="n"/>
    </row>
    <row r="251">
      <c r="A251" s="24" t="n"/>
      <c r="B251" s="24" t="n"/>
      <c r="C251" s="24" t="n"/>
      <c r="D251" s="24" t="n"/>
      <c r="E251" s="24" t="n"/>
      <c r="F251" s="24" t="n"/>
      <c r="G251" s="24" t="n"/>
      <c r="H251" s="24" t="n"/>
      <c r="I251" s="24" t="n"/>
      <c r="J251" s="24" t="n"/>
      <c r="K251" s="24" t="n"/>
      <c r="L251" s="24">
        <f>IF(COUNTA(A251:K251,M251:O251)=0,"",IF(A251="","Evidence ID missing",IF(COUNTIF($A$4:$A$353,A251)&gt;1,"Duplicate Evidence ID",IF(B251="","AIR-ID missing",IF(COUNTIF('AI Register'!$A$4:$A$206,B251)=0,"AIR-ID not in AI Register",IF(OR(C251="",H251=""),"Artefact or location missing",IF(AND(M251&lt;&gt;"",NOT(ISNUMBER(M251))),"Completed / last reviewed is not a date",IF(AND(N251&lt;&gt;"",NOT(ISNUMBER(N251))),"Review due is not a date",IF(AND(ISNUMBER(N251),N251&lt;TODAY()),"Review date passed: re-review before citing by reference (Playbook §4.6)",IF(AND(G251="Accepted",ISNUMBER(M251),EDATE(M251,12)&lt;TODAY(),O251=""),"Over 12 months old: owner's still-holds review needed before citing by reference","Check against source"))))))))))</f>
        <v/>
      </c>
      <c r="M251" s="36" t="n"/>
      <c r="N251" s="36" t="n"/>
      <c r="O251" s="24" t="n"/>
    </row>
    <row r="252">
      <c r="A252" s="22" t="n"/>
      <c r="B252" s="22" t="n"/>
      <c r="C252" s="22" t="n"/>
      <c r="D252" s="22" t="n"/>
      <c r="E252" s="22" t="n"/>
      <c r="F252" s="22" t="n"/>
      <c r="G252" s="22" t="n"/>
      <c r="H252" s="22" t="n"/>
      <c r="I252" s="22" t="n"/>
      <c r="J252" s="22" t="n"/>
      <c r="K252" s="22" t="n"/>
      <c r="L252" s="22">
        <f>IF(COUNTA(A252:K252,M252:O252)=0,"",IF(A252="","Evidence ID missing",IF(COUNTIF($A$4:$A$353,A252)&gt;1,"Duplicate Evidence ID",IF(B252="","AIR-ID missing",IF(COUNTIF('AI Register'!$A$4:$A$206,B252)=0,"AIR-ID not in AI Register",IF(OR(C252="",H252=""),"Artefact or location missing",IF(AND(M252&lt;&gt;"",NOT(ISNUMBER(M252))),"Completed / last reviewed is not a date",IF(AND(N252&lt;&gt;"",NOT(ISNUMBER(N252))),"Review due is not a date",IF(AND(ISNUMBER(N252),N252&lt;TODAY()),"Review date passed: re-review before citing by reference (Playbook §4.6)",IF(AND(G252="Accepted",ISNUMBER(M252),EDATE(M252,12)&lt;TODAY(),O252=""),"Over 12 months old: owner's still-holds review needed before citing by reference","Check against source"))))))))))</f>
        <v/>
      </c>
      <c r="M252" s="35" t="n"/>
      <c r="N252" s="35" t="n"/>
      <c r="O252" s="22" t="n"/>
    </row>
    <row r="253">
      <c r="A253" s="24" t="n"/>
      <c r="B253" s="24" t="n"/>
      <c r="C253" s="24" t="n"/>
      <c r="D253" s="24" t="n"/>
      <c r="E253" s="24" t="n"/>
      <c r="F253" s="24" t="n"/>
      <c r="G253" s="24" t="n"/>
      <c r="H253" s="24" t="n"/>
      <c r="I253" s="24" t="n"/>
      <c r="J253" s="24" t="n"/>
      <c r="K253" s="24" t="n"/>
      <c r="L253" s="24">
        <f>IF(COUNTA(A253:K253,M253:O253)=0,"",IF(A253="","Evidence ID missing",IF(COUNTIF($A$4:$A$353,A253)&gt;1,"Duplicate Evidence ID",IF(B253="","AIR-ID missing",IF(COUNTIF('AI Register'!$A$4:$A$206,B253)=0,"AIR-ID not in AI Register",IF(OR(C253="",H253=""),"Artefact or location missing",IF(AND(M253&lt;&gt;"",NOT(ISNUMBER(M253))),"Completed / last reviewed is not a date",IF(AND(N253&lt;&gt;"",NOT(ISNUMBER(N253))),"Review due is not a date",IF(AND(ISNUMBER(N253),N253&lt;TODAY()),"Review date passed: re-review before citing by reference (Playbook §4.6)",IF(AND(G253="Accepted",ISNUMBER(M253),EDATE(M253,12)&lt;TODAY(),O253=""),"Over 12 months old: owner's still-holds review needed before citing by reference","Check against source"))))))))))</f>
        <v/>
      </c>
      <c r="M253" s="36" t="n"/>
      <c r="N253" s="36" t="n"/>
      <c r="O253" s="24" t="n"/>
    </row>
    <row r="254">
      <c r="A254" s="22" t="n"/>
      <c r="B254" s="22" t="n"/>
      <c r="C254" s="22" t="n"/>
      <c r="D254" s="22" t="n"/>
      <c r="E254" s="22" t="n"/>
      <c r="F254" s="22" t="n"/>
      <c r="G254" s="22" t="n"/>
      <c r="H254" s="22" t="n"/>
      <c r="I254" s="22" t="n"/>
      <c r="J254" s="22" t="n"/>
      <c r="K254" s="22" t="n"/>
      <c r="L254" s="22">
        <f>IF(COUNTA(A254:K254,M254:O254)=0,"",IF(A254="","Evidence ID missing",IF(COUNTIF($A$4:$A$353,A254)&gt;1,"Duplicate Evidence ID",IF(B254="","AIR-ID missing",IF(COUNTIF('AI Register'!$A$4:$A$206,B254)=0,"AIR-ID not in AI Register",IF(OR(C254="",H254=""),"Artefact or location missing",IF(AND(M254&lt;&gt;"",NOT(ISNUMBER(M254))),"Completed / last reviewed is not a date",IF(AND(N254&lt;&gt;"",NOT(ISNUMBER(N254))),"Review due is not a date",IF(AND(ISNUMBER(N254),N254&lt;TODAY()),"Review date passed: re-review before citing by reference (Playbook §4.6)",IF(AND(G254="Accepted",ISNUMBER(M254),EDATE(M254,12)&lt;TODAY(),O254=""),"Over 12 months old: owner's still-holds review needed before citing by reference","Check against source"))))))))))</f>
        <v/>
      </c>
      <c r="M254" s="35" t="n"/>
      <c r="N254" s="35" t="n"/>
      <c r="O254" s="22" t="n"/>
    </row>
    <row r="255">
      <c r="A255" s="24" t="n"/>
      <c r="B255" s="24" t="n"/>
      <c r="C255" s="24" t="n"/>
      <c r="D255" s="24" t="n"/>
      <c r="E255" s="24" t="n"/>
      <c r="F255" s="24" t="n"/>
      <c r="G255" s="24" t="n"/>
      <c r="H255" s="24" t="n"/>
      <c r="I255" s="24" t="n"/>
      <c r="J255" s="24" t="n"/>
      <c r="K255" s="24" t="n"/>
      <c r="L255" s="24">
        <f>IF(COUNTA(A255:K255,M255:O255)=0,"",IF(A255="","Evidence ID missing",IF(COUNTIF($A$4:$A$353,A255)&gt;1,"Duplicate Evidence ID",IF(B255="","AIR-ID missing",IF(COUNTIF('AI Register'!$A$4:$A$206,B255)=0,"AIR-ID not in AI Register",IF(OR(C255="",H255=""),"Artefact or location missing",IF(AND(M255&lt;&gt;"",NOT(ISNUMBER(M255))),"Completed / last reviewed is not a date",IF(AND(N255&lt;&gt;"",NOT(ISNUMBER(N255))),"Review due is not a date",IF(AND(ISNUMBER(N255),N255&lt;TODAY()),"Review date passed: re-review before citing by reference (Playbook §4.6)",IF(AND(G255="Accepted",ISNUMBER(M255),EDATE(M255,12)&lt;TODAY(),O255=""),"Over 12 months old: owner's still-holds review needed before citing by reference","Check against source"))))))))))</f>
        <v/>
      </c>
      <c r="M255" s="36" t="n"/>
      <c r="N255" s="36" t="n"/>
      <c r="O255" s="24" t="n"/>
    </row>
    <row r="256">
      <c r="A256" s="22" t="n"/>
      <c r="B256" s="22" t="n"/>
      <c r="C256" s="22" t="n"/>
      <c r="D256" s="22" t="n"/>
      <c r="E256" s="22" t="n"/>
      <c r="F256" s="22" t="n"/>
      <c r="G256" s="22" t="n"/>
      <c r="H256" s="22" t="n"/>
      <c r="I256" s="22" t="n"/>
      <c r="J256" s="22" t="n"/>
      <c r="K256" s="22" t="n"/>
      <c r="L256" s="22">
        <f>IF(COUNTA(A256:K256,M256:O256)=0,"",IF(A256="","Evidence ID missing",IF(COUNTIF($A$4:$A$353,A256)&gt;1,"Duplicate Evidence ID",IF(B256="","AIR-ID missing",IF(COUNTIF('AI Register'!$A$4:$A$206,B256)=0,"AIR-ID not in AI Register",IF(OR(C256="",H256=""),"Artefact or location missing",IF(AND(M256&lt;&gt;"",NOT(ISNUMBER(M256))),"Completed / last reviewed is not a date",IF(AND(N256&lt;&gt;"",NOT(ISNUMBER(N256))),"Review due is not a date",IF(AND(ISNUMBER(N256),N256&lt;TODAY()),"Review date passed: re-review before citing by reference (Playbook §4.6)",IF(AND(G256="Accepted",ISNUMBER(M256),EDATE(M256,12)&lt;TODAY(),O256=""),"Over 12 months old: owner's still-holds review needed before citing by reference","Check against source"))))))))))</f>
        <v/>
      </c>
      <c r="M256" s="35" t="n"/>
      <c r="N256" s="35" t="n"/>
      <c r="O256" s="22" t="n"/>
    </row>
    <row r="257">
      <c r="A257" s="24" t="n"/>
      <c r="B257" s="24" t="n"/>
      <c r="C257" s="24" t="n"/>
      <c r="D257" s="24" t="n"/>
      <c r="E257" s="24" t="n"/>
      <c r="F257" s="24" t="n"/>
      <c r="G257" s="24" t="n"/>
      <c r="H257" s="24" t="n"/>
      <c r="I257" s="24" t="n"/>
      <c r="J257" s="24" t="n"/>
      <c r="K257" s="24" t="n"/>
      <c r="L257" s="24">
        <f>IF(COUNTA(A257:K257,M257:O257)=0,"",IF(A257="","Evidence ID missing",IF(COUNTIF($A$4:$A$353,A257)&gt;1,"Duplicate Evidence ID",IF(B257="","AIR-ID missing",IF(COUNTIF('AI Register'!$A$4:$A$206,B257)=0,"AIR-ID not in AI Register",IF(OR(C257="",H257=""),"Artefact or location missing",IF(AND(M257&lt;&gt;"",NOT(ISNUMBER(M257))),"Completed / last reviewed is not a date",IF(AND(N257&lt;&gt;"",NOT(ISNUMBER(N257))),"Review due is not a date",IF(AND(ISNUMBER(N257),N257&lt;TODAY()),"Review date passed: re-review before citing by reference (Playbook §4.6)",IF(AND(G257="Accepted",ISNUMBER(M257),EDATE(M257,12)&lt;TODAY(),O257=""),"Over 12 months old: owner's still-holds review needed before citing by reference","Check against source"))))))))))</f>
        <v/>
      </c>
      <c r="M257" s="36" t="n"/>
      <c r="N257" s="36" t="n"/>
      <c r="O257" s="24" t="n"/>
    </row>
    <row r="258">
      <c r="A258" s="22" t="n"/>
      <c r="B258" s="22" t="n"/>
      <c r="C258" s="22" t="n"/>
      <c r="D258" s="22" t="n"/>
      <c r="E258" s="22" t="n"/>
      <c r="F258" s="22" t="n"/>
      <c r="G258" s="22" t="n"/>
      <c r="H258" s="22" t="n"/>
      <c r="I258" s="22" t="n"/>
      <c r="J258" s="22" t="n"/>
      <c r="K258" s="22" t="n"/>
      <c r="L258" s="22">
        <f>IF(COUNTA(A258:K258,M258:O258)=0,"",IF(A258="","Evidence ID missing",IF(COUNTIF($A$4:$A$353,A258)&gt;1,"Duplicate Evidence ID",IF(B258="","AIR-ID missing",IF(COUNTIF('AI Register'!$A$4:$A$206,B258)=0,"AIR-ID not in AI Register",IF(OR(C258="",H258=""),"Artefact or location missing",IF(AND(M258&lt;&gt;"",NOT(ISNUMBER(M258))),"Completed / last reviewed is not a date",IF(AND(N258&lt;&gt;"",NOT(ISNUMBER(N258))),"Review due is not a date",IF(AND(ISNUMBER(N258),N258&lt;TODAY()),"Review date passed: re-review before citing by reference (Playbook §4.6)",IF(AND(G258="Accepted",ISNUMBER(M258),EDATE(M258,12)&lt;TODAY(),O258=""),"Over 12 months old: owner's still-holds review needed before citing by reference","Check against source"))))))))))</f>
        <v/>
      </c>
      <c r="M258" s="35" t="n"/>
      <c r="N258" s="35" t="n"/>
      <c r="O258" s="22" t="n"/>
    </row>
    <row r="259">
      <c r="A259" s="24" t="n"/>
      <c r="B259" s="24" t="n"/>
      <c r="C259" s="24" t="n"/>
      <c r="D259" s="24" t="n"/>
      <c r="E259" s="24" t="n"/>
      <c r="F259" s="24" t="n"/>
      <c r="G259" s="24" t="n"/>
      <c r="H259" s="24" t="n"/>
      <c r="I259" s="24" t="n"/>
      <c r="J259" s="24" t="n"/>
      <c r="K259" s="24" t="n"/>
      <c r="L259" s="24">
        <f>IF(COUNTA(A259:K259,M259:O259)=0,"",IF(A259="","Evidence ID missing",IF(COUNTIF($A$4:$A$353,A259)&gt;1,"Duplicate Evidence ID",IF(B259="","AIR-ID missing",IF(COUNTIF('AI Register'!$A$4:$A$206,B259)=0,"AIR-ID not in AI Register",IF(OR(C259="",H259=""),"Artefact or location missing",IF(AND(M259&lt;&gt;"",NOT(ISNUMBER(M259))),"Completed / last reviewed is not a date",IF(AND(N259&lt;&gt;"",NOT(ISNUMBER(N259))),"Review due is not a date",IF(AND(ISNUMBER(N259),N259&lt;TODAY()),"Review date passed: re-review before citing by reference (Playbook §4.6)",IF(AND(G259="Accepted",ISNUMBER(M259),EDATE(M259,12)&lt;TODAY(),O259=""),"Over 12 months old: owner's still-holds review needed before citing by reference","Check against source"))))))))))</f>
        <v/>
      </c>
      <c r="M259" s="36" t="n"/>
      <c r="N259" s="36" t="n"/>
      <c r="O259" s="24" t="n"/>
    </row>
    <row r="260">
      <c r="A260" s="22" t="n"/>
      <c r="B260" s="22" t="n"/>
      <c r="C260" s="22" t="n"/>
      <c r="D260" s="22" t="n"/>
      <c r="E260" s="22" t="n"/>
      <c r="F260" s="22" t="n"/>
      <c r="G260" s="22" t="n"/>
      <c r="H260" s="22" t="n"/>
      <c r="I260" s="22" t="n"/>
      <c r="J260" s="22" t="n"/>
      <c r="K260" s="22" t="n"/>
      <c r="L260" s="22">
        <f>IF(COUNTA(A260:K260,M260:O260)=0,"",IF(A260="","Evidence ID missing",IF(COUNTIF($A$4:$A$353,A260)&gt;1,"Duplicate Evidence ID",IF(B260="","AIR-ID missing",IF(COUNTIF('AI Register'!$A$4:$A$206,B260)=0,"AIR-ID not in AI Register",IF(OR(C260="",H260=""),"Artefact or location missing",IF(AND(M260&lt;&gt;"",NOT(ISNUMBER(M260))),"Completed / last reviewed is not a date",IF(AND(N260&lt;&gt;"",NOT(ISNUMBER(N260))),"Review due is not a date",IF(AND(ISNUMBER(N260),N260&lt;TODAY()),"Review date passed: re-review before citing by reference (Playbook §4.6)",IF(AND(G260="Accepted",ISNUMBER(M260),EDATE(M260,12)&lt;TODAY(),O260=""),"Over 12 months old: owner's still-holds review needed before citing by reference","Check against source"))))))))))</f>
        <v/>
      </c>
      <c r="M260" s="35" t="n"/>
      <c r="N260" s="35" t="n"/>
      <c r="O260" s="22" t="n"/>
    </row>
    <row r="261">
      <c r="A261" s="24" t="n"/>
      <c r="B261" s="24" t="n"/>
      <c r="C261" s="24" t="n"/>
      <c r="D261" s="24" t="n"/>
      <c r="E261" s="24" t="n"/>
      <c r="F261" s="24" t="n"/>
      <c r="G261" s="24" t="n"/>
      <c r="H261" s="24" t="n"/>
      <c r="I261" s="24" t="n"/>
      <c r="J261" s="24" t="n"/>
      <c r="K261" s="24" t="n"/>
      <c r="L261" s="24">
        <f>IF(COUNTA(A261:K261,M261:O261)=0,"",IF(A261="","Evidence ID missing",IF(COUNTIF($A$4:$A$353,A261)&gt;1,"Duplicate Evidence ID",IF(B261="","AIR-ID missing",IF(COUNTIF('AI Register'!$A$4:$A$206,B261)=0,"AIR-ID not in AI Register",IF(OR(C261="",H261=""),"Artefact or location missing",IF(AND(M261&lt;&gt;"",NOT(ISNUMBER(M261))),"Completed / last reviewed is not a date",IF(AND(N261&lt;&gt;"",NOT(ISNUMBER(N261))),"Review due is not a date",IF(AND(ISNUMBER(N261),N261&lt;TODAY()),"Review date passed: re-review before citing by reference (Playbook §4.6)",IF(AND(G261="Accepted",ISNUMBER(M261),EDATE(M261,12)&lt;TODAY(),O261=""),"Over 12 months old: owner's still-holds review needed before citing by reference","Check against source"))))))))))</f>
        <v/>
      </c>
      <c r="M261" s="36" t="n"/>
      <c r="N261" s="36" t="n"/>
      <c r="O261" s="24" t="n"/>
    </row>
    <row r="262">
      <c r="A262" s="22" t="n"/>
      <c r="B262" s="22" t="n"/>
      <c r="C262" s="22" t="n"/>
      <c r="D262" s="22" t="n"/>
      <c r="E262" s="22" t="n"/>
      <c r="F262" s="22" t="n"/>
      <c r="G262" s="22" t="n"/>
      <c r="H262" s="22" t="n"/>
      <c r="I262" s="22" t="n"/>
      <c r="J262" s="22" t="n"/>
      <c r="K262" s="22" t="n"/>
      <c r="L262" s="22">
        <f>IF(COUNTA(A262:K262,M262:O262)=0,"",IF(A262="","Evidence ID missing",IF(COUNTIF($A$4:$A$353,A262)&gt;1,"Duplicate Evidence ID",IF(B262="","AIR-ID missing",IF(COUNTIF('AI Register'!$A$4:$A$206,B262)=0,"AIR-ID not in AI Register",IF(OR(C262="",H262=""),"Artefact or location missing",IF(AND(M262&lt;&gt;"",NOT(ISNUMBER(M262))),"Completed / last reviewed is not a date",IF(AND(N262&lt;&gt;"",NOT(ISNUMBER(N262))),"Review due is not a date",IF(AND(ISNUMBER(N262),N262&lt;TODAY()),"Review date passed: re-review before citing by reference (Playbook §4.6)",IF(AND(G262="Accepted",ISNUMBER(M262),EDATE(M262,12)&lt;TODAY(),O262=""),"Over 12 months old: owner's still-holds review needed before citing by reference","Check against source"))))))))))</f>
        <v/>
      </c>
      <c r="M262" s="35" t="n"/>
      <c r="N262" s="35" t="n"/>
      <c r="O262" s="22" t="n"/>
    </row>
    <row r="263">
      <c r="A263" s="24" t="n"/>
      <c r="B263" s="24" t="n"/>
      <c r="C263" s="24" t="n"/>
      <c r="D263" s="24" t="n"/>
      <c r="E263" s="24" t="n"/>
      <c r="F263" s="24" t="n"/>
      <c r="G263" s="24" t="n"/>
      <c r="H263" s="24" t="n"/>
      <c r="I263" s="24" t="n"/>
      <c r="J263" s="24" t="n"/>
      <c r="K263" s="24" t="n"/>
      <c r="L263" s="24">
        <f>IF(COUNTA(A263:K263,M263:O263)=0,"",IF(A263="","Evidence ID missing",IF(COUNTIF($A$4:$A$353,A263)&gt;1,"Duplicate Evidence ID",IF(B263="","AIR-ID missing",IF(COUNTIF('AI Register'!$A$4:$A$206,B263)=0,"AIR-ID not in AI Register",IF(OR(C263="",H263=""),"Artefact or location missing",IF(AND(M263&lt;&gt;"",NOT(ISNUMBER(M263))),"Completed / last reviewed is not a date",IF(AND(N263&lt;&gt;"",NOT(ISNUMBER(N263))),"Review due is not a date",IF(AND(ISNUMBER(N263),N263&lt;TODAY()),"Review date passed: re-review before citing by reference (Playbook §4.6)",IF(AND(G263="Accepted",ISNUMBER(M263),EDATE(M263,12)&lt;TODAY(),O263=""),"Over 12 months old: owner's still-holds review needed before citing by reference","Check against source"))))))))))</f>
        <v/>
      </c>
      <c r="M263" s="36" t="n"/>
      <c r="N263" s="36" t="n"/>
      <c r="O263" s="24" t="n"/>
    </row>
    <row r="264">
      <c r="A264" s="22" t="n"/>
      <c r="B264" s="22" t="n"/>
      <c r="C264" s="22" t="n"/>
      <c r="D264" s="22" t="n"/>
      <c r="E264" s="22" t="n"/>
      <c r="F264" s="22" t="n"/>
      <c r="G264" s="22" t="n"/>
      <c r="H264" s="22" t="n"/>
      <c r="I264" s="22" t="n"/>
      <c r="J264" s="22" t="n"/>
      <c r="K264" s="22" t="n"/>
      <c r="L264" s="22">
        <f>IF(COUNTA(A264:K264,M264:O264)=0,"",IF(A264="","Evidence ID missing",IF(COUNTIF($A$4:$A$353,A264)&gt;1,"Duplicate Evidence ID",IF(B264="","AIR-ID missing",IF(COUNTIF('AI Register'!$A$4:$A$206,B264)=0,"AIR-ID not in AI Register",IF(OR(C264="",H264=""),"Artefact or location missing",IF(AND(M264&lt;&gt;"",NOT(ISNUMBER(M264))),"Completed / last reviewed is not a date",IF(AND(N264&lt;&gt;"",NOT(ISNUMBER(N264))),"Review due is not a date",IF(AND(ISNUMBER(N264),N264&lt;TODAY()),"Review date passed: re-review before citing by reference (Playbook §4.6)",IF(AND(G264="Accepted",ISNUMBER(M264),EDATE(M264,12)&lt;TODAY(),O264=""),"Over 12 months old: owner's still-holds review needed before citing by reference","Check against source"))))))))))</f>
        <v/>
      </c>
      <c r="M264" s="35" t="n"/>
      <c r="N264" s="35" t="n"/>
      <c r="O264" s="22" t="n"/>
    </row>
    <row r="265">
      <c r="A265" s="24" t="n"/>
      <c r="B265" s="24" t="n"/>
      <c r="C265" s="24" t="n"/>
      <c r="D265" s="24" t="n"/>
      <c r="E265" s="24" t="n"/>
      <c r="F265" s="24" t="n"/>
      <c r="G265" s="24" t="n"/>
      <c r="H265" s="24" t="n"/>
      <c r="I265" s="24" t="n"/>
      <c r="J265" s="24" t="n"/>
      <c r="K265" s="24" t="n"/>
      <c r="L265" s="24">
        <f>IF(COUNTA(A265:K265,M265:O265)=0,"",IF(A265="","Evidence ID missing",IF(COUNTIF($A$4:$A$353,A265)&gt;1,"Duplicate Evidence ID",IF(B265="","AIR-ID missing",IF(COUNTIF('AI Register'!$A$4:$A$206,B265)=0,"AIR-ID not in AI Register",IF(OR(C265="",H265=""),"Artefact or location missing",IF(AND(M265&lt;&gt;"",NOT(ISNUMBER(M265))),"Completed / last reviewed is not a date",IF(AND(N265&lt;&gt;"",NOT(ISNUMBER(N265))),"Review due is not a date",IF(AND(ISNUMBER(N265),N265&lt;TODAY()),"Review date passed: re-review before citing by reference (Playbook §4.6)",IF(AND(G265="Accepted",ISNUMBER(M265),EDATE(M265,12)&lt;TODAY(),O265=""),"Over 12 months old: owner's still-holds review needed before citing by reference","Check against source"))))))))))</f>
        <v/>
      </c>
      <c r="M265" s="36" t="n"/>
      <c r="N265" s="36" t="n"/>
      <c r="O265" s="24" t="n"/>
    </row>
    <row r="266">
      <c r="A266" s="22" t="n"/>
      <c r="B266" s="22" t="n"/>
      <c r="C266" s="22" t="n"/>
      <c r="D266" s="22" t="n"/>
      <c r="E266" s="22" t="n"/>
      <c r="F266" s="22" t="n"/>
      <c r="G266" s="22" t="n"/>
      <c r="H266" s="22" t="n"/>
      <c r="I266" s="22" t="n"/>
      <c r="J266" s="22" t="n"/>
      <c r="K266" s="22" t="n"/>
      <c r="L266" s="22">
        <f>IF(COUNTA(A266:K266,M266:O266)=0,"",IF(A266="","Evidence ID missing",IF(COUNTIF($A$4:$A$353,A266)&gt;1,"Duplicate Evidence ID",IF(B266="","AIR-ID missing",IF(COUNTIF('AI Register'!$A$4:$A$206,B266)=0,"AIR-ID not in AI Register",IF(OR(C266="",H266=""),"Artefact or location missing",IF(AND(M266&lt;&gt;"",NOT(ISNUMBER(M266))),"Completed / last reviewed is not a date",IF(AND(N266&lt;&gt;"",NOT(ISNUMBER(N266))),"Review due is not a date",IF(AND(ISNUMBER(N266),N266&lt;TODAY()),"Review date passed: re-review before citing by reference (Playbook §4.6)",IF(AND(G266="Accepted",ISNUMBER(M266),EDATE(M266,12)&lt;TODAY(),O266=""),"Over 12 months old: owner's still-holds review needed before citing by reference","Check against source"))))))))))</f>
        <v/>
      </c>
      <c r="M266" s="35" t="n"/>
      <c r="N266" s="35" t="n"/>
      <c r="O266" s="22" t="n"/>
    </row>
    <row r="267">
      <c r="A267" s="24" t="n"/>
      <c r="B267" s="24" t="n"/>
      <c r="C267" s="24" t="n"/>
      <c r="D267" s="24" t="n"/>
      <c r="E267" s="24" t="n"/>
      <c r="F267" s="24" t="n"/>
      <c r="G267" s="24" t="n"/>
      <c r="H267" s="24" t="n"/>
      <c r="I267" s="24" t="n"/>
      <c r="J267" s="24" t="n"/>
      <c r="K267" s="24" t="n"/>
      <c r="L267" s="24">
        <f>IF(COUNTA(A267:K267,M267:O267)=0,"",IF(A267="","Evidence ID missing",IF(COUNTIF($A$4:$A$353,A267)&gt;1,"Duplicate Evidence ID",IF(B267="","AIR-ID missing",IF(COUNTIF('AI Register'!$A$4:$A$206,B267)=0,"AIR-ID not in AI Register",IF(OR(C267="",H267=""),"Artefact or location missing",IF(AND(M267&lt;&gt;"",NOT(ISNUMBER(M267))),"Completed / last reviewed is not a date",IF(AND(N267&lt;&gt;"",NOT(ISNUMBER(N267))),"Review due is not a date",IF(AND(ISNUMBER(N267),N267&lt;TODAY()),"Review date passed: re-review before citing by reference (Playbook §4.6)",IF(AND(G267="Accepted",ISNUMBER(M267),EDATE(M267,12)&lt;TODAY(),O267=""),"Over 12 months old: owner's still-holds review needed before citing by reference","Check against source"))))))))))</f>
        <v/>
      </c>
      <c r="M267" s="36" t="n"/>
      <c r="N267" s="36" t="n"/>
      <c r="O267" s="24" t="n"/>
    </row>
    <row r="268">
      <c r="A268" s="22" t="n"/>
      <c r="B268" s="22" t="n"/>
      <c r="C268" s="22" t="n"/>
      <c r="D268" s="22" t="n"/>
      <c r="E268" s="22" t="n"/>
      <c r="F268" s="22" t="n"/>
      <c r="G268" s="22" t="n"/>
      <c r="H268" s="22" t="n"/>
      <c r="I268" s="22" t="n"/>
      <c r="J268" s="22" t="n"/>
      <c r="K268" s="22" t="n"/>
      <c r="L268" s="22">
        <f>IF(COUNTA(A268:K268,M268:O268)=0,"",IF(A268="","Evidence ID missing",IF(COUNTIF($A$4:$A$353,A268)&gt;1,"Duplicate Evidence ID",IF(B268="","AIR-ID missing",IF(COUNTIF('AI Register'!$A$4:$A$206,B268)=0,"AIR-ID not in AI Register",IF(OR(C268="",H268=""),"Artefact or location missing",IF(AND(M268&lt;&gt;"",NOT(ISNUMBER(M268))),"Completed / last reviewed is not a date",IF(AND(N268&lt;&gt;"",NOT(ISNUMBER(N268))),"Review due is not a date",IF(AND(ISNUMBER(N268),N268&lt;TODAY()),"Review date passed: re-review before citing by reference (Playbook §4.6)",IF(AND(G268="Accepted",ISNUMBER(M268),EDATE(M268,12)&lt;TODAY(),O268=""),"Over 12 months old: owner's still-holds review needed before citing by reference","Check against source"))))))))))</f>
        <v/>
      </c>
      <c r="M268" s="35" t="n"/>
      <c r="N268" s="35" t="n"/>
      <c r="O268" s="22" t="n"/>
    </row>
    <row r="269">
      <c r="A269" s="24" t="n"/>
      <c r="B269" s="24" t="n"/>
      <c r="C269" s="24" t="n"/>
      <c r="D269" s="24" t="n"/>
      <c r="E269" s="24" t="n"/>
      <c r="F269" s="24" t="n"/>
      <c r="G269" s="24" t="n"/>
      <c r="H269" s="24" t="n"/>
      <c r="I269" s="24" t="n"/>
      <c r="J269" s="24" t="n"/>
      <c r="K269" s="24" t="n"/>
      <c r="L269" s="24">
        <f>IF(COUNTA(A269:K269,M269:O269)=0,"",IF(A269="","Evidence ID missing",IF(COUNTIF($A$4:$A$353,A269)&gt;1,"Duplicate Evidence ID",IF(B269="","AIR-ID missing",IF(COUNTIF('AI Register'!$A$4:$A$206,B269)=0,"AIR-ID not in AI Register",IF(OR(C269="",H269=""),"Artefact or location missing",IF(AND(M269&lt;&gt;"",NOT(ISNUMBER(M269))),"Completed / last reviewed is not a date",IF(AND(N269&lt;&gt;"",NOT(ISNUMBER(N269))),"Review due is not a date",IF(AND(ISNUMBER(N269),N269&lt;TODAY()),"Review date passed: re-review before citing by reference (Playbook §4.6)",IF(AND(G269="Accepted",ISNUMBER(M269),EDATE(M269,12)&lt;TODAY(),O269=""),"Over 12 months old: owner's still-holds review needed before citing by reference","Check against source"))))))))))</f>
        <v/>
      </c>
      <c r="M269" s="36" t="n"/>
      <c r="N269" s="36" t="n"/>
      <c r="O269" s="24" t="n"/>
    </row>
    <row r="270">
      <c r="A270" s="22" t="n"/>
      <c r="B270" s="22" t="n"/>
      <c r="C270" s="22" t="n"/>
      <c r="D270" s="22" t="n"/>
      <c r="E270" s="22" t="n"/>
      <c r="F270" s="22" t="n"/>
      <c r="G270" s="22" t="n"/>
      <c r="H270" s="22" t="n"/>
      <c r="I270" s="22" t="n"/>
      <c r="J270" s="22" t="n"/>
      <c r="K270" s="22" t="n"/>
      <c r="L270" s="22">
        <f>IF(COUNTA(A270:K270,M270:O270)=0,"",IF(A270="","Evidence ID missing",IF(COUNTIF($A$4:$A$353,A270)&gt;1,"Duplicate Evidence ID",IF(B270="","AIR-ID missing",IF(COUNTIF('AI Register'!$A$4:$A$206,B270)=0,"AIR-ID not in AI Register",IF(OR(C270="",H270=""),"Artefact or location missing",IF(AND(M270&lt;&gt;"",NOT(ISNUMBER(M270))),"Completed / last reviewed is not a date",IF(AND(N270&lt;&gt;"",NOT(ISNUMBER(N270))),"Review due is not a date",IF(AND(ISNUMBER(N270),N270&lt;TODAY()),"Review date passed: re-review before citing by reference (Playbook §4.6)",IF(AND(G270="Accepted",ISNUMBER(M270),EDATE(M270,12)&lt;TODAY(),O270=""),"Over 12 months old: owner's still-holds review needed before citing by reference","Check against source"))))))))))</f>
        <v/>
      </c>
      <c r="M270" s="35" t="n"/>
      <c r="N270" s="35" t="n"/>
      <c r="O270" s="22" t="n"/>
    </row>
    <row r="271">
      <c r="A271" s="24" t="n"/>
      <c r="B271" s="24" t="n"/>
      <c r="C271" s="24" t="n"/>
      <c r="D271" s="24" t="n"/>
      <c r="E271" s="24" t="n"/>
      <c r="F271" s="24" t="n"/>
      <c r="G271" s="24" t="n"/>
      <c r="H271" s="24" t="n"/>
      <c r="I271" s="24" t="n"/>
      <c r="J271" s="24" t="n"/>
      <c r="K271" s="24" t="n"/>
      <c r="L271" s="24">
        <f>IF(COUNTA(A271:K271,M271:O271)=0,"",IF(A271="","Evidence ID missing",IF(COUNTIF($A$4:$A$353,A271)&gt;1,"Duplicate Evidence ID",IF(B271="","AIR-ID missing",IF(COUNTIF('AI Register'!$A$4:$A$206,B271)=0,"AIR-ID not in AI Register",IF(OR(C271="",H271=""),"Artefact or location missing",IF(AND(M271&lt;&gt;"",NOT(ISNUMBER(M271))),"Completed / last reviewed is not a date",IF(AND(N271&lt;&gt;"",NOT(ISNUMBER(N271))),"Review due is not a date",IF(AND(ISNUMBER(N271),N271&lt;TODAY()),"Review date passed: re-review before citing by reference (Playbook §4.6)",IF(AND(G271="Accepted",ISNUMBER(M271),EDATE(M271,12)&lt;TODAY(),O271=""),"Over 12 months old: owner's still-holds review needed before citing by reference","Check against source"))))))))))</f>
        <v/>
      </c>
      <c r="M271" s="36" t="n"/>
      <c r="N271" s="36" t="n"/>
      <c r="O271" s="24" t="n"/>
    </row>
    <row r="272">
      <c r="A272" s="22" t="n"/>
      <c r="B272" s="22" t="n"/>
      <c r="C272" s="22" t="n"/>
      <c r="D272" s="22" t="n"/>
      <c r="E272" s="22" t="n"/>
      <c r="F272" s="22" t="n"/>
      <c r="G272" s="22" t="n"/>
      <c r="H272" s="22" t="n"/>
      <c r="I272" s="22" t="n"/>
      <c r="J272" s="22" t="n"/>
      <c r="K272" s="22" t="n"/>
      <c r="L272" s="22">
        <f>IF(COUNTA(A272:K272,M272:O272)=0,"",IF(A272="","Evidence ID missing",IF(COUNTIF($A$4:$A$353,A272)&gt;1,"Duplicate Evidence ID",IF(B272="","AIR-ID missing",IF(COUNTIF('AI Register'!$A$4:$A$206,B272)=0,"AIR-ID not in AI Register",IF(OR(C272="",H272=""),"Artefact or location missing",IF(AND(M272&lt;&gt;"",NOT(ISNUMBER(M272))),"Completed / last reviewed is not a date",IF(AND(N272&lt;&gt;"",NOT(ISNUMBER(N272))),"Review due is not a date",IF(AND(ISNUMBER(N272),N272&lt;TODAY()),"Review date passed: re-review before citing by reference (Playbook §4.6)",IF(AND(G272="Accepted",ISNUMBER(M272),EDATE(M272,12)&lt;TODAY(),O272=""),"Over 12 months old: owner's still-holds review needed before citing by reference","Check against source"))))))))))</f>
        <v/>
      </c>
      <c r="M272" s="35" t="n"/>
      <c r="N272" s="35" t="n"/>
      <c r="O272" s="22" t="n"/>
    </row>
    <row r="273">
      <c r="A273" s="24" t="n"/>
      <c r="B273" s="24" t="n"/>
      <c r="C273" s="24" t="n"/>
      <c r="D273" s="24" t="n"/>
      <c r="E273" s="24" t="n"/>
      <c r="F273" s="24" t="n"/>
      <c r="G273" s="24" t="n"/>
      <c r="H273" s="24" t="n"/>
      <c r="I273" s="24" t="n"/>
      <c r="J273" s="24" t="n"/>
      <c r="K273" s="24" t="n"/>
      <c r="L273" s="24">
        <f>IF(COUNTA(A273:K273,M273:O273)=0,"",IF(A273="","Evidence ID missing",IF(COUNTIF($A$4:$A$353,A273)&gt;1,"Duplicate Evidence ID",IF(B273="","AIR-ID missing",IF(COUNTIF('AI Register'!$A$4:$A$206,B273)=0,"AIR-ID not in AI Register",IF(OR(C273="",H273=""),"Artefact or location missing",IF(AND(M273&lt;&gt;"",NOT(ISNUMBER(M273))),"Completed / last reviewed is not a date",IF(AND(N273&lt;&gt;"",NOT(ISNUMBER(N273))),"Review due is not a date",IF(AND(ISNUMBER(N273),N273&lt;TODAY()),"Review date passed: re-review before citing by reference (Playbook §4.6)",IF(AND(G273="Accepted",ISNUMBER(M273),EDATE(M273,12)&lt;TODAY(),O273=""),"Over 12 months old: owner's still-holds review needed before citing by reference","Check against source"))))))))))</f>
        <v/>
      </c>
      <c r="M273" s="36" t="n"/>
      <c r="N273" s="36" t="n"/>
      <c r="O273" s="24" t="n"/>
    </row>
    <row r="274">
      <c r="A274" s="22" t="n"/>
      <c r="B274" s="22" t="n"/>
      <c r="C274" s="22" t="n"/>
      <c r="D274" s="22" t="n"/>
      <c r="E274" s="22" t="n"/>
      <c r="F274" s="22" t="n"/>
      <c r="G274" s="22" t="n"/>
      <c r="H274" s="22" t="n"/>
      <c r="I274" s="22" t="n"/>
      <c r="J274" s="22" t="n"/>
      <c r="K274" s="22" t="n"/>
      <c r="L274" s="22">
        <f>IF(COUNTA(A274:K274,M274:O274)=0,"",IF(A274="","Evidence ID missing",IF(COUNTIF($A$4:$A$353,A274)&gt;1,"Duplicate Evidence ID",IF(B274="","AIR-ID missing",IF(COUNTIF('AI Register'!$A$4:$A$206,B274)=0,"AIR-ID not in AI Register",IF(OR(C274="",H274=""),"Artefact or location missing",IF(AND(M274&lt;&gt;"",NOT(ISNUMBER(M274))),"Completed / last reviewed is not a date",IF(AND(N274&lt;&gt;"",NOT(ISNUMBER(N274))),"Review due is not a date",IF(AND(ISNUMBER(N274),N274&lt;TODAY()),"Review date passed: re-review before citing by reference (Playbook §4.6)",IF(AND(G274="Accepted",ISNUMBER(M274),EDATE(M274,12)&lt;TODAY(),O274=""),"Over 12 months old: owner's still-holds review needed before citing by reference","Check against source"))))))))))</f>
        <v/>
      </c>
      <c r="M274" s="35" t="n"/>
      <c r="N274" s="35" t="n"/>
      <c r="O274" s="22" t="n"/>
    </row>
    <row r="275">
      <c r="A275" s="24" t="n"/>
      <c r="B275" s="24" t="n"/>
      <c r="C275" s="24" t="n"/>
      <c r="D275" s="24" t="n"/>
      <c r="E275" s="24" t="n"/>
      <c r="F275" s="24" t="n"/>
      <c r="G275" s="24" t="n"/>
      <c r="H275" s="24" t="n"/>
      <c r="I275" s="24" t="n"/>
      <c r="J275" s="24" t="n"/>
      <c r="K275" s="24" t="n"/>
      <c r="L275" s="24">
        <f>IF(COUNTA(A275:K275,M275:O275)=0,"",IF(A275="","Evidence ID missing",IF(COUNTIF($A$4:$A$353,A275)&gt;1,"Duplicate Evidence ID",IF(B275="","AIR-ID missing",IF(COUNTIF('AI Register'!$A$4:$A$206,B275)=0,"AIR-ID not in AI Register",IF(OR(C275="",H275=""),"Artefact or location missing",IF(AND(M275&lt;&gt;"",NOT(ISNUMBER(M275))),"Completed / last reviewed is not a date",IF(AND(N275&lt;&gt;"",NOT(ISNUMBER(N275))),"Review due is not a date",IF(AND(ISNUMBER(N275),N275&lt;TODAY()),"Review date passed: re-review before citing by reference (Playbook §4.6)",IF(AND(G275="Accepted",ISNUMBER(M275),EDATE(M275,12)&lt;TODAY(),O275=""),"Over 12 months old: owner's still-holds review needed before citing by reference","Check against source"))))))))))</f>
        <v/>
      </c>
      <c r="M275" s="36" t="n"/>
      <c r="N275" s="36" t="n"/>
      <c r="O275" s="24" t="n"/>
    </row>
    <row r="276">
      <c r="A276" s="22" t="n"/>
      <c r="B276" s="22" t="n"/>
      <c r="C276" s="22" t="n"/>
      <c r="D276" s="22" t="n"/>
      <c r="E276" s="22" t="n"/>
      <c r="F276" s="22" t="n"/>
      <c r="G276" s="22" t="n"/>
      <c r="H276" s="22" t="n"/>
      <c r="I276" s="22" t="n"/>
      <c r="J276" s="22" t="n"/>
      <c r="K276" s="22" t="n"/>
      <c r="L276" s="22">
        <f>IF(COUNTA(A276:K276,M276:O276)=0,"",IF(A276="","Evidence ID missing",IF(COUNTIF($A$4:$A$353,A276)&gt;1,"Duplicate Evidence ID",IF(B276="","AIR-ID missing",IF(COUNTIF('AI Register'!$A$4:$A$206,B276)=0,"AIR-ID not in AI Register",IF(OR(C276="",H276=""),"Artefact or location missing",IF(AND(M276&lt;&gt;"",NOT(ISNUMBER(M276))),"Completed / last reviewed is not a date",IF(AND(N276&lt;&gt;"",NOT(ISNUMBER(N276))),"Review due is not a date",IF(AND(ISNUMBER(N276),N276&lt;TODAY()),"Review date passed: re-review before citing by reference (Playbook §4.6)",IF(AND(G276="Accepted",ISNUMBER(M276),EDATE(M276,12)&lt;TODAY(),O276=""),"Over 12 months old: owner's still-holds review needed before citing by reference","Check against source"))))))))))</f>
        <v/>
      </c>
      <c r="M276" s="35" t="n"/>
      <c r="N276" s="35" t="n"/>
      <c r="O276" s="22" t="n"/>
    </row>
    <row r="277">
      <c r="A277" s="24" t="n"/>
      <c r="B277" s="24" t="n"/>
      <c r="C277" s="24" t="n"/>
      <c r="D277" s="24" t="n"/>
      <c r="E277" s="24" t="n"/>
      <c r="F277" s="24" t="n"/>
      <c r="G277" s="24" t="n"/>
      <c r="H277" s="24" t="n"/>
      <c r="I277" s="24" t="n"/>
      <c r="J277" s="24" t="n"/>
      <c r="K277" s="24" t="n"/>
      <c r="L277" s="24">
        <f>IF(COUNTA(A277:K277,M277:O277)=0,"",IF(A277="","Evidence ID missing",IF(COUNTIF($A$4:$A$353,A277)&gt;1,"Duplicate Evidence ID",IF(B277="","AIR-ID missing",IF(COUNTIF('AI Register'!$A$4:$A$206,B277)=0,"AIR-ID not in AI Register",IF(OR(C277="",H277=""),"Artefact or location missing",IF(AND(M277&lt;&gt;"",NOT(ISNUMBER(M277))),"Completed / last reviewed is not a date",IF(AND(N277&lt;&gt;"",NOT(ISNUMBER(N277))),"Review due is not a date",IF(AND(ISNUMBER(N277),N277&lt;TODAY()),"Review date passed: re-review before citing by reference (Playbook §4.6)",IF(AND(G277="Accepted",ISNUMBER(M277),EDATE(M277,12)&lt;TODAY(),O277=""),"Over 12 months old: owner's still-holds review needed before citing by reference","Check against source"))))))))))</f>
        <v/>
      </c>
      <c r="M277" s="36" t="n"/>
      <c r="N277" s="36" t="n"/>
      <c r="O277" s="24" t="n"/>
    </row>
    <row r="278">
      <c r="A278" s="22" t="n"/>
      <c r="B278" s="22" t="n"/>
      <c r="C278" s="22" t="n"/>
      <c r="D278" s="22" t="n"/>
      <c r="E278" s="22" t="n"/>
      <c r="F278" s="22" t="n"/>
      <c r="G278" s="22" t="n"/>
      <c r="H278" s="22" t="n"/>
      <c r="I278" s="22" t="n"/>
      <c r="J278" s="22" t="n"/>
      <c r="K278" s="22" t="n"/>
      <c r="L278" s="22">
        <f>IF(COUNTA(A278:K278,M278:O278)=0,"",IF(A278="","Evidence ID missing",IF(COUNTIF($A$4:$A$353,A278)&gt;1,"Duplicate Evidence ID",IF(B278="","AIR-ID missing",IF(COUNTIF('AI Register'!$A$4:$A$206,B278)=0,"AIR-ID not in AI Register",IF(OR(C278="",H278=""),"Artefact or location missing",IF(AND(M278&lt;&gt;"",NOT(ISNUMBER(M278))),"Completed / last reviewed is not a date",IF(AND(N278&lt;&gt;"",NOT(ISNUMBER(N278))),"Review due is not a date",IF(AND(ISNUMBER(N278),N278&lt;TODAY()),"Review date passed: re-review before citing by reference (Playbook §4.6)",IF(AND(G278="Accepted",ISNUMBER(M278),EDATE(M278,12)&lt;TODAY(),O278=""),"Over 12 months old: owner's still-holds review needed before citing by reference","Check against source"))))))))))</f>
        <v/>
      </c>
      <c r="M278" s="35" t="n"/>
      <c r="N278" s="35" t="n"/>
      <c r="O278" s="22" t="n"/>
    </row>
    <row r="279">
      <c r="A279" s="24" t="n"/>
      <c r="B279" s="24" t="n"/>
      <c r="C279" s="24" t="n"/>
      <c r="D279" s="24" t="n"/>
      <c r="E279" s="24" t="n"/>
      <c r="F279" s="24" t="n"/>
      <c r="G279" s="24" t="n"/>
      <c r="H279" s="24" t="n"/>
      <c r="I279" s="24" t="n"/>
      <c r="J279" s="24" t="n"/>
      <c r="K279" s="24" t="n"/>
      <c r="L279" s="24">
        <f>IF(COUNTA(A279:K279,M279:O279)=0,"",IF(A279="","Evidence ID missing",IF(COUNTIF($A$4:$A$353,A279)&gt;1,"Duplicate Evidence ID",IF(B279="","AIR-ID missing",IF(COUNTIF('AI Register'!$A$4:$A$206,B279)=0,"AIR-ID not in AI Register",IF(OR(C279="",H279=""),"Artefact or location missing",IF(AND(M279&lt;&gt;"",NOT(ISNUMBER(M279))),"Completed / last reviewed is not a date",IF(AND(N279&lt;&gt;"",NOT(ISNUMBER(N279))),"Review due is not a date",IF(AND(ISNUMBER(N279),N279&lt;TODAY()),"Review date passed: re-review before citing by reference (Playbook §4.6)",IF(AND(G279="Accepted",ISNUMBER(M279),EDATE(M279,12)&lt;TODAY(),O279=""),"Over 12 months old: owner's still-holds review needed before citing by reference","Check against source"))))))))))</f>
        <v/>
      </c>
      <c r="M279" s="36" t="n"/>
      <c r="N279" s="36" t="n"/>
      <c r="O279" s="24" t="n"/>
    </row>
    <row r="280">
      <c r="A280" s="22" t="n"/>
      <c r="B280" s="22" t="n"/>
      <c r="C280" s="22" t="n"/>
      <c r="D280" s="22" t="n"/>
      <c r="E280" s="22" t="n"/>
      <c r="F280" s="22" t="n"/>
      <c r="G280" s="22" t="n"/>
      <c r="H280" s="22" t="n"/>
      <c r="I280" s="22" t="n"/>
      <c r="J280" s="22" t="n"/>
      <c r="K280" s="22" t="n"/>
      <c r="L280" s="22">
        <f>IF(COUNTA(A280:K280,M280:O280)=0,"",IF(A280="","Evidence ID missing",IF(COUNTIF($A$4:$A$353,A280)&gt;1,"Duplicate Evidence ID",IF(B280="","AIR-ID missing",IF(COUNTIF('AI Register'!$A$4:$A$206,B280)=0,"AIR-ID not in AI Register",IF(OR(C280="",H280=""),"Artefact or location missing",IF(AND(M280&lt;&gt;"",NOT(ISNUMBER(M280))),"Completed / last reviewed is not a date",IF(AND(N280&lt;&gt;"",NOT(ISNUMBER(N280))),"Review due is not a date",IF(AND(ISNUMBER(N280),N280&lt;TODAY()),"Review date passed: re-review before citing by reference (Playbook §4.6)",IF(AND(G280="Accepted",ISNUMBER(M280),EDATE(M280,12)&lt;TODAY(),O280=""),"Over 12 months old: owner's still-holds review needed before citing by reference","Check against source"))))))))))</f>
        <v/>
      </c>
      <c r="M280" s="35" t="n"/>
      <c r="N280" s="35" t="n"/>
      <c r="O280" s="22" t="n"/>
    </row>
    <row r="281">
      <c r="A281" s="24" t="n"/>
      <c r="B281" s="24" t="n"/>
      <c r="C281" s="24" t="n"/>
      <c r="D281" s="24" t="n"/>
      <c r="E281" s="24" t="n"/>
      <c r="F281" s="24" t="n"/>
      <c r="G281" s="24" t="n"/>
      <c r="H281" s="24" t="n"/>
      <c r="I281" s="24" t="n"/>
      <c r="J281" s="24" t="n"/>
      <c r="K281" s="24" t="n"/>
      <c r="L281" s="24">
        <f>IF(COUNTA(A281:K281,M281:O281)=0,"",IF(A281="","Evidence ID missing",IF(COUNTIF($A$4:$A$353,A281)&gt;1,"Duplicate Evidence ID",IF(B281="","AIR-ID missing",IF(COUNTIF('AI Register'!$A$4:$A$206,B281)=0,"AIR-ID not in AI Register",IF(OR(C281="",H281=""),"Artefact or location missing",IF(AND(M281&lt;&gt;"",NOT(ISNUMBER(M281))),"Completed / last reviewed is not a date",IF(AND(N281&lt;&gt;"",NOT(ISNUMBER(N281))),"Review due is not a date",IF(AND(ISNUMBER(N281),N281&lt;TODAY()),"Review date passed: re-review before citing by reference (Playbook §4.6)",IF(AND(G281="Accepted",ISNUMBER(M281),EDATE(M281,12)&lt;TODAY(),O281=""),"Over 12 months old: owner's still-holds review needed before citing by reference","Check against source"))))))))))</f>
        <v/>
      </c>
      <c r="M281" s="36" t="n"/>
      <c r="N281" s="36" t="n"/>
      <c r="O281" s="24" t="n"/>
    </row>
    <row r="282">
      <c r="A282" s="22" t="n"/>
      <c r="B282" s="22" t="n"/>
      <c r="C282" s="22" t="n"/>
      <c r="D282" s="22" t="n"/>
      <c r="E282" s="22" t="n"/>
      <c r="F282" s="22" t="n"/>
      <c r="G282" s="22" t="n"/>
      <c r="H282" s="22" t="n"/>
      <c r="I282" s="22" t="n"/>
      <c r="J282" s="22" t="n"/>
      <c r="K282" s="22" t="n"/>
      <c r="L282" s="22">
        <f>IF(COUNTA(A282:K282,M282:O282)=0,"",IF(A282="","Evidence ID missing",IF(COUNTIF($A$4:$A$353,A282)&gt;1,"Duplicate Evidence ID",IF(B282="","AIR-ID missing",IF(COUNTIF('AI Register'!$A$4:$A$206,B282)=0,"AIR-ID not in AI Register",IF(OR(C282="",H282=""),"Artefact or location missing",IF(AND(M282&lt;&gt;"",NOT(ISNUMBER(M282))),"Completed / last reviewed is not a date",IF(AND(N282&lt;&gt;"",NOT(ISNUMBER(N282))),"Review due is not a date",IF(AND(ISNUMBER(N282),N282&lt;TODAY()),"Review date passed: re-review before citing by reference (Playbook §4.6)",IF(AND(G282="Accepted",ISNUMBER(M282),EDATE(M282,12)&lt;TODAY(),O282=""),"Over 12 months old: owner's still-holds review needed before citing by reference","Check against source"))))))))))</f>
        <v/>
      </c>
      <c r="M282" s="35" t="n"/>
      <c r="N282" s="35" t="n"/>
      <c r="O282" s="22" t="n"/>
    </row>
    <row r="283">
      <c r="A283" s="24" t="n"/>
      <c r="B283" s="24" t="n"/>
      <c r="C283" s="24" t="n"/>
      <c r="D283" s="24" t="n"/>
      <c r="E283" s="24" t="n"/>
      <c r="F283" s="24" t="n"/>
      <c r="G283" s="24" t="n"/>
      <c r="H283" s="24" t="n"/>
      <c r="I283" s="24" t="n"/>
      <c r="J283" s="24" t="n"/>
      <c r="K283" s="24" t="n"/>
      <c r="L283" s="24">
        <f>IF(COUNTA(A283:K283,M283:O283)=0,"",IF(A283="","Evidence ID missing",IF(COUNTIF($A$4:$A$353,A283)&gt;1,"Duplicate Evidence ID",IF(B283="","AIR-ID missing",IF(COUNTIF('AI Register'!$A$4:$A$206,B283)=0,"AIR-ID not in AI Register",IF(OR(C283="",H283=""),"Artefact or location missing",IF(AND(M283&lt;&gt;"",NOT(ISNUMBER(M283))),"Completed / last reviewed is not a date",IF(AND(N283&lt;&gt;"",NOT(ISNUMBER(N283))),"Review due is not a date",IF(AND(ISNUMBER(N283),N283&lt;TODAY()),"Review date passed: re-review before citing by reference (Playbook §4.6)",IF(AND(G283="Accepted",ISNUMBER(M283),EDATE(M283,12)&lt;TODAY(),O283=""),"Over 12 months old: owner's still-holds review needed before citing by reference","Check against source"))))))))))</f>
        <v/>
      </c>
      <c r="M283" s="36" t="n"/>
      <c r="N283" s="36" t="n"/>
      <c r="O283" s="24" t="n"/>
    </row>
    <row r="284">
      <c r="A284" s="22" t="n"/>
      <c r="B284" s="22" t="n"/>
      <c r="C284" s="22" t="n"/>
      <c r="D284" s="22" t="n"/>
      <c r="E284" s="22" t="n"/>
      <c r="F284" s="22" t="n"/>
      <c r="G284" s="22" t="n"/>
      <c r="H284" s="22" t="n"/>
      <c r="I284" s="22" t="n"/>
      <c r="J284" s="22" t="n"/>
      <c r="K284" s="22" t="n"/>
      <c r="L284" s="22">
        <f>IF(COUNTA(A284:K284,M284:O284)=0,"",IF(A284="","Evidence ID missing",IF(COUNTIF($A$4:$A$353,A284)&gt;1,"Duplicate Evidence ID",IF(B284="","AIR-ID missing",IF(COUNTIF('AI Register'!$A$4:$A$206,B284)=0,"AIR-ID not in AI Register",IF(OR(C284="",H284=""),"Artefact or location missing",IF(AND(M284&lt;&gt;"",NOT(ISNUMBER(M284))),"Completed / last reviewed is not a date",IF(AND(N284&lt;&gt;"",NOT(ISNUMBER(N284))),"Review due is not a date",IF(AND(ISNUMBER(N284),N284&lt;TODAY()),"Review date passed: re-review before citing by reference (Playbook §4.6)",IF(AND(G284="Accepted",ISNUMBER(M284),EDATE(M284,12)&lt;TODAY(),O284=""),"Over 12 months old: owner's still-holds review needed before citing by reference","Check against source"))))))))))</f>
        <v/>
      </c>
      <c r="M284" s="35" t="n"/>
      <c r="N284" s="35" t="n"/>
      <c r="O284" s="22" t="n"/>
    </row>
    <row r="285">
      <c r="A285" s="24" t="n"/>
      <c r="B285" s="24" t="n"/>
      <c r="C285" s="24" t="n"/>
      <c r="D285" s="24" t="n"/>
      <c r="E285" s="24" t="n"/>
      <c r="F285" s="24" t="n"/>
      <c r="G285" s="24" t="n"/>
      <c r="H285" s="24" t="n"/>
      <c r="I285" s="24" t="n"/>
      <c r="J285" s="24" t="n"/>
      <c r="K285" s="24" t="n"/>
      <c r="L285" s="24">
        <f>IF(COUNTA(A285:K285,M285:O285)=0,"",IF(A285="","Evidence ID missing",IF(COUNTIF($A$4:$A$353,A285)&gt;1,"Duplicate Evidence ID",IF(B285="","AIR-ID missing",IF(COUNTIF('AI Register'!$A$4:$A$206,B285)=0,"AIR-ID not in AI Register",IF(OR(C285="",H285=""),"Artefact or location missing",IF(AND(M285&lt;&gt;"",NOT(ISNUMBER(M285))),"Completed / last reviewed is not a date",IF(AND(N285&lt;&gt;"",NOT(ISNUMBER(N285))),"Review due is not a date",IF(AND(ISNUMBER(N285),N285&lt;TODAY()),"Review date passed: re-review before citing by reference (Playbook §4.6)",IF(AND(G285="Accepted",ISNUMBER(M285),EDATE(M285,12)&lt;TODAY(),O285=""),"Over 12 months old: owner's still-holds review needed before citing by reference","Check against source"))))))))))</f>
        <v/>
      </c>
      <c r="M285" s="36" t="n"/>
      <c r="N285" s="36" t="n"/>
      <c r="O285" s="24" t="n"/>
    </row>
    <row r="286">
      <c r="A286" s="22" t="n"/>
      <c r="B286" s="22" t="n"/>
      <c r="C286" s="22" t="n"/>
      <c r="D286" s="22" t="n"/>
      <c r="E286" s="22" t="n"/>
      <c r="F286" s="22" t="n"/>
      <c r="G286" s="22" t="n"/>
      <c r="H286" s="22" t="n"/>
      <c r="I286" s="22" t="n"/>
      <c r="J286" s="22" t="n"/>
      <c r="K286" s="22" t="n"/>
      <c r="L286" s="22">
        <f>IF(COUNTA(A286:K286,M286:O286)=0,"",IF(A286="","Evidence ID missing",IF(COUNTIF($A$4:$A$353,A286)&gt;1,"Duplicate Evidence ID",IF(B286="","AIR-ID missing",IF(COUNTIF('AI Register'!$A$4:$A$206,B286)=0,"AIR-ID not in AI Register",IF(OR(C286="",H286=""),"Artefact or location missing",IF(AND(M286&lt;&gt;"",NOT(ISNUMBER(M286))),"Completed / last reviewed is not a date",IF(AND(N286&lt;&gt;"",NOT(ISNUMBER(N286))),"Review due is not a date",IF(AND(ISNUMBER(N286),N286&lt;TODAY()),"Review date passed: re-review before citing by reference (Playbook §4.6)",IF(AND(G286="Accepted",ISNUMBER(M286),EDATE(M286,12)&lt;TODAY(),O286=""),"Over 12 months old: owner's still-holds review needed before citing by reference","Check against source"))))))))))</f>
        <v/>
      </c>
      <c r="M286" s="35" t="n"/>
      <c r="N286" s="35" t="n"/>
      <c r="O286" s="22" t="n"/>
    </row>
    <row r="287">
      <c r="A287" s="24" t="n"/>
      <c r="B287" s="24" t="n"/>
      <c r="C287" s="24" t="n"/>
      <c r="D287" s="24" t="n"/>
      <c r="E287" s="24" t="n"/>
      <c r="F287" s="24" t="n"/>
      <c r="G287" s="24" t="n"/>
      <c r="H287" s="24" t="n"/>
      <c r="I287" s="24" t="n"/>
      <c r="J287" s="24" t="n"/>
      <c r="K287" s="24" t="n"/>
      <c r="L287" s="24">
        <f>IF(COUNTA(A287:K287,M287:O287)=0,"",IF(A287="","Evidence ID missing",IF(COUNTIF($A$4:$A$353,A287)&gt;1,"Duplicate Evidence ID",IF(B287="","AIR-ID missing",IF(COUNTIF('AI Register'!$A$4:$A$206,B287)=0,"AIR-ID not in AI Register",IF(OR(C287="",H287=""),"Artefact or location missing",IF(AND(M287&lt;&gt;"",NOT(ISNUMBER(M287))),"Completed / last reviewed is not a date",IF(AND(N287&lt;&gt;"",NOT(ISNUMBER(N287))),"Review due is not a date",IF(AND(ISNUMBER(N287),N287&lt;TODAY()),"Review date passed: re-review before citing by reference (Playbook §4.6)",IF(AND(G287="Accepted",ISNUMBER(M287),EDATE(M287,12)&lt;TODAY(),O287=""),"Over 12 months old: owner's still-holds review needed before citing by reference","Check against source"))))))))))</f>
        <v/>
      </c>
      <c r="M287" s="36" t="n"/>
      <c r="N287" s="36" t="n"/>
      <c r="O287" s="24" t="n"/>
    </row>
    <row r="288">
      <c r="A288" s="22" t="n"/>
      <c r="B288" s="22" t="n"/>
      <c r="C288" s="22" t="n"/>
      <c r="D288" s="22" t="n"/>
      <c r="E288" s="22" t="n"/>
      <c r="F288" s="22" t="n"/>
      <c r="G288" s="22" t="n"/>
      <c r="H288" s="22" t="n"/>
      <c r="I288" s="22" t="n"/>
      <c r="J288" s="22" t="n"/>
      <c r="K288" s="22" t="n"/>
      <c r="L288" s="22">
        <f>IF(COUNTA(A288:K288,M288:O288)=0,"",IF(A288="","Evidence ID missing",IF(COUNTIF($A$4:$A$353,A288)&gt;1,"Duplicate Evidence ID",IF(B288="","AIR-ID missing",IF(COUNTIF('AI Register'!$A$4:$A$206,B288)=0,"AIR-ID not in AI Register",IF(OR(C288="",H288=""),"Artefact or location missing",IF(AND(M288&lt;&gt;"",NOT(ISNUMBER(M288))),"Completed / last reviewed is not a date",IF(AND(N288&lt;&gt;"",NOT(ISNUMBER(N288))),"Review due is not a date",IF(AND(ISNUMBER(N288),N288&lt;TODAY()),"Review date passed: re-review before citing by reference (Playbook §4.6)",IF(AND(G288="Accepted",ISNUMBER(M288),EDATE(M288,12)&lt;TODAY(),O288=""),"Over 12 months old: owner's still-holds review needed before citing by reference","Check against source"))))))))))</f>
        <v/>
      </c>
      <c r="M288" s="35" t="n"/>
      <c r="N288" s="35" t="n"/>
      <c r="O288" s="22" t="n"/>
    </row>
    <row r="289">
      <c r="A289" s="24" t="n"/>
      <c r="B289" s="24" t="n"/>
      <c r="C289" s="24" t="n"/>
      <c r="D289" s="24" t="n"/>
      <c r="E289" s="24" t="n"/>
      <c r="F289" s="24" t="n"/>
      <c r="G289" s="24" t="n"/>
      <c r="H289" s="24" t="n"/>
      <c r="I289" s="24" t="n"/>
      <c r="J289" s="24" t="n"/>
      <c r="K289" s="24" t="n"/>
      <c r="L289" s="24">
        <f>IF(COUNTA(A289:K289,M289:O289)=0,"",IF(A289="","Evidence ID missing",IF(COUNTIF($A$4:$A$353,A289)&gt;1,"Duplicate Evidence ID",IF(B289="","AIR-ID missing",IF(COUNTIF('AI Register'!$A$4:$A$206,B289)=0,"AIR-ID not in AI Register",IF(OR(C289="",H289=""),"Artefact or location missing",IF(AND(M289&lt;&gt;"",NOT(ISNUMBER(M289))),"Completed / last reviewed is not a date",IF(AND(N289&lt;&gt;"",NOT(ISNUMBER(N289))),"Review due is not a date",IF(AND(ISNUMBER(N289),N289&lt;TODAY()),"Review date passed: re-review before citing by reference (Playbook §4.6)",IF(AND(G289="Accepted",ISNUMBER(M289),EDATE(M289,12)&lt;TODAY(),O289=""),"Over 12 months old: owner's still-holds review needed before citing by reference","Check against source"))))))))))</f>
        <v/>
      </c>
      <c r="M289" s="36" t="n"/>
      <c r="N289" s="36" t="n"/>
      <c r="O289" s="24" t="n"/>
    </row>
    <row r="290">
      <c r="A290" s="22" t="n"/>
      <c r="B290" s="22" t="n"/>
      <c r="C290" s="22" t="n"/>
      <c r="D290" s="22" t="n"/>
      <c r="E290" s="22" t="n"/>
      <c r="F290" s="22" t="n"/>
      <c r="G290" s="22" t="n"/>
      <c r="H290" s="22" t="n"/>
      <c r="I290" s="22" t="n"/>
      <c r="J290" s="22" t="n"/>
      <c r="K290" s="22" t="n"/>
      <c r="L290" s="22">
        <f>IF(COUNTA(A290:K290,M290:O290)=0,"",IF(A290="","Evidence ID missing",IF(COUNTIF($A$4:$A$353,A290)&gt;1,"Duplicate Evidence ID",IF(B290="","AIR-ID missing",IF(COUNTIF('AI Register'!$A$4:$A$206,B290)=0,"AIR-ID not in AI Register",IF(OR(C290="",H290=""),"Artefact or location missing",IF(AND(M290&lt;&gt;"",NOT(ISNUMBER(M290))),"Completed / last reviewed is not a date",IF(AND(N290&lt;&gt;"",NOT(ISNUMBER(N290))),"Review due is not a date",IF(AND(ISNUMBER(N290),N290&lt;TODAY()),"Review date passed: re-review before citing by reference (Playbook §4.6)",IF(AND(G290="Accepted",ISNUMBER(M290),EDATE(M290,12)&lt;TODAY(),O290=""),"Over 12 months old: owner's still-holds review needed before citing by reference","Check against source"))))))))))</f>
        <v/>
      </c>
      <c r="M290" s="35" t="n"/>
      <c r="N290" s="35" t="n"/>
      <c r="O290" s="22" t="n"/>
    </row>
    <row r="291">
      <c r="A291" s="24" t="n"/>
      <c r="B291" s="24" t="n"/>
      <c r="C291" s="24" t="n"/>
      <c r="D291" s="24" t="n"/>
      <c r="E291" s="24" t="n"/>
      <c r="F291" s="24" t="n"/>
      <c r="G291" s="24" t="n"/>
      <c r="H291" s="24" t="n"/>
      <c r="I291" s="24" t="n"/>
      <c r="J291" s="24" t="n"/>
      <c r="K291" s="24" t="n"/>
      <c r="L291" s="24">
        <f>IF(COUNTA(A291:K291,M291:O291)=0,"",IF(A291="","Evidence ID missing",IF(COUNTIF($A$4:$A$353,A291)&gt;1,"Duplicate Evidence ID",IF(B291="","AIR-ID missing",IF(COUNTIF('AI Register'!$A$4:$A$206,B291)=0,"AIR-ID not in AI Register",IF(OR(C291="",H291=""),"Artefact or location missing",IF(AND(M291&lt;&gt;"",NOT(ISNUMBER(M291))),"Completed / last reviewed is not a date",IF(AND(N291&lt;&gt;"",NOT(ISNUMBER(N291))),"Review due is not a date",IF(AND(ISNUMBER(N291),N291&lt;TODAY()),"Review date passed: re-review before citing by reference (Playbook §4.6)",IF(AND(G291="Accepted",ISNUMBER(M291),EDATE(M291,12)&lt;TODAY(),O291=""),"Over 12 months old: owner's still-holds review needed before citing by reference","Check against source"))))))))))</f>
        <v/>
      </c>
      <c r="M291" s="36" t="n"/>
      <c r="N291" s="36" t="n"/>
      <c r="O291" s="24" t="n"/>
    </row>
    <row r="292">
      <c r="A292" s="22" t="n"/>
      <c r="B292" s="22" t="n"/>
      <c r="C292" s="22" t="n"/>
      <c r="D292" s="22" t="n"/>
      <c r="E292" s="22" t="n"/>
      <c r="F292" s="22" t="n"/>
      <c r="G292" s="22" t="n"/>
      <c r="H292" s="22" t="n"/>
      <c r="I292" s="22" t="n"/>
      <c r="J292" s="22" t="n"/>
      <c r="K292" s="22" t="n"/>
      <c r="L292" s="22">
        <f>IF(COUNTA(A292:K292,M292:O292)=0,"",IF(A292="","Evidence ID missing",IF(COUNTIF($A$4:$A$353,A292)&gt;1,"Duplicate Evidence ID",IF(B292="","AIR-ID missing",IF(COUNTIF('AI Register'!$A$4:$A$206,B292)=0,"AIR-ID not in AI Register",IF(OR(C292="",H292=""),"Artefact or location missing",IF(AND(M292&lt;&gt;"",NOT(ISNUMBER(M292))),"Completed / last reviewed is not a date",IF(AND(N292&lt;&gt;"",NOT(ISNUMBER(N292))),"Review due is not a date",IF(AND(ISNUMBER(N292),N292&lt;TODAY()),"Review date passed: re-review before citing by reference (Playbook §4.6)",IF(AND(G292="Accepted",ISNUMBER(M292),EDATE(M292,12)&lt;TODAY(),O292=""),"Over 12 months old: owner's still-holds review needed before citing by reference","Check against source"))))))))))</f>
        <v/>
      </c>
      <c r="M292" s="35" t="n"/>
      <c r="N292" s="35" t="n"/>
      <c r="O292" s="22" t="n"/>
    </row>
    <row r="293">
      <c r="A293" s="24" t="n"/>
      <c r="B293" s="24" t="n"/>
      <c r="C293" s="24" t="n"/>
      <c r="D293" s="24" t="n"/>
      <c r="E293" s="24" t="n"/>
      <c r="F293" s="24" t="n"/>
      <c r="G293" s="24" t="n"/>
      <c r="H293" s="24" t="n"/>
      <c r="I293" s="24" t="n"/>
      <c r="J293" s="24" t="n"/>
      <c r="K293" s="24" t="n"/>
      <c r="L293" s="24">
        <f>IF(COUNTA(A293:K293,M293:O293)=0,"",IF(A293="","Evidence ID missing",IF(COUNTIF($A$4:$A$353,A293)&gt;1,"Duplicate Evidence ID",IF(B293="","AIR-ID missing",IF(COUNTIF('AI Register'!$A$4:$A$206,B293)=0,"AIR-ID not in AI Register",IF(OR(C293="",H293=""),"Artefact or location missing",IF(AND(M293&lt;&gt;"",NOT(ISNUMBER(M293))),"Completed / last reviewed is not a date",IF(AND(N293&lt;&gt;"",NOT(ISNUMBER(N293))),"Review due is not a date",IF(AND(ISNUMBER(N293),N293&lt;TODAY()),"Review date passed: re-review before citing by reference (Playbook §4.6)",IF(AND(G293="Accepted",ISNUMBER(M293),EDATE(M293,12)&lt;TODAY(),O293=""),"Over 12 months old: owner's still-holds review needed before citing by reference","Check against source"))))))))))</f>
        <v/>
      </c>
      <c r="M293" s="36" t="n"/>
      <c r="N293" s="36" t="n"/>
      <c r="O293" s="24" t="n"/>
    </row>
    <row r="294">
      <c r="A294" s="22" t="n"/>
      <c r="B294" s="22" t="n"/>
      <c r="C294" s="22" t="n"/>
      <c r="D294" s="22" t="n"/>
      <c r="E294" s="22" t="n"/>
      <c r="F294" s="22" t="n"/>
      <c r="G294" s="22" t="n"/>
      <c r="H294" s="22" t="n"/>
      <c r="I294" s="22" t="n"/>
      <c r="J294" s="22" t="n"/>
      <c r="K294" s="22" t="n"/>
      <c r="L294" s="22">
        <f>IF(COUNTA(A294:K294,M294:O294)=0,"",IF(A294="","Evidence ID missing",IF(COUNTIF($A$4:$A$353,A294)&gt;1,"Duplicate Evidence ID",IF(B294="","AIR-ID missing",IF(COUNTIF('AI Register'!$A$4:$A$206,B294)=0,"AIR-ID not in AI Register",IF(OR(C294="",H294=""),"Artefact or location missing",IF(AND(M294&lt;&gt;"",NOT(ISNUMBER(M294))),"Completed / last reviewed is not a date",IF(AND(N294&lt;&gt;"",NOT(ISNUMBER(N294))),"Review due is not a date",IF(AND(ISNUMBER(N294),N294&lt;TODAY()),"Review date passed: re-review before citing by reference (Playbook §4.6)",IF(AND(G294="Accepted",ISNUMBER(M294),EDATE(M294,12)&lt;TODAY(),O294=""),"Over 12 months old: owner's still-holds review needed before citing by reference","Check against source"))))))))))</f>
        <v/>
      </c>
      <c r="M294" s="35" t="n"/>
      <c r="N294" s="35" t="n"/>
      <c r="O294" s="22" t="n"/>
    </row>
    <row r="295">
      <c r="A295" s="24" t="n"/>
      <c r="B295" s="24" t="n"/>
      <c r="C295" s="24" t="n"/>
      <c r="D295" s="24" t="n"/>
      <c r="E295" s="24" t="n"/>
      <c r="F295" s="24" t="n"/>
      <c r="G295" s="24" t="n"/>
      <c r="H295" s="24" t="n"/>
      <c r="I295" s="24" t="n"/>
      <c r="J295" s="24" t="n"/>
      <c r="K295" s="24" t="n"/>
      <c r="L295" s="24">
        <f>IF(COUNTA(A295:K295,M295:O295)=0,"",IF(A295="","Evidence ID missing",IF(COUNTIF($A$4:$A$353,A295)&gt;1,"Duplicate Evidence ID",IF(B295="","AIR-ID missing",IF(COUNTIF('AI Register'!$A$4:$A$206,B295)=0,"AIR-ID not in AI Register",IF(OR(C295="",H295=""),"Artefact or location missing",IF(AND(M295&lt;&gt;"",NOT(ISNUMBER(M295))),"Completed / last reviewed is not a date",IF(AND(N295&lt;&gt;"",NOT(ISNUMBER(N295))),"Review due is not a date",IF(AND(ISNUMBER(N295),N295&lt;TODAY()),"Review date passed: re-review before citing by reference (Playbook §4.6)",IF(AND(G295="Accepted",ISNUMBER(M295),EDATE(M295,12)&lt;TODAY(),O295=""),"Over 12 months old: owner's still-holds review needed before citing by reference","Check against source"))))))))))</f>
        <v/>
      </c>
      <c r="M295" s="36" t="n"/>
      <c r="N295" s="36" t="n"/>
      <c r="O295" s="24" t="n"/>
    </row>
    <row r="296">
      <c r="A296" s="22" t="n"/>
      <c r="B296" s="22" t="n"/>
      <c r="C296" s="22" t="n"/>
      <c r="D296" s="22" t="n"/>
      <c r="E296" s="22" t="n"/>
      <c r="F296" s="22" t="n"/>
      <c r="G296" s="22" t="n"/>
      <c r="H296" s="22" t="n"/>
      <c r="I296" s="22" t="n"/>
      <c r="J296" s="22" t="n"/>
      <c r="K296" s="22" t="n"/>
      <c r="L296" s="22">
        <f>IF(COUNTA(A296:K296,M296:O296)=0,"",IF(A296="","Evidence ID missing",IF(COUNTIF($A$4:$A$353,A296)&gt;1,"Duplicate Evidence ID",IF(B296="","AIR-ID missing",IF(COUNTIF('AI Register'!$A$4:$A$206,B296)=0,"AIR-ID not in AI Register",IF(OR(C296="",H296=""),"Artefact or location missing",IF(AND(M296&lt;&gt;"",NOT(ISNUMBER(M296))),"Completed / last reviewed is not a date",IF(AND(N296&lt;&gt;"",NOT(ISNUMBER(N296))),"Review due is not a date",IF(AND(ISNUMBER(N296),N296&lt;TODAY()),"Review date passed: re-review before citing by reference (Playbook §4.6)",IF(AND(G296="Accepted",ISNUMBER(M296),EDATE(M296,12)&lt;TODAY(),O296=""),"Over 12 months old: owner's still-holds review needed before citing by reference","Check against source"))))))))))</f>
        <v/>
      </c>
      <c r="M296" s="35" t="n"/>
      <c r="N296" s="35" t="n"/>
      <c r="O296" s="22" t="n"/>
    </row>
    <row r="297">
      <c r="A297" s="24" t="n"/>
      <c r="B297" s="24" t="n"/>
      <c r="C297" s="24" t="n"/>
      <c r="D297" s="24" t="n"/>
      <c r="E297" s="24" t="n"/>
      <c r="F297" s="24" t="n"/>
      <c r="G297" s="24" t="n"/>
      <c r="H297" s="24" t="n"/>
      <c r="I297" s="24" t="n"/>
      <c r="J297" s="24" t="n"/>
      <c r="K297" s="24" t="n"/>
      <c r="L297" s="24">
        <f>IF(COUNTA(A297:K297,M297:O297)=0,"",IF(A297="","Evidence ID missing",IF(COUNTIF($A$4:$A$353,A297)&gt;1,"Duplicate Evidence ID",IF(B297="","AIR-ID missing",IF(COUNTIF('AI Register'!$A$4:$A$206,B297)=0,"AIR-ID not in AI Register",IF(OR(C297="",H297=""),"Artefact or location missing",IF(AND(M297&lt;&gt;"",NOT(ISNUMBER(M297))),"Completed / last reviewed is not a date",IF(AND(N297&lt;&gt;"",NOT(ISNUMBER(N297))),"Review due is not a date",IF(AND(ISNUMBER(N297),N297&lt;TODAY()),"Review date passed: re-review before citing by reference (Playbook §4.6)",IF(AND(G297="Accepted",ISNUMBER(M297),EDATE(M297,12)&lt;TODAY(),O297=""),"Over 12 months old: owner's still-holds review needed before citing by reference","Check against source"))))))))))</f>
        <v/>
      </c>
      <c r="M297" s="36" t="n"/>
      <c r="N297" s="36" t="n"/>
      <c r="O297" s="24" t="n"/>
    </row>
    <row r="298">
      <c r="A298" s="22" t="n"/>
      <c r="B298" s="22" t="n"/>
      <c r="C298" s="22" t="n"/>
      <c r="D298" s="22" t="n"/>
      <c r="E298" s="22" t="n"/>
      <c r="F298" s="22" t="n"/>
      <c r="G298" s="22" t="n"/>
      <c r="H298" s="22" t="n"/>
      <c r="I298" s="22" t="n"/>
      <c r="J298" s="22" t="n"/>
      <c r="K298" s="22" t="n"/>
      <c r="L298" s="22">
        <f>IF(COUNTA(A298:K298,M298:O298)=0,"",IF(A298="","Evidence ID missing",IF(COUNTIF($A$4:$A$353,A298)&gt;1,"Duplicate Evidence ID",IF(B298="","AIR-ID missing",IF(COUNTIF('AI Register'!$A$4:$A$206,B298)=0,"AIR-ID not in AI Register",IF(OR(C298="",H298=""),"Artefact or location missing",IF(AND(M298&lt;&gt;"",NOT(ISNUMBER(M298))),"Completed / last reviewed is not a date",IF(AND(N298&lt;&gt;"",NOT(ISNUMBER(N298))),"Review due is not a date",IF(AND(ISNUMBER(N298),N298&lt;TODAY()),"Review date passed: re-review before citing by reference (Playbook §4.6)",IF(AND(G298="Accepted",ISNUMBER(M298),EDATE(M298,12)&lt;TODAY(),O298=""),"Over 12 months old: owner's still-holds review needed before citing by reference","Check against source"))))))))))</f>
        <v/>
      </c>
      <c r="M298" s="35" t="n"/>
      <c r="N298" s="35" t="n"/>
      <c r="O298" s="22" t="n"/>
    </row>
    <row r="299">
      <c r="A299" s="24" t="n"/>
      <c r="B299" s="24" t="n"/>
      <c r="C299" s="24" t="n"/>
      <c r="D299" s="24" t="n"/>
      <c r="E299" s="24" t="n"/>
      <c r="F299" s="24" t="n"/>
      <c r="G299" s="24" t="n"/>
      <c r="H299" s="24" t="n"/>
      <c r="I299" s="24" t="n"/>
      <c r="J299" s="24" t="n"/>
      <c r="K299" s="24" t="n"/>
      <c r="L299" s="24">
        <f>IF(COUNTA(A299:K299,M299:O299)=0,"",IF(A299="","Evidence ID missing",IF(COUNTIF($A$4:$A$353,A299)&gt;1,"Duplicate Evidence ID",IF(B299="","AIR-ID missing",IF(COUNTIF('AI Register'!$A$4:$A$206,B299)=0,"AIR-ID not in AI Register",IF(OR(C299="",H299=""),"Artefact or location missing",IF(AND(M299&lt;&gt;"",NOT(ISNUMBER(M299))),"Completed / last reviewed is not a date",IF(AND(N299&lt;&gt;"",NOT(ISNUMBER(N299))),"Review due is not a date",IF(AND(ISNUMBER(N299),N299&lt;TODAY()),"Review date passed: re-review before citing by reference (Playbook §4.6)",IF(AND(G299="Accepted",ISNUMBER(M299),EDATE(M299,12)&lt;TODAY(),O299=""),"Over 12 months old: owner's still-holds review needed before citing by reference","Check against source"))))))))))</f>
        <v/>
      </c>
      <c r="M299" s="36" t="n"/>
      <c r="N299" s="36" t="n"/>
      <c r="O299" s="24" t="n"/>
    </row>
    <row r="300">
      <c r="A300" s="22" t="n"/>
      <c r="B300" s="22" t="n"/>
      <c r="C300" s="22" t="n"/>
      <c r="D300" s="22" t="n"/>
      <c r="E300" s="22" t="n"/>
      <c r="F300" s="22" t="n"/>
      <c r="G300" s="22" t="n"/>
      <c r="H300" s="22" t="n"/>
      <c r="I300" s="22" t="n"/>
      <c r="J300" s="22" t="n"/>
      <c r="K300" s="22" t="n"/>
      <c r="L300" s="22">
        <f>IF(COUNTA(A300:K300,M300:O300)=0,"",IF(A300="","Evidence ID missing",IF(COUNTIF($A$4:$A$353,A300)&gt;1,"Duplicate Evidence ID",IF(B300="","AIR-ID missing",IF(COUNTIF('AI Register'!$A$4:$A$206,B300)=0,"AIR-ID not in AI Register",IF(OR(C300="",H300=""),"Artefact or location missing",IF(AND(M300&lt;&gt;"",NOT(ISNUMBER(M300))),"Completed / last reviewed is not a date",IF(AND(N300&lt;&gt;"",NOT(ISNUMBER(N300))),"Review due is not a date",IF(AND(ISNUMBER(N300),N300&lt;TODAY()),"Review date passed: re-review before citing by reference (Playbook §4.6)",IF(AND(G300="Accepted",ISNUMBER(M300),EDATE(M300,12)&lt;TODAY(),O300=""),"Over 12 months old: owner's still-holds review needed before citing by reference","Check against source"))))))))))</f>
        <v/>
      </c>
      <c r="M300" s="35" t="n"/>
      <c r="N300" s="35" t="n"/>
      <c r="O300" s="22" t="n"/>
    </row>
    <row r="301">
      <c r="A301" s="24" t="n"/>
      <c r="B301" s="24" t="n"/>
      <c r="C301" s="24" t="n"/>
      <c r="D301" s="24" t="n"/>
      <c r="E301" s="24" t="n"/>
      <c r="F301" s="24" t="n"/>
      <c r="G301" s="24" t="n"/>
      <c r="H301" s="24" t="n"/>
      <c r="I301" s="24" t="n"/>
      <c r="J301" s="24" t="n"/>
      <c r="K301" s="24" t="n"/>
      <c r="L301" s="24">
        <f>IF(COUNTA(A301:K301,M301:O301)=0,"",IF(A301="","Evidence ID missing",IF(COUNTIF($A$4:$A$353,A301)&gt;1,"Duplicate Evidence ID",IF(B301="","AIR-ID missing",IF(COUNTIF('AI Register'!$A$4:$A$206,B301)=0,"AIR-ID not in AI Register",IF(OR(C301="",H301=""),"Artefact or location missing",IF(AND(M301&lt;&gt;"",NOT(ISNUMBER(M301))),"Completed / last reviewed is not a date",IF(AND(N301&lt;&gt;"",NOT(ISNUMBER(N301))),"Review due is not a date",IF(AND(ISNUMBER(N301),N301&lt;TODAY()),"Review date passed: re-review before citing by reference (Playbook §4.6)",IF(AND(G301="Accepted",ISNUMBER(M301),EDATE(M301,12)&lt;TODAY(),O301=""),"Over 12 months old: owner's still-holds review needed before citing by reference","Check against source"))))))))))</f>
        <v/>
      </c>
      <c r="M301" s="36" t="n"/>
      <c r="N301" s="36" t="n"/>
      <c r="O301" s="24" t="n"/>
    </row>
    <row r="302">
      <c r="A302" s="22" t="n"/>
      <c r="B302" s="22" t="n"/>
      <c r="C302" s="22" t="n"/>
      <c r="D302" s="22" t="n"/>
      <c r="E302" s="22" t="n"/>
      <c r="F302" s="22" t="n"/>
      <c r="G302" s="22" t="n"/>
      <c r="H302" s="22" t="n"/>
      <c r="I302" s="22" t="n"/>
      <c r="J302" s="22" t="n"/>
      <c r="K302" s="22" t="n"/>
      <c r="L302" s="22">
        <f>IF(COUNTA(A302:K302,M302:O302)=0,"",IF(A302="","Evidence ID missing",IF(COUNTIF($A$4:$A$353,A302)&gt;1,"Duplicate Evidence ID",IF(B302="","AIR-ID missing",IF(COUNTIF('AI Register'!$A$4:$A$206,B302)=0,"AIR-ID not in AI Register",IF(OR(C302="",H302=""),"Artefact or location missing",IF(AND(M302&lt;&gt;"",NOT(ISNUMBER(M302))),"Completed / last reviewed is not a date",IF(AND(N302&lt;&gt;"",NOT(ISNUMBER(N302))),"Review due is not a date",IF(AND(ISNUMBER(N302),N302&lt;TODAY()),"Review date passed: re-review before citing by reference (Playbook §4.6)",IF(AND(G302="Accepted",ISNUMBER(M302),EDATE(M302,12)&lt;TODAY(),O302=""),"Over 12 months old: owner's still-holds review needed before citing by reference","Check against source"))))))))))</f>
        <v/>
      </c>
      <c r="M302" s="35" t="n"/>
      <c r="N302" s="35" t="n"/>
      <c r="O302" s="22" t="n"/>
    </row>
    <row r="303">
      <c r="A303" s="24" t="n"/>
      <c r="B303" s="24" t="n"/>
      <c r="C303" s="24" t="n"/>
      <c r="D303" s="24" t="n"/>
      <c r="E303" s="24" t="n"/>
      <c r="F303" s="24" t="n"/>
      <c r="G303" s="24" t="n"/>
      <c r="H303" s="24" t="n"/>
      <c r="I303" s="24" t="n"/>
      <c r="J303" s="24" t="n"/>
      <c r="K303" s="24" t="n"/>
      <c r="L303" s="24">
        <f>IF(COUNTA(A303:K303,M303:O303)=0,"",IF(A303="","Evidence ID missing",IF(COUNTIF($A$4:$A$353,A303)&gt;1,"Duplicate Evidence ID",IF(B303="","AIR-ID missing",IF(COUNTIF('AI Register'!$A$4:$A$206,B303)=0,"AIR-ID not in AI Register",IF(OR(C303="",H303=""),"Artefact or location missing",IF(AND(M303&lt;&gt;"",NOT(ISNUMBER(M303))),"Completed / last reviewed is not a date",IF(AND(N303&lt;&gt;"",NOT(ISNUMBER(N303))),"Review due is not a date",IF(AND(ISNUMBER(N303),N303&lt;TODAY()),"Review date passed: re-review before citing by reference (Playbook §4.6)",IF(AND(G303="Accepted",ISNUMBER(M303),EDATE(M303,12)&lt;TODAY(),O303=""),"Over 12 months old: owner's still-holds review needed before citing by reference","Check against source"))))))))))</f>
        <v/>
      </c>
      <c r="M303" s="36" t="n"/>
      <c r="N303" s="36" t="n"/>
      <c r="O303" s="24" t="n"/>
    </row>
    <row r="304">
      <c r="A304" s="22" t="n"/>
      <c r="B304" s="22" t="n"/>
      <c r="C304" s="22" t="n"/>
      <c r="D304" s="22" t="n"/>
      <c r="E304" s="22" t="n"/>
      <c r="F304" s="22" t="n"/>
      <c r="G304" s="22" t="n"/>
      <c r="H304" s="22" t="n"/>
      <c r="I304" s="22" t="n"/>
      <c r="J304" s="22" t="n"/>
      <c r="K304" s="22" t="n"/>
      <c r="L304" s="22">
        <f>IF(COUNTA(A304:K304,M304:O304)=0,"",IF(A304="","Evidence ID missing",IF(COUNTIF($A$4:$A$353,A304)&gt;1,"Duplicate Evidence ID",IF(B304="","AIR-ID missing",IF(COUNTIF('AI Register'!$A$4:$A$206,B304)=0,"AIR-ID not in AI Register",IF(OR(C304="",H304=""),"Artefact or location missing",IF(AND(M304&lt;&gt;"",NOT(ISNUMBER(M304))),"Completed / last reviewed is not a date",IF(AND(N304&lt;&gt;"",NOT(ISNUMBER(N304))),"Review due is not a date",IF(AND(ISNUMBER(N304),N304&lt;TODAY()),"Review date passed: re-review before citing by reference (Playbook §4.6)",IF(AND(G304="Accepted",ISNUMBER(M304),EDATE(M304,12)&lt;TODAY(),O304=""),"Over 12 months old: owner's still-holds review needed before citing by reference","Check against source"))))))))))</f>
        <v/>
      </c>
      <c r="M304" s="35" t="n"/>
      <c r="N304" s="35" t="n"/>
      <c r="O304" s="22" t="n"/>
    </row>
    <row r="305">
      <c r="A305" s="24" t="n"/>
      <c r="B305" s="24" t="n"/>
      <c r="C305" s="24" t="n"/>
      <c r="D305" s="24" t="n"/>
      <c r="E305" s="24" t="n"/>
      <c r="F305" s="24" t="n"/>
      <c r="G305" s="24" t="n"/>
      <c r="H305" s="24" t="n"/>
      <c r="I305" s="24" t="n"/>
      <c r="J305" s="24" t="n"/>
      <c r="K305" s="24" t="n"/>
      <c r="L305" s="24">
        <f>IF(COUNTA(A305:K305,M305:O305)=0,"",IF(A305="","Evidence ID missing",IF(COUNTIF($A$4:$A$353,A305)&gt;1,"Duplicate Evidence ID",IF(B305="","AIR-ID missing",IF(COUNTIF('AI Register'!$A$4:$A$206,B305)=0,"AIR-ID not in AI Register",IF(OR(C305="",H305=""),"Artefact or location missing",IF(AND(M305&lt;&gt;"",NOT(ISNUMBER(M305))),"Completed / last reviewed is not a date",IF(AND(N305&lt;&gt;"",NOT(ISNUMBER(N305))),"Review due is not a date",IF(AND(ISNUMBER(N305),N305&lt;TODAY()),"Review date passed: re-review before citing by reference (Playbook §4.6)",IF(AND(G305="Accepted",ISNUMBER(M305),EDATE(M305,12)&lt;TODAY(),O305=""),"Over 12 months old: owner's still-holds review needed before citing by reference","Check against source"))))))))))</f>
        <v/>
      </c>
      <c r="M305" s="36" t="n"/>
      <c r="N305" s="36" t="n"/>
      <c r="O305" s="24" t="n"/>
    </row>
    <row r="306">
      <c r="A306" s="22" t="n"/>
      <c r="B306" s="22" t="n"/>
      <c r="C306" s="22" t="n"/>
      <c r="D306" s="22" t="n"/>
      <c r="E306" s="22" t="n"/>
      <c r="F306" s="22" t="n"/>
      <c r="G306" s="22" t="n"/>
      <c r="H306" s="22" t="n"/>
      <c r="I306" s="22" t="n"/>
      <c r="J306" s="22" t="n"/>
      <c r="K306" s="22" t="n"/>
      <c r="L306" s="22">
        <f>IF(COUNTA(A306:K306,M306:O306)=0,"",IF(A306="","Evidence ID missing",IF(COUNTIF($A$4:$A$353,A306)&gt;1,"Duplicate Evidence ID",IF(B306="","AIR-ID missing",IF(COUNTIF('AI Register'!$A$4:$A$206,B306)=0,"AIR-ID not in AI Register",IF(OR(C306="",H306=""),"Artefact or location missing",IF(AND(M306&lt;&gt;"",NOT(ISNUMBER(M306))),"Completed / last reviewed is not a date",IF(AND(N306&lt;&gt;"",NOT(ISNUMBER(N306))),"Review due is not a date",IF(AND(ISNUMBER(N306),N306&lt;TODAY()),"Review date passed: re-review before citing by reference (Playbook §4.6)",IF(AND(G306="Accepted",ISNUMBER(M306),EDATE(M306,12)&lt;TODAY(),O306=""),"Over 12 months old: owner's still-holds review needed before citing by reference","Check against source"))))))))))</f>
        <v/>
      </c>
      <c r="M306" s="35" t="n"/>
      <c r="N306" s="35" t="n"/>
      <c r="O306" s="22" t="n"/>
    </row>
    <row r="307">
      <c r="A307" s="24" t="n"/>
      <c r="B307" s="24" t="n"/>
      <c r="C307" s="24" t="n"/>
      <c r="D307" s="24" t="n"/>
      <c r="E307" s="24" t="n"/>
      <c r="F307" s="24" t="n"/>
      <c r="G307" s="24" t="n"/>
      <c r="H307" s="24" t="n"/>
      <c r="I307" s="24" t="n"/>
      <c r="J307" s="24" t="n"/>
      <c r="K307" s="24" t="n"/>
      <c r="L307" s="24">
        <f>IF(COUNTA(A307:K307,M307:O307)=0,"",IF(A307="","Evidence ID missing",IF(COUNTIF($A$4:$A$353,A307)&gt;1,"Duplicate Evidence ID",IF(B307="","AIR-ID missing",IF(COUNTIF('AI Register'!$A$4:$A$206,B307)=0,"AIR-ID not in AI Register",IF(OR(C307="",H307=""),"Artefact or location missing",IF(AND(M307&lt;&gt;"",NOT(ISNUMBER(M307))),"Completed / last reviewed is not a date",IF(AND(N307&lt;&gt;"",NOT(ISNUMBER(N307))),"Review due is not a date",IF(AND(ISNUMBER(N307),N307&lt;TODAY()),"Review date passed: re-review before citing by reference (Playbook §4.6)",IF(AND(G307="Accepted",ISNUMBER(M307),EDATE(M307,12)&lt;TODAY(),O307=""),"Over 12 months old: owner's still-holds review needed before citing by reference","Check against source"))))))))))</f>
        <v/>
      </c>
      <c r="M307" s="36" t="n"/>
      <c r="N307" s="36" t="n"/>
      <c r="O307" s="24" t="n"/>
    </row>
    <row r="308">
      <c r="A308" s="22" t="n"/>
      <c r="B308" s="22" t="n"/>
      <c r="C308" s="22" t="n"/>
      <c r="D308" s="22" t="n"/>
      <c r="E308" s="22" t="n"/>
      <c r="F308" s="22" t="n"/>
      <c r="G308" s="22" t="n"/>
      <c r="H308" s="22" t="n"/>
      <c r="I308" s="22" t="n"/>
      <c r="J308" s="22" t="n"/>
      <c r="K308" s="22" t="n"/>
      <c r="L308" s="22">
        <f>IF(COUNTA(A308:K308,M308:O308)=0,"",IF(A308="","Evidence ID missing",IF(COUNTIF($A$4:$A$353,A308)&gt;1,"Duplicate Evidence ID",IF(B308="","AIR-ID missing",IF(COUNTIF('AI Register'!$A$4:$A$206,B308)=0,"AIR-ID not in AI Register",IF(OR(C308="",H308=""),"Artefact or location missing",IF(AND(M308&lt;&gt;"",NOT(ISNUMBER(M308))),"Completed / last reviewed is not a date",IF(AND(N308&lt;&gt;"",NOT(ISNUMBER(N308))),"Review due is not a date",IF(AND(ISNUMBER(N308),N308&lt;TODAY()),"Review date passed: re-review before citing by reference (Playbook §4.6)",IF(AND(G308="Accepted",ISNUMBER(M308),EDATE(M308,12)&lt;TODAY(),O308=""),"Over 12 months old: owner's still-holds review needed before citing by reference","Check against source"))))))))))</f>
        <v/>
      </c>
      <c r="M308" s="35" t="n"/>
      <c r="N308" s="35" t="n"/>
      <c r="O308" s="22" t="n"/>
    </row>
    <row r="309">
      <c r="A309" s="24" t="n"/>
      <c r="B309" s="24" t="n"/>
      <c r="C309" s="24" t="n"/>
      <c r="D309" s="24" t="n"/>
      <c r="E309" s="24" t="n"/>
      <c r="F309" s="24" t="n"/>
      <c r="G309" s="24" t="n"/>
      <c r="H309" s="24" t="n"/>
      <c r="I309" s="24" t="n"/>
      <c r="J309" s="24" t="n"/>
      <c r="K309" s="24" t="n"/>
      <c r="L309" s="24">
        <f>IF(COUNTA(A309:K309,M309:O309)=0,"",IF(A309="","Evidence ID missing",IF(COUNTIF($A$4:$A$353,A309)&gt;1,"Duplicate Evidence ID",IF(B309="","AIR-ID missing",IF(COUNTIF('AI Register'!$A$4:$A$206,B309)=0,"AIR-ID not in AI Register",IF(OR(C309="",H309=""),"Artefact or location missing",IF(AND(M309&lt;&gt;"",NOT(ISNUMBER(M309))),"Completed / last reviewed is not a date",IF(AND(N309&lt;&gt;"",NOT(ISNUMBER(N309))),"Review due is not a date",IF(AND(ISNUMBER(N309),N309&lt;TODAY()),"Review date passed: re-review before citing by reference (Playbook §4.6)",IF(AND(G309="Accepted",ISNUMBER(M309),EDATE(M309,12)&lt;TODAY(),O309=""),"Over 12 months old: owner's still-holds review needed before citing by reference","Check against source"))))))))))</f>
        <v/>
      </c>
      <c r="M309" s="36" t="n"/>
      <c r="N309" s="36" t="n"/>
      <c r="O309" s="24" t="n"/>
    </row>
    <row r="310">
      <c r="A310" s="22" t="n"/>
      <c r="B310" s="22" t="n"/>
      <c r="C310" s="22" t="n"/>
      <c r="D310" s="22" t="n"/>
      <c r="E310" s="22" t="n"/>
      <c r="F310" s="22" t="n"/>
      <c r="G310" s="22" t="n"/>
      <c r="H310" s="22" t="n"/>
      <c r="I310" s="22" t="n"/>
      <c r="J310" s="22" t="n"/>
      <c r="K310" s="22" t="n"/>
      <c r="L310" s="22">
        <f>IF(COUNTA(A310:K310,M310:O310)=0,"",IF(A310="","Evidence ID missing",IF(COUNTIF($A$4:$A$353,A310)&gt;1,"Duplicate Evidence ID",IF(B310="","AIR-ID missing",IF(COUNTIF('AI Register'!$A$4:$A$206,B310)=0,"AIR-ID not in AI Register",IF(OR(C310="",H310=""),"Artefact or location missing",IF(AND(M310&lt;&gt;"",NOT(ISNUMBER(M310))),"Completed / last reviewed is not a date",IF(AND(N310&lt;&gt;"",NOT(ISNUMBER(N310))),"Review due is not a date",IF(AND(ISNUMBER(N310),N310&lt;TODAY()),"Review date passed: re-review before citing by reference (Playbook §4.6)",IF(AND(G310="Accepted",ISNUMBER(M310),EDATE(M310,12)&lt;TODAY(),O310=""),"Over 12 months old: owner's still-holds review needed before citing by reference","Check against source"))))))))))</f>
        <v/>
      </c>
      <c r="M310" s="35" t="n"/>
      <c r="N310" s="35" t="n"/>
      <c r="O310" s="22" t="n"/>
    </row>
    <row r="311">
      <c r="A311" s="24" t="n"/>
      <c r="B311" s="24" t="n"/>
      <c r="C311" s="24" t="n"/>
      <c r="D311" s="24" t="n"/>
      <c r="E311" s="24" t="n"/>
      <c r="F311" s="24" t="n"/>
      <c r="G311" s="24" t="n"/>
      <c r="H311" s="24" t="n"/>
      <c r="I311" s="24" t="n"/>
      <c r="J311" s="24" t="n"/>
      <c r="K311" s="24" t="n"/>
      <c r="L311" s="24">
        <f>IF(COUNTA(A311:K311,M311:O311)=0,"",IF(A311="","Evidence ID missing",IF(COUNTIF($A$4:$A$353,A311)&gt;1,"Duplicate Evidence ID",IF(B311="","AIR-ID missing",IF(COUNTIF('AI Register'!$A$4:$A$206,B311)=0,"AIR-ID not in AI Register",IF(OR(C311="",H311=""),"Artefact or location missing",IF(AND(M311&lt;&gt;"",NOT(ISNUMBER(M311))),"Completed / last reviewed is not a date",IF(AND(N311&lt;&gt;"",NOT(ISNUMBER(N311))),"Review due is not a date",IF(AND(ISNUMBER(N311),N311&lt;TODAY()),"Review date passed: re-review before citing by reference (Playbook §4.6)",IF(AND(G311="Accepted",ISNUMBER(M311),EDATE(M311,12)&lt;TODAY(),O311=""),"Over 12 months old: owner's still-holds review needed before citing by reference","Check against source"))))))))))</f>
        <v/>
      </c>
      <c r="M311" s="36" t="n"/>
      <c r="N311" s="36" t="n"/>
      <c r="O311" s="24" t="n"/>
    </row>
    <row r="312">
      <c r="A312" s="22" t="n"/>
      <c r="B312" s="22" t="n"/>
      <c r="C312" s="22" t="n"/>
      <c r="D312" s="22" t="n"/>
      <c r="E312" s="22" t="n"/>
      <c r="F312" s="22" t="n"/>
      <c r="G312" s="22" t="n"/>
      <c r="H312" s="22" t="n"/>
      <c r="I312" s="22" t="n"/>
      <c r="J312" s="22" t="n"/>
      <c r="K312" s="22" t="n"/>
      <c r="L312" s="22">
        <f>IF(COUNTA(A312:K312,M312:O312)=0,"",IF(A312="","Evidence ID missing",IF(COUNTIF($A$4:$A$353,A312)&gt;1,"Duplicate Evidence ID",IF(B312="","AIR-ID missing",IF(COUNTIF('AI Register'!$A$4:$A$206,B312)=0,"AIR-ID not in AI Register",IF(OR(C312="",H312=""),"Artefact or location missing",IF(AND(M312&lt;&gt;"",NOT(ISNUMBER(M312))),"Completed / last reviewed is not a date",IF(AND(N312&lt;&gt;"",NOT(ISNUMBER(N312))),"Review due is not a date",IF(AND(ISNUMBER(N312),N312&lt;TODAY()),"Review date passed: re-review before citing by reference (Playbook §4.6)",IF(AND(G312="Accepted",ISNUMBER(M312),EDATE(M312,12)&lt;TODAY(),O312=""),"Over 12 months old: owner's still-holds review needed before citing by reference","Check against source"))))))))))</f>
        <v/>
      </c>
      <c r="M312" s="35" t="n"/>
      <c r="N312" s="35" t="n"/>
      <c r="O312" s="22" t="n"/>
    </row>
    <row r="313">
      <c r="A313" s="24" t="n"/>
      <c r="B313" s="24" t="n"/>
      <c r="C313" s="24" t="n"/>
      <c r="D313" s="24" t="n"/>
      <c r="E313" s="24" t="n"/>
      <c r="F313" s="24" t="n"/>
      <c r="G313" s="24" t="n"/>
      <c r="H313" s="24" t="n"/>
      <c r="I313" s="24" t="n"/>
      <c r="J313" s="24" t="n"/>
      <c r="K313" s="24" t="n"/>
      <c r="L313" s="24">
        <f>IF(COUNTA(A313:K313,M313:O313)=0,"",IF(A313="","Evidence ID missing",IF(COUNTIF($A$4:$A$353,A313)&gt;1,"Duplicate Evidence ID",IF(B313="","AIR-ID missing",IF(COUNTIF('AI Register'!$A$4:$A$206,B313)=0,"AIR-ID not in AI Register",IF(OR(C313="",H313=""),"Artefact or location missing",IF(AND(M313&lt;&gt;"",NOT(ISNUMBER(M313))),"Completed / last reviewed is not a date",IF(AND(N313&lt;&gt;"",NOT(ISNUMBER(N313))),"Review due is not a date",IF(AND(ISNUMBER(N313),N313&lt;TODAY()),"Review date passed: re-review before citing by reference (Playbook §4.6)",IF(AND(G313="Accepted",ISNUMBER(M313),EDATE(M313,12)&lt;TODAY(),O313=""),"Over 12 months old: owner's still-holds review needed before citing by reference","Check against source"))))))))))</f>
        <v/>
      </c>
      <c r="M313" s="36" t="n"/>
      <c r="N313" s="36" t="n"/>
      <c r="O313" s="24" t="n"/>
    </row>
    <row r="314">
      <c r="A314" s="22" t="n"/>
      <c r="B314" s="22" t="n"/>
      <c r="C314" s="22" t="n"/>
      <c r="D314" s="22" t="n"/>
      <c r="E314" s="22" t="n"/>
      <c r="F314" s="22" t="n"/>
      <c r="G314" s="22" t="n"/>
      <c r="H314" s="22" t="n"/>
      <c r="I314" s="22" t="n"/>
      <c r="J314" s="22" t="n"/>
      <c r="K314" s="22" t="n"/>
      <c r="L314" s="22">
        <f>IF(COUNTA(A314:K314,M314:O314)=0,"",IF(A314="","Evidence ID missing",IF(COUNTIF($A$4:$A$353,A314)&gt;1,"Duplicate Evidence ID",IF(B314="","AIR-ID missing",IF(COUNTIF('AI Register'!$A$4:$A$206,B314)=0,"AIR-ID not in AI Register",IF(OR(C314="",H314=""),"Artefact or location missing",IF(AND(M314&lt;&gt;"",NOT(ISNUMBER(M314))),"Completed / last reviewed is not a date",IF(AND(N314&lt;&gt;"",NOT(ISNUMBER(N314))),"Review due is not a date",IF(AND(ISNUMBER(N314),N314&lt;TODAY()),"Review date passed: re-review before citing by reference (Playbook §4.6)",IF(AND(G314="Accepted",ISNUMBER(M314),EDATE(M314,12)&lt;TODAY(),O314=""),"Over 12 months old: owner's still-holds review needed before citing by reference","Check against source"))))))))))</f>
        <v/>
      </c>
      <c r="M314" s="35" t="n"/>
      <c r="N314" s="35" t="n"/>
      <c r="O314" s="22" t="n"/>
    </row>
    <row r="315">
      <c r="A315" s="24" t="n"/>
      <c r="B315" s="24" t="n"/>
      <c r="C315" s="24" t="n"/>
      <c r="D315" s="24" t="n"/>
      <c r="E315" s="24" t="n"/>
      <c r="F315" s="24" t="n"/>
      <c r="G315" s="24" t="n"/>
      <c r="H315" s="24" t="n"/>
      <c r="I315" s="24" t="n"/>
      <c r="J315" s="24" t="n"/>
      <c r="K315" s="24" t="n"/>
      <c r="L315" s="24">
        <f>IF(COUNTA(A315:K315,M315:O315)=0,"",IF(A315="","Evidence ID missing",IF(COUNTIF($A$4:$A$353,A315)&gt;1,"Duplicate Evidence ID",IF(B315="","AIR-ID missing",IF(COUNTIF('AI Register'!$A$4:$A$206,B315)=0,"AIR-ID not in AI Register",IF(OR(C315="",H315=""),"Artefact or location missing",IF(AND(M315&lt;&gt;"",NOT(ISNUMBER(M315))),"Completed / last reviewed is not a date",IF(AND(N315&lt;&gt;"",NOT(ISNUMBER(N315))),"Review due is not a date",IF(AND(ISNUMBER(N315),N315&lt;TODAY()),"Review date passed: re-review before citing by reference (Playbook §4.6)",IF(AND(G315="Accepted",ISNUMBER(M315),EDATE(M315,12)&lt;TODAY(),O315=""),"Over 12 months old: owner's still-holds review needed before citing by reference","Check against source"))))))))))</f>
        <v/>
      </c>
      <c r="M315" s="36" t="n"/>
      <c r="N315" s="36" t="n"/>
      <c r="O315" s="24" t="n"/>
    </row>
    <row r="316">
      <c r="A316" s="22" t="n"/>
      <c r="B316" s="22" t="n"/>
      <c r="C316" s="22" t="n"/>
      <c r="D316" s="22" t="n"/>
      <c r="E316" s="22" t="n"/>
      <c r="F316" s="22" t="n"/>
      <c r="G316" s="22" t="n"/>
      <c r="H316" s="22" t="n"/>
      <c r="I316" s="22" t="n"/>
      <c r="J316" s="22" t="n"/>
      <c r="K316" s="22" t="n"/>
      <c r="L316" s="22">
        <f>IF(COUNTA(A316:K316,M316:O316)=0,"",IF(A316="","Evidence ID missing",IF(COUNTIF($A$4:$A$353,A316)&gt;1,"Duplicate Evidence ID",IF(B316="","AIR-ID missing",IF(COUNTIF('AI Register'!$A$4:$A$206,B316)=0,"AIR-ID not in AI Register",IF(OR(C316="",H316=""),"Artefact or location missing",IF(AND(M316&lt;&gt;"",NOT(ISNUMBER(M316))),"Completed / last reviewed is not a date",IF(AND(N316&lt;&gt;"",NOT(ISNUMBER(N316))),"Review due is not a date",IF(AND(ISNUMBER(N316),N316&lt;TODAY()),"Review date passed: re-review before citing by reference (Playbook §4.6)",IF(AND(G316="Accepted",ISNUMBER(M316),EDATE(M316,12)&lt;TODAY(),O316=""),"Over 12 months old: owner's still-holds review needed before citing by reference","Check against source"))))))))))</f>
        <v/>
      </c>
      <c r="M316" s="35" t="n"/>
      <c r="N316" s="35" t="n"/>
      <c r="O316" s="22" t="n"/>
    </row>
    <row r="317">
      <c r="A317" s="24" t="n"/>
      <c r="B317" s="24" t="n"/>
      <c r="C317" s="24" t="n"/>
      <c r="D317" s="24" t="n"/>
      <c r="E317" s="24" t="n"/>
      <c r="F317" s="24" t="n"/>
      <c r="G317" s="24" t="n"/>
      <c r="H317" s="24" t="n"/>
      <c r="I317" s="24" t="n"/>
      <c r="J317" s="24" t="n"/>
      <c r="K317" s="24" t="n"/>
      <c r="L317" s="24">
        <f>IF(COUNTA(A317:K317,M317:O317)=0,"",IF(A317="","Evidence ID missing",IF(COUNTIF($A$4:$A$353,A317)&gt;1,"Duplicate Evidence ID",IF(B317="","AIR-ID missing",IF(COUNTIF('AI Register'!$A$4:$A$206,B317)=0,"AIR-ID not in AI Register",IF(OR(C317="",H317=""),"Artefact or location missing",IF(AND(M317&lt;&gt;"",NOT(ISNUMBER(M317))),"Completed / last reviewed is not a date",IF(AND(N317&lt;&gt;"",NOT(ISNUMBER(N317))),"Review due is not a date",IF(AND(ISNUMBER(N317),N317&lt;TODAY()),"Review date passed: re-review before citing by reference (Playbook §4.6)",IF(AND(G317="Accepted",ISNUMBER(M317),EDATE(M317,12)&lt;TODAY(),O317=""),"Over 12 months old: owner's still-holds review needed before citing by reference","Check against source"))))))))))</f>
        <v/>
      </c>
      <c r="M317" s="36" t="n"/>
      <c r="N317" s="36" t="n"/>
      <c r="O317" s="24" t="n"/>
    </row>
    <row r="318">
      <c r="A318" s="22" t="n"/>
      <c r="B318" s="22" t="n"/>
      <c r="C318" s="22" t="n"/>
      <c r="D318" s="22" t="n"/>
      <c r="E318" s="22" t="n"/>
      <c r="F318" s="22" t="n"/>
      <c r="G318" s="22" t="n"/>
      <c r="H318" s="22" t="n"/>
      <c r="I318" s="22" t="n"/>
      <c r="J318" s="22" t="n"/>
      <c r="K318" s="22" t="n"/>
      <c r="L318" s="22">
        <f>IF(COUNTA(A318:K318,M318:O318)=0,"",IF(A318="","Evidence ID missing",IF(COUNTIF($A$4:$A$353,A318)&gt;1,"Duplicate Evidence ID",IF(B318="","AIR-ID missing",IF(COUNTIF('AI Register'!$A$4:$A$206,B318)=0,"AIR-ID not in AI Register",IF(OR(C318="",H318=""),"Artefact or location missing",IF(AND(M318&lt;&gt;"",NOT(ISNUMBER(M318))),"Completed / last reviewed is not a date",IF(AND(N318&lt;&gt;"",NOT(ISNUMBER(N318))),"Review due is not a date",IF(AND(ISNUMBER(N318),N318&lt;TODAY()),"Review date passed: re-review before citing by reference (Playbook §4.6)",IF(AND(G318="Accepted",ISNUMBER(M318),EDATE(M318,12)&lt;TODAY(),O318=""),"Over 12 months old: owner's still-holds review needed before citing by reference","Check against source"))))))))))</f>
        <v/>
      </c>
      <c r="M318" s="35" t="n"/>
      <c r="N318" s="35" t="n"/>
      <c r="O318" s="22" t="n"/>
    </row>
    <row r="319">
      <c r="A319" s="24" t="n"/>
      <c r="B319" s="24" t="n"/>
      <c r="C319" s="24" t="n"/>
      <c r="D319" s="24" t="n"/>
      <c r="E319" s="24" t="n"/>
      <c r="F319" s="24" t="n"/>
      <c r="G319" s="24" t="n"/>
      <c r="H319" s="24" t="n"/>
      <c r="I319" s="24" t="n"/>
      <c r="J319" s="24" t="n"/>
      <c r="K319" s="24" t="n"/>
      <c r="L319" s="24">
        <f>IF(COUNTA(A319:K319,M319:O319)=0,"",IF(A319="","Evidence ID missing",IF(COUNTIF($A$4:$A$353,A319)&gt;1,"Duplicate Evidence ID",IF(B319="","AIR-ID missing",IF(COUNTIF('AI Register'!$A$4:$A$206,B319)=0,"AIR-ID not in AI Register",IF(OR(C319="",H319=""),"Artefact or location missing",IF(AND(M319&lt;&gt;"",NOT(ISNUMBER(M319))),"Completed / last reviewed is not a date",IF(AND(N319&lt;&gt;"",NOT(ISNUMBER(N319))),"Review due is not a date",IF(AND(ISNUMBER(N319),N319&lt;TODAY()),"Review date passed: re-review before citing by reference (Playbook §4.6)",IF(AND(G319="Accepted",ISNUMBER(M319),EDATE(M319,12)&lt;TODAY(),O319=""),"Over 12 months old: owner's still-holds review needed before citing by reference","Check against source"))))))))))</f>
        <v/>
      </c>
      <c r="M319" s="36" t="n"/>
      <c r="N319" s="36" t="n"/>
      <c r="O319" s="24" t="n"/>
    </row>
    <row r="320">
      <c r="A320" s="22" t="n"/>
      <c r="B320" s="22" t="n"/>
      <c r="C320" s="22" t="n"/>
      <c r="D320" s="22" t="n"/>
      <c r="E320" s="22" t="n"/>
      <c r="F320" s="22" t="n"/>
      <c r="G320" s="22" t="n"/>
      <c r="H320" s="22" t="n"/>
      <c r="I320" s="22" t="n"/>
      <c r="J320" s="22" t="n"/>
      <c r="K320" s="22" t="n"/>
      <c r="L320" s="22">
        <f>IF(COUNTA(A320:K320,M320:O320)=0,"",IF(A320="","Evidence ID missing",IF(COUNTIF($A$4:$A$353,A320)&gt;1,"Duplicate Evidence ID",IF(B320="","AIR-ID missing",IF(COUNTIF('AI Register'!$A$4:$A$206,B320)=0,"AIR-ID not in AI Register",IF(OR(C320="",H320=""),"Artefact or location missing",IF(AND(M320&lt;&gt;"",NOT(ISNUMBER(M320))),"Completed / last reviewed is not a date",IF(AND(N320&lt;&gt;"",NOT(ISNUMBER(N320))),"Review due is not a date",IF(AND(ISNUMBER(N320),N320&lt;TODAY()),"Review date passed: re-review before citing by reference (Playbook §4.6)",IF(AND(G320="Accepted",ISNUMBER(M320),EDATE(M320,12)&lt;TODAY(),O320=""),"Over 12 months old: owner's still-holds review needed before citing by reference","Check against source"))))))))))</f>
        <v/>
      </c>
      <c r="M320" s="35" t="n"/>
      <c r="N320" s="35" t="n"/>
      <c r="O320" s="22" t="n"/>
    </row>
    <row r="321">
      <c r="A321" s="24" t="n"/>
      <c r="B321" s="24" t="n"/>
      <c r="C321" s="24" t="n"/>
      <c r="D321" s="24" t="n"/>
      <c r="E321" s="24" t="n"/>
      <c r="F321" s="24" t="n"/>
      <c r="G321" s="24" t="n"/>
      <c r="H321" s="24" t="n"/>
      <c r="I321" s="24" t="n"/>
      <c r="J321" s="24" t="n"/>
      <c r="K321" s="24" t="n"/>
      <c r="L321" s="24">
        <f>IF(COUNTA(A321:K321,M321:O321)=0,"",IF(A321="","Evidence ID missing",IF(COUNTIF($A$4:$A$353,A321)&gt;1,"Duplicate Evidence ID",IF(B321="","AIR-ID missing",IF(COUNTIF('AI Register'!$A$4:$A$206,B321)=0,"AIR-ID not in AI Register",IF(OR(C321="",H321=""),"Artefact or location missing",IF(AND(M321&lt;&gt;"",NOT(ISNUMBER(M321))),"Completed / last reviewed is not a date",IF(AND(N321&lt;&gt;"",NOT(ISNUMBER(N321))),"Review due is not a date",IF(AND(ISNUMBER(N321),N321&lt;TODAY()),"Review date passed: re-review before citing by reference (Playbook §4.6)",IF(AND(G321="Accepted",ISNUMBER(M321),EDATE(M321,12)&lt;TODAY(),O321=""),"Over 12 months old: owner's still-holds review needed before citing by reference","Check against source"))))))))))</f>
        <v/>
      </c>
      <c r="M321" s="36" t="n"/>
      <c r="N321" s="36" t="n"/>
      <c r="O321" s="24" t="n"/>
    </row>
    <row r="322">
      <c r="A322" s="22" t="n"/>
      <c r="B322" s="22" t="n"/>
      <c r="C322" s="22" t="n"/>
      <c r="D322" s="22" t="n"/>
      <c r="E322" s="22" t="n"/>
      <c r="F322" s="22" t="n"/>
      <c r="G322" s="22" t="n"/>
      <c r="H322" s="22" t="n"/>
      <c r="I322" s="22" t="n"/>
      <c r="J322" s="22" t="n"/>
      <c r="K322" s="22" t="n"/>
      <c r="L322" s="22">
        <f>IF(COUNTA(A322:K322,M322:O322)=0,"",IF(A322="","Evidence ID missing",IF(COUNTIF($A$4:$A$353,A322)&gt;1,"Duplicate Evidence ID",IF(B322="","AIR-ID missing",IF(COUNTIF('AI Register'!$A$4:$A$206,B322)=0,"AIR-ID not in AI Register",IF(OR(C322="",H322=""),"Artefact or location missing",IF(AND(M322&lt;&gt;"",NOT(ISNUMBER(M322))),"Completed / last reviewed is not a date",IF(AND(N322&lt;&gt;"",NOT(ISNUMBER(N322))),"Review due is not a date",IF(AND(ISNUMBER(N322),N322&lt;TODAY()),"Review date passed: re-review before citing by reference (Playbook §4.6)",IF(AND(G322="Accepted",ISNUMBER(M322),EDATE(M322,12)&lt;TODAY(),O322=""),"Over 12 months old: owner's still-holds review needed before citing by reference","Check against source"))))))))))</f>
        <v/>
      </c>
      <c r="M322" s="35" t="n"/>
      <c r="N322" s="35" t="n"/>
      <c r="O322" s="22" t="n"/>
    </row>
    <row r="323">
      <c r="A323" s="24" t="n"/>
      <c r="B323" s="24" t="n"/>
      <c r="C323" s="24" t="n"/>
      <c r="D323" s="24" t="n"/>
      <c r="E323" s="24" t="n"/>
      <c r="F323" s="24" t="n"/>
      <c r="G323" s="24" t="n"/>
      <c r="H323" s="24" t="n"/>
      <c r="I323" s="24" t="n"/>
      <c r="J323" s="24" t="n"/>
      <c r="K323" s="24" t="n"/>
      <c r="L323" s="24">
        <f>IF(COUNTA(A323:K323,M323:O323)=0,"",IF(A323="","Evidence ID missing",IF(COUNTIF($A$4:$A$353,A323)&gt;1,"Duplicate Evidence ID",IF(B323="","AIR-ID missing",IF(COUNTIF('AI Register'!$A$4:$A$206,B323)=0,"AIR-ID not in AI Register",IF(OR(C323="",H323=""),"Artefact or location missing",IF(AND(M323&lt;&gt;"",NOT(ISNUMBER(M323))),"Completed / last reviewed is not a date",IF(AND(N323&lt;&gt;"",NOT(ISNUMBER(N323))),"Review due is not a date",IF(AND(ISNUMBER(N323),N323&lt;TODAY()),"Review date passed: re-review before citing by reference (Playbook §4.6)",IF(AND(G323="Accepted",ISNUMBER(M323),EDATE(M323,12)&lt;TODAY(),O323=""),"Over 12 months old: owner's still-holds review needed before citing by reference","Check against source"))))))))))</f>
        <v/>
      </c>
      <c r="M323" s="36" t="n"/>
      <c r="N323" s="36" t="n"/>
      <c r="O323" s="24" t="n"/>
    </row>
    <row r="324">
      <c r="A324" s="22" t="n"/>
      <c r="B324" s="22" t="n"/>
      <c r="C324" s="22" t="n"/>
      <c r="D324" s="22" t="n"/>
      <c r="E324" s="22" t="n"/>
      <c r="F324" s="22" t="n"/>
      <c r="G324" s="22" t="n"/>
      <c r="H324" s="22" t="n"/>
      <c r="I324" s="22" t="n"/>
      <c r="J324" s="22" t="n"/>
      <c r="K324" s="22" t="n"/>
      <c r="L324" s="22">
        <f>IF(COUNTA(A324:K324,M324:O324)=0,"",IF(A324="","Evidence ID missing",IF(COUNTIF($A$4:$A$353,A324)&gt;1,"Duplicate Evidence ID",IF(B324="","AIR-ID missing",IF(COUNTIF('AI Register'!$A$4:$A$206,B324)=0,"AIR-ID not in AI Register",IF(OR(C324="",H324=""),"Artefact or location missing",IF(AND(M324&lt;&gt;"",NOT(ISNUMBER(M324))),"Completed / last reviewed is not a date",IF(AND(N324&lt;&gt;"",NOT(ISNUMBER(N324))),"Review due is not a date",IF(AND(ISNUMBER(N324),N324&lt;TODAY()),"Review date passed: re-review before citing by reference (Playbook §4.6)",IF(AND(G324="Accepted",ISNUMBER(M324),EDATE(M324,12)&lt;TODAY(),O324=""),"Over 12 months old: owner's still-holds review needed before citing by reference","Check against source"))))))))))</f>
        <v/>
      </c>
      <c r="M324" s="35" t="n"/>
      <c r="N324" s="35" t="n"/>
      <c r="O324" s="22" t="n"/>
    </row>
    <row r="325">
      <c r="A325" s="24" t="n"/>
      <c r="B325" s="24" t="n"/>
      <c r="C325" s="24" t="n"/>
      <c r="D325" s="24" t="n"/>
      <c r="E325" s="24" t="n"/>
      <c r="F325" s="24" t="n"/>
      <c r="G325" s="24" t="n"/>
      <c r="H325" s="24" t="n"/>
      <c r="I325" s="24" t="n"/>
      <c r="J325" s="24" t="n"/>
      <c r="K325" s="24" t="n"/>
      <c r="L325" s="24">
        <f>IF(COUNTA(A325:K325,M325:O325)=0,"",IF(A325="","Evidence ID missing",IF(COUNTIF($A$4:$A$353,A325)&gt;1,"Duplicate Evidence ID",IF(B325="","AIR-ID missing",IF(COUNTIF('AI Register'!$A$4:$A$206,B325)=0,"AIR-ID not in AI Register",IF(OR(C325="",H325=""),"Artefact or location missing",IF(AND(M325&lt;&gt;"",NOT(ISNUMBER(M325))),"Completed / last reviewed is not a date",IF(AND(N325&lt;&gt;"",NOT(ISNUMBER(N325))),"Review due is not a date",IF(AND(ISNUMBER(N325),N325&lt;TODAY()),"Review date passed: re-review before citing by reference (Playbook §4.6)",IF(AND(G325="Accepted",ISNUMBER(M325),EDATE(M325,12)&lt;TODAY(),O325=""),"Over 12 months old: owner's still-holds review needed before citing by reference","Check against source"))))))))))</f>
        <v/>
      </c>
      <c r="M325" s="36" t="n"/>
      <c r="N325" s="36" t="n"/>
      <c r="O325" s="24" t="n"/>
    </row>
    <row r="326">
      <c r="A326" s="22" t="n"/>
      <c r="B326" s="22" t="n"/>
      <c r="C326" s="22" t="n"/>
      <c r="D326" s="22" t="n"/>
      <c r="E326" s="22" t="n"/>
      <c r="F326" s="22" t="n"/>
      <c r="G326" s="22" t="n"/>
      <c r="H326" s="22" t="n"/>
      <c r="I326" s="22" t="n"/>
      <c r="J326" s="22" t="n"/>
      <c r="K326" s="22" t="n"/>
      <c r="L326" s="22">
        <f>IF(COUNTA(A326:K326,M326:O326)=0,"",IF(A326="","Evidence ID missing",IF(COUNTIF($A$4:$A$353,A326)&gt;1,"Duplicate Evidence ID",IF(B326="","AIR-ID missing",IF(COUNTIF('AI Register'!$A$4:$A$206,B326)=0,"AIR-ID not in AI Register",IF(OR(C326="",H326=""),"Artefact or location missing",IF(AND(M326&lt;&gt;"",NOT(ISNUMBER(M326))),"Completed / last reviewed is not a date",IF(AND(N326&lt;&gt;"",NOT(ISNUMBER(N326))),"Review due is not a date",IF(AND(ISNUMBER(N326),N326&lt;TODAY()),"Review date passed: re-review before citing by reference (Playbook §4.6)",IF(AND(G326="Accepted",ISNUMBER(M326),EDATE(M326,12)&lt;TODAY(),O326=""),"Over 12 months old: owner's still-holds review needed before citing by reference","Check against source"))))))))))</f>
        <v/>
      </c>
      <c r="M326" s="35" t="n"/>
      <c r="N326" s="35" t="n"/>
      <c r="O326" s="22" t="n"/>
    </row>
    <row r="327">
      <c r="A327" s="24" t="n"/>
      <c r="B327" s="24" t="n"/>
      <c r="C327" s="24" t="n"/>
      <c r="D327" s="24" t="n"/>
      <c r="E327" s="24" t="n"/>
      <c r="F327" s="24" t="n"/>
      <c r="G327" s="24" t="n"/>
      <c r="H327" s="24" t="n"/>
      <c r="I327" s="24" t="n"/>
      <c r="J327" s="24" t="n"/>
      <c r="K327" s="24" t="n"/>
      <c r="L327" s="24">
        <f>IF(COUNTA(A327:K327,M327:O327)=0,"",IF(A327="","Evidence ID missing",IF(COUNTIF($A$4:$A$353,A327)&gt;1,"Duplicate Evidence ID",IF(B327="","AIR-ID missing",IF(COUNTIF('AI Register'!$A$4:$A$206,B327)=0,"AIR-ID not in AI Register",IF(OR(C327="",H327=""),"Artefact or location missing",IF(AND(M327&lt;&gt;"",NOT(ISNUMBER(M327))),"Completed / last reviewed is not a date",IF(AND(N327&lt;&gt;"",NOT(ISNUMBER(N327))),"Review due is not a date",IF(AND(ISNUMBER(N327),N327&lt;TODAY()),"Review date passed: re-review before citing by reference (Playbook §4.6)",IF(AND(G327="Accepted",ISNUMBER(M327),EDATE(M327,12)&lt;TODAY(),O327=""),"Over 12 months old: owner's still-holds review needed before citing by reference","Check against source"))))))))))</f>
        <v/>
      </c>
      <c r="M327" s="36" t="n"/>
      <c r="N327" s="36" t="n"/>
      <c r="O327" s="24" t="n"/>
    </row>
    <row r="328">
      <c r="A328" s="22" t="n"/>
      <c r="B328" s="22" t="n"/>
      <c r="C328" s="22" t="n"/>
      <c r="D328" s="22" t="n"/>
      <c r="E328" s="22" t="n"/>
      <c r="F328" s="22" t="n"/>
      <c r="G328" s="22" t="n"/>
      <c r="H328" s="22" t="n"/>
      <c r="I328" s="22" t="n"/>
      <c r="J328" s="22" t="n"/>
      <c r="K328" s="22" t="n"/>
      <c r="L328" s="22">
        <f>IF(COUNTA(A328:K328,M328:O328)=0,"",IF(A328="","Evidence ID missing",IF(COUNTIF($A$4:$A$353,A328)&gt;1,"Duplicate Evidence ID",IF(B328="","AIR-ID missing",IF(COUNTIF('AI Register'!$A$4:$A$206,B328)=0,"AIR-ID not in AI Register",IF(OR(C328="",H328=""),"Artefact or location missing",IF(AND(M328&lt;&gt;"",NOT(ISNUMBER(M328))),"Completed / last reviewed is not a date",IF(AND(N328&lt;&gt;"",NOT(ISNUMBER(N328))),"Review due is not a date",IF(AND(ISNUMBER(N328),N328&lt;TODAY()),"Review date passed: re-review before citing by reference (Playbook §4.6)",IF(AND(G328="Accepted",ISNUMBER(M328),EDATE(M328,12)&lt;TODAY(),O328=""),"Over 12 months old: owner's still-holds review needed before citing by reference","Check against source"))))))))))</f>
        <v/>
      </c>
      <c r="M328" s="35" t="n"/>
      <c r="N328" s="35" t="n"/>
      <c r="O328" s="22" t="n"/>
    </row>
    <row r="329">
      <c r="A329" s="24" t="n"/>
      <c r="B329" s="24" t="n"/>
      <c r="C329" s="24" t="n"/>
      <c r="D329" s="24" t="n"/>
      <c r="E329" s="24" t="n"/>
      <c r="F329" s="24" t="n"/>
      <c r="G329" s="24" t="n"/>
      <c r="H329" s="24" t="n"/>
      <c r="I329" s="24" t="n"/>
      <c r="J329" s="24" t="n"/>
      <c r="K329" s="24" t="n"/>
      <c r="L329" s="24">
        <f>IF(COUNTA(A329:K329,M329:O329)=0,"",IF(A329="","Evidence ID missing",IF(COUNTIF($A$4:$A$353,A329)&gt;1,"Duplicate Evidence ID",IF(B329="","AIR-ID missing",IF(COUNTIF('AI Register'!$A$4:$A$206,B329)=0,"AIR-ID not in AI Register",IF(OR(C329="",H329=""),"Artefact or location missing",IF(AND(M329&lt;&gt;"",NOT(ISNUMBER(M329))),"Completed / last reviewed is not a date",IF(AND(N329&lt;&gt;"",NOT(ISNUMBER(N329))),"Review due is not a date",IF(AND(ISNUMBER(N329),N329&lt;TODAY()),"Review date passed: re-review before citing by reference (Playbook §4.6)",IF(AND(G329="Accepted",ISNUMBER(M329),EDATE(M329,12)&lt;TODAY(),O329=""),"Over 12 months old: owner's still-holds review needed before citing by reference","Check against source"))))))))))</f>
        <v/>
      </c>
      <c r="M329" s="36" t="n"/>
      <c r="N329" s="36" t="n"/>
      <c r="O329" s="24" t="n"/>
    </row>
    <row r="330">
      <c r="A330" s="22" t="n"/>
      <c r="B330" s="22" t="n"/>
      <c r="C330" s="22" t="n"/>
      <c r="D330" s="22" t="n"/>
      <c r="E330" s="22" t="n"/>
      <c r="F330" s="22" t="n"/>
      <c r="G330" s="22" t="n"/>
      <c r="H330" s="22" t="n"/>
      <c r="I330" s="22" t="n"/>
      <c r="J330" s="22" t="n"/>
      <c r="K330" s="22" t="n"/>
      <c r="L330" s="22">
        <f>IF(COUNTA(A330:K330,M330:O330)=0,"",IF(A330="","Evidence ID missing",IF(COUNTIF($A$4:$A$353,A330)&gt;1,"Duplicate Evidence ID",IF(B330="","AIR-ID missing",IF(COUNTIF('AI Register'!$A$4:$A$206,B330)=0,"AIR-ID not in AI Register",IF(OR(C330="",H330=""),"Artefact or location missing",IF(AND(M330&lt;&gt;"",NOT(ISNUMBER(M330))),"Completed / last reviewed is not a date",IF(AND(N330&lt;&gt;"",NOT(ISNUMBER(N330))),"Review due is not a date",IF(AND(ISNUMBER(N330),N330&lt;TODAY()),"Review date passed: re-review before citing by reference (Playbook §4.6)",IF(AND(G330="Accepted",ISNUMBER(M330),EDATE(M330,12)&lt;TODAY(),O330=""),"Over 12 months old: owner's still-holds review needed before citing by reference","Check against source"))))))))))</f>
        <v/>
      </c>
      <c r="M330" s="35" t="n"/>
      <c r="N330" s="35" t="n"/>
      <c r="O330" s="22" t="n"/>
    </row>
    <row r="331">
      <c r="A331" s="24" t="n"/>
      <c r="B331" s="24" t="n"/>
      <c r="C331" s="24" t="n"/>
      <c r="D331" s="24" t="n"/>
      <c r="E331" s="24" t="n"/>
      <c r="F331" s="24" t="n"/>
      <c r="G331" s="24" t="n"/>
      <c r="H331" s="24" t="n"/>
      <c r="I331" s="24" t="n"/>
      <c r="J331" s="24" t="n"/>
      <c r="K331" s="24" t="n"/>
      <c r="L331" s="24">
        <f>IF(COUNTA(A331:K331,M331:O331)=0,"",IF(A331="","Evidence ID missing",IF(COUNTIF($A$4:$A$353,A331)&gt;1,"Duplicate Evidence ID",IF(B331="","AIR-ID missing",IF(COUNTIF('AI Register'!$A$4:$A$206,B331)=0,"AIR-ID not in AI Register",IF(OR(C331="",H331=""),"Artefact or location missing",IF(AND(M331&lt;&gt;"",NOT(ISNUMBER(M331))),"Completed / last reviewed is not a date",IF(AND(N331&lt;&gt;"",NOT(ISNUMBER(N331))),"Review due is not a date",IF(AND(ISNUMBER(N331),N331&lt;TODAY()),"Review date passed: re-review before citing by reference (Playbook §4.6)",IF(AND(G331="Accepted",ISNUMBER(M331),EDATE(M331,12)&lt;TODAY(),O331=""),"Over 12 months old: owner's still-holds review needed before citing by reference","Check against source"))))))))))</f>
        <v/>
      </c>
      <c r="M331" s="36" t="n"/>
      <c r="N331" s="36" t="n"/>
      <c r="O331" s="24" t="n"/>
    </row>
    <row r="332">
      <c r="A332" s="22" t="n"/>
      <c r="B332" s="22" t="n"/>
      <c r="C332" s="22" t="n"/>
      <c r="D332" s="22" t="n"/>
      <c r="E332" s="22" t="n"/>
      <c r="F332" s="22" t="n"/>
      <c r="G332" s="22" t="n"/>
      <c r="H332" s="22" t="n"/>
      <c r="I332" s="22" t="n"/>
      <c r="J332" s="22" t="n"/>
      <c r="K332" s="22" t="n"/>
      <c r="L332" s="22">
        <f>IF(COUNTA(A332:K332,M332:O332)=0,"",IF(A332="","Evidence ID missing",IF(COUNTIF($A$4:$A$353,A332)&gt;1,"Duplicate Evidence ID",IF(B332="","AIR-ID missing",IF(COUNTIF('AI Register'!$A$4:$A$206,B332)=0,"AIR-ID not in AI Register",IF(OR(C332="",H332=""),"Artefact or location missing",IF(AND(M332&lt;&gt;"",NOT(ISNUMBER(M332))),"Completed / last reviewed is not a date",IF(AND(N332&lt;&gt;"",NOT(ISNUMBER(N332))),"Review due is not a date",IF(AND(ISNUMBER(N332),N332&lt;TODAY()),"Review date passed: re-review before citing by reference (Playbook §4.6)",IF(AND(G332="Accepted",ISNUMBER(M332),EDATE(M332,12)&lt;TODAY(),O332=""),"Over 12 months old: owner's still-holds review needed before citing by reference","Check against source"))))))))))</f>
        <v/>
      </c>
      <c r="M332" s="35" t="n"/>
      <c r="N332" s="35" t="n"/>
      <c r="O332" s="22" t="n"/>
    </row>
    <row r="333">
      <c r="A333" s="24" t="n"/>
      <c r="B333" s="24" t="n"/>
      <c r="C333" s="24" t="n"/>
      <c r="D333" s="24" t="n"/>
      <c r="E333" s="24" t="n"/>
      <c r="F333" s="24" t="n"/>
      <c r="G333" s="24" t="n"/>
      <c r="H333" s="24" t="n"/>
      <c r="I333" s="24" t="n"/>
      <c r="J333" s="24" t="n"/>
      <c r="K333" s="24" t="n"/>
      <c r="L333" s="24">
        <f>IF(COUNTA(A333:K333,M333:O333)=0,"",IF(A333="","Evidence ID missing",IF(COUNTIF($A$4:$A$353,A333)&gt;1,"Duplicate Evidence ID",IF(B333="","AIR-ID missing",IF(COUNTIF('AI Register'!$A$4:$A$206,B333)=0,"AIR-ID not in AI Register",IF(OR(C333="",H333=""),"Artefact or location missing",IF(AND(M333&lt;&gt;"",NOT(ISNUMBER(M333))),"Completed / last reviewed is not a date",IF(AND(N333&lt;&gt;"",NOT(ISNUMBER(N333))),"Review due is not a date",IF(AND(ISNUMBER(N333),N333&lt;TODAY()),"Review date passed: re-review before citing by reference (Playbook §4.6)",IF(AND(G333="Accepted",ISNUMBER(M333),EDATE(M333,12)&lt;TODAY(),O333=""),"Over 12 months old: owner's still-holds review needed before citing by reference","Check against source"))))))))))</f>
        <v/>
      </c>
      <c r="M333" s="36" t="n"/>
      <c r="N333" s="36" t="n"/>
      <c r="O333" s="24" t="n"/>
    </row>
    <row r="334">
      <c r="A334" s="22" t="n"/>
      <c r="B334" s="22" t="n"/>
      <c r="C334" s="22" t="n"/>
      <c r="D334" s="22" t="n"/>
      <c r="E334" s="22" t="n"/>
      <c r="F334" s="22" t="n"/>
      <c r="G334" s="22" t="n"/>
      <c r="H334" s="22" t="n"/>
      <c r="I334" s="22" t="n"/>
      <c r="J334" s="22" t="n"/>
      <c r="K334" s="22" t="n"/>
      <c r="L334" s="22">
        <f>IF(COUNTA(A334:K334,M334:O334)=0,"",IF(A334="","Evidence ID missing",IF(COUNTIF($A$4:$A$353,A334)&gt;1,"Duplicate Evidence ID",IF(B334="","AIR-ID missing",IF(COUNTIF('AI Register'!$A$4:$A$206,B334)=0,"AIR-ID not in AI Register",IF(OR(C334="",H334=""),"Artefact or location missing",IF(AND(M334&lt;&gt;"",NOT(ISNUMBER(M334))),"Completed / last reviewed is not a date",IF(AND(N334&lt;&gt;"",NOT(ISNUMBER(N334))),"Review due is not a date",IF(AND(ISNUMBER(N334),N334&lt;TODAY()),"Review date passed: re-review before citing by reference (Playbook §4.6)",IF(AND(G334="Accepted",ISNUMBER(M334),EDATE(M334,12)&lt;TODAY(),O334=""),"Over 12 months old: owner's still-holds review needed before citing by reference","Check against source"))))))))))</f>
        <v/>
      </c>
      <c r="M334" s="35" t="n"/>
      <c r="N334" s="35" t="n"/>
      <c r="O334" s="22" t="n"/>
    </row>
    <row r="335">
      <c r="A335" s="24" t="n"/>
      <c r="B335" s="24" t="n"/>
      <c r="C335" s="24" t="n"/>
      <c r="D335" s="24" t="n"/>
      <c r="E335" s="24" t="n"/>
      <c r="F335" s="24" t="n"/>
      <c r="G335" s="24" t="n"/>
      <c r="H335" s="24" t="n"/>
      <c r="I335" s="24" t="n"/>
      <c r="J335" s="24" t="n"/>
      <c r="K335" s="24" t="n"/>
      <c r="L335" s="24">
        <f>IF(COUNTA(A335:K335,M335:O335)=0,"",IF(A335="","Evidence ID missing",IF(COUNTIF($A$4:$A$353,A335)&gt;1,"Duplicate Evidence ID",IF(B335="","AIR-ID missing",IF(COUNTIF('AI Register'!$A$4:$A$206,B335)=0,"AIR-ID not in AI Register",IF(OR(C335="",H335=""),"Artefact or location missing",IF(AND(M335&lt;&gt;"",NOT(ISNUMBER(M335))),"Completed / last reviewed is not a date",IF(AND(N335&lt;&gt;"",NOT(ISNUMBER(N335))),"Review due is not a date",IF(AND(ISNUMBER(N335),N335&lt;TODAY()),"Review date passed: re-review before citing by reference (Playbook §4.6)",IF(AND(G335="Accepted",ISNUMBER(M335),EDATE(M335,12)&lt;TODAY(),O335=""),"Over 12 months old: owner's still-holds review needed before citing by reference","Check against source"))))))))))</f>
        <v/>
      </c>
      <c r="M335" s="36" t="n"/>
      <c r="N335" s="36" t="n"/>
      <c r="O335" s="24" t="n"/>
    </row>
    <row r="336">
      <c r="A336" s="22" t="n"/>
      <c r="B336" s="22" t="n"/>
      <c r="C336" s="22" t="n"/>
      <c r="D336" s="22" t="n"/>
      <c r="E336" s="22" t="n"/>
      <c r="F336" s="22" t="n"/>
      <c r="G336" s="22" t="n"/>
      <c r="H336" s="22" t="n"/>
      <c r="I336" s="22" t="n"/>
      <c r="J336" s="22" t="n"/>
      <c r="K336" s="22" t="n"/>
      <c r="L336" s="22">
        <f>IF(COUNTA(A336:K336,M336:O336)=0,"",IF(A336="","Evidence ID missing",IF(COUNTIF($A$4:$A$353,A336)&gt;1,"Duplicate Evidence ID",IF(B336="","AIR-ID missing",IF(COUNTIF('AI Register'!$A$4:$A$206,B336)=0,"AIR-ID not in AI Register",IF(OR(C336="",H336=""),"Artefact or location missing",IF(AND(M336&lt;&gt;"",NOT(ISNUMBER(M336))),"Completed / last reviewed is not a date",IF(AND(N336&lt;&gt;"",NOT(ISNUMBER(N336))),"Review due is not a date",IF(AND(ISNUMBER(N336),N336&lt;TODAY()),"Review date passed: re-review before citing by reference (Playbook §4.6)",IF(AND(G336="Accepted",ISNUMBER(M336),EDATE(M336,12)&lt;TODAY(),O336=""),"Over 12 months old: owner's still-holds review needed before citing by reference","Check against source"))))))))))</f>
        <v/>
      </c>
      <c r="M336" s="35" t="n"/>
      <c r="N336" s="35" t="n"/>
      <c r="O336" s="22" t="n"/>
    </row>
    <row r="337">
      <c r="A337" s="24" t="n"/>
      <c r="B337" s="24" t="n"/>
      <c r="C337" s="24" t="n"/>
      <c r="D337" s="24" t="n"/>
      <c r="E337" s="24" t="n"/>
      <c r="F337" s="24" t="n"/>
      <c r="G337" s="24" t="n"/>
      <c r="H337" s="24" t="n"/>
      <c r="I337" s="24" t="n"/>
      <c r="J337" s="24" t="n"/>
      <c r="K337" s="24" t="n"/>
      <c r="L337" s="24">
        <f>IF(COUNTA(A337:K337,M337:O337)=0,"",IF(A337="","Evidence ID missing",IF(COUNTIF($A$4:$A$353,A337)&gt;1,"Duplicate Evidence ID",IF(B337="","AIR-ID missing",IF(COUNTIF('AI Register'!$A$4:$A$206,B337)=0,"AIR-ID not in AI Register",IF(OR(C337="",H337=""),"Artefact or location missing",IF(AND(M337&lt;&gt;"",NOT(ISNUMBER(M337))),"Completed / last reviewed is not a date",IF(AND(N337&lt;&gt;"",NOT(ISNUMBER(N337))),"Review due is not a date",IF(AND(ISNUMBER(N337),N337&lt;TODAY()),"Review date passed: re-review before citing by reference (Playbook §4.6)",IF(AND(G337="Accepted",ISNUMBER(M337),EDATE(M337,12)&lt;TODAY(),O337=""),"Over 12 months old: owner's still-holds review needed before citing by reference","Check against source"))))))))))</f>
        <v/>
      </c>
      <c r="M337" s="36" t="n"/>
      <c r="N337" s="36" t="n"/>
      <c r="O337" s="24" t="n"/>
    </row>
    <row r="338">
      <c r="A338" s="22" t="n"/>
      <c r="B338" s="22" t="n"/>
      <c r="C338" s="22" t="n"/>
      <c r="D338" s="22" t="n"/>
      <c r="E338" s="22" t="n"/>
      <c r="F338" s="22" t="n"/>
      <c r="G338" s="22" t="n"/>
      <c r="H338" s="22" t="n"/>
      <c r="I338" s="22" t="n"/>
      <c r="J338" s="22" t="n"/>
      <c r="K338" s="22" t="n"/>
      <c r="L338" s="22">
        <f>IF(COUNTA(A338:K338,M338:O338)=0,"",IF(A338="","Evidence ID missing",IF(COUNTIF($A$4:$A$353,A338)&gt;1,"Duplicate Evidence ID",IF(B338="","AIR-ID missing",IF(COUNTIF('AI Register'!$A$4:$A$206,B338)=0,"AIR-ID not in AI Register",IF(OR(C338="",H338=""),"Artefact or location missing",IF(AND(M338&lt;&gt;"",NOT(ISNUMBER(M338))),"Completed / last reviewed is not a date",IF(AND(N338&lt;&gt;"",NOT(ISNUMBER(N338))),"Review due is not a date",IF(AND(ISNUMBER(N338),N338&lt;TODAY()),"Review date passed: re-review before citing by reference (Playbook §4.6)",IF(AND(G338="Accepted",ISNUMBER(M338),EDATE(M338,12)&lt;TODAY(),O338=""),"Over 12 months old: owner's still-holds review needed before citing by reference","Check against source"))))))))))</f>
        <v/>
      </c>
      <c r="M338" s="35" t="n"/>
      <c r="N338" s="35" t="n"/>
      <c r="O338" s="22" t="n"/>
    </row>
    <row r="339">
      <c r="A339" s="24" t="n"/>
      <c r="B339" s="24" t="n"/>
      <c r="C339" s="24" t="n"/>
      <c r="D339" s="24" t="n"/>
      <c r="E339" s="24" t="n"/>
      <c r="F339" s="24" t="n"/>
      <c r="G339" s="24" t="n"/>
      <c r="H339" s="24" t="n"/>
      <c r="I339" s="24" t="n"/>
      <c r="J339" s="24" t="n"/>
      <c r="K339" s="24" t="n"/>
      <c r="L339" s="24">
        <f>IF(COUNTA(A339:K339,M339:O339)=0,"",IF(A339="","Evidence ID missing",IF(COUNTIF($A$4:$A$353,A339)&gt;1,"Duplicate Evidence ID",IF(B339="","AIR-ID missing",IF(COUNTIF('AI Register'!$A$4:$A$206,B339)=0,"AIR-ID not in AI Register",IF(OR(C339="",H339=""),"Artefact or location missing",IF(AND(M339&lt;&gt;"",NOT(ISNUMBER(M339))),"Completed / last reviewed is not a date",IF(AND(N339&lt;&gt;"",NOT(ISNUMBER(N339))),"Review due is not a date",IF(AND(ISNUMBER(N339),N339&lt;TODAY()),"Review date passed: re-review before citing by reference (Playbook §4.6)",IF(AND(G339="Accepted",ISNUMBER(M339),EDATE(M339,12)&lt;TODAY(),O339=""),"Over 12 months old: owner's still-holds review needed before citing by reference","Check against source"))))))))))</f>
        <v/>
      </c>
      <c r="M339" s="36" t="n"/>
      <c r="N339" s="36" t="n"/>
      <c r="O339" s="24" t="n"/>
    </row>
    <row r="340">
      <c r="A340" s="22" t="n"/>
      <c r="B340" s="22" t="n"/>
      <c r="C340" s="22" t="n"/>
      <c r="D340" s="22" t="n"/>
      <c r="E340" s="22" t="n"/>
      <c r="F340" s="22" t="n"/>
      <c r="G340" s="22" t="n"/>
      <c r="H340" s="22" t="n"/>
      <c r="I340" s="22" t="n"/>
      <c r="J340" s="22" t="n"/>
      <c r="K340" s="22" t="n"/>
      <c r="L340" s="22">
        <f>IF(COUNTA(A340:K340,M340:O340)=0,"",IF(A340="","Evidence ID missing",IF(COUNTIF($A$4:$A$353,A340)&gt;1,"Duplicate Evidence ID",IF(B340="","AIR-ID missing",IF(COUNTIF('AI Register'!$A$4:$A$206,B340)=0,"AIR-ID not in AI Register",IF(OR(C340="",H340=""),"Artefact or location missing",IF(AND(M340&lt;&gt;"",NOT(ISNUMBER(M340))),"Completed / last reviewed is not a date",IF(AND(N340&lt;&gt;"",NOT(ISNUMBER(N340))),"Review due is not a date",IF(AND(ISNUMBER(N340),N340&lt;TODAY()),"Review date passed: re-review before citing by reference (Playbook §4.6)",IF(AND(G340="Accepted",ISNUMBER(M340),EDATE(M340,12)&lt;TODAY(),O340=""),"Over 12 months old: owner's still-holds review needed before citing by reference","Check against source"))))))))))</f>
        <v/>
      </c>
      <c r="M340" s="35" t="n"/>
      <c r="N340" s="35" t="n"/>
      <c r="O340" s="22" t="n"/>
    </row>
    <row r="341">
      <c r="A341" s="24" t="n"/>
      <c r="B341" s="24" t="n"/>
      <c r="C341" s="24" t="n"/>
      <c r="D341" s="24" t="n"/>
      <c r="E341" s="24" t="n"/>
      <c r="F341" s="24" t="n"/>
      <c r="G341" s="24" t="n"/>
      <c r="H341" s="24" t="n"/>
      <c r="I341" s="24" t="n"/>
      <c r="J341" s="24" t="n"/>
      <c r="K341" s="24" t="n"/>
      <c r="L341" s="24">
        <f>IF(COUNTA(A341:K341,M341:O341)=0,"",IF(A341="","Evidence ID missing",IF(COUNTIF($A$4:$A$353,A341)&gt;1,"Duplicate Evidence ID",IF(B341="","AIR-ID missing",IF(COUNTIF('AI Register'!$A$4:$A$206,B341)=0,"AIR-ID not in AI Register",IF(OR(C341="",H341=""),"Artefact or location missing",IF(AND(M341&lt;&gt;"",NOT(ISNUMBER(M341))),"Completed / last reviewed is not a date",IF(AND(N341&lt;&gt;"",NOT(ISNUMBER(N341))),"Review due is not a date",IF(AND(ISNUMBER(N341),N341&lt;TODAY()),"Review date passed: re-review before citing by reference (Playbook §4.6)",IF(AND(G341="Accepted",ISNUMBER(M341),EDATE(M341,12)&lt;TODAY(),O341=""),"Over 12 months old: owner's still-holds review needed before citing by reference","Check against source"))))))))))</f>
        <v/>
      </c>
      <c r="M341" s="36" t="n"/>
      <c r="N341" s="36" t="n"/>
      <c r="O341" s="24" t="n"/>
    </row>
    <row r="342">
      <c r="A342" s="22" t="n"/>
      <c r="B342" s="22" t="n"/>
      <c r="C342" s="22" t="n"/>
      <c r="D342" s="22" t="n"/>
      <c r="E342" s="22" t="n"/>
      <c r="F342" s="22" t="n"/>
      <c r="G342" s="22" t="n"/>
      <c r="H342" s="22" t="n"/>
      <c r="I342" s="22" t="n"/>
      <c r="J342" s="22" t="n"/>
      <c r="K342" s="22" t="n"/>
      <c r="L342" s="22">
        <f>IF(COUNTA(A342:K342,M342:O342)=0,"",IF(A342="","Evidence ID missing",IF(COUNTIF($A$4:$A$353,A342)&gt;1,"Duplicate Evidence ID",IF(B342="","AIR-ID missing",IF(COUNTIF('AI Register'!$A$4:$A$206,B342)=0,"AIR-ID not in AI Register",IF(OR(C342="",H342=""),"Artefact or location missing",IF(AND(M342&lt;&gt;"",NOT(ISNUMBER(M342))),"Completed / last reviewed is not a date",IF(AND(N342&lt;&gt;"",NOT(ISNUMBER(N342))),"Review due is not a date",IF(AND(ISNUMBER(N342),N342&lt;TODAY()),"Review date passed: re-review before citing by reference (Playbook §4.6)",IF(AND(G342="Accepted",ISNUMBER(M342),EDATE(M342,12)&lt;TODAY(),O342=""),"Over 12 months old: owner's still-holds review needed before citing by reference","Check against source"))))))))))</f>
        <v/>
      </c>
      <c r="M342" s="35" t="n"/>
      <c r="N342" s="35" t="n"/>
      <c r="O342" s="22" t="n"/>
    </row>
    <row r="343">
      <c r="A343" s="24" t="n"/>
      <c r="B343" s="24" t="n"/>
      <c r="C343" s="24" t="n"/>
      <c r="D343" s="24" t="n"/>
      <c r="E343" s="24" t="n"/>
      <c r="F343" s="24" t="n"/>
      <c r="G343" s="24" t="n"/>
      <c r="H343" s="24" t="n"/>
      <c r="I343" s="24" t="n"/>
      <c r="J343" s="24" t="n"/>
      <c r="K343" s="24" t="n"/>
      <c r="L343" s="24">
        <f>IF(COUNTA(A343:K343,M343:O343)=0,"",IF(A343="","Evidence ID missing",IF(COUNTIF($A$4:$A$353,A343)&gt;1,"Duplicate Evidence ID",IF(B343="","AIR-ID missing",IF(COUNTIF('AI Register'!$A$4:$A$206,B343)=0,"AIR-ID not in AI Register",IF(OR(C343="",H343=""),"Artefact or location missing",IF(AND(M343&lt;&gt;"",NOT(ISNUMBER(M343))),"Completed / last reviewed is not a date",IF(AND(N343&lt;&gt;"",NOT(ISNUMBER(N343))),"Review due is not a date",IF(AND(ISNUMBER(N343),N343&lt;TODAY()),"Review date passed: re-review before citing by reference (Playbook §4.6)",IF(AND(G343="Accepted",ISNUMBER(M343),EDATE(M343,12)&lt;TODAY(),O343=""),"Over 12 months old: owner's still-holds review needed before citing by reference","Check against source"))))))))))</f>
        <v/>
      </c>
      <c r="M343" s="36" t="n"/>
      <c r="N343" s="36" t="n"/>
      <c r="O343" s="24" t="n"/>
    </row>
    <row r="344">
      <c r="A344" s="22" t="n"/>
      <c r="B344" s="22" t="n"/>
      <c r="C344" s="22" t="n"/>
      <c r="D344" s="22" t="n"/>
      <c r="E344" s="22" t="n"/>
      <c r="F344" s="22" t="n"/>
      <c r="G344" s="22" t="n"/>
      <c r="H344" s="22" t="n"/>
      <c r="I344" s="22" t="n"/>
      <c r="J344" s="22" t="n"/>
      <c r="K344" s="22" t="n"/>
      <c r="L344" s="22">
        <f>IF(COUNTA(A344:K344,M344:O344)=0,"",IF(A344="","Evidence ID missing",IF(COUNTIF($A$4:$A$353,A344)&gt;1,"Duplicate Evidence ID",IF(B344="","AIR-ID missing",IF(COUNTIF('AI Register'!$A$4:$A$206,B344)=0,"AIR-ID not in AI Register",IF(OR(C344="",H344=""),"Artefact or location missing",IF(AND(M344&lt;&gt;"",NOT(ISNUMBER(M344))),"Completed / last reviewed is not a date",IF(AND(N344&lt;&gt;"",NOT(ISNUMBER(N344))),"Review due is not a date",IF(AND(ISNUMBER(N344),N344&lt;TODAY()),"Review date passed: re-review before citing by reference (Playbook §4.6)",IF(AND(G344="Accepted",ISNUMBER(M344),EDATE(M344,12)&lt;TODAY(),O344=""),"Over 12 months old: owner's still-holds review needed before citing by reference","Check against source"))))))))))</f>
        <v/>
      </c>
      <c r="M344" s="35" t="n"/>
      <c r="N344" s="35" t="n"/>
      <c r="O344" s="22" t="n"/>
    </row>
    <row r="345">
      <c r="A345" s="24" t="n"/>
      <c r="B345" s="24" t="n"/>
      <c r="C345" s="24" t="n"/>
      <c r="D345" s="24" t="n"/>
      <c r="E345" s="24" t="n"/>
      <c r="F345" s="24" t="n"/>
      <c r="G345" s="24" t="n"/>
      <c r="H345" s="24" t="n"/>
      <c r="I345" s="24" t="n"/>
      <c r="J345" s="24" t="n"/>
      <c r="K345" s="24" t="n"/>
      <c r="L345" s="24">
        <f>IF(COUNTA(A345:K345,M345:O345)=0,"",IF(A345="","Evidence ID missing",IF(COUNTIF($A$4:$A$353,A345)&gt;1,"Duplicate Evidence ID",IF(B345="","AIR-ID missing",IF(COUNTIF('AI Register'!$A$4:$A$206,B345)=0,"AIR-ID not in AI Register",IF(OR(C345="",H345=""),"Artefact or location missing",IF(AND(M345&lt;&gt;"",NOT(ISNUMBER(M345))),"Completed / last reviewed is not a date",IF(AND(N345&lt;&gt;"",NOT(ISNUMBER(N345))),"Review due is not a date",IF(AND(ISNUMBER(N345),N345&lt;TODAY()),"Review date passed: re-review before citing by reference (Playbook §4.6)",IF(AND(G345="Accepted",ISNUMBER(M345),EDATE(M345,12)&lt;TODAY(),O345=""),"Over 12 months old: owner's still-holds review needed before citing by reference","Check against source"))))))))))</f>
        <v/>
      </c>
      <c r="M345" s="36" t="n"/>
      <c r="N345" s="36" t="n"/>
      <c r="O345" s="24" t="n"/>
    </row>
    <row r="346">
      <c r="A346" s="22" t="n"/>
      <c r="B346" s="22" t="n"/>
      <c r="C346" s="22" t="n"/>
      <c r="D346" s="22" t="n"/>
      <c r="E346" s="22" t="n"/>
      <c r="F346" s="22" t="n"/>
      <c r="G346" s="22" t="n"/>
      <c r="H346" s="22" t="n"/>
      <c r="I346" s="22" t="n"/>
      <c r="J346" s="22" t="n"/>
      <c r="K346" s="22" t="n"/>
      <c r="L346" s="22">
        <f>IF(COUNTA(A346:K346,M346:O346)=0,"",IF(A346="","Evidence ID missing",IF(COUNTIF($A$4:$A$353,A346)&gt;1,"Duplicate Evidence ID",IF(B346="","AIR-ID missing",IF(COUNTIF('AI Register'!$A$4:$A$206,B346)=0,"AIR-ID not in AI Register",IF(OR(C346="",H346=""),"Artefact or location missing",IF(AND(M346&lt;&gt;"",NOT(ISNUMBER(M346))),"Completed / last reviewed is not a date",IF(AND(N346&lt;&gt;"",NOT(ISNUMBER(N346))),"Review due is not a date",IF(AND(ISNUMBER(N346),N346&lt;TODAY()),"Review date passed: re-review before citing by reference (Playbook §4.6)",IF(AND(G346="Accepted",ISNUMBER(M346),EDATE(M346,12)&lt;TODAY(),O346=""),"Over 12 months old: owner's still-holds review needed before citing by reference","Check against source"))))))))))</f>
        <v/>
      </c>
      <c r="M346" s="35" t="n"/>
      <c r="N346" s="35" t="n"/>
      <c r="O346" s="22" t="n"/>
    </row>
    <row r="347">
      <c r="A347" s="24" t="n"/>
      <c r="B347" s="24" t="n"/>
      <c r="C347" s="24" t="n"/>
      <c r="D347" s="24" t="n"/>
      <c r="E347" s="24" t="n"/>
      <c r="F347" s="24" t="n"/>
      <c r="G347" s="24" t="n"/>
      <c r="H347" s="24" t="n"/>
      <c r="I347" s="24" t="n"/>
      <c r="J347" s="24" t="n"/>
      <c r="K347" s="24" t="n"/>
      <c r="L347" s="24">
        <f>IF(COUNTA(A347:K347,M347:O347)=0,"",IF(A347="","Evidence ID missing",IF(COUNTIF($A$4:$A$353,A347)&gt;1,"Duplicate Evidence ID",IF(B347="","AIR-ID missing",IF(COUNTIF('AI Register'!$A$4:$A$206,B347)=0,"AIR-ID not in AI Register",IF(OR(C347="",H347=""),"Artefact or location missing",IF(AND(M347&lt;&gt;"",NOT(ISNUMBER(M347))),"Completed / last reviewed is not a date",IF(AND(N347&lt;&gt;"",NOT(ISNUMBER(N347))),"Review due is not a date",IF(AND(ISNUMBER(N347),N347&lt;TODAY()),"Review date passed: re-review before citing by reference (Playbook §4.6)",IF(AND(G347="Accepted",ISNUMBER(M347),EDATE(M347,12)&lt;TODAY(),O347=""),"Over 12 months old: owner's still-holds review needed before citing by reference","Check against source"))))))))))</f>
        <v/>
      </c>
      <c r="M347" s="36" t="n"/>
      <c r="N347" s="36" t="n"/>
      <c r="O347" s="24" t="n"/>
    </row>
    <row r="348">
      <c r="A348" s="22" t="n"/>
      <c r="B348" s="22" t="n"/>
      <c r="C348" s="22" t="n"/>
      <c r="D348" s="22" t="n"/>
      <c r="E348" s="22" t="n"/>
      <c r="F348" s="22" t="n"/>
      <c r="G348" s="22" t="n"/>
      <c r="H348" s="22" t="n"/>
      <c r="I348" s="22" t="n"/>
      <c r="J348" s="22" t="n"/>
      <c r="K348" s="22" t="n"/>
      <c r="L348" s="22">
        <f>IF(COUNTA(A348:K348,M348:O348)=0,"",IF(A348="","Evidence ID missing",IF(COUNTIF($A$4:$A$353,A348)&gt;1,"Duplicate Evidence ID",IF(B348="","AIR-ID missing",IF(COUNTIF('AI Register'!$A$4:$A$206,B348)=0,"AIR-ID not in AI Register",IF(OR(C348="",H348=""),"Artefact or location missing",IF(AND(M348&lt;&gt;"",NOT(ISNUMBER(M348))),"Completed / last reviewed is not a date",IF(AND(N348&lt;&gt;"",NOT(ISNUMBER(N348))),"Review due is not a date",IF(AND(ISNUMBER(N348),N348&lt;TODAY()),"Review date passed: re-review before citing by reference (Playbook §4.6)",IF(AND(G348="Accepted",ISNUMBER(M348),EDATE(M348,12)&lt;TODAY(),O348=""),"Over 12 months old: owner's still-holds review needed before citing by reference","Check against source"))))))))))</f>
        <v/>
      </c>
      <c r="M348" s="35" t="n"/>
      <c r="N348" s="35" t="n"/>
      <c r="O348" s="22" t="n"/>
    </row>
    <row r="349">
      <c r="A349" s="24" t="n"/>
      <c r="B349" s="24" t="n"/>
      <c r="C349" s="24" t="n"/>
      <c r="D349" s="24" t="n"/>
      <c r="E349" s="24" t="n"/>
      <c r="F349" s="24" t="n"/>
      <c r="G349" s="24" t="n"/>
      <c r="H349" s="24" t="n"/>
      <c r="I349" s="24" t="n"/>
      <c r="J349" s="24" t="n"/>
      <c r="K349" s="24" t="n"/>
      <c r="L349" s="24">
        <f>IF(COUNTA(A349:K349,M349:O349)=0,"",IF(A349="","Evidence ID missing",IF(COUNTIF($A$4:$A$353,A349)&gt;1,"Duplicate Evidence ID",IF(B349="","AIR-ID missing",IF(COUNTIF('AI Register'!$A$4:$A$206,B349)=0,"AIR-ID not in AI Register",IF(OR(C349="",H349=""),"Artefact or location missing",IF(AND(M349&lt;&gt;"",NOT(ISNUMBER(M349))),"Completed / last reviewed is not a date",IF(AND(N349&lt;&gt;"",NOT(ISNUMBER(N349))),"Review due is not a date",IF(AND(ISNUMBER(N349),N349&lt;TODAY()),"Review date passed: re-review before citing by reference (Playbook §4.6)",IF(AND(G349="Accepted",ISNUMBER(M349),EDATE(M349,12)&lt;TODAY(),O349=""),"Over 12 months old: owner's still-holds review needed before citing by reference","Check against source"))))))))))</f>
        <v/>
      </c>
      <c r="M349" s="36" t="n"/>
      <c r="N349" s="36" t="n"/>
      <c r="O349" s="24" t="n"/>
    </row>
    <row r="350">
      <c r="A350" s="22" t="n"/>
      <c r="B350" s="22" t="n"/>
      <c r="C350" s="22" t="n"/>
      <c r="D350" s="22" t="n"/>
      <c r="E350" s="22" t="n"/>
      <c r="F350" s="22" t="n"/>
      <c r="G350" s="22" t="n"/>
      <c r="H350" s="22" t="n"/>
      <c r="I350" s="22" t="n"/>
      <c r="J350" s="22" t="n"/>
      <c r="K350" s="22" t="n"/>
      <c r="L350" s="22">
        <f>IF(COUNTA(A350:K350,M350:O350)=0,"",IF(A350="","Evidence ID missing",IF(COUNTIF($A$4:$A$353,A350)&gt;1,"Duplicate Evidence ID",IF(B350="","AIR-ID missing",IF(COUNTIF('AI Register'!$A$4:$A$206,B350)=0,"AIR-ID not in AI Register",IF(OR(C350="",H350=""),"Artefact or location missing",IF(AND(M350&lt;&gt;"",NOT(ISNUMBER(M350))),"Completed / last reviewed is not a date",IF(AND(N350&lt;&gt;"",NOT(ISNUMBER(N350))),"Review due is not a date",IF(AND(ISNUMBER(N350),N350&lt;TODAY()),"Review date passed: re-review before citing by reference (Playbook §4.6)",IF(AND(G350="Accepted",ISNUMBER(M350),EDATE(M350,12)&lt;TODAY(),O350=""),"Over 12 months old: owner's still-holds review needed before citing by reference","Check against source"))))))))))</f>
        <v/>
      </c>
      <c r="M350" s="35" t="n"/>
      <c r="N350" s="35" t="n"/>
      <c r="O350" s="22" t="n"/>
    </row>
    <row r="351">
      <c r="A351" s="24" t="n"/>
      <c r="B351" s="24" t="n"/>
      <c r="C351" s="24" t="n"/>
      <c r="D351" s="24" t="n"/>
      <c r="E351" s="24" t="n"/>
      <c r="F351" s="24" t="n"/>
      <c r="G351" s="24" t="n"/>
      <c r="H351" s="24" t="n"/>
      <c r="I351" s="24" t="n"/>
      <c r="J351" s="24" t="n"/>
      <c r="K351" s="24" t="n"/>
      <c r="L351" s="24">
        <f>IF(COUNTA(A351:K351,M351:O351)=0,"",IF(A351="","Evidence ID missing",IF(COUNTIF($A$4:$A$353,A351)&gt;1,"Duplicate Evidence ID",IF(B351="","AIR-ID missing",IF(COUNTIF('AI Register'!$A$4:$A$206,B351)=0,"AIR-ID not in AI Register",IF(OR(C351="",H351=""),"Artefact or location missing",IF(AND(M351&lt;&gt;"",NOT(ISNUMBER(M351))),"Completed / last reviewed is not a date",IF(AND(N351&lt;&gt;"",NOT(ISNUMBER(N351))),"Review due is not a date",IF(AND(ISNUMBER(N351),N351&lt;TODAY()),"Review date passed: re-review before citing by reference (Playbook §4.6)",IF(AND(G351="Accepted",ISNUMBER(M351),EDATE(M351,12)&lt;TODAY(),O351=""),"Over 12 months old: owner's still-holds review needed before citing by reference","Check against source"))))))))))</f>
        <v/>
      </c>
      <c r="M351" s="36" t="n"/>
      <c r="N351" s="36" t="n"/>
      <c r="O351" s="24" t="n"/>
    </row>
    <row r="352">
      <c r="A352" s="22" t="n"/>
      <c r="B352" s="22" t="n"/>
      <c r="C352" s="22" t="n"/>
      <c r="D352" s="22" t="n"/>
      <c r="E352" s="22" t="n"/>
      <c r="F352" s="22" t="n"/>
      <c r="G352" s="22" t="n"/>
      <c r="H352" s="22" t="n"/>
      <c r="I352" s="22" t="n"/>
      <c r="J352" s="22" t="n"/>
      <c r="K352" s="22" t="n"/>
      <c r="L352" s="22">
        <f>IF(COUNTA(A352:K352,M352:O352)=0,"",IF(A352="","Evidence ID missing",IF(COUNTIF($A$4:$A$353,A352)&gt;1,"Duplicate Evidence ID",IF(B352="","AIR-ID missing",IF(COUNTIF('AI Register'!$A$4:$A$206,B352)=0,"AIR-ID not in AI Register",IF(OR(C352="",H352=""),"Artefact or location missing",IF(AND(M352&lt;&gt;"",NOT(ISNUMBER(M352))),"Completed / last reviewed is not a date",IF(AND(N352&lt;&gt;"",NOT(ISNUMBER(N352))),"Review due is not a date",IF(AND(ISNUMBER(N352),N352&lt;TODAY()),"Review date passed: re-review before citing by reference (Playbook §4.6)",IF(AND(G352="Accepted",ISNUMBER(M352),EDATE(M352,12)&lt;TODAY(),O352=""),"Over 12 months old: owner's still-holds review needed before citing by reference","Check against source"))))))))))</f>
        <v/>
      </c>
      <c r="M352" s="35" t="n"/>
      <c r="N352" s="35" t="n"/>
      <c r="O352" s="22" t="n"/>
    </row>
    <row r="353">
      <c r="A353" s="24" t="n"/>
      <c r="B353" s="24" t="n"/>
      <c r="C353" s="24" t="n"/>
      <c r="D353" s="24" t="n"/>
      <c r="E353" s="24" t="n"/>
      <c r="F353" s="24" t="n"/>
      <c r="G353" s="24" t="n"/>
      <c r="H353" s="24" t="n"/>
      <c r="I353" s="24" t="n"/>
      <c r="J353" s="24" t="n"/>
      <c r="K353" s="24" t="n"/>
      <c r="L353" s="24">
        <f>IF(COUNTA(A353:K353,M353:O353)=0,"",IF(A353="","Evidence ID missing",IF(COUNTIF($A$4:$A$353,A353)&gt;1,"Duplicate Evidence ID",IF(B353="","AIR-ID missing",IF(COUNTIF('AI Register'!$A$4:$A$206,B353)=0,"AIR-ID not in AI Register",IF(OR(C353="",H353=""),"Artefact or location missing",IF(AND(M353&lt;&gt;"",NOT(ISNUMBER(M353))),"Completed / last reviewed is not a date",IF(AND(N353&lt;&gt;"",NOT(ISNUMBER(N353))),"Review due is not a date",IF(AND(ISNUMBER(N353),N353&lt;TODAY()),"Review date passed: re-review before citing by reference (Playbook §4.6)",IF(AND(G353="Accepted",ISNUMBER(M353),EDATE(M353,12)&lt;TODAY(),O353=""),"Over 12 months old: owner's still-holds review needed before citing by reference","Check against source"))))))))))</f>
        <v/>
      </c>
      <c r="M353" s="36" t="n"/>
      <c r="N353" s="36" t="n"/>
      <c r="O353" s="24" t="n"/>
    </row>
  </sheetData>
  <mergeCells count="2">
    <mergeCell ref="A1:I1"/>
    <mergeCell ref="A2:I2"/>
  </mergeCells>
  <conditionalFormatting sqref="L4:L353">
    <cfRule type="expression" priority="1" dxfId="1">
      <formula>AND($L4&lt;&gt;"",$L4&lt;&gt;"Check against source")</formula>
    </cfRule>
  </conditionalFormatting>
  <dataValidations count="2">
    <dataValidation sqref="G4:G353" showDropDown="0" showInputMessage="0" showErrorMessage="1" allowBlank="1" errorTitle="Controlled value" error="Choose a value from the list." type="list">
      <formula1>"Draft,Submitted,Reviewed,Accepted,Superseded"</formula1>
    </dataValidation>
    <dataValidation sqref="M4:N353" showDropDown="0" showInputMessage="1" showErrorMessage="1" allowBlank="1" errorTitle="Controlled value" error="Enter a date." promptTitle="Screening by reference" prompt="An assessment can be cited by reference only if completed or last reviewed within 12 months and its review date has not passed; an older one needs its owner's recorded still-holds review in column O (Playbook §4.6)." type="date" operator="greaterThan">
      <formula1>43831</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I353"/>
  <sheetViews>
    <sheetView showGridLines="0" workbookViewId="0">
      <pane xSplit="2" ySplit="3" topLeftCell="C4" activePane="bottomRight" state="frozen"/>
      <selection activeCell="A1" sqref="A1"/>
    </sheetView>
  </sheetViews>
  <sheetFormatPr baseColWidth="8" defaultRowHeight="15"/>
  <cols>
    <col width="20" customWidth="1" min="1" max="1"/>
    <col width="17" customWidth="1" min="2" max="2"/>
    <col width="17" customWidth="1" min="3" max="3"/>
    <col width="26" customWidth="1" min="4" max="4"/>
    <col width="42" customWidth="1" min="5" max="5"/>
    <col width="42" customWidth="1" min="6" max="6"/>
    <col width="30" customWidth="1" min="7" max="7"/>
    <col width="40" customWidth="1" min="8" max="8"/>
    <col width="36" customWidth="1" min="9" max="9"/>
  </cols>
  <sheetData>
    <row r="1" ht="34" customHeight="1">
      <c r="A1" s="19" t="inlineStr">
        <is>
          <t>AIG-INV-04 / REGISTER CHANGE LOG</t>
        </is>
      </c>
    </row>
    <row r="2" ht="43" customHeight="1">
      <c r="A2" s="20" t="inlineStr">
        <is>
          <t>Record material changes to identity or current state. Do not replace the dated AIG-DEC-04 gate-event history.</t>
        </is>
      </c>
    </row>
    <row r="3" ht="33" customHeight="1">
      <c r="A3" s="21" t="inlineStr">
        <is>
          <t>Register Change ID</t>
        </is>
      </c>
      <c r="B3" s="21" t="inlineStr">
        <is>
          <t>AIR-ID</t>
        </is>
      </c>
      <c r="C3" s="21" t="inlineStr">
        <is>
          <t>Date</t>
        </is>
      </c>
      <c r="D3" s="21" t="inlineStr">
        <is>
          <t>Changed by</t>
        </is>
      </c>
      <c r="E3" s="21" t="inlineStr">
        <is>
          <t>Fields / old value</t>
        </is>
      </c>
      <c r="F3" s="21" t="inlineStr">
        <is>
          <t>New value / reason</t>
        </is>
      </c>
      <c r="G3" s="21" t="inlineStr">
        <is>
          <t>Authorised by / ref</t>
        </is>
      </c>
      <c r="H3" s="21" t="inlineStr">
        <is>
          <t>Notes</t>
        </is>
      </c>
      <c r="I3" s="21" t="inlineStr">
        <is>
          <t>Row check</t>
        </is>
      </c>
    </row>
    <row r="4">
      <c r="A4" s="22" t="n"/>
      <c r="B4" s="22" t="n"/>
      <c r="C4" s="35" t="n"/>
      <c r="D4" s="22" t="n"/>
      <c r="E4" s="22" t="n"/>
      <c r="F4" s="22" t="n"/>
      <c r="G4" s="22" t="n"/>
      <c r="H4" s="22" t="n"/>
      <c r="I4" s="22">
        <f>IF(COUNTA(A4:H4)=0,"",IF(A4="","Register Change ID missing",IF(COUNTIF($A$4:$A$353,A4)&gt;1,"Duplicate Register Change ID",IF(COUNTIF('AI Register'!$A$4:$A$206,B4)=0,"AIR-ID not in AI Register",IF(NOT(ISNUMBER(C4)),"Date missing or not a date",IF(OR(D4="",E4="",F4=""),"Change detail missing","Check against source"))))))</f>
        <v/>
      </c>
    </row>
    <row r="5">
      <c r="A5" s="24" t="n"/>
      <c r="B5" s="24" t="n"/>
      <c r="C5" s="36" t="n"/>
      <c r="D5" s="24" t="n"/>
      <c r="E5" s="24" t="n"/>
      <c r="F5" s="24" t="n"/>
      <c r="G5" s="24" t="n"/>
      <c r="H5" s="24" t="n"/>
      <c r="I5" s="24">
        <f>IF(COUNTA(A5:H5)=0,"",IF(A5="","Register Change ID missing",IF(COUNTIF($A$4:$A$353,A5)&gt;1,"Duplicate Register Change ID",IF(COUNTIF('AI Register'!$A$4:$A$206,B5)=0,"AIR-ID not in AI Register",IF(NOT(ISNUMBER(C5)),"Date missing or not a date",IF(OR(D5="",E5="",F5=""),"Change detail missing","Check against source"))))))</f>
        <v/>
      </c>
    </row>
    <row r="6">
      <c r="A6" s="22" t="n"/>
      <c r="B6" s="22" t="n"/>
      <c r="C6" s="35" t="n"/>
      <c r="D6" s="22" t="n"/>
      <c r="E6" s="22" t="n"/>
      <c r="F6" s="22" t="n"/>
      <c r="G6" s="22" t="n"/>
      <c r="H6" s="22" t="n"/>
      <c r="I6" s="22">
        <f>IF(COUNTA(A6:H6)=0,"",IF(A6="","Register Change ID missing",IF(COUNTIF($A$4:$A$353,A6)&gt;1,"Duplicate Register Change ID",IF(COUNTIF('AI Register'!$A$4:$A$206,B6)=0,"AIR-ID not in AI Register",IF(NOT(ISNUMBER(C6)),"Date missing or not a date",IF(OR(D6="",E6="",F6=""),"Change detail missing","Check against source"))))))</f>
        <v/>
      </c>
    </row>
    <row r="7">
      <c r="A7" s="24" t="n"/>
      <c r="B7" s="24" t="n"/>
      <c r="C7" s="36" t="n"/>
      <c r="D7" s="24" t="n"/>
      <c r="E7" s="24" t="n"/>
      <c r="F7" s="24" t="n"/>
      <c r="G7" s="24" t="n"/>
      <c r="H7" s="24" t="n"/>
      <c r="I7" s="24">
        <f>IF(COUNTA(A7:H7)=0,"",IF(A7="","Register Change ID missing",IF(COUNTIF($A$4:$A$353,A7)&gt;1,"Duplicate Register Change ID",IF(COUNTIF('AI Register'!$A$4:$A$206,B7)=0,"AIR-ID not in AI Register",IF(NOT(ISNUMBER(C7)),"Date missing or not a date",IF(OR(D7="",E7="",F7=""),"Change detail missing","Check against source"))))))</f>
        <v/>
      </c>
    </row>
    <row r="8">
      <c r="A8" s="22" t="n"/>
      <c r="B8" s="22" t="n"/>
      <c r="C8" s="35" t="n"/>
      <c r="D8" s="22" t="n"/>
      <c r="E8" s="22" t="n"/>
      <c r="F8" s="22" t="n"/>
      <c r="G8" s="22" t="n"/>
      <c r="H8" s="22" t="n"/>
      <c r="I8" s="22">
        <f>IF(COUNTA(A8:H8)=0,"",IF(A8="","Register Change ID missing",IF(COUNTIF($A$4:$A$353,A8)&gt;1,"Duplicate Register Change ID",IF(COUNTIF('AI Register'!$A$4:$A$206,B8)=0,"AIR-ID not in AI Register",IF(NOT(ISNUMBER(C8)),"Date missing or not a date",IF(OR(D8="",E8="",F8=""),"Change detail missing","Check against source"))))))</f>
        <v/>
      </c>
    </row>
    <row r="9">
      <c r="A9" s="24" t="n"/>
      <c r="B9" s="24" t="n"/>
      <c r="C9" s="36" t="n"/>
      <c r="D9" s="24" t="n"/>
      <c r="E9" s="24" t="n"/>
      <c r="F9" s="24" t="n"/>
      <c r="G9" s="24" t="n"/>
      <c r="H9" s="24" t="n"/>
      <c r="I9" s="24">
        <f>IF(COUNTA(A9:H9)=0,"",IF(A9="","Register Change ID missing",IF(COUNTIF($A$4:$A$353,A9)&gt;1,"Duplicate Register Change ID",IF(COUNTIF('AI Register'!$A$4:$A$206,B9)=0,"AIR-ID not in AI Register",IF(NOT(ISNUMBER(C9)),"Date missing or not a date",IF(OR(D9="",E9="",F9=""),"Change detail missing","Check against source"))))))</f>
        <v/>
      </c>
    </row>
    <row r="10">
      <c r="A10" s="22" t="n"/>
      <c r="B10" s="22" t="n"/>
      <c r="C10" s="35" t="n"/>
      <c r="D10" s="22" t="n"/>
      <c r="E10" s="22" t="n"/>
      <c r="F10" s="22" t="n"/>
      <c r="G10" s="22" t="n"/>
      <c r="H10" s="22" t="n"/>
      <c r="I10" s="22">
        <f>IF(COUNTA(A10:H10)=0,"",IF(A10="","Register Change ID missing",IF(COUNTIF($A$4:$A$353,A10)&gt;1,"Duplicate Register Change ID",IF(COUNTIF('AI Register'!$A$4:$A$206,B10)=0,"AIR-ID not in AI Register",IF(NOT(ISNUMBER(C10)),"Date missing or not a date",IF(OR(D10="",E10="",F10=""),"Change detail missing","Check against source"))))))</f>
        <v/>
      </c>
    </row>
    <row r="11">
      <c r="A11" s="24" t="n"/>
      <c r="B11" s="24" t="n"/>
      <c r="C11" s="36" t="n"/>
      <c r="D11" s="24" t="n"/>
      <c r="E11" s="24" t="n"/>
      <c r="F11" s="24" t="n"/>
      <c r="G11" s="24" t="n"/>
      <c r="H11" s="24" t="n"/>
      <c r="I11" s="24">
        <f>IF(COUNTA(A11:H11)=0,"",IF(A11="","Register Change ID missing",IF(COUNTIF($A$4:$A$353,A11)&gt;1,"Duplicate Register Change ID",IF(COUNTIF('AI Register'!$A$4:$A$206,B11)=0,"AIR-ID not in AI Register",IF(NOT(ISNUMBER(C11)),"Date missing or not a date",IF(OR(D11="",E11="",F11=""),"Change detail missing","Check against source"))))))</f>
        <v/>
      </c>
    </row>
    <row r="12">
      <c r="A12" s="22" t="n"/>
      <c r="B12" s="22" t="n"/>
      <c r="C12" s="35" t="n"/>
      <c r="D12" s="22" t="n"/>
      <c r="E12" s="22" t="n"/>
      <c r="F12" s="22" t="n"/>
      <c r="G12" s="22" t="n"/>
      <c r="H12" s="22" t="n"/>
      <c r="I12" s="22">
        <f>IF(COUNTA(A12:H12)=0,"",IF(A12="","Register Change ID missing",IF(COUNTIF($A$4:$A$353,A12)&gt;1,"Duplicate Register Change ID",IF(COUNTIF('AI Register'!$A$4:$A$206,B12)=0,"AIR-ID not in AI Register",IF(NOT(ISNUMBER(C12)),"Date missing or not a date",IF(OR(D12="",E12="",F12=""),"Change detail missing","Check against source"))))))</f>
        <v/>
      </c>
    </row>
    <row r="13">
      <c r="A13" s="24" t="n"/>
      <c r="B13" s="24" t="n"/>
      <c r="C13" s="36" t="n"/>
      <c r="D13" s="24" t="n"/>
      <c r="E13" s="24" t="n"/>
      <c r="F13" s="24" t="n"/>
      <c r="G13" s="24" t="n"/>
      <c r="H13" s="24" t="n"/>
      <c r="I13" s="24">
        <f>IF(COUNTA(A13:H13)=0,"",IF(A13="","Register Change ID missing",IF(COUNTIF($A$4:$A$353,A13)&gt;1,"Duplicate Register Change ID",IF(COUNTIF('AI Register'!$A$4:$A$206,B13)=0,"AIR-ID not in AI Register",IF(NOT(ISNUMBER(C13)),"Date missing or not a date",IF(OR(D13="",E13="",F13=""),"Change detail missing","Check against source"))))))</f>
        <v/>
      </c>
    </row>
    <row r="14">
      <c r="A14" s="22" t="n"/>
      <c r="B14" s="22" t="n"/>
      <c r="C14" s="35" t="n"/>
      <c r="D14" s="22" t="n"/>
      <c r="E14" s="22" t="n"/>
      <c r="F14" s="22" t="n"/>
      <c r="G14" s="22" t="n"/>
      <c r="H14" s="22" t="n"/>
      <c r="I14" s="22">
        <f>IF(COUNTA(A14:H14)=0,"",IF(A14="","Register Change ID missing",IF(COUNTIF($A$4:$A$353,A14)&gt;1,"Duplicate Register Change ID",IF(COUNTIF('AI Register'!$A$4:$A$206,B14)=0,"AIR-ID not in AI Register",IF(NOT(ISNUMBER(C14)),"Date missing or not a date",IF(OR(D14="",E14="",F14=""),"Change detail missing","Check against source"))))))</f>
        <v/>
      </c>
    </row>
    <row r="15">
      <c r="A15" s="24" t="n"/>
      <c r="B15" s="24" t="n"/>
      <c r="C15" s="36" t="n"/>
      <c r="D15" s="24" t="n"/>
      <c r="E15" s="24" t="n"/>
      <c r="F15" s="24" t="n"/>
      <c r="G15" s="24" t="n"/>
      <c r="H15" s="24" t="n"/>
      <c r="I15" s="24">
        <f>IF(COUNTA(A15:H15)=0,"",IF(A15="","Register Change ID missing",IF(COUNTIF($A$4:$A$353,A15)&gt;1,"Duplicate Register Change ID",IF(COUNTIF('AI Register'!$A$4:$A$206,B15)=0,"AIR-ID not in AI Register",IF(NOT(ISNUMBER(C15)),"Date missing or not a date",IF(OR(D15="",E15="",F15=""),"Change detail missing","Check against source"))))))</f>
        <v/>
      </c>
    </row>
    <row r="16">
      <c r="A16" s="22" t="n"/>
      <c r="B16" s="22" t="n"/>
      <c r="C16" s="35" t="n"/>
      <c r="D16" s="22" t="n"/>
      <c r="E16" s="22" t="n"/>
      <c r="F16" s="22" t="n"/>
      <c r="G16" s="22" t="n"/>
      <c r="H16" s="22" t="n"/>
      <c r="I16" s="22">
        <f>IF(COUNTA(A16:H16)=0,"",IF(A16="","Register Change ID missing",IF(COUNTIF($A$4:$A$353,A16)&gt;1,"Duplicate Register Change ID",IF(COUNTIF('AI Register'!$A$4:$A$206,B16)=0,"AIR-ID not in AI Register",IF(NOT(ISNUMBER(C16)),"Date missing or not a date",IF(OR(D16="",E16="",F16=""),"Change detail missing","Check against source"))))))</f>
        <v/>
      </c>
    </row>
    <row r="17">
      <c r="A17" s="24" t="n"/>
      <c r="B17" s="24" t="n"/>
      <c r="C17" s="36" t="n"/>
      <c r="D17" s="24" t="n"/>
      <c r="E17" s="24" t="n"/>
      <c r="F17" s="24" t="n"/>
      <c r="G17" s="24" t="n"/>
      <c r="H17" s="24" t="n"/>
      <c r="I17" s="24">
        <f>IF(COUNTA(A17:H17)=0,"",IF(A17="","Register Change ID missing",IF(COUNTIF($A$4:$A$353,A17)&gt;1,"Duplicate Register Change ID",IF(COUNTIF('AI Register'!$A$4:$A$206,B17)=0,"AIR-ID not in AI Register",IF(NOT(ISNUMBER(C17)),"Date missing or not a date",IF(OR(D17="",E17="",F17=""),"Change detail missing","Check against source"))))))</f>
        <v/>
      </c>
    </row>
    <row r="18">
      <c r="A18" s="22" t="n"/>
      <c r="B18" s="22" t="n"/>
      <c r="C18" s="35" t="n"/>
      <c r="D18" s="22" t="n"/>
      <c r="E18" s="22" t="n"/>
      <c r="F18" s="22" t="n"/>
      <c r="G18" s="22" t="n"/>
      <c r="H18" s="22" t="n"/>
      <c r="I18" s="22">
        <f>IF(COUNTA(A18:H18)=0,"",IF(A18="","Register Change ID missing",IF(COUNTIF($A$4:$A$353,A18)&gt;1,"Duplicate Register Change ID",IF(COUNTIF('AI Register'!$A$4:$A$206,B18)=0,"AIR-ID not in AI Register",IF(NOT(ISNUMBER(C18)),"Date missing or not a date",IF(OR(D18="",E18="",F18=""),"Change detail missing","Check against source"))))))</f>
        <v/>
      </c>
    </row>
    <row r="19">
      <c r="A19" s="24" t="n"/>
      <c r="B19" s="24" t="n"/>
      <c r="C19" s="36" t="n"/>
      <c r="D19" s="24" t="n"/>
      <c r="E19" s="24" t="n"/>
      <c r="F19" s="24" t="n"/>
      <c r="G19" s="24" t="n"/>
      <c r="H19" s="24" t="n"/>
      <c r="I19" s="24">
        <f>IF(COUNTA(A19:H19)=0,"",IF(A19="","Register Change ID missing",IF(COUNTIF($A$4:$A$353,A19)&gt;1,"Duplicate Register Change ID",IF(COUNTIF('AI Register'!$A$4:$A$206,B19)=0,"AIR-ID not in AI Register",IF(NOT(ISNUMBER(C19)),"Date missing or not a date",IF(OR(D19="",E19="",F19=""),"Change detail missing","Check against source"))))))</f>
        <v/>
      </c>
    </row>
    <row r="20">
      <c r="A20" s="22" t="n"/>
      <c r="B20" s="22" t="n"/>
      <c r="C20" s="35" t="n"/>
      <c r="D20" s="22" t="n"/>
      <c r="E20" s="22" t="n"/>
      <c r="F20" s="22" t="n"/>
      <c r="G20" s="22" t="n"/>
      <c r="H20" s="22" t="n"/>
      <c r="I20" s="22">
        <f>IF(COUNTA(A20:H20)=0,"",IF(A20="","Register Change ID missing",IF(COUNTIF($A$4:$A$353,A20)&gt;1,"Duplicate Register Change ID",IF(COUNTIF('AI Register'!$A$4:$A$206,B20)=0,"AIR-ID not in AI Register",IF(NOT(ISNUMBER(C20)),"Date missing or not a date",IF(OR(D20="",E20="",F20=""),"Change detail missing","Check against source"))))))</f>
        <v/>
      </c>
    </row>
    <row r="21">
      <c r="A21" s="24" t="n"/>
      <c r="B21" s="24" t="n"/>
      <c r="C21" s="36" t="n"/>
      <c r="D21" s="24" t="n"/>
      <c r="E21" s="24" t="n"/>
      <c r="F21" s="24" t="n"/>
      <c r="G21" s="24" t="n"/>
      <c r="H21" s="24" t="n"/>
      <c r="I21" s="24">
        <f>IF(COUNTA(A21:H21)=0,"",IF(A21="","Register Change ID missing",IF(COUNTIF($A$4:$A$353,A21)&gt;1,"Duplicate Register Change ID",IF(COUNTIF('AI Register'!$A$4:$A$206,B21)=0,"AIR-ID not in AI Register",IF(NOT(ISNUMBER(C21)),"Date missing or not a date",IF(OR(D21="",E21="",F21=""),"Change detail missing","Check against source"))))))</f>
        <v/>
      </c>
    </row>
    <row r="22">
      <c r="A22" s="22" t="n"/>
      <c r="B22" s="22" t="n"/>
      <c r="C22" s="35" t="n"/>
      <c r="D22" s="22" t="n"/>
      <c r="E22" s="22" t="n"/>
      <c r="F22" s="22" t="n"/>
      <c r="G22" s="22" t="n"/>
      <c r="H22" s="22" t="n"/>
      <c r="I22" s="22">
        <f>IF(COUNTA(A22:H22)=0,"",IF(A22="","Register Change ID missing",IF(COUNTIF($A$4:$A$353,A22)&gt;1,"Duplicate Register Change ID",IF(COUNTIF('AI Register'!$A$4:$A$206,B22)=0,"AIR-ID not in AI Register",IF(NOT(ISNUMBER(C22)),"Date missing or not a date",IF(OR(D22="",E22="",F22=""),"Change detail missing","Check against source"))))))</f>
        <v/>
      </c>
    </row>
    <row r="23">
      <c r="A23" s="24" t="n"/>
      <c r="B23" s="24" t="n"/>
      <c r="C23" s="36" t="n"/>
      <c r="D23" s="24" t="n"/>
      <c r="E23" s="24" t="n"/>
      <c r="F23" s="24" t="n"/>
      <c r="G23" s="24" t="n"/>
      <c r="H23" s="24" t="n"/>
      <c r="I23" s="24">
        <f>IF(COUNTA(A23:H23)=0,"",IF(A23="","Register Change ID missing",IF(COUNTIF($A$4:$A$353,A23)&gt;1,"Duplicate Register Change ID",IF(COUNTIF('AI Register'!$A$4:$A$206,B23)=0,"AIR-ID not in AI Register",IF(NOT(ISNUMBER(C23)),"Date missing or not a date",IF(OR(D23="",E23="",F23=""),"Change detail missing","Check against source"))))))</f>
        <v/>
      </c>
    </row>
    <row r="24">
      <c r="A24" s="22" t="n"/>
      <c r="B24" s="22" t="n"/>
      <c r="C24" s="35" t="n"/>
      <c r="D24" s="22" t="n"/>
      <c r="E24" s="22" t="n"/>
      <c r="F24" s="22" t="n"/>
      <c r="G24" s="22" t="n"/>
      <c r="H24" s="22" t="n"/>
      <c r="I24" s="22">
        <f>IF(COUNTA(A24:H24)=0,"",IF(A24="","Register Change ID missing",IF(COUNTIF($A$4:$A$353,A24)&gt;1,"Duplicate Register Change ID",IF(COUNTIF('AI Register'!$A$4:$A$206,B24)=0,"AIR-ID not in AI Register",IF(NOT(ISNUMBER(C24)),"Date missing or not a date",IF(OR(D24="",E24="",F24=""),"Change detail missing","Check against source"))))))</f>
        <v/>
      </c>
    </row>
    <row r="25">
      <c r="A25" s="24" t="n"/>
      <c r="B25" s="24" t="n"/>
      <c r="C25" s="36" t="n"/>
      <c r="D25" s="24" t="n"/>
      <c r="E25" s="24" t="n"/>
      <c r="F25" s="24" t="n"/>
      <c r="G25" s="24" t="n"/>
      <c r="H25" s="24" t="n"/>
      <c r="I25" s="24">
        <f>IF(COUNTA(A25:H25)=0,"",IF(A25="","Register Change ID missing",IF(COUNTIF($A$4:$A$353,A25)&gt;1,"Duplicate Register Change ID",IF(COUNTIF('AI Register'!$A$4:$A$206,B25)=0,"AIR-ID not in AI Register",IF(NOT(ISNUMBER(C25)),"Date missing or not a date",IF(OR(D25="",E25="",F25=""),"Change detail missing","Check against source"))))))</f>
        <v/>
      </c>
    </row>
    <row r="26">
      <c r="A26" s="22" t="n"/>
      <c r="B26" s="22" t="n"/>
      <c r="C26" s="35" t="n"/>
      <c r="D26" s="22" t="n"/>
      <c r="E26" s="22" t="n"/>
      <c r="F26" s="22" t="n"/>
      <c r="G26" s="22" t="n"/>
      <c r="H26" s="22" t="n"/>
      <c r="I26" s="22">
        <f>IF(COUNTA(A26:H26)=0,"",IF(A26="","Register Change ID missing",IF(COUNTIF($A$4:$A$353,A26)&gt;1,"Duplicate Register Change ID",IF(COUNTIF('AI Register'!$A$4:$A$206,B26)=0,"AIR-ID not in AI Register",IF(NOT(ISNUMBER(C26)),"Date missing or not a date",IF(OR(D26="",E26="",F26=""),"Change detail missing","Check against source"))))))</f>
        <v/>
      </c>
    </row>
    <row r="27">
      <c r="A27" s="24" t="n"/>
      <c r="B27" s="24" t="n"/>
      <c r="C27" s="36" t="n"/>
      <c r="D27" s="24" t="n"/>
      <c r="E27" s="24" t="n"/>
      <c r="F27" s="24" t="n"/>
      <c r="G27" s="24" t="n"/>
      <c r="H27" s="24" t="n"/>
      <c r="I27" s="24">
        <f>IF(COUNTA(A27:H27)=0,"",IF(A27="","Register Change ID missing",IF(COUNTIF($A$4:$A$353,A27)&gt;1,"Duplicate Register Change ID",IF(COUNTIF('AI Register'!$A$4:$A$206,B27)=0,"AIR-ID not in AI Register",IF(NOT(ISNUMBER(C27)),"Date missing or not a date",IF(OR(D27="",E27="",F27=""),"Change detail missing","Check against source"))))))</f>
        <v/>
      </c>
    </row>
    <row r="28">
      <c r="A28" s="22" t="n"/>
      <c r="B28" s="22" t="n"/>
      <c r="C28" s="35" t="n"/>
      <c r="D28" s="22" t="n"/>
      <c r="E28" s="22" t="n"/>
      <c r="F28" s="22" t="n"/>
      <c r="G28" s="22" t="n"/>
      <c r="H28" s="22" t="n"/>
      <c r="I28" s="22">
        <f>IF(COUNTA(A28:H28)=0,"",IF(A28="","Register Change ID missing",IF(COUNTIF($A$4:$A$353,A28)&gt;1,"Duplicate Register Change ID",IF(COUNTIF('AI Register'!$A$4:$A$206,B28)=0,"AIR-ID not in AI Register",IF(NOT(ISNUMBER(C28)),"Date missing or not a date",IF(OR(D28="",E28="",F28=""),"Change detail missing","Check against source"))))))</f>
        <v/>
      </c>
    </row>
    <row r="29">
      <c r="A29" s="24" t="n"/>
      <c r="B29" s="24" t="n"/>
      <c r="C29" s="36" t="n"/>
      <c r="D29" s="24" t="n"/>
      <c r="E29" s="24" t="n"/>
      <c r="F29" s="24" t="n"/>
      <c r="G29" s="24" t="n"/>
      <c r="H29" s="24" t="n"/>
      <c r="I29" s="24">
        <f>IF(COUNTA(A29:H29)=0,"",IF(A29="","Register Change ID missing",IF(COUNTIF($A$4:$A$353,A29)&gt;1,"Duplicate Register Change ID",IF(COUNTIF('AI Register'!$A$4:$A$206,B29)=0,"AIR-ID not in AI Register",IF(NOT(ISNUMBER(C29)),"Date missing or not a date",IF(OR(D29="",E29="",F29=""),"Change detail missing","Check against source"))))))</f>
        <v/>
      </c>
    </row>
    <row r="30">
      <c r="A30" s="22" t="n"/>
      <c r="B30" s="22" t="n"/>
      <c r="C30" s="35" t="n"/>
      <c r="D30" s="22" t="n"/>
      <c r="E30" s="22" t="n"/>
      <c r="F30" s="22" t="n"/>
      <c r="G30" s="22" t="n"/>
      <c r="H30" s="22" t="n"/>
      <c r="I30" s="22">
        <f>IF(COUNTA(A30:H30)=0,"",IF(A30="","Register Change ID missing",IF(COUNTIF($A$4:$A$353,A30)&gt;1,"Duplicate Register Change ID",IF(COUNTIF('AI Register'!$A$4:$A$206,B30)=0,"AIR-ID not in AI Register",IF(NOT(ISNUMBER(C30)),"Date missing or not a date",IF(OR(D30="",E30="",F30=""),"Change detail missing","Check against source"))))))</f>
        <v/>
      </c>
    </row>
    <row r="31">
      <c r="A31" s="24" t="n"/>
      <c r="B31" s="24" t="n"/>
      <c r="C31" s="36" t="n"/>
      <c r="D31" s="24" t="n"/>
      <c r="E31" s="24" t="n"/>
      <c r="F31" s="24" t="n"/>
      <c r="G31" s="24" t="n"/>
      <c r="H31" s="24" t="n"/>
      <c r="I31" s="24">
        <f>IF(COUNTA(A31:H31)=0,"",IF(A31="","Register Change ID missing",IF(COUNTIF($A$4:$A$353,A31)&gt;1,"Duplicate Register Change ID",IF(COUNTIF('AI Register'!$A$4:$A$206,B31)=0,"AIR-ID not in AI Register",IF(NOT(ISNUMBER(C31)),"Date missing or not a date",IF(OR(D31="",E31="",F31=""),"Change detail missing","Check against source"))))))</f>
        <v/>
      </c>
    </row>
    <row r="32">
      <c r="A32" s="22" t="n"/>
      <c r="B32" s="22" t="n"/>
      <c r="C32" s="35" t="n"/>
      <c r="D32" s="22" t="n"/>
      <c r="E32" s="22" t="n"/>
      <c r="F32" s="22" t="n"/>
      <c r="G32" s="22" t="n"/>
      <c r="H32" s="22" t="n"/>
      <c r="I32" s="22">
        <f>IF(COUNTA(A32:H32)=0,"",IF(A32="","Register Change ID missing",IF(COUNTIF($A$4:$A$353,A32)&gt;1,"Duplicate Register Change ID",IF(COUNTIF('AI Register'!$A$4:$A$206,B32)=0,"AIR-ID not in AI Register",IF(NOT(ISNUMBER(C32)),"Date missing or not a date",IF(OR(D32="",E32="",F32=""),"Change detail missing","Check against source"))))))</f>
        <v/>
      </c>
    </row>
    <row r="33">
      <c r="A33" s="24" t="n"/>
      <c r="B33" s="24" t="n"/>
      <c r="C33" s="36" t="n"/>
      <c r="D33" s="24" t="n"/>
      <c r="E33" s="24" t="n"/>
      <c r="F33" s="24" t="n"/>
      <c r="G33" s="24" t="n"/>
      <c r="H33" s="24" t="n"/>
      <c r="I33" s="24">
        <f>IF(COUNTA(A33:H33)=0,"",IF(A33="","Register Change ID missing",IF(COUNTIF($A$4:$A$353,A33)&gt;1,"Duplicate Register Change ID",IF(COUNTIF('AI Register'!$A$4:$A$206,B33)=0,"AIR-ID not in AI Register",IF(NOT(ISNUMBER(C33)),"Date missing or not a date",IF(OR(D33="",E33="",F33=""),"Change detail missing","Check against source"))))))</f>
        <v/>
      </c>
    </row>
    <row r="34">
      <c r="A34" s="22" t="n"/>
      <c r="B34" s="22" t="n"/>
      <c r="C34" s="35" t="n"/>
      <c r="D34" s="22" t="n"/>
      <c r="E34" s="22" t="n"/>
      <c r="F34" s="22" t="n"/>
      <c r="G34" s="22" t="n"/>
      <c r="H34" s="22" t="n"/>
      <c r="I34" s="22">
        <f>IF(COUNTA(A34:H34)=0,"",IF(A34="","Register Change ID missing",IF(COUNTIF($A$4:$A$353,A34)&gt;1,"Duplicate Register Change ID",IF(COUNTIF('AI Register'!$A$4:$A$206,B34)=0,"AIR-ID not in AI Register",IF(NOT(ISNUMBER(C34)),"Date missing or not a date",IF(OR(D34="",E34="",F34=""),"Change detail missing","Check against source"))))))</f>
        <v/>
      </c>
    </row>
    <row r="35">
      <c r="A35" s="24" t="n"/>
      <c r="B35" s="24" t="n"/>
      <c r="C35" s="36" t="n"/>
      <c r="D35" s="24" t="n"/>
      <c r="E35" s="24" t="n"/>
      <c r="F35" s="24" t="n"/>
      <c r="G35" s="24" t="n"/>
      <c r="H35" s="24" t="n"/>
      <c r="I35" s="24">
        <f>IF(COUNTA(A35:H35)=0,"",IF(A35="","Register Change ID missing",IF(COUNTIF($A$4:$A$353,A35)&gt;1,"Duplicate Register Change ID",IF(COUNTIF('AI Register'!$A$4:$A$206,B35)=0,"AIR-ID not in AI Register",IF(NOT(ISNUMBER(C35)),"Date missing or not a date",IF(OR(D35="",E35="",F35=""),"Change detail missing","Check against source"))))))</f>
        <v/>
      </c>
    </row>
    <row r="36">
      <c r="A36" s="22" t="n"/>
      <c r="B36" s="22" t="n"/>
      <c r="C36" s="35" t="n"/>
      <c r="D36" s="22" t="n"/>
      <c r="E36" s="22" t="n"/>
      <c r="F36" s="22" t="n"/>
      <c r="G36" s="22" t="n"/>
      <c r="H36" s="22" t="n"/>
      <c r="I36" s="22">
        <f>IF(COUNTA(A36:H36)=0,"",IF(A36="","Register Change ID missing",IF(COUNTIF($A$4:$A$353,A36)&gt;1,"Duplicate Register Change ID",IF(COUNTIF('AI Register'!$A$4:$A$206,B36)=0,"AIR-ID not in AI Register",IF(NOT(ISNUMBER(C36)),"Date missing or not a date",IF(OR(D36="",E36="",F36=""),"Change detail missing","Check against source"))))))</f>
        <v/>
      </c>
    </row>
    <row r="37">
      <c r="A37" s="24" t="n"/>
      <c r="B37" s="24" t="n"/>
      <c r="C37" s="36" t="n"/>
      <c r="D37" s="24" t="n"/>
      <c r="E37" s="24" t="n"/>
      <c r="F37" s="24" t="n"/>
      <c r="G37" s="24" t="n"/>
      <c r="H37" s="24" t="n"/>
      <c r="I37" s="24">
        <f>IF(COUNTA(A37:H37)=0,"",IF(A37="","Register Change ID missing",IF(COUNTIF($A$4:$A$353,A37)&gt;1,"Duplicate Register Change ID",IF(COUNTIF('AI Register'!$A$4:$A$206,B37)=0,"AIR-ID not in AI Register",IF(NOT(ISNUMBER(C37)),"Date missing or not a date",IF(OR(D37="",E37="",F37=""),"Change detail missing","Check against source"))))))</f>
        <v/>
      </c>
    </row>
    <row r="38">
      <c r="A38" s="22" t="n"/>
      <c r="B38" s="22" t="n"/>
      <c r="C38" s="35" t="n"/>
      <c r="D38" s="22" t="n"/>
      <c r="E38" s="22" t="n"/>
      <c r="F38" s="22" t="n"/>
      <c r="G38" s="22" t="n"/>
      <c r="H38" s="22" t="n"/>
      <c r="I38" s="22">
        <f>IF(COUNTA(A38:H38)=0,"",IF(A38="","Register Change ID missing",IF(COUNTIF($A$4:$A$353,A38)&gt;1,"Duplicate Register Change ID",IF(COUNTIF('AI Register'!$A$4:$A$206,B38)=0,"AIR-ID not in AI Register",IF(NOT(ISNUMBER(C38)),"Date missing or not a date",IF(OR(D38="",E38="",F38=""),"Change detail missing","Check against source"))))))</f>
        <v/>
      </c>
    </row>
    <row r="39">
      <c r="A39" s="24" t="n"/>
      <c r="B39" s="24" t="n"/>
      <c r="C39" s="36" t="n"/>
      <c r="D39" s="24" t="n"/>
      <c r="E39" s="24" t="n"/>
      <c r="F39" s="24" t="n"/>
      <c r="G39" s="24" t="n"/>
      <c r="H39" s="24" t="n"/>
      <c r="I39" s="24">
        <f>IF(COUNTA(A39:H39)=0,"",IF(A39="","Register Change ID missing",IF(COUNTIF($A$4:$A$353,A39)&gt;1,"Duplicate Register Change ID",IF(COUNTIF('AI Register'!$A$4:$A$206,B39)=0,"AIR-ID not in AI Register",IF(NOT(ISNUMBER(C39)),"Date missing or not a date",IF(OR(D39="",E39="",F39=""),"Change detail missing","Check against source"))))))</f>
        <v/>
      </c>
    </row>
    <row r="40">
      <c r="A40" s="22" t="n"/>
      <c r="B40" s="22" t="n"/>
      <c r="C40" s="35" t="n"/>
      <c r="D40" s="22" t="n"/>
      <c r="E40" s="22" t="n"/>
      <c r="F40" s="22" t="n"/>
      <c r="G40" s="22" t="n"/>
      <c r="H40" s="22" t="n"/>
      <c r="I40" s="22">
        <f>IF(COUNTA(A40:H40)=0,"",IF(A40="","Register Change ID missing",IF(COUNTIF($A$4:$A$353,A40)&gt;1,"Duplicate Register Change ID",IF(COUNTIF('AI Register'!$A$4:$A$206,B40)=0,"AIR-ID not in AI Register",IF(NOT(ISNUMBER(C40)),"Date missing or not a date",IF(OR(D40="",E40="",F40=""),"Change detail missing","Check against source"))))))</f>
        <v/>
      </c>
    </row>
    <row r="41">
      <c r="A41" s="24" t="n"/>
      <c r="B41" s="24" t="n"/>
      <c r="C41" s="36" t="n"/>
      <c r="D41" s="24" t="n"/>
      <c r="E41" s="24" t="n"/>
      <c r="F41" s="24" t="n"/>
      <c r="G41" s="24" t="n"/>
      <c r="H41" s="24" t="n"/>
      <c r="I41" s="24">
        <f>IF(COUNTA(A41:H41)=0,"",IF(A41="","Register Change ID missing",IF(COUNTIF($A$4:$A$353,A41)&gt;1,"Duplicate Register Change ID",IF(COUNTIF('AI Register'!$A$4:$A$206,B41)=0,"AIR-ID not in AI Register",IF(NOT(ISNUMBER(C41)),"Date missing or not a date",IF(OR(D41="",E41="",F41=""),"Change detail missing","Check against source"))))))</f>
        <v/>
      </c>
    </row>
    <row r="42">
      <c r="A42" s="22" t="n"/>
      <c r="B42" s="22" t="n"/>
      <c r="C42" s="35" t="n"/>
      <c r="D42" s="22" t="n"/>
      <c r="E42" s="22" t="n"/>
      <c r="F42" s="22" t="n"/>
      <c r="G42" s="22" t="n"/>
      <c r="H42" s="22" t="n"/>
      <c r="I42" s="22">
        <f>IF(COUNTA(A42:H42)=0,"",IF(A42="","Register Change ID missing",IF(COUNTIF($A$4:$A$353,A42)&gt;1,"Duplicate Register Change ID",IF(COUNTIF('AI Register'!$A$4:$A$206,B42)=0,"AIR-ID not in AI Register",IF(NOT(ISNUMBER(C42)),"Date missing or not a date",IF(OR(D42="",E42="",F42=""),"Change detail missing","Check against source"))))))</f>
        <v/>
      </c>
    </row>
    <row r="43">
      <c r="A43" s="24" t="n"/>
      <c r="B43" s="24" t="n"/>
      <c r="C43" s="36" t="n"/>
      <c r="D43" s="24" t="n"/>
      <c r="E43" s="24" t="n"/>
      <c r="F43" s="24" t="n"/>
      <c r="G43" s="24" t="n"/>
      <c r="H43" s="24" t="n"/>
      <c r="I43" s="24">
        <f>IF(COUNTA(A43:H43)=0,"",IF(A43="","Register Change ID missing",IF(COUNTIF($A$4:$A$353,A43)&gt;1,"Duplicate Register Change ID",IF(COUNTIF('AI Register'!$A$4:$A$206,B43)=0,"AIR-ID not in AI Register",IF(NOT(ISNUMBER(C43)),"Date missing or not a date",IF(OR(D43="",E43="",F43=""),"Change detail missing","Check against source"))))))</f>
        <v/>
      </c>
    </row>
    <row r="44">
      <c r="A44" s="22" t="n"/>
      <c r="B44" s="22" t="n"/>
      <c r="C44" s="35" t="n"/>
      <c r="D44" s="22" t="n"/>
      <c r="E44" s="22" t="n"/>
      <c r="F44" s="22" t="n"/>
      <c r="G44" s="22" t="n"/>
      <c r="H44" s="22" t="n"/>
      <c r="I44" s="22">
        <f>IF(COUNTA(A44:H44)=0,"",IF(A44="","Register Change ID missing",IF(COUNTIF($A$4:$A$353,A44)&gt;1,"Duplicate Register Change ID",IF(COUNTIF('AI Register'!$A$4:$A$206,B44)=0,"AIR-ID not in AI Register",IF(NOT(ISNUMBER(C44)),"Date missing or not a date",IF(OR(D44="",E44="",F44=""),"Change detail missing","Check against source"))))))</f>
        <v/>
      </c>
    </row>
    <row r="45">
      <c r="A45" s="24" t="n"/>
      <c r="B45" s="24" t="n"/>
      <c r="C45" s="36" t="n"/>
      <c r="D45" s="24" t="n"/>
      <c r="E45" s="24" t="n"/>
      <c r="F45" s="24" t="n"/>
      <c r="G45" s="24" t="n"/>
      <c r="H45" s="24" t="n"/>
      <c r="I45" s="24">
        <f>IF(COUNTA(A45:H45)=0,"",IF(A45="","Register Change ID missing",IF(COUNTIF($A$4:$A$353,A45)&gt;1,"Duplicate Register Change ID",IF(COUNTIF('AI Register'!$A$4:$A$206,B45)=0,"AIR-ID not in AI Register",IF(NOT(ISNUMBER(C45)),"Date missing or not a date",IF(OR(D45="",E45="",F45=""),"Change detail missing","Check against source"))))))</f>
        <v/>
      </c>
    </row>
    <row r="46">
      <c r="A46" s="22" t="n"/>
      <c r="B46" s="22" t="n"/>
      <c r="C46" s="35" t="n"/>
      <c r="D46" s="22" t="n"/>
      <c r="E46" s="22" t="n"/>
      <c r="F46" s="22" t="n"/>
      <c r="G46" s="22" t="n"/>
      <c r="H46" s="22" t="n"/>
      <c r="I46" s="22">
        <f>IF(COUNTA(A46:H46)=0,"",IF(A46="","Register Change ID missing",IF(COUNTIF($A$4:$A$353,A46)&gt;1,"Duplicate Register Change ID",IF(COUNTIF('AI Register'!$A$4:$A$206,B46)=0,"AIR-ID not in AI Register",IF(NOT(ISNUMBER(C46)),"Date missing or not a date",IF(OR(D46="",E46="",F46=""),"Change detail missing","Check against source"))))))</f>
        <v/>
      </c>
    </row>
    <row r="47">
      <c r="A47" s="24" t="n"/>
      <c r="B47" s="24" t="n"/>
      <c r="C47" s="36" t="n"/>
      <c r="D47" s="24" t="n"/>
      <c r="E47" s="24" t="n"/>
      <c r="F47" s="24" t="n"/>
      <c r="G47" s="24" t="n"/>
      <c r="H47" s="24" t="n"/>
      <c r="I47" s="24">
        <f>IF(COUNTA(A47:H47)=0,"",IF(A47="","Register Change ID missing",IF(COUNTIF($A$4:$A$353,A47)&gt;1,"Duplicate Register Change ID",IF(COUNTIF('AI Register'!$A$4:$A$206,B47)=0,"AIR-ID not in AI Register",IF(NOT(ISNUMBER(C47)),"Date missing or not a date",IF(OR(D47="",E47="",F47=""),"Change detail missing","Check against source"))))))</f>
        <v/>
      </c>
    </row>
    <row r="48">
      <c r="A48" s="22" t="n"/>
      <c r="B48" s="22" t="n"/>
      <c r="C48" s="35" t="n"/>
      <c r="D48" s="22" t="n"/>
      <c r="E48" s="22" t="n"/>
      <c r="F48" s="22" t="n"/>
      <c r="G48" s="22" t="n"/>
      <c r="H48" s="22" t="n"/>
      <c r="I48" s="22">
        <f>IF(COUNTA(A48:H48)=0,"",IF(A48="","Register Change ID missing",IF(COUNTIF($A$4:$A$353,A48)&gt;1,"Duplicate Register Change ID",IF(COUNTIF('AI Register'!$A$4:$A$206,B48)=0,"AIR-ID not in AI Register",IF(NOT(ISNUMBER(C48)),"Date missing or not a date",IF(OR(D48="",E48="",F48=""),"Change detail missing","Check against source"))))))</f>
        <v/>
      </c>
    </row>
    <row r="49">
      <c r="A49" s="24" t="n"/>
      <c r="B49" s="24" t="n"/>
      <c r="C49" s="36" t="n"/>
      <c r="D49" s="24" t="n"/>
      <c r="E49" s="24" t="n"/>
      <c r="F49" s="24" t="n"/>
      <c r="G49" s="24" t="n"/>
      <c r="H49" s="24" t="n"/>
      <c r="I49" s="24">
        <f>IF(COUNTA(A49:H49)=0,"",IF(A49="","Register Change ID missing",IF(COUNTIF($A$4:$A$353,A49)&gt;1,"Duplicate Register Change ID",IF(COUNTIF('AI Register'!$A$4:$A$206,B49)=0,"AIR-ID not in AI Register",IF(NOT(ISNUMBER(C49)),"Date missing or not a date",IF(OR(D49="",E49="",F49=""),"Change detail missing","Check against source"))))))</f>
        <v/>
      </c>
    </row>
    <row r="50">
      <c r="A50" s="22" t="n"/>
      <c r="B50" s="22" t="n"/>
      <c r="C50" s="35" t="n"/>
      <c r="D50" s="22" t="n"/>
      <c r="E50" s="22" t="n"/>
      <c r="F50" s="22" t="n"/>
      <c r="G50" s="22" t="n"/>
      <c r="H50" s="22" t="n"/>
      <c r="I50" s="22">
        <f>IF(COUNTA(A50:H50)=0,"",IF(A50="","Register Change ID missing",IF(COUNTIF($A$4:$A$353,A50)&gt;1,"Duplicate Register Change ID",IF(COUNTIF('AI Register'!$A$4:$A$206,B50)=0,"AIR-ID not in AI Register",IF(NOT(ISNUMBER(C50)),"Date missing or not a date",IF(OR(D50="",E50="",F50=""),"Change detail missing","Check against source"))))))</f>
        <v/>
      </c>
    </row>
    <row r="51">
      <c r="A51" s="24" t="n"/>
      <c r="B51" s="24" t="n"/>
      <c r="C51" s="36" t="n"/>
      <c r="D51" s="24" t="n"/>
      <c r="E51" s="24" t="n"/>
      <c r="F51" s="24" t="n"/>
      <c r="G51" s="24" t="n"/>
      <c r="H51" s="24" t="n"/>
      <c r="I51" s="24">
        <f>IF(COUNTA(A51:H51)=0,"",IF(A51="","Register Change ID missing",IF(COUNTIF($A$4:$A$353,A51)&gt;1,"Duplicate Register Change ID",IF(COUNTIF('AI Register'!$A$4:$A$206,B51)=0,"AIR-ID not in AI Register",IF(NOT(ISNUMBER(C51)),"Date missing or not a date",IF(OR(D51="",E51="",F51=""),"Change detail missing","Check against source"))))))</f>
        <v/>
      </c>
    </row>
    <row r="52">
      <c r="A52" s="22" t="n"/>
      <c r="B52" s="22" t="n"/>
      <c r="C52" s="35" t="n"/>
      <c r="D52" s="22" t="n"/>
      <c r="E52" s="22" t="n"/>
      <c r="F52" s="22" t="n"/>
      <c r="G52" s="22" t="n"/>
      <c r="H52" s="22" t="n"/>
      <c r="I52" s="22">
        <f>IF(COUNTA(A52:H52)=0,"",IF(A52="","Register Change ID missing",IF(COUNTIF($A$4:$A$353,A52)&gt;1,"Duplicate Register Change ID",IF(COUNTIF('AI Register'!$A$4:$A$206,B52)=0,"AIR-ID not in AI Register",IF(NOT(ISNUMBER(C52)),"Date missing or not a date",IF(OR(D52="",E52="",F52=""),"Change detail missing","Check against source"))))))</f>
        <v/>
      </c>
    </row>
    <row r="53">
      <c r="A53" s="24" t="n"/>
      <c r="B53" s="24" t="n"/>
      <c r="C53" s="36" t="n"/>
      <c r="D53" s="24" t="n"/>
      <c r="E53" s="24" t="n"/>
      <c r="F53" s="24" t="n"/>
      <c r="G53" s="24" t="n"/>
      <c r="H53" s="24" t="n"/>
      <c r="I53" s="24">
        <f>IF(COUNTA(A53:H53)=0,"",IF(A53="","Register Change ID missing",IF(COUNTIF($A$4:$A$353,A53)&gt;1,"Duplicate Register Change ID",IF(COUNTIF('AI Register'!$A$4:$A$206,B53)=0,"AIR-ID not in AI Register",IF(NOT(ISNUMBER(C53)),"Date missing or not a date",IF(OR(D53="",E53="",F53=""),"Change detail missing","Check against source"))))))</f>
        <v/>
      </c>
    </row>
    <row r="54">
      <c r="A54" s="22" t="n"/>
      <c r="B54" s="22" t="n"/>
      <c r="C54" s="35" t="n"/>
      <c r="D54" s="22" t="n"/>
      <c r="E54" s="22" t="n"/>
      <c r="F54" s="22" t="n"/>
      <c r="G54" s="22" t="n"/>
      <c r="H54" s="22" t="n"/>
      <c r="I54" s="22">
        <f>IF(COUNTA(A54:H54)=0,"",IF(A54="","Register Change ID missing",IF(COUNTIF($A$4:$A$353,A54)&gt;1,"Duplicate Register Change ID",IF(COUNTIF('AI Register'!$A$4:$A$206,B54)=0,"AIR-ID not in AI Register",IF(NOT(ISNUMBER(C54)),"Date missing or not a date",IF(OR(D54="",E54="",F54=""),"Change detail missing","Check against source"))))))</f>
        <v/>
      </c>
    </row>
    <row r="55">
      <c r="A55" s="24" t="n"/>
      <c r="B55" s="24" t="n"/>
      <c r="C55" s="36" t="n"/>
      <c r="D55" s="24" t="n"/>
      <c r="E55" s="24" t="n"/>
      <c r="F55" s="24" t="n"/>
      <c r="G55" s="24" t="n"/>
      <c r="H55" s="24" t="n"/>
      <c r="I55" s="24">
        <f>IF(COUNTA(A55:H55)=0,"",IF(A55="","Register Change ID missing",IF(COUNTIF($A$4:$A$353,A55)&gt;1,"Duplicate Register Change ID",IF(COUNTIF('AI Register'!$A$4:$A$206,B55)=0,"AIR-ID not in AI Register",IF(NOT(ISNUMBER(C55)),"Date missing or not a date",IF(OR(D55="",E55="",F55=""),"Change detail missing","Check against source"))))))</f>
        <v/>
      </c>
    </row>
    <row r="56">
      <c r="A56" s="22" t="n"/>
      <c r="B56" s="22" t="n"/>
      <c r="C56" s="35" t="n"/>
      <c r="D56" s="22" t="n"/>
      <c r="E56" s="22" t="n"/>
      <c r="F56" s="22" t="n"/>
      <c r="G56" s="22" t="n"/>
      <c r="H56" s="22" t="n"/>
      <c r="I56" s="22">
        <f>IF(COUNTA(A56:H56)=0,"",IF(A56="","Register Change ID missing",IF(COUNTIF($A$4:$A$353,A56)&gt;1,"Duplicate Register Change ID",IF(COUNTIF('AI Register'!$A$4:$A$206,B56)=0,"AIR-ID not in AI Register",IF(NOT(ISNUMBER(C56)),"Date missing or not a date",IF(OR(D56="",E56="",F56=""),"Change detail missing","Check against source"))))))</f>
        <v/>
      </c>
    </row>
    <row r="57">
      <c r="A57" s="24" t="n"/>
      <c r="B57" s="24" t="n"/>
      <c r="C57" s="36" t="n"/>
      <c r="D57" s="24" t="n"/>
      <c r="E57" s="24" t="n"/>
      <c r="F57" s="24" t="n"/>
      <c r="G57" s="24" t="n"/>
      <c r="H57" s="24" t="n"/>
      <c r="I57" s="24">
        <f>IF(COUNTA(A57:H57)=0,"",IF(A57="","Register Change ID missing",IF(COUNTIF($A$4:$A$353,A57)&gt;1,"Duplicate Register Change ID",IF(COUNTIF('AI Register'!$A$4:$A$206,B57)=0,"AIR-ID not in AI Register",IF(NOT(ISNUMBER(C57)),"Date missing or not a date",IF(OR(D57="",E57="",F57=""),"Change detail missing","Check against source"))))))</f>
        <v/>
      </c>
    </row>
    <row r="58">
      <c r="A58" s="22" t="n"/>
      <c r="B58" s="22" t="n"/>
      <c r="C58" s="35" t="n"/>
      <c r="D58" s="22" t="n"/>
      <c r="E58" s="22" t="n"/>
      <c r="F58" s="22" t="n"/>
      <c r="G58" s="22" t="n"/>
      <c r="H58" s="22" t="n"/>
      <c r="I58" s="22">
        <f>IF(COUNTA(A58:H58)=0,"",IF(A58="","Register Change ID missing",IF(COUNTIF($A$4:$A$353,A58)&gt;1,"Duplicate Register Change ID",IF(COUNTIF('AI Register'!$A$4:$A$206,B58)=0,"AIR-ID not in AI Register",IF(NOT(ISNUMBER(C58)),"Date missing or not a date",IF(OR(D58="",E58="",F58=""),"Change detail missing","Check against source"))))))</f>
        <v/>
      </c>
    </row>
    <row r="59">
      <c r="A59" s="24" t="n"/>
      <c r="B59" s="24" t="n"/>
      <c r="C59" s="36" t="n"/>
      <c r="D59" s="24" t="n"/>
      <c r="E59" s="24" t="n"/>
      <c r="F59" s="24" t="n"/>
      <c r="G59" s="24" t="n"/>
      <c r="H59" s="24" t="n"/>
      <c r="I59" s="24">
        <f>IF(COUNTA(A59:H59)=0,"",IF(A59="","Register Change ID missing",IF(COUNTIF($A$4:$A$353,A59)&gt;1,"Duplicate Register Change ID",IF(COUNTIF('AI Register'!$A$4:$A$206,B59)=0,"AIR-ID not in AI Register",IF(NOT(ISNUMBER(C59)),"Date missing or not a date",IF(OR(D59="",E59="",F59=""),"Change detail missing","Check against source"))))))</f>
        <v/>
      </c>
    </row>
    <row r="60">
      <c r="A60" s="22" t="n"/>
      <c r="B60" s="22" t="n"/>
      <c r="C60" s="35" t="n"/>
      <c r="D60" s="22" t="n"/>
      <c r="E60" s="22" t="n"/>
      <c r="F60" s="22" t="n"/>
      <c r="G60" s="22" t="n"/>
      <c r="H60" s="22" t="n"/>
      <c r="I60" s="22">
        <f>IF(COUNTA(A60:H60)=0,"",IF(A60="","Register Change ID missing",IF(COUNTIF($A$4:$A$353,A60)&gt;1,"Duplicate Register Change ID",IF(COUNTIF('AI Register'!$A$4:$A$206,B60)=0,"AIR-ID not in AI Register",IF(NOT(ISNUMBER(C60)),"Date missing or not a date",IF(OR(D60="",E60="",F60=""),"Change detail missing","Check against source"))))))</f>
        <v/>
      </c>
    </row>
    <row r="61">
      <c r="A61" s="24" t="n"/>
      <c r="B61" s="24" t="n"/>
      <c r="C61" s="36" t="n"/>
      <c r="D61" s="24" t="n"/>
      <c r="E61" s="24" t="n"/>
      <c r="F61" s="24" t="n"/>
      <c r="G61" s="24" t="n"/>
      <c r="H61" s="24" t="n"/>
      <c r="I61" s="24">
        <f>IF(COUNTA(A61:H61)=0,"",IF(A61="","Register Change ID missing",IF(COUNTIF($A$4:$A$353,A61)&gt;1,"Duplicate Register Change ID",IF(COUNTIF('AI Register'!$A$4:$A$206,B61)=0,"AIR-ID not in AI Register",IF(NOT(ISNUMBER(C61)),"Date missing or not a date",IF(OR(D61="",E61="",F61=""),"Change detail missing","Check against source"))))))</f>
        <v/>
      </c>
    </row>
    <row r="62">
      <c r="A62" s="22" t="n"/>
      <c r="B62" s="22" t="n"/>
      <c r="C62" s="35" t="n"/>
      <c r="D62" s="22" t="n"/>
      <c r="E62" s="22" t="n"/>
      <c r="F62" s="22" t="n"/>
      <c r="G62" s="22" t="n"/>
      <c r="H62" s="22" t="n"/>
      <c r="I62" s="22">
        <f>IF(COUNTA(A62:H62)=0,"",IF(A62="","Register Change ID missing",IF(COUNTIF($A$4:$A$353,A62)&gt;1,"Duplicate Register Change ID",IF(COUNTIF('AI Register'!$A$4:$A$206,B62)=0,"AIR-ID not in AI Register",IF(NOT(ISNUMBER(C62)),"Date missing or not a date",IF(OR(D62="",E62="",F62=""),"Change detail missing","Check against source"))))))</f>
        <v/>
      </c>
    </row>
    <row r="63">
      <c r="A63" s="24" t="n"/>
      <c r="B63" s="24" t="n"/>
      <c r="C63" s="36" t="n"/>
      <c r="D63" s="24" t="n"/>
      <c r="E63" s="24" t="n"/>
      <c r="F63" s="24" t="n"/>
      <c r="G63" s="24" t="n"/>
      <c r="H63" s="24" t="n"/>
      <c r="I63" s="24">
        <f>IF(COUNTA(A63:H63)=0,"",IF(A63="","Register Change ID missing",IF(COUNTIF($A$4:$A$353,A63)&gt;1,"Duplicate Register Change ID",IF(COUNTIF('AI Register'!$A$4:$A$206,B63)=0,"AIR-ID not in AI Register",IF(NOT(ISNUMBER(C63)),"Date missing or not a date",IF(OR(D63="",E63="",F63=""),"Change detail missing","Check against source"))))))</f>
        <v/>
      </c>
    </row>
    <row r="64">
      <c r="A64" s="22" t="n"/>
      <c r="B64" s="22" t="n"/>
      <c r="C64" s="35" t="n"/>
      <c r="D64" s="22" t="n"/>
      <c r="E64" s="22" t="n"/>
      <c r="F64" s="22" t="n"/>
      <c r="G64" s="22" t="n"/>
      <c r="H64" s="22" t="n"/>
      <c r="I64" s="22">
        <f>IF(COUNTA(A64:H64)=0,"",IF(A64="","Register Change ID missing",IF(COUNTIF($A$4:$A$353,A64)&gt;1,"Duplicate Register Change ID",IF(COUNTIF('AI Register'!$A$4:$A$206,B64)=0,"AIR-ID not in AI Register",IF(NOT(ISNUMBER(C64)),"Date missing or not a date",IF(OR(D64="",E64="",F64=""),"Change detail missing","Check against source"))))))</f>
        <v/>
      </c>
    </row>
    <row r="65">
      <c r="A65" s="24" t="n"/>
      <c r="B65" s="24" t="n"/>
      <c r="C65" s="36" t="n"/>
      <c r="D65" s="24" t="n"/>
      <c r="E65" s="24" t="n"/>
      <c r="F65" s="24" t="n"/>
      <c r="G65" s="24" t="n"/>
      <c r="H65" s="24" t="n"/>
      <c r="I65" s="24">
        <f>IF(COUNTA(A65:H65)=0,"",IF(A65="","Register Change ID missing",IF(COUNTIF($A$4:$A$353,A65)&gt;1,"Duplicate Register Change ID",IF(COUNTIF('AI Register'!$A$4:$A$206,B65)=0,"AIR-ID not in AI Register",IF(NOT(ISNUMBER(C65)),"Date missing or not a date",IF(OR(D65="",E65="",F65=""),"Change detail missing","Check against source"))))))</f>
        <v/>
      </c>
    </row>
    <row r="66">
      <c r="A66" s="22" t="n"/>
      <c r="B66" s="22" t="n"/>
      <c r="C66" s="35" t="n"/>
      <c r="D66" s="22" t="n"/>
      <c r="E66" s="22" t="n"/>
      <c r="F66" s="22" t="n"/>
      <c r="G66" s="22" t="n"/>
      <c r="H66" s="22" t="n"/>
      <c r="I66" s="22">
        <f>IF(COUNTA(A66:H66)=0,"",IF(A66="","Register Change ID missing",IF(COUNTIF($A$4:$A$353,A66)&gt;1,"Duplicate Register Change ID",IF(COUNTIF('AI Register'!$A$4:$A$206,B66)=0,"AIR-ID not in AI Register",IF(NOT(ISNUMBER(C66)),"Date missing or not a date",IF(OR(D66="",E66="",F66=""),"Change detail missing","Check against source"))))))</f>
        <v/>
      </c>
    </row>
    <row r="67">
      <c r="A67" s="24" t="n"/>
      <c r="B67" s="24" t="n"/>
      <c r="C67" s="36" t="n"/>
      <c r="D67" s="24" t="n"/>
      <c r="E67" s="24" t="n"/>
      <c r="F67" s="24" t="n"/>
      <c r="G67" s="24" t="n"/>
      <c r="H67" s="24" t="n"/>
      <c r="I67" s="24">
        <f>IF(COUNTA(A67:H67)=0,"",IF(A67="","Register Change ID missing",IF(COUNTIF($A$4:$A$353,A67)&gt;1,"Duplicate Register Change ID",IF(COUNTIF('AI Register'!$A$4:$A$206,B67)=0,"AIR-ID not in AI Register",IF(NOT(ISNUMBER(C67)),"Date missing or not a date",IF(OR(D67="",E67="",F67=""),"Change detail missing","Check against source"))))))</f>
        <v/>
      </c>
    </row>
    <row r="68">
      <c r="A68" s="22" t="n"/>
      <c r="B68" s="22" t="n"/>
      <c r="C68" s="35" t="n"/>
      <c r="D68" s="22" t="n"/>
      <c r="E68" s="22" t="n"/>
      <c r="F68" s="22" t="n"/>
      <c r="G68" s="22" t="n"/>
      <c r="H68" s="22" t="n"/>
      <c r="I68" s="22">
        <f>IF(COUNTA(A68:H68)=0,"",IF(A68="","Register Change ID missing",IF(COUNTIF($A$4:$A$353,A68)&gt;1,"Duplicate Register Change ID",IF(COUNTIF('AI Register'!$A$4:$A$206,B68)=0,"AIR-ID not in AI Register",IF(NOT(ISNUMBER(C68)),"Date missing or not a date",IF(OR(D68="",E68="",F68=""),"Change detail missing","Check against source"))))))</f>
        <v/>
      </c>
    </row>
    <row r="69">
      <c r="A69" s="24" t="n"/>
      <c r="B69" s="24" t="n"/>
      <c r="C69" s="36" t="n"/>
      <c r="D69" s="24" t="n"/>
      <c r="E69" s="24" t="n"/>
      <c r="F69" s="24" t="n"/>
      <c r="G69" s="24" t="n"/>
      <c r="H69" s="24" t="n"/>
      <c r="I69" s="24">
        <f>IF(COUNTA(A69:H69)=0,"",IF(A69="","Register Change ID missing",IF(COUNTIF($A$4:$A$353,A69)&gt;1,"Duplicate Register Change ID",IF(COUNTIF('AI Register'!$A$4:$A$206,B69)=0,"AIR-ID not in AI Register",IF(NOT(ISNUMBER(C69)),"Date missing or not a date",IF(OR(D69="",E69="",F69=""),"Change detail missing","Check against source"))))))</f>
        <v/>
      </c>
    </row>
    <row r="70">
      <c r="A70" s="22" t="n"/>
      <c r="B70" s="22" t="n"/>
      <c r="C70" s="35" t="n"/>
      <c r="D70" s="22" t="n"/>
      <c r="E70" s="22" t="n"/>
      <c r="F70" s="22" t="n"/>
      <c r="G70" s="22" t="n"/>
      <c r="H70" s="22" t="n"/>
      <c r="I70" s="22">
        <f>IF(COUNTA(A70:H70)=0,"",IF(A70="","Register Change ID missing",IF(COUNTIF($A$4:$A$353,A70)&gt;1,"Duplicate Register Change ID",IF(COUNTIF('AI Register'!$A$4:$A$206,B70)=0,"AIR-ID not in AI Register",IF(NOT(ISNUMBER(C70)),"Date missing or not a date",IF(OR(D70="",E70="",F70=""),"Change detail missing","Check against source"))))))</f>
        <v/>
      </c>
    </row>
    <row r="71">
      <c r="A71" s="24" t="n"/>
      <c r="B71" s="24" t="n"/>
      <c r="C71" s="36" t="n"/>
      <c r="D71" s="24" t="n"/>
      <c r="E71" s="24" t="n"/>
      <c r="F71" s="24" t="n"/>
      <c r="G71" s="24" t="n"/>
      <c r="H71" s="24" t="n"/>
      <c r="I71" s="24">
        <f>IF(COUNTA(A71:H71)=0,"",IF(A71="","Register Change ID missing",IF(COUNTIF($A$4:$A$353,A71)&gt;1,"Duplicate Register Change ID",IF(COUNTIF('AI Register'!$A$4:$A$206,B71)=0,"AIR-ID not in AI Register",IF(NOT(ISNUMBER(C71)),"Date missing or not a date",IF(OR(D71="",E71="",F71=""),"Change detail missing","Check against source"))))))</f>
        <v/>
      </c>
    </row>
    <row r="72">
      <c r="A72" s="22" t="n"/>
      <c r="B72" s="22" t="n"/>
      <c r="C72" s="35" t="n"/>
      <c r="D72" s="22" t="n"/>
      <c r="E72" s="22" t="n"/>
      <c r="F72" s="22" t="n"/>
      <c r="G72" s="22" t="n"/>
      <c r="H72" s="22" t="n"/>
      <c r="I72" s="22">
        <f>IF(COUNTA(A72:H72)=0,"",IF(A72="","Register Change ID missing",IF(COUNTIF($A$4:$A$353,A72)&gt;1,"Duplicate Register Change ID",IF(COUNTIF('AI Register'!$A$4:$A$206,B72)=0,"AIR-ID not in AI Register",IF(NOT(ISNUMBER(C72)),"Date missing or not a date",IF(OR(D72="",E72="",F72=""),"Change detail missing","Check against source"))))))</f>
        <v/>
      </c>
    </row>
    <row r="73">
      <c r="A73" s="24" t="n"/>
      <c r="B73" s="24" t="n"/>
      <c r="C73" s="36" t="n"/>
      <c r="D73" s="24" t="n"/>
      <c r="E73" s="24" t="n"/>
      <c r="F73" s="24" t="n"/>
      <c r="G73" s="24" t="n"/>
      <c r="H73" s="24" t="n"/>
      <c r="I73" s="24">
        <f>IF(COUNTA(A73:H73)=0,"",IF(A73="","Register Change ID missing",IF(COUNTIF($A$4:$A$353,A73)&gt;1,"Duplicate Register Change ID",IF(COUNTIF('AI Register'!$A$4:$A$206,B73)=0,"AIR-ID not in AI Register",IF(NOT(ISNUMBER(C73)),"Date missing or not a date",IF(OR(D73="",E73="",F73=""),"Change detail missing","Check against source"))))))</f>
        <v/>
      </c>
    </row>
    <row r="74">
      <c r="A74" s="22" t="n"/>
      <c r="B74" s="22" t="n"/>
      <c r="C74" s="35" t="n"/>
      <c r="D74" s="22" t="n"/>
      <c r="E74" s="22" t="n"/>
      <c r="F74" s="22" t="n"/>
      <c r="G74" s="22" t="n"/>
      <c r="H74" s="22" t="n"/>
      <c r="I74" s="22">
        <f>IF(COUNTA(A74:H74)=0,"",IF(A74="","Register Change ID missing",IF(COUNTIF($A$4:$A$353,A74)&gt;1,"Duplicate Register Change ID",IF(COUNTIF('AI Register'!$A$4:$A$206,B74)=0,"AIR-ID not in AI Register",IF(NOT(ISNUMBER(C74)),"Date missing or not a date",IF(OR(D74="",E74="",F74=""),"Change detail missing","Check against source"))))))</f>
        <v/>
      </c>
    </row>
    <row r="75">
      <c r="A75" s="24" t="n"/>
      <c r="B75" s="24" t="n"/>
      <c r="C75" s="36" t="n"/>
      <c r="D75" s="24" t="n"/>
      <c r="E75" s="24" t="n"/>
      <c r="F75" s="24" t="n"/>
      <c r="G75" s="24" t="n"/>
      <c r="H75" s="24" t="n"/>
      <c r="I75" s="24">
        <f>IF(COUNTA(A75:H75)=0,"",IF(A75="","Register Change ID missing",IF(COUNTIF($A$4:$A$353,A75)&gt;1,"Duplicate Register Change ID",IF(COUNTIF('AI Register'!$A$4:$A$206,B75)=0,"AIR-ID not in AI Register",IF(NOT(ISNUMBER(C75)),"Date missing or not a date",IF(OR(D75="",E75="",F75=""),"Change detail missing","Check against source"))))))</f>
        <v/>
      </c>
    </row>
    <row r="76">
      <c r="A76" s="22" t="n"/>
      <c r="B76" s="22" t="n"/>
      <c r="C76" s="35" t="n"/>
      <c r="D76" s="22" t="n"/>
      <c r="E76" s="22" t="n"/>
      <c r="F76" s="22" t="n"/>
      <c r="G76" s="22" t="n"/>
      <c r="H76" s="22" t="n"/>
      <c r="I76" s="22">
        <f>IF(COUNTA(A76:H76)=0,"",IF(A76="","Register Change ID missing",IF(COUNTIF($A$4:$A$353,A76)&gt;1,"Duplicate Register Change ID",IF(COUNTIF('AI Register'!$A$4:$A$206,B76)=0,"AIR-ID not in AI Register",IF(NOT(ISNUMBER(C76)),"Date missing or not a date",IF(OR(D76="",E76="",F76=""),"Change detail missing","Check against source"))))))</f>
        <v/>
      </c>
    </row>
    <row r="77">
      <c r="A77" s="24" t="n"/>
      <c r="B77" s="24" t="n"/>
      <c r="C77" s="36" t="n"/>
      <c r="D77" s="24" t="n"/>
      <c r="E77" s="24" t="n"/>
      <c r="F77" s="24" t="n"/>
      <c r="G77" s="24" t="n"/>
      <c r="H77" s="24" t="n"/>
      <c r="I77" s="24">
        <f>IF(COUNTA(A77:H77)=0,"",IF(A77="","Register Change ID missing",IF(COUNTIF($A$4:$A$353,A77)&gt;1,"Duplicate Register Change ID",IF(COUNTIF('AI Register'!$A$4:$A$206,B77)=0,"AIR-ID not in AI Register",IF(NOT(ISNUMBER(C77)),"Date missing or not a date",IF(OR(D77="",E77="",F77=""),"Change detail missing","Check against source"))))))</f>
        <v/>
      </c>
    </row>
    <row r="78">
      <c r="A78" s="22" t="n"/>
      <c r="B78" s="22" t="n"/>
      <c r="C78" s="35" t="n"/>
      <c r="D78" s="22" t="n"/>
      <c r="E78" s="22" t="n"/>
      <c r="F78" s="22" t="n"/>
      <c r="G78" s="22" t="n"/>
      <c r="H78" s="22" t="n"/>
      <c r="I78" s="22">
        <f>IF(COUNTA(A78:H78)=0,"",IF(A78="","Register Change ID missing",IF(COUNTIF($A$4:$A$353,A78)&gt;1,"Duplicate Register Change ID",IF(COUNTIF('AI Register'!$A$4:$A$206,B78)=0,"AIR-ID not in AI Register",IF(NOT(ISNUMBER(C78)),"Date missing or not a date",IF(OR(D78="",E78="",F78=""),"Change detail missing","Check against source"))))))</f>
        <v/>
      </c>
    </row>
    <row r="79">
      <c r="A79" s="24" t="n"/>
      <c r="B79" s="24" t="n"/>
      <c r="C79" s="36" t="n"/>
      <c r="D79" s="24" t="n"/>
      <c r="E79" s="24" t="n"/>
      <c r="F79" s="24" t="n"/>
      <c r="G79" s="24" t="n"/>
      <c r="H79" s="24" t="n"/>
      <c r="I79" s="24">
        <f>IF(COUNTA(A79:H79)=0,"",IF(A79="","Register Change ID missing",IF(COUNTIF($A$4:$A$353,A79)&gt;1,"Duplicate Register Change ID",IF(COUNTIF('AI Register'!$A$4:$A$206,B79)=0,"AIR-ID not in AI Register",IF(NOT(ISNUMBER(C79)),"Date missing or not a date",IF(OR(D79="",E79="",F79=""),"Change detail missing","Check against source"))))))</f>
        <v/>
      </c>
    </row>
    <row r="80">
      <c r="A80" s="22" t="n"/>
      <c r="B80" s="22" t="n"/>
      <c r="C80" s="35" t="n"/>
      <c r="D80" s="22" t="n"/>
      <c r="E80" s="22" t="n"/>
      <c r="F80" s="22" t="n"/>
      <c r="G80" s="22" t="n"/>
      <c r="H80" s="22" t="n"/>
      <c r="I80" s="22">
        <f>IF(COUNTA(A80:H80)=0,"",IF(A80="","Register Change ID missing",IF(COUNTIF($A$4:$A$353,A80)&gt;1,"Duplicate Register Change ID",IF(COUNTIF('AI Register'!$A$4:$A$206,B80)=0,"AIR-ID not in AI Register",IF(NOT(ISNUMBER(C80)),"Date missing or not a date",IF(OR(D80="",E80="",F80=""),"Change detail missing","Check against source"))))))</f>
        <v/>
      </c>
    </row>
    <row r="81">
      <c r="A81" s="24" t="n"/>
      <c r="B81" s="24" t="n"/>
      <c r="C81" s="36" t="n"/>
      <c r="D81" s="24" t="n"/>
      <c r="E81" s="24" t="n"/>
      <c r="F81" s="24" t="n"/>
      <c r="G81" s="24" t="n"/>
      <c r="H81" s="24" t="n"/>
      <c r="I81" s="24">
        <f>IF(COUNTA(A81:H81)=0,"",IF(A81="","Register Change ID missing",IF(COUNTIF($A$4:$A$353,A81)&gt;1,"Duplicate Register Change ID",IF(COUNTIF('AI Register'!$A$4:$A$206,B81)=0,"AIR-ID not in AI Register",IF(NOT(ISNUMBER(C81)),"Date missing or not a date",IF(OR(D81="",E81="",F81=""),"Change detail missing","Check against source"))))))</f>
        <v/>
      </c>
    </row>
    <row r="82">
      <c r="A82" s="22" t="n"/>
      <c r="B82" s="22" t="n"/>
      <c r="C82" s="35" t="n"/>
      <c r="D82" s="22" t="n"/>
      <c r="E82" s="22" t="n"/>
      <c r="F82" s="22" t="n"/>
      <c r="G82" s="22" t="n"/>
      <c r="H82" s="22" t="n"/>
      <c r="I82" s="22">
        <f>IF(COUNTA(A82:H82)=0,"",IF(A82="","Register Change ID missing",IF(COUNTIF($A$4:$A$353,A82)&gt;1,"Duplicate Register Change ID",IF(COUNTIF('AI Register'!$A$4:$A$206,B82)=0,"AIR-ID not in AI Register",IF(NOT(ISNUMBER(C82)),"Date missing or not a date",IF(OR(D82="",E82="",F82=""),"Change detail missing","Check against source"))))))</f>
        <v/>
      </c>
    </row>
    <row r="83">
      <c r="A83" s="24" t="n"/>
      <c r="B83" s="24" t="n"/>
      <c r="C83" s="36" t="n"/>
      <c r="D83" s="24" t="n"/>
      <c r="E83" s="24" t="n"/>
      <c r="F83" s="24" t="n"/>
      <c r="G83" s="24" t="n"/>
      <c r="H83" s="24" t="n"/>
      <c r="I83" s="24">
        <f>IF(COUNTA(A83:H83)=0,"",IF(A83="","Register Change ID missing",IF(COUNTIF($A$4:$A$353,A83)&gt;1,"Duplicate Register Change ID",IF(COUNTIF('AI Register'!$A$4:$A$206,B83)=0,"AIR-ID not in AI Register",IF(NOT(ISNUMBER(C83)),"Date missing or not a date",IF(OR(D83="",E83="",F83=""),"Change detail missing","Check against source"))))))</f>
        <v/>
      </c>
    </row>
    <row r="84">
      <c r="A84" s="22" t="n"/>
      <c r="B84" s="22" t="n"/>
      <c r="C84" s="35" t="n"/>
      <c r="D84" s="22" t="n"/>
      <c r="E84" s="22" t="n"/>
      <c r="F84" s="22" t="n"/>
      <c r="G84" s="22" t="n"/>
      <c r="H84" s="22" t="n"/>
      <c r="I84" s="22">
        <f>IF(COUNTA(A84:H84)=0,"",IF(A84="","Register Change ID missing",IF(COUNTIF($A$4:$A$353,A84)&gt;1,"Duplicate Register Change ID",IF(COUNTIF('AI Register'!$A$4:$A$206,B84)=0,"AIR-ID not in AI Register",IF(NOT(ISNUMBER(C84)),"Date missing or not a date",IF(OR(D84="",E84="",F84=""),"Change detail missing","Check against source"))))))</f>
        <v/>
      </c>
    </row>
    <row r="85">
      <c r="A85" s="24" t="n"/>
      <c r="B85" s="24" t="n"/>
      <c r="C85" s="36" t="n"/>
      <c r="D85" s="24" t="n"/>
      <c r="E85" s="24" t="n"/>
      <c r="F85" s="24" t="n"/>
      <c r="G85" s="24" t="n"/>
      <c r="H85" s="24" t="n"/>
      <c r="I85" s="24">
        <f>IF(COUNTA(A85:H85)=0,"",IF(A85="","Register Change ID missing",IF(COUNTIF($A$4:$A$353,A85)&gt;1,"Duplicate Register Change ID",IF(COUNTIF('AI Register'!$A$4:$A$206,B85)=0,"AIR-ID not in AI Register",IF(NOT(ISNUMBER(C85)),"Date missing or not a date",IF(OR(D85="",E85="",F85=""),"Change detail missing","Check against source"))))))</f>
        <v/>
      </c>
    </row>
    <row r="86">
      <c r="A86" s="22" t="n"/>
      <c r="B86" s="22" t="n"/>
      <c r="C86" s="35" t="n"/>
      <c r="D86" s="22" t="n"/>
      <c r="E86" s="22" t="n"/>
      <c r="F86" s="22" t="n"/>
      <c r="G86" s="22" t="n"/>
      <c r="H86" s="22" t="n"/>
      <c r="I86" s="22">
        <f>IF(COUNTA(A86:H86)=0,"",IF(A86="","Register Change ID missing",IF(COUNTIF($A$4:$A$353,A86)&gt;1,"Duplicate Register Change ID",IF(COUNTIF('AI Register'!$A$4:$A$206,B86)=0,"AIR-ID not in AI Register",IF(NOT(ISNUMBER(C86)),"Date missing or not a date",IF(OR(D86="",E86="",F86=""),"Change detail missing","Check against source"))))))</f>
        <v/>
      </c>
    </row>
    <row r="87">
      <c r="A87" s="24" t="n"/>
      <c r="B87" s="24" t="n"/>
      <c r="C87" s="36" t="n"/>
      <c r="D87" s="24" t="n"/>
      <c r="E87" s="24" t="n"/>
      <c r="F87" s="24" t="n"/>
      <c r="G87" s="24" t="n"/>
      <c r="H87" s="24" t="n"/>
      <c r="I87" s="24">
        <f>IF(COUNTA(A87:H87)=0,"",IF(A87="","Register Change ID missing",IF(COUNTIF($A$4:$A$353,A87)&gt;1,"Duplicate Register Change ID",IF(COUNTIF('AI Register'!$A$4:$A$206,B87)=0,"AIR-ID not in AI Register",IF(NOT(ISNUMBER(C87)),"Date missing or not a date",IF(OR(D87="",E87="",F87=""),"Change detail missing","Check against source"))))))</f>
        <v/>
      </c>
    </row>
    <row r="88">
      <c r="A88" s="22" t="n"/>
      <c r="B88" s="22" t="n"/>
      <c r="C88" s="35" t="n"/>
      <c r="D88" s="22" t="n"/>
      <c r="E88" s="22" t="n"/>
      <c r="F88" s="22" t="n"/>
      <c r="G88" s="22" t="n"/>
      <c r="H88" s="22" t="n"/>
      <c r="I88" s="22">
        <f>IF(COUNTA(A88:H88)=0,"",IF(A88="","Register Change ID missing",IF(COUNTIF($A$4:$A$353,A88)&gt;1,"Duplicate Register Change ID",IF(COUNTIF('AI Register'!$A$4:$A$206,B88)=0,"AIR-ID not in AI Register",IF(NOT(ISNUMBER(C88)),"Date missing or not a date",IF(OR(D88="",E88="",F88=""),"Change detail missing","Check against source"))))))</f>
        <v/>
      </c>
    </row>
    <row r="89">
      <c r="A89" s="24" t="n"/>
      <c r="B89" s="24" t="n"/>
      <c r="C89" s="36" t="n"/>
      <c r="D89" s="24" t="n"/>
      <c r="E89" s="24" t="n"/>
      <c r="F89" s="24" t="n"/>
      <c r="G89" s="24" t="n"/>
      <c r="H89" s="24" t="n"/>
      <c r="I89" s="24">
        <f>IF(COUNTA(A89:H89)=0,"",IF(A89="","Register Change ID missing",IF(COUNTIF($A$4:$A$353,A89)&gt;1,"Duplicate Register Change ID",IF(COUNTIF('AI Register'!$A$4:$A$206,B89)=0,"AIR-ID not in AI Register",IF(NOT(ISNUMBER(C89)),"Date missing or not a date",IF(OR(D89="",E89="",F89=""),"Change detail missing","Check against source"))))))</f>
        <v/>
      </c>
    </row>
    <row r="90">
      <c r="A90" s="22" t="n"/>
      <c r="B90" s="22" t="n"/>
      <c r="C90" s="35" t="n"/>
      <c r="D90" s="22" t="n"/>
      <c r="E90" s="22" t="n"/>
      <c r="F90" s="22" t="n"/>
      <c r="G90" s="22" t="n"/>
      <c r="H90" s="22" t="n"/>
      <c r="I90" s="22">
        <f>IF(COUNTA(A90:H90)=0,"",IF(A90="","Register Change ID missing",IF(COUNTIF($A$4:$A$353,A90)&gt;1,"Duplicate Register Change ID",IF(COUNTIF('AI Register'!$A$4:$A$206,B90)=0,"AIR-ID not in AI Register",IF(NOT(ISNUMBER(C90)),"Date missing or not a date",IF(OR(D90="",E90="",F90=""),"Change detail missing","Check against source"))))))</f>
        <v/>
      </c>
    </row>
    <row r="91">
      <c r="A91" s="24" t="n"/>
      <c r="B91" s="24" t="n"/>
      <c r="C91" s="36" t="n"/>
      <c r="D91" s="24" t="n"/>
      <c r="E91" s="24" t="n"/>
      <c r="F91" s="24" t="n"/>
      <c r="G91" s="24" t="n"/>
      <c r="H91" s="24" t="n"/>
      <c r="I91" s="24">
        <f>IF(COUNTA(A91:H91)=0,"",IF(A91="","Register Change ID missing",IF(COUNTIF($A$4:$A$353,A91)&gt;1,"Duplicate Register Change ID",IF(COUNTIF('AI Register'!$A$4:$A$206,B91)=0,"AIR-ID not in AI Register",IF(NOT(ISNUMBER(C91)),"Date missing or not a date",IF(OR(D91="",E91="",F91=""),"Change detail missing","Check against source"))))))</f>
        <v/>
      </c>
    </row>
    <row r="92">
      <c r="A92" s="22" t="n"/>
      <c r="B92" s="22" t="n"/>
      <c r="C92" s="35" t="n"/>
      <c r="D92" s="22" t="n"/>
      <c r="E92" s="22" t="n"/>
      <c r="F92" s="22" t="n"/>
      <c r="G92" s="22" t="n"/>
      <c r="H92" s="22" t="n"/>
      <c r="I92" s="22">
        <f>IF(COUNTA(A92:H92)=0,"",IF(A92="","Register Change ID missing",IF(COUNTIF($A$4:$A$353,A92)&gt;1,"Duplicate Register Change ID",IF(COUNTIF('AI Register'!$A$4:$A$206,B92)=0,"AIR-ID not in AI Register",IF(NOT(ISNUMBER(C92)),"Date missing or not a date",IF(OR(D92="",E92="",F92=""),"Change detail missing","Check against source"))))))</f>
        <v/>
      </c>
    </row>
    <row r="93">
      <c r="A93" s="24" t="n"/>
      <c r="B93" s="24" t="n"/>
      <c r="C93" s="36" t="n"/>
      <c r="D93" s="24" t="n"/>
      <c r="E93" s="24" t="n"/>
      <c r="F93" s="24" t="n"/>
      <c r="G93" s="24" t="n"/>
      <c r="H93" s="24" t="n"/>
      <c r="I93" s="24">
        <f>IF(COUNTA(A93:H93)=0,"",IF(A93="","Register Change ID missing",IF(COUNTIF($A$4:$A$353,A93)&gt;1,"Duplicate Register Change ID",IF(COUNTIF('AI Register'!$A$4:$A$206,B93)=0,"AIR-ID not in AI Register",IF(NOT(ISNUMBER(C93)),"Date missing or not a date",IF(OR(D93="",E93="",F93=""),"Change detail missing","Check against source"))))))</f>
        <v/>
      </c>
    </row>
    <row r="94">
      <c r="A94" s="22" t="n"/>
      <c r="B94" s="22" t="n"/>
      <c r="C94" s="35" t="n"/>
      <c r="D94" s="22" t="n"/>
      <c r="E94" s="22" t="n"/>
      <c r="F94" s="22" t="n"/>
      <c r="G94" s="22" t="n"/>
      <c r="H94" s="22" t="n"/>
      <c r="I94" s="22">
        <f>IF(COUNTA(A94:H94)=0,"",IF(A94="","Register Change ID missing",IF(COUNTIF($A$4:$A$353,A94)&gt;1,"Duplicate Register Change ID",IF(COUNTIF('AI Register'!$A$4:$A$206,B94)=0,"AIR-ID not in AI Register",IF(NOT(ISNUMBER(C94)),"Date missing or not a date",IF(OR(D94="",E94="",F94=""),"Change detail missing","Check against source"))))))</f>
        <v/>
      </c>
    </row>
    <row r="95">
      <c r="A95" s="24" t="n"/>
      <c r="B95" s="24" t="n"/>
      <c r="C95" s="36" t="n"/>
      <c r="D95" s="24" t="n"/>
      <c r="E95" s="24" t="n"/>
      <c r="F95" s="24" t="n"/>
      <c r="G95" s="24" t="n"/>
      <c r="H95" s="24" t="n"/>
      <c r="I95" s="24">
        <f>IF(COUNTA(A95:H95)=0,"",IF(A95="","Register Change ID missing",IF(COUNTIF($A$4:$A$353,A95)&gt;1,"Duplicate Register Change ID",IF(COUNTIF('AI Register'!$A$4:$A$206,B95)=0,"AIR-ID not in AI Register",IF(NOT(ISNUMBER(C95)),"Date missing or not a date",IF(OR(D95="",E95="",F95=""),"Change detail missing","Check against source"))))))</f>
        <v/>
      </c>
    </row>
    <row r="96">
      <c r="A96" s="22" t="n"/>
      <c r="B96" s="22" t="n"/>
      <c r="C96" s="35" t="n"/>
      <c r="D96" s="22" t="n"/>
      <c r="E96" s="22" t="n"/>
      <c r="F96" s="22" t="n"/>
      <c r="G96" s="22" t="n"/>
      <c r="H96" s="22" t="n"/>
      <c r="I96" s="22">
        <f>IF(COUNTA(A96:H96)=0,"",IF(A96="","Register Change ID missing",IF(COUNTIF($A$4:$A$353,A96)&gt;1,"Duplicate Register Change ID",IF(COUNTIF('AI Register'!$A$4:$A$206,B96)=0,"AIR-ID not in AI Register",IF(NOT(ISNUMBER(C96)),"Date missing or not a date",IF(OR(D96="",E96="",F96=""),"Change detail missing","Check against source"))))))</f>
        <v/>
      </c>
    </row>
    <row r="97">
      <c r="A97" s="24" t="n"/>
      <c r="B97" s="24" t="n"/>
      <c r="C97" s="36" t="n"/>
      <c r="D97" s="24" t="n"/>
      <c r="E97" s="24" t="n"/>
      <c r="F97" s="24" t="n"/>
      <c r="G97" s="24" t="n"/>
      <c r="H97" s="24" t="n"/>
      <c r="I97" s="24">
        <f>IF(COUNTA(A97:H97)=0,"",IF(A97="","Register Change ID missing",IF(COUNTIF($A$4:$A$353,A97)&gt;1,"Duplicate Register Change ID",IF(COUNTIF('AI Register'!$A$4:$A$206,B97)=0,"AIR-ID not in AI Register",IF(NOT(ISNUMBER(C97)),"Date missing or not a date",IF(OR(D97="",E97="",F97=""),"Change detail missing","Check against source"))))))</f>
        <v/>
      </c>
    </row>
    <row r="98">
      <c r="A98" s="22" t="n"/>
      <c r="B98" s="22" t="n"/>
      <c r="C98" s="35" t="n"/>
      <c r="D98" s="22" t="n"/>
      <c r="E98" s="22" t="n"/>
      <c r="F98" s="22" t="n"/>
      <c r="G98" s="22" t="n"/>
      <c r="H98" s="22" t="n"/>
      <c r="I98" s="22">
        <f>IF(COUNTA(A98:H98)=0,"",IF(A98="","Register Change ID missing",IF(COUNTIF($A$4:$A$353,A98)&gt;1,"Duplicate Register Change ID",IF(COUNTIF('AI Register'!$A$4:$A$206,B98)=0,"AIR-ID not in AI Register",IF(NOT(ISNUMBER(C98)),"Date missing or not a date",IF(OR(D98="",E98="",F98=""),"Change detail missing","Check against source"))))))</f>
        <v/>
      </c>
    </row>
    <row r="99">
      <c r="A99" s="24" t="n"/>
      <c r="B99" s="24" t="n"/>
      <c r="C99" s="36" t="n"/>
      <c r="D99" s="24" t="n"/>
      <c r="E99" s="24" t="n"/>
      <c r="F99" s="24" t="n"/>
      <c r="G99" s="24" t="n"/>
      <c r="H99" s="24" t="n"/>
      <c r="I99" s="24">
        <f>IF(COUNTA(A99:H99)=0,"",IF(A99="","Register Change ID missing",IF(COUNTIF($A$4:$A$353,A99)&gt;1,"Duplicate Register Change ID",IF(COUNTIF('AI Register'!$A$4:$A$206,B99)=0,"AIR-ID not in AI Register",IF(NOT(ISNUMBER(C99)),"Date missing or not a date",IF(OR(D99="",E99="",F99=""),"Change detail missing","Check against source"))))))</f>
        <v/>
      </c>
    </row>
    <row r="100">
      <c r="A100" s="22" t="n"/>
      <c r="B100" s="22" t="n"/>
      <c r="C100" s="35" t="n"/>
      <c r="D100" s="22" t="n"/>
      <c r="E100" s="22" t="n"/>
      <c r="F100" s="22" t="n"/>
      <c r="G100" s="22" t="n"/>
      <c r="H100" s="22" t="n"/>
      <c r="I100" s="22">
        <f>IF(COUNTA(A100:H100)=0,"",IF(A100="","Register Change ID missing",IF(COUNTIF($A$4:$A$353,A100)&gt;1,"Duplicate Register Change ID",IF(COUNTIF('AI Register'!$A$4:$A$206,B100)=0,"AIR-ID not in AI Register",IF(NOT(ISNUMBER(C100)),"Date missing or not a date",IF(OR(D100="",E100="",F100=""),"Change detail missing","Check against source"))))))</f>
        <v/>
      </c>
    </row>
    <row r="101">
      <c r="A101" s="24" t="n"/>
      <c r="B101" s="24" t="n"/>
      <c r="C101" s="36" t="n"/>
      <c r="D101" s="24" t="n"/>
      <c r="E101" s="24" t="n"/>
      <c r="F101" s="24" t="n"/>
      <c r="G101" s="24" t="n"/>
      <c r="H101" s="24" t="n"/>
      <c r="I101" s="24">
        <f>IF(COUNTA(A101:H101)=0,"",IF(A101="","Register Change ID missing",IF(COUNTIF($A$4:$A$353,A101)&gt;1,"Duplicate Register Change ID",IF(COUNTIF('AI Register'!$A$4:$A$206,B101)=0,"AIR-ID not in AI Register",IF(NOT(ISNUMBER(C101)),"Date missing or not a date",IF(OR(D101="",E101="",F101=""),"Change detail missing","Check against source"))))))</f>
        <v/>
      </c>
    </row>
    <row r="102">
      <c r="A102" s="22" t="n"/>
      <c r="B102" s="22" t="n"/>
      <c r="C102" s="35" t="n"/>
      <c r="D102" s="22" t="n"/>
      <c r="E102" s="22" t="n"/>
      <c r="F102" s="22" t="n"/>
      <c r="G102" s="22" t="n"/>
      <c r="H102" s="22" t="n"/>
      <c r="I102" s="22">
        <f>IF(COUNTA(A102:H102)=0,"",IF(A102="","Register Change ID missing",IF(COUNTIF($A$4:$A$353,A102)&gt;1,"Duplicate Register Change ID",IF(COUNTIF('AI Register'!$A$4:$A$206,B102)=0,"AIR-ID not in AI Register",IF(NOT(ISNUMBER(C102)),"Date missing or not a date",IF(OR(D102="",E102="",F102=""),"Change detail missing","Check against source"))))))</f>
        <v/>
      </c>
    </row>
    <row r="103">
      <c r="A103" s="24" t="n"/>
      <c r="B103" s="24" t="n"/>
      <c r="C103" s="36" t="n"/>
      <c r="D103" s="24" t="n"/>
      <c r="E103" s="24" t="n"/>
      <c r="F103" s="24" t="n"/>
      <c r="G103" s="24" t="n"/>
      <c r="H103" s="24" t="n"/>
      <c r="I103" s="24">
        <f>IF(COUNTA(A103:H103)=0,"",IF(A103="","Register Change ID missing",IF(COUNTIF($A$4:$A$353,A103)&gt;1,"Duplicate Register Change ID",IF(COUNTIF('AI Register'!$A$4:$A$206,B103)=0,"AIR-ID not in AI Register",IF(NOT(ISNUMBER(C103)),"Date missing or not a date",IF(OR(D103="",E103="",F103=""),"Change detail missing","Check against source"))))))</f>
        <v/>
      </c>
    </row>
    <row r="104">
      <c r="A104" s="22" t="n"/>
      <c r="B104" s="22" t="n"/>
      <c r="C104" s="35" t="n"/>
      <c r="D104" s="22" t="n"/>
      <c r="E104" s="22" t="n"/>
      <c r="F104" s="22" t="n"/>
      <c r="G104" s="22" t="n"/>
      <c r="H104" s="22" t="n"/>
      <c r="I104" s="22">
        <f>IF(COUNTA(A104:H104)=0,"",IF(A104="","Register Change ID missing",IF(COUNTIF($A$4:$A$353,A104)&gt;1,"Duplicate Register Change ID",IF(COUNTIF('AI Register'!$A$4:$A$206,B104)=0,"AIR-ID not in AI Register",IF(NOT(ISNUMBER(C104)),"Date missing or not a date",IF(OR(D104="",E104="",F104=""),"Change detail missing","Check against source"))))))</f>
        <v/>
      </c>
    </row>
    <row r="105">
      <c r="A105" s="24" t="n"/>
      <c r="B105" s="24" t="n"/>
      <c r="C105" s="36" t="n"/>
      <c r="D105" s="24" t="n"/>
      <c r="E105" s="24" t="n"/>
      <c r="F105" s="24" t="n"/>
      <c r="G105" s="24" t="n"/>
      <c r="H105" s="24" t="n"/>
      <c r="I105" s="24">
        <f>IF(COUNTA(A105:H105)=0,"",IF(A105="","Register Change ID missing",IF(COUNTIF($A$4:$A$353,A105)&gt;1,"Duplicate Register Change ID",IF(COUNTIF('AI Register'!$A$4:$A$206,B105)=0,"AIR-ID not in AI Register",IF(NOT(ISNUMBER(C105)),"Date missing or not a date",IF(OR(D105="",E105="",F105=""),"Change detail missing","Check against source"))))))</f>
        <v/>
      </c>
    </row>
    <row r="106">
      <c r="A106" s="22" t="n"/>
      <c r="B106" s="22" t="n"/>
      <c r="C106" s="35" t="n"/>
      <c r="D106" s="22" t="n"/>
      <c r="E106" s="22" t="n"/>
      <c r="F106" s="22" t="n"/>
      <c r="G106" s="22" t="n"/>
      <c r="H106" s="22" t="n"/>
      <c r="I106" s="22">
        <f>IF(COUNTA(A106:H106)=0,"",IF(A106="","Register Change ID missing",IF(COUNTIF($A$4:$A$353,A106)&gt;1,"Duplicate Register Change ID",IF(COUNTIF('AI Register'!$A$4:$A$206,B106)=0,"AIR-ID not in AI Register",IF(NOT(ISNUMBER(C106)),"Date missing or not a date",IF(OR(D106="",E106="",F106=""),"Change detail missing","Check against source"))))))</f>
        <v/>
      </c>
    </row>
    <row r="107">
      <c r="A107" s="24" t="n"/>
      <c r="B107" s="24" t="n"/>
      <c r="C107" s="36" t="n"/>
      <c r="D107" s="24" t="n"/>
      <c r="E107" s="24" t="n"/>
      <c r="F107" s="24" t="n"/>
      <c r="G107" s="24" t="n"/>
      <c r="H107" s="24" t="n"/>
      <c r="I107" s="24">
        <f>IF(COUNTA(A107:H107)=0,"",IF(A107="","Register Change ID missing",IF(COUNTIF($A$4:$A$353,A107)&gt;1,"Duplicate Register Change ID",IF(COUNTIF('AI Register'!$A$4:$A$206,B107)=0,"AIR-ID not in AI Register",IF(NOT(ISNUMBER(C107)),"Date missing or not a date",IF(OR(D107="",E107="",F107=""),"Change detail missing","Check against source"))))))</f>
        <v/>
      </c>
    </row>
    <row r="108">
      <c r="A108" s="22" t="n"/>
      <c r="B108" s="22" t="n"/>
      <c r="C108" s="35" t="n"/>
      <c r="D108" s="22" t="n"/>
      <c r="E108" s="22" t="n"/>
      <c r="F108" s="22" t="n"/>
      <c r="G108" s="22" t="n"/>
      <c r="H108" s="22" t="n"/>
      <c r="I108" s="22">
        <f>IF(COUNTA(A108:H108)=0,"",IF(A108="","Register Change ID missing",IF(COUNTIF($A$4:$A$353,A108)&gt;1,"Duplicate Register Change ID",IF(COUNTIF('AI Register'!$A$4:$A$206,B108)=0,"AIR-ID not in AI Register",IF(NOT(ISNUMBER(C108)),"Date missing or not a date",IF(OR(D108="",E108="",F108=""),"Change detail missing","Check against source"))))))</f>
        <v/>
      </c>
    </row>
    <row r="109">
      <c r="A109" s="24" t="n"/>
      <c r="B109" s="24" t="n"/>
      <c r="C109" s="36" t="n"/>
      <c r="D109" s="24" t="n"/>
      <c r="E109" s="24" t="n"/>
      <c r="F109" s="24" t="n"/>
      <c r="G109" s="24" t="n"/>
      <c r="H109" s="24" t="n"/>
      <c r="I109" s="24">
        <f>IF(COUNTA(A109:H109)=0,"",IF(A109="","Register Change ID missing",IF(COUNTIF($A$4:$A$353,A109)&gt;1,"Duplicate Register Change ID",IF(COUNTIF('AI Register'!$A$4:$A$206,B109)=0,"AIR-ID not in AI Register",IF(NOT(ISNUMBER(C109)),"Date missing or not a date",IF(OR(D109="",E109="",F109=""),"Change detail missing","Check against source"))))))</f>
        <v/>
      </c>
    </row>
    <row r="110">
      <c r="A110" s="22" t="n"/>
      <c r="B110" s="22" t="n"/>
      <c r="C110" s="35" t="n"/>
      <c r="D110" s="22" t="n"/>
      <c r="E110" s="22" t="n"/>
      <c r="F110" s="22" t="n"/>
      <c r="G110" s="22" t="n"/>
      <c r="H110" s="22" t="n"/>
      <c r="I110" s="22">
        <f>IF(COUNTA(A110:H110)=0,"",IF(A110="","Register Change ID missing",IF(COUNTIF($A$4:$A$353,A110)&gt;1,"Duplicate Register Change ID",IF(COUNTIF('AI Register'!$A$4:$A$206,B110)=0,"AIR-ID not in AI Register",IF(NOT(ISNUMBER(C110)),"Date missing or not a date",IF(OR(D110="",E110="",F110=""),"Change detail missing","Check against source"))))))</f>
        <v/>
      </c>
    </row>
    <row r="111">
      <c r="A111" s="24" t="n"/>
      <c r="B111" s="24" t="n"/>
      <c r="C111" s="36" t="n"/>
      <c r="D111" s="24" t="n"/>
      <c r="E111" s="24" t="n"/>
      <c r="F111" s="24" t="n"/>
      <c r="G111" s="24" t="n"/>
      <c r="H111" s="24" t="n"/>
      <c r="I111" s="24">
        <f>IF(COUNTA(A111:H111)=0,"",IF(A111="","Register Change ID missing",IF(COUNTIF($A$4:$A$353,A111)&gt;1,"Duplicate Register Change ID",IF(COUNTIF('AI Register'!$A$4:$A$206,B111)=0,"AIR-ID not in AI Register",IF(NOT(ISNUMBER(C111)),"Date missing or not a date",IF(OR(D111="",E111="",F111=""),"Change detail missing","Check against source"))))))</f>
        <v/>
      </c>
    </row>
    <row r="112">
      <c r="A112" s="22" t="n"/>
      <c r="B112" s="22" t="n"/>
      <c r="C112" s="35" t="n"/>
      <c r="D112" s="22" t="n"/>
      <c r="E112" s="22" t="n"/>
      <c r="F112" s="22" t="n"/>
      <c r="G112" s="22" t="n"/>
      <c r="H112" s="22" t="n"/>
      <c r="I112" s="22">
        <f>IF(COUNTA(A112:H112)=0,"",IF(A112="","Register Change ID missing",IF(COUNTIF($A$4:$A$353,A112)&gt;1,"Duplicate Register Change ID",IF(COUNTIF('AI Register'!$A$4:$A$206,B112)=0,"AIR-ID not in AI Register",IF(NOT(ISNUMBER(C112)),"Date missing or not a date",IF(OR(D112="",E112="",F112=""),"Change detail missing","Check against source"))))))</f>
        <v/>
      </c>
    </row>
    <row r="113">
      <c r="A113" s="24" t="n"/>
      <c r="B113" s="24" t="n"/>
      <c r="C113" s="36" t="n"/>
      <c r="D113" s="24" t="n"/>
      <c r="E113" s="24" t="n"/>
      <c r="F113" s="24" t="n"/>
      <c r="G113" s="24" t="n"/>
      <c r="H113" s="24" t="n"/>
      <c r="I113" s="24">
        <f>IF(COUNTA(A113:H113)=0,"",IF(A113="","Register Change ID missing",IF(COUNTIF($A$4:$A$353,A113)&gt;1,"Duplicate Register Change ID",IF(COUNTIF('AI Register'!$A$4:$A$206,B113)=0,"AIR-ID not in AI Register",IF(NOT(ISNUMBER(C113)),"Date missing or not a date",IF(OR(D113="",E113="",F113=""),"Change detail missing","Check against source"))))))</f>
        <v/>
      </c>
    </row>
    <row r="114">
      <c r="A114" s="22" t="n"/>
      <c r="B114" s="22" t="n"/>
      <c r="C114" s="35" t="n"/>
      <c r="D114" s="22" t="n"/>
      <c r="E114" s="22" t="n"/>
      <c r="F114" s="22" t="n"/>
      <c r="G114" s="22" t="n"/>
      <c r="H114" s="22" t="n"/>
      <c r="I114" s="22">
        <f>IF(COUNTA(A114:H114)=0,"",IF(A114="","Register Change ID missing",IF(COUNTIF($A$4:$A$353,A114)&gt;1,"Duplicate Register Change ID",IF(COUNTIF('AI Register'!$A$4:$A$206,B114)=0,"AIR-ID not in AI Register",IF(NOT(ISNUMBER(C114)),"Date missing or not a date",IF(OR(D114="",E114="",F114=""),"Change detail missing","Check against source"))))))</f>
        <v/>
      </c>
    </row>
    <row r="115">
      <c r="A115" s="24" t="n"/>
      <c r="B115" s="24" t="n"/>
      <c r="C115" s="36" t="n"/>
      <c r="D115" s="24" t="n"/>
      <c r="E115" s="24" t="n"/>
      <c r="F115" s="24" t="n"/>
      <c r="G115" s="24" t="n"/>
      <c r="H115" s="24" t="n"/>
      <c r="I115" s="24">
        <f>IF(COUNTA(A115:H115)=0,"",IF(A115="","Register Change ID missing",IF(COUNTIF($A$4:$A$353,A115)&gt;1,"Duplicate Register Change ID",IF(COUNTIF('AI Register'!$A$4:$A$206,B115)=0,"AIR-ID not in AI Register",IF(NOT(ISNUMBER(C115)),"Date missing or not a date",IF(OR(D115="",E115="",F115=""),"Change detail missing","Check against source"))))))</f>
        <v/>
      </c>
    </row>
    <row r="116">
      <c r="A116" s="22" t="n"/>
      <c r="B116" s="22" t="n"/>
      <c r="C116" s="35" t="n"/>
      <c r="D116" s="22" t="n"/>
      <c r="E116" s="22" t="n"/>
      <c r="F116" s="22" t="n"/>
      <c r="G116" s="22" t="n"/>
      <c r="H116" s="22" t="n"/>
      <c r="I116" s="22">
        <f>IF(COUNTA(A116:H116)=0,"",IF(A116="","Register Change ID missing",IF(COUNTIF($A$4:$A$353,A116)&gt;1,"Duplicate Register Change ID",IF(COUNTIF('AI Register'!$A$4:$A$206,B116)=0,"AIR-ID not in AI Register",IF(NOT(ISNUMBER(C116)),"Date missing or not a date",IF(OR(D116="",E116="",F116=""),"Change detail missing","Check against source"))))))</f>
        <v/>
      </c>
    </row>
    <row r="117">
      <c r="A117" s="24" t="n"/>
      <c r="B117" s="24" t="n"/>
      <c r="C117" s="36" t="n"/>
      <c r="D117" s="24" t="n"/>
      <c r="E117" s="24" t="n"/>
      <c r="F117" s="24" t="n"/>
      <c r="G117" s="24" t="n"/>
      <c r="H117" s="24" t="n"/>
      <c r="I117" s="24">
        <f>IF(COUNTA(A117:H117)=0,"",IF(A117="","Register Change ID missing",IF(COUNTIF($A$4:$A$353,A117)&gt;1,"Duplicate Register Change ID",IF(COUNTIF('AI Register'!$A$4:$A$206,B117)=0,"AIR-ID not in AI Register",IF(NOT(ISNUMBER(C117)),"Date missing or not a date",IF(OR(D117="",E117="",F117=""),"Change detail missing","Check against source"))))))</f>
        <v/>
      </c>
    </row>
    <row r="118">
      <c r="A118" s="22" t="n"/>
      <c r="B118" s="22" t="n"/>
      <c r="C118" s="35" t="n"/>
      <c r="D118" s="22" t="n"/>
      <c r="E118" s="22" t="n"/>
      <c r="F118" s="22" t="n"/>
      <c r="G118" s="22" t="n"/>
      <c r="H118" s="22" t="n"/>
      <c r="I118" s="22">
        <f>IF(COUNTA(A118:H118)=0,"",IF(A118="","Register Change ID missing",IF(COUNTIF($A$4:$A$353,A118)&gt;1,"Duplicate Register Change ID",IF(COUNTIF('AI Register'!$A$4:$A$206,B118)=0,"AIR-ID not in AI Register",IF(NOT(ISNUMBER(C118)),"Date missing or not a date",IF(OR(D118="",E118="",F118=""),"Change detail missing","Check against source"))))))</f>
        <v/>
      </c>
    </row>
    <row r="119">
      <c r="A119" s="24" t="n"/>
      <c r="B119" s="24" t="n"/>
      <c r="C119" s="36" t="n"/>
      <c r="D119" s="24" t="n"/>
      <c r="E119" s="24" t="n"/>
      <c r="F119" s="24" t="n"/>
      <c r="G119" s="24" t="n"/>
      <c r="H119" s="24" t="n"/>
      <c r="I119" s="24">
        <f>IF(COUNTA(A119:H119)=0,"",IF(A119="","Register Change ID missing",IF(COUNTIF($A$4:$A$353,A119)&gt;1,"Duplicate Register Change ID",IF(COUNTIF('AI Register'!$A$4:$A$206,B119)=0,"AIR-ID not in AI Register",IF(NOT(ISNUMBER(C119)),"Date missing or not a date",IF(OR(D119="",E119="",F119=""),"Change detail missing","Check against source"))))))</f>
        <v/>
      </c>
    </row>
    <row r="120">
      <c r="A120" s="22" t="n"/>
      <c r="B120" s="22" t="n"/>
      <c r="C120" s="35" t="n"/>
      <c r="D120" s="22" t="n"/>
      <c r="E120" s="22" t="n"/>
      <c r="F120" s="22" t="n"/>
      <c r="G120" s="22" t="n"/>
      <c r="H120" s="22" t="n"/>
      <c r="I120" s="22">
        <f>IF(COUNTA(A120:H120)=0,"",IF(A120="","Register Change ID missing",IF(COUNTIF($A$4:$A$353,A120)&gt;1,"Duplicate Register Change ID",IF(COUNTIF('AI Register'!$A$4:$A$206,B120)=0,"AIR-ID not in AI Register",IF(NOT(ISNUMBER(C120)),"Date missing or not a date",IF(OR(D120="",E120="",F120=""),"Change detail missing","Check against source"))))))</f>
        <v/>
      </c>
    </row>
    <row r="121">
      <c r="A121" s="24" t="n"/>
      <c r="B121" s="24" t="n"/>
      <c r="C121" s="36" t="n"/>
      <c r="D121" s="24" t="n"/>
      <c r="E121" s="24" t="n"/>
      <c r="F121" s="24" t="n"/>
      <c r="G121" s="24" t="n"/>
      <c r="H121" s="24" t="n"/>
      <c r="I121" s="24">
        <f>IF(COUNTA(A121:H121)=0,"",IF(A121="","Register Change ID missing",IF(COUNTIF($A$4:$A$353,A121)&gt;1,"Duplicate Register Change ID",IF(COUNTIF('AI Register'!$A$4:$A$206,B121)=0,"AIR-ID not in AI Register",IF(NOT(ISNUMBER(C121)),"Date missing or not a date",IF(OR(D121="",E121="",F121=""),"Change detail missing","Check against source"))))))</f>
        <v/>
      </c>
    </row>
    <row r="122">
      <c r="A122" s="22" t="n"/>
      <c r="B122" s="22" t="n"/>
      <c r="C122" s="35" t="n"/>
      <c r="D122" s="22" t="n"/>
      <c r="E122" s="22" t="n"/>
      <c r="F122" s="22" t="n"/>
      <c r="G122" s="22" t="n"/>
      <c r="H122" s="22" t="n"/>
      <c r="I122" s="22">
        <f>IF(COUNTA(A122:H122)=0,"",IF(A122="","Register Change ID missing",IF(COUNTIF($A$4:$A$353,A122)&gt;1,"Duplicate Register Change ID",IF(COUNTIF('AI Register'!$A$4:$A$206,B122)=0,"AIR-ID not in AI Register",IF(NOT(ISNUMBER(C122)),"Date missing or not a date",IF(OR(D122="",E122="",F122=""),"Change detail missing","Check against source"))))))</f>
        <v/>
      </c>
    </row>
    <row r="123">
      <c r="A123" s="24" t="n"/>
      <c r="B123" s="24" t="n"/>
      <c r="C123" s="36" t="n"/>
      <c r="D123" s="24" t="n"/>
      <c r="E123" s="24" t="n"/>
      <c r="F123" s="24" t="n"/>
      <c r="G123" s="24" t="n"/>
      <c r="H123" s="24" t="n"/>
      <c r="I123" s="24">
        <f>IF(COUNTA(A123:H123)=0,"",IF(A123="","Register Change ID missing",IF(COUNTIF($A$4:$A$353,A123)&gt;1,"Duplicate Register Change ID",IF(COUNTIF('AI Register'!$A$4:$A$206,B123)=0,"AIR-ID not in AI Register",IF(NOT(ISNUMBER(C123)),"Date missing or not a date",IF(OR(D123="",E123="",F123=""),"Change detail missing","Check against source"))))))</f>
        <v/>
      </c>
    </row>
    <row r="124">
      <c r="A124" s="22" t="n"/>
      <c r="B124" s="22" t="n"/>
      <c r="C124" s="35" t="n"/>
      <c r="D124" s="22" t="n"/>
      <c r="E124" s="22" t="n"/>
      <c r="F124" s="22" t="n"/>
      <c r="G124" s="22" t="n"/>
      <c r="H124" s="22" t="n"/>
      <c r="I124" s="22">
        <f>IF(COUNTA(A124:H124)=0,"",IF(A124="","Register Change ID missing",IF(COUNTIF($A$4:$A$353,A124)&gt;1,"Duplicate Register Change ID",IF(COUNTIF('AI Register'!$A$4:$A$206,B124)=0,"AIR-ID not in AI Register",IF(NOT(ISNUMBER(C124)),"Date missing or not a date",IF(OR(D124="",E124="",F124=""),"Change detail missing","Check against source"))))))</f>
        <v/>
      </c>
    </row>
    <row r="125">
      <c r="A125" s="24" t="n"/>
      <c r="B125" s="24" t="n"/>
      <c r="C125" s="36" t="n"/>
      <c r="D125" s="24" t="n"/>
      <c r="E125" s="24" t="n"/>
      <c r="F125" s="24" t="n"/>
      <c r="G125" s="24" t="n"/>
      <c r="H125" s="24" t="n"/>
      <c r="I125" s="24">
        <f>IF(COUNTA(A125:H125)=0,"",IF(A125="","Register Change ID missing",IF(COUNTIF($A$4:$A$353,A125)&gt;1,"Duplicate Register Change ID",IF(COUNTIF('AI Register'!$A$4:$A$206,B125)=0,"AIR-ID not in AI Register",IF(NOT(ISNUMBER(C125)),"Date missing or not a date",IF(OR(D125="",E125="",F125=""),"Change detail missing","Check against source"))))))</f>
        <v/>
      </c>
    </row>
    <row r="126">
      <c r="A126" s="22" t="n"/>
      <c r="B126" s="22" t="n"/>
      <c r="C126" s="35" t="n"/>
      <c r="D126" s="22" t="n"/>
      <c r="E126" s="22" t="n"/>
      <c r="F126" s="22" t="n"/>
      <c r="G126" s="22" t="n"/>
      <c r="H126" s="22" t="n"/>
      <c r="I126" s="22">
        <f>IF(COUNTA(A126:H126)=0,"",IF(A126="","Register Change ID missing",IF(COUNTIF($A$4:$A$353,A126)&gt;1,"Duplicate Register Change ID",IF(COUNTIF('AI Register'!$A$4:$A$206,B126)=0,"AIR-ID not in AI Register",IF(NOT(ISNUMBER(C126)),"Date missing or not a date",IF(OR(D126="",E126="",F126=""),"Change detail missing","Check against source"))))))</f>
        <v/>
      </c>
    </row>
    <row r="127">
      <c r="A127" s="24" t="n"/>
      <c r="B127" s="24" t="n"/>
      <c r="C127" s="36" t="n"/>
      <c r="D127" s="24" t="n"/>
      <c r="E127" s="24" t="n"/>
      <c r="F127" s="24" t="n"/>
      <c r="G127" s="24" t="n"/>
      <c r="H127" s="24" t="n"/>
      <c r="I127" s="24">
        <f>IF(COUNTA(A127:H127)=0,"",IF(A127="","Register Change ID missing",IF(COUNTIF($A$4:$A$353,A127)&gt;1,"Duplicate Register Change ID",IF(COUNTIF('AI Register'!$A$4:$A$206,B127)=0,"AIR-ID not in AI Register",IF(NOT(ISNUMBER(C127)),"Date missing or not a date",IF(OR(D127="",E127="",F127=""),"Change detail missing","Check against source"))))))</f>
        <v/>
      </c>
    </row>
    <row r="128">
      <c r="A128" s="22" t="n"/>
      <c r="B128" s="22" t="n"/>
      <c r="C128" s="35" t="n"/>
      <c r="D128" s="22" t="n"/>
      <c r="E128" s="22" t="n"/>
      <c r="F128" s="22" t="n"/>
      <c r="G128" s="22" t="n"/>
      <c r="H128" s="22" t="n"/>
      <c r="I128" s="22">
        <f>IF(COUNTA(A128:H128)=0,"",IF(A128="","Register Change ID missing",IF(COUNTIF($A$4:$A$353,A128)&gt;1,"Duplicate Register Change ID",IF(COUNTIF('AI Register'!$A$4:$A$206,B128)=0,"AIR-ID not in AI Register",IF(NOT(ISNUMBER(C128)),"Date missing or not a date",IF(OR(D128="",E128="",F128=""),"Change detail missing","Check against source"))))))</f>
        <v/>
      </c>
    </row>
    <row r="129">
      <c r="A129" s="24" t="n"/>
      <c r="B129" s="24" t="n"/>
      <c r="C129" s="36" t="n"/>
      <c r="D129" s="24" t="n"/>
      <c r="E129" s="24" t="n"/>
      <c r="F129" s="24" t="n"/>
      <c r="G129" s="24" t="n"/>
      <c r="H129" s="24" t="n"/>
      <c r="I129" s="24">
        <f>IF(COUNTA(A129:H129)=0,"",IF(A129="","Register Change ID missing",IF(COUNTIF($A$4:$A$353,A129)&gt;1,"Duplicate Register Change ID",IF(COUNTIF('AI Register'!$A$4:$A$206,B129)=0,"AIR-ID not in AI Register",IF(NOT(ISNUMBER(C129)),"Date missing or not a date",IF(OR(D129="",E129="",F129=""),"Change detail missing","Check against source"))))))</f>
        <v/>
      </c>
    </row>
    <row r="130">
      <c r="A130" s="22" t="n"/>
      <c r="B130" s="22" t="n"/>
      <c r="C130" s="35" t="n"/>
      <c r="D130" s="22" t="n"/>
      <c r="E130" s="22" t="n"/>
      <c r="F130" s="22" t="n"/>
      <c r="G130" s="22" t="n"/>
      <c r="H130" s="22" t="n"/>
      <c r="I130" s="22">
        <f>IF(COUNTA(A130:H130)=0,"",IF(A130="","Register Change ID missing",IF(COUNTIF($A$4:$A$353,A130)&gt;1,"Duplicate Register Change ID",IF(COUNTIF('AI Register'!$A$4:$A$206,B130)=0,"AIR-ID not in AI Register",IF(NOT(ISNUMBER(C130)),"Date missing or not a date",IF(OR(D130="",E130="",F130=""),"Change detail missing","Check against source"))))))</f>
        <v/>
      </c>
    </row>
    <row r="131">
      <c r="A131" s="24" t="n"/>
      <c r="B131" s="24" t="n"/>
      <c r="C131" s="36" t="n"/>
      <c r="D131" s="24" t="n"/>
      <c r="E131" s="24" t="n"/>
      <c r="F131" s="24" t="n"/>
      <c r="G131" s="24" t="n"/>
      <c r="H131" s="24" t="n"/>
      <c r="I131" s="24">
        <f>IF(COUNTA(A131:H131)=0,"",IF(A131="","Register Change ID missing",IF(COUNTIF($A$4:$A$353,A131)&gt;1,"Duplicate Register Change ID",IF(COUNTIF('AI Register'!$A$4:$A$206,B131)=0,"AIR-ID not in AI Register",IF(NOT(ISNUMBER(C131)),"Date missing or not a date",IF(OR(D131="",E131="",F131=""),"Change detail missing","Check against source"))))))</f>
        <v/>
      </c>
    </row>
    <row r="132">
      <c r="A132" s="22" t="n"/>
      <c r="B132" s="22" t="n"/>
      <c r="C132" s="35" t="n"/>
      <c r="D132" s="22" t="n"/>
      <c r="E132" s="22" t="n"/>
      <c r="F132" s="22" t="n"/>
      <c r="G132" s="22" t="n"/>
      <c r="H132" s="22" t="n"/>
      <c r="I132" s="22">
        <f>IF(COUNTA(A132:H132)=0,"",IF(A132="","Register Change ID missing",IF(COUNTIF($A$4:$A$353,A132)&gt;1,"Duplicate Register Change ID",IF(COUNTIF('AI Register'!$A$4:$A$206,B132)=0,"AIR-ID not in AI Register",IF(NOT(ISNUMBER(C132)),"Date missing or not a date",IF(OR(D132="",E132="",F132=""),"Change detail missing","Check against source"))))))</f>
        <v/>
      </c>
    </row>
    <row r="133">
      <c r="A133" s="24" t="n"/>
      <c r="B133" s="24" t="n"/>
      <c r="C133" s="36" t="n"/>
      <c r="D133" s="24" t="n"/>
      <c r="E133" s="24" t="n"/>
      <c r="F133" s="24" t="n"/>
      <c r="G133" s="24" t="n"/>
      <c r="H133" s="24" t="n"/>
      <c r="I133" s="24">
        <f>IF(COUNTA(A133:H133)=0,"",IF(A133="","Register Change ID missing",IF(COUNTIF($A$4:$A$353,A133)&gt;1,"Duplicate Register Change ID",IF(COUNTIF('AI Register'!$A$4:$A$206,B133)=0,"AIR-ID not in AI Register",IF(NOT(ISNUMBER(C133)),"Date missing or not a date",IF(OR(D133="",E133="",F133=""),"Change detail missing","Check against source"))))))</f>
        <v/>
      </c>
    </row>
    <row r="134">
      <c r="A134" s="22" t="n"/>
      <c r="B134" s="22" t="n"/>
      <c r="C134" s="35" t="n"/>
      <c r="D134" s="22" t="n"/>
      <c r="E134" s="22" t="n"/>
      <c r="F134" s="22" t="n"/>
      <c r="G134" s="22" t="n"/>
      <c r="H134" s="22" t="n"/>
      <c r="I134" s="22">
        <f>IF(COUNTA(A134:H134)=0,"",IF(A134="","Register Change ID missing",IF(COUNTIF($A$4:$A$353,A134)&gt;1,"Duplicate Register Change ID",IF(COUNTIF('AI Register'!$A$4:$A$206,B134)=0,"AIR-ID not in AI Register",IF(NOT(ISNUMBER(C134)),"Date missing or not a date",IF(OR(D134="",E134="",F134=""),"Change detail missing","Check against source"))))))</f>
        <v/>
      </c>
    </row>
    <row r="135">
      <c r="A135" s="24" t="n"/>
      <c r="B135" s="24" t="n"/>
      <c r="C135" s="36" t="n"/>
      <c r="D135" s="24" t="n"/>
      <c r="E135" s="24" t="n"/>
      <c r="F135" s="24" t="n"/>
      <c r="G135" s="24" t="n"/>
      <c r="H135" s="24" t="n"/>
      <c r="I135" s="24">
        <f>IF(COUNTA(A135:H135)=0,"",IF(A135="","Register Change ID missing",IF(COUNTIF($A$4:$A$353,A135)&gt;1,"Duplicate Register Change ID",IF(COUNTIF('AI Register'!$A$4:$A$206,B135)=0,"AIR-ID not in AI Register",IF(NOT(ISNUMBER(C135)),"Date missing or not a date",IF(OR(D135="",E135="",F135=""),"Change detail missing","Check against source"))))))</f>
        <v/>
      </c>
    </row>
    <row r="136">
      <c r="A136" s="22" t="n"/>
      <c r="B136" s="22" t="n"/>
      <c r="C136" s="35" t="n"/>
      <c r="D136" s="22" t="n"/>
      <c r="E136" s="22" t="n"/>
      <c r="F136" s="22" t="n"/>
      <c r="G136" s="22" t="n"/>
      <c r="H136" s="22" t="n"/>
      <c r="I136" s="22">
        <f>IF(COUNTA(A136:H136)=0,"",IF(A136="","Register Change ID missing",IF(COUNTIF($A$4:$A$353,A136)&gt;1,"Duplicate Register Change ID",IF(COUNTIF('AI Register'!$A$4:$A$206,B136)=0,"AIR-ID not in AI Register",IF(NOT(ISNUMBER(C136)),"Date missing or not a date",IF(OR(D136="",E136="",F136=""),"Change detail missing","Check against source"))))))</f>
        <v/>
      </c>
    </row>
    <row r="137">
      <c r="A137" s="24" t="n"/>
      <c r="B137" s="24" t="n"/>
      <c r="C137" s="36" t="n"/>
      <c r="D137" s="24" t="n"/>
      <c r="E137" s="24" t="n"/>
      <c r="F137" s="24" t="n"/>
      <c r="G137" s="24" t="n"/>
      <c r="H137" s="24" t="n"/>
      <c r="I137" s="24">
        <f>IF(COUNTA(A137:H137)=0,"",IF(A137="","Register Change ID missing",IF(COUNTIF($A$4:$A$353,A137)&gt;1,"Duplicate Register Change ID",IF(COUNTIF('AI Register'!$A$4:$A$206,B137)=0,"AIR-ID not in AI Register",IF(NOT(ISNUMBER(C137)),"Date missing or not a date",IF(OR(D137="",E137="",F137=""),"Change detail missing","Check against source"))))))</f>
        <v/>
      </c>
    </row>
    <row r="138">
      <c r="A138" s="22" t="n"/>
      <c r="B138" s="22" t="n"/>
      <c r="C138" s="35" t="n"/>
      <c r="D138" s="22" t="n"/>
      <c r="E138" s="22" t="n"/>
      <c r="F138" s="22" t="n"/>
      <c r="G138" s="22" t="n"/>
      <c r="H138" s="22" t="n"/>
      <c r="I138" s="22">
        <f>IF(COUNTA(A138:H138)=0,"",IF(A138="","Register Change ID missing",IF(COUNTIF($A$4:$A$353,A138)&gt;1,"Duplicate Register Change ID",IF(COUNTIF('AI Register'!$A$4:$A$206,B138)=0,"AIR-ID not in AI Register",IF(NOT(ISNUMBER(C138)),"Date missing or not a date",IF(OR(D138="",E138="",F138=""),"Change detail missing","Check against source"))))))</f>
        <v/>
      </c>
    </row>
    <row r="139">
      <c r="A139" s="24" t="n"/>
      <c r="B139" s="24" t="n"/>
      <c r="C139" s="36" t="n"/>
      <c r="D139" s="24" t="n"/>
      <c r="E139" s="24" t="n"/>
      <c r="F139" s="24" t="n"/>
      <c r="G139" s="24" t="n"/>
      <c r="H139" s="24" t="n"/>
      <c r="I139" s="24">
        <f>IF(COUNTA(A139:H139)=0,"",IF(A139="","Register Change ID missing",IF(COUNTIF($A$4:$A$353,A139)&gt;1,"Duplicate Register Change ID",IF(COUNTIF('AI Register'!$A$4:$A$206,B139)=0,"AIR-ID not in AI Register",IF(NOT(ISNUMBER(C139)),"Date missing or not a date",IF(OR(D139="",E139="",F139=""),"Change detail missing","Check against source"))))))</f>
        <v/>
      </c>
    </row>
    <row r="140">
      <c r="A140" s="22" t="n"/>
      <c r="B140" s="22" t="n"/>
      <c r="C140" s="35" t="n"/>
      <c r="D140" s="22" t="n"/>
      <c r="E140" s="22" t="n"/>
      <c r="F140" s="22" t="n"/>
      <c r="G140" s="22" t="n"/>
      <c r="H140" s="22" t="n"/>
      <c r="I140" s="22">
        <f>IF(COUNTA(A140:H140)=0,"",IF(A140="","Register Change ID missing",IF(COUNTIF($A$4:$A$353,A140)&gt;1,"Duplicate Register Change ID",IF(COUNTIF('AI Register'!$A$4:$A$206,B140)=0,"AIR-ID not in AI Register",IF(NOT(ISNUMBER(C140)),"Date missing or not a date",IF(OR(D140="",E140="",F140=""),"Change detail missing","Check against source"))))))</f>
        <v/>
      </c>
    </row>
    <row r="141">
      <c r="A141" s="24" t="n"/>
      <c r="B141" s="24" t="n"/>
      <c r="C141" s="36" t="n"/>
      <c r="D141" s="24" t="n"/>
      <c r="E141" s="24" t="n"/>
      <c r="F141" s="24" t="n"/>
      <c r="G141" s="24" t="n"/>
      <c r="H141" s="24" t="n"/>
      <c r="I141" s="24">
        <f>IF(COUNTA(A141:H141)=0,"",IF(A141="","Register Change ID missing",IF(COUNTIF($A$4:$A$353,A141)&gt;1,"Duplicate Register Change ID",IF(COUNTIF('AI Register'!$A$4:$A$206,B141)=0,"AIR-ID not in AI Register",IF(NOT(ISNUMBER(C141)),"Date missing or not a date",IF(OR(D141="",E141="",F141=""),"Change detail missing","Check against source"))))))</f>
        <v/>
      </c>
    </row>
    <row r="142">
      <c r="A142" s="22" t="n"/>
      <c r="B142" s="22" t="n"/>
      <c r="C142" s="35" t="n"/>
      <c r="D142" s="22" t="n"/>
      <c r="E142" s="22" t="n"/>
      <c r="F142" s="22" t="n"/>
      <c r="G142" s="22" t="n"/>
      <c r="H142" s="22" t="n"/>
      <c r="I142" s="22">
        <f>IF(COUNTA(A142:H142)=0,"",IF(A142="","Register Change ID missing",IF(COUNTIF($A$4:$A$353,A142)&gt;1,"Duplicate Register Change ID",IF(COUNTIF('AI Register'!$A$4:$A$206,B142)=0,"AIR-ID not in AI Register",IF(NOT(ISNUMBER(C142)),"Date missing or not a date",IF(OR(D142="",E142="",F142=""),"Change detail missing","Check against source"))))))</f>
        <v/>
      </c>
    </row>
    <row r="143">
      <c r="A143" s="24" t="n"/>
      <c r="B143" s="24" t="n"/>
      <c r="C143" s="36" t="n"/>
      <c r="D143" s="24" t="n"/>
      <c r="E143" s="24" t="n"/>
      <c r="F143" s="24" t="n"/>
      <c r="G143" s="24" t="n"/>
      <c r="H143" s="24" t="n"/>
      <c r="I143" s="24">
        <f>IF(COUNTA(A143:H143)=0,"",IF(A143="","Register Change ID missing",IF(COUNTIF($A$4:$A$353,A143)&gt;1,"Duplicate Register Change ID",IF(COUNTIF('AI Register'!$A$4:$A$206,B143)=0,"AIR-ID not in AI Register",IF(NOT(ISNUMBER(C143)),"Date missing or not a date",IF(OR(D143="",E143="",F143=""),"Change detail missing","Check against source"))))))</f>
        <v/>
      </c>
    </row>
    <row r="144">
      <c r="A144" s="22" t="n"/>
      <c r="B144" s="22" t="n"/>
      <c r="C144" s="35" t="n"/>
      <c r="D144" s="22" t="n"/>
      <c r="E144" s="22" t="n"/>
      <c r="F144" s="22" t="n"/>
      <c r="G144" s="22" t="n"/>
      <c r="H144" s="22" t="n"/>
      <c r="I144" s="22">
        <f>IF(COUNTA(A144:H144)=0,"",IF(A144="","Register Change ID missing",IF(COUNTIF($A$4:$A$353,A144)&gt;1,"Duplicate Register Change ID",IF(COUNTIF('AI Register'!$A$4:$A$206,B144)=0,"AIR-ID not in AI Register",IF(NOT(ISNUMBER(C144)),"Date missing or not a date",IF(OR(D144="",E144="",F144=""),"Change detail missing","Check against source"))))))</f>
        <v/>
      </c>
    </row>
    <row r="145">
      <c r="A145" s="24" t="n"/>
      <c r="B145" s="24" t="n"/>
      <c r="C145" s="36" t="n"/>
      <c r="D145" s="24" t="n"/>
      <c r="E145" s="24" t="n"/>
      <c r="F145" s="24" t="n"/>
      <c r="G145" s="24" t="n"/>
      <c r="H145" s="24" t="n"/>
      <c r="I145" s="24">
        <f>IF(COUNTA(A145:H145)=0,"",IF(A145="","Register Change ID missing",IF(COUNTIF($A$4:$A$353,A145)&gt;1,"Duplicate Register Change ID",IF(COUNTIF('AI Register'!$A$4:$A$206,B145)=0,"AIR-ID not in AI Register",IF(NOT(ISNUMBER(C145)),"Date missing or not a date",IF(OR(D145="",E145="",F145=""),"Change detail missing","Check against source"))))))</f>
        <v/>
      </c>
    </row>
    <row r="146">
      <c r="A146" s="22" t="n"/>
      <c r="B146" s="22" t="n"/>
      <c r="C146" s="35" t="n"/>
      <c r="D146" s="22" t="n"/>
      <c r="E146" s="22" t="n"/>
      <c r="F146" s="22" t="n"/>
      <c r="G146" s="22" t="n"/>
      <c r="H146" s="22" t="n"/>
      <c r="I146" s="22">
        <f>IF(COUNTA(A146:H146)=0,"",IF(A146="","Register Change ID missing",IF(COUNTIF($A$4:$A$353,A146)&gt;1,"Duplicate Register Change ID",IF(COUNTIF('AI Register'!$A$4:$A$206,B146)=0,"AIR-ID not in AI Register",IF(NOT(ISNUMBER(C146)),"Date missing or not a date",IF(OR(D146="",E146="",F146=""),"Change detail missing","Check against source"))))))</f>
        <v/>
      </c>
    </row>
    <row r="147">
      <c r="A147" s="24" t="n"/>
      <c r="B147" s="24" t="n"/>
      <c r="C147" s="36" t="n"/>
      <c r="D147" s="24" t="n"/>
      <c r="E147" s="24" t="n"/>
      <c r="F147" s="24" t="n"/>
      <c r="G147" s="24" t="n"/>
      <c r="H147" s="24" t="n"/>
      <c r="I147" s="24">
        <f>IF(COUNTA(A147:H147)=0,"",IF(A147="","Register Change ID missing",IF(COUNTIF($A$4:$A$353,A147)&gt;1,"Duplicate Register Change ID",IF(COUNTIF('AI Register'!$A$4:$A$206,B147)=0,"AIR-ID not in AI Register",IF(NOT(ISNUMBER(C147)),"Date missing or not a date",IF(OR(D147="",E147="",F147=""),"Change detail missing","Check against source"))))))</f>
        <v/>
      </c>
    </row>
    <row r="148">
      <c r="A148" s="22" t="n"/>
      <c r="B148" s="22" t="n"/>
      <c r="C148" s="35" t="n"/>
      <c r="D148" s="22" t="n"/>
      <c r="E148" s="22" t="n"/>
      <c r="F148" s="22" t="n"/>
      <c r="G148" s="22" t="n"/>
      <c r="H148" s="22" t="n"/>
      <c r="I148" s="22">
        <f>IF(COUNTA(A148:H148)=0,"",IF(A148="","Register Change ID missing",IF(COUNTIF($A$4:$A$353,A148)&gt;1,"Duplicate Register Change ID",IF(COUNTIF('AI Register'!$A$4:$A$206,B148)=0,"AIR-ID not in AI Register",IF(NOT(ISNUMBER(C148)),"Date missing or not a date",IF(OR(D148="",E148="",F148=""),"Change detail missing","Check against source"))))))</f>
        <v/>
      </c>
    </row>
    <row r="149">
      <c r="A149" s="24" t="n"/>
      <c r="B149" s="24" t="n"/>
      <c r="C149" s="36" t="n"/>
      <c r="D149" s="24" t="n"/>
      <c r="E149" s="24" t="n"/>
      <c r="F149" s="24" t="n"/>
      <c r="G149" s="24" t="n"/>
      <c r="H149" s="24" t="n"/>
      <c r="I149" s="24">
        <f>IF(COUNTA(A149:H149)=0,"",IF(A149="","Register Change ID missing",IF(COUNTIF($A$4:$A$353,A149)&gt;1,"Duplicate Register Change ID",IF(COUNTIF('AI Register'!$A$4:$A$206,B149)=0,"AIR-ID not in AI Register",IF(NOT(ISNUMBER(C149)),"Date missing or not a date",IF(OR(D149="",E149="",F149=""),"Change detail missing","Check against source"))))))</f>
        <v/>
      </c>
    </row>
    <row r="150">
      <c r="A150" s="22" t="n"/>
      <c r="B150" s="22" t="n"/>
      <c r="C150" s="35" t="n"/>
      <c r="D150" s="22" t="n"/>
      <c r="E150" s="22" t="n"/>
      <c r="F150" s="22" t="n"/>
      <c r="G150" s="22" t="n"/>
      <c r="H150" s="22" t="n"/>
      <c r="I150" s="22">
        <f>IF(COUNTA(A150:H150)=0,"",IF(A150="","Register Change ID missing",IF(COUNTIF($A$4:$A$353,A150)&gt;1,"Duplicate Register Change ID",IF(COUNTIF('AI Register'!$A$4:$A$206,B150)=0,"AIR-ID not in AI Register",IF(NOT(ISNUMBER(C150)),"Date missing or not a date",IF(OR(D150="",E150="",F150=""),"Change detail missing","Check against source"))))))</f>
        <v/>
      </c>
    </row>
    <row r="151">
      <c r="A151" s="24" t="n"/>
      <c r="B151" s="24" t="n"/>
      <c r="C151" s="36" t="n"/>
      <c r="D151" s="24" t="n"/>
      <c r="E151" s="24" t="n"/>
      <c r="F151" s="24" t="n"/>
      <c r="G151" s="24" t="n"/>
      <c r="H151" s="24" t="n"/>
      <c r="I151" s="24">
        <f>IF(COUNTA(A151:H151)=0,"",IF(A151="","Register Change ID missing",IF(COUNTIF($A$4:$A$353,A151)&gt;1,"Duplicate Register Change ID",IF(COUNTIF('AI Register'!$A$4:$A$206,B151)=0,"AIR-ID not in AI Register",IF(NOT(ISNUMBER(C151)),"Date missing or not a date",IF(OR(D151="",E151="",F151=""),"Change detail missing","Check against source"))))))</f>
        <v/>
      </c>
    </row>
    <row r="152">
      <c r="A152" s="22" t="n"/>
      <c r="B152" s="22" t="n"/>
      <c r="C152" s="35" t="n"/>
      <c r="D152" s="22" t="n"/>
      <c r="E152" s="22" t="n"/>
      <c r="F152" s="22" t="n"/>
      <c r="G152" s="22" t="n"/>
      <c r="H152" s="22" t="n"/>
      <c r="I152" s="22">
        <f>IF(COUNTA(A152:H152)=0,"",IF(A152="","Register Change ID missing",IF(COUNTIF($A$4:$A$353,A152)&gt;1,"Duplicate Register Change ID",IF(COUNTIF('AI Register'!$A$4:$A$206,B152)=0,"AIR-ID not in AI Register",IF(NOT(ISNUMBER(C152)),"Date missing or not a date",IF(OR(D152="",E152="",F152=""),"Change detail missing","Check against source"))))))</f>
        <v/>
      </c>
    </row>
    <row r="153">
      <c r="A153" s="24" t="n"/>
      <c r="B153" s="24" t="n"/>
      <c r="C153" s="36" t="n"/>
      <c r="D153" s="24" t="n"/>
      <c r="E153" s="24" t="n"/>
      <c r="F153" s="24" t="n"/>
      <c r="G153" s="24" t="n"/>
      <c r="H153" s="24" t="n"/>
      <c r="I153" s="24">
        <f>IF(COUNTA(A153:H153)=0,"",IF(A153="","Register Change ID missing",IF(COUNTIF($A$4:$A$353,A153)&gt;1,"Duplicate Register Change ID",IF(COUNTIF('AI Register'!$A$4:$A$206,B153)=0,"AIR-ID not in AI Register",IF(NOT(ISNUMBER(C153)),"Date missing or not a date",IF(OR(D153="",E153="",F153=""),"Change detail missing","Check against source"))))))</f>
        <v/>
      </c>
    </row>
    <row r="154">
      <c r="A154" s="22" t="n"/>
      <c r="B154" s="22" t="n"/>
      <c r="C154" s="35" t="n"/>
      <c r="D154" s="22" t="n"/>
      <c r="E154" s="22" t="n"/>
      <c r="F154" s="22" t="n"/>
      <c r="G154" s="22" t="n"/>
      <c r="H154" s="22" t="n"/>
      <c r="I154" s="22">
        <f>IF(COUNTA(A154:H154)=0,"",IF(A154="","Register Change ID missing",IF(COUNTIF($A$4:$A$353,A154)&gt;1,"Duplicate Register Change ID",IF(COUNTIF('AI Register'!$A$4:$A$206,B154)=0,"AIR-ID not in AI Register",IF(NOT(ISNUMBER(C154)),"Date missing or not a date",IF(OR(D154="",E154="",F154=""),"Change detail missing","Check against source"))))))</f>
        <v/>
      </c>
    </row>
    <row r="155">
      <c r="A155" s="24" t="n"/>
      <c r="B155" s="24" t="n"/>
      <c r="C155" s="36" t="n"/>
      <c r="D155" s="24" t="n"/>
      <c r="E155" s="24" t="n"/>
      <c r="F155" s="24" t="n"/>
      <c r="G155" s="24" t="n"/>
      <c r="H155" s="24" t="n"/>
      <c r="I155" s="24">
        <f>IF(COUNTA(A155:H155)=0,"",IF(A155="","Register Change ID missing",IF(COUNTIF($A$4:$A$353,A155)&gt;1,"Duplicate Register Change ID",IF(COUNTIF('AI Register'!$A$4:$A$206,B155)=0,"AIR-ID not in AI Register",IF(NOT(ISNUMBER(C155)),"Date missing or not a date",IF(OR(D155="",E155="",F155=""),"Change detail missing","Check against source"))))))</f>
        <v/>
      </c>
    </row>
    <row r="156">
      <c r="A156" s="22" t="n"/>
      <c r="B156" s="22" t="n"/>
      <c r="C156" s="35" t="n"/>
      <c r="D156" s="22" t="n"/>
      <c r="E156" s="22" t="n"/>
      <c r="F156" s="22" t="n"/>
      <c r="G156" s="22" t="n"/>
      <c r="H156" s="22" t="n"/>
      <c r="I156" s="22">
        <f>IF(COUNTA(A156:H156)=0,"",IF(A156="","Register Change ID missing",IF(COUNTIF($A$4:$A$353,A156)&gt;1,"Duplicate Register Change ID",IF(COUNTIF('AI Register'!$A$4:$A$206,B156)=0,"AIR-ID not in AI Register",IF(NOT(ISNUMBER(C156)),"Date missing or not a date",IF(OR(D156="",E156="",F156=""),"Change detail missing","Check against source"))))))</f>
        <v/>
      </c>
    </row>
    <row r="157">
      <c r="A157" s="24" t="n"/>
      <c r="B157" s="24" t="n"/>
      <c r="C157" s="36" t="n"/>
      <c r="D157" s="24" t="n"/>
      <c r="E157" s="24" t="n"/>
      <c r="F157" s="24" t="n"/>
      <c r="G157" s="24" t="n"/>
      <c r="H157" s="24" t="n"/>
      <c r="I157" s="24">
        <f>IF(COUNTA(A157:H157)=0,"",IF(A157="","Register Change ID missing",IF(COUNTIF($A$4:$A$353,A157)&gt;1,"Duplicate Register Change ID",IF(COUNTIF('AI Register'!$A$4:$A$206,B157)=0,"AIR-ID not in AI Register",IF(NOT(ISNUMBER(C157)),"Date missing or not a date",IF(OR(D157="",E157="",F157=""),"Change detail missing","Check against source"))))))</f>
        <v/>
      </c>
    </row>
    <row r="158">
      <c r="A158" s="22" t="n"/>
      <c r="B158" s="22" t="n"/>
      <c r="C158" s="35" t="n"/>
      <c r="D158" s="22" t="n"/>
      <c r="E158" s="22" t="n"/>
      <c r="F158" s="22" t="n"/>
      <c r="G158" s="22" t="n"/>
      <c r="H158" s="22" t="n"/>
      <c r="I158" s="22">
        <f>IF(COUNTA(A158:H158)=0,"",IF(A158="","Register Change ID missing",IF(COUNTIF($A$4:$A$353,A158)&gt;1,"Duplicate Register Change ID",IF(COUNTIF('AI Register'!$A$4:$A$206,B158)=0,"AIR-ID not in AI Register",IF(NOT(ISNUMBER(C158)),"Date missing or not a date",IF(OR(D158="",E158="",F158=""),"Change detail missing","Check against source"))))))</f>
        <v/>
      </c>
    </row>
    <row r="159">
      <c r="A159" s="24" t="n"/>
      <c r="B159" s="24" t="n"/>
      <c r="C159" s="36" t="n"/>
      <c r="D159" s="24" t="n"/>
      <c r="E159" s="24" t="n"/>
      <c r="F159" s="24" t="n"/>
      <c r="G159" s="24" t="n"/>
      <c r="H159" s="24" t="n"/>
      <c r="I159" s="24">
        <f>IF(COUNTA(A159:H159)=0,"",IF(A159="","Register Change ID missing",IF(COUNTIF($A$4:$A$353,A159)&gt;1,"Duplicate Register Change ID",IF(COUNTIF('AI Register'!$A$4:$A$206,B159)=0,"AIR-ID not in AI Register",IF(NOT(ISNUMBER(C159)),"Date missing or not a date",IF(OR(D159="",E159="",F159=""),"Change detail missing","Check against source"))))))</f>
        <v/>
      </c>
    </row>
    <row r="160">
      <c r="A160" s="22" t="n"/>
      <c r="B160" s="22" t="n"/>
      <c r="C160" s="35" t="n"/>
      <c r="D160" s="22" t="n"/>
      <c r="E160" s="22" t="n"/>
      <c r="F160" s="22" t="n"/>
      <c r="G160" s="22" t="n"/>
      <c r="H160" s="22" t="n"/>
      <c r="I160" s="22">
        <f>IF(COUNTA(A160:H160)=0,"",IF(A160="","Register Change ID missing",IF(COUNTIF($A$4:$A$353,A160)&gt;1,"Duplicate Register Change ID",IF(COUNTIF('AI Register'!$A$4:$A$206,B160)=0,"AIR-ID not in AI Register",IF(NOT(ISNUMBER(C160)),"Date missing or not a date",IF(OR(D160="",E160="",F160=""),"Change detail missing","Check against source"))))))</f>
        <v/>
      </c>
    </row>
    <row r="161">
      <c r="A161" s="24" t="n"/>
      <c r="B161" s="24" t="n"/>
      <c r="C161" s="36" t="n"/>
      <c r="D161" s="24" t="n"/>
      <c r="E161" s="24" t="n"/>
      <c r="F161" s="24" t="n"/>
      <c r="G161" s="24" t="n"/>
      <c r="H161" s="24" t="n"/>
      <c r="I161" s="24">
        <f>IF(COUNTA(A161:H161)=0,"",IF(A161="","Register Change ID missing",IF(COUNTIF($A$4:$A$353,A161)&gt;1,"Duplicate Register Change ID",IF(COUNTIF('AI Register'!$A$4:$A$206,B161)=0,"AIR-ID not in AI Register",IF(NOT(ISNUMBER(C161)),"Date missing or not a date",IF(OR(D161="",E161="",F161=""),"Change detail missing","Check against source"))))))</f>
        <v/>
      </c>
    </row>
    <row r="162">
      <c r="A162" s="22" t="n"/>
      <c r="B162" s="22" t="n"/>
      <c r="C162" s="35" t="n"/>
      <c r="D162" s="22" t="n"/>
      <c r="E162" s="22" t="n"/>
      <c r="F162" s="22" t="n"/>
      <c r="G162" s="22" t="n"/>
      <c r="H162" s="22" t="n"/>
      <c r="I162" s="22">
        <f>IF(COUNTA(A162:H162)=0,"",IF(A162="","Register Change ID missing",IF(COUNTIF($A$4:$A$353,A162)&gt;1,"Duplicate Register Change ID",IF(COUNTIF('AI Register'!$A$4:$A$206,B162)=0,"AIR-ID not in AI Register",IF(NOT(ISNUMBER(C162)),"Date missing or not a date",IF(OR(D162="",E162="",F162=""),"Change detail missing","Check against source"))))))</f>
        <v/>
      </c>
    </row>
    <row r="163">
      <c r="A163" s="24" t="n"/>
      <c r="B163" s="24" t="n"/>
      <c r="C163" s="36" t="n"/>
      <c r="D163" s="24" t="n"/>
      <c r="E163" s="24" t="n"/>
      <c r="F163" s="24" t="n"/>
      <c r="G163" s="24" t="n"/>
      <c r="H163" s="24" t="n"/>
      <c r="I163" s="24">
        <f>IF(COUNTA(A163:H163)=0,"",IF(A163="","Register Change ID missing",IF(COUNTIF($A$4:$A$353,A163)&gt;1,"Duplicate Register Change ID",IF(COUNTIF('AI Register'!$A$4:$A$206,B163)=0,"AIR-ID not in AI Register",IF(NOT(ISNUMBER(C163)),"Date missing or not a date",IF(OR(D163="",E163="",F163=""),"Change detail missing","Check against source"))))))</f>
        <v/>
      </c>
    </row>
    <row r="164">
      <c r="A164" s="22" t="n"/>
      <c r="B164" s="22" t="n"/>
      <c r="C164" s="35" t="n"/>
      <c r="D164" s="22" t="n"/>
      <c r="E164" s="22" t="n"/>
      <c r="F164" s="22" t="n"/>
      <c r="G164" s="22" t="n"/>
      <c r="H164" s="22" t="n"/>
      <c r="I164" s="22">
        <f>IF(COUNTA(A164:H164)=0,"",IF(A164="","Register Change ID missing",IF(COUNTIF($A$4:$A$353,A164)&gt;1,"Duplicate Register Change ID",IF(COUNTIF('AI Register'!$A$4:$A$206,B164)=0,"AIR-ID not in AI Register",IF(NOT(ISNUMBER(C164)),"Date missing or not a date",IF(OR(D164="",E164="",F164=""),"Change detail missing","Check against source"))))))</f>
        <v/>
      </c>
    </row>
    <row r="165">
      <c r="A165" s="24" t="n"/>
      <c r="B165" s="24" t="n"/>
      <c r="C165" s="36" t="n"/>
      <c r="D165" s="24" t="n"/>
      <c r="E165" s="24" t="n"/>
      <c r="F165" s="24" t="n"/>
      <c r="G165" s="24" t="n"/>
      <c r="H165" s="24" t="n"/>
      <c r="I165" s="24">
        <f>IF(COUNTA(A165:H165)=0,"",IF(A165="","Register Change ID missing",IF(COUNTIF($A$4:$A$353,A165)&gt;1,"Duplicate Register Change ID",IF(COUNTIF('AI Register'!$A$4:$A$206,B165)=0,"AIR-ID not in AI Register",IF(NOT(ISNUMBER(C165)),"Date missing or not a date",IF(OR(D165="",E165="",F165=""),"Change detail missing","Check against source"))))))</f>
        <v/>
      </c>
    </row>
    <row r="166">
      <c r="A166" s="22" t="n"/>
      <c r="B166" s="22" t="n"/>
      <c r="C166" s="35" t="n"/>
      <c r="D166" s="22" t="n"/>
      <c r="E166" s="22" t="n"/>
      <c r="F166" s="22" t="n"/>
      <c r="G166" s="22" t="n"/>
      <c r="H166" s="22" t="n"/>
      <c r="I166" s="22">
        <f>IF(COUNTA(A166:H166)=0,"",IF(A166="","Register Change ID missing",IF(COUNTIF($A$4:$A$353,A166)&gt;1,"Duplicate Register Change ID",IF(COUNTIF('AI Register'!$A$4:$A$206,B166)=0,"AIR-ID not in AI Register",IF(NOT(ISNUMBER(C166)),"Date missing or not a date",IF(OR(D166="",E166="",F166=""),"Change detail missing","Check against source"))))))</f>
        <v/>
      </c>
    </row>
    <row r="167">
      <c r="A167" s="24" t="n"/>
      <c r="B167" s="24" t="n"/>
      <c r="C167" s="36" t="n"/>
      <c r="D167" s="24" t="n"/>
      <c r="E167" s="24" t="n"/>
      <c r="F167" s="24" t="n"/>
      <c r="G167" s="24" t="n"/>
      <c r="H167" s="24" t="n"/>
      <c r="I167" s="24">
        <f>IF(COUNTA(A167:H167)=0,"",IF(A167="","Register Change ID missing",IF(COUNTIF($A$4:$A$353,A167)&gt;1,"Duplicate Register Change ID",IF(COUNTIF('AI Register'!$A$4:$A$206,B167)=0,"AIR-ID not in AI Register",IF(NOT(ISNUMBER(C167)),"Date missing or not a date",IF(OR(D167="",E167="",F167=""),"Change detail missing","Check against source"))))))</f>
        <v/>
      </c>
    </row>
    <row r="168">
      <c r="A168" s="22" t="n"/>
      <c r="B168" s="22" t="n"/>
      <c r="C168" s="35" t="n"/>
      <c r="D168" s="22" t="n"/>
      <c r="E168" s="22" t="n"/>
      <c r="F168" s="22" t="n"/>
      <c r="G168" s="22" t="n"/>
      <c r="H168" s="22" t="n"/>
      <c r="I168" s="22">
        <f>IF(COUNTA(A168:H168)=0,"",IF(A168="","Register Change ID missing",IF(COUNTIF($A$4:$A$353,A168)&gt;1,"Duplicate Register Change ID",IF(COUNTIF('AI Register'!$A$4:$A$206,B168)=0,"AIR-ID not in AI Register",IF(NOT(ISNUMBER(C168)),"Date missing or not a date",IF(OR(D168="",E168="",F168=""),"Change detail missing","Check against source"))))))</f>
        <v/>
      </c>
    </row>
    <row r="169">
      <c r="A169" s="24" t="n"/>
      <c r="B169" s="24" t="n"/>
      <c r="C169" s="36" t="n"/>
      <c r="D169" s="24" t="n"/>
      <c r="E169" s="24" t="n"/>
      <c r="F169" s="24" t="n"/>
      <c r="G169" s="24" t="n"/>
      <c r="H169" s="24" t="n"/>
      <c r="I169" s="24">
        <f>IF(COUNTA(A169:H169)=0,"",IF(A169="","Register Change ID missing",IF(COUNTIF($A$4:$A$353,A169)&gt;1,"Duplicate Register Change ID",IF(COUNTIF('AI Register'!$A$4:$A$206,B169)=0,"AIR-ID not in AI Register",IF(NOT(ISNUMBER(C169)),"Date missing or not a date",IF(OR(D169="",E169="",F169=""),"Change detail missing","Check against source"))))))</f>
        <v/>
      </c>
    </row>
    <row r="170">
      <c r="A170" s="22" t="n"/>
      <c r="B170" s="22" t="n"/>
      <c r="C170" s="35" t="n"/>
      <c r="D170" s="22" t="n"/>
      <c r="E170" s="22" t="n"/>
      <c r="F170" s="22" t="n"/>
      <c r="G170" s="22" t="n"/>
      <c r="H170" s="22" t="n"/>
      <c r="I170" s="22">
        <f>IF(COUNTA(A170:H170)=0,"",IF(A170="","Register Change ID missing",IF(COUNTIF($A$4:$A$353,A170)&gt;1,"Duplicate Register Change ID",IF(COUNTIF('AI Register'!$A$4:$A$206,B170)=0,"AIR-ID not in AI Register",IF(NOT(ISNUMBER(C170)),"Date missing or not a date",IF(OR(D170="",E170="",F170=""),"Change detail missing","Check against source"))))))</f>
        <v/>
      </c>
    </row>
    <row r="171">
      <c r="A171" s="24" t="n"/>
      <c r="B171" s="24" t="n"/>
      <c r="C171" s="36" t="n"/>
      <c r="D171" s="24" t="n"/>
      <c r="E171" s="24" t="n"/>
      <c r="F171" s="24" t="n"/>
      <c r="G171" s="24" t="n"/>
      <c r="H171" s="24" t="n"/>
      <c r="I171" s="24">
        <f>IF(COUNTA(A171:H171)=0,"",IF(A171="","Register Change ID missing",IF(COUNTIF($A$4:$A$353,A171)&gt;1,"Duplicate Register Change ID",IF(COUNTIF('AI Register'!$A$4:$A$206,B171)=0,"AIR-ID not in AI Register",IF(NOT(ISNUMBER(C171)),"Date missing or not a date",IF(OR(D171="",E171="",F171=""),"Change detail missing","Check against source"))))))</f>
        <v/>
      </c>
    </row>
    <row r="172">
      <c r="A172" s="22" t="n"/>
      <c r="B172" s="22" t="n"/>
      <c r="C172" s="35" t="n"/>
      <c r="D172" s="22" t="n"/>
      <c r="E172" s="22" t="n"/>
      <c r="F172" s="22" t="n"/>
      <c r="G172" s="22" t="n"/>
      <c r="H172" s="22" t="n"/>
      <c r="I172" s="22">
        <f>IF(COUNTA(A172:H172)=0,"",IF(A172="","Register Change ID missing",IF(COUNTIF($A$4:$A$353,A172)&gt;1,"Duplicate Register Change ID",IF(COUNTIF('AI Register'!$A$4:$A$206,B172)=0,"AIR-ID not in AI Register",IF(NOT(ISNUMBER(C172)),"Date missing or not a date",IF(OR(D172="",E172="",F172=""),"Change detail missing","Check against source"))))))</f>
        <v/>
      </c>
    </row>
    <row r="173">
      <c r="A173" s="24" t="n"/>
      <c r="B173" s="24" t="n"/>
      <c r="C173" s="36" t="n"/>
      <c r="D173" s="24" t="n"/>
      <c r="E173" s="24" t="n"/>
      <c r="F173" s="24" t="n"/>
      <c r="G173" s="24" t="n"/>
      <c r="H173" s="24" t="n"/>
      <c r="I173" s="24">
        <f>IF(COUNTA(A173:H173)=0,"",IF(A173="","Register Change ID missing",IF(COUNTIF($A$4:$A$353,A173)&gt;1,"Duplicate Register Change ID",IF(COUNTIF('AI Register'!$A$4:$A$206,B173)=0,"AIR-ID not in AI Register",IF(NOT(ISNUMBER(C173)),"Date missing or not a date",IF(OR(D173="",E173="",F173=""),"Change detail missing","Check against source"))))))</f>
        <v/>
      </c>
    </row>
    <row r="174">
      <c r="A174" s="22" t="n"/>
      <c r="B174" s="22" t="n"/>
      <c r="C174" s="35" t="n"/>
      <c r="D174" s="22" t="n"/>
      <c r="E174" s="22" t="n"/>
      <c r="F174" s="22" t="n"/>
      <c r="G174" s="22" t="n"/>
      <c r="H174" s="22" t="n"/>
      <c r="I174" s="22">
        <f>IF(COUNTA(A174:H174)=0,"",IF(A174="","Register Change ID missing",IF(COUNTIF($A$4:$A$353,A174)&gt;1,"Duplicate Register Change ID",IF(COUNTIF('AI Register'!$A$4:$A$206,B174)=0,"AIR-ID not in AI Register",IF(NOT(ISNUMBER(C174)),"Date missing or not a date",IF(OR(D174="",E174="",F174=""),"Change detail missing","Check against source"))))))</f>
        <v/>
      </c>
    </row>
    <row r="175">
      <c r="A175" s="24" t="n"/>
      <c r="B175" s="24" t="n"/>
      <c r="C175" s="36" t="n"/>
      <c r="D175" s="24" t="n"/>
      <c r="E175" s="24" t="n"/>
      <c r="F175" s="24" t="n"/>
      <c r="G175" s="24" t="n"/>
      <c r="H175" s="24" t="n"/>
      <c r="I175" s="24">
        <f>IF(COUNTA(A175:H175)=0,"",IF(A175="","Register Change ID missing",IF(COUNTIF($A$4:$A$353,A175)&gt;1,"Duplicate Register Change ID",IF(COUNTIF('AI Register'!$A$4:$A$206,B175)=0,"AIR-ID not in AI Register",IF(NOT(ISNUMBER(C175)),"Date missing or not a date",IF(OR(D175="",E175="",F175=""),"Change detail missing","Check against source"))))))</f>
        <v/>
      </c>
    </row>
    <row r="176">
      <c r="A176" s="22" t="n"/>
      <c r="B176" s="22" t="n"/>
      <c r="C176" s="35" t="n"/>
      <c r="D176" s="22" t="n"/>
      <c r="E176" s="22" t="n"/>
      <c r="F176" s="22" t="n"/>
      <c r="G176" s="22" t="n"/>
      <c r="H176" s="22" t="n"/>
      <c r="I176" s="22">
        <f>IF(COUNTA(A176:H176)=0,"",IF(A176="","Register Change ID missing",IF(COUNTIF($A$4:$A$353,A176)&gt;1,"Duplicate Register Change ID",IF(COUNTIF('AI Register'!$A$4:$A$206,B176)=0,"AIR-ID not in AI Register",IF(NOT(ISNUMBER(C176)),"Date missing or not a date",IF(OR(D176="",E176="",F176=""),"Change detail missing","Check against source"))))))</f>
        <v/>
      </c>
    </row>
    <row r="177">
      <c r="A177" s="24" t="n"/>
      <c r="B177" s="24" t="n"/>
      <c r="C177" s="36" t="n"/>
      <c r="D177" s="24" t="n"/>
      <c r="E177" s="24" t="n"/>
      <c r="F177" s="24" t="n"/>
      <c r="G177" s="24" t="n"/>
      <c r="H177" s="24" t="n"/>
      <c r="I177" s="24">
        <f>IF(COUNTA(A177:H177)=0,"",IF(A177="","Register Change ID missing",IF(COUNTIF($A$4:$A$353,A177)&gt;1,"Duplicate Register Change ID",IF(COUNTIF('AI Register'!$A$4:$A$206,B177)=0,"AIR-ID not in AI Register",IF(NOT(ISNUMBER(C177)),"Date missing or not a date",IF(OR(D177="",E177="",F177=""),"Change detail missing","Check against source"))))))</f>
        <v/>
      </c>
    </row>
    <row r="178">
      <c r="A178" s="22" t="n"/>
      <c r="B178" s="22" t="n"/>
      <c r="C178" s="35" t="n"/>
      <c r="D178" s="22" t="n"/>
      <c r="E178" s="22" t="n"/>
      <c r="F178" s="22" t="n"/>
      <c r="G178" s="22" t="n"/>
      <c r="H178" s="22" t="n"/>
      <c r="I178" s="22">
        <f>IF(COUNTA(A178:H178)=0,"",IF(A178="","Register Change ID missing",IF(COUNTIF($A$4:$A$353,A178)&gt;1,"Duplicate Register Change ID",IF(COUNTIF('AI Register'!$A$4:$A$206,B178)=0,"AIR-ID not in AI Register",IF(NOT(ISNUMBER(C178)),"Date missing or not a date",IF(OR(D178="",E178="",F178=""),"Change detail missing","Check against source"))))))</f>
        <v/>
      </c>
    </row>
    <row r="179">
      <c r="A179" s="24" t="n"/>
      <c r="B179" s="24" t="n"/>
      <c r="C179" s="36" t="n"/>
      <c r="D179" s="24" t="n"/>
      <c r="E179" s="24" t="n"/>
      <c r="F179" s="24" t="n"/>
      <c r="G179" s="24" t="n"/>
      <c r="H179" s="24" t="n"/>
      <c r="I179" s="24">
        <f>IF(COUNTA(A179:H179)=0,"",IF(A179="","Register Change ID missing",IF(COUNTIF($A$4:$A$353,A179)&gt;1,"Duplicate Register Change ID",IF(COUNTIF('AI Register'!$A$4:$A$206,B179)=0,"AIR-ID not in AI Register",IF(NOT(ISNUMBER(C179)),"Date missing or not a date",IF(OR(D179="",E179="",F179=""),"Change detail missing","Check against source"))))))</f>
        <v/>
      </c>
    </row>
    <row r="180">
      <c r="A180" s="22" t="n"/>
      <c r="B180" s="22" t="n"/>
      <c r="C180" s="35" t="n"/>
      <c r="D180" s="22" t="n"/>
      <c r="E180" s="22" t="n"/>
      <c r="F180" s="22" t="n"/>
      <c r="G180" s="22" t="n"/>
      <c r="H180" s="22" t="n"/>
      <c r="I180" s="22">
        <f>IF(COUNTA(A180:H180)=0,"",IF(A180="","Register Change ID missing",IF(COUNTIF($A$4:$A$353,A180)&gt;1,"Duplicate Register Change ID",IF(COUNTIF('AI Register'!$A$4:$A$206,B180)=0,"AIR-ID not in AI Register",IF(NOT(ISNUMBER(C180)),"Date missing or not a date",IF(OR(D180="",E180="",F180=""),"Change detail missing","Check against source"))))))</f>
        <v/>
      </c>
    </row>
    <row r="181">
      <c r="A181" s="24" t="n"/>
      <c r="B181" s="24" t="n"/>
      <c r="C181" s="36" t="n"/>
      <c r="D181" s="24" t="n"/>
      <c r="E181" s="24" t="n"/>
      <c r="F181" s="24" t="n"/>
      <c r="G181" s="24" t="n"/>
      <c r="H181" s="24" t="n"/>
      <c r="I181" s="24">
        <f>IF(COUNTA(A181:H181)=0,"",IF(A181="","Register Change ID missing",IF(COUNTIF($A$4:$A$353,A181)&gt;1,"Duplicate Register Change ID",IF(COUNTIF('AI Register'!$A$4:$A$206,B181)=0,"AIR-ID not in AI Register",IF(NOT(ISNUMBER(C181)),"Date missing or not a date",IF(OR(D181="",E181="",F181=""),"Change detail missing","Check against source"))))))</f>
        <v/>
      </c>
    </row>
    <row r="182">
      <c r="A182" s="22" t="n"/>
      <c r="B182" s="22" t="n"/>
      <c r="C182" s="35" t="n"/>
      <c r="D182" s="22" t="n"/>
      <c r="E182" s="22" t="n"/>
      <c r="F182" s="22" t="n"/>
      <c r="G182" s="22" t="n"/>
      <c r="H182" s="22" t="n"/>
      <c r="I182" s="22">
        <f>IF(COUNTA(A182:H182)=0,"",IF(A182="","Register Change ID missing",IF(COUNTIF($A$4:$A$353,A182)&gt;1,"Duplicate Register Change ID",IF(COUNTIF('AI Register'!$A$4:$A$206,B182)=0,"AIR-ID not in AI Register",IF(NOT(ISNUMBER(C182)),"Date missing or not a date",IF(OR(D182="",E182="",F182=""),"Change detail missing","Check against source"))))))</f>
        <v/>
      </c>
    </row>
    <row r="183">
      <c r="A183" s="24" t="n"/>
      <c r="B183" s="24" t="n"/>
      <c r="C183" s="36" t="n"/>
      <c r="D183" s="24" t="n"/>
      <c r="E183" s="24" t="n"/>
      <c r="F183" s="24" t="n"/>
      <c r="G183" s="24" t="n"/>
      <c r="H183" s="24" t="n"/>
      <c r="I183" s="24">
        <f>IF(COUNTA(A183:H183)=0,"",IF(A183="","Register Change ID missing",IF(COUNTIF($A$4:$A$353,A183)&gt;1,"Duplicate Register Change ID",IF(COUNTIF('AI Register'!$A$4:$A$206,B183)=0,"AIR-ID not in AI Register",IF(NOT(ISNUMBER(C183)),"Date missing or not a date",IF(OR(D183="",E183="",F183=""),"Change detail missing","Check against source"))))))</f>
        <v/>
      </c>
    </row>
    <row r="184">
      <c r="A184" s="22" t="n"/>
      <c r="B184" s="22" t="n"/>
      <c r="C184" s="35" t="n"/>
      <c r="D184" s="22" t="n"/>
      <c r="E184" s="22" t="n"/>
      <c r="F184" s="22" t="n"/>
      <c r="G184" s="22" t="n"/>
      <c r="H184" s="22" t="n"/>
      <c r="I184" s="22">
        <f>IF(COUNTA(A184:H184)=0,"",IF(A184="","Register Change ID missing",IF(COUNTIF($A$4:$A$353,A184)&gt;1,"Duplicate Register Change ID",IF(COUNTIF('AI Register'!$A$4:$A$206,B184)=0,"AIR-ID not in AI Register",IF(NOT(ISNUMBER(C184)),"Date missing or not a date",IF(OR(D184="",E184="",F184=""),"Change detail missing","Check against source"))))))</f>
        <v/>
      </c>
    </row>
    <row r="185">
      <c r="A185" s="24" t="n"/>
      <c r="B185" s="24" t="n"/>
      <c r="C185" s="36" t="n"/>
      <c r="D185" s="24" t="n"/>
      <c r="E185" s="24" t="n"/>
      <c r="F185" s="24" t="n"/>
      <c r="G185" s="24" t="n"/>
      <c r="H185" s="24" t="n"/>
      <c r="I185" s="24">
        <f>IF(COUNTA(A185:H185)=0,"",IF(A185="","Register Change ID missing",IF(COUNTIF($A$4:$A$353,A185)&gt;1,"Duplicate Register Change ID",IF(COUNTIF('AI Register'!$A$4:$A$206,B185)=0,"AIR-ID not in AI Register",IF(NOT(ISNUMBER(C185)),"Date missing or not a date",IF(OR(D185="",E185="",F185=""),"Change detail missing","Check against source"))))))</f>
        <v/>
      </c>
    </row>
    <row r="186">
      <c r="A186" s="22" t="n"/>
      <c r="B186" s="22" t="n"/>
      <c r="C186" s="35" t="n"/>
      <c r="D186" s="22" t="n"/>
      <c r="E186" s="22" t="n"/>
      <c r="F186" s="22" t="n"/>
      <c r="G186" s="22" t="n"/>
      <c r="H186" s="22" t="n"/>
      <c r="I186" s="22">
        <f>IF(COUNTA(A186:H186)=0,"",IF(A186="","Register Change ID missing",IF(COUNTIF($A$4:$A$353,A186)&gt;1,"Duplicate Register Change ID",IF(COUNTIF('AI Register'!$A$4:$A$206,B186)=0,"AIR-ID not in AI Register",IF(NOT(ISNUMBER(C186)),"Date missing or not a date",IF(OR(D186="",E186="",F186=""),"Change detail missing","Check against source"))))))</f>
        <v/>
      </c>
    </row>
    <row r="187">
      <c r="A187" s="24" t="n"/>
      <c r="B187" s="24" t="n"/>
      <c r="C187" s="36" t="n"/>
      <c r="D187" s="24" t="n"/>
      <c r="E187" s="24" t="n"/>
      <c r="F187" s="24" t="n"/>
      <c r="G187" s="24" t="n"/>
      <c r="H187" s="24" t="n"/>
      <c r="I187" s="24">
        <f>IF(COUNTA(A187:H187)=0,"",IF(A187="","Register Change ID missing",IF(COUNTIF($A$4:$A$353,A187)&gt;1,"Duplicate Register Change ID",IF(COUNTIF('AI Register'!$A$4:$A$206,B187)=0,"AIR-ID not in AI Register",IF(NOT(ISNUMBER(C187)),"Date missing or not a date",IF(OR(D187="",E187="",F187=""),"Change detail missing","Check against source"))))))</f>
        <v/>
      </c>
    </row>
    <row r="188">
      <c r="A188" s="22" t="n"/>
      <c r="B188" s="22" t="n"/>
      <c r="C188" s="35" t="n"/>
      <c r="D188" s="22" t="n"/>
      <c r="E188" s="22" t="n"/>
      <c r="F188" s="22" t="n"/>
      <c r="G188" s="22" t="n"/>
      <c r="H188" s="22" t="n"/>
      <c r="I188" s="22">
        <f>IF(COUNTA(A188:H188)=0,"",IF(A188="","Register Change ID missing",IF(COUNTIF($A$4:$A$353,A188)&gt;1,"Duplicate Register Change ID",IF(COUNTIF('AI Register'!$A$4:$A$206,B188)=0,"AIR-ID not in AI Register",IF(NOT(ISNUMBER(C188)),"Date missing or not a date",IF(OR(D188="",E188="",F188=""),"Change detail missing","Check against source"))))))</f>
        <v/>
      </c>
    </row>
    <row r="189">
      <c r="A189" s="24" t="n"/>
      <c r="B189" s="24" t="n"/>
      <c r="C189" s="36" t="n"/>
      <c r="D189" s="24" t="n"/>
      <c r="E189" s="24" t="n"/>
      <c r="F189" s="24" t="n"/>
      <c r="G189" s="24" t="n"/>
      <c r="H189" s="24" t="n"/>
      <c r="I189" s="24">
        <f>IF(COUNTA(A189:H189)=0,"",IF(A189="","Register Change ID missing",IF(COUNTIF($A$4:$A$353,A189)&gt;1,"Duplicate Register Change ID",IF(COUNTIF('AI Register'!$A$4:$A$206,B189)=0,"AIR-ID not in AI Register",IF(NOT(ISNUMBER(C189)),"Date missing or not a date",IF(OR(D189="",E189="",F189=""),"Change detail missing","Check against source"))))))</f>
        <v/>
      </c>
    </row>
    <row r="190">
      <c r="A190" s="22" t="n"/>
      <c r="B190" s="22" t="n"/>
      <c r="C190" s="35" t="n"/>
      <c r="D190" s="22" t="n"/>
      <c r="E190" s="22" t="n"/>
      <c r="F190" s="22" t="n"/>
      <c r="G190" s="22" t="n"/>
      <c r="H190" s="22" t="n"/>
      <c r="I190" s="22">
        <f>IF(COUNTA(A190:H190)=0,"",IF(A190="","Register Change ID missing",IF(COUNTIF($A$4:$A$353,A190)&gt;1,"Duplicate Register Change ID",IF(COUNTIF('AI Register'!$A$4:$A$206,B190)=0,"AIR-ID not in AI Register",IF(NOT(ISNUMBER(C190)),"Date missing or not a date",IF(OR(D190="",E190="",F190=""),"Change detail missing","Check against source"))))))</f>
        <v/>
      </c>
    </row>
    <row r="191">
      <c r="A191" s="24" t="n"/>
      <c r="B191" s="24" t="n"/>
      <c r="C191" s="36" t="n"/>
      <c r="D191" s="24" t="n"/>
      <c r="E191" s="24" t="n"/>
      <c r="F191" s="24" t="n"/>
      <c r="G191" s="24" t="n"/>
      <c r="H191" s="24" t="n"/>
      <c r="I191" s="24">
        <f>IF(COUNTA(A191:H191)=0,"",IF(A191="","Register Change ID missing",IF(COUNTIF($A$4:$A$353,A191)&gt;1,"Duplicate Register Change ID",IF(COUNTIF('AI Register'!$A$4:$A$206,B191)=0,"AIR-ID not in AI Register",IF(NOT(ISNUMBER(C191)),"Date missing or not a date",IF(OR(D191="",E191="",F191=""),"Change detail missing","Check against source"))))))</f>
        <v/>
      </c>
    </row>
    <row r="192">
      <c r="A192" s="22" t="n"/>
      <c r="B192" s="22" t="n"/>
      <c r="C192" s="35" t="n"/>
      <c r="D192" s="22" t="n"/>
      <c r="E192" s="22" t="n"/>
      <c r="F192" s="22" t="n"/>
      <c r="G192" s="22" t="n"/>
      <c r="H192" s="22" t="n"/>
      <c r="I192" s="22">
        <f>IF(COUNTA(A192:H192)=0,"",IF(A192="","Register Change ID missing",IF(COUNTIF($A$4:$A$353,A192)&gt;1,"Duplicate Register Change ID",IF(COUNTIF('AI Register'!$A$4:$A$206,B192)=0,"AIR-ID not in AI Register",IF(NOT(ISNUMBER(C192)),"Date missing or not a date",IF(OR(D192="",E192="",F192=""),"Change detail missing","Check against source"))))))</f>
        <v/>
      </c>
    </row>
    <row r="193">
      <c r="A193" s="24" t="n"/>
      <c r="B193" s="24" t="n"/>
      <c r="C193" s="36" t="n"/>
      <c r="D193" s="24" t="n"/>
      <c r="E193" s="24" t="n"/>
      <c r="F193" s="24" t="n"/>
      <c r="G193" s="24" t="n"/>
      <c r="H193" s="24" t="n"/>
      <c r="I193" s="24">
        <f>IF(COUNTA(A193:H193)=0,"",IF(A193="","Register Change ID missing",IF(COUNTIF($A$4:$A$353,A193)&gt;1,"Duplicate Register Change ID",IF(COUNTIF('AI Register'!$A$4:$A$206,B193)=0,"AIR-ID not in AI Register",IF(NOT(ISNUMBER(C193)),"Date missing or not a date",IF(OR(D193="",E193="",F193=""),"Change detail missing","Check against source"))))))</f>
        <v/>
      </c>
    </row>
    <row r="194">
      <c r="A194" s="22" t="n"/>
      <c r="B194" s="22" t="n"/>
      <c r="C194" s="35" t="n"/>
      <c r="D194" s="22" t="n"/>
      <c r="E194" s="22" t="n"/>
      <c r="F194" s="22" t="n"/>
      <c r="G194" s="22" t="n"/>
      <c r="H194" s="22" t="n"/>
      <c r="I194" s="22">
        <f>IF(COUNTA(A194:H194)=0,"",IF(A194="","Register Change ID missing",IF(COUNTIF($A$4:$A$353,A194)&gt;1,"Duplicate Register Change ID",IF(COUNTIF('AI Register'!$A$4:$A$206,B194)=0,"AIR-ID not in AI Register",IF(NOT(ISNUMBER(C194)),"Date missing or not a date",IF(OR(D194="",E194="",F194=""),"Change detail missing","Check against source"))))))</f>
        <v/>
      </c>
    </row>
    <row r="195">
      <c r="A195" s="24" t="n"/>
      <c r="B195" s="24" t="n"/>
      <c r="C195" s="36" t="n"/>
      <c r="D195" s="24" t="n"/>
      <c r="E195" s="24" t="n"/>
      <c r="F195" s="24" t="n"/>
      <c r="G195" s="24" t="n"/>
      <c r="H195" s="24" t="n"/>
      <c r="I195" s="24">
        <f>IF(COUNTA(A195:H195)=0,"",IF(A195="","Register Change ID missing",IF(COUNTIF($A$4:$A$353,A195)&gt;1,"Duplicate Register Change ID",IF(COUNTIF('AI Register'!$A$4:$A$206,B195)=0,"AIR-ID not in AI Register",IF(NOT(ISNUMBER(C195)),"Date missing or not a date",IF(OR(D195="",E195="",F195=""),"Change detail missing","Check against source"))))))</f>
        <v/>
      </c>
    </row>
    <row r="196">
      <c r="A196" s="22" t="n"/>
      <c r="B196" s="22" t="n"/>
      <c r="C196" s="35" t="n"/>
      <c r="D196" s="22" t="n"/>
      <c r="E196" s="22" t="n"/>
      <c r="F196" s="22" t="n"/>
      <c r="G196" s="22" t="n"/>
      <c r="H196" s="22" t="n"/>
      <c r="I196" s="22">
        <f>IF(COUNTA(A196:H196)=0,"",IF(A196="","Register Change ID missing",IF(COUNTIF($A$4:$A$353,A196)&gt;1,"Duplicate Register Change ID",IF(COUNTIF('AI Register'!$A$4:$A$206,B196)=0,"AIR-ID not in AI Register",IF(NOT(ISNUMBER(C196)),"Date missing or not a date",IF(OR(D196="",E196="",F196=""),"Change detail missing","Check against source"))))))</f>
        <v/>
      </c>
    </row>
    <row r="197">
      <c r="A197" s="24" t="n"/>
      <c r="B197" s="24" t="n"/>
      <c r="C197" s="36" t="n"/>
      <c r="D197" s="24" t="n"/>
      <c r="E197" s="24" t="n"/>
      <c r="F197" s="24" t="n"/>
      <c r="G197" s="24" t="n"/>
      <c r="H197" s="24" t="n"/>
      <c r="I197" s="24">
        <f>IF(COUNTA(A197:H197)=0,"",IF(A197="","Register Change ID missing",IF(COUNTIF($A$4:$A$353,A197)&gt;1,"Duplicate Register Change ID",IF(COUNTIF('AI Register'!$A$4:$A$206,B197)=0,"AIR-ID not in AI Register",IF(NOT(ISNUMBER(C197)),"Date missing or not a date",IF(OR(D197="",E197="",F197=""),"Change detail missing","Check against source"))))))</f>
        <v/>
      </c>
    </row>
    <row r="198">
      <c r="A198" s="22" t="n"/>
      <c r="B198" s="22" t="n"/>
      <c r="C198" s="35" t="n"/>
      <c r="D198" s="22" t="n"/>
      <c r="E198" s="22" t="n"/>
      <c r="F198" s="22" t="n"/>
      <c r="G198" s="22" t="n"/>
      <c r="H198" s="22" t="n"/>
      <c r="I198" s="22">
        <f>IF(COUNTA(A198:H198)=0,"",IF(A198="","Register Change ID missing",IF(COUNTIF($A$4:$A$353,A198)&gt;1,"Duplicate Register Change ID",IF(COUNTIF('AI Register'!$A$4:$A$206,B198)=0,"AIR-ID not in AI Register",IF(NOT(ISNUMBER(C198)),"Date missing or not a date",IF(OR(D198="",E198="",F198=""),"Change detail missing","Check against source"))))))</f>
        <v/>
      </c>
    </row>
    <row r="199">
      <c r="A199" s="24" t="n"/>
      <c r="B199" s="24" t="n"/>
      <c r="C199" s="36" t="n"/>
      <c r="D199" s="24" t="n"/>
      <c r="E199" s="24" t="n"/>
      <c r="F199" s="24" t="n"/>
      <c r="G199" s="24" t="n"/>
      <c r="H199" s="24" t="n"/>
      <c r="I199" s="24">
        <f>IF(COUNTA(A199:H199)=0,"",IF(A199="","Register Change ID missing",IF(COUNTIF($A$4:$A$353,A199)&gt;1,"Duplicate Register Change ID",IF(COUNTIF('AI Register'!$A$4:$A$206,B199)=0,"AIR-ID not in AI Register",IF(NOT(ISNUMBER(C199)),"Date missing or not a date",IF(OR(D199="",E199="",F199=""),"Change detail missing","Check against source"))))))</f>
        <v/>
      </c>
    </row>
    <row r="200">
      <c r="A200" s="22" t="n"/>
      <c r="B200" s="22" t="n"/>
      <c r="C200" s="35" t="n"/>
      <c r="D200" s="22" t="n"/>
      <c r="E200" s="22" t="n"/>
      <c r="F200" s="22" t="n"/>
      <c r="G200" s="22" t="n"/>
      <c r="H200" s="22" t="n"/>
      <c r="I200" s="22">
        <f>IF(COUNTA(A200:H200)=0,"",IF(A200="","Register Change ID missing",IF(COUNTIF($A$4:$A$353,A200)&gt;1,"Duplicate Register Change ID",IF(COUNTIF('AI Register'!$A$4:$A$206,B200)=0,"AIR-ID not in AI Register",IF(NOT(ISNUMBER(C200)),"Date missing or not a date",IF(OR(D200="",E200="",F200=""),"Change detail missing","Check against source"))))))</f>
        <v/>
      </c>
    </row>
    <row r="201">
      <c r="A201" s="24" t="n"/>
      <c r="B201" s="24" t="n"/>
      <c r="C201" s="36" t="n"/>
      <c r="D201" s="24" t="n"/>
      <c r="E201" s="24" t="n"/>
      <c r="F201" s="24" t="n"/>
      <c r="G201" s="24" t="n"/>
      <c r="H201" s="24" t="n"/>
      <c r="I201" s="24">
        <f>IF(COUNTA(A201:H201)=0,"",IF(A201="","Register Change ID missing",IF(COUNTIF($A$4:$A$353,A201)&gt;1,"Duplicate Register Change ID",IF(COUNTIF('AI Register'!$A$4:$A$206,B201)=0,"AIR-ID not in AI Register",IF(NOT(ISNUMBER(C201)),"Date missing or not a date",IF(OR(D201="",E201="",F201=""),"Change detail missing","Check against source"))))))</f>
        <v/>
      </c>
    </row>
    <row r="202">
      <c r="A202" s="22" t="n"/>
      <c r="B202" s="22" t="n"/>
      <c r="C202" s="35" t="n"/>
      <c r="D202" s="22" t="n"/>
      <c r="E202" s="22" t="n"/>
      <c r="F202" s="22" t="n"/>
      <c r="G202" s="22" t="n"/>
      <c r="H202" s="22" t="n"/>
      <c r="I202" s="22">
        <f>IF(COUNTA(A202:H202)=0,"",IF(A202="","Register Change ID missing",IF(COUNTIF($A$4:$A$353,A202)&gt;1,"Duplicate Register Change ID",IF(COUNTIF('AI Register'!$A$4:$A$206,B202)=0,"AIR-ID not in AI Register",IF(NOT(ISNUMBER(C202)),"Date missing or not a date",IF(OR(D202="",E202="",F202=""),"Change detail missing","Check against source"))))))</f>
        <v/>
      </c>
    </row>
    <row r="203">
      <c r="A203" s="24" t="n"/>
      <c r="B203" s="24" t="n"/>
      <c r="C203" s="36" t="n"/>
      <c r="D203" s="24" t="n"/>
      <c r="E203" s="24" t="n"/>
      <c r="F203" s="24" t="n"/>
      <c r="G203" s="24" t="n"/>
      <c r="H203" s="24" t="n"/>
      <c r="I203" s="24">
        <f>IF(COUNTA(A203:H203)=0,"",IF(A203="","Register Change ID missing",IF(COUNTIF($A$4:$A$353,A203)&gt;1,"Duplicate Register Change ID",IF(COUNTIF('AI Register'!$A$4:$A$206,B203)=0,"AIR-ID not in AI Register",IF(NOT(ISNUMBER(C203)),"Date missing or not a date",IF(OR(D203="",E203="",F203=""),"Change detail missing","Check against source"))))))</f>
        <v/>
      </c>
    </row>
    <row r="204">
      <c r="A204" s="22" t="n"/>
      <c r="B204" s="22" t="n"/>
      <c r="C204" s="35" t="n"/>
      <c r="D204" s="22" t="n"/>
      <c r="E204" s="22" t="n"/>
      <c r="F204" s="22" t="n"/>
      <c r="G204" s="22" t="n"/>
      <c r="H204" s="22" t="n"/>
      <c r="I204" s="22">
        <f>IF(COUNTA(A204:H204)=0,"",IF(A204="","Register Change ID missing",IF(COUNTIF($A$4:$A$353,A204)&gt;1,"Duplicate Register Change ID",IF(COUNTIF('AI Register'!$A$4:$A$206,B204)=0,"AIR-ID not in AI Register",IF(NOT(ISNUMBER(C204)),"Date missing or not a date",IF(OR(D204="",E204="",F204=""),"Change detail missing","Check against source"))))))</f>
        <v/>
      </c>
    </row>
    <row r="205">
      <c r="A205" s="24" t="n"/>
      <c r="B205" s="24" t="n"/>
      <c r="C205" s="36" t="n"/>
      <c r="D205" s="24" t="n"/>
      <c r="E205" s="24" t="n"/>
      <c r="F205" s="24" t="n"/>
      <c r="G205" s="24" t="n"/>
      <c r="H205" s="24" t="n"/>
      <c r="I205" s="24">
        <f>IF(COUNTA(A205:H205)=0,"",IF(A205="","Register Change ID missing",IF(COUNTIF($A$4:$A$353,A205)&gt;1,"Duplicate Register Change ID",IF(COUNTIF('AI Register'!$A$4:$A$206,B205)=0,"AIR-ID not in AI Register",IF(NOT(ISNUMBER(C205)),"Date missing or not a date",IF(OR(D205="",E205="",F205=""),"Change detail missing","Check against source"))))))</f>
        <v/>
      </c>
    </row>
    <row r="206">
      <c r="A206" s="22" t="n"/>
      <c r="B206" s="22" t="n"/>
      <c r="C206" s="35" t="n"/>
      <c r="D206" s="22" t="n"/>
      <c r="E206" s="22" t="n"/>
      <c r="F206" s="22" t="n"/>
      <c r="G206" s="22" t="n"/>
      <c r="H206" s="22" t="n"/>
      <c r="I206" s="22">
        <f>IF(COUNTA(A206:H206)=0,"",IF(A206="","Register Change ID missing",IF(COUNTIF($A$4:$A$353,A206)&gt;1,"Duplicate Register Change ID",IF(COUNTIF('AI Register'!$A$4:$A$206,B206)=0,"AIR-ID not in AI Register",IF(NOT(ISNUMBER(C206)),"Date missing or not a date",IF(OR(D206="",E206="",F206=""),"Change detail missing","Check against source"))))))</f>
        <v/>
      </c>
    </row>
    <row r="207">
      <c r="A207" s="24" t="n"/>
      <c r="B207" s="24" t="n"/>
      <c r="C207" s="36" t="n"/>
      <c r="D207" s="24" t="n"/>
      <c r="E207" s="24" t="n"/>
      <c r="F207" s="24" t="n"/>
      <c r="G207" s="24" t="n"/>
      <c r="H207" s="24" t="n"/>
      <c r="I207" s="24">
        <f>IF(COUNTA(A207:H207)=0,"",IF(A207="","Register Change ID missing",IF(COUNTIF($A$4:$A$353,A207)&gt;1,"Duplicate Register Change ID",IF(COUNTIF('AI Register'!$A$4:$A$206,B207)=0,"AIR-ID not in AI Register",IF(NOT(ISNUMBER(C207)),"Date missing or not a date",IF(OR(D207="",E207="",F207=""),"Change detail missing","Check against source"))))))</f>
        <v/>
      </c>
    </row>
    <row r="208">
      <c r="A208" s="22" t="n"/>
      <c r="B208" s="22" t="n"/>
      <c r="C208" s="35" t="n"/>
      <c r="D208" s="22" t="n"/>
      <c r="E208" s="22" t="n"/>
      <c r="F208" s="22" t="n"/>
      <c r="G208" s="22" t="n"/>
      <c r="H208" s="22" t="n"/>
      <c r="I208" s="22">
        <f>IF(COUNTA(A208:H208)=0,"",IF(A208="","Register Change ID missing",IF(COUNTIF($A$4:$A$353,A208)&gt;1,"Duplicate Register Change ID",IF(COUNTIF('AI Register'!$A$4:$A$206,B208)=0,"AIR-ID not in AI Register",IF(NOT(ISNUMBER(C208)),"Date missing or not a date",IF(OR(D208="",E208="",F208=""),"Change detail missing","Check against source"))))))</f>
        <v/>
      </c>
    </row>
    <row r="209">
      <c r="A209" s="24" t="n"/>
      <c r="B209" s="24" t="n"/>
      <c r="C209" s="36" t="n"/>
      <c r="D209" s="24" t="n"/>
      <c r="E209" s="24" t="n"/>
      <c r="F209" s="24" t="n"/>
      <c r="G209" s="24" t="n"/>
      <c r="H209" s="24" t="n"/>
      <c r="I209" s="24">
        <f>IF(COUNTA(A209:H209)=0,"",IF(A209="","Register Change ID missing",IF(COUNTIF($A$4:$A$353,A209)&gt;1,"Duplicate Register Change ID",IF(COUNTIF('AI Register'!$A$4:$A$206,B209)=0,"AIR-ID not in AI Register",IF(NOT(ISNUMBER(C209)),"Date missing or not a date",IF(OR(D209="",E209="",F209=""),"Change detail missing","Check against source"))))))</f>
        <v/>
      </c>
    </row>
    <row r="210">
      <c r="A210" s="22" t="n"/>
      <c r="B210" s="22" t="n"/>
      <c r="C210" s="35" t="n"/>
      <c r="D210" s="22" t="n"/>
      <c r="E210" s="22" t="n"/>
      <c r="F210" s="22" t="n"/>
      <c r="G210" s="22" t="n"/>
      <c r="H210" s="22" t="n"/>
      <c r="I210" s="22">
        <f>IF(COUNTA(A210:H210)=0,"",IF(A210="","Register Change ID missing",IF(COUNTIF($A$4:$A$353,A210)&gt;1,"Duplicate Register Change ID",IF(COUNTIF('AI Register'!$A$4:$A$206,B210)=0,"AIR-ID not in AI Register",IF(NOT(ISNUMBER(C210)),"Date missing or not a date",IF(OR(D210="",E210="",F210=""),"Change detail missing","Check against source"))))))</f>
        <v/>
      </c>
    </row>
    <row r="211">
      <c r="A211" s="24" t="n"/>
      <c r="B211" s="24" t="n"/>
      <c r="C211" s="36" t="n"/>
      <c r="D211" s="24" t="n"/>
      <c r="E211" s="24" t="n"/>
      <c r="F211" s="24" t="n"/>
      <c r="G211" s="24" t="n"/>
      <c r="H211" s="24" t="n"/>
      <c r="I211" s="24">
        <f>IF(COUNTA(A211:H211)=0,"",IF(A211="","Register Change ID missing",IF(COUNTIF($A$4:$A$353,A211)&gt;1,"Duplicate Register Change ID",IF(COUNTIF('AI Register'!$A$4:$A$206,B211)=0,"AIR-ID not in AI Register",IF(NOT(ISNUMBER(C211)),"Date missing or not a date",IF(OR(D211="",E211="",F211=""),"Change detail missing","Check against source"))))))</f>
        <v/>
      </c>
    </row>
    <row r="212">
      <c r="A212" s="22" t="n"/>
      <c r="B212" s="22" t="n"/>
      <c r="C212" s="35" t="n"/>
      <c r="D212" s="22" t="n"/>
      <c r="E212" s="22" t="n"/>
      <c r="F212" s="22" t="n"/>
      <c r="G212" s="22" t="n"/>
      <c r="H212" s="22" t="n"/>
      <c r="I212" s="22">
        <f>IF(COUNTA(A212:H212)=0,"",IF(A212="","Register Change ID missing",IF(COUNTIF($A$4:$A$353,A212)&gt;1,"Duplicate Register Change ID",IF(COUNTIF('AI Register'!$A$4:$A$206,B212)=0,"AIR-ID not in AI Register",IF(NOT(ISNUMBER(C212)),"Date missing or not a date",IF(OR(D212="",E212="",F212=""),"Change detail missing","Check against source"))))))</f>
        <v/>
      </c>
    </row>
    <row r="213">
      <c r="A213" s="24" t="n"/>
      <c r="B213" s="24" t="n"/>
      <c r="C213" s="36" t="n"/>
      <c r="D213" s="24" t="n"/>
      <c r="E213" s="24" t="n"/>
      <c r="F213" s="24" t="n"/>
      <c r="G213" s="24" t="n"/>
      <c r="H213" s="24" t="n"/>
      <c r="I213" s="24">
        <f>IF(COUNTA(A213:H213)=0,"",IF(A213="","Register Change ID missing",IF(COUNTIF($A$4:$A$353,A213)&gt;1,"Duplicate Register Change ID",IF(COUNTIF('AI Register'!$A$4:$A$206,B213)=0,"AIR-ID not in AI Register",IF(NOT(ISNUMBER(C213)),"Date missing or not a date",IF(OR(D213="",E213="",F213=""),"Change detail missing","Check against source"))))))</f>
        <v/>
      </c>
    </row>
    <row r="214">
      <c r="A214" s="22" t="n"/>
      <c r="B214" s="22" t="n"/>
      <c r="C214" s="35" t="n"/>
      <c r="D214" s="22" t="n"/>
      <c r="E214" s="22" t="n"/>
      <c r="F214" s="22" t="n"/>
      <c r="G214" s="22" t="n"/>
      <c r="H214" s="22" t="n"/>
      <c r="I214" s="22">
        <f>IF(COUNTA(A214:H214)=0,"",IF(A214="","Register Change ID missing",IF(COUNTIF($A$4:$A$353,A214)&gt;1,"Duplicate Register Change ID",IF(COUNTIF('AI Register'!$A$4:$A$206,B214)=0,"AIR-ID not in AI Register",IF(NOT(ISNUMBER(C214)),"Date missing or not a date",IF(OR(D214="",E214="",F214=""),"Change detail missing","Check against source"))))))</f>
        <v/>
      </c>
    </row>
    <row r="215">
      <c r="A215" s="24" t="n"/>
      <c r="B215" s="24" t="n"/>
      <c r="C215" s="36" t="n"/>
      <c r="D215" s="24" t="n"/>
      <c r="E215" s="24" t="n"/>
      <c r="F215" s="24" t="n"/>
      <c r="G215" s="24" t="n"/>
      <c r="H215" s="24" t="n"/>
      <c r="I215" s="24">
        <f>IF(COUNTA(A215:H215)=0,"",IF(A215="","Register Change ID missing",IF(COUNTIF($A$4:$A$353,A215)&gt;1,"Duplicate Register Change ID",IF(COUNTIF('AI Register'!$A$4:$A$206,B215)=0,"AIR-ID not in AI Register",IF(NOT(ISNUMBER(C215)),"Date missing or not a date",IF(OR(D215="",E215="",F215=""),"Change detail missing","Check against source"))))))</f>
        <v/>
      </c>
    </row>
    <row r="216">
      <c r="A216" s="22" t="n"/>
      <c r="B216" s="22" t="n"/>
      <c r="C216" s="35" t="n"/>
      <c r="D216" s="22" t="n"/>
      <c r="E216" s="22" t="n"/>
      <c r="F216" s="22" t="n"/>
      <c r="G216" s="22" t="n"/>
      <c r="H216" s="22" t="n"/>
      <c r="I216" s="22">
        <f>IF(COUNTA(A216:H216)=0,"",IF(A216="","Register Change ID missing",IF(COUNTIF($A$4:$A$353,A216)&gt;1,"Duplicate Register Change ID",IF(COUNTIF('AI Register'!$A$4:$A$206,B216)=0,"AIR-ID not in AI Register",IF(NOT(ISNUMBER(C216)),"Date missing or not a date",IF(OR(D216="",E216="",F216=""),"Change detail missing","Check against source"))))))</f>
        <v/>
      </c>
    </row>
    <row r="217">
      <c r="A217" s="24" t="n"/>
      <c r="B217" s="24" t="n"/>
      <c r="C217" s="36" t="n"/>
      <c r="D217" s="24" t="n"/>
      <c r="E217" s="24" t="n"/>
      <c r="F217" s="24" t="n"/>
      <c r="G217" s="24" t="n"/>
      <c r="H217" s="24" t="n"/>
      <c r="I217" s="24">
        <f>IF(COUNTA(A217:H217)=0,"",IF(A217="","Register Change ID missing",IF(COUNTIF($A$4:$A$353,A217)&gt;1,"Duplicate Register Change ID",IF(COUNTIF('AI Register'!$A$4:$A$206,B217)=0,"AIR-ID not in AI Register",IF(NOT(ISNUMBER(C217)),"Date missing or not a date",IF(OR(D217="",E217="",F217=""),"Change detail missing","Check against source"))))))</f>
        <v/>
      </c>
    </row>
    <row r="218">
      <c r="A218" s="22" t="n"/>
      <c r="B218" s="22" t="n"/>
      <c r="C218" s="35" t="n"/>
      <c r="D218" s="22" t="n"/>
      <c r="E218" s="22" t="n"/>
      <c r="F218" s="22" t="n"/>
      <c r="G218" s="22" t="n"/>
      <c r="H218" s="22" t="n"/>
      <c r="I218" s="22">
        <f>IF(COUNTA(A218:H218)=0,"",IF(A218="","Register Change ID missing",IF(COUNTIF($A$4:$A$353,A218)&gt;1,"Duplicate Register Change ID",IF(COUNTIF('AI Register'!$A$4:$A$206,B218)=0,"AIR-ID not in AI Register",IF(NOT(ISNUMBER(C218)),"Date missing or not a date",IF(OR(D218="",E218="",F218=""),"Change detail missing","Check against source"))))))</f>
        <v/>
      </c>
    </row>
    <row r="219">
      <c r="A219" s="24" t="n"/>
      <c r="B219" s="24" t="n"/>
      <c r="C219" s="36" t="n"/>
      <c r="D219" s="24" t="n"/>
      <c r="E219" s="24" t="n"/>
      <c r="F219" s="24" t="n"/>
      <c r="G219" s="24" t="n"/>
      <c r="H219" s="24" t="n"/>
      <c r="I219" s="24">
        <f>IF(COUNTA(A219:H219)=0,"",IF(A219="","Register Change ID missing",IF(COUNTIF($A$4:$A$353,A219)&gt;1,"Duplicate Register Change ID",IF(COUNTIF('AI Register'!$A$4:$A$206,B219)=0,"AIR-ID not in AI Register",IF(NOT(ISNUMBER(C219)),"Date missing or not a date",IF(OR(D219="",E219="",F219=""),"Change detail missing","Check against source"))))))</f>
        <v/>
      </c>
    </row>
    <row r="220">
      <c r="A220" s="22" t="n"/>
      <c r="B220" s="22" t="n"/>
      <c r="C220" s="35" t="n"/>
      <c r="D220" s="22" t="n"/>
      <c r="E220" s="22" t="n"/>
      <c r="F220" s="22" t="n"/>
      <c r="G220" s="22" t="n"/>
      <c r="H220" s="22" t="n"/>
      <c r="I220" s="22">
        <f>IF(COUNTA(A220:H220)=0,"",IF(A220="","Register Change ID missing",IF(COUNTIF($A$4:$A$353,A220)&gt;1,"Duplicate Register Change ID",IF(COUNTIF('AI Register'!$A$4:$A$206,B220)=0,"AIR-ID not in AI Register",IF(NOT(ISNUMBER(C220)),"Date missing or not a date",IF(OR(D220="",E220="",F220=""),"Change detail missing","Check against source"))))))</f>
        <v/>
      </c>
    </row>
    <row r="221">
      <c r="A221" s="24" t="n"/>
      <c r="B221" s="24" t="n"/>
      <c r="C221" s="36" t="n"/>
      <c r="D221" s="24" t="n"/>
      <c r="E221" s="24" t="n"/>
      <c r="F221" s="24" t="n"/>
      <c r="G221" s="24" t="n"/>
      <c r="H221" s="24" t="n"/>
      <c r="I221" s="24">
        <f>IF(COUNTA(A221:H221)=0,"",IF(A221="","Register Change ID missing",IF(COUNTIF($A$4:$A$353,A221)&gt;1,"Duplicate Register Change ID",IF(COUNTIF('AI Register'!$A$4:$A$206,B221)=0,"AIR-ID not in AI Register",IF(NOT(ISNUMBER(C221)),"Date missing or not a date",IF(OR(D221="",E221="",F221=""),"Change detail missing","Check against source"))))))</f>
        <v/>
      </c>
    </row>
    <row r="222">
      <c r="A222" s="22" t="n"/>
      <c r="B222" s="22" t="n"/>
      <c r="C222" s="35" t="n"/>
      <c r="D222" s="22" t="n"/>
      <c r="E222" s="22" t="n"/>
      <c r="F222" s="22" t="n"/>
      <c r="G222" s="22" t="n"/>
      <c r="H222" s="22" t="n"/>
      <c r="I222" s="22">
        <f>IF(COUNTA(A222:H222)=0,"",IF(A222="","Register Change ID missing",IF(COUNTIF($A$4:$A$353,A222)&gt;1,"Duplicate Register Change ID",IF(COUNTIF('AI Register'!$A$4:$A$206,B222)=0,"AIR-ID not in AI Register",IF(NOT(ISNUMBER(C222)),"Date missing or not a date",IF(OR(D222="",E222="",F222=""),"Change detail missing","Check against source"))))))</f>
        <v/>
      </c>
    </row>
    <row r="223">
      <c r="A223" s="24" t="n"/>
      <c r="B223" s="24" t="n"/>
      <c r="C223" s="36" t="n"/>
      <c r="D223" s="24" t="n"/>
      <c r="E223" s="24" t="n"/>
      <c r="F223" s="24" t="n"/>
      <c r="G223" s="24" t="n"/>
      <c r="H223" s="24" t="n"/>
      <c r="I223" s="24">
        <f>IF(COUNTA(A223:H223)=0,"",IF(A223="","Register Change ID missing",IF(COUNTIF($A$4:$A$353,A223)&gt;1,"Duplicate Register Change ID",IF(COUNTIF('AI Register'!$A$4:$A$206,B223)=0,"AIR-ID not in AI Register",IF(NOT(ISNUMBER(C223)),"Date missing or not a date",IF(OR(D223="",E223="",F223=""),"Change detail missing","Check against source"))))))</f>
        <v/>
      </c>
    </row>
    <row r="224">
      <c r="A224" s="22" t="n"/>
      <c r="B224" s="22" t="n"/>
      <c r="C224" s="35" t="n"/>
      <c r="D224" s="22" t="n"/>
      <c r="E224" s="22" t="n"/>
      <c r="F224" s="22" t="n"/>
      <c r="G224" s="22" t="n"/>
      <c r="H224" s="22" t="n"/>
      <c r="I224" s="22">
        <f>IF(COUNTA(A224:H224)=0,"",IF(A224="","Register Change ID missing",IF(COUNTIF($A$4:$A$353,A224)&gt;1,"Duplicate Register Change ID",IF(COUNTIF('AI Register'!$A$4:$A$206,B224)=0,"AIR-ID not in AI Register",IF(NOT(ISNUMBER(C224)),"Date missing or not a date",IF(OR(D224="",E224="",F224=""),"Change detail missing","Check against source"))))))</f>
        <v/>
      </c>
    </row>
    <row r="225">
      <c r="A225" s="24" t="n"/>
      <c r="B225" s="24" t="n"/>
      <c r="C225" s="36" t="n"/>
      <c r="D225" s="24" t="n"/>
      <c r="E225" s="24" t="n"/>
      <c r="F225" s="24" t="n"/>
      <c r="G225" s="24" t="n"/>
      <c r="H225" s="24" t="n"/>
      <c r="I225" s="24">
        <f>IF(COUNTA(A225:H225)=0,"",IF(A225="","Register Change ID missing",IF(COUNTIF($A$4:$A$353,A225)&gt;1,"Duplicate Register Change ID",IF(COUNTIF('AI Register'!$A$4:$A$206,B225)=0,"AIR-ID not in AI Register",IF(NOT(ISNUMBER(C225)),"Date missing or not a date",IF(OR(D225="",E225="",F225=""),"Change detail missing","Check against source"))))))</f>
        <v/>
      </c>
    </row>
    <row r="226">
      <c r="A226" s="22" t="n"/>
      <c r="B226" s="22" t="n"/>
      <c r="C226" s="35" t="n"/>
      <c r="D226" s="22" t="n"/>
      <c r="E226" s="22" t="n"/>
      <c r="F226" s="22" t="n"/>
      <c r="G226" s="22" t="n"/>
      <c r="H226" s="22" t="n"/>
      <c r="I226" s="22">
        <f>IF(COUNTA(A226:H226)=0,"",IF(A226="","Register Change ID missing",IF(COUNTIF($A$4:$A$353,A226)&gt;1,"Duplicate Register Change ID",IF(COUNTIF('AI Register'!$A$4:$A$206,B226)=0,"AIR-ID not in AI Register",IF(NOT(ISNUMBER(C226)),"Date missing or not a date",IF(OR(D226="",E226="",F226=""),"Change detail missing","Check against source"))))))</f>
        <v/>
      </c>
    </row>
    <row r="227">
      <c r="A227" s="24" t="n"/>
      <c r="B227" s="24" t="n"/>
      <c r="C227" s="36" t="n"/>
      <c r="D227" s="24" t="n"/>
      <c r="E227" s="24" t="n"/>
      <c r="F227" s="24" t="n"/>
      <c r="G227" s="24" t="n"/>
      <c r="H227" s="24" t="n"/>
      <c r="I227" s="24">
        <f>IF(COUNTA(A227:H227)=0,"",IF(A227="","Register Change ID missing",IF(COUNTIF($A$4:$A$353,A227)&gt;1,"Duplicate Register Change ID",IF(COUNTIF('AI Register'!$A$4:$A$206,B227)=0,"AIR-ID not in AI Register",IF(NOT(ISNUMBER(C227)),"Date missing or not a date",IF(OR(D227="",E227="",F227=""),"Change detail missing","Check against source"))))))</f>
        <v/>
      </c>
    </row>
    <row r="228">
      <c r="A228" s="22" t="n"/>
      <c r="B228" s="22" t="n"/>
      <c r="C228" s="35" t="n"/>
      <c r="D228" s="22" t="n"/>
      <c r="E228" s="22" t="n"/>
      <c r="F228" s="22" t="n"/>
      <c r="G228" s="22" t="n"/>
      <c r="H228" s="22" t="n"/>
      <c r="I228" s="22">
        <f>IF(COUNTA(A228:H228)=0,"",IF(A228="","Register Change ID missing",IF(COUNTIF($A$4:$A$353,A228)&gt;1,"Duplicate Register Change ID",IF(COUNTIF('AI Register'!$A$4:$A$206,B228)=0,"AIR-ID not in AI Register",IF(NOT(ISNUMBER(C228)),"Date missing or not a date",IF(OR(D228="",E228="",F228=""),"Change detail missing","Check against source"))))))</f>
        <v/>
      </c>
    </row>
    <row r="229">
      <c r="A229" s="24" t="n"/>
      <c r="B229" s="24" t="n"/>
      <c r="C229" s="36" t="n"/>
      <c r="D229" s="24" t="n"/>
      <c r="E229" s="24" t="n"/>
      <c r="F229" s="24" t="n"/>
      <c r="G229" s="24" t="n"/>
      <c r="H229" s="24" t="n"/>
      <c r="I229" s="24">
        <f>IF(COUNTA(A229:H229)=0,"",IF(A229="","Register Change ID missing",IF(COUNTIF($A$4:$A$353,A229)&gt;1,"Duplicate Register Change ID",IF(COUNTIF('AI Register'!$A$4:$A$206,B229)=0,"AIR-ID not in AI Register",IF(NOT(ISNUMBER(C229)),"Date missing or not a date",IF(OR(D229="",E229="",F229=""),"Change detail missing","Check against source"))))))</f>
        <v/>
      </c>
    </row>
    <row r="230">
      <c r="A230" s="22" t="n"/>
      <c r="B230" s="22" t="n"/>
      <c r="C230" s="35" t="n"/>
      <c r="D230" s="22" t="n"/>
      <c r="E230" s="22" t="n"/>
      <c r="F230" s="22" t="n"/>
      <c r="G230" s="22" t="n"/>
      <c r="H230" s="22" t="n"/>
      <c r="I230" s="22">
        <f>IF(COUNTA(A230:H230)=0,"",IF(A230="","Register Change ID missing",IF(COUNTIF($A$4:$A$353,A230)&gt;1,"Duplicate Register Change ID",IF(COUNTIF('AI Register'!$A$4:$A$206,B230)=0,"AIR-ID not in AI Register",IF(NOT(ISNUMBER(C230)),"Date missing or not a date",IF(OR(D230="",E230="",F230=""),"Change detail missing","Check against source"))))))</f>
        <v/>
      </c>
    </row>
    <row r="231">
      <c r="A231" s="24" t="n"/>
      <c r="B231" s="24" t="n"/>
      <c r="C231" s="36" t="n"/>
      <c r="D231" s="24" t="n"/>
      <c r="E231" s="24" t="n"/>
      <c r="F231" s="24" t="n"/>
      <c r="G231" s="24" t="n"/>
      <c r="H231" s="24" t="n"/>
      <c r="I231" s="24">
        <f>IF(COUNTA(A231:H231)=0,"",IF(A231="","Register Change ID missing",IF(COUNTIF($A$4:$A$353,A231)&gt;1,"Duplicate Register Change ID",IF(COUNTIF('AI Register'!$A$4:$A$206,B231)=0,"AIR-ID not in AI Register",IF(NOT(ISNUMBER(C231)),"Date missing or not a date",IF(OR(D231="",E231="",F231=""),"Change detail missing","Check against source"))))))</f>
        <v/>
      </c>
    </row>
    <row r="232">
      <c r="A232" s="22" t="n"/>
      <c r="B232" s="22" t="n"/>
      <c r="C232" s="35" t="n"/>
      <c r="D232" s="22" t="n"/>
      <c r="E232" s="22" t="n"/>
      <c r="F232" s="22" t="n"/>
      <c r="G232" s="22" t="n"/>
      <c r="H232" s="22" t="n"/>
      <c r="I232" s="22">
        <f>IF(COUNTA(A232:H232)=0,"",IF(A232="","Register Change ID missing",IF(COUNTIF($A$4:$A$353,A232)&gt;1,"Duplicate Register Change ID",IF(COUNTIF('AI Register'!$A$4:$A$206,B232)=0,"AIR-ID not in AI Register",IF(NOT(ISNUMBER(C232)),"Date missing or not a date",IF(OR(D232="",E232="",F232=""),"Change detail missing","Check against source"))))))</f>
        <v/>
      </c>
    </row>
    <row r="233">
      <c r="A233" s="24" t="n"/>
      <c r="B233" s="24" t="n"/>
      <c r="C233" s="36" t="n"/>
      <c r="D233" s="24" t="n"/>
      <c r="E233" s="24" t="n"/>
      <c r="F233" s="24" t="n"/>
      <c r="G233" s="24" t="n"/>
      <c r="H233" s="24" t="n"/>
      <c r="I233" s="24">
        <f>IF(COUNTA(A233:H233)=0,"",IF(A233="","Register Change ID missing",IF(COUNTIF($A$4:$A$353,A233)&gt;1,"Duplicate Register Change ID",IF(COUNTIF('AI Register'!$A$4:$A$206,B233)=0,"AIR-ID not in AI Register",IF(NOT(ISNUMBER(C233)),"Date missing or not a date",IF(OR(D233="",E233="",F233=""),"Change detail missing","Check against source"))))))</f>
        <v/>
      </c>
    </row>
    <row r="234">
      <c r="A234" s="22" t="n"/>
      <c r="B234" s="22" t="n"/>
      <c r="C234" s="35" t="n"/>
      <c r="D234" s="22" t="n"/>
      <c r="E234" s="22" t="n"/>
      <c r="F234" s="22" t="n"/>
      <c r="G234" s="22" t="n"/>
      <c r="H234" s="22" t="n"/>
      <c r="I234" s="22">
        <f>IF(COUNTA(A234:H234)=0,"",IF(A234="","Register Change ID missing",IF(COUNTIF($A$4:$A$353,A234)&gt;1,"Duplicate Register Change ID",IF(COUNTIF('AI Register'!$A$4:$A$206,B234)=0,"AIR-ID not in AI Register",IF(NOT(ISNUMBER(C234)),"Date missing or not a date",IF(OR(D234="",E234="",F234=""),"Change detail missing","Check against source"))))))</f>
        <v/>
      </c>
    </row>
    <row r="235">
      <c r="A235" s="24" t="n"/>
      <c r="B235" s="24" t="n"/>
      <c r="C235" s="36" t="n"/>
      <c r="D235" s="24" t="n"/>
      <c r="E235" s="24" t="n"/>
      <c r="F235" s="24" t="n"/>
      <c r="G235" s="24" t="n"/>
      <c r="H235" s="24" t="n"/>
      <c r="I235" s="24">
        <f>IF(COUNTA(A235:H235)=0,"",IF(A235="","Register Change ID missing",IF(COUNTIF($A$4:$A$353,A235)&gt;1,"Duplicate Register Change ID",IF(COUNTIF('AI Register'!$A$4:$A$206,B235)=0,"AIR-ID not in AI Register",IF(NOT(ISNUMBER(C235)),"Date missing or not a date",IF(OR(D235="",E235="",F235=""),"Change detail missing","Check against source"))))))</f>
        <v/>
      </c>
    </row>
    <row r="236">
      <c r="A236" s="22" t="n"/>
      <c r="B236" s="22" t="n"/>
      <c r="C236" s="35" t="n"/>
      <c r="D236" s="22" t="n"/>
      <c r="E236" s="22" t="n"/>
      <c r="F236" s="22" t="n"/>
      <c r="G236" s="22" t="n"/>
      <c r="H236" s="22" t="n"/>
      <c r="I236" s="22">
        <f>IF(COUNTA(A236:H236)=0,"",IF(A236="","Register Change ID missing",IF(COUNTIF($A$4:$A$353,A236)&gt;1,"Duplicate Register Change ID",IF(COUNTIF('AI Register'!$A$4:$A$206,B236)=0,"AIR-ID not in AI Register",IF(NOT(ISNUMBER(C236)),"Date missing or not a date",IF(OR(D236="",E236="",F236=""),"Change detail missing","Check against source"))))))</f>
        <v/>
      </c>
    </row>
    <row r="237">
      <c r="A237" s="24" t="n"/>
      <c r="B237" s="24" t="n"/>
      <c r="C237" s="36" t="n"/>
      <c r="D237" s="24" t="n"/>
      <c r="E237" s="24" t="n"/>
      <c r="F237" s="24" t="n"/>
      <c r="G237" s="24" t="n"/>
      <c r="H237" s="24" t="n"/>
      <c r="I237" s="24">
        <f>IF(COUNTA(A237:H237)=0,"",IF(A237="","Register Change ID missing",IF(COUNTIF($A$4:$A$353,A237)&gt;1,"Duplicate Register Change ID",IF(COUNTIF('AI Register'!$A$4:$A$206,B237)=0,"AIR-ID not in AI Register",IF(NOT(ISNUMBER(C237)),"Date missing or not a date",IF(OR(D237="",E237="",F237=""),"Change detail missing","Check against source"))))))</f>
        <v/>
      </c>
    </row>
    <row r="238">
      <c r="A238" s="22" t="n"/>
      <c r="B238" s="22" t="n"/>
      <c r="C238" s="35" t="n"/>
      <c r="D238" s="22" t="n"/>
      <c r="E238" s="22" t="n"/>
      <c r="F238" s="22" t="n"/>
      <c r="G238" s="22" t="n"/>
      <c r="H238" s="22" t="n"/>
      <c r="I238" s="22">
        <f>IF(COUNTA(A238:H238)=0,"",IF(A238="","Register Change ID missing",IF(COUNTIF($A$4:$A$353,A238)&gt;1,"Duplicate Register Change ID",IF(COUNTIF('AI Register'!$A$4:$A$206,B238)=0,"AIR-ID not in AI Register",IF(NOT(ISNUMBER(C238)),"Date missing or not a date",IF(OR(D238="",E238="",F238=""),"Change detail missing","Check against source"))))))</f>
        <v/>
      </c>
    </row>
    <row r="239">
      <c r="A239" s="24" t="n"/>
      <c r="B239" s="24" t="n"/>
      <c r="C239" s="36" t="n"/>
      <c r="D239" s="24" t="n"/>
      <c r="E239" s="24" t="n"/>
      <c r="F239" s="24" t="n"/>
      <c r="G239" s="24" t="n"/>
      <c r="H239" s="24" t="n"/>
      <c r="I239" s="24">
        <f>IF(COUNTA(A239:H239)=0,"",IF(A239="","Register Change ID missing",IF(COUNTIF($A$4:$A$353,A239)&gt;1,"Duplicate Register Change ID",IF(COUNTIF('AI Register'!$A$4:$A$206,B239)=0,"AIR-ID not in AI Register",IF(NOT(ISNUMBER(C239)),"Date missing or not a date",IF(OR(D239="",E239="",F239=""),"Change detail missing","Check against source"))))))</f>
        <v/>
      </c>
    </row>
    <row r="240">
      <c r="A240" s="22" t="n"/>
      <c r="B240" s="22" t="n"/>
      <c r="C240" s="35" t="n"/>
      <c r="D240" s="22" t="n"/>
      <c r="E240" s="22" t="n"/>
      <c r="F240" s="22" t="n"/>
      <c r="G240" s="22" t="n"/>
      <c r="H240" s="22" t="n"/>
      <c r="I240" s="22">
        <f>IF(COUNTA(A240:H240)=0,"",IF(A240="","Register Change ID missing",IF(COUNTIF($A$4:$A$353,A240)&gt;1,"Duplicate Register Change ID",IF(COUNTIF('AI Register'!$A$4:$A$206,B240)=0,"AIR-ID not in AI Register",IF(NOT(ISNUMBER(C240)),"Date missing or not a date",IF(OR(D240="",E240="",F240=""),"Change detail missing","Check against source"))))))</f>
        <v/>
      </c>
    </row>
    <row r="241">
      <c r="A241" s="24" t="n"/>
      <c r="B241" s="24" t="n"/>
      <c r="C241" s="36" t="n"/>
      <c r="D241" s="24" t="n"/>
      <c r="E241" s="24" t="n"/>
      <c r="F241" s="24" t="n"/>
      <c r="G241" s="24" t="n"/>
      <c r="H241" s="24" t="n"/>
      <c r="I241" s="24">
        <f>IF(COUNTA(A241:H241)=0,"",IF(A241="","Register Change ID missing",IF(COUNTIF($A$4:$A$353,A241)&gt;1,"Duplicate Register Change ID",IF(COUNTIF('AI Register'!$A$4:$A$206,B241)=0,"AIR-ID not in AI Register",IF(NOT(ISNUMBER(C241)),"Date missing or not a date",IF(OR(D241="",E241="",F241=""),"Change detail missing","Check against source"))))))</f>
        <v/>
      </c>
    </row>
    <row r="242">
      <c r="A242" s="22" t="n"/>
      <c r="B242" s="22" t="n"/>
      <c r="C242" s="35" t="n"/>
      <c r="D242" s="22" t="n"/>
      <c r="E242" s="22" t="n"/>
      <c r="F242" s="22" t="n"/>
      <c r="G242" s="22" t="n"/>
      <c r="H242" s="22" t="n"/>
      <c r="I242" s="22">
        <f>IF(COUNTA(A242:H242)=0,"",IF(A242="","Register Change ID missing",IF(COUNTIF($A$4:$A$353,A242)&gt;1,"Duplicate Register Change ID",IF(COUNTIF('AI Register'!$A$4:$A$206,B242)=0,"AIR-ID not in AI Register",IF(NOT(ISNUMBER(C242)),"Date missing or not a date",IF(OR(D242="",E242="",F242=""),"Change detail missing","Check against source"))))))</f>
        <v/>
      </c>
    </row>
    <row r="243">
      <c r="A243" s="24" t="n"/>
      <c r="B243" s="24" t="n"/>
      <c r="C243" s="36" t="n"/>
      <c r="D243" s="24" t="n"/>
      <c r="E243" s="24" t="n"/>
      <c r="F243" s="24" t="n"/>
      <c r="G243" s="24" t="n"/>
      <c r="H243" s="24" t="n"/>
      <c r="I243" s="24">
        <f>IF(COUNTA(A243:H243)=0,"",IF(A243="","Register Change ID missing",IF(COUNTIF($A$4:$A$353,A243)&gt;1,"Duplicate Register Change ID",IF(COUNTIF('AI Register'!$A$4:$A$206,B243)=0,"AIR-ID not in AI Register",IF(NOT(ISNUMBER(C243)),"Date missing or not a date",IF(OR(D243="",E243="",F243=""),"Change detail missing","Check against source"))))))</f>
        <v/>
      </c>
    </row>
    <row r="244">
      <c r="A244" s="22" t="n"/>
      <c r="B244" s="22" t="n"/>
      <c r="C244" s="35" t="n"/>
      <c r="D244" s="22" t="n"/>
      <c r="E244" s="22" t="n"/>
      <c r="F244" s="22" t="n"/>
      <c r="G244" s="22" t="n"/>
      <c r="H244" s="22" t="n"/>
      <c r="I244" s="22">
        <f>IF(COUNTA(A244:H244)=0,"",IF(A244="","Register Change ID missing",IF(COUNTIF($A$4:$A$353,A244)&gt;1,"Duplicate Register Change ID",IF(COUNTIF('AI Register'!$A$4:$A$206,B244)=0,"AIR-ID not in AI Register",IF(NOT(ISNUMBER(C244)),"Date missing or not a date",IF(OR(D244="",E244="",F244=""),"Change detail missing","Check against source"))))))</f>
        <v/>
      </c>
    </row>
    <row r="245">
      <c r="A245" s="24" t="n"/>
      <c r="B245" s="24" t="n"/>
      <c r="C245" s="36" t="n"/>
      <c r="D245" s="24" t="n"/>
      <c r="E245" s="24" t="n"/>
      <c r="F245" s="24" t="n"/>
      <c r="G245" s="24" t="n"/>
      <c r="H245" s="24" t="n"/>
      <c r="I245" s="24">
        <f>IF(COUNTA(A245:H245)=0,"",IF(A245="","Register Change ID missing",IF(COUNTIF($A$4:$A$353,A245)&gt;1,"Duplicate Register Change ID",IF(COUNTIF('AI Register'!$A$4:$A$206,B245)=0,"AIR-ID not in AI Register",IF(NOT(ISNUMBER(C245)),"Date missing or not a date",IF(OR(D245="",E245="",F245=""),"Change detail missing","Check against source"))))))</f>
        <v/>
      </c>
    </row>
    <row r="246">
      <c r="A246" s="22" t="n"/>
      <c r="B246" s="22" t="n"/>
      <c r="C246" s="35" t="n"/>
      <c r="D246" s="22" t="n"/>
      <c r="E246" s="22" t="n"/>
      <c r="F246" s="22" t="n"/>
      <c r="G246" s="22" t="n"/>
      <c r="H246" s="22" t="n"/>
      <c r="I246" s="22">
        <f>IF(COUNTA(A246:H246)=0,"",IF(A246="","Register Change ID missing",IF(COUNTIF($A$4:$A$353,A246)&gt;1,"Duplicate Register Change ID",IF(COUNTIF('AI Register'!$A$4:$A$206,B246)=0,"AIR-ID not in AI Register",IF(NOT(ISNUMBER(C246)),"Date missing or not a date",IF(OR(D246="",E246="",F246=""),"Change detail missing","Check against source"))))))</f>
        <v/>
      </c>
    </row>
    <row r="247">
      <c r="A247" s="24" t="n"/>
      <c r="B247" s="24" t="n"/>
      <c r="C247" s="36" t="n"/>
      <c r="D247" s="24" t="n"/>
      <c r="E247" s="24" t="n"/>
      <c r="F247" s="24" t="n"/>
      <c r="G247" s="24" t="n"/>
      <c r="H247" s="24" t="n"/>
      <c r="I247" s="24">
        <f>IF(COUNTA(A247:H247)=0,"",IF(A247="","Register Change ID missing",IF(COUNTIF($A$4:$A$353,A247)&gt;1,"Duplicate Register Change ID",IF(COUNTIF('AI Register'!$A$4:$A$206,B247)=0,"AIR-ID not in AI Register",IF(NOT(ISNUMBER(C247)),"Date missing or not a date",IF(OR(D247="",E247="",F247=""),"Change detail missing","Check against source"))))))</f>
        <v/>
      </c>
    </row>
    <row r="248">
      <c r="A248" s="22" t="n"/>
      <c r="B248" s="22" t="n"/>
      <c r="C248" s="35" t="n"/>
      <c r="D248" s="22" t="n"/>
      <c r="E248" s="22" t="n"/>
      <c r="F248" s="22" t="n"/>
      <c r="G248" s="22" t="n"/>
      <c r="H248" s="22" t="n"/>
      <c r="I248" s="22">
        <f>IF(COUNTA(A248:H248)=0,"",IF(A248="","Register Change ID missing",IF(COUNTIF($A$4:$A$353,A248)&gt;1,"Duplicate Register Change ID",IF(COUNTIF('AI Register'!$A$4:$A$206,B248)=0,"AIR-ID not in AI Register",IF(NOT(ISNUMBER(C248)),"Date missing or not a date",IF(OR(D248="",E248="",F248=""),"Change detail missing","Check against source"))))))</f>
        <v/>
      </c>
    </row>
    <row r="249">
      <c r="A249" s="24" t="n"/>
      <c r="B249" s="24" t="n"/>
      <c r="C249" s="36" t="n"/>
      <c r="D249" s="24" t="n"/>
      <c r="E249" s="24" t="n"/>
      <c r="F249" s="24" t="n"/>
      <c r="G249" s="24" t="n"/>
      <c r="H249" s="24" t="n"/>
      <c r="I249" s="24">
        <f>IF(COUNTA(A249:H249)=0,"",IF(A249="","Register Change ID missing",IF(COUNTIF($A$4:$A$353,A249)&gt;1,"Duplicate Register Change ID",IF(COUNTIF('AI Register'!$A$4:$A$206,B249)=0,"AIR-ID not in AI Register",IF(NOT(ISNUMBER(C249)),"Date missing or not a date",IF(OR(D249="",E249="",F249=""),"Change detail missing","Check against source"))))))</f>
        <v/>
      </c>
    </row>
    <row r="250">
      <c r="A250" s="22" t="n"/>
      <c r="B250" s="22" t="n"/>
      <c r="C250" s="35" t="n"/>
      <c r="D250" s="22" t="n"/>
      <c r="E250" s="22" t="n"/>
      <c r="F250" s="22" t="n"/>
      <c r="G250" s="22" t="n"/>
      <c r="H250" s="22" t="n"/>
      <c r="I250" s="22">
        <f>IF(COUNTA(A250:H250)=0,"",IF(A250="","Register Change ID missing",IF(COUNTIF($A$4:$A$353,A250)&gt;1,"Duplicate Register Change ID",IF(COUNTIF('AI Register'!$A$4:$A$206,B250)=0,"AIR-ID not in AI Register",IF(NOT(ISNUMBER(C250)),"Date missing or not a date",IF(OR(D250="",E250="",F250=""),"Change detail missing","Check against source"))))))</f>
        <v/>
      </c>
    </row>
    <row r="251">
      <c r="A251" s="24" t="n"/>
      <c r="B251" s="24" t="n"/>
      <c r="C251" s="36" t="n"/>
      <c r="D251" s="24" t="n"/>
      <c r="E251" s="24" t="n"/>
      <c r="F251" s="24" t="n"/>
      <c r="G251" s="24" t="n"/>
      <c r="H251" s="24" t="n"/>
      <c r="I251" s="24">
        <f>IF(COUNTA(A251:H251)=0,"",IF(A251="","Register Change ID missing",IF(COUNTIF($A$4:$A$353,A251)&gt;1,"Duplicate Register Change ID",IF(COUNTIF('AI Register'!$A$4:$A$206,B251)=0,"AIR-ID not in AI Register",IF(NOT(ISNUMBER(C251)),"Date missing or not a date",IF(OR(D251="",E251="",F251=""),"Change detail missing","Check against source"))))))</f>
        <v/>
      </c>
    </row>
    <row r="252">
      <c r="A252" s="22" t="n"/>
      <c r="B252" s="22" t="n"/>
      <c r="C252" s="35" t="n"/>
      <c r="D252" s="22" t="n"/>
      <c r="E252" s="22" t="n"/>
      <c r="F252" s="22" t="n"/>
      <c r="G252" s="22" t="n"/>
      <c r="H252" s="22" t="n"/>
      <c r="I252" s="22">
        <f>IF(COUNTA(A252:H252)=0,"",IF(A252="","Register Change ID missing",IF(COUNTIF($A$4:$A$353,A252)&gt;1,"Duplicate Register Change ID",IF(COUNTIF('AI Register'!$A$4:$A$206,B252)=0,"AIR-ID not in AI Register",IF(NOT(ISNUMBER(C252)),"Date missing or not a date",IF(OR(D252="",E252="",F252=""),"Change detail missing","Check against source"))))))</f>
        <v/>
      </c>
    </row>
    <row r="253">
      <c r="A253" s="24" t="n"/>
      <c r="B253" s="24" t="n"/>
      <c r="C253" s="36" t="n"/>
      <c r="D253" s="24" t="n"/>
      <c r="E253" s="24" t="n"/>
      <c r="F253" s="24" t="n"/>
      <c r="G253" s="24" t="n"/>
      <c r="H253" s="24" t="n"/>
      <c r="I253" s="24">
        <f>IF(COUNTA(A253:H253)=0,"",IF(A253="","Register Change ID missing",IF(COUNTIF($A$4:$A$353,A253)&gt;1,"Duplicate Register Change ID",IF(COUNTIF('AI Register'!$A$4:$A$206,B253)=0,"AIR-ID not in AI Register",IF(NOT(ISNUMBER(C253)),"Date missing or not a date",IF(OR(D253="",E253="",F253=""),"Change detail missing","Check against source"))))))</f>
        <v/>
      </c>
    </row>
    <row r="254">
      <c r="A254" s="22" t="n"/>
      <c r="B254" s="22" t="n"/>
      <c r="C254" s="35" t="n"/>
      <c r="D254" s="22" t="n"/>
      <c r="E254" s="22" t="n"/>
      <c r="F254" s="22" t="n"/>
      <c r="G254" s="22" t="n"/>
      <c r="H254" s="22" t="n"/>
      <c r="I254" s="22">
        <f>IF(COUNTA(A254:H254)=0,"",IF(A254="","Register Change ID missing",IF(COUNTIF($A$4:$A$353,A254)&gt;1,"Duplicate Register Change ID",IF(COUNTIF('AI Register'!$A$4:$A$206,B254)=0,"AIR-ID not in AI Register",IF(NOT(ISNUMBER(C254)),"Date missing or not a date",IF(OR(D254="",E254="",F254=""),"Change detail missing","Check against source"))))))</f>
        <v/>
      </c>
    </row>
    <row r="255">
      <c r="A255" s="24" t="n"/>
      <c r="B255" s="24" t="n"/>
      <c r="C255" s="36" t="n"/>
      <c r="D255" s="24" t="n"/>
      <c r="E255" s="24" t="n"/>
      <c r="F255" s="24" t="n"/>
      <c r="G255" s="24" t="n"/>
      <c r="H255" s="24" t="n"/>
      <c r="I255" s="24">
        <f>IF(COUNTA(A255:H255)=0,"",IF(A255="","Register Change ID missing",IF(COUNTIF($A$4:$A$353,A255)&gt;1,"Duplicate Register Change ID",IF(COUNTIF('AI Register'!$A$4:$A$206,B255)=0,"AIR-ID not in AI Register",IF(NOT(ISNUMBER(C255)),"Date missing or not a date",IF(OR(D255="",E255="",F255=""),"Change detail missing","Check against source"))))))</f>
        <v/>
      </c>
    </row>
    <row r="256">
      <c r="A256" s="22" t="n"/>
      <c r="B256" s="22" t="n"/>
      <c r="C256" s="35" t="n"/>
      <c r="D256" s="22" t="n"/>
      <c r="E256" s="22" t="n"/>
      <c r="F256" s="22" t="n"/>
      <c r="G256" s="22" t="n"/>
      <c r="H256" s="22" t="n"/>
      <c r="I256" s="22">
        <f>IF(COUNTA(A256:H256)=0,"",IF(A256="","Register Change ID missing",IF(COUNTIF($A$4:$A$353,A256)&gt;1,"Duplicate Register Change ID",IF(COUNTIF('AI Register'!$A$4:$A$206,B256)=0,"AIR-ID not in AI Register",IF(NOT(ISNUMBER(C256)),"Date missing or not a date",IF(OR(D256="",E256="",F256=""),"Change detail missing","Check against source"))))))</f>
        <v/>
      </c>
    </row>
    <row r="257">
      <c r="A257" s="24" t="n"/>
      <c r="B257" s="24" t="n"/>
      <c r="C257" s="36" t="n"/>
      <c r="D257" s="24" t="n"/>
      <c r="E257" s="24" t="n"/>
      <c r="F257" s="24" t="n"/>
      <c r="G257" s="24" t="n"/>
      <c r="H257" s="24" t="n"/>
      <c r="I257" s="24">
        <f>IF(COUNTA(A257:H257)=0,"",IF(A257="","Register Change ID missing",IF(COUNTIF($A$4:$A$353,A257)&gt;1,"Duplicate Register Change ID",IF(COUNTIF('AI Register'!$A$4:$A$206,B257)=0,"AIR-ID not in AI Register",IF(NOT(ISNUMBER(C257)),"Date missing or not a date",IF(OR(D257="",E257="",F257=""),"Change detail missing","Check against source"))))))</f>
        <v/>
      </c>
    </row>
    <row r="258">
      <c r="A258" s="22" t="n"/>
      <c r="B258" s="22" t="n"/>
      <c r="C258" s="35" t="n"/>
      <c r="D258" s="22" t="n"/>
      <c r="E258" s="22" t="n"/>
      <c r="F258" s="22" t="n"/>
      <c r="G258" s="22" t="n"/>
      <c r="H258" s="22" t="n"/>
      <c r="I258" s="22">
        <f>IF(COUNTA(A258:H258)=0,"",IF(A258="","Register Change ID missing",IF(COUNTIF($A$4:$A$353,A258)&gt;1,"Duplicate Register Change ID",IF(COUNTIF('AI Register'!$A$4:$A$206,B258)=0,"AIR-ID not in AI Register",IF(NOT(ISNUMBER(C258)),"Date missing or not a date",IF(OR(D258="",E258="",F258=""),"Change detail missing","Check against source"))))))</f>
        <v/>
      </c>
    </row>
    <row r="259">
      <c r="A259" s="24" t="n"/>
      <c r="B259" s="24" t="n"/>
      <c r="C259" s="36" t="n"/>
      <c r="D259" s="24" t="n"/>
      <c r="E259" s="24" t="n"/>
      <c r="F259" s="24" t="n"/>
      <c r="G259" s="24" t="n"/>
      <c r="H259" s="24" t="n"/>
      <c r="I259" s="24">
        <f>IF(COUNTA(A259:H259)=0,"",IF(A259="","Register Change ID missing",IF(COUNTIF($A$4:$A$353,A259)&gt;1,"Duplicate Register Change ID",IF(COUNTIF('AI Register'!$A$4:$A$206,B259)=0,"AIR-ID not in AI Register",IF(NOT(ISNUMBER(C259)),"Date missing or not a date",IF(OR(D259="",E259="",F259=""),"Change detail missing","Check against source"))))))</f>
        <v/>
      </c>
    </row>
    <row r="260">
      <c r="A260" s="22" t="n"/>
      <c r="B260" s="22" t="n"/>
      <c r="C260" s="35" t="n"/>
      <c r="D260" s="22" t="n"/>
      <c r="E260" s="22" t="n"/>
      <c r="F260" s="22" t="n"/>
      <c r="G260" s="22" t="n"/>
      <c r="H260" s="22" t="n"/>
      <c r="I260" s="22">
        <f>IF(COUNTA(A260:H260)=0,"",IF(A260="","Register Change ID missing",IF(COUNTIF($A$4:$A$353,A260)&gt;1,"Duplicate Register Change ID",IF(COUNTIF('AI Register'!$A$4:$A$206,B260)=0,"AIR-ID not in AI Register",IF(NOT(ISNUMBER(C260)),"Date missing or not a date",IF(OR(D260="",E260="",F260=""),"Change detail missing","Check against source"))))))</f>
        <v/>
      </c>
    </row>
    <row r="261">
      <c r="A261" s="24" t="n"/>
      <c r="B261" s="24" t="n"/>
      <c r="C261" s="36" t="n"/>
      <c r="D261" s="24" t="n"/>
      <c r="E261" s="24" t="n"/>
      <c r="F261" s="24" t="n"/>
      <c r="G261" s="24" t="n"/>
      <c r="H261" s="24" t="n"/>
      <c r="I261" s="24">
        <f>IF(COUNTA(A261:H261)=0,"",IF(A261="","Register Change ID missing",IF(COUNTIF($A$4:$A$353,A261)&gt;1,"Duplicate Register Change ID",IF(COUNTIF('AI Register'!$A$4:$A$206,B261)=0,"AIR-ID not in AI Register",IF(NOT(ISNUMBER(C261)),"Date missing or not a date",IF(OR(D261="",E261="",F261=""),"Change detail missing","Check against source"))))))</f>
        <v/>
      </c>
    </row>
    <row r="262">
      <c r="A262" s="22" t="n"/>
      <c r="B262" s="22" t="n"/>
      <c r="C262" s="35" t="n"/>
      <c r="D262" s="22" t="n"/>
      <c r="E262" s="22" t="n"/>
      <c r="F262" s="22" t="n"/>
      <c r="G262" s="22" t="n"/>
      <c r="H262" s="22" t="n"/>
      <c r="I262" s="22">
        <f>IF(COUNTA(A262:H262)=0,"",IF(A262="","Register Change ID missing",IF(COUNTIF($A$4:$A$353,A262)&gt;1,"Duplicate Register Change ID",IF(COUNTIF('AI Register'!$A$4:$A$206,B262)=0,"AIR-ID not in AI Register",IF(NOT(ISNUMBER(C262)),"Date missing or not a date",IF(OR(D262="",E262="",F262=""),"Change detail missing","Check against source"))))))</f>
        <v/>
      </c>
    </row>
    <row r="263">
      <c r="A263" s="24" t="n"/>
      <c r="B263" s="24" t="n"/>
      <c r="C263" s="36" t="n"/>
      <c r="D263" s="24" t="n"/>
      <c r="E263" s="24" t="n"/>
      <c r="F263" s="24" t="n"/>
      <c r="G263" s="24" t="n"/>
      <c r="H263" s="24" t="n"/>
      <c r="I263" s="24">
        <f>IF(COUNTA(A263:H263)=0,"",IF(A263="","Register Change ID missing",IF(COUNTIF($A$4:$A$353,A263)&gt;1,"Duplicate Register Change ID",IF(COUNTIF('AI Register'!$A$4:$A$206,B263)=0,"AIR-ID not in AI Register",IF(NOT(ISNUMBER(C263)),"Date missing or not a date",IF(OR(D263="",E263="",F263=""),"Change detail missing","Check against source"))))))</f>
        <v/>
      </c>
    </row>
    <row r="264">
      <c r="A264" s="22" t="n"/>
      <c r="B264" s="22" t="n"/>
      <c r="C264" s="35" t="n"/>
      <c r="D264" s="22" t="n"/>
      <c r="E264" s="22" t="n"/>
      <c r="F264" s="22" t="n"/>
      <c r="G264" s="22" t="n"/>
      <c r="H264" s="22" t="n"/>
      <c r="I264" s="22">
        <f>IF(COUNTA(A264:H264)=0,"",IF(A264="","Register Change ID missing",IF(COUNTIF($A$4:$A$353,A264)&gt;1,"Duplicate Register Change ID",IF(COUNTIF('AI Register'!$A$4:$A$206,B264)=0,"AIR-ID not in AI Register",IF(NOT(ISNUMBER(C264)),"Date missing or not a date",IF(OR(D264="",E264="",F264=""),"Change detail missing","Check against source"))))))</f>
        <v/>
      </c>
    </row>
    <row r="265">
      <c r="A265" s="24" t="n"/>
      <c r="B265" s="24" t="n"/>
      <c r="C265" s="36" t="n"/>
      <c r="D265" s="24" t="n"/>
      <c r="E265" s="24" t="n"/>
      <c r="F265" s="24" t="n"/>
      <c r="G265" s="24" t="n"/>
      <c r="H265" s="24" t="n"/>
      <c r="I265" s="24">
        <f>IF(COUNTA(A265:H265)=0,"",IF(A265="","Register Change ID missing",IF(COUNTIF($A$4:$A$353,A265)&gt;1,"Duplicate Register Change ID",IF(COUNTIF('AI Register'!$A$4:$A$206,B265)=0,"AIR-ID not in AI Register",IF(NOT(ISNUMBER(C265)),"Date missing or not a date",IF(OR(D265="",E265="",F265=""),"Change detail missing","Check against source"))))))</f>
        <v/>
      </c>
    </row>
    <row r="266">
      <c r="A266" s="22" t="n"/>
      <c r="B266" s="22" t="n"/>
      <c r="C266" s="35" t="n"/>
      <c r="D266" s="22" t="n"/>
      <c r="E266" s="22" t="n"/>
      <c r="F266" s="22" t="n"/>
      <c r="G266" s="22" t="n"/>
      <c r="H266" s="22" t="n"/>
      <c r="I266" s="22">
        <f>IF(COUNTA(A266:H266)=0,"",IF(A266="","Register Change ID missing",IF(COUNTIF($A$4:$A$353,A266)&gt;1,"Duplicate Register Change ID",IF(COUNTIF('AI Register'!$A$4:$A$206,B266)=0,"AIR-ID not in AI Register",IF(NOT(ISNUMBER(C266)),"Date missing or not a date",IF(OR(D266="",E266="",F266=""),"Change detail missing","Check against source"))))))</f>
        <v/>
      </c>
    </row>
    <row r="267">
      <c r="A267" s="24" t="n"/>
      <c r="B267" s="24" t="n"/>
      <c r="C267" s="36" t="n"/>
      <c r="D267" s="24" t="n"/>
      <c r="E267" s="24" t="n"/>
      <c r="F267" s="24" t="n"/>
      <c r="G267" s="24" t="n"/>
      <c r="H267" s="24" t="n"/>
      <c r="I267" s="24">
        <f>IF(COUNTA(A267:H267)=0,"",IF(A267="","Register Change ID missing",IF(COUNTIF($A$4:$A$353,A267)&gt;1,"Duplicate Register Change ID",IF(COUNTIF('AI Register'!$A$4:$A$206,B267)=0,"AIR-ID not in AI Register",IF(NOT(ISNUMBER(C267)),"Date missing or not a date",IF(OR(D267="",E267="",F267=""),"Change detail missing","Check against source"))))))</f>
        <v/>
      </c>
    </row>
    <row r="268">
      <c r="A268" s="22" t="n"/>
      <c r="B268" s="22" t="n"/>
      <c r="C268" s="35" t="n"/>
      <c r="D268" s="22" t="n"/>
      <c r="E268" s="22" t="n"/>
      <c r="F268" s="22" t="n"/>
      <c r="G268" s="22" t="n"/>
      <c r="H268" s="22" t="n"/>
      <c r="I268" s="22">
        <f>IF(COUNTA(A268:H268)=0,"",IF(A268="","Register Change ID missing",IF(COUNTIF($A$4:$A$353,A268)&gt;1,"Duplicate Register Change ID",IF(COUNTIF('AI Register'!$A$4:$A$206,B268)=0,"AIR-ID not in AI Register",IF(NOT(ISNUMBER(C268)),"Date missing or not a date",IF(OR(D268="",E268="",F268=""),"Change detail missing","Check against source"))))))</f>
        <v/>
      </c>
    </row>
    <row r="269">
      <c r="A269" s="24" t="n"/>
      <c r="B269" s="24" t="n"/>
      <c r="C269" s="36" t="n"/>
      <c r="D269" s="24" t="n"/>
      <c r="E269" s="24" t="n"/>
      <c r="F269" s="24" t="n"/>
      <c r="G269" s="24" t="n"/>
      <c r="H269" s="24" t="n"/>
      <c r="I269" s="24">
        <f>IF(COUNTA(A269:H269)=0,"",IF(A269="","Register Change ID missing",IF(COUNTIF($A$4:$A$353,A269)&gt;1,"Duplicate Register Change ID",IF(COUNTIF('AI Register'!$A$4:$A$206,B269)=0,"AIR-ID not in AI Register",IF(NOT(ISNUMBER(C269)),"Date missing or not a date",IF(OR(D269="",E269="",F269=""),"Change detail missing","Check against source"))))))</f>
        <v/>
      </c>
    </row>
    <row r="270">
      <c r="A270" s="22" t="n"/>
      <c r="B270" s="22" t="n"/>
      <c r="C270" s="35" t="n"/>
      <c r="D270" s="22" t="n"/>
      <c r="E270" s="22" t="n"/>
      <c r="F270" s="22" t="n"/>
      <c r="G270" s="22" t="n"/>
      <c r="H270" s="22" t="n"/>
      <c r="I270" s="22">
        <f>IF(COUNTA(A270:H270)=0,"",IF(A270="","Register Change ID missing",IF(COUNTIF($A$4:$A$353,A270)&gt;1,"Duplicate Register Change ID",IF(COUNTIF('AI Register'!$A$4:$A$206,B270)=0,"AIR-ID not in AI Register",IF(NOT(ISNUMBER(C270)),"Date missing or not a date",IF(OR(D270="",E270="",F270=""),"Change detail missing","Check against source"))))))</f>
        <v/>
      </c>
    </row>
    <row r="271">
      <c r="A271" s="24" t="n"/>
      <c r="B271" s="24" t="n"/>
      <c r="C271" s="36" t="n"/>
      <c r="D271" s="24" t="n"/>
      <c r="E271" s="24" t="n"/>
      <c r="F271" s="24" t="n"/>
      <c r="G271" s="24" t="n"/>
      <c r="H271" s="24" t="n"/>
      <c r="I271" s="24">
        <f>IF(COUNTA(A271:H271)=0,"",IF(A271="","Register Change ID missing",IF(COUNTIF($A$4:$A$353,A271)&gt;1,"Duplicate Register Change ID",IF(COUNTIF('AI Register'!$A$4:$A$206,B271)=0,"AIR-ID not in AI Register",IF(NOT(ISNUMBER(C271)),"Date missing or not a date",IF(OR(D271="",E271="",F271=""),"Change detail missing","Check against source"))))))</f>
        <v/>
      </c>
    </row>
    <row r="272">
      <c r="A272" s="22" t="n"/>
      <c r="B272" s="22" t="n"/>
      <c r="C272" s="35" t="n"/>
      <c r="D272" s="22" t="n"/>
      <c r="E272" s="22" t="n"/>
      <c r="F272" s="22" t="n"/>
      <c r="G272" s="22" t="n"/>
      <c r="H272" s="22" t="n"/>
      <c r="I272" s="22">
        <f>IF(COUNTA(A272:H272)=0,"",IF(A272="","Register Change ID missing",IF(COUNTIF($A$4:$A$353,A272)&gt;1,"Duplicate Register Change ID",IF(COUNTIF('AI Register'!$A$4:$A$206,B272)=0,"AIR-ID not in AI Register",IF(NOT(ISNUMBER(C272)),"Date missing or not a date",IF(OR(D272="",E272="",F272=""),"Change detail missing","Check against source"))))))</f>
        <v/>
      </c>
    </row>
    <row r="273">
      <c r="A273" s="24" t="n"/>
      <c r="B273" s="24" t="n"/>
      <c r="C273" s="36" t="n"/>
      <c r="D273" s="24" t="n"/>
      <c r="E273" s="24" t="n"/>
      <c r="F273" s="24" t="n"/>
      <c r="G273" s="24" t="n"/>
      <c r="H273" s="24" t="n"/>
      <c r="I273" s="24">
        <f>IF(COUNTA(A273:H273)=0,"",IF(A273="","Register Change ID missing",IF(COUNTIF($A$4:$A$353,A273)&gt;1,"Duplicate Register Change ID",IF(COUNTIF('AI Register'!$A$4:$A$206,B273)=0,"AIR-ID not in AI Register",IF(NOT(ISNUMBER(C273)),"Date missing or not a date",IF(OR(D273="",E273="",F273=""),"Change detail missing","Check against source"))))))</f>
        <v/>
      </c>
    </row>
    <row r="274">
      <c r="A274" s="22" t="n"/>
      <c r="B274" s="22" t="n"/>
      <c r="C274" s="35" t="n"/>
      <c r="D274" s="22" t="n"/>
      <c r="E274" s="22" t="n"/>
      <c r="F274" s="22" t="n"/>
      <c r="G274" s="22" t="n"/>
      <c r="H274" s="22" t="n"/>
      <c r="I274" s="22">
        <f>IF(COUNTA(A274:H274)=0,"",IF(A274="","Register Change ID missing",IF(COUNTIF($A$4:$A$353,A274)&gt;1,"Duplicate Register Change ID",IF(COUNTIF('AI Register'!$A$4:$A$206,B274)=0,"AIR-ID not in AI Register",IF(NOT(ISNUMBER(C274)),"Date missing or not a date",IF(OR(D274="",E274="",F274=""),"Change detail missing","Check against source"))))))</f>
        <v/>
      </c>
    </row>
    <row r="275">
      <c r="A275" s="24" t="n"/>
      <c r="B275" s="24" t="n"/>
      <c r="C275" s="36" t="n"/>
      <c r="D275" s="24" t="n"/>
      <c r="E275" s="24" t="n"/>
      <c r="F275" s="24" t="n"/>
      <c r="G275" s="24" t="n"/>
      <c r="H275" s="24" t="n"/>
      <c r="I275" s="24">
        <f>IF(COUNTA(A275:H275)=0,"",IF(A275="","Register Change ID missing",IF(COUNTIF($A$4:$A$353,A275)&gt;1,"Duplicate Register Change ID",IF(COUNTIF('AI Register'!$A$4:$A$206,B275)=0,"AIR-ID not in AI Register",IF(NOT(ISNUMBER(C275)),"Date missing or not a date",IF(OR(D275="",E275="",F275=""),"Change detail missing","Check against source"))))))</f>
        <v/>
      </c>
    </row>
    <row r="276">
      <c r="A276" s="22" t="n"/>
      <c r="B276" s="22" t="n"/>
      <c r="C276" s="35" t="n"/>
      <c r="D276" s="22" t="n"/>
      <c r="E276" s="22" t="n"/>
      <c r="F276" s="22" t="n"/>
      <c r="G276" s="22" t="n"/>
      <c r="H276" s="22" t="n"/>
      <c r="I276" s="22">
        <f>IF(COUNTA(A276:H276)=0,"",IF(A276="","Register Change ID missing",IF(COUNTIF($A$4:$A$353,A276)&gt;1,"Duplicate Register Change ID",IF(COUNTIF('AI Register'!$A$4:$A$206,B276)=0,"AIR-ID not in AI Register",IF(NOT(ISNUMBER(C276)),"Date missing or not a date",IF(OR(D276="",E276="",F276=""),"Change detail missing","Check against source"))))))</f>
        <v/>
      </c>
    </row>
    <row r="277">
      <c r="A277" s="24" t="n"/>
      <c r="B277" s="24" t="n"/>
      <c r="C277" s="36" t="n"/>
      <c r="D277" s="24" t="n"/>
      <c r="E277" s="24" t="n"/>
      <c r="F277" s="24" t="n"/>
      <c r="G277" s="24" t="n"/>
      <c r="H277" s="24" t="n"/>
      <c r="I277" s="24">
        <f>IF(COUNTA(A277:H277)=0,"",IF(A277="","Register Change ID missing",IF(COUNTIF($A$4:$A$353,A277)&gt;1,"Duplicate Register Change ID",IF(COUNTIF('AI Register'!$A$4:$A$206,B277)=0,"AIR-ID not in AI Register",IF(NOT(ISNUMBER(C277)),"Date missing or not a date",IF(OR(D277="",E277="",F277=""),"Change detail missing","Check against source"))))))</f>
        <v/>
      </c>
    </row>
    <row r="278">
      <c r="A278" s="22" t="n"/>
      <c r="B278" s="22" t="n"/>
      <c r="C278" s="35" t="n"/>
      <c r="D278" s="22" t="n"/>
      <c r="E278" s="22" t="n"/>
      <c r="F278" s="22" t="n"/>
      <c r="G278" s="22" t="n"/>
      <c r="H278" s="22" t="n"/>
      <c r="I278" s="22">
        <f>IF(COUNTA(A278:H278)=0,"",IF(A278="","Register Change ID missing",IF(COUNTIF($A$4:$A$353,A278)&gt;1,"Duplicate Register Change ID",IF(COUNTIF('AI Register'!$A$4:$A$206,B278)=0,"AIR-ID not in AI Register",IF(NOT(ISNUMBER(C278)),"Date missing or not a date",IF(OR(D278="",E278="",F278=""),"Change detail missing","Check against source"))))))</f>
        <v/>
      </c>
    </row>
    <row r="279">
      <c r="A279" s="24" t="n"/>
      <c r="B279" s="24" t="n"/>
      <c r="C279" s="36" t="n"/>
      <c r="D279" s="24" t="n"/>
      <c r="E279" s="24" t="n"/>
      <c r="F279" s="24" t="n"/>
      <c r="G279" s="24" t="n"/>
      <c r="H279" s="24" t="n"/>
      <c r="I279" s="24">
        <f>IF(COUNTA(A279:H279)=0,"",IF(A279="","Register Change ID missing",IF(COUNTIF($A$4:$A$353,A279)&gt;1,"Duplicate Register Change ID",IF(COUNTIF('AI Register'!$A$4:$A$206,B279)=0,"AIR-ID not in AI Register",IF(NOT(ISNUMBER(C279)),"Date missing or not a date",IF(OR(D279="",E279="",F279=""),"Change detail missing","Check against source"))))))</f>
        <v/>
      </c>
    </row>
    <row r="280">
      <c r="A280" s="22" t="n"/>
      <c r="B280" s="22" t="n"/>
      <c r="C280" s="35" t="n"/>
      <c r="D280" s="22" t="n"/>
      <c r="E280" s="22" t="n"/>
      <c r="F280" s="22" t="n"/>
      <c r="G280" s="22" t="n"/>
      <c r="H280" s="22" t="n"/>
      <c r="I280" s="22">
        <f>IF(COUNTA(A280:H280)=0,"",IF(A280="","Register Change ID missing",IF(COUNTIF($A$4:$A$353,A280)&gt;1,"Duplicate Register Change ID",IF(COUNTIF('AI Register'!$A$4:$A$206,B280)=0,"AIR-ID not in AI Register",IF(NOT(ISNUMBER(C280)),"Date missing or not a date",IF(OR(D280="",E280="",F280=""),"Change detail missing","Check against source"))))))</f>
        <v/>
      </c>
    </row>
    <row r="281">
      <c r="A281" s="24" t="n"/>
      <c r="B281" s="24" t="n"/>
      <c r="C281" s="36" t="n"/>
      <c r="D281" s="24" t="n"/>
      <c r="E281" s="24" t="n"/>
      <c r="F281" s="24" t="n"/>
      <c r="G281" s="24" t="n"/>
      <c r="H281" s="24" t="n"/>
      <c r="I281" s="24">
        <f>IF(COUNTA(A281:H281)=0,"",IF(A281="","Register Change ID missing",IF(COUNTIF($A$4:$A$353,A281)&gt;1,"Duplicate Register Change ID",IF(COUNTIF('AI Register'!$A$4:$A$206,B281)=0,"AIR-ID not in AI Register",IF(NOT(ISNUMBER(C281)),"Date missing or not a date",IF(OR(D281="",E281="",F281=""),"Change detail missing","Check against source"))))))</f>
        <v/>
      </c>
    </row>
    <row r="282">
      <c r="A282" s="22" t="n"/>
      <c r="B282" s="22" t="n"/>
      <c r="C282" s="35" t="n"/>
      <c r="D282" s="22" t="n"/>
      <c r="E282" s="22" t="n"/>
      <c r="F282" s="22" t="n"/>
      <c r="G282" s="22" t="n"/>
      <c r="H282" s="22" t="n"/>
      <c r="I282" s="22">
        <f>IF(COUNTA(A282:H282)=0,"",IF(A282="","Register Change ID missing",IF(COUNTIF($A$4:$A$353,A282)&gt;1,"Duplicate Register Change ID",IF(COUNTIF('AI Register'!$A$4:$A$206,B282)=0,"AIR-ID not in AI Register",IF(NOT(ISNUMBER(C282)),"Date missing or not a date",IF(OR(D282="",E282="",F282=""),"Change detail missing","Check against source"))))))</f>
        <v/>
      </c>
    </row>
    <row r="283">
      <c r="A283" s="24" t="n"/>
      <c r="B283" s="24" t="n"/>
      <c r="C283" s="36" t="n"/>
      <c r="D283" s="24" t="n"/>
      <c r="E283" s="24" t="n"/>
      <c r="F283" s="24" t="n"/>
      <c r="G283" s="24" t="n"/>
      <c r="H283" s="24" t="n"/>
      <c r="I283" s="24">
        <f>IF(COUNTA(A283:H283)=0,"",IF(A283="","Register Change ID missing",IF(COUNTIF($A$4:$A$353,A283)&gt;1,"Duplicate Register Change ID",IF(COUNTIF('AI Register'!$A$4:$A$206,B283)=0,"AIR-ID not in AI Register",IF(NOT(ISNUMBER(C283)),"Date missing or not a date",IF(OR(D283="",E283="",F283=""),"Change detail missing","Check against source"))))))</f>
        <v/>
      </c>
    </row>
    <row r="284">
      <c r="A284" s="22" t="n"/>
      <c r="B284" s="22" t="n"/>
      <c r="C284" s="35" t="n"/>
      <c r="D284" s="22" t="n"/>
      <c r="E284" s="22" t="n"/>
      <c r="F284" s="22" t="n"/>
      <c r="G284" s="22" t="n"/>
      <c r="H284" s="22" t="n"/>
      <c r="I284" s="22">
        <f>IF(COUNTA(A284:H284)=0,"",IF(A284="","Register Change ID missing",IF(COUNTIF($A$4:$A$353,A284)&gt;1,"Duplicate Register Change ID",IF(COUNTIF('AI Register'!$A$4:$A$206,B284)=0,"AIR-ID not in AI Register",IF(NOT(ISNUMBER(C284)),"Date missing or not a date",IF(OR(D284="",E284="",F284=""),"Change detail missing","Check against source"))))))</f>
        <v/>
      </c>
    </row>
    <row r="285">
      <c r="A285" s="24" t="n"/>
      <c r="B285" s="24" t="n"/>
      <c r="C285" s="36" t="n"/>
      <c r="D285" s="24" t="n"/>
      <c r="E285" s="24" t="n"/>
      <c r="F285" s="24" t="n"/>
      <c r="G285" s="24" t="n"/>
      <c r="H285" s="24" t="n"/>
      <c r="I285" s="24">
        <f>IF(COUNTA(A285:H285)=0,"",IF(A285="","Register Change ID missing",IF(COUNTIF($A$4:$A$353,A285)&gt;1,"Duplicate Register Change ID",IF(COUNTIF('AI Register'!$A$4:$A$206,B285)=0,"AIR-ID not in AI Register",IF(NOT(ISNUMBER(C285)),"Date missing or not a date",IF(OR(D285="",E285="",F285=""),"Change detail missing","Check against source"))))))</f>
        <v/>
      </c>
    </row>
    <row r="286">
      <c r="A286" s="22" t="n"/>
      <c r="B286" s="22" t="n"/>
      <c r="C286" s="35" t="n"/>
      <c r="D286" s="22" t="n"/>
      <c r="E286" s="22" t="n"/>
      <c r="F286" s="22" t="n"/>
      <c r="G286" s="22" t="n"/>
      <c r="H286" s="22" t="n"/>
      <c r="I286" s="22">
        <f>IF(COUNTA(A286:H286)=0,"",IF(A286="","Register Change ID missing",IF(COUNTIF($A$4:$A$353,A286)&gt;1,"Duplicate Register Change ID",IF(COUNTIF('AI Register'!$A$4:$A$206,B286)=0,"AIR-ID not in AI Register",IF(NOT(ISNUMBER(C286)),"Date missing or not a date",IF(OR(D286="",E286="",F286=""),"Change detail missing","Check against source"))))))</f>
        <v/>
      </c>
    </row>
    <row r="287">
      <c r="A287" s="24" t="n"/>
      <c r="B287" s="24" t="n"/>
      <c r="C287" s="36" t="n"/>
      <c r="D287" s="24" t="n"/>
      <c r="E287" s="24" t="n"/>
      <c r="F287" s="24" t="n"/>
      <c r="G287" s="24" t="n"/>
      <c r="H287" s="24" t="n"/>
      <c r="I287" s="24">
        <f>IF(COUNTA(A287:H287)=0,"",IF(A287="","Register Change ID missing",IF(COUNTIF($A$4:$A$353,A287)&gt;1,"Duplicate Register Change ID",IF(COUNTIF('AI Register'!$A$4:$A$206,B287)=0,"AIR-ID not in AI Register",IF(NOT(ISNUMBER(C287)),"Date missing or not a date",IF(OR(D287="",E287="",F287=""),"Change detail missing","Check against source"))))))</f>
        <v/>
      </c>
    </row>
    <row r="288">
      <c r="A288" s="22" t="n"/>
      <c r="B288" s="22" t="n"/>
      <c r="C288" s="35" t="n"/>
      <c r="D288" s="22" t="n"/>
      <c r="E288" s="22" t="n"/>
      <c r="F288" s="22" t="n"/>
      <c r="G288" s="22" t="n"/>
      <c r="H288" s="22" t="n"/>
      <c r="I288" s="22">
        <f>IF(COUNTA(A288:H288)=0,"",IF(A288="","Register Change ID missing",IF(COUNTIF($A$4:$A$353,A288)&gt;1,"Duplicate Register Change ID",IF(COUNTIF('AI Register'!$A$4:$A$206,B288)=0,"AIR-ID not in AI Register",IF(NOT(ISNUMBER(C288)),"Date missing or not a date",IF(OR(D288="",E288="",F288=""),"Change detail missing","Check against source"))))))</f>
        <v/>
      </c>
    </row>
    <row r="289">
      <c r="A289" s="24" t="n"/>
      <c r="B289" s="24" t="n"/>
      <c r="C289" s="36" t="n"/>
      <c r="D289" s="24" t="n"/>
      <c r="E289" s="24" t="n"/>
      <c r="F289" s="24" t="n"/>
      <c r="G289" s="24" t="n"/>
      <c r="H289" s="24" t="n"/>
      <c r="I289" s="24">
        <f>IF(COUNTA(A289:H289)=0,"",IF(A289="","Register Change ID missing",IF(COUNTIF($A$4:$A$353,A289)&gt;1,"Duplicate Register Change ID",IF(COUNTIF('AI Register'!$A$4:$A$206,B289)=0,"AIR-ID not in AI Register",IF(NOT(ISNUMBER(C289)),"Date missing or not a date",IF(OR(D289="",E289="",F289=""),"Change detail missing","Check against source"))))))</f>
        <v/>
      </c>
    </row>
    <row r="290">
      <c r="A290" s="22" t="n"/>
      <c r="B290" s="22" t="n"/>
      <c r="C290" s="35" t="n"/>
      <c r="D290" s="22" t="n"/>
      <c r="E290" s="22" t="n"/>
      <c r="F290" s="22" t="n"/>
      <c r="G290" s="22" t="n"/>
      <c r="H290" s="22" t="n"/>
      <c r="I290" s="22">
        <f>IF(COUNTA(A290:H290)=0,"",IF(A290="","Register Change ID missing",IF(COUNTIF($A$4:$A$353,A290)&gt;1,"Duplicate Register Change ID",IF(COUNTIF('AI Register'!$A$4:$A$206,B290)=0,"AIR-ID not in AI Register",IF(NOT(ISNUMBER(C290)),"Date missing or not a date",IF(OR(D290="",E290="",F290=""),"Change detail missing","Check against source"))))))</f>
        <v/>
      </c>
    </row>
    <row r="291">
      <c r="A291" s="24" t="n"/>
      <c r="B291" s="24" t="n"/>
      <c r="C291" s="36" t="n"/>
      <c r="D291" s="24" t="n"/>
      <c r="E291" s="24" t="n"/>
      <c r="F291" s="24" t="n"/>
      <c r="G291" s="24" t="n"/>
      <c r="H291" s="24" t="n"/>
      <c r="I291" s="24">
        <f>IF(COUNTA(A291:H291)=0,"",IF(A291="","Register Change ID missing",IF(COUNTIF($A$4:$A$353,A291)&gt;1,"Duplicate Register Change ID",IF(COUNTIF('AI Register'!$A$4:$A$206,B291)=0,"AIR-ID not in AI Register",IF(NOT(ISNUMBER(C291)),"Date missing or not a date",IF(OR(D291="",E291="",F291=""),"Change detail missing","Check against source"))))))</f>
        <v/>
      </c>
    </row>
    <row r="292">
      <c r="A292" s="22" t="n"/>
      <c r="B292" s="22" t="n"/>
      <c r="C292" s="35" t="n"/>
      <c r="D292" s="22" t="n"/>
      <c r="E292" s="22" t="n"/>
      <c r="F292" s="22" t="n"/>
      <c r="G292" s="22" t="n"/>
      <c r="H292" s="22" t="n"/>
      <c r="I292" s="22">
        <f>IF(COUNTA(A292:H292)=0,"",IF(A292="","Register Change ID missing",IF(COUNTIF($A$4:$A$353,A292)&gt;1,"Duplicate Register Change ID",IF(COUNTIF('AI Register'!$A$4:$A$206,B292)=0,"AIR-ID not in AI Register",IF(NOT(ISNUMBER(C292)),"Date missing or not a date",IF(OR(D292="",E292="",F292=""),"Change detail missing","Check against source"))))))</f>
        <v/>
      </c>
    </row>
    <row r="293">
      <c r="A293" s="24" t="n"/>
      <c r="B293" s="24" t="n"/>
      <c r="C293" s="36" t="n"/>
      <c r="D293" s="24" t="n"/>
      <c r="E293" s="24" t="n"/>
      <c r="F293" s="24" t="n"/>
      <c r="G293" s="24" t="n"/>
      <c r="H293" s="24" t="n"/>
      <c r="I293" s="24">
        <f>IF(COUNTA(A293:H293)=0,"",IF(A293="","Register Change ID missing",IF(COUNTIF($A$4:$A$353,A293)&gt;1,"Duplicate Register Change ID",IF(COUNTIF('AI Register'!$A$4:$A$206,B293)=0,"AIR-ID not in AI Register",IF(NOT(ISNUMBER(C293)),"Date missing or not a date",IF(OR(D293="",E293="",F293=""),"Change detail missing","Check against source"))))))</f>
        <v/>
      </c>
    </row>
    <row r="294">
      <c r="A294" s="22" t="n"/>
      <c r="B294" s="22" t="n"/>
      <c r="C294" s="35" t="n"/>
      <c r="D294" s="22" t="n"/>
      <c r="E294" s="22" t="n"/>
      <c r="F294" s="22" t="n"/>
      <c r="G294" s="22" t="n"/>
      <c r="H294" s="22" t="n"/>
      <c r="I294" s="22">
        <f>IF(COUNTA(A294:H294)=0,"",IF(A294="","Register Change ID missing",IF(COUNTIF($A$4:$A$353,A294)&gt;1,"Duplicate Register Change ID",IF(COUNTIF('AI Register'!$A$4:$A$206,B294)=0,"AIR-ID not in AI Register",IF(NOT(ISNUMBER(C294)),"Date missing or not a date",IF(OR(D294="",E294="",F294=""),"Change detail missing","Check against source"))))))</f>
        <v/>
      </c>
    </row>
    <row r="295">
      <c r="A295" s="24" t="n"/>
      <c r="B295" s="24" t="n"/>
      <c r="C295" s="36" t="n"/>
      <c r="D295" s="24" t="n"/>
      <c r="E295" s="24" t="n"/>
      <c r="F295" s="24" t="n"/>
      <c r="G295" s="24" t="n"/>
      <c r="H295" s="24" t="n"/>
      <c r="I295" s="24">
        <f>IF(COUNTA(A295:H295)=0,"",IF(A295="","Register Change ID missing",IF(COUNTIF($A$4:$A$353,A295)&gt;1,"Duplicate Register Change ID",IF(COUNTIF('AI Register'!$A$4:$A$206,B295)=0,"AIR-ID not in AI Register",IF(NOT(ISNUMBER(C295)),"Date missing or not a date",IF(OR(D295="",E295="",F295=""),"Change detail missing","Check against source"))))))</f>
        <v/>
      </c>
    </row>
    <row r="296">
      <c r="A296" s="22" t="n"/>
      <c r="B296" s="22" t="n"/>
      <c r="C296" s="35" t="n"/>
      <c r="D296" s="22" t="n"/>
      <c r="E296" s="22" t="n"/>
      <c r="F296" s="22" t="n"/>
      <c r="G296" s="22" t="n"/>
      <c r="H296" s="22" t="n"/>
      <c r="I296" s="22">
        <f>IF(COUNTA(A296:H296)=0,"",IF(A296="","Register Change ID missing",IF(COUNTIF($A$4:$A$353,A296)&gt;1,"Duplicate Register Change ID",IF(COUNTIF('AI Register'!$A$4:$A$206,B296)=0,"AIR-ID not in AI Register",IF(NOT(ISNUMBER(C296)),"Date missing or not a date",IF(OR(D296="",E296="",F296=""),"Change detail missing","Check against source"))))))</f>
        <v/>
      </c>
    </row>
    <row r="297">
      <c r="A297" s="24" t="n"/>
      <c r="B297" s="24" t="n"/>
      <c r="C297" s="36" t="n"/>
      <c r="D297" s="24" t="n"/>
      <c r="E297" s="24" t="n"/>
      <c r="F297" s="24" t="n"/>
      <c r="G297" s="24" t="n"/>
      <c r="H297" s="24" t="n"/>
      <c r="I297" s="24">
        <f>IF(COUNTA(A297:H297)=0,"",IF(A297="","Register Change ID missing",IF(COUNTIF($A$4:$A$353,A297)&gt;1,"Duplicate Register Change ID",IF(COUNTIF('AI Register'!$A$4:$A$206,B297)=0,"AIR-ID not in AI Register",IF(NOT(ISNUMBER(C297)),"Date missing or not a date",IF(OR(D297="",E297="",F297=""),"Change detail missing","Check against source"))))))</f>
        <v/>
      </c>
    </row>
    <row r="298">
      <c r="A298" s="22" t="n"/>
      <c r="B298" s="22" t="n"/>
      <c r="C298" s="35" t="n"/>
      <c r="D298" s="22" t="n"/>
      <c r="E298" s="22" t="n"/>
      <c r="F298" s="22" t="n"/>
      <c r="G298" s="22" t="n"/>
      <c r="H298" s="22" t="n"/>
      <c r="I298" s="22">
        <f>IF(COUNTA(A298:H298)=0,"",IF(A298="","Register Change ID missing",IF(COUNTIF($A$4:$A$353,A298)&gt;1,"Duplicate Register Change ID",IF(COUNTIF('AI Register'!$A$4:$A$206,B298)=0,"AIR-ID not in AI Register",IF(NOT(ISNUMBER(C298)),"Date missing or not a date",IF(OR(D298="",E298="",F298=""),"Change detail missing","Check against source"))))))</f>
        <v/>
      </c>
    </row>
    <row r="299">
      <c r="A299" s="24" t="n"/>
      <c r="B299" s="24" t="n"/>
      <c r="C299" s="36" t="n"/>
      <c r="D299" s="24" t="n"/>
      <c r="E299" s="24" t="n"/>
      <c r="F299" s="24" t="n"/>
      <c r="G299" s="24" t="n"/>
      <c r="H299" s="24" t="n"/>
      <c r="I299" s="24">
        <f>IF(COUNTA(A299:H299)=0,"",IF(A299="","Register Change ID missing",IF(COUNTIF($A$4:$A$353,A299)&gt;1,"Duplicate Register Change ID",IF(COUNTIF('AI Register'!$A$4:$A$206,B299)=0,"AIR-ID not in AI Register",IF(NOT(ISNUMBER(C299)),"Date missing or not a date",IF(OR(D299="",E299="",F299=""),"Change detail missing","Check against source"))))))</f>
        <v/>
      </c>
    </row>
    <row r="300">
      <c r="A300" s="22" t="n"/>
      <c r="B300" s="22" t="n"/>
      <c r="C300" s="35" t="n"/>
      <c r="D300" s="22" t="n"/>
      <c r="E300" s="22" t="n"/>
      <c r="F300" s="22" t="n"/>
      <c r="G300" s="22" t="n"/>
      <c r="H300" s="22" t="n"/>
      <c r="I300" s="22">
        <f>IF(COUNTA(A300:H300)=0,"",IF(A300="","Register Change ID missing",IF(COUNTIF($A$4:$A$353,A300)&gt;1,"Duplicate Register Change ID",IF(COUNTIF('AI Register'!$A$4:$A$206,B300)=0,"AIR-ID not in AI Register",IF(NOT(ISNUMBER(C300)),"Date missing or not a date",IF(OR(D300="",E300="",F300=""),"Change detail missing","Check against source"))))))</f>
        <v/>
      </c>
    </row>
    <row r="301">
      <c r="A301" s="24" t="n"/>
      <c r="B301" s="24" t="n"/>
      <c r="C301" s="36" t="n"/>
      <c r="D301" s="24" t="n"/>
      <c r="E301" s="24" t="n"/>
      <c r="F301" s="24" t="n"/>
      <c r="G301" s="24" t="n"/>
      <c r="H301" s="24" t="n"/>
      <c r="I301" s="24">
        <f>IF(COUNTA(A301:H301)=0,"",IF(A301="","Register Change ID missing",IF(COUNTIF($A$4:$A$353,A301)&gt;1,"Duplicate Register Change ID",IF(COUNTIF('AI Register'!$A$4:$A$206,B301)=0,"AIR-ID not in AI Register",IF(NOT(ISNUMBER(C301)),"Date missing or not a date",IF(OR(D301="",E301="",F301=""),"Change detail missing","Check against source"))))))</f>
        <v/>
      </c>
    </row>
    <row r="302">
      <c r="A302" s="22" t="n"/>
      <c r="B302" s="22" t="n"/>
      <c r="C302" s="35" t="n"/>
      <c r="D302" s="22" t="n"/>
      <c r="E302" s="22" t="n"/>
      <c r="F302" s="22" t="n"/>
      <c r="G302" s="22" t="n"/>
      <c r="H302" s="22" t="n"/>
      <c r="I302" s="22">
        <f>IF(COUNTA(A302:H302)=0,"",IF(A302="","Register Change ID missing",IF(COUNTIF($A$4:$A$353,A302)&gt;1,"Duplicate Register Change ID",IF(COUNTIF('AI Register'!$A$4:$A$206,B302)=0,"AIR-ID not in AI Register",IF(NOT(ISNUMBER(C302)),"Date missing or not a date",IF(OR(D302="",E302="",F302=""),"Change detail missing","Check against source"))))))</f>
        <v/>
      </c>
    </row>
    <row r="303">
      <c r="A303" s="24" t="n"/>
      <c r="B303" s="24" t="n"/>
      <c r="C303" s="36" t="n"/>
      <c r="D303" s="24" t="n"/>
      <c r="E303" s="24" t="n"/>
      <c r="F303" s="24" t="n"/>
      <c r="G303" s="24" t="n"/>
      <c r="H303" s="24" t="n"/>
      <c r="I303" s="24">
        <f>IF(COUNTA(A303:H303)=0,"",IF(A303="","Register Change ID missing",IF(COUNTIF($A$4:$A$353,A303)&gt;1,"Duplicate Register Change ID",IF(COUNTIF('AI Register'!$A$4:$A$206,B303)=0,"AIR-ID not in AI Register",IF(NOT(ISNUMBER(C303)),"Date missing or not a date",IF(OR(D303="",E303="",F303=""),"Change detail missing","Check against source"))))))</f>
        <v/>
      </c>
    </row>
    <row r="304">
      <c r="A304" s="22" t="n"/>
      <c r="B304" s="22" t="n"/>
      <c r="C304" s="35" t="n"/>
      <c r="D304" s="22" t="n"/>
      <c r="E304" s="22" t="n"/>
      <c r="F304" s="22" t="n"/>
      <c r="G304" s="22" t="n"/>
      <c r="H304" s="22" t="n"/>
      <c r="I304" s="22">
        <f>IF(COUNTA(A304:H304)=0,"",IF(A304="","Register Change ID missing",IF(COUNTIF($A$4:$A$353,A304)&gt;1,"Duplicate Register Change ID",IF(COUNTIF('AI Register'!$A$4:$A$206,B304)=0,"AIR-ID not in AI Register",IF(NOT(ISNUMBER(C304)),"Date missing or not a date",IF(OR(D304="",E304="",F304=""),"Change detail missing","Check against source"))))))</f>
        <v/>
      </c>
    </row>
    <row r="305">
      <c r="A305" s="24" t="n"/>
      <c r="B305" s="24" t="n"/>
      <c r="C305" s="36" t="n"/>
      <c r="D305" s="24" t="n"/>
      <c r="E305" s="24" t="n"/>
      <c r="F305" s="24" t="n"/>
      <c r="G305" s="24" t="n"/>
      <c r="H305" s="24" t="n"/>
      <c r="I305" s="24">
        <f>IF(COUNTA(A305:H305)=0,"",IF(A305="","Register Change ID missing",IF(COUNTIF($A$4:$A$353,A305)&gt;1,"Duplicate Register Change ID",IF(COUNTIF('AI Register'!$A$4:$A$206,B305)=0,"AIR-ID not in AI Register",IF(NOT(ISNUMBER(C305)),"Date missing or not a date",IF(OR(D305="",E305="",F305=""),"Change detail missing","Check against source"))))))</f>
        <v/>
      </c>
    </row>
    <row r="306">
      <c r="A306" s="22" t="n"/>
      <c r="B306" s="22" t="n"/>
      <c r="C306" s="35" t="n"/>
      <c r="D306" s="22" t="n"/>
      <c r="E306" s="22" t="n"/>
      <c r="F306" s="22" t="n"/>
      <c r="G306" s="22" t="n"/>
      <c r="H306" s="22" t="n"/>
      <c r="I306" s="22">
        <f>IF(COUNTA(A306:H306)=0,"",IF(A306="","Register Change ID missing",IF(COUNTIF($A$4:$A$353,A306)&gt;1,"Duplicate Register Change ID",IF(COUNTIF('AI Register'!$A$4:$A$206,B306)=0,"AIR-ID not in AI Register",IF(NOT(ISNUMBER(C306)),"Date missing or not a date",IF(OR(D306="",E306="",F306=""),"Change detail missing","Check against source"))))))</f>
        <v/>
      </c>
    </row>
    <row r="307">
      <c r="A307" s="24" t="n"/>
      <c r="B307" s="24" t="n"/>
      <c r="C307" s="36" t="n"/>
      <c r="D307" s="24" t="n"/>
      <c r="E307" s="24" t="n"/>
      <c r="F307" s="24" t="n"/>
      <c r="G307" s="24" t="n"/>
      <c r="H307" s="24" t="n"/>
      <c r="I307" s="24">
        <f>IF(COUNTA(A307:H307)=0,"",IF(A307="","Register Change ID missing",IF(COUNTIF($A$4:$A$353,A307)&gt;1,"Duplicate Register Change ID",IF(COUNTIF('AI Register'!$A$4:$A$206,B307)=0,"AIR-ID not in AI Register",IF(NOT(ISNUMBER(C307)),"Date missing or not a date",IF(OR(D307="",E307="",F307=""),"Change detail missing","Check against source"))))))</f>
        <v/>
      </c>
    </row>
    <row r="308">
      <c r="A308" s="22" t="n"/>
      <c r="B308" s="22" t="n"/>
      <c r="C308" s="35" t="n"/>
      <c r="D308" s="22" t="n"/>
      <c r="E308" s="22" t="n"/>
      <c r="F308" s="22" t="n"/>
      <c r="G308" s="22" t="n"/>
      <c r="H308" s="22" t="n"/>
      <c r="I308" s="22">
        <f>IF(COUNTA(A308:H308)=0,"",IF(A308="","Register Change ID missing",IF(COUNTIF($A$4:$A$353,A308)&gt;1,"Duplicate Register Change ID",IF(COUNTIF('AI Register'!$A$4:$A$206,B308)=0,"AIR-ID not in AI Register",IF(NOT(ISNUMBER(C308)),"Date missing or not a date",IF(OR(D308="",E308="",F308=""),"Change detail missing","Check against source"))))))</f>
        <v/>
      </c>
    </row>
    <row r="309">
      <c r="A309" s="24" t="n"/>
      <c r="B309" s="24" t="n"/>
      <c r="C309" s="36" t="n"/>
      <c r="D309" s="24" t="n"/>
      <c r="E309" s="24" t="n"/>
      <c r="F309" s="24" t="n"/>
      <c r="G309" s="24" t="n"/>
      <c r="H309" s="24" t="n"/>
      <c r="I309" s="24">
        <f>IF(COUNTA(A309:H309)=0,"",IF(A309="","Register Change ID missing",IF(COUNTIF($A$4:$A$353,A309)&gt;1,"Duplicate Register Change ID",IF(COUNTIF('AI Register'!$A$4:$A$206,B309)=0,"AIR-ID not in AI Register",IF(NOT(ISNUMBER(C309)),"Date missing or not a date",IF(OR(D309="",E309="",F309=""),"Change detail missing","Check against source"))))))</f>
        <v/>
      </c>
    </row>
    <row r="310">
      <c r="A310" s="22" t="n"/>
      <c r="B310" s="22" t="n"/>
      <c r="C310" s="35" t="n"/>
      <c r="D310" s="22" t="n"/>
      <c r="E310" s="22" t="n"/>
      <c r="F310" s="22" t="n"/>
      <c r="G310" s="22" t="n"/>
      <c r="H310" s="22" t="n"/>
      <c r="I310" s="22">
        <f>IF(COUNTA(A310:H310)=0,"",IF(A310="","Register Change ID missing",IF(COUNTIF($A$4:$A$353,A310)&gt;1,"Duplicate Register Change ID",IF(COUNTIF('AI Register'!$A$4:$A$206,B310)=0,"AIR-ID not in AI Register",IF(NOT(ISNUMBER(C310)),"Date missing or not a date",IF(OR(D310="",E310="",F310=""),"Change detail missing","Check against source"))))))</f>
        <v/>
      </c>
    </row>
    <row r="311">
      <c r="A311" s="24" t="n"/>
      <c r="B311" s="24" t="n"/>
      <c r="C311" s="36" t="n"/>
      <c r="D311" s="24" t="n"/>
      <c r="E311" s="24" t="n"/>
      <c r="F311" s="24" t="n"/>
      <c r="G311" s="24" t="n"/>
      <c r="H311" s="24" t="n"/>
      <c r="I311" s="24">
        <f>IF(COUNTA(A311:H311)=0,"",IF(A311="","Register Change ID missing",IF(COUNTIF($A$4:$A$353,A311)&gt;1,"Duplicate Register Change ID",IF(COUNTIF('AI Register'!$A$4:$A$206,B311)=0,"AIR-ID not in AI Register",IF(NOT(ISNUMBER(C311)),"Date missing or not a date",IF(OR(D311="",E311="",F311=""),"Change detail missing","Check against source"))))))</f>
        <v/>
      </c>
    </row>
    <row r="312">
      <c r="A312" s="22" t="n"/>
      <c r="B312" s="22" t="n"/>
      <c r="C312" s="35" t="n"/>
      <c r="D312" s="22" t="n"/>
      <c r="E312" s="22" t="n"/>
      <c r="F312" s="22" t="n"/>
      <c r="G312" s="22" t="n"/>
      <c r="H312" s="22" t="n"/>
      <c r="I312" s="22">
        <f>IF(COUNTA(A312:H312)=0,"",IF(A312="","Register Change ID missing",IF(COUNTIF($A$4:$A$353,A312)&gt;1,"Duplicate Register Change ID",IF(COUNTIF('AI Register'!$A$4:$A$206,B312)=0,"AIR-ID not in AI Register",IF(NOT(ISNUMBER(C312)),"Date missing or not a date",IF(OR(D312="",E312="",F312=""),"Change detail missing","Check against source"))))))</f>
        <v/>
      </c>
    </row>
    <row r="313">
      <c r="A313" s="24" t="n"/>
      <c r="B313" s="24" t="n"/>
      <c r="C313" s="36" t="n"/>
      <c r="D313" s="24" t="n"/>
      <c r="E313" s="24" t="n"/>
      <c r="F313" s="24" t="n"/>
      <c r="G313" s="24" t="n"/>
      <c r="H313" s="24" t="n"/>
      <c r="I313" s="24">
        <f>IF(COUNTA(A313:H313)=0,"",IF(A313="","Register Change ID missing",IF(COUNTIF($A$4:$A$353,A313)&gt;1,"Duplicate Register Change ID",IF(COUNTIF('AI Register'!$A$4:$A$206,B313)=0,"AIR-ID not in AI Register",IF(NOT(ISNUMBER(C313)),"Date missing or not a date",IF(OR(D313="",E313="",F313=""),"Change detail missing","Check against source"))))))</f>
        <v/>
      </c>
    </row>
    <row r="314">
      <c r="A314" s="22" t="n"/>
      <c r="B314" s="22" t="n"/>
      <c r="C314" s="35" t="n"/>
      <c r="D314" s="22" t="n"/>
      <c r="E314" s="22" t="n"/>
      <c r="F314" s="22" t="n"/>
      <c r="G314" s="22" t="n"/>
      <c r="H314" s="22" t="n"/>
      <c r="I314" s="22">
        <f>IF(COUNTA(A314:H314)=0,"",IF(A314="","Register Change ID missing",IF(COUNTIF($A$4:$A$353,A314)&gt;1,"Duplicate Register Change ID",IF(COUNTIF('AI Register'!$A$4:$A$206,B314)=0,"AIR-ID not in AI Register",IF(NOT(ISNUMBER(C314)),"Date missing or not a date",IF(OR(D314="",E314="",F314=""),"Change detail missing","Check against source"))))))</f>
        <v/>
      </c>
    </row>
    <row r="315">
      <c r="A315" s="24" t="n"/>
      <c r="B315" s="24" t="n"/>
      <c r="C315" s="36" t="n"/>
      <c r="D315" s="24" t="n"/>
      <c r="E315" s="24" t="n"/>
      <c r="F315" s="24" t="n"/>
      <c r="G315" s="24" t="n"/>
      <c r="H315" s="24" t="n"/>
      <c r="I315" s="24">
        <f>IF(COUNTA(A315:H315)=0,"",IF(A315="","Register Change ID missing",IF(COUNTIF($A$4:$A$353,A315)&gt;1,"Duplicate Register Change ID",IF(COUNTIF('AI Register'!$A$4:$A$206,B315)=0,"AIR-ID not in AI Register",IF(NOT(ISNUMBER(C315)),"Date missing or not a date",IF(OR(D315="",E315="",F315=""),"Change detail missing","Check against source"))))))</f>
        <v/>
      </c>
    </row>
    <row r="316">
      <c r="A316" s="22" t="n"/>
      <c r="B316" s="22" t="n"/>
      <c r="C316" s="35" t="n"/>
      <c r="D316" s="22" t="n"/>
      <c r="E316" s="22" t="n"/>
      <c r="F316" s="22" t="n"/>
      <c r="G316" s="22" t="n"/>
      <c r="H316" s="22" t="n"/>
      <c r="I316" s="22">
        <f>IF(COUNTA(A316:H316)=0,"",IF(A316="","Register Change ID missing",IF(COUNTIF($A$4:$A$353,A316)&gt;1,"Duplicate Register Change ID",IF(COUNTIF('AI Register'!$A$4:$A$206,B316)=0,"AIR-ID not in AI Register",IF(NOT(ISNUMBER(C316)),"Date missing or not a date",IF(OR(D316="",E316="",F316=""),"Change detail missing","Check against source"))))))</f>
        <v/>
      </c>
    </row>
    <row r="317">
      <c r="A317" s="24" t="n"/>
      <c r="B317" s="24" t="n"/>
      <c r="C317" s="36" t="n"/>
      <c r="D317" s="24" t="n"/>
      <c r="E317" s="24" t="n"/>
      <c r="F317" s="24" t="n"/>
      <c r="G317" s="24" t="n"/>
      <c r="H317" s="24" t="n"/>
      <c r="I317" s="24">
        <f>IF(COUNTA(A317:H317)=0,"",IF(A317="","Register Change ID missing",IF(COUNTIF($A$4:$A$353,A317)&gt;1,"Duplicate Register Change ID",IF(COUNTIF('AI Register'!$A$4:$A$206,B317)=0,"AIR-ID not in AI Register",IF(NOT(ISNUMBER(C317)),"Date missing or not a date",IF(OR(D317="",E317="",F317=""),"Change detail missing","Check against source"))))))</f>
        <v/>
      </c>
    </row>
    <row r="318">
      <c r="A318" s="22" t="n"/>
      <c r="B318" s="22" t="n"/>
      <c r="C318" s="35" t="n"/>
      <c r="D318" s="22" t="n"/>
      <c r="E318" s="22" t="n"/>
      <c r="F318" s="22" t="n"/>
      <c r="G318" s="22" t="n"/>
      <c r="H318" s="22" t="n"/>
      <c r="I318" s="22">
        <f>IF(COUNTA(A318:H318)=0,"",IF(A318="","Register Change ID missing",IF(COUNTIF($A$4:$A$353,A318)&gt;1,"Duplicate Register Change ID",IF(COUNTIF('AI Register'!$A$4:$A$206,B318)=0,"AIR-ID not in AI Register",IF(NOT(ISNUMBER(C318)),"Date missing or not a date",IF(OR(D318="",E318="",F318=""),"Change detail missing","Check against source"))))))</f>
        <v/>
      </c>
    </row>
    <row r="319">
      <c r="A319" s="24" t="n"/>
      <c r="B319" s="24" t="n"/>
      <c r="C319" s="36" t="n"/>
      <c r="D319" s="24" t="n"/>
      <c r="E319" s="24" t="n"/>
      <c r="F319" s="24" t="n"/>
      <c r="G319" s="24" t="n"/>
      <c r="H319" s="24" t="n"/>
      <c r="I319" s="24">
        <f>IF(COUNTA(A319:H319)=0,"",IF(A319="","Register Change ID missing",IF(COUNTIF($A$4:$A$353,A319)&gt;1,"Duplicate Register Change ID",IF(COUNTIF('AI Register'!$A$4:$A$206,B319)=0,"AIR-ID not in AI Register",IF(NOT(ISNUMBER(C319)),"Date missing or not a date",IF(OR(D319="",E319="",F319=""),"Change detail missing","Check against source"))))))</f>
        <v/>
      </c>
    </row>
    <row r="320">
      <c r="A320" s="22" t="n"/>
      <c r="B320" s="22" t="n"/>
      <c r="C320" s="35" t="n"/>
      <c r="D320" s="22" t="n"/>
      <c r="E320" s="22" t="n"/>
      <c r="F320" s="22" t="n"/>
      <c r="G320" s="22" t="n"/>
      <c r="H320" s="22" t="n"/>
      <c r="I320" s="22">
        <f>IF(COUNTA(A320:H320)=0,"",IF(A320="","Register Change ID missing",IF(COUNTIF($A$4:$A$353,A320)&gt;1,"Duplicate Register Change ID",IF(COUNTIF('AI Register'!$A$4:$A$206,B320)=0,"AIR-ID not in AI Register",IF(NOT(ISNUMBER(C320)),"Date missing or not a date",IF(OR(D320="",E320="",F320=""),"Change detail missing","Check against source"))))))</f>
        <v/>
      </c>
    </row>
    <row r="321">
      <c r="A321" s="24" t="n"/>
      <c r="B321" s="24" t="n"/>
      <c r="C321" s="36" t="n"/>
      <c r="D321" s="24" t="n"/>
      <c r="E321" s="24" t="n"/>
      <c r="F321" s="24" t="n"/>
      <c r="G321" s="24" t="n"/>
      <c r="H321" s="24" t="n"/>
      <c r="I321" s="24">
        <f>IF(COUNTA(A321:H321)=0,"",IF(A321="","Register Change ID missing",IF(COUNTIF($A$4:$A$353,A321)&gt;1,"Duplicate Register Change ID",IF(COUNTIF('AI Register'!$A$4:$A$206,B321)=0,"AIR-ID not in AI Register",IF(NOT(ISNUMBER(C321)),"Date missing or not a date",IF(OR(D321="",E321="",F321=""),"Change detail missing","Check against source"))))))</f>
        <v/>
      </c>
    </row>
    <row r="322">
      <c r="A322" s="22" t="n"/>
      <c r="B322" s="22" t="n"/>
      <c r="C322" s="35" t="n"/>
      <c r="D322" s="22" t="n"/>
      <c r="E322" s="22" t="n"/>
      <c r="F322" s="22" t="n"/>
      <c r="G322" s="22" t="n"/>
      <c r="H322" s="22" t="n"/>
      <c r="I322" s="22">
        <f>IF(COUNTA(A322:H322)=0,"",IF(A322="","Register Change ID missing",IF(COUNTIF($A$4:$A$353,A322)&gt;1,"Duplicate Register Change ID",IF(COUNTIF('AI Register'!$A$4:$A$206,B322)=0,"AIR-ID not in AI Register",IF(NOT(ISNUMBER(C322)),"Date missing or not a date",IF(OR(D322="",E322="",F322=""),"Change detail missing","Check against source"))))))</f>
        <v/>
      </c>
    </row>
    <row r="323">
      <c r="A323" s="24" t="n"/>
      <c r="B323" s="24" t="n"/>
      <c r="C323" s="36" t="n"/>
      <c r="D323" s="24" t="n"/>
      <c r="E323" s="24" t="n"/>
      <c r="F323" s="24" t="n"/>
      <c r="G323" s="24" t="n"/>
      <c r="H323" s="24" t="n"/>
      <c r="I323" s="24">
        <f>IF(COUNTA(A323:H323)=0,"",IF(A323="","Register Change ID missing",IF(COUNTIF($A$4:$A$353,A323)&gt;1,"Duplicate Register Change ID",IF(COUNTIF('AI Register'!$A$4:$A$206,B323)=0,"AIR-ID not in AI Register",IF(NOT(ISNUMBER(C323)),"Date missing or not a date",IF(OR(D323="",E323="",F323=""),"Change detail missing","Check against source"))))))</f>
        <v/>
      </c>
    </row>
    <row r="324">
      <c r="A324" s="22" t="n"/>
      <c r="B324" s="22" t="n"/>
      <c r="C324" s="35" t="n"/>
      <c r="D324" s="22" t="n"/>
      <c r="E324" s="22" t="n"/>
      <c r="F324" s="22" t="n"/>
      <c r="G324" s="22" t="n"/>
      <c r="H324" s="22" t="n"/>
      <c r="I324" s="22">
        <f>IF(COUNTA(A324:H324)=0,"",IF(A324="","Register Change ID missing",IF(COUNTIF($A$4:$A$353,A324)&gt;1,"Duplicate Register Change ID",IF(COUNTIF('AI Register'!$A$4:$A$206,B324)=0,"AIR-ID not in AI Register",IF(NOT(ISNUMBER(C324)),"Date missing or not a date",IF(OR(D324="",E324="",F324=""),"Change detail missing","Check against source"))))))</f>
        <v/>
      </c>
    </row>
    <row r="325">
      <c r="A325" s="24" t="n"/>
      <c r="B325" s="24" t="n"/>
      <c r="C325" s="36" t="n"/>
      <c r="D325" s="24" t="n"/>
      <c r="E325" s="24" t="n"/>
      <c r="F325" s="24" t="n"/>
      <c r="G325" s="24" t="n"/>
      <c r="H325" s="24" t="n"/>
      <c r="I325" s="24">
        <f>IF(COUNTA(A325:H325)=0,"",IF(A325="","Register Change ID missing",IF(COUNTIF($A$4:$A$353,A325)&gt;1,"Duplicate Register Change ID",IF(COUNTIF('AI Register'!$A$4:$A$206,B325)=0,"AIR-ID not in AI Register",IF(NOT(ISNUMBER(C325)),"Date missing or not a date",IF(OR(D325="",E325="",F325=""),"Change detail missing","Check against source"))))))</f>
        <v/>
      </c>
    </row>
    <row r="326">
      <c r="A326" s="22" t="n"/>
      <c r="B326" s="22" t="n"/>
      <c r="C326" s="35" t="n"/>
      <c r="D326" s="22" t="n"/>
      <c r="E326" s="22" t="n"/>
      <c r="F326" s="22" t="n"/>
      <c r="G326" s="22" t="n"/>
      <c r="H326" s="22" t="n"/>
      <c r="I326" s="22">
        <f>IF(COUNTA(A326:H326)=0,"",IF(A326="","Register Change ID missing",IF(COUNTIF($A$4:$A$353,A326)&gt;1,"Duplicate Register Change ID",IF(COUNTIF('AI Register'!$A$4:$A$206,B326)=0,"AIR-ID not in AI Register",IF(NOT(ISNUMBER(C326)),"Date missing or not a date",IF(OR(D326="",E326="",F326=""),"Change detail missing","Check against source"))))))</f>
        <v/>
      </c>
    </row>
    <row r="327">
      <c r="A327" s="24" t="n"/>
      <c r="B327" s="24" t="n"/>
      <c r="C327" s="36" t="n"/>
      <c r="D327" s="24" t="n"/>
      <c r="E327" s="24" t="n"/>
      <c r="F327" s="24" t="n"/>
      <c r="G327" s="24" t="n"/>
      <c r="H327" s="24" t="n"/>
      <c r="I327" s="24">
        <f>IF(COUNTA(A327:H327)=0,"",IF(A327="","Register Change ID missing",IF(COUNTIF($A$4:$A$353,A327)&gt;1,"Duplicate Register Change ID",IF(COUNTIF('AI Register'!$A$4:$A$206,B327)=0,"AIR-ID not in AI Register",IF(NOT(ISNUMBER(C327)),"Date missing or not a date",IF(OR(D327="",E327="",F327=""),"Change detail missing","Check against source"))))))</f>
        <v/>
      </c>
    </row>
    <row r="328">
      <c r="A328" s="22" t="n"/>
      <c r="B328" s="22" t="n"/>
      <c r="C328" s="35" t="n"/>
      <c r="D328" s="22" t="n"/>
      <c r="E328" s="22" t="n"/>
      <c r="F328" s="22" t="n"/>
      <c r="G328" s="22" t="n"/>
      <c r="H328" s="22" t="n"/>
      <c r="I328" s="22">
        <f>IF(COUNTA(A328:H328)=0,"",IF(A328="","Register Change ID missing",IF(COUNTIF($A$4:$A$353,A328)&gt;1,"Duplicate Register Change ID",IF(COUNTIF('AI Register'!$A$4:$A$206,B328)=0,"AIR-ID not in AI Register",IF(NOT(ISNUMBER(C328)),"Date missing or not a date",IF(OR(D328="",E328="",F328=""),"Change detail missing","Check against source"))))))</f>
        <v/>
      </c>
    </row>
    <row r="329">
      <c r="A329" s="24" t="n"/>
      <c r="B329" s="24" t="n"/>
      <c r="C329" s="36" t="n"/>
      <c r="D329" s="24" t="n"/>
      <c r="E329" s="24" t="n"/>
      <c r="F329" s="24" t="n"/>
      <c r="G329" s="24" t="n"/>
      <c r="H329" s="24" t="n"/>
      <c r="I329" s="24">
        <f>IF(COUNTA(A329:H329)=0,"",IF(A329="","Register Change ID missing",IF(COUNTIF($A$4:$A$353,A329)&gt;1,"Duplicate Register Change ID",IF(COUNTIF('AI Register'!$A$4:$A$206,B329)=0,"AIR-ID not in AI Register",IF(NOT(ISNUMBER(C329)),"Date missing or not a date",IF(OR(D329="",E329="",F329=""),"Change detail missing","Check against source"))))))</f>
        <v/>
      </c>
    </row>
    <row r="330">
      <c r="A330" s="22" t="n"/>
      <c r="B330" s="22" t="n"/>
      <c r="C330" s="35" t="n"/>
      <c r="D330" s="22" t="n"/>
      <c r="E330" s="22" t="n"/>
      <c r="F330" s="22" t="n"/>
      <c r="G330" s="22" t="n"/>
      <c r="H330" s="22" t="n"/>
      <c r="I330" s="22">
        <f>IF(COUNTA(A330:H330)=0,"",IF(A330="","Register Change ID missing",IF(COUNTIF($A$4:$A$353,A330)&gt;1,"Duplicate Register Change ID",IF(COUNTIF('AI Register'!$A$4:$A$206,B330)=0,"AIR-ID not in AI Register",IF(NOT(ISNUMBER(C330)),"Date missing or not a date",IF(OR(D330="",E330="",F330=""),"Change detail missing","Check against source"))))))</f>
        <v/>
      </c>
    </row>
    <row r="331">
      <c r="A331" s="24" t="n"/>
      <c r="B331" s="24" t="n"/>
      <c r="C331" s="36" t="n"/>
      <c r="D331" s="24" t="n"/>
      <c r="E331" s="24" t="n"/>
      <c r="F331" s="24" t="n"/>
      <c r="G331" s="24" t="n"/>
      <c r="H331" s="24" t="n"/>
      <c r="I331" s="24">
        <f>IF(COUNTA(A331:H331)=0,"",IF(A331="","Register Change ID missing",IF(COUNTIF($A$4:$A$353,A331)&gt;1,"Duplicate Register Change ID",IF(COUNTIF('AI Register'!$A$4:$A$206,B331)=0,"AIR-ID not in AI Register",IF(NOT(ISNUMBER(C331)),"Date missing or not a date",IF(OR(D331="",E331="",F331=""),"Change detail missing","Check against source"))))))</f>
        <v/>
      </c>
    </row>
    <row r="332">
      <c r="A332" s="22" t="n"/>
      <c r="B332" s="22" t="n"/>
      <c r="C332" s="35" t="n"/>
      <c r="D332" s="22" t="n"/>
      <c r="E332" s="22" t="n"/>
      <c r="F332" s="22" t="n"/>
      <c r="G332" s="22" t="n"/>
      <c r="H332" s="22" t="n"/>
      <c r="I332" s="22">
        <f>IF(COUNTA(A332:H332)=0,"",IF(A332="","Register Change ID missing",IF(COUNTIF($A$4:$A$353,A332)&gt;1,"Duplicate Register Change ID",IF(COUNTIF('AI Register'!$A$4:$A$206,B332)=0,"AIR-ID not in AI Register",IF(NOT(ISNUMBER(C332)),"Date missing or not a date",IF(OR(D332="",E332="",F332=""),"Change detail missing","Check against source"))))))</f>
        <v/>
      </c>
    </row>
    <row r="333">
      <c r="A333" s="24" t="n"/>
      <c r="B333" s="24" t="n"/>
      <c r="C333" s="36" t="n"/>
      <c r="D333" s="24" t="n"/>
      <c r="E333" s="24" t="n"/>
      <c r="F333" s="24" t="n"/>
      <c r="G333" s="24" t="n"/>
      <c r="H333" s="24" t="n"/>
      <c r="I333" s="24">
        <f>IF(COUNTA(A333:H333)=0,"",IF(A333="","Register Change ID missing",IF(COUNTIF($A$4:$A$353,A333)&gt;1,"Duplicate Register Change ID",IF(COUNTIF('AI Register'!$A$4:$A$206,B333)=0,"AIR-ID not in AI Register",IF(NOT(ISNUMBER(C333)),"Date missing or not a date",IF(OR(D333="",E333="",F333=""),"Change detail missing","Check against source"))))))</f>
        <v/>
      </c>
    </row>
    <row r="334">
      <c r="A334" s="22" t="n"/>
      <c r="B334" s="22" t="n"/>
      <c r="C334" s="35" t="n"/>
      <c r="D334" s="22" t="n"/>
      <c r="E334" s="22" t="n"/>
      <c r="F334" s="22" t="n"/>
      <c r="G334" s="22" t="n"/>
      <c r="H334" s="22" t="n"/>
      <c r="I334" s="22">
        <f>IF(COUNTA(A334:H334)=0,"",IF(A334="","Register Change ID missing",IF(COUNTIF($A$4:$A$353,A334)&gt;1,"Duplicate Register Change ID",IF(COUNTIF('AI Register'!$A$4:$A$206,B334)=0,"AIR-ID not in AI Register",IF(NOT(ISNUMBER(C334)),"Date missing or not a date",IF(OR(D334="",E334="",F334=""),"Change detail missing","Check against source"))))))</f>
        <v/>
      </c>
    </row>
    <row r="335">
      <c r="A335" s="24" t="n"/>
      <c r="B335" s="24" t="n"/>
      <c r="C335" s="36" t="n"/>
      <c r="D335" s="24" t="n"/>
      <c r="E335" s="24" t="n"/>
      <c r="F335" s="24" t="n"/>
      <c r="G335" s="24" t="n"/>
      <c r="H335" s="24" t="n"/>
      <c r="I335" s="24">
        <f>IF(COUNTA(A335:H335)=0,"",IF(A335="","Register Change ID missing",IF(COUNTIF($A$4:$A$353,A335)&gt;1,"Duplicate Register Change ID",IF(COUNTIF('AI Register'!$A$4:$A$206,B335)=0,"AIR-ID not in AI Register",IF(NOT(ISNUMBER(C335)),"Date missing or not a date",IF(OR(D335="",E335="",F335=""),"Change detail missing","Check against source"))))))</f>
        <v/>
      </c>
    </row>
    <row r="336">
      <c r="A336" s="22" t="n"/>
      <c r="B336" s="22" t="n"/>
      <c r="C336" s="35" t="n"/>
      <c r="D336" s="22" t="n"/>
      <c r="E336" s="22" t="n"/>
      <c r="F336" s="22" t="n"/>
      <c r="G336" s="22" t="n"/>
      <c r="H336" s="22" t="n"/>
      <c r="I336" s="22">
        <f>IF(COUNTA(A336:H336)=0,"",IF(A336="","Register Change ID missing",IF(COUNTIF($A$4:$A$353,A336)&gt;1,"Duplicate Register Change ID",IF(COUNTIF('AI Register'!$A$4:$A$206,B336)=0,"AIR-ID not in AI Register",IF(NOT(ISNUMBER(C336)),"Date missing or not a date",IF(OR(D336="",E336="",F336=""),"Change detail missing","Check against source"))))))</f>
        <v/>
      </c>
    </row>
    <row r="337">
      <c r="A337" s="24" t="n"/>
      <c r="B337" s="24" t="n"/>
      <c r="C337" s="36" t="n"/>
      <c r="D337" s="24" t="n"/>
      <c r="E337" s="24" t="n"/>
      <c r="F337" s="24" t="n"/>
      <c r="G337" s="24" t="n"/>
      <c r="H337" s="24" t="n"/>
      <c r="I337" s="24">
        <f>IF(COUNTA(A337:H337)=0,"",IF(A337="","Register Change ID missing",IF(COUNTIF($A$4:$A$353,A337)&gt;1,"Duplicate Register Change ID",IF(COUNTIF('AI Register'!$A$4:$A$206,B337)=0,"AIR-ID not in AI Register",IF(NOT(ISNUMBER(C337)),"Date missing or not a date",IF(OR(D337="",E337="",F337=""),"Change detail missing","Check against source"))))))</f>
        <v/>
      </c>
    </row>
    <row r="338">
      <c r="A338" s="22" t="n"/>
      <c r="B338" s="22" t="n"/>
      <c r="C338" s="35" t="n"/>
      <c r="D338" s="22" t="n"/>
      <c r="E338" s="22" t="n"/>
      <c r="F338" s="22" t="n"/>
      <c r="G338" s="22" t="n"/>
      <c r="H338" s="22" t="n"/>
      <c r="I338" s="22">
        <f>IF(COUNTA(A338:H338)=0,"",IF(A338="","Register Change ID missing",IF(COUNTIF($A$4:$A$353,A338)&gt;1,"Duplicate Register Change ID",IF(COUNTIF('AI Register'!$A$4:$A$206,B338)=0,"AIR-ID not in AI Register",IF(NOT(ISNUMBER(C338)),"Date missing or not a date",IF(OR(D338="",E338="",F338=""),"Change detail missing","Check against source"))))))</f>
        <v/>
      </c>
    </row>
    <row r="339">
      <c r="A339" s="24" t="n"/>
      <c r="B339" s="24" t="n"/>
      <c r="C339" s="36" t="n"/>
      <c r="D339" s="24" t="n"/>
      <c r="E339" s="24" t="n"/>
      <c r="F339" s="24" t="n"/>
      <c r="G339" s="24" t="n"/>
      <c r="H339" s="24" t="n"/>
      <c r="I339" s="24">
        <f>IF(COUNTA(A339:H339)=0,"",IF(A339="","Register Change ID missing",IF(COUNTIF($A$4:$A$353,A339)&gt;1,"Duplicate Register Change ID",IF(COUNTIF('AI Register'!$A$4:$A$206,B339)=0,"AIR-ID not in AI Register",IF(NOT(ISNUMBER(C339)),"Date missing or not a date",IF(OR(D339="",E339="",F339=""),"Change detail missing","Check against source"))))))</f>
        <v/>
      </c>
    </row>
    <row r="340">
      <c r="A340" s="22" t="n"/>
      <c r="B340" s="22" t="n"/>
      <c r="C340" s="35" t="n"/>
      <c r="D340" s="22" t="n"/>
      <c r="E340" s="22" t="n"/>
      <c r="F340" s="22" t="n"/>
      <c r="G340" s="22" t="n"/>
      <c r="H340" s="22" t="n"/>
      <c r="I340" s="22">
        <f>IF(COUNTA(A340:H340)=0,"",IF(A340="","Register Change ID missing",IF(COUNTIF($A$4:$A$353,A340)&gt;1,"Duplicate Register Change ID",IF(COUNTIF('AI Register'!$A$4:$A$206,B340)=0,"AIR-ID not in AI Register",IF(NOT(ISNUMBER(C340)),"Date missing or not a date",IF(OR(D340="",E340="",F340=""),"Change detail missing","Check against source"))))))</f>
        <v/>
      </c>
    </row>
    <row r="341">
      <c r="A341" s="24" t="n"/>
      <c r="B341" s="24" t="n"/>
      <c r="C341" s="36" t="n"/>
      <c r="D341" s="24" t="n"/>
      <c r="E341" s="24" t="n"/>
      <c r="F341" s="24" t="n"/>
      <c r="G341" s="24" t="n"/>
      <c r="H341" s="24" t="n"/>
      <c r="I341" s="24">
        <f>IF(COUNTA(A341:H341)=0,"",IF(A341="","Register Change ID missing",IF(COUNTIF($A$4:$A$353,A341)&gt;1,"Duplicate Register Change ID",IF(COUNTIF('AI Register'!$A$4:$A$206,B341)=0,"AIR-ID not in AI Register",IF(NOT(ISNUMBER(C341)),"Date missing or not a date",IF(OR(D341="",E341="",F341=""),"Change detail missing","Check against source"))))))</f>
        <v/>
      </c>
    </row>
    <row r="342">
      <c r="A342" s="22" t="n"/>
      <c r="B342" s="22" t="n"/>
      <c r="C342" s="35" t="n"/>
      <c r="D342" s="22" t="n"/>
      <c r="E342" s="22" t="n"/>
      <c r="F342" s="22" t="n"/>
      <c r="G342" s="22" t="n"/>
      <c r="H342" s="22" t="n"/>
      <c r="I342" s="22">
        <f>IF(COUNTA(A342:H342)=0,"",IF(A342="","Register Change ID missing",IF(COUNTIF($A$4:$A$353,A342)&gt;1,"Duplicate Register Change ID",IF(COUNTIF('AI Register'!$A$4:$A$206,B342)=0,"AIR-ID not in AI Register",IF(NOT(ISNUMBER(C342)),"Date missing or not a date",IF(OR(D342="",E342="",F342=""),"Change detail missing","Check against source"))))))</f>
        <v/>
      </c>
    </row>
    <row r="343">
      <c r="A343" s="24" t="n"/>
      <c r="B343" s="24" t="n"/>
      <c r="C343" s="36" t="n"/>
      <c r="D343" s="24" t="n"/>
      <c r="E343" s="24" t="n"/>
      <c r="F343" s="24" t="n"/>
      <c r="G343" s="24" t="n"/>
      <c r="H343" s="24" t="n"/>
      <c r="I343" s="24">
        <f>IF(COUNTA(A343:H343)=0,"",IF(A343="","Register Change ID missing",IF(COUNTIF($A$4:$A$353,A343)&gt;1,"Duplicate Register Change ID",IF(COUNTIF('AI Register'!$A$4:$A$206,B343)=0,"AIR-ID not in AI Register",IF(NOT(ISNUMBER(C343)),"Date missing or not a date",IF(OR(D343="",E343="",F343=""),"Change detail missing","Check against source"))))))</f>
        <v/>
      </c>
    </row>
    <row r="344">
      <c r="A344" s="22" t="n"/>
      <c r="B344" s="22" t="n"/>
      <c r="C344" s="35" t="n"/>
      <c r="D344" s="22" t="n"/>
      <c r="E344" s="22" t="n"/>
      <c r="F344" s="22" t="n"/>
      <c r="G344" s="22" t="n"/>
      <c r="H344" s="22" t="n"/>
      <c r="I344" s="22">
        <f>IF(COUNTA(A344:H344)=0,"",IF(A344="","Register Change ID missing",IF(COUNTIF($A$4:$A$353,A344)&gt;1,"Duplicate Register Change ID",IF(COUNTIF('AI Register'!$A$4:$A$206,B344)=0,"AIR-ID not in AI Register",IF(NOT(ISNUMBER(C344)),"Date missing or not a date",IF(OR(D344="",E344="",F344=""),"Change detail missing","Check against source"))))))</f>
        <v/>
      </c>
    </row>
    <row r="345">
      <c r="A345" s="24" t="n"/>
      <c r="B345" s="24" t="n"/>
      <c r="C345" s="36" t="n"/>
      <c r="D345" s="24" t="n"/>
      <c r="E345" s="24" t="n"/>
      <c r="F345" s="24" t="n"/>
      <c r="G345" s="24" t="n"/>
      <c r="H345" s="24" t="n"/>
      <c r="I345" s="24">
        <f>IF(COUNTA(A345:H345)=0,"",IF(A345="","Register Change ID missing",IF(COUNTIF($A$4:$A$353,A345)&gt;1,"Duplicate Register Change ID",IF(COUNTIF('AI Register'!$A$4:$A$206,B345)=0,"AIR-ID not in AI Register",IF(NOT(ISNUMBER(C345)),"Date missing or not a date",IF(OR(D345="",E345="",F345=""),"Change detail missing","Check against source"))))))</f>
        <v/>
      </c>
    </row>
    <row r="346">
      <c r="A346" s="22" t="n"/>
      <c r="B346" s="22" t="n"/>
      <c r="C346" s="35" t="n"/>
      <c r="D346" s="22" t="n"/>
      <c r="E346" s="22" t="n"/>
      <c r="F346" s="22" t="n"/>
      <c r="G346" s="22" t="n"/>
      <c r="H346" s="22" t="n"/>
      <c r="I346" s="22">
        <f>IF(COUNTA(A346:H346)=0,"",IF(A346="","Register Change ID missing",IF(COUNTIF($A$4:$A$353,A346)&gt;1,"Duplicate Register Change ID",IF(COUNTIF('AI Register'!$A$4:$A$206,B346)=0,"AIR-ID not in AI Register",IF(NOT(ISNUMBER(C346)),"Date missing or not a date",IF(OR(D346="",E346="",F346=""),"Change detail missing","Check against source"))))))</f>
        <v/>
      </c>
    </row>
    <row r="347">
      <c r="A347" s="24" t="n"/>
      <c r="B347" s="24" t="n"/>
      <c r="C347" s="36" t="n"/>
      <c r="D347" s="24" t="n"/>
      <c r="E347" s="24" t="n"/>
      <c r="F347" s="24" t="n"/>
      <c r="G347" s="24" t="n"/>
      <c r="H347" s="24" t="n"/>
      <c r="I347" s="24">
        <f>IF(COUNTA(A347:H347)=0,"",IF(A347="","Register Change ID missing",IF(COUNTIF($A$4:$A$353,A347)&gt;1,"Duplicate Register Change ID",IF(COUNTIF('AI Register'!$A$4:$A$206,B347)=0,"AIR-ID not in AI Register",IF(NOT(ISNUMBER(C347)),"Date missing or not a date",IF(OR(D347="",E347="",F347=""),"Change detail missing","Check against source"))))))</f>
        <v/>
      </c>
    </row>
    <row r="348">
      <c r="A348" s="22" t="n"/>
      <c r="B348" s="22" t="n"/>
      <c r="C348" s="35" t="n"/>
      <c r="D348" s="22" t="n"/>
      <c r="E348" s="22" t="n"/>
      <c r="F348" s="22" t="n"/>
      <c r="G348" s="22" t="n"/>
      <c r="H348" s="22" t="n"/>
      <c r="I348" s="22">
        <f>IF(COUNTA(A348:H348)=0,"",IF(A348="","Register Change ID missing",IF(COUNTIF($A$4:$A$353,A348)&gt;1,"Duplicate Register Change ID",IF(COUNTIF('AI Register'!$A$4:$A$206,B348)=0,"AIR-ID not in AI Register",IF(NOT(ISNUMBER(C348)),"Date missing or not a date",IF(OR(D348="",E348="",F348=""),"Change detail missing","Check against source"))))))</f>
        <v/>
      </c>
    </row>
    <row r="349">
      <c r="A349" s="24" t="n"/>
      <c r="B349" s="24" t="n"/>
      <c r="C349" s="36" t="n"/>
      <c r="D349" s="24" t="n"/>
      <c r="E349" s="24" t="n"/>
      <c r="F349" s="24" t="n"/>
      <c r="G349" s="24" t="n"/>
      <c r="H349" s="24" t="n"/>
      <c r="I349" s="24">
        <f>IF(COUNTA(A349:H349)=0,"",IF(A349="","Register Change ID missing",IF(COUNTIF($A$4:$A$353,A349)&gt;1,"Duplicate Register Change ID",IF(COUNTIF('AI Register'!$A$4:$A$206,B349)=0,"AIR-ID not in AI Register",IF(NOT(ISNUMBER(C349)),"Date missing or not a date",IF(OR(D349="",E349="",F349=""),"Change detail missing","Check against source"))))))</f>
        <v/>
      </c>
    </row>
    <row r="350">
      <c r="A350" s="22" t="n"/>
      <c r="B350" s="22" t="n"/>
      <c r="C350" s="35" t="n"/>
      <c r="D350" s="22" t="n"/>
      <c r="E350" s="22" t="n"/>
      <c r="F350" s="22" t="n"/>
      <c r="G350" s="22" t="n"/>
      <c r="H350" s="22" t="n"/>
      <c r="I350" s="22">
        <f>IF(COUNTA(A350:H350)=0,"",IF(A350="","Register Change ID missing",IF(COUNTIF($A$4:$A$353,A350)&gt;1,"Duplicate Register Change ID",IF(COUNTIF('AI Register'!$A$4:$A$206,B350)=0,"AIR-ID not in AI Register",IF(NOT(ISNUMBER(C350)),"Date missing or not a date",IF(OR(D350="",E350="",F350=""),"Change detail missing","Check against source"))))))</f>
        <v/>
      </c>
    </row>
    <row r="351">
      <c r="A351" s="24" t="n"/>
      <c r="B351" s="24" t="n"/>
      <c r="C351" s="36" t="n"/>
      <c r="D351" s="24" t="n"/>
      <c r="E351" s="24" t="n"/>
      <c r="F351" s="24" t="n"/>
      <c r="G351" s="24" t="n"/>
      <c r="H351" s="24" t="n"/>
      <c r="I351" s="24">
        <f>IF(COUNTA(A351:H351)=0,"",IF(A351="","Register Change ID missing",IF(COUNTIF($A$4:$A$353,A351)&gt;1,"Duplicate Register Change ID",IF(COUNTIF('AI Register'!$A$4:$A$206,B351)=0,"AIR-ID not in AI Register",IF(NOT(ISNUMBER(C351)),"Date missing or not a date",IF(OR(D351="",E351="",F351=""),"Change detail missing","Check against source"))))))</f>
        <v/>
      </c>
    </row>
    <row r="352">
      <c r="A352" s="22" t="n"/>
      <c r="B352" s="22" t="n"/>
      <c r="C352" s="35" t="n"/>
      <c r="D352" s="22" t="n"/>
      <c r="E352" s="22" t="n"/>
      <c r="F352" s="22" t="n"/>
      <c r="G352" s="22" t="n"/>
      <c r="H352" s="22" t="n"/>
      <c r="I352" s="22">
        <f>IF(COUNTA(A352:H352)=0,"",IF(A352="","Register Change ID missing",IF(COUNTIF($A$4:$A$353,A352)&gt;1,"Duplicate Register Change ID",IF(COUNTIF('AI Register'!$A$4:$A$206,B352)=0,"AIR-ID not in AI Register",IF(NOT(ISNUMBER(C352)),"Date missing or not a date",IF(OR(D352="",E352="",F352=""),"Change detail missing","Check against source"))))))</f>
        <v/>
      </c>
    </row>
    <row r="353">
      <c r="A353" s="24" t="n"/>
      <c r="B353" s="24" t="n"/>
      <c r="C353" s="36" t="n"/>
      <c r="D353" s="24" t="n"/>
      <c r="E353" s="24" t="n"/>
      <c r="F353" s="24" t="n"/>
      <c r="G353" s="24" t="n"/>
      <c r="H353" s="24" t="n"/>
      <c r="I353" s="24">
        <f>IF(COUNTA(A353:H353)=0,"",IF(A353="","Register Change ID missing",IF(COUNTIF($A$4:$A$353,A353)&gt;1,"Duplicate Register Change ID",IF(COUNTIF('AI Register'!$A$4:$A$206,B353)=0,"AIR-ID not in AI Register",IF(NOT(ISNUMBER(C353)),"Date missing or not a date",IF(OR(D353="",E353="",F353=""),"Change detail missing","Check against source"))))))</f>
        <v/>
      </c>
    </row>
  </sheetData>
  <mergeCells count="2">
    <mergeCell ref="A2:H2"/>
    <mergeCell ref="A1:H1"/>
  </mergeCells>
  <conditionalFormatting sqref="I4:I353">
    <cfRule type="expression" priority="1" dxfId="1">
      <formula>AND($I4&lt;&gt;"",$I4&lt;&gt;"Check against source")</formula>
    </cfRule>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F20"/>
  <sheetViews>
    <sheetView showGridLines="0" workbookViewId="0">
      <selection activeCell="A1" sqref="A1"/>
    </sheetView>
  </sheetViews>
  <sheetFormatPr baseColWidth="8" defaultRowHeight="15"/>
  <cols>
    <col width="20" customWidth="1" min="1" max="1"/>
    <col width="37.75" customWidth="1" min="2" max="2"/>
    <col width="35.5" customWidth="1" min="3" max="3"/>
    <col width="20" customWidth="1" min="4" max="4"/>
    <col width="8.880000114440918" customWidth="1" min="5" max="5"/>
    <col width="13" customWidth="1" min="6" max="6"/>
  </cols>
  <sheetData>
    <row r="1">
      <c r="A1" s="26" t="inlineStr">
        <is>
          <t>AIG-INV-04 — Document Control</t>
        </is>
      </c>
    </row>
    <row r="2">
      <c r="A2" s="27" t="inlineStr">
        <is>
          <t>Controlled working template. Draft for Council review; not Council-adopted and not effective until formally approved.</t>
        </is>
      </c>
    </row>
    <row r="3"/>
    <row r="4">
      <c r="A4" s="28" t="inlineStr">
        <is>
          <t>Field</t>
        </is>
      </c>
      <c r="B4" s="28" t="inlineStr">
        <is>
          <t>Controlled value</t>
        </is>
      </c>
    </row>
    <row r="5">
      <c r="A5" s="29" t="inlineStr">
        <is>
          <t>Document ID</t>
        </is>
      </c>
      <c r="B5" s="30" t="inlineStr">
        <is>
          <t>AIG-INV-04</t>
        </is>
      </c>
      <c r="C5" s="31" t="n"/>
      <c r="D5" s="31" t="n"/>
      <c r="E5" s="31" t="n"/>
      <c r="F5" s="32" t="n"/>
    </row>
    <row r="6">
      <c r="A6" s="29" t="inlineStr">
        <is>
          <t>Artefact</t>
        </is>
      </c>
      <c r="B6" s="30" t="inlineStr">
        <is>
          <t>AI Register (proposed simplified design)</t>
        </is>
      </c>
      <c r="C6" s="31" t="n"/>
      <c r="D6" s="31" t="n"/>
      <c r="E6" s="31" t="n"/>
      <c r="F6" s="32" t="n"/>
    </row>
    <row r="7">
      <c r="A7" s="29" t="inlineStr">
        <is>
          <t>Version</t>
        </is>
      </c>
      <c r="B7" s="30" t="inlineStr">
        <is>
          <t>1.2 draft</t>
        </is>
      </c>
      <c r="C7" s="31" t="n"/>
      <c r="D7" s="31" t="n"/>
      <c r="E7" s="31" t="n"/>
      <c r="F7" s="32" t="n"/>
    </row>
    <row r="8">
      <c r="A8" s="29" t="inlineStr">
        <is>
          <t>Status</t>
        </is>
      </c>
      <c r="B8" s="30" t="inlineStr">
        <is>
          <t>Draft for Council review</t>
        </is>
      </c>
      <c r="C8" s="31" t="n"/>
      <c r="D8" s="31" t="n"/>
      <c r="E8" s="31" t="n"/>
      <c r="F8" s="32" t="n"/>
    </row>
    <row r="9">
      <c r="A9" s="29" t="inlineStr">
        <is>
          <t>Document owner</t>
        </is>
      </c>
      <c r="B9" s="30" t="inlineStr">
        <is>
          <t>AI Governance Lead (operational custody); Service Owners accountable for system facts</t>
        </is>
      </c>
      <c r="C9" s="31" t="n"/>
      <c r="D9" s="31" t="n"/>
      <c r="E9" s="31" t="n"/>
      <c r="F9" s="32" t="n"/>
    </row>
    <row r="10">
      <c r="A10" s="29" t="inlineStr">
        <is>
          <t>Approving body</t>
        </is>
      </c>
      <c r="B10" s="30" t="inlineStr">
        <is>
          <t>Competent Council authority under Constitution and Scheme of Delegation; AI Assurance Board provides assurance where applicable</t>
        </is>
      </c>
      <c r="C10" s="31" t="n"/>
      <c r="D10" s="31" t="n"/>
      <c r="E10" s="31" t="n"/>
      <c r="F10" s="32" t="n"/>
    </row>
    <row r="11">
      <c r="A11" s="29" t="inlineStr">
        <is>
          <t>Approval date</t>
        </is>
      </c>
      <c r="B11" s="30" t="inlineStr">
        <is>
          <t>Not yet approved</t>
        </is>
      </c>
      <c r="C11" s="31" t="n"/>
      <c r="D11" s="31" t="n"/>
      <c r="E11" s="31" t="n"/>
      <c r="F11" s="32" t="n"/>
    </row>
    <row r="12">
      <c r="A12" s="29" t="inlineStr">
        <is>
          <t>Effective date</t>
        </is>
      </c>
      <c r="B12" s="30" t="inlineStr">
        <is>
          <t>Not yet effective</t>
        </is>
      </c>
      <c r="C12" s="31" t="n"/>
      <c r="D12" s="31" t="n"/>
      <c r="E12" s="31" t="n"/>
      <c r="F12" s="32" t="n"/>
    </row>
    <row r="13">
      <c r="A13" s="29" t="inlineStr">
        <is>
          <t>Next review date</t>
        </is>
      </c>
      <c r="B13" s="30" t="inlineStr">
        <is>
          <t>To be set on approval: 12 months after effective date or sooner following material change</t>
        </is>
      </c>
      <c r="C13" s="31" t="n"/>
      <c r="D13" s="31" t="n"/>
      <c r="E13" s="31" t="n"/>
      <c r="F13" s="32" t="n"/>
    </row>
    <row r="14">
      <c r="A14" s="29" t="inlineStr">
        <is>
          <t>Classification</t>
        </is>
      </c>
      <c r="B14" s="30" t="inlineStr">
        <is>
          <t>OFFICIAL</t>
        </is>
      </c>
      <c r="C14" s="31" t="n"/>
      <c r="D14" s="31" t="n"/>
      <c r="E14" s="31" t="n"/>
      <c r="F14" s="32" t="n"/>
    </row>
    <row r="15"/>
    <row r="16">
      <c r="A16" s="33" t="inlineStr">
        <is>
          <t>Change history</t>
        </is>
      </c>
      <c r="B16" s="31" t="n"/>
      <c r="C16" s="31" t="n"/>
      <c r="D16" s="31" t="n"/>
      <c r="E16" s="31" t="n"/>
      <c r="F16" s="32" t="n"/>
    </row>
    <row r="17">
      <c r="A17" s="28" t="inlineStr">
        <is>
          <t>Version</t>
        </is>
      </c>
      <c r="B17" s="28" t="inlineStr">
        <is>
          <t>Date</t>
        </is>
      </c>
      <c r="C17" s="28" t="inlineStr">
        <is>
          <t>Change</t>
        </is>
      </c>
      <c r="D17" s="28" t="inlineStr">
        <is>
          <t>Author / owner</t>
        </is>
      </c>
    </row>
    <row r="18" ht="60" customHeight="1">
      <c r="A18" s="34" t="inlineStr">
        <is>
          <t>1.0 draft</t>
        </is>
      </c>
      <c r="B18" s="34" t="inlineStr">
        <is>
          <t>29 September 2026</t>
        </is>
      </c>
      <c r="C18" s="34" t="inlineStr">
        <is>
          <t>First controlled version with document control. QA remediation — applied findings QA-024, QA-063, QA-100, QA-130, QA-211, QA-233, QA-234, QA-238, QA-251, QA-267, QA-268, QA-291 (see QA change log).</t>
        </is>
      </c>
      <c r="D18" s="34" t="inlineStr">
        <is>
          <t>AI Governance Lead</t>
        </is>
      </c>
    </row>
    <row r="19" ht="60" customHeight="1">
      <c r="A19" s="34" t="inlineStr">
        <is>
          <t>1.1 draft</t>
        </is>
      </c>
      <c r="B19" s="34" t="inlineStr">
        <is>
          <t>3 October 2026</t>
        </is>
      </c>
      <c r="C19" s="34" t="inlineStr">
        <is>
          <t>v3.9.8: Evidence index gains Completed / last reviewed (M), Review due (N) and Still-holds review ref (O), so the 12-month test for screening by reference (Playbook §4.6) can be checked; the row check flags a passed review date, and an Accepted entry over 12 months old with no still-holds review. Existing columns A to L unchanged. Proposed — for Council confirmation.</t>
        </is>
      </c>
      <c r="D19" s="34" t="inlineStr">
        <is>
          <t>AI Governance Lead</t>
        </is>
      </c>
    </row>
    <row r="20" ht="60" customHeight="1">
      <c r="A20" s="34" t="inlineStr">
        <is>
          <t>1.2 draft</t>
        </is>
      </c>
      <c r="B20" s="34" t="inlineStr">
        <is>
          <t>12 October 2026</t>
        </is>
      </c>
      <c r="C20" s="34" t="inlineStr">
        <is>
          <t>v3.9.10: AI Register gains column AA, Information asset reference, linking each system to the Council's Information Asset Register; the asset owner stays in that register. The row check counts column AA. READ ME explains the link. Existing columns A to Z unchanged. Proposed — for Council confirmation.</t>
        </is>
      </c>
      <c r="D20" s="34" t="inlineStr">
        <is>
          <t>AI Governance Lead</t>
        </is>
      </c>
    </row>
  </sheetData>
  <mergeCells count="13">
    <mergeCell ref="A2:F2"/>
    <mergeCell ref="A16:F16"/>
    <mergeCell ref="B12:F12"/>
    <mergeCell ref="B7:F7"/>
    <mergeCell ref="B6:F6"/>
    <mergeCell ref="B10:F10"/>
    <mergeCell ref="A1:F1"/>
    <mergeCell ref="B11:F11"/>
    <mergeCell ref="B5:F5"/>
    <mergeCell ref="B14:F14"/>
    <mergeCell ref="B8:F8"/>
    <mergeCell ref="B9:F9"/>
    <mergeCell ref="B13:F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Governance Lead</dc:creator>
  <dc:title xmlns:dc="http://purl.org/dc/elements/1.1/">AIG-INV-04 AI Register</dc:title>
  <dc:description xmlns:dc="http://purl.org/dc/elements/1.1/">Classification: OFFICIAL. Draft for Council review; not Council-adopted.</dc:description>
  <dc:subject xmlns:dc="http://purl.org/dc/elements/1.1/">AI Register — v1.1 draft</dc:subject>
  <dcterms:created xmlns:dcterms="http://purl.org/dc/terms/" xmlns:xsi="http://www.w3.org/2001/XMLSchema-instance" xsi:type="dcterms:W3CDTF">2026-09-29T17:46:32Z</dcterms:created>
  <dcterms:modified xmlns:dcterms="http://purl.org/dc/terms/" xmlns:xsi="http://www.w3.org/2001/XMLSchema-instance" xsi:type="dcterms:W3CDTF">2026-10-12T11:00:14Z</dcterms:modified>
  <cp:lastModifiedBy>AI Governance Lead</cp:lastModifiedBy>
  <cp:category>The Council AI governance suite v3.9.9</cp:category>
  <cp:keywords>OFFICIAL; Draft for Council review</cp:keywords>
</cp:coreProperties>
</file>