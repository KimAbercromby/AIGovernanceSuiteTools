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Clause Conformity" sheetId="2" state="visible" r:id="rId2"/>
    <sheet xmlns:r="http://schemas.openxmlformats.org/officeDocument/2006/relationships" name="Lists &amp; Guidance" sheetId="3" state="visible" r:id="rId3"/>
    <sheet xmlns:r="http://schemas.openxmlformats.org/officeDocument/2006/relationships" name="INTEGRATION INV-04 DEC-04" sheetId="4" state="visible" r:id="rId4"/>
    <sheet xmlns:r="http://schemas.openxmlformats.org/officeDocument/2006/relationships" name="STANDARDS SCOPE QA" sheetId="5" state="visible" r:id="rId5"/>
    <sheet xmlns:r="http://schemas.openxmlformats.org/officeDocument/2006/relationships" name="MAP &amp; SPLIT CONTRACT" sheetId="6" state="visible" r:id="rId6"/>
  </sheets>
  <definedNames/>
</workbook>
</file>

<file path=xl/styles.xml><?xml version="1.0" encoding="utf-8"?>
<styleSheet xmlns="http://schemas.openxmlformats.org/spreadsheetml/2006/main">
  <numFmts count="0"/>
  <fonts count="19">
    <font>
      <name val="Arial"/>
      <color theme="1"/>
      <sz val="11"/>
    </font>
    <font>
      <name val="Arial"/>
      <sz val="10"/>
    </font>
    <font>
      <name val="Arial"/>
      <sz val="10"/>
    </font>
    <font>
      <name val="Arial"/>
      <sz val="10"/>
    </font>
    <font>
      <name val="Arial"/>
      <b val="1"/>
      <color rgb="FFFFFFFF"/>
      <sz val="16"/>
    </font>
    <font>
      <name val="Arial"/>
      <i val="1"/>
      <color rgb="FFFFFFFF"/>
      <sz val="9"/>
    </font>
    <font>
      <name val="Arial"/>
      <i val="1"/>
      <color rgb="FF595959"/>
      <sz val="9"/>
    </font>
    <font>
      <name val="Arial"/>
      <b val="1"/>
      <color rgb="FFFFFFFF"/>
      <sz val="10"/>
    </font>
    <font>
      <name val="Arial"/>
      <b val="1"/>
      <sz val="10"/>
    </font>
    <font>
      <name val="Arial"/>
      <sz val="10"/>
    </font>
    <font>
      <name val="Arial"/>
      <sz val="9"/>
    </font>
    <font>
      <name val="Arial"/>
      <sz val="10"/>
    </font>
    <font>
      <name val="Aptos Display"/>
      <b val="1"/>
      <color rgb="FFFFFFFF"/>
      <sz val="15"/>
    </font>
    <font>
      <name val="Aptos"/>
      <b val="1"/>
      <color rgb="FF9C0006"/>
      <sz val="10"/>
    </font>
    <font>
      <b val="1"/>
      <color rgb="FFFFFFFF"/>
    </font>
    <font>
      <b val="1"/>
      <color rgb="FF17365D"/>
    </font>
    <font>
      <name val="Aptos Display"/>
      <b val="1"/>
      <color rgb="FF17324F"/>
      <sz val="16"/>
    </font>
    <font>
      <name val="Aptos"/>
      <b val="1"/>
      <color rgb="FF17324F"/>
      <sz val="11"/>
    </font>
    <font>
      <name val="Aptos"/>
      <color rgb="FF17324F"/>
      <sz val="11"/>
    </font>
  </fonts>
  <fills count="16">
    <fill>
      <patternFill/>
    </fill>
    <fill>
      <patternFill patternType="gray125"/>
    </fill>
    <fill>
      <patternFill patternType="solid">
        <fgColor rgb="FF0A2342"/>
      </patternFill>
    </fill>
    <fill>
      <patternFill patternType="solid">
        <fgColor rgb="FFC9A442"/>
      </patternFill>
    </fill>
    <fill>
      <patternFill patternType="solid">
        <fgColor rgb="FFF2F2F2"/>
      </patternFill>
    </fill>
    <fill>
      <patternFill patternType="solid">
        <fgColor rgb="FFD9EAD3"/>
      </patternFill>
    </fill>
    <fill>
      <patternFill patternType="solid">
        <fgColor rgb="FFFCE5CD"/>
      </patternFill>
    </fill>
    <fill>
      <patternFill patternType="solid">
        <fgColor rgb="FFF4CCCC"/>
      </patternFill>
    </fill>
    <fill>
      <patternFill patternType="solid">
        <fgColor rgb="FF0B2848"/>
      </patternFill>
    </fill>
    <fill>
      <patternFill patternType="solid">
        <fgColor rgb="FF17365D"/>
      </patternFill>
    </fill>
    <fill>
      <patternFill patternType="solid">
        <fgColor rgb="FFFCE4D6"/>
      </patternFill>
    </fill>
    <fill>
      <patternFill patternType="solid">
        <fgColor rgb="FF4472C4"/>
      </patternFill>
    </fill>
    <fill>
      <patternFill patternType="solid">
        <fgColor rgb="FFD9EAF7"/>
      </patternFill>
    </fill>
    <fill>
      <patternFill patternType="solid">
        <fgColor rgb="FF17354F"/>
      </patternFill>
    </fill>
    <fill>
      <patternFill patternType="solid">
        <fgColor rgb="FFEAF4F3"/>
      </patternFill>
    </fill>
    <fill>
      <patternFill patternType="solid">
        <fgColor rgb="FFF5F9FA"/>
      </patternFill>
    </fill>
  </fills>
  <borders count="7">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top style="thin">
        <color rgb="FFB7B7B7"/>
      </top>
      <bottom style="thin">
        <color rgb="FFB7B7B7"/>
      </bottom>
    </border>
    <border>
      <right style="thin">
        <color rgb="FFB7B7B7"/>
      </right>
      <top style="thin">
        <color rgb="FFB7B7B7"/>
      </top>
      <bottom style="thin">
        <color rgb="FFB7B7B7"/>
      </bottom>
    </border>
    <border>
      <bottom style="thin">
        <color rgb="FFD9E2F3"/>
      </bottom>
    </border>
  </borders>
  <cellStyleXfs count="6">
    <xf numFmtId="0" fontId="11" fillId="0" borderId="0" applyAlignment="1">
      <alignment horizontal="general" vertical="bottom"/>
    </xf>
    <xf numFmtId="43" fontId="11" fillId="0" borderId="0"/>
    <xf numFmtId="41" fontId="11" fillId="0" borderId="0"/>
    <xf numFmtId="44" fontId="11" fillId="0" borderId="0"/>
    <xf numFmtId="42" fontId="11" fillId="0" borderId="0"/>
    <xf numFmtId="9" fontId="11" fillId="0" borderId="0"/>
  </cellStyleXfs>
  <cellXfs count="6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8" fillId="0"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10"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10" fillId="4" borderId="1" applyAlignment="1" pivotButton="0" quotePrefix="0" xfId="0">
      <alignment horizontal="general" vertical="center" wrapText="1"/>
    </xf>
    <xf numFmtId="0" fontId="10"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10" fillId="6" borderId="1" applyAlignment="1" pivotButton="0" quotePrefix="0" xfId="0">
      <alignment horizontal="center" vertical="center" wrapText="1"/>
    </xf>
    <xf numFmtId="0" fontId="10" fillId="2" borderId="1" applyAlignment="1" pivotButton="0" quotePrefix="0" xfId="0">
      <alignment horizontal="general" vertical="center" wrapText="1"/>
    </xf>
    <xf numFmtId="0" fontId="6" fillId="0"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8" fillId="0"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0" fillId="0" borderId="4" pivotButton="0" quotePrefix="0" xfId="0"/>
    <xf numFmtId="0" fontId="0" fillId="0" borderId="5" pivotButton="0" quotePrefix="0" xfId="0"/>
    <xf numFmtId="0" fontId="10"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10" fillId="4" borderId="1" applyAlignment="1" pivotButton="0" quotePrefix="0" xfId="0">
      <alignment horizontal="general" vertical="center" wrapText="1"/>
    </xf>
    <xf numFmtId="0" fontId="10"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10" fillId="6" borderId="1" applyAlignment="1" pivotButton="0" quotePrefix="0" xfId="0">
      <alignment horizontal="center" vertical="center" wrapText="1"/>
    </xf>
    <xf numFmtId="0" fontId="10" fillId="2" borderId="1" applyAlignment="1" pivotButton="0" quotePrefix="0" xfId="0">
      <alignment horizontal="general" vertical="center" wrapText="1"/>
    </xf>
    <xf numFmtId="0" fontId="6" fillId="0" borderId="1" applyAlignment="1" pivotButton="0" quotePrefix="0" xfId="0">
      <alignment horizontal="general" vertical="center" wrapText="1"/>
    </xf>
    <xf numFmtId="0" fontId="4" fillId="8" borderId="0" applyAlignment="1" pivotButton="0" quotePrefix="0" xfId="0">
      <alignment horizontal="general" vertical="center" wrapText="1"/>
    </xf>
    <xf numFmtId="0" fontId="7" fillId="8" borderId="1" applyAlignment="1" pivotButton="0" quotePrefix="0" xfId="0">
      <alignment horizontal="general" vertical="center" wrapText="1"/>
    </xf>
    <xf numFmtId="0" fontId="7" fillId="8" borderId="1" applyAlignment="1" pivotButton="0" quotePrefix="0" xfId="0">
      <alignment horizontal="center" vertical="center" wrapText="1"/>
    </xf>
    <xf numFmtId="0" fontId="10" fillId="8" borderId="1" applyAlignment="1" pivotButton="0" quotePrefix="0" xfId="0">
      <alignment horizontal="general" vertical="center" wrapText="1"/>
    </xf>
    <xf numFmtId="0" fontId="10" fillId="0" borderId="1" applyAlignment="1" pivotButton="0" quotePrefix="0" xfId="0">
      <alignment horizontal="general" vertical="center" wrapText="1"/>
    </xf>
    <xf numFmtId="0" fontId="12" fillId="9" borderId="0" applyAlignment="1" pivotButton="0" quotePrefix="0" xfId="0">
      <alignment vertical="center" wrapText="1"/>
    </xf>
    <xf numFmtId="0" fontId="13" fillId="10" borderId="0" applyAlignment="1" pivotButton="0" quotePrefix="0" xfId="0">
      <alignment vertical="top" wrapText="1"/>
    </xf>
    <xf numFmtId="0" fontId="14" fillId="11" borderId="0" applyAlignment="1" pivotButton="0" quotePrefix="0" xfId="0">
      <alignment vertical="center" wrapText="1"/>
    </xf>
    <xf numFmtId="0" fontId="15" fillId="12" borderId="6" applyAlignment="1" pivotButton="0" quotePrefix="0" xfId="0">
      <alignment vertical="top" wrapText="1"/>
    </xf>
    <xf numFmtId="0" fontId="0" fillId="0" borderId="6" applyAlignment="1" pivotButton="0" quotePrefix="0" xfId="0">
      <alignment vertical="top" wrapText="1"/>
    </xf>
    <xf numFmtId="0" fontId="14" fillId="13" borderId="0" pivotButton="0" quotePrefix="0" xfId="0"/>
    <xf numFmtId="0" fontId="0" fillId="0" borderId="0" applyAlignment="1" pivotButton="0" quotePrefix="0" xfId="0">
      <alignment vertical="top" wrapText="1"/>
    </xf>
    <xf numFmtId="0" fontId="16" fillId="0" borderId="0" pivotButton="0" quotePrefix="0" xfId="0"/>
    <xf numFmtId="0" fontId="17" fillId="14" borderId="0" applyAlignment="1" pivotButton="0" quotePrefix="0" xfId="0">
      <alignment vertical="top" wrapText="1"/>
    </xf>
    <xf numFmtId="0" fontId="18" fillId="14" borderId="0" applyAlignment="1" pivotButton="0" quotePrefix="0" xfId="0">
      <alignment vertical="top" wrapText="1"/>
    </xf>
    <xf numFmtId="0" fontId="17" fillId="15" borderId="0" applyAlignment="1" pivotButton="0" quotePrefix="0" xfId="0">
      <alignment vertical="top" wrapText="1"/>
    </xf>
    <xf numFmtId="0" fontId="18" fillId="15" borderId="0" applyAlignment="1" pivotButton="0" quotePrefix="0" xfId="0">
      <alignment vertical="top" wrapText="1"/>
    </xf>
  </cellXfs>
  <cellStyles count="6">
    <cellStyle name="Normal" xfId="0"/>
    <cellStyle name="Comma" xfId="1"/>
    <cellStyle name="Comma [0]" xfId="2"/>
    <cellStyle name="Currency" xfId="3"/>
    <cellStyle name="Currency [0]" xfId="4"/>
    <cellStyle name="Percent" xfId="5"/>
  </cellStyles>
  <dxfs count="1">
    <dxf>
      <font>
        <color rgb="FF9C0006"/>
      </font>
      <fill>
        <patternFill patternType="solid">
          <f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C9A442"/>
      <rgbColor rgb="FFFF6600"/>
      <rgbColor rgb="FF595959"/>
      <rgbColor rgb="FF969696"/>
      <rgbColor rgb="FF0A2342"/>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D33"/>
  <sheetViews>
    <sheetView showGridLines="0" workbookViewId="0">
      <selection activeCell="A1" sqref="A1"/>
    </sheetView>
  </sheetViews>
  <sheetFormatPr baseColWidth="8" defaultColWidth="8.6171875" defaultRowHeight="15"/>
  <cols>
    <col width="30" customWidth="1" style="23" min="1" max="1"/>
    <col width="40" customWidth="1" style="23" min="2" max="2"/>
    <col width="26" customWidth="1" style="23" min="3" max="4"/>
  </cols>
  <sheetData>
    <row r="1" ht="38" customHeight="1" s="24">
      <c r="A1" s="48" t="inlineStr">
        <is>
          <t>The Council — AIMS Clause Conformity Register</t>
        </is>
      </c>
    </row>
    <row r="2" ht="15" customHeight="1" s="24">
      <c r="A2" s="26" t="inlineStr">
        <is>
          <t>AIG-AIMS-06  ·  v1.8 draft  ·  Draft for Council review  ·  OFFICIAL  ·  ISO/IEC 42001:2023 clauses 4–10</t>
        </is>
      </c>
    </row>
    <row r="3" ht="42" customHeight="1" s="24">
      <c r="A3" s="27" t="inlineStr">
        <is>
          <t>Purpose: map each mandatory ISO/IEC 42001:2023 management-system requirement (clauses 4 to 10) to the artefact or playbook section that satisfies it, with a design-conformity status and the action still required. This is the AIMS gap assessment for the management-system clauses; the Statement of Applicability (AIG-AIMS-02) performs the equivalent role for the Annex A controls.</t>
        </is>
      </c>
    </row>
    <row r="4" ht="42" customHeight="1" s="24">
      <c r="A4" s="27" t="inlineStr">
        <is>
          <t>Status statement: entries record the current DESIGN position only. No clause is represented as implemented, evidenced or effective until the AIMS is adopted and operated. All clause numbers, titles and requirement summaries must be validated against the Council's licensed copy of ISO/IEC 42001:2023; the summaries here are plain-language working descriptions, not the text of the standard.</t>
        </is>
      </c>
    </row>
    <row r="5"/>
    <row r="6" ht="15" customHeight="1" s="24">
      <c r="A6" s="49" t="inlineStr">
        <is>
          <t>Document control</t>
        </is>
      </c>
      <c r="B6" s="49" t="inlineStr">
        <is>
          <t>Controlled value</t>
        </is>
      </c>
      <c r="C6" s="49" t="inlineStr">
        <is>
          <t>Conformity readiness</t>
        </is>
      </c>
      <c r="D6" s="49" t="n"/>
    </row>
    <row r="7" ht="15" customHeight="1" s="24">
      <c r="A7" s="29" t="inlineStr">
        <is>
          <t>Document ID</t>
        </is>
      </c>
      <c r="B7" s="30" t="inlineStr">
        <is>
          <t>AIG-AIMS-06</t>
        </is>
      </c>
      <c r="C7" s="30" t="inlineStr">
        <is>
          <t>Mandatory clause rows</t>
        </is>
      </c>
      <c r="D7" s="31">
        <f>COUNTA('Clause Conformity'!$A$2:$A$100)</f>
        <v/>
      </c>
    </row>
    <row r="8" ht="15" customHeight="1" s="24">
      <c r="A8" s="29" t="inlineStr">
        <is>
          <t>Version</t>
        </is>
      </c>
      <c r="B8" s="30" t="inlineStr">
        <is>
          <t>1.8 draft</t>
        </is>
      </c>
      <c r="C8" s="30" t="inlineStr">
        <is>
          <t>Design mapped</t>
        </is>
      </c>
      <c r="D8" s="32">
        <f>COUNTIF('Clause Conformity'!$F$2:$F$100,"Design mapped")</f>
        <v/>
      </c>
    </row>
    <row r="9" ht="15" customHeight="1" s="24">
      <c r="A9" s="29" t="inlineStr">
        <is>
          <t>Status</t>
        </is>
      </c>
      <c r="B9" s="30" t="inlineStr">
        <is>
          <t>Draft for Council review</t>
        </is>
      </c>
      <c r="C9" s="30" t="inlineStr">
        <is>
          <t>Partial</t>
        </is>
      </c>
      <c r="D9" s="33">
        <f>COUNTIF('Clause Conformity'!$F$2:$F$100,"Partial")</f>
        <v/>
      </c>
    </row>
    <row r="10" ht="15" customHeight="1" s="24">
      <c r="A10" s="29" t="inlineStr">
        <is>
          <t>Document owner</t>
        </is>
      </c>
      <c r="B10" s="30" t="inlineStr">
        <is>
          <t>AI Governance Lead</t>
        </is>
      </c>
      <c r="C10" s="30" t="inlineStr">
        <is>
          <t>Gap</t>
        </is>
      </c>
      <c r="D10" s="34">
        <f>COUNTIF('Clause Conformity'!$F$2:$F$100,"Gap")</f>
        <v/>
      </c>
    </row>
    <row r="11" ht="15" customHeight="1" s="24">
      <c r="A11" s="29" t="inlineStr">
        <is>
          <t>Approving authority</t>
        </is>
      </c>
      <c r="B11" s="30" t="inlineStr">
        <is>
          <t>To be confirmed under Council delegations</t>
        </is>
      </c>
      <c r="C11" s="30" t="inlineStr">
        <is>
          <t>Implemented / evidenced</t>
        </is>
      </c>
      <c r="D11" s="31">
        <f>COUNTIF('Clause Conformity'!$F$2:$F$100,"Implemented")+COUNTIF('Clause Conformity'!$F$2:$F$100,"Evidenced")+COUNTIF('Clause Conformity'!$F$2:$F$100,"Effective")</f>
        <v/>
      </c>
    </row>
    <row r="12" ht="15" customHeight="1" s="24">
      <c r="A12" s="29" t="inlineStr">
        <is>
          <t>Effective date</t>
        </is>
      </c>
      <c r="B12" s="30" t="inlineStr">
        <is>
          <t>Pending formal approval</t>
        </is>
      </c>
      <c r="C12" s="30" t="inlineStr">
        <is>
          <t>Clause QA complete</t>
        </is>
      </c>
      <c r="D12" s="31">
        <f>COUNTIF('Clause Conformity'!$I$2:$I$100,"Complete")</f>
        <v/>
      </c>
    </row>
    <row r="13" ht="23.25" customHeight="1" s="24">
      <c r="A13" s="29" t="inlineStr">
        <is>
          <t>Review frequency</t>
        </is>
      </c>
      <c r="B13" s="30" t="inlineStr">
        <is>
          <t>On material change, internal audit and management review</t>
        </is>
      </c>
    </row>
    <row r="14" ht="15" customHeight="1" s="24">
      <c r="A14" s="29" t="inlineStr">
        <is>
          <t>Source position</t>
        </is>
      </c>
      <c r="B14" s="30" t="inlineStr">
        <is>
          <t>AI Governance Playbook (AIG-GOV-02, current controlled version per AIG-GOV-03); AIG-AIMS-01–AIG-AIMS-11</t>
        </is>
      </c>
    </row>
    <row r="15" ht="15" customHeight="1" s="24">
      <c r="A15" s="29" t="inlineStr">
        <is>
          <t>Classification</t>
        </is>
      </c>
      <c r="B15" s="30" t="inlineStr">
        <is>
          <t>OFFICIAL</t>
        </is>
      </c>
    </row>
    <row r="16"/>
    <row r="17" ht="15" customHeight="1" s="24">
      <c r="A17" s="49" t="inlineStr">
        <is>
          <t>How to use / adoption sequence</t>
        </is>
      </c>
      <c r="B17" s="35" t="n"/>
      <c r="C17" s="35" t="n"/>
      <c r="D17" s="36" t="n"/>
    </row>
    <row r="18" ht="15" customHeight="1" s="24">
      <c r="A18" s="52" t="inlineStr">
        <is>
          <t>1. Validate every clause reference and requirement summary against the Council's licensed ISO/IEC 42001:2023.</t>
        </is>
      </c>
      <c r="B18" s="35" t="n"/>
      <c r="C18" s="35" t="n"/>
      <c r="D18" s="36" t="n"/>
    </row>
    <row r="19" ht="15" customHeight="1" s="24">
      <c r="A19" s="52" t="inlineStr">
        <is>
          <t>2. Confirm the mapped evidence for each clause and the accountable owner.</t>
        </is>
      </c>
      <c r="B19" s="35" t="n"/>
      <c r="C19" s="35" t="n"/>
      <c r="D19" s="36" t="n"/>
    </row>
    <row r="20" ht="15" customHeight="1" s="24">
      <c r="A20" s="52" t="inlineStr">
        <is>
          <t>3. Operate the check-and-act artefacts now built: internal audit (AIG-AIMS-07), management review (AIG-AIMS-09), corrective action (AIG-AIMS-08) and monitoring (AIG-AIMS-10).</t>
        </is>
      </c>
      <c r="B20" s="35" t="n"/>
      <c r="C20" s="35" t="n"/>
      <c r="D20" s="36" t="n"/>
    </row>
    <row r="21" ht="15" customHeight="1" s="24">
      <c r="A21" s="52" t="inlineStr">
        <is>
          <t>4. As controls are operated, advance status only where retained evidence exists; do not advance on design alone.</t>
        </is>
      </c>
      <c r="B21" s="35" t="n"/>
      <c r="C21" s="35" t="n"/>
      <c r="D21" s="36" t="n"/>
    </row>
    <row r="22" ht="15" customHeight="1" s="24">
      <c r="A22" s="52" t="inlineStr">
        <is>
          <t>5. Re-run the register after risk assessment, material change, internal audit and management review.</t>
        </is>
      </c>
      <c r="B22" s="35" t="n"/>
      <c r="C22" s="35" t="n"/>
      <c r="D22" s="36" t="n"/>
    </row>
    <row r="23"/>
    <row r="24" ht="15" customHeight="1" s="24">
      <c r="A24" s="49" t="inlineStr">
        <is>
          <t>Version</t>
        </is>
      </c>
      <c r="B24" s="49" t="inlineStr">
        <is>
          <t>Date</t>
        </is>
      </c>
      <c r="C24" s="49" t="inlineStr">
        <is>
          <t>Change</t>
        </is>
      </c>
      <c r="D24" s="36" t="n"/>
    </row>
    <row r="25" ht="21.75" customHeight="1" s="24">
      <c r="A25" s="30" t="inlineStr">
        <is>
          <t>1.0 draft</t>
        </is>
      </c>
      <c r="B25" s="30" t="inlineStr">
        <is>
          <t>2026-08-07</t>
        </is>
      </c>
      <c r="C25" s="52" t="inlineStr">
        <is>
          <t>Initial clause 4–10 conformity register mapped to the AI Governance Playbook (AIG-GOV-02) and the AIMS layer AIG-AIMS-01 to AIG-AIMS-05.</t>
        </is>
      </c>
      <c r="D25" s="36" t="n"/>
    </row>
    <row r="26" ht="21.75" customHeight="1" s="24">
      <c r="A26" s="30" t="inlineStr">
        <is>
          <t>1.1 draft</t>
        </is>
      </c>
      <c r="B26" s="30" t="inlineStr">
        <is>
          <t>2026-08-07</t>
        </is>
      </c>
      <c r="C26" s="52" t="inlineStr">
        <is>
          <t>9.1, 9.2, 9.3 and 10.2 moved to design-mapped following creation of AIG-AIMS-07 to AIG-AIMS-10. Gaps now nil; two partials remain (5.1, 7.1).</t>
        </is>
      </c>
      <c r="D26" s="36" t="n"/>
    </row>
    <row r="27" ht="32.25" customHeight="1" s="24">
      <c r="A27" s="30" t="inlineStr">
        <is>
          <t>1.2 draft</t>
        </is>
      </c>
      <c r="B27" s="30" t="inlineStr">
        <is>
          <t>2026-08-07</t>
        </is>
      </c>
      <c r="C27" s="52" t="inlineStr">
        <is>
          <t>5.1 moved to design-mapped following creation of the leadership commitment statement (AIG-GOV-04). Readiness 25 design-mapped, 1 partial (7.1), 0 gap.</t>
        </is>
      </c>
      <c r="D27" s="36" t="n"/>
    </row>
    <row r="28" ht="32.25" customHeight="1" s="24">
      <c r="A28" s="30" t="inlineStr">
        <is>
          <t>1.3 draft</t>
        </is>
      </c>
      <c r="B28" s="30" t="inlineStr">
        <is>
          <t>2026-08-07</t>
        </is>
      </c>
      <c r="C28" s="52" t="inlineStr">
        <is>
          <t>5.2 and 6.1.4 confirm-actions resolved: 5.2 cites the AI Policy Statement (AIG-GOV-05); 6.1.4 cites the impact-assessment coverage mapping (AIG-AIMS-11). 7.1 remains the only partial, closed by operation.</t>
        </is>
      </c>
      <c r="D28" s="36" t="n"/>
    </row>
    <row r="29" s="24">
      <c r="A29" s="23" t="inlineStr">
        <is>
          <t>1.4 draft</t>
        </is>
      </c>
      <c r="B29" s="23" t="inlineStr">
        <is>
          <t>2026-09-28</t>
        </is>
      </c>
      <c r="C29" s="23" t="inlineStr">
        <is>
          <t>Make clause readiness counts recalculate from the clause statuses and align version display.</t>
        </is>
      </c>
    </row>
    <row r="30">
      <c r="A30" s="23" t="inlineStr">
        <is>
          <t>1.5 draft</t>
        </is>
      </c>
      <c r="B30" s="23" t="inlineStr">
        <is>
          <t>2026-09-29</t>
        </is>
      </c>
      <c r="C30" s="23" t="inlineStr">
        <is>
          <t>QA remediation — applied findings QA-186, QA-209, QA-218, QA-220, QA-238, QA-240, QA-241, QA-258, QA-280, QA-285, QA-291 (see QA change log). Added clause 6.3 (Partial); counts and Record QA now formula-driven. Integration pass: requirement count updated to 53 (AIG-AIMS-05 REQ-052, REQ-053 added).</t>
        </is>
      </c>
    </row>
    <row r="31">
      <c r="A31" s="23" t="inlineStr">
        <is>
          <t>1.6 draft</t>
        </is>
      </c>
      <c r="B31" s="23" t="inlineStr">
        <is>
          <t>30 September 2026</t>
        </is>
      </c>
      <c r="C31" s="23" t="inlineStr">
        <is>
          <t>v3.9.1: requirement count updated to 54 (AIG-AIMS-05 REQ-054 Civil Contingencies Act 2004 added). Proposed — for Council confirmation.</t>
        </is>
      </c>
    </row>
    <row r="32" s="24">
      <c r="A32" s="23" t="inlineStr">
        <is>
          <t>1.7 draft</t>
        </is>
      </c>
      <c r="B32" s="23" t="inlineStr">
        <is>
          <t>2 October 2026</t>
        </is>
      </c>
      <c r="C32" s="23" t="inlineStr">
        <is>
          <t>v3.9.5: requirement count updated to 56 (AIG-AIMS-05 REQ-056, SI 2026/425 ICO statutory code of practice on AI and automated decision-making, added). Also corrects the count, which had not been carried from 54 to 55 at v3.9.3 (REQ-055 NIST AI 600-1). Proposed — for Council confirmation.</t>
        </is>
      </c>
    </row>
    <row r="33" s="24">
      <c r="A33" s="23" t="inlineStr">
        <is>
          <t>1.8 draft</t>
        </is>
      </c>
      <c r="B33" s="23" t="inlineStr">
        <is>
          <t>12 October 2026</t>
        </is>
      </c>
      <c r="C33" s="23" t="inlineStr">
        <is>
          <t>v3.9.10: requirement count updated to 58 (AIG-AIMS-05 REQ-057 DAMA-DMBOK and REQ-058 ISO/IEC 5259, added as voluntary data governance references). Proposed — for Council confirmation.</t>
        </is>
      </c>
    </row>
  </sheetData>
  <mergeCells count="17">
    <mergeCell ref="A1:D1"/>
    <mergeCell ref="A17:D17"/>
    <mergeCell ref="A18:D18"/>
    <mergeCell ref="C24:D24"/>
    <mergeCell ref="C30:D30"/>
    <mergeCell ref="A22:D22"/>
    <mergeCell ref="A4:D4"/>
    <mergeCell ref="C25:D25"/>
    <mergeCell ref="A3:D3"/>
    <mergeCell ref="A20:D20"/>
    <mergeCell ref="A21:D21"/>
    <mergeCell ref="C27:D27"/>
    <mergeCell ref="C28:D28"/>
    <mergeCell ref="A2:D2"/>
    <mergeCell ref="A19:D19"/>
    <mergeCell ref="C31:D31"/>
    <mergeCell ref="C26:D26"/>
  </mergeCells>
  <pageMargins left="0.7" right="0.7" top="0.75" bottom="0.75" header="0.3" footer="0.3"/>
  <headerFooter>
    <oddHeader>&amp;C&amp;"Arial,Regular"&amp;8 The Council — AIMS Clause Conformity Register</oddHeader>
    <oddFooter>&amp;C&amp;"Arial,Regular"&amp;8 AIG-AIMS-06 · v1.8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I28"/>
  <sheetViews>
    <sheetView showGridLines="0" workbookViewId="0">
      <pane ySplit="1" topLeftCell="A2" activePane="bottomLeft" state="frozen"/>
      <selection activeCell="A1" sqref="A1"/>
    </sheetView>
  </sheetViews>
  <sheetFormatPr baseColWidth="8" defaultColWidth="8.6171875" defaultRowHeight="15"/>
  <cols>
    <col width="7" customWidth="1" style="23" min="1" max="1"/>
    <col width="24" customWidth="1" style="23" min="2" max="2"/>
    <col width="38" customWidth="1" style="23" min="3" max="3"/>
    <col width="32" customWidth="1" style="23" min="4" max="4"/>
    <col width="22" customWidth="1" style="23" min="5" max="5"/>
    <col width="14" customWidth="1" style="23" min="6" max="6"/>
    <col width="40" customWidth="1" style="23" min="7" max="7"/>
    <col width="22" customWidth="1" style="23" min="8" max="8"/>
    <col width="16" customWidth="1" style="24" min="9" max="9"/>
  </cols>
  <sheetData>
    <row r="1" ht="31.5" customHeight="1" s="24">
      <c r="A1" s="50" t="inlineStr">
        <is>
          <t>Clause</t>
        </is>
      </c>
      <c r="B1" s="50" t="inlineStr">
        <is>
          <t>Requirement</t>
        </is>
      </c>
      <c r="C1" s="50" t="inlineStr">
        <is>
          <t>What it requires (working summary)</t>
        </is>
      </c>
      <c r="D1" s="50" t="inlineStr">
        <is>
          <t>How the AIMS addresses it</t>
        </is>
      </c>
      <c r="E1" s="50" t="inlineStr">
        <is>
          <t>Evidence reference</t>
        </is>
      </c>
      <c r="F1" s="50" t="inlineStr">
        <is>
          <t>Design status</t>
        </is>
      </c>
      <c r="G1" s="50" t="inlineStr">
        <is>
          <t>Gap / action required</t>
        </is>
      </c>
      <c r="H1" s="50" t="inlineStr">
        <is>
          <t>Proposed owner</t>
        </is>
      </c>
      <c r="I1" s="50" t="inlineStr">
        <is>
          <t>Record QA</t>
        </is>
      </c>
    </row>
    <row r="2" ht="42" customHeight="1" s="24">
      <c r="A2" s="40" t="inlineStr">
        <is>
          <t>4.1</t>
        </is>
      </c>
      <c r="B2" s="29" t="inlineStr">
        <is>
          <t>Organisational context</t>
        </is>
      </c>
      <c r="C2" s="41" t="inlineStr">
        <is>
          <t>Determine internal and external issues relevant to the AIMS and its outcomes.</t>
        </is>
      </c>
      <c r="D2" s="41" t="inlineStr">
        <is>
          <t>Context and issues analysis for the AIMS.</t>
        </is>
      </c>
      <c r="E2" s="41" t="inlineStr">
        <is>
          <t>AIG-AIMS-01</t>
        </is>
      </c>
      <c r="F2" s="42" t="inlineStr">
        <is>
          <t>Design mapped</t>
        </is>
      </c>
      <c r="G2" s="41" t="inlineStr">
        <is>
          <t>Confirm the issues at Council review.</t>
        </is>
      </c>
      <c r="H2" s="41" t="inlineStr">
        <is>
          <t>AI Governance Lead</t>
        </is>
      </c>
      <c r="I2" s="41">
        <f>IF(A2="","",IF(AND(B2&lt;&gt;"",C2&lt;&gt;"",D2&lt;&gt;"",E2&lt;&gt;"",F2&lt;&gt;"",G2&lt;&gt;"",H2&lt;&gt;""),"Complete","Incomplete"))</f>
        <v/>
      </c>
    </row>
    <row r="3" ht="42" customHeight="1" s="24">
      <c r="A3" s="43" t="inlineStr">
        <is>
          <t>4.2</t>
        </is>
      </c>
      <c r="B3" s="44" t="inlineStr">
        <is>
          <t>Interested parties and requirements</t>
        </is>
      </c>
      <c r="C3" s="52" t="inlineStr">
        <is>
          <t>Identify interested parties and their relevant requirements, including legal and other obligations.</t>
        </is>
      </c>
      <c r="D3" s="52" t="inlineStr">
        <is>
          <t>Interested-party analysis and applicable-requirements register.</t>
        </is>
      </c>
      <c r="E3" s="52" t="inlineStr">
        <is>
          <t>AIG-AIMS-01; AIG-AIMS-05</t>
        </is>
      </c>
      <c r="F3" s="42" t="inlineStr">
        <is>
          <t>Design mapped</t>
        </is>
      </c>
      <c r="G3" s="52" t="inlineStr">
        <is>
          <t>Specialist validation of the 58 requirements (Legal, DPO).</t>
        </is>
      </c>
      <c r="H3" s="52" t="inlineStr">
        <is>
          <t>AI Governance Lead / Legal</t>
        </is>
      </c>
      <c r="I3" s="52">
        <f>IF(A3="","",IF(AND(B3&lt;&gt;"",C3&lt;&gt;"",D3&lt;&gt;"",E3&lt;&gt;"",F3&lt;&gt;"",G3&lt;&gt;"",H3&lt;&gt;""),"Complete","Incomplete"))</f>
        <v/>
      </c>
    </row>
    <row r="4" ht="42" customHeight="1" s="24">
      <c r="A4" s="40" t="inlineStr">
        <is>
          <t>4.3</t>
        </is>
      </c>
      <c r="B4" s="29" t="inlineStr">
        <is>
          <t>AIMS scope</t>
        </is>
      </c>
      <c r="C4" s="41" t="inlineStr">
        <is>
          <t>Determine and document the boundaries and applicability of the AIMS.</t>
        </is>
      </c>
      <c r="D4" s="41" t="inlineStr">
        <is>
          <t>Documented scope statement and boundary.</t>
        </is>
      </c>
      <c r="E4" s="41" t="inlineStr">
        <is>
          <t>AIG-AIMS-01</t>
        </is>
      </c>
      <c r="F4" s="42" t="inlineStr">
        <is>
          <t>Design mapped</t>
        </is>
      </c>
      <c r="G4" s="41" t="inlineStr">
        <is>
          <t>Confirm boundary, exclusions and delegations on adoption.</t>
        </is>
      </c>
      <c r="H4" s="41" t="inlineStr">
        <is>
          <t>AI Governance Lead</t>
        </is>
      </c>
      <c r="I4" s="41">
        <f>IF(A4="","",IF(AND(B4&lt;&gt;"",C4&lt;&gt;"",D4&lt;&gt;"",E4&lt;&gt;"",F4&lt;&gt;"",G4&lt;&gt;"",H4&lt;&gt;""),"Complete","Incomplete"))</f>
        <v/>
      </c>
    </row>
    <row r="5" ht="42" customHeight="1" s="24">
      <c r="A5" s="43" t="inlineStr">
        <is>
          <t>4.4</t>
        </is>
      </c>
      <c r="B5" s="44" t="inlineStr">
        <is>
          <t>AI management system</t>
        </is>
      </c>
      <c r="C5" s="52" t="inlineStr">
        <is>
          <t>Establish, implement, maintain and continually improve the AIMS.</t>
        </is>
      </c>
      <c r="D5" s="52" t="inlineStr">
        <is>
          <t>The playbook framework and the controlled suite.</t>
        </is>
      </c>
      <c r="E5" s="52" t="inlineStr">
        <is>
          <t>AIG-GOV-02; suite AIG-GOV-01 to AIG-AGT-06 (52 artefacts; see AIG-GOV-03)</t>
        </is>
      </c>
      <c r="F5" s="42" t="inlineStr">
        <is>
          <t>Design mapped</t>
        </is>
      </c>
      <c r="G5" s="52" t="inlineStr">
        <is>
          <t>Operate and maintain once adopted.</t>
        </is>
      </c>
      <c r="H5" s="52" t="inlineStr">
        <is>
          <t>AI Governance Lead</t>
        </is>
      </c>
      <c r="I5" s="52">
        <f>IF(A5="","",IF(AND(B5&lt;&gt;"",C5&lt;&gt;"",D5&lt;&gt;"",E5&lt;&gt;"",F5&lt;&gt;"",G5&lt;&gt;"",H5&lt;&gt;""),"Complete","Incomplete"))</f>
        <v/>
      </c>
    </row>
    <row r="6" ht="42" customHeight="1" s="24">
      <c r="A6" s="40" t="inlineStr">
        <is>
          <t>5.1</t>
        </is>
      </c>
      <c r="B6" s="29" t="inlineStr">
        <is>
          <t>Leadership and commitment</t>
        </is>
      </c>
      <c r="C6" s="41" t="inlineStr">
        <is>
          <t>Top management demonstrates leadership and commitment to the AIMS.</t>
        </is>
      </c>
      <c r="D6" s="41" t="inlineStr">
        <is>
          <t>Leadership commitment statement for adoption by the competent Council authority (AI Assurance Board assurance), plus governance bodies and policy framework.</t>
        </is>
      </c>
      <c r="E6" s="41" t="inlineStr">
        <is>
          <t>AIG-GOV-04; AIG-GOV-06; PB Ch.5</t>
        </is>
      </c>
      <c r="F6" s="42" t="inlineStr">
        <is>
          <t>Design mapped</t>
        </is>
      </c>
      <c r="G6" s="41" t="inlineStr">
        <is>
          <t>Competent Council authority to adopt and sign the commitment statement on the AI Assurance Board’s recommendation; re-affirm at each management review.</t>
        </is>
      </c>
      <c r="H6" s="41" t="inlineStr">
        <is>
          <t>AI Assurance Board / Executive Sponsor</t>
        </is>
      </c>
      <c r="I6" s="41">
        <f>IF(A6="","",IF(AND(B6&lt;&gt;"",C6&lt;&gt;"",D6&lt;&gt;"",E6&lt;&gt;"",F6&lt;&gt;"",G6&lt;&gt;"",H6&lt;&gt;""),"Complete","Incomplete"))</f>
        <v/>
      </c>
    </row>
    <row r="7" ht="42" customHeight="1" s="24">
      <c r="A7" s="43" t="inlineStr">
        <is>
          <t>5.2</t>
        </is>
      </c>
      <c r="B7" s="44" t="inlineStr">
        <is>
          <t>AI policy</t>
        </is>
      </c>
      <c r="C7" s="52" t="inlineStr">
        <is>
          <t>Establish a documented AI policy appropriate to purpose, framing objectives and commitments.</t>
        </is>
      </c>
      <c r="D7" s="52" t="inlineStr">
        <is>
          <t>Controlled AI Policy Statement carrying the 5.2 commitments, plus the Chapter 5 policies.</t>
        </is>
      </c>
      <c r="E7" s="52" t="inlineStr">
        <is>
          <t>AIG-GOV-05; PB Ch.5</t>
        </is>
      </c>
      <c r="F7" s="42" t="inlineStr">
        <is>
          <t>Design mapped</t>
        </is>
      </c>
      <c r="G7" s="52" t="inlineStr">
        <is>
          <t>Competent Council authority to adopt the policy statement on the AI Assurance Board’s recommendation; keep aligned to the A.2 controls.</t>
        </is>
      </c>
      <c r="H7" s="52" t="inlineStr">
        <is>
          <t>AI Governance Lead</t>
        </is>
      </c>
      <c r="I7" s="52">
        <f>IF(A7="","",IF(AND(B7&lt;&gt;"",C7&lt;&gt;"",D7&lt;&gt;"",E7&lt;&gt;"",F7&lt;&gt;"",G7&lt;&gt;"",H7&lt;&gt;""),"Complete","Incomplete"))</f>
        <v/>
      </c>
    </row>
    <row r="8" ht="42" customHeight="1" s="24">
      <c r="A8" s="40" t="inlineStr">
        <is>
          <t>5.3</t>
        </is>
      </c>
      <c r="B8" s="29" t="inlineStr">
        <is>
          <t>Roles, responsibilities and authorities</t>
        </is>
      </c>
      <c r="C8" s="41" t="inlineStr">
        <is>
          <t>Assign and communicate AIMS roles, responsibilities and authorities.</t>
        </is>
      </c>
      <c r="D8" s="41" t="inlineStr">
        <is>
          <t>Role-accountability model and Terms of Reference.</t>
        </is>
      </c>
      <c r="E8" s="41" t="inlineStr">
        <is>
          <t>AIG-AIMS-04; AIG-GOV-06</t>
        </is>
      </c>
      <c r="F8" s="42" t="inlineStr">
        <is>
          <t>Design mapped</t>
        </is>
      </c>
      <c r="G8" s="41" t="inlineStr">
        <is>
          <t>Name appointees and deputies; retain appointment evidence.</t>
        </is>
      </c>
      <c r="H8" s="41" t="inlineStr">
        <is>
          <t>AI Governance Lead</t>
        </is>
      </c>
      <c r="I8" s="41">
        <f>IF(A8="","",IF(AND(B8&lt;&gt;"",C8&lt;&gt;"",D8&lt;&gt;"",E8&lt;&gt;"",F8&lt;&gt;"",G8&lt;&gt;"",H8&lt;&gt;""),"Complete","Incomplete"))</f>
        <v/>
      </c>
    </row>
    <row r="9" ht="42" customHeight="1" s="24">
      <c r="A9" s="43" t="inlineStr">
        <is>
          <t>6.1.1</t>
        </is>
      </c>
      <c r="B9" s="44" t="inlineStr">
        <is>
          <t>Actions for risks and opportunities</t>
        </is>
      </c>
      <c r="C9" s="52" t="inlineStr">
        <is>
          <t>Plan actions to address AIMS risks and opportunities.</t>
        </is>
      </c>
      <c r="D9" s="52" t="inlineStr">
        <is>
          <t>AIMS risk, opportunity and improvement registers.</t>
        </is>
      </c>
      <c r="E9" s="52" t="inlineStr">
        <is>
          <t>AIG-AIMS-03</t>
        </is>
      </c>
      <c r="F9" s="42" t="inlineStr">
        <is>
          <t>Design mapped</t>
        </is>
      </c>
      <c r="G9" s="52" t="inlineStr">
        <is>
          <t>Complete residual ratings and approve risk acceptance.</t>
        </is>
      </c>
      <c r="H9" s="52" t="inlineStr">
        <is>
          <t>AI Governance Lead</t>
        </is>
      </c>
      <c r="I9" s="52">
        <f>IF(A9="","",IF(AND(B9&lt;&gt;"",C9&lt;&gt;"",D9&lt;&gt;"",E9&lt;&gt;"",F9&lt;&gt;"",G9&lt;&gt;"",H9&lt;&gt;""),"Complete","Incomplete"))</f>
        <v/>
      </c>
    </row>
    <row r="10" ht="42" customHeight="1" s="24">
      <c r="A10" s="40" t="inlineStr">
        <is>
          <t>6.1.2</t>
        </is>
      </c>
      <c r="B10" s="29" t="inlineStr">
        <is>
          <t>AI risk assessment</t>
        </is>
      </c>
      <c r="C10" s="41" t="inlineStr">
        <is>
          <t>Define and apply a repeatable AI risk assessment process and criteria.</t>
        </is>
      </c>
      <c r="D10" s="41" t="inlineStr">
        <is>
          <t>Risk method and worksheet, and AGPI triage.</t>
        </is>
      </c>
      <c r="E10" s="41" t="inlineStr">
        <is>
          <t>PB §4.4; AIG-ASS-02, AIG-ASS-01</t>
        </is>
      </c>
      <c r="F10" s="42" t="inlineStr">
        <is>
          <t>Design mapped</t>
        </is>
      </c>
      <c r="G10" s="41" t="inlineStr">
        <is>
          <t>Confirm criteria and acceptance thresholds at adoption.</t>
        </is>
      </c>
      <c r="H10" s="41" t="inlineStr">
        <is>
          <t>AI Governance Lead</t>
        </is>
      </c>
      <c r="I10" s="41">
        <f>IF(A10="","",IF(AND(B10&lt;&gt;"",C10&lt;&gt;"",D10&lt;&gt;"",E10&lt;&gt;"",F10&lt;&gt;"",G10&lt;&gt;"",H10&lt;&gt;""),"Complete","Incomplete"))</f>
        <v/>
      </c>
    </row>
    <row r="11" ht="42" customHeight="1" s="24">
      <c r="A11" s="43" t="inlineStr">
        <is>
          <t>6.1.3</t>
        </is>
      </c>
      <c r="B11" s="44" t="inlineStr">
        <is>
          <t>AI risk treatment</t>
        </is>
      </c>
      <c r="C11" s="52" t="inlineStr">
        <is>
          <t>Determine risk treatment and produce a Statement of Applicability.</t>
        </is>
      </c>
      <c r="D11" s="52" t="inlineStr">
        <is>
          <t>Risk treatment plan and the SoA across Annex A.</t>
        </is>
      </c>
      <c r="E11" s="52" t="inlineStr">
        <is>
          <t>AIG-AIMS-03; AIG-AIMS-02</t>
        </is>
      </c>
      <c r="F11" s="42" t="inlineStr">
        <is>
          <t>Design mapped</t>
        </is>
      </c>
      <c r="G11" s="52" t="inlineStr">
        <is>
          <t>Approve the SoA and treatment against the licensed standard.</t>
        </is>
      </c>
      <c r="H11" s="52" t="inlineStr">
        <is>
          <t>AI Governance Lead</t>
        </is>
      </c>
      <c r="I11" s="52">
        <f>IF(A11="","",IF(AND(B11&lt;&gt;"",C11&lt;&gt;"",D11&lt;&gt;"",E11&lt;&gt;"",F11&lt;&gt;"",G11&lt;&gt;"",H11&lt;&gt;""),"Complete","Incomplete"))</f>
        <v/>
      </c>
    </row>
    <row r="12" ht="42" customHeight="1" s="24">
      <c r="A12" s="40" t="inlineStr">
        <is>
          <t>6.1.4</t>
        </is>
      </c>
      <c r="B12" s="29" t="inlineStr">
        <is>
          <t>AI system impact assessment</t>
        </is>
      </c>
      <c r="C12" s="41" t="inlineStr">
        <is>
          <t>Assess impacts of AI systems on individuals, groups and society.</t>
        </is>
      </c>
      <c r="D12" s="41" t="inlineStr">
        <is>
          <t>Four impact assessments, with a coverage mapping to individuals / groups / society.</t>
        </is>
      </c>
      <c r="E12" s="41" t="inlineStr">
        <is>
          <t>AIG-AIMS-11; AIG-ASS-05, AIG-ASS-06, AIG-ASS-07, AIG-ASS-04</t>
        </is>
      </c>
      <c r="F12" s="42" t="inlineStr">
        <is>
          <t>Design mapped</t>
        </is>
      </c>
      <c r="G12" s="41" t="inlineStr">
        <is>
          <t>Extend the societal dimension where effects are significant (improvement action).</t>
        </is>
      </c>
      <c r="H12" s="41" t="inlineStr">
        <is>
          <t>AI Governance Lead</t>
        </is>
      </c>
      <c r="I12" s="41">
        <f>IF(A12="","",IF(AND(B12&lt;&gt;"",C12&lt;&gt;"",D12&lt;&gt;"",E12&lt;&gt;"",F12&lt;&gt;"",G12&lt;&gt;"",H12&lt;&gt;""),"Complete","Incomplete"))</f>
        <v/>
      </c>
    </row>
    <row r="13" ht="42" customHeight="1" s="24">
      <c r="A13" s="43" t="inlineStr">
        <is>
          <t>6.2</t>
        </is>
      </c>
      <c r="B13" s="44" t="inlineStr">
        <is>
          <t>AI objectives</t>
        </is>
      </c>
      <c r="C13" s="52" t="inlineStr">
        <is>
          <t>Establish measurable AI objectives and plans to achieve them.</t>
        </is>
      </c>
      <c r="D13" s="52" t="inlineStr">
        <is>
          <t>AIMS objectives with measures and targets.</t>
        </is>
      </c>
      <c r="E13" s="52" t="inlineStr">
        <is>
          <t>AIG-AIMS-03</t>
        </is>
      </c>
      <c r="F13" s="42" t="inlineStr">
        <is>
          <t>Design mapped</t>
        </is>
      </c>
      <c r="G13" s="52" t="inlineStr">
        <is>
          <t>Set baselines, targets and dates, and approve.</t>
        </is>
      </c>
      <c r="H13" s="52" t="inlineStr">
        <is>
          <t>AI Governance Lead</t>
        </is>
      </c>
      <c r="I13" s="52">
        <f>IF(A13="","",IF(AND(B13&lt;&gt;"",C13&lt;&gt;"",D13&lt;&gt;"",E13&lt;&gt;"",F13&lt;&gt;"",G13&lt;&gt;"",H13&lt;&gt;""),"Complete","Incomplete"))</f>
        <v/>
      </c>
    </row>
    <row r="14" ht="42" customHeight="1" s="24">
      <c r="A14" s="43" t="inlineStr">
        <is>
          <t>6.3</t>
        </is>
      </c>
      <c r="B14" s="44" t="inlineStr">
        <is>
          <t>Planning of changes</t>
        </is>
      </c>
      <c r="C14" s="52" t="inlineStr">
        <is>
          <t>When the need for changes to the AIMS is determined, carry them out in a planned manner.</t>
        </is>
      </c>
      <c r="D14" s="52" t="inlineStr">
        <is>
          <t>Changes are identified through the requirements change register and improvement plan and made through controlled document change and the governance decision route.</t>
        </is>
      </c>
      <c r="E14" s="52" t="inlineStr">
        <is>
          <t>AIG-AIMS-05 (Change Register); AIG-AIMS-03 (Improvement Plan); AIG-GOV-03 document control; AIG-DEC-03</t>
        </is>
      </c>
      <c r="F14" s="42" t="inlineStr">
        <is>
          <t>Partial</t>
        </is>
      </c>
      <c r="G14" s="52" t="inlineStr">
        <is>
          <t>Proposed — for Council confirmation: define an explicit AIMS change-planning step (purpose and consequences, integrity of the AIMS, resources, responsibilities) within the change-control route; validate against the licensed text.</t>
        </is>
      </c>
      <c r="H14" s="52" t="inlineStr">
        <is>
          <t>AI Governance Lead</t>
        </is>
      </c>
      <c r="I14" s="52">
        <f>IF(A14="","",IF(AND(B14&lt;&gt;"",C14&lt;&gt;"",D14&lt;&gt;"",E14&lt;&gt;"",F14&lt;&gt;"",G14&lt;&gt;"",H14&lt;&gt;""),"Complete","Incomplete"))</f>
        <v/>
      </c>
    </row>
    <row r="15" ht="42" customHeight="1" s="24">
      <c r="A15" s="40" t="inlineStr">
        <is>
          <t>7.1</t>
        </is>
      </c>
      <c r="B15" s="29" t="inlineStr">
        <is>
          <t>Resources</t>
        </is>
      </c>
      <c r="C15" s="41" t="inlineStr">
        <is>
          <t>Determine and provide the resources needed for the AIMS.</t>
        </is>
      </c>
      <c r="D15" s="41" t="inlineStr">
        <is>
          <t>Roles/competence plan and improvement-plan resourcing.</t>
        </is>
      </c>
      <c r="E15" s="41" t="inlineStr">
        <is>
          <t>AIG-AIMS-04; AIG-AIMS-03</t>
        </is>
      </c>
      <c r="F15" s="45" t="inlineStr">
        <is>
          <t>Partial</t>
        </is>
      </c>
      <c r="G15" s="41" t="inlineStr">
        <is>
          <t>Confirm a resource-provision position at adoption.</t>
        </is>
      </c>
      <c r="H15" s="41" t="inlineStr">
        <is>
          <t>AI Assurance Board</t>
        </is>
      </c>
      <c r="I15" s="41">
        <f>IF(A15="","",IF(AND(B15&lt;&gt;"",C15&lt;&gt;"",D15&lt;&gt;"",E15&lt;&gt;"",F15&lt;&gt;"",G15&lt;&gt;"",H15&lt;&gt;""),"Complete","Incomplete"))</f>
        <v/>
      </c>
    </row>
    <row r="16" ht="42" customHeight="1" s="24">
      <c r="A16" s="43" t="inlineStr">
        <is>
          <t>7.2</t>
        </is>
      </c>
      <c r="B16" s="44" t="inlineStr">
        <is>
          <t>Competence</t>
        </is>
      </c>
      <c r="C16" s="52" t="inlineStr">
        <is>
          <t>Determine and ensure the necessary competence.</t>
        </is>
      </c>
      <c r="D16" s="52" t="inlineStr">
        <is>
          <t>Competence matrix and learning plan.</t>
        </is>
      </c>
      <c r="E16" s="52" t="inlineStr">
        <is>
          <t>AIG-AIMS-04</t>
        </is>
      </c>
      <c r="F16" s="42" t="inlineStr">
        <is>
          <t>Design mapped</t>
        </is>
      </c>
      <c r="G16" s="52" t="inlineStr">
        <is>
          <t>Assess role-holders and close competence gaps.</t>
        </is>
      </c>
      <c r="H16" s="52" t="inlineStr">
        <is>
          <t>AI Governance Lead</t>
        </is>
      </c>
      <c r="I16" s="52">
        <f>IF(A16="","",IF(AND(B16&lt;&gt;"",C16&lt;&gt;"",D16&lt;&gt;"",E16&lt;&gt;"",F16&lt;&gt;"",G16&lt;&gt;"",H16&lt;&gt;""),"Complete","Incomplete"))</f>
        <v/>
      </c>
    </row>
    <row r="17" ht="42" customHeight="1" s="24">
      <c r="A17" s="40" t="inlineStr">
        <is>
          <t>7.3</t>
        </is>
      </c>
      <c r="B17" s="29" t="inlineStr">
        <is>
          <t>Awareness</t>
        </is>
      </c>
      <c r="C17" s="41" t="inlineStr">
        <is>
          <t>Ensure persons are aware of the policy and their contribution.</t>
        </is>
      </c>
      <c r="D17" s="41" t="inlineStr">
        <is>
          <t>Awareness in the roles plan and the staff registration guide.</t>
        </is>
      </c>
      <c r="E17" s="41" t="inlineStr">
        <is>
          <t>AIG-AIMS-04; AIG-INV-01</t>
        </is>
      </c>
      <c r="F17" s="42" t="inlineStr">
        <is>
          <t>Design mapped</t>
        </is>
      </c>
      <c r="G17" s="41" t="inlineStr">
        <is>
          <t>Deliver and evidence awareness activity.</t>
        </is>
      </c>
      <c r="H17" s="41" t="inlineStr">
        <is>
          <t>AI Governance Lead</t>
        </is>
      </c>
      <c r="I17" s="41">
        <f>IF(A17="","",IF(AND(B17&lt;&gt;"",C17&lt;&gt;"",D17&lt;&gt;"",E17&lt;&gt;"",F17&lt;&gt;"",G17&lt;&gt;"",H17&lt;&gt;""),"Complete","Incomplete"))</f>
        <v/>
      </c>
    </row>
    <row r="18" ht="42" customHeight="1" s="24">
      <c r="A18" s="43" t="inlineStr">
        <is>
          <t>7.4</t>
        </is>
      </c>
      <c r="B18" s="44" t="inlineStr">
        <is>
          <t>Communication</t>
        </is>
      </c>
      <c r="C18" s="52" t="inlineStr">
        <is>
          <t>Determine internal and external communications relevant to the AIMS.</t>
        </is>
      </c>
      <c r="D18" s="52" t="inlineStr">
        <is>
          <t>Communications plan.</t>
        </is>
      </c>
      <c r="E18" s="52" t="inlineStr">
        <is>
          <t>AIG-AIMS-04</t>
        </is>
      </c>
      <c r="F18" s="42" t="inlineStr">
        <is>
          <t>Design mapped</t>
        </is>
      </c>
      <c r="G18" s="52" t="inlineStr">
        <is>
          <t>Approve and issue; retain evidence and effectiveness measures.</t>
        </is>
      </c>
      <c r="H18" s="52" t="inlineStr">
        <is>
          <t>AI Governance Lead</t>
        </is>
      </c>
      <c r="I18" s="52">
        <f>IF(A18="","",IF(AND(B18&lt;&gt;"",C18&lt;&gt;"",D18&lt;&gt;"",E18&lt;&gt;"",F18&lt;&gt;"",G18&lt;&gt;"",H18&lt;&gt;""),"Complete","Incomplete"))</f>
        <v/>
      </c>
    </row>
    <row r="19" ht="42" customHeight="1" s="24">
      <c r="A19" s="40" t="inlineStr">
        <is>
          <t>7.5</t>
        </is>
      </c>
      <c r="B19" s="29" t="inlineStr">
        <is>
          <t>Documented information</t>
        </is>
      </c>
      <c r="C19" s="41" t="inlineStr">
        <is>
          <t>Create, update and control documented information.</t>
        </is>
      </c>
      <c r="D19" s="41" t="inlineStr">
        <is>
          <t>Controlled suite, document numbering and version control.</t>
        </is>
      </c>
      <c r="E19" s="41" t="inlineStr">
        <is>
          <t>Suite AIG-GOV-01 to AIG-AGT-06 (52 artefacts; see AIG-GOV-03); AIG-GOV-01</t>
        </is>
      </c>
      <c r="F19" s="42" t="inlineStr">
        <is>
          <t>Design mapped</t>
        </is>
      </c>
      <c r="G19" s="41" t="inlineStr">
        <is>
          <t>Add an explicit documented-information control procedure (create / update / control / retention).</t>
        </is>
      </c>
      <c r="H19" s="41" t="inlineStr">
        <is>
          <t>AI Governance Lead</t>
        </is>
      </c>
      <c r="I19" s="41">
        <f>IF(A19="","",IF(AND(B19&lt;&gt;"",C19&lt;&gt;"",D19&lt;&gt;"",E19&lt;&gt;"",F19&lt;&gt;"",G19&lt;&gt;"",H19&lt;&gt;""),"Complete","Incomplete"))</f>
        <v/>
      </c>
    </row>
    <row r="20" ht="42" customHeight="1" s="24">
      <c r="A20" s="43" t="inlineStr">
        <is>
          <t>8.1</t>
        </is>
      </c>
      <c r="B20" s="44" t="inlineStr">
        <is>
          <t>Operational planning and control</t>
        </is>
      </c>
      <c r="C20" s="52" t="inlineStr">
        <is>
          <t>Plan, implement and control the processes needed for AI.</t>
        </is>
      </c>
      <c r="D20" s="52" t="inlineStr">
        <is>
          <t>Lifecycle pathway, governance checklist and rollout plan.</t>
        </is>
      </c>
      <c r="E20" s="52" t="inlineStr">
        <is>
          <t>PB Ch.3–6; AIG-ASS-03, AIG-OPS-01</t>
        </is>
      </c>
      <c r="F20" s="42" t="inlineStr">
        <is>
          <t>Design mapped</t>
        </is>
      </c>
      <c r="G20" s="52" t="inlineStr">
        <is>
          <t>Operate on real systems and retain records.</t>
        </is>
      </c>
      <c r="H20" s="52" t="inlineStr">
        <is>
          <t>AI Governance Lead / Service Owners</t>
        </is>
      </c>
      <c r="I20" s="52">
        <f>IF(A20="","",IF(AND(B20&lt;&gt;"",C20&lt;&gt;"",D20&lt;&gt;"",E20&lt;&gt;"",F20&lt;&gt;"",G20&lt;&gt;"",H20&lt;&gt;""),"Complete","Incomplete"))</f>
        <v/>
      </c>
    </row>
    <row r="21" ht="42" customHeight="1" s="24">
      <c r="A21" s="40" t="inlineStr">
        <is>
          <t>8.2</t>
        </is>
      </c>
      <c r="B21" s="29" t="inlineStr">
        <is>
          <t>AI risk assessment (operational)</t>
        </is>
      </c>
      <c r="C21" s="41" t="inlineStr">
        <is>
          <t>Perform AI risk assessments at planned intervals and on change.</t>
        </is>
      </c>
      <c r="D21" s="41" t="inlineStr">
        <is>
          <t>Risk worksheet and register.</t>
        </is>
      </c>
      <c r="E21" s="41" t="inlineStr">
        <is>
          <t>AIG-ASS-02, AIG-INV-04</t>
        </is>
      </c>
      <c r="F21" s="42" t="inlineStr">
        <is>
          <t>Design mapped</t>
        </is>
      </c>
      <c r="G21" s="41" t="inlineStr">
        <is>
          <t>Exercise on live systems.</t>
        </is>
      </c>
      <c r="H21" s="41" t="inlineStr">
        <is>
          <t>Service Owners</t>
        </is>
      </c>
      <c r="I21" s="41">
        <f>IF(A21="","",IF(AND(B21&lt;&gt;"",C21&lt;&gt;"",D21&lt;&gt;"",E21&lt;&gt;"",F21&lt;&gt;"",G21&lt;&gt;"",H21&lt;&gt;""),"Complete","Incomplete"))</f>
        <v/>
      </c>
    </row>
    <row r="22" ht="42" customHeight="1" s="24">
      <c r="A22" s="43" t="inlineStr">
        <is>
          <t>8.3</t>
        </is>
      </c>
      <c r="B22" s="44" t="inlineStr">
        <is>
          <t>AI risk treatment (operational)</t>
        </is>
      </c>
      <c r="C22" s="52" t="inlineStr">
        <is>
          <t>Implement risk treatment and record the decisions.</t>
        </is>
      </c>
      <c r="D22" s="52" t="inlineStr">
        <is>
          <t>SoA and governance decision records.</t>
        </is>
      </c>
      <c r="E22" s="52" t="inlineStr">
        <is>
          <t>AIG-AIMS-02, AIG-DEC-03</t>
        </is>
      </c>
      <c r="F22" s="42" t="inlineStr">
        <is>
          <t>Design mapped</t>
        </is>
      </c>
      <c r="G22" s="52" t="inlineStr">
        <is>
          <t>Record treatment decisions in operation.</t>
        </is>
      </c>
      <c r="H22" s="52" t="inlineStr">
        <is>
          <t>AI Governance Lead</t>
        </is>
      </c>
      <c r="I22" s="52">
        <f>IF(A22="","",IF(AND(B22&lt;&gt;"",C22&lt;&gt;"",D22&lt;&gt;"",E22&lt;&gt;"",F22&lt;&gt;"",G22&lt;&gt;"",H22&lt;&gt;""),"Complete","Incomplete"))</f>
        <v/>
      </c>
    </row>
    <row r="23" ht="42" customHeight="1" s="24">
      <c r="A23" s="40" t="inlineStr">
        <is>
          <t>8.4</t>
        </is>
      </c>
      <c r="B23" s="29" t="inlineStr">
        <is>
          <t>AI system impact assessment (operational)</t>
        </is>
      </c>
      <c r="C23" s="41" t="inlineStr">
        <is>
          <t>Perform impact assessments at planned intervals and on change.</t>
        </is>
      </c>
      <c r="D23" s="41" t="inlineStr">
        <is>
          <t>DPIA / EIA / HRA / RAIA within the pathway.</t>
        </is>
      </c>
      <c r="E23" s="41" t="inlineStr">
        <is>
          <t>AIG-ASS-05, AIG-ASS-06, AIG-ASS-07, AIG-ASS-04</t>
        </is>
      </c>
      <c r="F23" s="42" t="inlineStr">
        <is>
          <t>Design mapped</t>
        </is>
      </c>
      <c r="G23" s="41" t="inlineStr">
        <is>
          <t>Exercise on live systems with specialist sign-off.</t>
        </is>
      </c>
      <c r="H23" s="41" t="inlineStr">
        <is>
          <t>Service Owners / specialists</t>
        </is>
      </c>
      <c r="I23" s="41">
        <f>IF(A23="","",IF(AND(B23&lt;&gt;"",C23&lt;&gt;"",D23&lt;&gt;"",E23&lt;&gt;"",F23&lt;&gt;"",G23&lt;&gt;"",H23&lt;&gt;""),"Complete","Incomplete"))</f>
        <v/>
      </c>
    </row>
    <row r="24" ht="42" customHeight="1" s="24">
      <c r="A24" s="43" t="inlineStr">
        <is>
          <t>9.1</t>
        </is>
      </c>
      <c r="B24" s="44" t="inlineStr">
        <is>
          <t>Monitoring, measurement, analysis and evaluation</t>
        </is>
      </c>
      <c r="C24" s="52" t="inlineStr">
        <is>
          <t>Determine what, how and when to monitor, and evaluate results.</t>
        </is>
      </c>
      <c r="D24" s="52" t="inlineStr">
        <is>
          <t>Consolidated monitoring and measurement plan (indicators M-01 to M-15).</t>
        </is>
      </c>
      <c r="E24" s="52" t="inlineStr">
        <is>
          <t>AIG-AIMS-10; PB §6.6; AIG-OPS-06, AIG-OPS-05</t>
        </is>
      </c>
      <c r="F24" s="42" t="inlineStr">
        <is>
          <t>Design mapped</t>
        </is>
      </c>
      <c r="G24" s="52" t="inlineStr">
        <is>
          <t>Set baselines and targets at adoption; operate the cadence.</t>
        </is>
      </c>
      <c r="H24" s="52" t="inlineStr">
        <is>
          <t>AI Governance Lead</t>
        </is>
      </c>
      <c r="I24" s="52">
        <f>IF(A24="","",IF(AND(B24&lt;&gt;"",C24&lt;&gt;"",D24&lt;&gt;"",E24&lt;&gt;"",F24&lt;&gt;"",G24&lt;&gt;"",H24&lt;&gt;""),"Complete","Incomplete"))</f>
        <v/>
      </c>
    </row>
    <row r="25" ht="42" customHeight="1" s="24">
      <c r="A25" s="40" t="inlineStr">
        <is>
          <t>9.2</t>
        </is>
      </c>
      <c r="B25" s="29" t="inlineStr">
        <is>
          <t>Internal audit</t>
        </is>
      </c>
      <c r="C25" s="41" t="inlineStr">
        <is>
          <t>Run a planned internal audit programme and report results.</t>
        </is>
      </c>
      <c r="D25" s="41" t="inlineStr">
        <is>
          <t>Internal audit programme, procedure and findings register.</t>
        </is>
      </c>
      <c r="E25" s="41" t="inlineStr">
        <is>
          <t>AIG-AIMS-07; PB §6.7</t>
        </is>
      </c>
      <c r="F25" s="42" t="inlineStr">
        <is>
          <t>Design mapped</t>
        </is>
      </c>
      <c r="G25" s="41" t="inlineStr">
        <is>
          <t>Run the first audit cycle and retain records.</t>
        </is>
      </c>
      <c r="H25" s="41" t="inlineStr">
        <is>
          <t>AI Governance Lead / Internal Audit</t>
        </is>
      </c>
      <c r="I25" s="41">
        <f>IF(A25="","",IF(AND(B25&lt;&gt;"",C25&lt;&gt;"",D25&lt;&gt;"",E25&lt;&gt;"",F25&lt;&gt;"",G25&lt;&gt;"",H25&lt;&gt;""),"Complete","Incomplete"))</f>
        <v/>
      </c>
    </row>
    <row r="26" ht="42" customHeight="1" s="24">
      <c r="A26" s="43" t="inlineStr">
        <is>
          <t>9.3</t>
        </is>
      </c>
      <c r="B26" s="44" t="inlineStr">
        <is>
          <t>Management review</t>
        </is>
      </c>
      <c r="C26" s="52" t="inlineStr">
        <is>
          <t>Top management reviews the AIMS at planned intervals.</t>
        </is>
      </c>
      <c r="D26" s="52" t="inlineStr">
        <is>
          <t>Management review pack: procedure, inputs (9.3.2), outputs (9.3.3), record.</t>
        </is>
      </c>
      <c r="E26" s="52" t="inlineStr">
        <is>
          <t>AIG-AIMS-09</t>
        </is>
      </c>
      <c r="F26" s="42" t="inlineStr">
        <is>
          <t>Design mapped</t>
        </is>
      </c>
      <c r="G26" s="52" t="inlineStr">
        <is>
          <t>Hold the first review and retain the record.</t>
        </is>
      </c>
      <c r="H26" s="52" t="inlineStr">
        <is>
          <t>AI Assurance Board</t>
        </is>
      </c>
      <c r="I26" s="52">
        <f>IF(A26="","",IF(AND(B26&lt;&gt;"",C26&lt;&gt;"",D26&lt;&gt;"",E26&lt;&gt;"",F26&lt;&gt;"",G26&lt;&gt;"",H26&lt;&gt;""),"Complete","Incomplete"))</f>
        <v/>
      </c>
    </row>
    <row r="27" ht="42" customHeight="1" s="24">
      <c r="A27" s="40" t="inlineStr">
        <is>
          <t>10.1</t>
        </is>
      </c>
      <c r="B27" s="29" t="inlineStr">
        <is>
          <t>Continual improvement</t>
        </is>
      </c>
      <c r="C27" s="41" t="inlineStr">
        <is>
          <t>Continually improve the suitability and effectiveness of the AIMS.</t>
        </is>
      </c>
      <c r="D27" s="41" t="inlineStr">
        <is>
          <t>Improvement plan with actions.</t>
        </is>
      </c>
      <c r="E27" s="41" t="inlineStr">
        <is>
          <t>AIG-AIMS-03</t>
        </is>
      </c>
      <c r="F27" s="42" t="inlineStr">
        <is>
          <t>Design mapped</t>
        </is>
      </c>
      <c r="G27" s="41" t="inlineStr">
        <is>
          <t>Operate the improvement cycle from evidence.</t>
        </is>
      </c>
      <c r="H27" s="41" t="inlineStr">
        <is>
          <t>AI Governance Lead</t>
        </is>
      </c>
      <c r="I27" s="41">
        <f>IF(A27="","",IF(AND(B27&lt;&gt;"",C27&lt;&gt;"",D27&lt;&gt;"",E27&lt;&gt;"",F27&lt;&gt;"",G27&lt;&gt;"",H27&lt;&gt;""),"Complete","Incomplete"))</f>
        <v/>
      </c>
    </row>
    <row r="28" ht="42" customHeight="1" s="24">
      <c r="A28" s="43" t="inlineStr">
        <is>
          <t>10.2</t>
        </is>
      </c>
      <c r="B28" s="44" t="inlineStr">
        <is>
          <t>Nonconformity and corrective action</t>
        </is>
      </c>
      <c r="C28" s="52" t="inlineStr">
        <is>
          <t>React to nonconformity, correct it and prevent recurrence.</t>
        </is>
      </c>
      <c r="D28" s="52" t="inlineStr">
        <is>
          <t>Nonconformity and corrective-action procedure and CAPA log.</t>
        </is>
      </c>
      <c r="E28" s="52" t="inlineStr">
        <is>
          <t>AIG-AIMS-08; PB §6.8</t>
        </is>
      </c>
      <c r="F28" s="42" t="inlineStr">
        <is>
          <t>Design mapped</t>
        </is>
      </c>
      <c r="G28" s="52" t="inlineStr">
        <is>
          <t>Operate on real nonconformities; verify effectiveness before closing.</t>
        </is>
      </c>
      <c r="H28" s="52" t="inlineStr">
        <is>
          <t>AI Governance Lead</t>
        </is>
      </c>
      <c r="I28" s="52">
        <f>IF(A28="","",IF(AND(B28&lt;&gt;"",C28&lt;&gt;"",D28&lt;&gt;"",E28&lt;&gt;"",F28&lt;&gt;"",G28&lt;&gt;"",H28&lt;&gt;""),"Complete","Incomplete"))</f>
        <v/>
      </c>
    </row>
  </sheetData>
  <conditionalFormatting sqref="I2:I100">
    <cfRule type="expression" priority="1" dxfId="0">
      <formula>$I2="Incomplete"</formula>
    </cfRule>
  </conditionalFormatting>
  <dataValidations count="1">
    <dataValidation sqref="F2:F100" showDropDown="0" showInputMessage="0" showErrorMessage="0" allowBlank="1" type="list" errorStyle="stop" operator="between">
      <formula1>"Design mapped,Partial,Gap,Not started,Implemented,Evidenced,Effective"</formula1>
      <formula2>0</formula2>
    </dataValidation>
  </dataValidations>
  <pageMargins left="0.7" right="0.7" top="0.75" bottom="0.75" header="0.3" footer="0.3"/>
  <headerFooter>
    <oddHeader>&amp;C&amp;"Arial,Regular"&amp;8 The Council — AIMS Clause Conformity Register</oddHeader>
    <oddFooter>&amp;C&amp;"Arial,Regular"&amp;8 AIG-AIMS-06 · v1.8 draft · Draft for Council review · OFFICIAL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ColWidth="8.6171875" defaultRowHeight="15"/>
  <cols>
    <col width="18" customWidth="1" style="23" min="1" max="1"/>
    <col width="70" customWidth="1" style="23" min="2" max="2"/>
  </cols>
  <sheetData>
    <row r="1" ht="15" customHeight="1" s="24">
      <c r="A1" s="49" t="inlineStr">
        <is>
          <t>Design status</t>
        </is>
      </c>
      <c r="B1" s="49" t="inlineStr">
        <is>
          <t>Meaning</t>
        </is>
      </c>
    </row>
    <row r="2" ht="25.5" customHeight="1" s="24">
      <c r="A2" s="32" t="inlineStr">
        <is>
          <t>Design mapped</t>
        </is>
      </c>
      <c r="B2" s="52" t="inlineStr">
        <is>
          <t>A suite artefact or playbook section is designed to satisfy the requirement; not yet operated or evidenced.</t>
        </is>
      </c>
    </row>
    <row r="3" ht="25.5" customHeight="1" s="24">
      <c r="A3" s="33" t="inlineStr">
        <is>
          <t>Partial</t>
        </is>
      </c>
      <c r="B3" s="52" t="inlineStr">
        <is>
          <t>Partly addressed by existing material; a defined element or artefact is still needed.</t>
        </is>
      </c>
    </row>
    <row r="4" ht="25.5" customHeight="1" s="24">
      <c r="A4" s="34" t="inlineStr">
        <is>
          <t>Gap</t>
        </is>
      </c>
      <c r="B4" s="52" t="inlineStr">
        <is>
          <t>No controlled artefact yet satisfies the requirement; one must be built.</t>
        </is>
      </c>
    </row>
    <row r="5" ht="25.5" customHeight="1" s="24">
      <c r="A5" s="34" t="inlineStr">
        <is>
          <t>Not started</t>
        </is>
      </c>
      <c r="B5" s="52" t="inlineStr">
        <is>
          <t>Requirement acknowledged; no design in place.</t>
        </is>
      </c>
    </row>
    <row r="6" ht="25.5" customHeight="1" s="24">
      <c r="A6" s="31" t="inlineStr">
        <is>
          <t>Implemented</t>
        </is>
      </c>
      <c r="B6" s="52" t="inlineStr">
        <is>
          <t>The process is operating.</t>
        </is>
      </c>
    </row>
    <row r="7" ht="25.5" customHeight="1" s="24">
      <c r="A7" s="31" t="inlineStr">
        <is>
          <t>Evidenced</t>
        </is>
      </c>
      <c r="B7" s="52" t="inlineStr">
        <is>
          <t>Operation is supported by retained evidence.</t>
        </is>
      </c>
    </row>
    <row r="8" ht="25.5" customHeight="1" s="24">
      <c r="A8" s="31" t="inlineStr">
        <is>
          <t>Effective</t>
        </is>
      </c>
      <c r="B8" s="52" t="inlineStr">
        <is>
          <t>Evidence shows the requirement is met and the control works.</t>
        </is>
      </c>
    </row>
    <row r="9"/>
    <row r="10" ht="15" customHeight="1" s="24">
      <c r="A10" s="49" t="inlineStr">
        <is>
          <t>Note</t>
        </is>
      </c>
      <c r="B10" s="51" t="n"/>
    </row>
    <row r="11" ht="43.5" customHeight="1" s="24">
      <c r="A11" s="47" t="inlineStr">
        <is>
          <t>Clause references, titles and requirement summaries are plain-language working descriptions and must be validated against the Council's licensed copy of ISO/IEC 42001:2023 before adoption. 9.2 and 9.3 are recorded as single rows covering sub-clauses 9.2.1–9.2.2 and 9.3.1–9.3.3. Annex A control conformity is tracked separately in the Statement of Applicability (AIG-AIMS-02).</t>
        </is>
      </c>
      <c r="B11" s="36" t="n"/>
    </row>
  </sheetData>
  <mergeCells count="1">
    <mergeCell ref="A11:B11"/>
  </mergeCells>
  <pageMargins left="0.7" right="0.7" top="0.75" bottom="0.75" header="0.3" footer="0.3"/>
  <headerFooter>
    <oddHeader>&amp;C&amp;"Arial,Regular"&amp;8 The Council — AIMS Clause Conformity Register</oddHeader>
    <oddFooter>&amp;C&amp;"Arial,Regular"&amp;8 AIG-AIMS-06 · v1.8 draft · Draft for Council review · OFFICIAL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1"/>
  <sheetViews>
    <sheetView showGridLines="0" workbookViewId="0">
      <pane ySplit="4" topLeftCell="A5" activePane="bottomLeft" state="frozen"/>
      <selection activeCell="A1" sqref="A1"/>
    </sheetView>
  </sheetViews>
  <sheetFormatPr baseColWidth="8" defaultRowHeight="15"/>
  <cols>
    <col width="30" customWidth="1" style="24" min="1" max="1"/>
    <col width="112" customWidth="1" style="24" min="2" max="2"/>
  </cols>
  <sheetData>
    <row r="1" ht="30" customHeight="1" s="24">
      <c r="A1" s="53" t="inlineStr">
        <is>
          <t>AIG-AIMS-06 — PROPOSED AIG-INV-04/AIG-DEC-04 INTEGRATION NOTES</t>
        </is>
      </c>
    </row>
    <row r="2" ht="36" customHeight="1" s="24">
      <c r="A2" s="54"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3"/>
    <row r="4">
      <c r="A4" s="55" t="inlineStr">
        <is>
          <t>Review topic</t>
        </is>
      </c>
      <c r="B4" s="55" t="inlineStr">
        <is>
          <t>Targeted proposed integration note</t>
        </is>
      </c>
    </row>
    <row r="5" ht="68" customHeight="1" s="24">
      <c r="A5" s="56" t="inlineStr">
        <is>
          <t>Status / conformity boundary</t>
        </is>
      </c>
      <c r="B5" s="57" t="inlineStr">
        <is>
          <t>This register reports design mapping/readiness only. Preserve its 27 clause rows (26 plus 6.3 added in v1.5), working summaries and current statuses; no proposed AIG-INV-04/AIG-DEC-04 join converts “Design mapped” to conformity, implementation, evidence or effectiveness. Validate clause titles, summaries and interpretations against the Council’s licensed ISO/IEC 42001:2023 before approval.</t>
        </is>
      </c>
    </row>
    <row r="6" ht="85" customHeight="1" s="24">
      <c r="A6" s="56" t="inlineStr">
        <is>
          <t>Clauses 4–5: context, leadership and authority</t>
        </is>
      </c>
      <c r="B6" s="57" t="inlineStr">
        <is>
          <t>Relate clause 4.1–4.3 design to AIG-AIMS-01 and its approved scope/context record; use AIG-INV-04 AIR-ID only for system instances within that scope, not as a substitute for organisational boundary. Link an actual scope/policy/leadership decision to AIG-DEC-03/native minutes and, where an actual system gate is affected, its AIG-DEC-04 Event ID and Evidence ID. Confirm constitutional authority before any governance-status change.</t>
        </is>
      </c>
    </row>
    <row r="7" ht="68" customHeight="1" s="24">
      <c r="A7" s="56" t="inlineStr">
        <is>
          <t>Clauses 6–8: planning and operation</t>
        </is>
      </c>
      <c r="B7" s="57" t="inlineStr">
        <is>
          <t>Keep AIMS risk/objectives/treatment and SoA decisions in AIG-AIMS-03/AIG-AIMS-02. Link system-specific applications using AIR-ID, assessment and evidence pointers in AIG-INV-04; AIG-DEC-04 planned gates, dated events and conditions distinguish plan from actual control/approval. Operational-planning conformity requires source evidence of performed work, not just linked template names.</t>
        </is>
      </c>
    </row>
    <row r="8" ht="68" customHeight="1" s="24">
      <c r="A8" s="56" t="inlineStr">
        <is>
          <t>Clauses 7.1–7.5: resources, competence, communications, information</t>
        </is>
      </c>
      <c r="B8" s="57" t="inlineStr">
        <is>
          <t>Reference AIG-AIMS-04 as role/competence/communications design and retain appointment, competence, issued-communication and documented-information control evidence in the approved repository. AIG-INV-04 Evidence index may carry versioned pointers keyed by AIR-ID; avoid storing sensitive HR details or treating missing evidence as complete.</t>
        </is>
      </c>
    </row>
    <row r="9" ht="68" customHeight="1" s="24">
      <c r="A9" s="56" t="inlineStr">
        <is>
          <t>Clauses 9–10: evaluation and improvement</t>
        </is>
      </c>
      <c r="B9" s="57" t="inlineStr">
        <is>
          <t>Link actual monitoring results (AIG-AIMS-10/AIG-OPS-02 as relevant), audit findings (AIG-AIMS-07), nonconformities/corrective actions (AIG-AIMS-08), management-review outputs (AIG-AIMS-09) and improvement actions (AIG-AIMS-03) to dated source evidence. System findings use AIR-ID; AIMS-wide failures may not have an AIR-ID. Do not infer completed reviews, audits, actions or closure from a planned AIG-DEC-04 Gate plan.</t>
        </is>
      </c>
    </row>
    <row r="10" ht="68" customHeight="1" s="24">
      <c r="A10" s="56" t="inlineStr">
        <is>
          <t>Traceability / crosswalk discipline</t>
        </is>
      </c>
      <c r="B10" s="57" t="inlineStr">
        <is>
          <t>Use the clause row as the AIMS-level index, the relevant artefact and licensed standard as the design/conformity basis, AIR-ID as the system join, and AIG-DEC-04 Event ID/Condition ID plus AIG-DEC-03/native decision and Evidence ID only where an actual system event/condition applies. Keep one authoritative source per fact; the clause register is a crosswalk, not a duplicate decision log.</t>
        </is>
      </c>
    </row>
    <row r="11" ht="68" customHeight="1" s="24">
      <c r="A11" s="56" t="inlineStr">
        <is>
          <t>Open adoption checks</t>
        </is>
      </c>
      <c r="B11" s="57" t="inlineStr">
        <is>
          <t>Resolve the documented 7.1 resources partial through an authorised resource decision and evidence; review any legacy artefact references against the current AIG-* artefacts listed in AIG-GOV-03, including newly scoped monitoring and AIG-INV-04/AIG-DEC-04 design. Confirm clause owner/evidence, dates and auditability, and preserve “design-only” status until operation is tested.</t>
        </is>
      </c>
    </row>
  </sheetData>
  <mergeCells count="2">
    <mergeCell ref="A2:B2"/>
    <mergeCell ref="A1:B1"/>
  </mergeCells>
  <pageMargins left="0.7" right="0.7" top="0.75" bottom="0.75" header="0.3" footer="0.3"/>
  <headerFooter>
    <oddHeader>&amp;C&amp;"Arial,Regular"&amp;8 The Council — AIMS Clause Conformity Register</oddHeader>
    <oddFooter>&amp;C&amp;"Arial,Regular"&amp;8 AIG-AIMS-06 · v1.8 draft · Draft for Council review · OFFICIAL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6"/>
  <sheetViews>
    <sheetView workbookViewId="0">
      <pane xSplit="1" ySplit="2" topLeftCell="B3" activePane="bottomRight" state="frozen"/>
      <selection activeCell="A1" sqref="A1"/>
    </sheetView>
  </sheetViews>
  <sheetFormatPr baseColWidth="8" defaultRowHeight="15"/>
  <cols>
    <col width="21" customWidth="1" style="24" min="1" max="1"/>
    <col width="70" customWidth="1" style="24" min="2" max="2"/>
    <col width="96" customWidth="1" style="24" min="3" max="3"/>
    <col width="84" customWidth="1" style="24" min="4" max="4"/>
    <col width="33" customWidth="1" style="24" min="5" max="5"/>
  </cols>
  <sheetData>
    <row r="1">
      <c r="A1" s="23" t="inlineStr">
        <is>
          <t>PROPOSED QA INDEX — NOT APPROVED. A source reference does not establish applicability or compliance. See AIG-AIMS-05 and AIG-AIMS-13; owners must validate the current source, case-specific scope, control evidence and adopted status.</t>
        </is>
      </c>
    </row>
    <row r="2">
      <c r="A2" s="58" t="inlineStr">
        <is>
          <t>Requirement ID</t>
        </is>
      </c>
      <c r="B2" s="58" t="inlineStr">
        <is>
          <t>Instrument / edition</t>
        </is>
      </c>
      <c r="C2" s="58" t="inlineStr">
        <is>
          <t>Conditional scope / relevance</t>
        </is>
      </c>
      <c r="D2" s="58" t="inlineStr">
        <is>
          <t>Source URL</t>
        </is>
      </c>
      <c r="E2" s="58" t="inlineStr">
        <is>
          <t>Owner validation status</t>
        </is>
      </c>
    </row>
    <row r="3" ht="43" customHeight="1" s="24">
      <c r="A3" s="59" t="inlineStr">
        <is>
          <t>REQ-040</t>
        </is>
      </c>
      <c r="B3" s="59" t="inlineStr">
        <is>
          <t>ISO/IEC 42001:2023 Artificial intelligence management system</t>
        </is>
      </c>
      <c r="C3" s="59" t="inlineStr">
        <is>
          <t>Proposed management-system design mapping; licensed clause review and adoption needed.</t>
        </is>
      </c>
      <c r="D3" s="59" t="inlineStr">
        <is>
          <t>https://www.iso.org/standard/42001</t>
        </is>
      </c>
      <c r="E3" s="59" t="inlineStr">
        <is>
          <t>Specialist validation required</t>
        </is>
      </c>
    </row>
    <row r="4" ht="43" customHeight="1" s="24">
      <c r="A4" s="59" t="inlineStr">
        <is>
          <t>REQ-041</t>
        </is>
      </c>
      <c r="B4" s="59" t="inlineStr">
        <is>
          <t>ISO/IEC 23894:2023 AI — Guidance on risk management</t>
        </is>
      </c>
      <c r="C4" s="59" t="inlineStr">
        <is>
          <t>Voluntary risk-management guidance; proposed alignment, not statutory conformity.</t>
        </is>
      </c>
      <c r="D4" s="59" t="inlineStr">
        <is>
          <t>https://www.iso.org/standard/77304.html</t>
        </is>
      </c>
      <c r="E4" s="59" t="inlineStr">
        <is>
          <t>Specialist validation required</t>
        </is>
      </c>
    </row>
    <row r="5" ht="43" customHeight="1" s="24">
      <c r="A5" s="59" t="inlineStr">
        <is>
          <t>REQ-042</t>
        </is>
      </c>
      <c r="B5" s="59" t="inlineStr">
        <is>
          <t>ISO/IEC 42005:2025 AI system impact assessment</t>
        </is>
      </c>
      <c r="C5" s="59" t="inlineStr">
        <is>
          <t>Guidance for AI impact-assessment design; validate edition and selected use.</t>
        </is>
      </c>
      <c r="D5" s="59" t="inlineStr">
        <is>
          <t>https://www.iso.org/standard/42005</t>
        </is>
      </c>
      <c r="E5" s="59" t="inlineStr">
        <is>
          <t>Specialist validation required</t>
        </is>
      </c>
    </row>
    <row r="6" ht="43" customHeight="1" s="24">
      <c r="A6" s="59" t="inlineStr">
        <is>
          <t>NIST-AI-100-1</t>
        </is>
      </c>
      <c r="B6" s="59" t="inlineStr">
        <is>
          <t>NIST AI Risk Management Framework 1.0 (NIST AI 100-1, January 2023)</t>
        </is>
      </c>
      <c r="C6" s="59" t="inlineStr">
        <is>
          <t>Voluntary alignment reference; not certification or statutory conformity</t>
        </is>
      </c>
      <c r="D6" s="59" t="inlineStr">
        <is>
          <t>https://www.nist.gov/publications/artificial-intelligence-risk-management-framework-ai-rmf-10</t>
        </is>
      </c>
      <c r="E6" s="59" t="inlineStr">
        <is>
          <t>Voluntary alignment reference; not certification or statutory conformity</t>
        </is>
      </c>
    </row>
  </sheetData>
  <pageMargins left="0.7" right="0.7" top="0.75" bottom="0.75" header="0.3" footer="0.3"/>
  <headerFooter>
    <oddHeader>&amp;C&amp;"Arial,Regular"&amp;8 The Council — AIMS Clause Conformity Register</oddHeader>
    <oddFooter>&amp;C&amp;"Arial,Regular"&amp;8 AIG-AIMS-06 · v1.8 draft · Draft for Council review · OFFICIAL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24" min="1" max="1"/>
    <col width="112" customWidth="1" style="24" min="2" max="2"/>
  </cols>
  <sheetData>
    <row r="1">
      <c r="A1" s="60" t="inlineStr">
        <is>
          <t>AIG-AIMS-06 / PROPOSED THREE-ARTEFACT SOURCE CONTRACT</t>
        </is>
      </c>
    </row>
    <row r="2"/>
    <row r="3" ht="45" customHeight="1" s="24">
      <c r="A3" s="61" t="inlineStr">
        <is>
          <t>Status</t>
        </is>
      </c>
      <c r="B3" s="62" t="inlineStr">
        <is>
          <t>PROPOSED INTEGRATION DESIGN ONLY. This sheet does not amend the artefact's native assessment, decision authority, data or formulas.</t>
        </is>
      </c>
    </row>
    <row r="4" ht="45" customHeight="1" s="24">
      <c r="A4" s="63" t="inlineStr">
        <is>
          <t>Role of this file</t>
        </is>
      </c>
      <c r="B4" s="64" t="inlineStr">
        <is>
          <t>Clause conformity: Cite exact AIG-INV-04, AIG-DEC-04, map and source versions for each sample. A populated template or 'confirmed' map edge does not demonstrate an operating control.</t>
        </is>
      </c>
    </row>
    <row r="5" ht="45" customHeight="1" s="24">
      <c r="A5" s="61" t="inlineStr">
        <is>
          <t>AIG-INV-04 source</t>
        </is>
      </c>
      <c r="B5" s="62" t="inlineStr">
        <is>
          <t>Separate AIG-INV-04 AI Register: official AIR-ID, current position, in-file Assessment summary/Evidence index. Reconcile against authoritative AIG-INV-04 before using a copied value.</t>
        </is>
      </c>
    </row>
    <row r="6" ht="45" customHeight="1" s="24">
      <c r="A6" s="63" t="inlineStr">
        <is>
          <t>AIG-DEC-04 source</t>
        </is>
      </c>
      <c r="B6" s="64" t="inlineStr">
        <is>
          <t>Separate AIG-DEC-04 Gate Log: prospective Gate plan, dated Gate events, event-linked Conditions. A planned gate is not a decision. A decision requires AIG-DEC-03 or approved minutes and proper delegation.</t>
        </is>
      </c>
    </row>
    <row r="7" ht="48" customHeight="1" s="24">
      <c r="A7" s="61" t="inlineStr">
        <is>
          <t>Map source</t>
        </is>
      </c>
      <c r="B7" s="62" t="inlineStr">
        <is>
          <t>Proposed standalone Capabilities and System Map (candidate catalogue ID AIG-INV-05): UC/CAP and component relationship pointers. Edge ID is not an approval or permission; AIG-AGT-04/AIG-AGT-05 remain sources of agent scope/authority.</t>
        </is>
      </c>
    </row>
    <row r="8" ht="48" customHeight="1" s="24">
      <c r="A8" s="63" t="inlineStr">
        <is>
          <t>Data exchange</t>
        </is>
      </c>
      <c r="B8" s="64" t="inlineStr">
        <is>
          <t>Use controlled AIR-ID across files. Where applicable reference exact Event ID, Condition ID, Evidence ID, AG-ID and Edge ID. Record source file/version/as-at with imported or quoted evidence; no live cross-workbook formula is assumed.</t>
        </is>
      </c>
    </row>
    <row r="9" ht="45" customHeight="1" s="24">
      <c r="A9" s="61" t="inlineStr">
        <is>
          <t>Change trigger</t>
        </is>
      </c>
      <c r="B9" s="62" t="inlineStr">
        <is>
          <t>New or expanded system/tool access, or a material model, data, interface, purpose or agent change: log the map change, obtain owner reassessment and escalate to the proper AIG-DEC-04 gate/AIG-DEC-03 decision when required.</t>
        </is>
      </c>
    </row>
    <row r="10" ht="48" customHeight="1" s="24">
      <c r="A10" s="63" t="inlineStr">
        <is>
          <t>Validation before use</t>
        </is>
      </c>
      <c r="B10" s="64"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headerFooter>
    <oddHeader>&amp;C&amp;"Arial,Regular"&amp;8 The Council — AIMS Clause Conformity Register</oddHeader>
    <oddFooter>&amp;C&amp;"Arial,Regular"&amp;8 AIG-AIMS-06 · v1.8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AIG-AIMS-06 AIMS Clause Conformity Register</dc:title>
  <dc:description xmlns:dc="http://purl.org/dc/elements/1.1/">Draft for Council review. Classification: OFFICIAL.</dc:description>
  <dc:subject xmlns:dc="http://purl.org/dc/elements/1.1/">AIG-AIMS-06 v1.6 — Draft for Council review</dc:subject>
  <dcterms:created xmlns:dcterms="http://purl.org/dc/terms/" xmlns:xsi="http://www.w3.org/2001/XMLSchema-instance" xsi:type="dcterms:W3CDTF">2026-09-29T17:50:12Z</dcterms:created>
  <dcterms:modified xmlns:dcterms="http://purl.org/dc/terms/" xmlns:xsi="http://www.w3.org/2001/XMLSchema-instance" xsi:type="dcterms:W3CDTF">2026-10-12T11:00:14Z</dcterms:modified>
  <cp:lastModifiedBy>AI Governance Lead</cp:lastModifiedBy>
  <cp:category>OFFICIAL</cp:category>
  <cp:keywords>OFFICIAL; AI governance; AIG-AIMS-06</cp:keywords>
</cp:coreProperties>
</file>