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Controlled Inputs" sheetId="2" state="visible" r:id="rId2"/>
    <sheet xmlns:r="http://schemas.openxmlformats.org/officeDocument/2006/relationships" name="Measure definitions" sheetId="3" state="visible" r:id="rId3"/>
    <sheet xmlns:r="http://schemas.openxmlformats.org/officeDocument/2006/relationships" name="Document Control" sheetId="4" state="visible" r:id="rId4"/>
    <sheet xmlns:r="http://schemas.openxmlformats.org/officeDocument/2006/relationships" name="INTEGRATION INV-04 DEC-04" sheetId="5" state="visible" r:id="rId5"/>
    <sheet xmlns:r="http://schemas.openxmlformats.org/officeDocument/2006/relationships" name="STANDARDS SCOPE QA" sheetId="6" state="visible" r:id="rId6"/>
    <sheet xmlns:r="http://schemas.openxmlformats.org/officeDocument/2006/relationships" name="MAP &amp; SPLIT CONTRACT" sheetId="7" state="visible" r:id="rId7"/>
  </sheets>
  <definedNames>
    <definedName name="_xlnm.Print_Area" localSheetId="0">'Dashboard'!$A$1:$F$52</definedName>
    <definedName name="_xlnm.Print_Area" localSheetId="1">'Controlled Inputs'!$A$1:$H$75</definedName>
    <definedName name="_xlnm.Print_Titles" localSheetId="2">'Measure definitions'!$4:$4</definedName>
    <definedName name="_xlnm.Print_Area" localSheetId="2">'Measure definitions'!$A$1:$I$21</definedName>
  </definedNames>
</workbook>
</file>

<file path=xl/styles.xml><?xml version="1.0" encoding="utf-8"?>
<styleSheet xmlns="http://schemas.openxmlformats.org/spreadsheetml/2006/main">
  <numFmts count="1">
    <numFmt numFmtId="164" formatCode="dd/mm/yyyy"/>
  </numFmts>
  <fonts count="43">
    <font>
      <name val="Arial"/>
      <sz val="10"/>
    </font>
    <font>
      <name val="Arial"/>
      <sz val="10"/>
    </font>
    <font>
      <name val="Arial"/>
      <sz val="10"/>
    </font>
    <font>
      <name val="Arial"/>
      <sz val="10"/>
    </font>
    <font>
      <name val="Arial"/>
      <color theme="1"/>
      <sz val="11"/>
    </font>
    <font>
      <name val="Arial"/>
      <b val="1"/>
      <color rgb="FFFFFFFF"/>
      <sz val="16"/>
    </font>
    <font>
      <name val="Arial"/>
      <i val="1"/>
      <color rgb="FF5B6472"/>
      <sz val="9"/>
    </font>
    <font>
      <name val="Arial"/>
      <color rgb="FF222222"/>
      <sz val="10"/>
    </font>
    <font>
      <name val="Arial"/>
      <b val="1"/>
      <color rgb="FF222222"/>
      <sz val="9"/>
    </font>
    <font>
      <name val="Arial"/>
      <b val="1"/>
      <color rgb="FF0A2342"/>
      <sz val="9"/>
    </font>
    <font>
      <name val="Arial"/>
      <color rgb="FF222222"/>
      <sz val="9"/>
    </font>
    <font>
      <name val="Arial"/>
      <b val="1"/>
      <color rgb="FFFFFFFF"/>
      <sz val="9"/>
    </font>
    <font>
      <name val="Arial"/>
      <b val="1"/>
      <color rgb="FF0000FF"/>
      <sz val="10"/>
    </font>
    <font>
      <name val="Arial"/>
      <b val="1"/>
      <color rgb="FF0A2342"/>
      <sz val="10"/>
    </font>
    <font>
      <name val="Arial"/>
      <b val="1"/>
      <color rgb="FF0A2342"/>
      <sz val="11"/>
    </font>
    <font>
      <name val="Arial"/>
      <i val="1"/>
      <color rgb="FF222222"/>
      <sz val="9"/>
    </font>
    <font>
      <name val="Arial"/>
      <b val="1"/>
      <color rgb="FFFFFFFF"/>
      <sz val="11"/>
    </font>
    <font>
      <name val="Arial"/>
      <b val="1"/>
      <color rgb="FFFFFFFF"/>
      <sz val="14"/>
    </font>
    <font>
      <name val="Arial"/>
      <i val="1"/>
      <color rgb="FF404040"/>
      <sz val="10"/>
    </font>
    <font>
      <name val="Arial"/>
      <b val="1"/>
      <color rgb="FFFFFFFF"/>
      <sz val="10"/>
    </font>
    <font>
      <name val="Arial"/>
      <b val="1"/>
      <color rgb="FF1F1F1F"/>
      <sz val="10"/>
    </font>
    <font>
      <name val="Arial"/>
      <color rgb="FF1F1F1F"/>
      <sz val="10"/>
    </font>
    <font>
      <b val="1"/>
      <color rgb="FFFFFFFF"/>
    </font>
    <font>
      <name val="Aptos Display"/>
      <b val="1"/>
      <color rgb="FF17324F"/>
      <sz val="16"/>
    </font>
    <font>
      <name val="Aptos"/>
      <b val="1"/>
      <color rgb="FF17324F"/>
      <sz val="11"/>
    </font>
    <font>
      <name val="Aptos"/>
      <color rgb="FF17324F"/>
      <sz val="11"/>
    </font>
    <font>
      <name val="Arial"/>
      <sz val="9"/>
    </font>
    <font>
      <name val="Arial"/>
      <b val="1"/>
      <color rgb="FF0000FF"/>
      <sz val="9"/>
    </font>
    <font>
      <name val="Arial"/>
      <color theme="1"/>
      <sz val="9"/>
    </font>
    <font>
      <name val="Arial"/>
      <sz val="14"/>
    </font>
    <font>
      <name val="Arial"/>
      <color rgb="FFFFFFFF"/>
      <sz val="9"/>
    </font>
    <font>
      <name val="Arial"/>
      <i val="1"/>
      <color rgb="FF404040"/>
      <sz val="9"/>
    </font>
    <font>
      <name val="Arial"/>
      <b val="1"/>
      <color rgb="FF1F1F1F"/>
      <sz val="9"/>
    </font>
    <font>
      <name val="Arial"/>
      <color rgb="FF1F1F1F"/>
      <sz val="9"/>
    </font>
    <font>
      <name val="Arial"/>
      <b val="1"/>
      <color rgb="FFFFFFFF"/>
      <sz val="13"/>
    </font>
    <font>
      <name val="Arial"/>
      <sz val="13"/>
    </font>
    <font>
      <name val="Arial"/>
      <b val="1"/>
      <color rgb="FFFFFFFF"/>
    </font>
    <font>
      <name val="Arial"/>
      <b val="1"/>
      <color rgb="FF17324F"/>
      <sz val="16"/>
    </font>
    <font>
      <name val="Arial"/>
      <b val="1"/>
      <color rgb="FF17324F"/>
      <sz val="11"/>
    </font>
    <font>
      <name val="Arial"/>
      <color rgb="FF17324F"/>
      <sz val="11"/>
    </font>
    <font>
      <name val="Arial"/>
      <b val="1"/>
      <color rgb="FF17324F"/>
      <sz val="9"/>
    </font>
    <font>
      <name val="Arial"/>
      <color rgb="FF17324F"/>
      <sz val="9"/>
    </font>
    <font>
      <name val="Arial"/>
      <b val="1"/>
      <color rgb="FF17324F"/>
      <sz val="13"/>
    </font>
  </fonts>
  <fills count="21">
    <fill>
      <patternFill/>
    </fill>
    <fill>
      <patternFill patternType="gray125"/>
    </fill>
    <fill>
      <patternFill patternType="solid">
        <fgColor rgb="FF0B2848"/>
      </patternFill>
    </fill>
    <fill>
      <patternFill patternType="solid">
        <fgColor rgb="FFEEF1F5"/>
      </patternFill>
    </fill>
    <fill>
      <patternFill patternType="solid">
        <fgColor rgb="FFDDEBF7"/>
      </patternFill>
    </fill>
    <fill>
      <patternFill patternType="solid">
        <fgColor rgb="FFC9A442"/>
      </patternFill>
    </fill>
    <fill>
      <patternFill patternType="solid">
        <fgColor rgb="FFFFF4CC"/>
      </patternFill>
    </fill>
    <fill>
      <patternFill patternType="solid">
        <fgColor rgb="FF243746"/>
      </patternFill>
    </fill>
    <fill>
      <patternFill patternType="solid">
        <fgColor rgb="FF6F2C91"/>
      </patternFill>
    </fill>
    <fill>
      <patternFill patternType="solid">
        <fgColor rgb="FFFFFFFF"/>
      </patternFill>
    </fill>
    <fill>
      <patternFill patternType="solid">
        <fgColor rgb="FF17365D"/>
      </patternFill>
    </fill>
    <fill>
      <patternFill patternType="solid">
        <fgColor rgb="FFD9EAF7"/>
      </patternFill>
    </fill>
    <fill>
      <patternFill patternType="solid">
        <fgColor rgb="FFFFFFFF"/>
      </patternFill>
    </fill>
    <fill>
      <patternFill patternType="solid">
        <fgColor rgb="FFF3F6F9"/>
      </patternFill>
    </fill>
    <fill>
      <patternFill patternType="solid">
        <fgColor rgb="FF17354F"/>
      </patternFill>
    </fill>
    <fill>
      <patternFill patternType="solid">
        <fgColor rgb="FFEAF4F3"/>
      </patternFill>
    </fill>
    <fill>
      <patternFill patternType="solid">
        <fgColor rgb="FFF5F9FA"/>
      </patternFill>
    </fill>
    <fill>
      <patternFill patternType="solid">
        <fgColor rgb="FFE3EFF8"/>
      </patternFill>
    </fill>
    <fill>
      <patternFill patternType="solid">
        <fgColor rgb="FFF3F6F9"/>
      </patternFill>
    </fill>
    <fill>
      <patternFill patternType="solid">
        <fgColor rgb="FF0B2848"/>
      </patternFill>
    </fill>
    <fill>
      <patternFill patternType="solid">
        <fgColor rgb="FFFFF3CC"/>
      </patternFill>
    </fill>
  </fills>
  <borders count="18">
    <border/>
    <border>
      <left style="thin">
        <color rgb="FFD9DCE1"/>
      </left>
      <right style="thin">
        <color rgb="FFD9DCE1"/>
      </right>
      <top style="thin">
        <color rgb="FFD9DCE1"/>
      </top>
      <bottom style="thin">
        <color rgb="FFD9DCE1"/>
      </bottom>
    </border>
    <border>
      <left style="thin">
        <color rgb="FFC9D0D8"/>
      </left>
      <right style="thin">
        <color rgb="FFC9D0D8"/>
      </right>
      <top style="thin">
        <color rgb="FFC9D0D8"/>
      </top>
      <bottom style="thin">
        <color rgb="FFC9D0D8"/>
      </bottom>
    </border>
    <border>
      <left style="thin">
        <color rgb="FFD9DCE1"/>
      </left>
      <top style="thin">
        <color rgb="FFD9DCE1"/>
      </top>
      <bottom style="thin">
        <color rgb="FFD9DCE1"/>
      </bottom>
    </border>
    <border>
      <top style="thin">
        <color rgb="FFC9D0D8"/>
      </top>
    </border>
    <border>
      <right style="thin">
        <color rgb="FFC9D0D8"/>
      </right>
      <top style="thin">
        <color rgb="FFC9D0D8"/>
      </top>
    </border>
    <border>
      <right style="thin">
        <color rgb="FFC9D0D8"/>
      </right>
      <top style="thin">
        <color rgb="FFC9D0D8"/>
      </top>
      <bottom style="thin">
        <color rgb="FFC9D0D8"/>
      </bottom>
    </border>
    <border>
      <top style="thin">
        <color rgb="FFD9DCE1"/>
      </top>
    </border>
    <border>
      <top style="thin">
        <color rgb="FFD9DCE1"/>
      </top>
      <bottom style="thin">
        <color rgb="FFD9DCE1"/>
      </bottom>
    </border>
    <border>
      <right style="thin">
        <color rgb="FFD9DCE1"/>
      </right>
      <top style="thin">
        <color rgb="FFD9DCE1"/>
      </top>
    </border>
    <border>
      <right style="thin">
        <color rgb="FFD9DCE1"/>
      </right>
      <top style="thin">
        <color rgb="FFD9DCE1"/>
      </top>
      <bottom style="thin">
        <color rgb="FFD9DCE1"/>
      </bottom>
    </border>
    <border>
      <left style="thin">
        <color rgb="FFC9D0D8"/>
      </left>
    </border>
    <border>
      <right style="thin">
        <color rgb="FFC9D0D8"/>
      </right>
    </border>
    <border>
      <left style="thin">
        <color rgb="FFC9D0D8"/>
      </left>
      <bottom style="thin">
        <color rgb="FFC9D0D8"/>
      </bottom>
    </border>
    <border>
      <bottom style="thin">
        <color rgb="FFC9D0D8"/>
      </bottom>
    </border>
    <border>
      <right style="thin">
        <color rgb="FFC9D0D8"/>
      </right>
      <bottom style="thin">
        <color rgb="FFC9D0D8"/>
      </bottom>
    </border>
    <border>
      <top style="thin">
        <color rgb="FFC9D0D8"/>
      </top>
      <bottom style="thin">
        <color rgb="FFC9D0D8"/>
      </bottom>
    </border>
    <border>
      <bottom style="thin">
        <color rgb="FFC9D3DE"/>
      </bottom>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center"/>
    </xf>
    <xf numFmtId="0" fontId="6" fillId="0" borderId="0" applyAlignment="1" pivotButton="0" quotePrefix="0" xfId="0">
      <alignment horizontal="general" vertical="center" wrapText="1"/>
    </xf>
    <xf numFmtId="0" fontId="7" fillId="3" borderId="1" applyAlignment="1" pivotButton="0" quotePrefix="0" xfId="0">
      <alignment horizontal="general" vertical="center" wrapText="1"/>
    </xf>
    <xf numFmtId="0" fontId="8" fillId="4" borderId="2" applyAlignment="1" pivotButton="0" quotePrefix="0" xfId="0">
      <alignment horizontal="left" vertical="center"/>
    </xf>
    <xf numFmtId="0" fontId="9" fillId="3" borderId="2" applyAlignment="1" pivotButton="0" quotePrefix="0" xfId="0">
      <alignment horizontal="general" vertical="bottom"/>
    </xf>
    <xf numFmtId="164" fontId="10" fillId="4" borderId="2" applyAlignment="1" pivotButton="0" quotePrefix="0" xfId="0">
      <alignment horizontal="general" vertical="bottom"/>
    </xf>
    <xf numFmtId="0" fontId="10" fillId="4" borderId="2" applyAlignment="1" pivotButton="0" quotePrefix="0" xfId="0">
      <alignment horizontal="general" vertical="bottom"/>
    </xf>
    <xf numFmtId="0" fontId="11" fillId="2" borderId="1" applyAlignment="1" pivotButton="0" quotePrefix="0" xfId="0">
      <alignment horizontal="center" vertical="center" wrapText="1"/>
    </xf>
    <xf numFmtId="0" fontId="12" fillId="4" borderId="1" applyAlignment="1" pivotButton="0" quotePrefix="0" xfId="0">
      <alignment horizontal="center" vertical="center"/>
    </xf>
    <xf numFmtId="0" fontId="10" fillId="4" borderId="1" applyAlignment="1" pivotButton="0" quotePrefix="0" xfId="0">
      <alignment horizontal="general" vertical="center" wrapText="1"/>
    </xf>
    <xf numFmtId="9" fontId="12" fillId="4" borderId="1" applyAlignment="1" pivotButton="0" quotePrefix="0" xfId="0">
      <alignment horizontal="center" vertical="center"/>
    </xf>
    <xf numFmtId="0" fontId="13" fillId="3" borderId="3" applyAlignment="1" pivotButton="0" quotePrefix="0" xfId="0">
      <alignment horizontal="general" vertical="center"/>
    </xf>
    <xf numFmtId="9" fontId="7" fillId="0" borderId="3" applyAlignment="1" pivotButton="0" quotePrefix="0" xfId="0">
      <alignment horizontal="left" vertical="center"/>
    </xf>
    <xf numFmtId="0" fontId="13" fillId="3" borderId="1" applyAlignment="1" pivotButton="0" quotePrefix="0" xfId="0">
      <alignment horizontal="general" vertical="center" wrapText="1"/>
    </xf>
    <xf numFmtId="0" fontId="14" fillId="5" borderId="1" applyAlignment="1" pivotButton="0" quotePrefix="0" xfId="0">
      <alignment horizontal="center" vertical="center"/>
    </xf>
    <xf numFmtId="0" fontId="4" fillId="0" borderId="3" applyAlignment="1" pivotButton="0" quotePrefix="0" xfId="0">
      <alignment horizontal="general" vertical="bottom"/>
    </xf>
    <xf numFmtId="0" fontId="13" fillId="3" borderId="0" applyAlignment="1" pivotButton="0" quotePrefix="0" xfId="0">
      <alignment horizontal="general" vertical="bottom"/>
    </xf>
    <xf numFmtId="0" fontId="11" fillId="2" borderId="2" applyAlignment="1" pivotButton="0" quotePrefix="0" xfId="0">
      <alignment horizontal="center" vertical="center" wrapText="1"/>
    </xf>
    <xf numFmtId="0" fontId="10" fillId="4" borderId="2" applyAlignment="1" pivotButton="0" quotePrefix="0" xfId="0">
      <alignment horizontal="general" vertical="bottom" wrapText="1"/>
    </xf>
    <xf numFmtId="0" fontId="15" fillId="6" borderId="2" applyAlignment="1" pivotButton="0" quotePrefix="0" xfId="0">
      <alignment horizontal="general" vertical="center" wrapText="1"/>
    </xf>
    <xf numFmtId="0" fontId="16" fillId="7" borderId="0" applyAlignment="1" pivotButton="0" quotePrefix="0" xfId="0">
      <alignment horizontal="general" vertical="bottom"/>
    </xf>
    <xf numFmtId="0" fontId="16" fillId="8" borderId="0" applyAlignment="1" pivotButton="0" quotePrefix="0" xfId="0">
      <alignment horizontal="general" vertical="bottom" wrapText="1"/>
    </xf>
    <xf numFmtId="0" fontId="4" fillId="0" borderId="0" applyAlignment="1" pivotButton="0" quotePrefix="0" xfId="0">
      <alignment horizontal="general" vertical="bottom" wrapText="1"/>
    </xf>
    <xf numFmtId="0" fontId="15" fillId="6" borderId="0" applyAlignment="1" pivotButton="0" quotePrefix="0" xfId="0">
      <alignment horizontal="general" vertical="center" wrapText="1"/>
    </xf>
    <xf numFmtId="0" fontId="9" fillId="3" borderId="2" applyAlignment="1" pivotButton="0" quotePrefix="0" xfId="0">
      <alignment horizontal="general" vertical="bottom" wrapText="1"/>
    </xf>
    <xf numFmtId="0" fontId="10" fillId="6" borderId="2" applyAlignment="1" pivotButton="0" quotePrefix="0" xfId="0">
      <alignment horizontal="general" vertical="top" wrapText="1"/>
    </xf>
    <xf numFmtId="164" fontId="10" fillId="6" borderId="2" applyAlignment="1" pivotButton="0" quotePrefix="0" xfId="0">
      <alignment horizontal="general" vertical="top" wrapText="1"/>
    </xf>
    <xf numFmtId="9" fontId="10" fillId="6" borderId="2" applyAlignment="1" pivotButton="0" quotePrefix="0" xfId="0">
      <alignment horizontal="general" vertical="top" wrapText="1"/>
    </xf>
    <xf numFmtId="0" fontId="10" fillId="0" borderId="2" applyAlignment="1" pivotButton="0" quotePrefix="0" xfId="0">
      <alignment horizontal="general" vertical="bottom" wrapText="1"/>
    </xf>
    <xf numFmtId="0" fontId="9" fillId="3" borderId="2" applyAlignment="1" pivotButton="0" quotePrefix="0" xfId="0">
      <alignment horizontal="general" vertical="top" wrapText="1"/>
    </xf>
    <xf numFmtId="0" fontId="10" fillId="9" borderId="2" applyAlignment="1" pivotButton="0" quotePrefix="0" xfId="0">
      <alignment horizontal="general" vertical="top" wrapText="1"/>
    </xf>
    <xf numFmtId="0" fontId="14" fillId="3" borderId="2" applyAlignment="1" pivotButton="0" quotePrefix="0" xfId="0">
      <alignment horizontal="general" vertical="bottom"/>
    </xf>
    <xf numFmtId="0" fontId="10" fillId="0" borderId="2" applyAlignment="1" pivotButton="0" quotePrefix="0" xfId="0">
      <alignment horizontal="general" vertical="top" wrapText="1"/>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general" vertical="center"/>
    </xf>
    <xf numFmtId="0" fontId="6" fillId="0" borderId="0" applyAlignment="1" pivotButton="0" quotePrefix="0" xfId="0">
      <alignment horizontal="general" vertical="center" wrapText="1"/>
    </xf>
    <xf numFmtId="0" fontId="7" fillId="3" borderId="1" applyAlignment="1" pivotButton="0" quotePrefix="0" xfId="0">
      <alignment horizontal="general" vertical="center" wrapText="1"/>
    </xf>
    <xf numFmtId="0" fontId="8" fillId="4" borderId="2" applyAlignment="1" pivotButton="0" quotePrefix="0" xfId="0">
      <alignment horizontal="left" vertical="center"/>
    </xf>
    <xf numFmtId="0" fontId="0" fillId="0" borderId="6" pivotButton="0" quotePrefix="0" xfId="0"/>
    <xf numFmtId="0" fontId="9" fillId="3" borderId="2" applyAlignment="1" pivotButton="0" quotePrefix="0" xfId="0">
      <alignment horizontal="general" vertical="bottom"/>
    </xf>
    <xf numFmtId="164" fontId="10" fillId="4" borderId="2" applyAlignment="1" pivotButton="0" quotePrefix="0" xfId="0">
      <alignment horizontal="general" vertical="bottom"/>
    </xf>
    <xf numFmtId="0" fontId="10" fillId="4" borderId="2" applyAlignment="1" pivotButton="0" quotePrefix="0" xfId="0">
      <alignment horizontal="general" vertical="bottom"/>
    </xf>
    <xf numFmtId="0" fontId="11" fillId="2" borderId="1" applyAlignment="1" pivotButton="0" quotePrefix="0" xfId="0">
      <alignment horizontal="center" vertical="center" wrapText="1"/>
    </xf>
    <xf numFmtId="0" fontId="12" fillId="4" borderId="1" applyAlignment="1" pivotButton="0" quotePrefix="0" xfId="0">
      <alignment horizontal="center" vertical="center"/>
    </xf>
    <xf numFmtId="0" fontId="10" fillId="4" borderId="1" applyAlignment="1" pivotButton="0" quotePrefix="0" xfId="0">
      <alignment horizontal="general" vertical="center" wrapText="1"/>
    </xf>
    <xf numFmtId="9" fontId="12" fillId="4" borderId="1" applyAlignment="1" pivotButton="0" quotePrefix="0" xfId="0">
      <alignment horizontal="center" vertical="center"/>
    </xf>
    <xf numFmtId="0" fontId="13" fillId="3" borderId="3" applyAlignment="1" pivotButton="0" quotePrefix="0" xfId="0">
      <alignment horizontal="general" vertical="center"/>
    </xf>
    <xf numFmtId="0" fontId="0" fillId="0" borderId="8" pivotButton="0" quotePrefix="0" xfId="0"/>
    <xf numFmtId="0" fontId="0" fillId="0" borderId="10" pivotButton="0" quotePrefix="0" xfId="0"/>
    <xf numFmtId="9" fontId="7" fillId="0" borderId="3" applyAlignment="1" pivotButton="0" quotePrefix="0" xfId="0">
      <alignment horizontal="left" vertical="center"/>
    </xf>
    <xf numFmtId="0" fontId="13" fillId="3" borderId="1" applyAlignment="1" pivotButton="0" quotePrefix="0" xfId="0">
      <alignment horizontal="general" vertical="center" wrapText="1"/>
    </xf>
    <xf numFmtId="0" fontId="14" fillId="5" borderId="1" applyAlignment="1" pivotButton="0" quotePrefix="0" xfId="0">
      <alignment horizontal="center" vertical="center"/>
    </xf>
    <xf numFmtId="0" fontId="4" fillId="0" borderId="3" applyAlignment="1" pivotButton="0" quotePrefix="0" xfId="0">
      <alignment horizontal="general" vertical="bottom"/>
    </xf>
    <xf numFmtId="0" fontId="13" fillId="3" borderId="0" applyAlignment="1" pivotButton="0" quotePrefix="0" xfId="0">
      <alignment horizontal="general" vertical="bottom"/>
    </xf>
    <xf numFmtId="0" fontId="11" fillId="2" borderId="2" applyAlignment="1" pivotButton="0" quotePrefix="0" xfId="0">
      <alignment horizontal="center" vertical="center" wrapText="1"/>
    </xf>
    <xf numFmtId="0" fontId="10" fillId="4" borderId="2" applyAlignment="1" pivotButton="0" quotePrefix="0" xfId="0">
      <alignment horizontal="general" vertical="bottom" wrapText="1"/>
    </xf>
    <xf numFmtId="0" fontId="15" fillId="6" borderId="2" applyAlignment="1" pivotButton="0" quotePrefix="0" xfId="0">
      <alignment horizontal="general" vertical="center" wrapText="1"/>
    </xf>
    <xf numFmtId="0" fontId="0" fillId="0" borderId="4" pivotButton="0" quotePrefix="0" xfId="0"/>
    <xf numFmtId="0" fontId="0" fillId="0" borderId="5" pivotButton="0" quotePrefix="0" xfId="0"/>
    <xf numFmtId="0" fontId="0" fillId="0" borderId="13" pivotButton="0" quotePrefix="0" xfId="0"/>
    <xf numFmtId="0" fontId="0" fillId="0" borderId="14" pivotButton="0" quotePrefix="0" xfId="0"/>
    <xf numFmtId="0" fontId="0" fillId="0" borderId="15" pivotButton="0" quotePrefix="0" xfId="0"/>
    <xf numFmtId="0" fontId="16" fillId="7" borderId="0" applyAlignment="1" pivotButton="0" quotePrefix="0" xfId="0">
      <alignment horizontal="general" vertical="bottom"/>
    </xf>
    <xf numFmtId="0" fontId="16" fillId="8" borderId="0" applyAlignment="1" pivotButton="0" quotePrefix="0" xfId="0">
      <alignment horizontal="general" vertical="bottom" wrapText="1"/>
    </xf>
    <xf numFmtId="0" fontId="4" fillId="0" borderId="0" applyAlignment="1" pivotButton="0" quotePrefix="0" xfId="0">
      <alignment horizontal="general" vertical="bottom" wrapText="1"/>
    </xf>
    <xf numFmtId="0" fontId="15" fillId="6" borderId="0" applyAlignment="1" pivotButton="0" quotePrefix="0" xfId="0">
      <alignment horizontal="general" vertical="center" wrapText="1"/>
    </xf>
    <xf numFmtId="0" fontId="9" fillId="3" borderId="2" applyAlignment="1" pivotButton="0" quotePrefix="0" xfId="0">
      <alignment horizontal="general" vertical="bottom" wrapText="1"/>
    </xf>
    <xf numFmtId="0" fontId="10" fillId="6" borderId="2" applyAlignment="1" pivotButton="0" quotePrefix="0" xfId="0">
      <alignment horizontal="general" vertical="top" wrapText="1"/>
    </xf>
    <xf numFmtId="164" fontId="10" fillId="6" borderId="2" applyAlignment="1" pivotButton="0" quotePrefix="0" xfId="0">
      <alignment horizontal="general" vertical="top" wrapText="1"/>
    </xf>
    <xf numFmtId="9" fontId="10" fillId="6" borderId="2" applyAlignment="1" pivotButton="0" quotePrefix="0" xfId="0">
      <alignment horizontal="general" vertical="top" wrapText="1"/>
    </xf>
    <xf numFmtId="0" fontId="10" fillId="0" borderId="2" applyAlignment="1" pivotButton="0" quotePrefix="0" xfId="0">
      <alignment horizontal="general" vertical="bottom" wrapText="1"/>
    </xf>
    <xf numFmtId="0" fontId="9" fillId="3" borderId="2" applyAlignment="1" pivotButton="0" quotePrefix="0" xfId="0">
      <alignment horizontal="general" vertical="top" wrapText="1"/>
    </xf>
    <xf numFmtId="0" fontId="10" fillId="9" borderId="2" applyAlignment="1" pivotButton="0" quotePrefix="0" xfId="0">
      <alignment horizontal="general" vertical="top" wrapText="1"/>
    </xf>
    <xf numFmtId="0" fontId="14" fillId="3" borderId="2" applyAlignment="1" pivotButton="0" quotePrefix="0" xfId="0">
      <alignment horizontal="general" vertical="bottom"/>
    </xf>
    <xf numFmtId="0" fontId="0" fillId="0" borderId="16" pivotButton="0" quotePrefix="0" xfId="0"/>
    <xf numFmtId="0" fontId="10" fillId="0" borderId="2" applyAlignment="1" pivotButton="0" quotePrefix="0" xfId="0">
      <alignment horizontal="general" vertical="top" wrapText="1"/>
    </xf>
    <xf numFmtId="0" fontId="17" fillId="10" borderId="0" applyAlignment="1" pivotButton="0" quotePrefix="0" xfId="0">
      <alignment vertical="center"/>
    </xf>
    <xf numFmtId="0" fontId="18" fillId="0" borderId="0" applyAlignment="1" pivotButton="0" quotePrefix="0" xfId="0">
      <alignment vertical="top" wrapText="1"/>
    </xf>
    <xf numFmtId="0" fontId="19" fillId="10" borderId="17" applyAlignment="1" pivotButton="0" quotePrefix="0" xfId="0">
      <alignment vertical="center" wrapText="1"/>
    </xf>
    <xf numFmtId="0" fontId="20" fillId="11" borderId="17" applyAlignment="1" pivotButton="0" quotePrefix="0" xfId="0">
      <alignment vertical="top" wrapText="1"/>
    </xf>
    <xf numFmtId="0" fontId="21" fillId="12" borderId="17" applyAlignment="1" pivotButton="0" quotePrefix="0" xfId="0">
      <alignment vertical="top" wrapText="1"/>
    </xf>
    <xf numFmtId="0" fontId="21" fillId="13" borderId="17" applyAlignment="1" pivotButton="0" quotePrefix="0" xfId="0">
      <alignment vertical="top" wrapText="1"/>
    </xf>
    <xf numFmtId="0" fontId="22" fillId="14" borderId="0" pivotButton="0" quotePrefix="0" xfId="0"/>
    <xf numFmtId="0" fontId="0" fillId="0" borderId="0" applyAlignment="1" pivotButton="0" quotePrefix="0" xfId="0">
      <alignment vertical="top" wrapText="1"/>
    </xf>
    <xf numFmtId="0" fontId="23" fillId="0" borderId="0" pivotButton="0" quotePrefix="0" xfId="0"/>
    <xf numFmtId="0" fontId="24" fillId="15" borderId="0" applyAlignment="1" pivotButton="0" quotePrefix="0" xfId="0">
      <alignment vertical="top" wrapText="1"/>
    </xf>
    <xf numFmtId="0" fontId="25" fillId="15" borderId="0" applyAlignment="1" pivotButton="0" quotePrefix="0" xfId="0">
      <alignment vertical="top" wrapText="1"/>
    </xf>
    <xf numFmtId="0" fontId="24" fillId="16" borderId="0" applyAlignment="1" pivotButton="0" quotePrefix="0" xfId="0">
      <alignment vertical="top" wrapText="1"/>
    </xf>
    <xf numFmtId="0" fontId="25" fillId="16" borderId="0" applyAlignment="1" pivotButton="0" quotePrefix="0" xfId="0">
      <alignment vertical="top" wrapText="1"/>
    </xf>
    <xf numFmtId="0" fontId="5" fillId="2" borderId="0" applyAlignment="1" pivotButton="0" quotePrefix="0" xfId="0">
      <alignment horizontal="general" vertical="center"/>
    </xf>
    <xf numFmtId="0" fontId="0" fillId="0" borderId="0" applyAlignment="1" pivotButton="0" quotePrefix="0" xfId="0">
      <alignment horizontal="general" vertical="bottom"/>
    </xf>
    <xf numFmtId="0" fontId="6" fillId="0" borderId="0" applyAlignment="1" pivotButton="0" quotePrefix="0" xfId="0">
      <alignment horizontal="general" vertical="center" wrapText="1"/>
    </xf>
    <xf numFmtId="0" fontId="7" fillId="3" borderId="1" applyAlignment="1" pivotButton="0" quotePrefix="0" xfId="0">
      <alignment horizontal="general" vertical="center" wrapText="1"/>
    </xf>
    <xf numFmtId="0" fontId="8" fillId="4" borderId="2" applyAlignment="1" pivotButton="0" quotePrefix="0" xfId="0">
      <alignment horizontal="left" vertical="center"/>
    </xf>
    <xf numFmtId="0" fontId="0" fillId="0" borderId="6" pivotButton="0" quotePrefix="0" xfId="0"/>
    <xf numFmtId="0" fontId="9" fillId="3" borderId="2" applyAlignment="1" pivotButton="0" quotePrefix="0" xfId="0">
      <alignment horizontal="general" vertical="bottom"/>
    </xf>
    <xf numFmtId="164" fontId="10" fillId="4" borderId="2" applyAlignment="1" pivotButton="0" quotePrefix="0" xfId="0">
      <alignment horizontal="general" vertical="bottom"/>
    </xf>
    <xf numFmtId="0" fontId="10" fillId="4" borderId="2" applyAlignment="1" pivotButton="0" quotePrefix="0" xfId="0">
      <alignment horizontal="general" vertical="bottom"/>
    </xf>
    <xf numFmtId="0" fontId="11" fillId="2" borderId="1" applyAlignment="1" pivotButton="0" quotePrefix="0" xfId="0">
      <alignment horizontal="center" vertical="center" wrapText="1"/>
    </xf>
    <xf numFmtId="0" fontId="12" fillId="4" borderId="1" applyAlignment="1" pivotButton="0" quotePrefix="0" xfId="0">
      <alignment horizontal="center" vertical="center"/>
    </xf>
    <xf numFmtId="0" fontId="10" fillId="4" borderId="1" applyAlignment="1" pivotButton="0" quotePrefix="0" xfId="0">
      <alignment horizontal="general" vertical="center" wrapText="1"/>
    </xf>
    <xf numFmtId="9" fontId="12" fillId="4" borderId="1" applyAlignment="1" pivotButton="0" quotePrefix="0" xfId="0">
      <alignment horizontal="center" vertical="center"/>
    </xf>
    <xf numFmtId="0" fontId="13" fillId="3" borderId="3" applyAlignment="1" pivotButton="0" quotePrefix="0" xfId="0">
      <alignment horizontal="general" vertical="center"/>
    </xf>
    <xf numFmtId="0" fontId="0" fillId="0" borderId="8" pivotButton="0" quotePrefix="0" xfId="0"/>
    <xf numFmtId="0" fontId="0" fillId="0" borderId="10" pivotButton="0" quotePrefix="0" xfId="0"/>
    <xf numFmtId="9" fontId="7" fillId="0" borderId="3" applyAlignment="1" pivotButton="0" quotePrefix="0" xfId="0">
      <alignment horizontal="left" vertical="center"/>
    </xf>
    <xf numFmtId="0" fontId="13" fillId="3" borderId="1" applyAlignment="1" pivotButton="0" quotePrefix="0" xfId="0">
      <alignment horizontal="general" vertical="center" wrapText="1"/>
    </xf>
    <xf numFmtId="0" fontId="14" fillId="5" borderId="1" applyAlignment="1" pivotButton="0" quotePrefix="0" xfId="0">
      <alignment horizontal="center" vertical="center"/>
    </xf>
    <xf numFmtId="0" fontId="4" fillId="0" borderId="3" applyAlignment="1" pivotButton="0" quotePrefix="0" xfId="0">
      <alignment horizontal="general" vertical="bottom"/>
    </xf>
    <xf numFmtId="0" fontId="13" fillId="3" borderId="0" applyAlignment="1" pivotButton="0" quotePrefix="0" xfId="0">
      <alignment horizontal="general" vertical="bottom"/>
    </xf>
    <xf numFmtId="0" fontId="11" fillId="2" borderId="2" applyAlignment="1" pivotButton="0" quotePrefix="0" xfId="0">
      <alignment horizontal="center" vertical="center" wrapText="1"/>
    </xf>
    <xf numFmtId="0" fontId="10" fillId="4" borderId="2" applyAlignment="1" pivotButton="0" quotePrefix="0" xfId="0">
      <alignment horizontal="general" vertical="bottom" wrapText="1"/>
    </xf>
    <xf numFmtId="0" fontId="15" fillId="6" borderId="2" applyAlignment="1" pivotButton="0" quotePrefix="0" xfId="0">
      <alignment horizontal="general" vertical="center" wrapText="1"/>
    </xf>
    <xf numFmtId="0" fontId="0" fillId="0" borderId="4" pivotButton="0" quotePrefix="0" xfId="0"/>
    <xf numFmtId="0" fontId="0" fillId="0" borderId="5" pivotButton="0" quotePrefix="0" xfId="0"/>
    <xf numFmtId="0" fontId="0" fillId="0" borderId="13" pivotButton="0" quotePrefix="0" xfId="0"/>
    <xf numFmtId="0" fontId="0" fillId="0" borderId="14" pivotButton="0" quotePrefix="0" xfId="0"/>
    <xf numFmtId="0" fontId="0" fillId="0" borderId="15" pivotButton="0" quotePrefix="0" xfId="0"/>
    <xf numFmtId="0" fontId="16" fillId="7" borderId="0" applyAlignment="1" pivotButton="0" quotePrefix="0" xfId="0">
      <alignment horizontal="general" vertical="bottom"/>
    </xf>
    <xf numFmtId="0" fontId="16" fillId="8" borderId="0" applyAlignment="1" pivotButton="0" quotePrefix="0" xfId="0">
      <alignment horizontal="general" vertical="bottom" wrapText="1"/>
    </xf>
    <xf numFmtId="0" fontId="4" fillId="0" borderId="0" applyAlignment="1" pivotButton="0" quotePrefix="0" xfId="0">
      <alignment horizontal="general" vertical="bottom" wrapText="1"/>
    </xf>
    <xf numFmtId="0" fontId="11" fillId="2" borderId="0" applyAlignment="1" pivotButton="0" quotePrefix="0" xfId="0">
      <alignment horizontal="general" vertical="center"/>
    </xf>
    <xf numFmtId="0" fontId="26" fillId="0" borderId="0" applyAlignment="1" pivotButton="0" quotePrefix="0" xfId="0">
      <alignment horizontal="general" vertical="bottom"/>
    </xf>
    <xf numFmtId="0" fontId="10" fillId="3" borderId="1" applyAlignment="1" pivotButton="0" quotePrefix="0" xfId="0">
      <alignment horizontal="general" vertical="center" wrapText="1"/>
    </xf>
    <xf numFmtId="0" fontId="26" fillId="0" borderId="6" pivotButton="0" quotePrefix="0" xfId="0"/>
    <xf numFmtId="0" fontId="27" fillId="4" borderId="1" applyAlignment="1" pivotButton="0" quotePrefix="0" xfId="0">
      <alignment horizontal="center" vertical="center"/>
    </xf>
    <xf numFmtId="9" fontId="27" fillId="4" borderId="1" applyAlignment="1" pivotButton="0" quotePrefix="0" xfId="0">
      <alignment horizontal="center" vertical="center"/>
    </xf>
    <xf numFmtId="0" fontId="9" fillId="3" borderId="3" applyAlignment="1" pivotButton="0" quotePrefix="0" xfId="0">
      <alignment horizontal="general" vertical="center"/>
    </xf>
    <xf numFmtId="0" fontId="26" fillId="0" borderId="8" pivotButton="0" quotePrefix="0" xfId="0"/>
    <xf numFmtId="0" fontId="26" fillId="0" borderId="10" pivotButton="0" quotePrefix="0" xfId="0"/>
    <xf numFmtId="9" fontId="10" fillId="0" borderId="3" applyAlignment="1" pivotButton="0" quotePrefix="0" xfId="0">
      <alignment horizontal="left" vertical="center"/>
    </xf>
    <xf numFmtId="0" fontId="9" fillId="3" borderId="1" applyAlignment="1" pivotButton="0" quotePrefix="0" xfId="0">
      <alignment horizontal="general" vertical="center" wrapText="1"/>
    </xf>
    <xf numFmtId="0" fontId="9" fillId="5" borderId="1" applyAlignment="1" pivotButton="0" quotePrefix="0" xfId="0">
      <alignment horizontal="center" vertical="center"/>
    </xf>
    <xf numFmtId="0" fontId="28" fillId="0" borderId="3" applyAlignment="1" pivotButton="0" quotePrefix="0" xfId="0">
      <alignment horizontal="general" vertical="bottom"/>
    </xf>
    <xf numFmtId="0" fontId="9" fillId="3" borderId="0" applyAlignment="1" pivotButton="0" quotePrefix="0" xfId="0">
      <alignment horizontal="general" vertical="bottom"/>
    </xf>
    <xf numFmtId="0" fontId="26" fillId="0" borderId="4" pivotButton="0" quotePrefix="0" xfId="0"/>
    <xf numFmtId="0" fontId="26" fillId="0" borderId="5" pivotButton="0" quotePrefix="0" xfId="0"/>
    <xf numFmtId="0" fontId="26" fillId="0" borderId="13" pivotButton="0" quotePrefix="0" xfId="0"/>
    <xf numFmtId="0" fontId="26" fillId="0" borderId="14" pivotButton="0" quotePrefix="0" xfId="0"/>
    <xf numFmtId="0" fontId="26" fillId="0" borderId="15" pivotButton="0" quotePrefix="0" xfId="0"/>
    <xf numFmtId="0" fontId="11" fillId="7" borderId="0" applyAlignment="1" pivotButton="0" quotePrefix="0" xfId="0">
      <alignment horizontal="general" vertical="bottom"/>
    </xf>
    <xf numFmtId="0" fontId="11" fillId="8" borderId="0" applyAlignment="1" pivotButton="0" quotePrefix="0" xfId="0">
      <alignment horizontal="general" vertical="bottom" wrapText="1"/>
    </xf>
    <xf numFmtId="0" fontId="28" fillId="0" borderId="0" applyAlignment="1" pivotButton="0" quotePrefix="0" xfId="0">
      <alignment horizontal="general" vertical="bottom" wrapText="1"/>
    </xf>
    <xf numFmtId="0" fontId="17" fillId="2" borderId="0" applyAlignment="1" pivotButton="0" quotePrefix="0" xfId="0">
      <alignment horizontal="general" vertical="center"/>
    </xf>
    <xf numFmtId="0" fontId="29" fillId="0" borderId="0" applyAlignment="1" pivotButton="0" quotePrefix="0" xfId="0">
      <alignment horizontal="general" vertical="bottom"/>
    </xf>
    <xf numFmtId="0" fontId="27" fillId="4" borderId="1" applyAlignment="1" pivotButton="0" quotePrefix="0" xfId="0">
      <alignment horizontal="center" vertical="center" wrapText="1"/>
    </xf>
    <xf numFmtId="9" fontId="27" fillId="4" borderId="1" applyAlignment="1" pivotButton="0" quotePrefix="0" xfId="0">
      <alignment horizontal="center" vertical="center" wrapText="1"/>
    </xf>
    <xf numFmtId="0" fontId="26" fillId="0" borderId="0" applyAlignment="1" pivotButton="0" quotePrefix="0" xfId="0">
      <alignment horizontal="general" vertical="bottom" wrapText="1"/>
    </xf>
    <xf numFmtId="0" fontId="9" fillId="3" borderId="3" applyAlignment="1" pivotButton="0" quotePrefix="0" xfId="0">
      <alignment horizontal="general" vertical="center" wrapText="1"/>
    </xf>
    <xf numFmtId="0" fontId="26" fillId="0" borderId="8" applyAlignment="1" pivotButton="0" quotePrefix="0" xfId="0">
      <alignment wrapText="1"/>
    </xf>
    <xf numFmtId="0" fontId="26" fillId="0" borderId="10" applyAlignment="1" pivotButton="0" quotePrefix="0" xfId="0">
      <alignment wrapText="1"/>
    </xf>
    <xf numFmtId="9" fontId="10" fillId="0" borderId="3" applyAlignment="1" pivotButton="0" quotePrefix="0" xfId="0">
      <alignment horizontal="left" vertical="center" wrapText="1"/>
    </xf>
    <xf numFmtId="0" fontId="9" fillId="5" borderId="1" applyAlignment="1" pivotButton="0" quotePrefix="0" xfId="0">
      <alignment horizontal="center" vertical="center" wrapText="1"/>
    </xf>
    <xf numFmtId="0" fontId="28" fillId="0" borderId="3" applyAlignment="1" pivotButton="0" quotePrefix="0" xfId="0">
      <alignment horizontal="general" vertical="bottom" wrapText="1"/>
    </xf>
    <xf numFmtId="0" fontId="9" fillId="3" borderId="0" applyAlignment="1" pivotButton="0" quotePrefix="0" xfId="0">
      <alignment horizontal="general" vertical="bottom" wrapText="1"/>
    </xf>
    <xf numFmtId="0" fontId="26" fillId="0" borderId="4" applyAlignment="1" pivotButton="0" quotePrefix="0" xfId="0">
      <alignment wrapText="1"/>
    </xf>
    <xf numFmtId="0" fontId="26" fillId="0" borderId="5" applyAlignment="1" pivotButton="0" quotePrefix="0" xfId="0">
      <alignment wrapText="1"/>
    </xf>
    <xf numFmtId="0" fontId="26" fillId="0" borderId="13" applyAlignment="1" pivotButton="0" quotePrefix="0" xfId="0">
      <alignment wrapText="1"/>
    </xf>
    <xf numFmtId="0" fontId="26" fillId="0" borderId="14" applyAlignment="1" pivotButton="0" quotePrefix="0" xfId="0">
      <alignment wrapText="1"/>
    </xf>
    <xf numFmtId="0" fontId="26" fillId="0" borderId="15" applyAlignment="1" pivotButton="0" quotePrefix="0" xfId="0">
      <alignment wrapText="1"/>
    </xf>
    <xf numFmtId="0" fontId="11" fillId="7" borderId="0" applyAlignment="1" pivotButton="0" quotePrefix="0" xfId="0">
      <alignment horizontal="general" vertical="bottom" wrapText="1"/>
    </xf>
    <xf numFmtId="0" fontId="28" fillId="17" borderId="0" applyAlignment="1" pivotButton="0" quotePrefix="0" xfId="0">
      <alignment horizontal="general" vertical="bottom" wrapText="1"/>
    </xf>
    <xf numFmtId="0" fontId="28" fillId="18" borderId="0" applyAlignment="1" pivotButton="0" quotePrefix="0" xfId="0">
      <alignment horizontal="general" vertical="bottom" wrapText="1"/>
    </xf>
    <xf numFmtId="0" fontId="26" fillId="19" borderId="0" applyAlignment="1" pivotButton="0" quotePrefix="0" xfId="0">
      <alignment horizontal="general" vertical="bottom" wrapText="1"/>
    </xf>
    <xf numFmtId="0" fontId="30" fillId="19" borderId="0" applyAlignment="1" pivotButton="0" quotePrefix="0" xfId="0">
      <alignment horizontal="general" vertical="bottom" wrapText="1"/>
    </xf>
    <xf numFmtId="0" fontId="11" fillId="19" borderId="0" applyAlignment="1" pivotButton="0" quotePrefix="0" xfId="0">
      <alignment horizontal="general" vertical="bottom" wrapText="1"/>
    </xf>
    <xf numFmtId="0" fontId="15" fillId="6" borderId="0" applyAlignment="1" pivotButton="0" quotePrefix="0" xfId="0">
      <alignment horizontal="general" vertical="center" wrapText="1"/>
    </xf>
    <xf numFmtId="0" fontId="9" fillId="3" borderId="2" applyAlignment="1" pivotButton="0" quotePrefix="0" xfId="0">
      <alignment horizontal="general" vertical="bottom" wrapText="1"/>
    </xf>
    <xf numFmtId="0" fontId="10" fillId="6" borderId="2" applyAlignment="1" pivotButton="0" quotePrefix="0" xfId="0">
      <alignment horizontal="general" vertical="top" wrapText="1"/>
    </xf>
    <xf numFmtId="164" fontId="10" fillId="6" borderId="2" applyAlignment="1" pivotButton="0" quotePrefix="0" xfId="0">
      <alignment horizontal="general" vertical="top" wrapText="1"/>
    </xf>
    <xf numFmtId="0" fontId="4" fillId="0" borderId="0" applyAlignment="1" pivotButton="0" quotePrefix="0" xfId="0">
      <alignment horizontal="general" vertical="bottom"/>
    </xf>
    <xf numFmtId="9" fontId="10" fillId="6" borderId="2" applyAlignment="1" pivotButton="0" quotePrefix="0" xfId="0">
      <alignment horizontal="general" vertical="top" wrapText="1"/>
    </xf>
    <xf numFmtId="0" fontId="10" fillId="0" borderId="2" applyAlignment="1" pivotButton="0" quotePrefix="0" xfId="0">
      <alignment horizontal="general" vertical="bottom" wrapText="1"/>
    </xf>
    <xf numFmtId="0" fontId="28" fillId="0" borderId="0" applyAlignment="1" pivotButton="0" quotePrefix="0" xfId="0">
      <alignment horizontal="general" vertical="bottom"/>
    </xf>
    <xf numFmtId="0" fontId="28" fillId="20" borderId="0" applyAlignment="1" pivotButton="0" quotePrefix="0" xfId="0">
      <alignment horizontal="general" vertical="bottom" wrapText="1"/>
    </xf>
    <xf numFmtId="0" fontId="9" fillId="3" borderId="2" applyAlignment="1" pivotButton="0" quotePrefix="0" xfId="0">
      <alignment horizontal="general" vertical="top" wrapText="1"/>
    </xf>
    <xf numFmtId="0" fontId="10" fillId="9" borderId="2" applyAlignment="1" pivotButton="0" quotePrefix="0" xfId="0">
      <alignment horizontal="general" vertical="top" wrapText="1"/>
    </xf>
    <xf numFmtId="0" fontId="14" fillId="3" borderId="2" applyAlignment="1" pivotButton="0" quotePrefix="0" xfId="0">
      <alignment horizontal="general" vertical="bottom"/>
    </xf>
    <xf numFmtId="0" fontId="0" fillId="0" borderId="16" pivotButton="0" quotePrefix="0" xfId="0"/>
    <xf numFmtId="0" fontId="10" fillId="0" borderId="2" applyAlignment="1" pivotButton="0" quotePrefix="0" xfId="0">
      <alignment horizontal="general" vertical="top" wrapText="1"/>
    </xf>
    <xf numFmtId="0" fontId="26" fillId="0" borderId="16" pivotButton="0" quotePrefix="0" xfId="0"/>
    <xf numFmtId="0" fontId="26" fillId="0" borderId="16" applyAlignment="1" pivotButton="0" quotePrefix="0" xfId="0">
      <alignment wrapText="1"/>
    </xf>
    <xf numFmtId="0" fontId="26" fillId="0" borderId="6" applyAlignment="1" pivotButton="0" quotePrefix="0" xfId="0">
      <alignment wrapText="1"/>
    </xf>
    <xf numFmtId="0" fontId="17" fillId="10" borderId="0" applyAlignment="1" pivotButton="0" quotePrefix="0" xfId="0">
      <alignment vertical="center"/>
    </xf>
    <xf numFmtId="0" fontId="18" fillId="0" borderId="0" applyAlignment="1" pivotButton="0" quotePrefix="0" xfId="0">
      <alignment vertical="top" wrapText="1"/>
    </xf>
    <xf numFmtId="0" fontId="19" fillId="10" borderId="17" applyAlignment="1" pivotButton="0" quotePrefix="0" xfId="0">
      <alignment vertical="center" wrapText="1"/>
    </xf>
    <xf numFmtId="0" fontId="20" fillId="11" borderId="17" applyAlignment="1" pivotButton="0" quotePrefix="0" xfId="0">
      <alignment vertical="top" wrapText="1"/>
    </xf>
    <xf numFmtId="0" fontId="21" fillId="9" borderId="17" applyAlignment="1" pivotButton="0" quotePrefix="0" xfId="0">
      <alignment vertical="top" wrapText="1"/>
    </xf>
    <xf numFmtId="0" fontId="21" fillId="13" borderId="17" applyAlignment="1" pivotButton="0" quotePrefix="0" xfId="0">
      <alignment vertical="top" wrapText="1"/>
    </xf>
    <xf numFmtId="0" fontId="11" fillId="10" borderId="0" applyAlignment="1" pivotButton="0" quotePrefix="0" xfId="0">
      <alignment vertical="center"/>
    </xf>
    <xf numFmtId="0" fontId="31" fillId="0" borderId="0" applyAlignment="1" pivotButton="0" quotePrefix="0" xfId="0">
      <alignment vertical="top" wrapText="1"/>
    </xf>
    <xf numFmtId="0" fontId="11" fillId="10" borderId="17" applyAlignment="1" pivotButton="0" quotePrefix="0" xfId="0">
      <alignment vertical="center" wrapText="1"/>
    </xf>
    <xf numFmtId="0" fontId="32" fillId="11" borderId="17" applyAlignment="1" pivotButton="0" quotePrefix="0" xfId="0">
      <alignment vertical="top" wrapText="1"/>
    </xf>
    <xf numFmtId="0" fontId="33" fillId="9" borderId="17" applyAlignment="1" pivotButton="0" quotePrefix="0" xfId="0">
      <alignment vertical="top" wrapText="1"/>
    </xf>
    <xf numFmtId="0" fontId="33" fillId="13" borderId="17" applyAlignment="1" pivotButton="0" quotePrefix="0" xfId="0">
      <alignment vertical="top" wrapText="1"/>
    </xf>
    <xf numFmtId="0" fontId="34" fillId="10" borderId="0" applyAlignment="1" pivotButton="0" quotePrefix="0" xfId="0">
      <alignment vertical="center"/>
    </xf>
    <xf numFmtId="0" fontId="35" fillId="0" borderId="0" applyAlignment="1" pivotButton="0" quotePrefix="0" xfId="0">
      <alignment horizontal="general" vertical="bottom"/>
    </xf>
    <xf numFmtId="0" fontId="36" fillId="14" borderId="0" pivotButton="0" quotePrefix="0" xfId="0"/>
    <xf numFmtId="0" fontId="0" fillId="0" borderId="0" applyAlignment="1" pivotButton="0" quotePrefix="0" xfId="0">
      <alignment vertical="top" wrapText="1"/>
    </xf>
    <xf numFmtId="0" fontId="11" fillId="14" borderId="0" pivotButton="0" quotePrefix="0" xfId="0"/>
    <xf numFmtId="0" fontId="26" fillId="0" borderId="0" applyAlignment="1" pivotButton="0" quotePrefix="0" xfId="0">
      <alignment vertical="top" wrapText="1"/>
    </xf>
    <xf numFmtId="0" fontId="11" fillId="14" borderId="0" applyAlignment="1" pivotButton="0" quotePrefix="0" xfId="0">
      <alignment wrapText="1"/>
    </xf>
    <xf numFmtId="0" fontId="37" fillId="0" borderId="0" pivotButton="0" quotePrefix="0" xfId="0"/>
    <xf numFmtId="0" fontId="38" fillId="15" borderId="0" applyAlignment="1" pivotButton="0" quotePrefix="0" xfId="0">
      <alignment vertical="top" wrapText="1"/>
    </xf>
    <xf numFmtId="0" fontId="39" fillId="15" borderId="0" applyAlignment="1" pivotButton="0" quotePrefix="0" xfId="0">
      <alignment vertical="top" wrapText="1"/>
    </xf>
    <xf numFmtId="0" fontId="38" fillId="16" borderId="0" applyAlignment="1" pivotButton="0" quotePrefix="0" xfId="0">
      <alignment vertical="top" wrapText="1"/>
    </xf>
    <xf numFmtId="0" fontId="39" fillId="16" borderId="0" applyAlignment="1" pivotButton="0" quotePrefix="0" xfId="0">
      <alignment vertical="top" wrapText="1"/>
    </xf>
    <xf numFmtId="0" fontId="40" fillId="0" borderId="0" pivotButton="0" quotePrefix="0" xfId="0"/>
    <xf numFmtId="0" fontId="40" fillId="15" borderId="0" applyAlignment="1" pivotButton="0" quotePrefix="0" xfId="0">
      <alignment vertical="top" wrapText="1"/>
    </xf>
    <xf numFmtId="0" fontId="41" fillId="15" borderId="0" applyAlignment="1" pivotButton="0" quotePrefix="0" xfId="0">
      <alignment vertical="top" wrapText="1"/>
    </xf>
    <xf numFmtId="0" fontId="40" fillId="16" borderId="0" applyAlignment="1" pivotButton="0" quotePrefix="0" xfId="0">
      <alignment vertical="top" wrapText="1"/>
    </xf>
    <xf numFmtId="0" fontId="41" fillId="16" borderId="0" applyAlignment="1" pivotButton="0" quotePrefix="0" xfId="0">
      <alignment vertical="top" wrapText="1"/>
    </xf>
    <xf numFmtId="0" fontId="42" fillId="0" borderId="0" pivotButton="0" quotePrefix="0" xfId="0"/>
  </cellXfs>
  <cellStyles count="6">
    <cellStyle name="Normal" xfId="0"/>
    <cellStyle name="Comma" xfId="1"/>
    <cellStyle name="Comma [0]" xfId="2"/>
    <cellStyle name="Currency" xfId="3"/>
    <cellStyle name="Currency [0]" xfId="4"/>
    <cellStyle name="Percent" xfId="5"/>
  </cellStyles>
  <dxfs count="12">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val="1"/>
        <color rgb="FF274E13"/>
      </font>
      <fill>
        <patternFill>
          <bgColor rgb="FFD9EAD3"/>
        </patternFill>
      </fill>
    </dxf>
    <dxf>
      <font>
        <b val="1"/>
        <color rgb="FF9C0006"/>
      </font>
      <fill>
        <patternFill>
          <bgColor rgb="FFF4CCCC"/>
        </patternFill>
      </fill>
    </dxf>
    <dxf>
      <font>
        <b val="1"/>
        <color rgb="FF222222"/>
      </font>
      <fill>
        <patternFill>
          <bgColor rgb="FFFCE5CD"/>
        </patternFill>
      </fill>
    </dxf>
    <dxf>
      <fill>
        <patternFill>
          <bgColor rgb="FF0B2848"/>
        </patternFill>
      </fill>
    </dxf>
    <dxf>
      <fill>
        <patternFill>
          <bgColor rgb="FF000000"/>
        </patternFill>
      </fill>
    </dxf>
    <dxf>
      <fill>
        <patternFill>
          <bgColor rgb="FF000000"/>
        </patternFill>
      </fill>
    </dxf>
    <dxf>
      <fill>
        <patternFill>
          <bgColor rgb="FFFFFFFF"/>
        </patternFill>
      </fill>
    </dxf>
    <dxf>
      <fill>
        <patternFill>
          <bgColor rgb="FFFFF4CC"/>
        </patternFill>
      </fill>
    </dxf>
    <dxf>
      <fill>
        <patternFill>
          <bgColor rgb="FF22222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D9DCE1"/>
      <rgbColor rgb="FF808080"/>
      <rgbColor rgb="FF9999FF"/>
      <rgbColor rgb="FF6F2C91"/>
      <rgbColor rgb="FFFFF4CC"/>
      <rgbColor rgb="FFDDEBF7"/>
      <rgbColor rgb="FF660066"/>
      <rgbColor rgb="FFFF8080"/>
      <rgbColor rgb="FF0066CC"/>
      <rgbColor rgb="FFC9D0D8"/>
      <rgbColor rgb="FF000080"/>
      <rgbColor rgb="FFFF00FF"/>
      <rgbColor rgb="FFFFFF00"/>
      <rgbColor rgb="FF00FFFF"/>
      <rgbColor rgb="FF800080"/>
      <rgbColor rgb="FF800000"/>
      <rgbColor rgb="FF008080"/>
      <rgbColor rgb="FF0000FF"/>
      <rgbColor rgb="FF00CCFF"/>
      <rgbColor rgb="FFEEF1F5"/>
      <rgbColor rgb="FFC6EFCE"/>
      <rgbColor rgb="FFFFEB9C"/>
      <rgbColor rgb="FFD9EAD3"/>
      <rgbColor rgb="FFFFC7CE"/>
      <rgbColor rgb="FFFCE5CD"/>
      <rgbColor rgb="FFF4CCCC"/>
      <rgbColor rgb="FF3366FF"/>
      <rgbColor rgb="FF33CCCC"/>
      <rgbColor rgb="FF99CC00"/>
      <rgbColor rgb="FFFFCC00"/>
      <rgbColor rgb="FFC9A442"/>
      <rgbColor rgb="FFFF6600"/>
      <rgbColor rgb="FF5B6472"/>
      <rgbColor rgb="FF969696"/>
      <rgbColor rgb="FF0B2848"/>
      <rgbColor rgb="FF339966"/>
      <rgbColor rgb="FF0A2342"/>
      <rgbColor rgb="FF222222"/>
      <rgbColor rgb="FF993300"/>
      <rgbColor rgb="FF993366"/>
      <rgbColor rgb="FF274E13"/>
      <rgbColor rgb="FF24374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DashboardMetricsInput" displayName="DashboardMetricsInput" ref="A12:H20" headerRowCount="1" totalsRowCount="0" totalsRowShown="0">
  <tableColumns count="8">
    <tableColumn id="1" name="Indicator"/>
    <tableColumn id="2" name="Current period"/>
    <tableColumn id="3" name="Previous period"/>
    <tableColumn id="4" name="RAG"/>
    <tableColumn id="5" name="Source record / file"/>
    <tableColumn id="6" name="Source data as at"/>
    <tableColumn id="7" name="Reconciled / checked by"/>
    <tableColumn id="8" name="Notes"/>
  </tableColumns>
</table>
</file>

<file path=xl/tables/table2.xml><?xml version="1.0" encoding="utf-8"?>
<table xmlns="http://schemas.openxmlformats.org/spreadsheetml/2006/main" id="2" name="DashboardRiskInput" displayName="DashboardRiskInput" ref="A23:F28" headerRowCount="1" totalsRowCount="0" totalsRowShown="0">
  <tableColumns count="6">
    <tableColumn id="1" name="Risk tier"/>
    <tableColumn id="2" name="Current count (UC-IDs)"/>
    <tableColumn id="3" name="Previous count"/>
    <tableColumn id="4" name="Source record / file"/>
    <tableColumn id="5" name="Source data as at"/>
    <tableColumn id="6" name="Reconciled / checked by"/>
  </tableColumns>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fitToPage="1"/>
  </sheetPr>
  <dimension ref="A1:F52"/>
  <sheetViews>
    <sheetView showGridLines="0" workbookViewId="0">
      <selection activeCell="A1" sqref="A1"/>
    </sheetView>
  </sheetViews>
  <sheetFormatPr baseColWidth="8" defaultColWidth="9.54296875" defaultRowHeight="15"/>
  <cols>
    <col width="61" customWidth="1" style="173" min="1" max="1"/>
    <col width="17" customWidth="1" style="36" min="2" max="2"/>
    <col width="17" customWidth="1" style="36" min="3" max="3"/>
    <col width="12" customWidth="1" style="36" min="4" max="4"/>
    <col width="12" customWidth="1" style="36" min="5" max="5"/>
    <col width="45" customWidth="1" style="173" min="6" max="6"/>
  </cols>
  <sheetData>
    <row r="1" ht="25.5" customHeight="1" s="36">
      <c r="A1" s="146" t="inlineStr">
        <is>
          <t>The Council — AI Governance Dashboard</t>
        </is>
      </c>
    </row>
    <row r="2" ht="42" customHeight="1" s="36">
      <c r="A2" s="94" t="inlineStr">
        <is>
          <t>Controlled point-in-time snapshot. Use-specific measures are counted by UC-ID; AIR-ID (system) counts are labelled as such and never imply UC-ID approval. Each figure displays only when its source, as-at date and checker are recorded (see Measure definitions). UC-ID counts are manually reconciled to the UC-ID current view; no automatic cross-workbook synchronisation.</t>
        </is>
      </c>
    </row>
    <row r="3">
      <c r="A3" s="125" t="n"/>
      <c r="B3" s="125" t="n"/>
      <c r="C3" s="125" t="n"/>
      <c r="D3" s="125" t="n"/>
      <c r="E3" s="125" t="n"/>
      <c r="F3" s="125" t="n"/>
    </row>
    <row r="4" ht="15" customHeight="1" s="36">
      <c r="A4" s="126" t="inlineStr">
        <is>
          <t>Reporting period</t>
        </is>
      </c>
      <c r="B4" s="96">
        <f>IF(ISBLANK('Controlled Inputs'!B4),"",'Controlled Inputs'!B4)</f>
        <v/>
      </c>
      <c r="C4" s="97" t="n"/>
      <c r="D4" s="126" t="inlineStr">
        <is>
          <t>Prepared by</t>
        </is>
      </c>
      <c r="E4" s="96">
        <f>IF(ISBLANK('Controlled Inputs'!B8),"",'Controlled Inputs'!B8)</f>
        <v/>
      </c>
      <c r="F4" s="97" t="n"/>
    </row>
    <row r="5" ht="15" customHeight="1" s="36">
      <c r="A5" s="98" t="inlineStr">
        <is>
          <t>Data as at</t>
        </is>
      </c>
      <c r="B5" s="99">
        <f>IF(ISBLANK('Controlled Inputs'!B5),"",'Controlled Inputs'!B5)</f>
        <v/>
      </c>
      <c r="C5" s="97" t="n"/>
      <c r="D5" s="98" t="inlineStr">
        <is>
          <t>Checked by</t>
        </is>
      </c>
      <c r="E5" s="100">
        <f>IF(ISBLANK('Controlled Inputs'!B9),"",'Controlled Inputs'!B9)</f>
        <v/>
      </c>
      <c r="F5" s="97" t="n"/>
    </row>
    <row r="6" ht="25.5" customHeight="1" s="36">
      <c r="A6" s="101" t="inlineStr">
        <is>
          <t>Indicator</t>
        </is>
      </c>
      <c r="B6" s="101" t="inlineStr">
        <is>
          <t>Current period</t>
        </is>
      </c>
      <c r="C6" s="101" t="inlineStr">
        <is>
          <t>Previous period</t>
        </is>
      </c>
      <c r="D6" s="101" t="inlineStr">
        <is>
          <t>Trend</t>
        </is>
      </c>
      <c r="E6" s="101" t="inlineStr">
        <is>
          <t>RAG</t>
        </is>
      </c>
      <c r="F6" s="101" t="inlineStr">
        <is>
          <t>Notes / commentary</t>
        </is>
      </c>
    </row>
    <row r="7" ht="24" customHeight="1" s="36">
      <c r="A7" s="126" t="inlineStr">
        <is>
          <t>AIR-IDs with ≥1 authorised UC-ID in operation</t>
        </is>
      </c>
      <c r="B7" s="148">
        <f>IF(OR(ISBLANK('Controlled Inputs'!B13),OR('Controlled Inputs'!E13="",'Controlled Inputs'!F13="",'Controlled Inputs'!G13="")),"",'Controlled Inputs'!B13)</f>
        <v/>
      </c>
      <c r="C7" s="148">
        <f>IF(OR(ISBLANK('Controlled Inputs'!C13),OR('Controlled Inputs'!E13="",'Controlled Inputs'!F13="",'Controlled Inputs'!G13="")),"",'Controlled Inputs'!C13)</f>
        <v/>
      </c>
      <c r="D7" s="148">
        <f>IF(OR(NOT(ISNUMBER(B7)),NOT(ISNUMBER(C7))),"",IF(B7&gt;C7,"Up",IF(B7&lt;C7,"Down","Flat")))</f>
        <v/>
      </c>
      <c r="E7" s="148">
        <f>IF(ISBLANK('Controlled Inputs'!D13),"",'Controlled Inputs'!D13)</f>
        <v/>
      </c>
      <c r="F7" s="103">
        <f>IF(AND(NOT(ISBLANK('Controlled Inputs'!B13)),OR('Controlled Inputs'!E13="",'Controlled Inputs'!F13="",'Controlled Inputs'!G13="")),"Withheld — source, as-at or checker missing",IF(ISBLANK('Controlled Inputs'!H13),"",'Controlled Inputs'!H13))</f>
        <v/>
      </c>
    </row>
    <row r="8" ht="24" customHeight="1" s="36">
      <c r="A8" s="126" t="inlineStr">
        <is>
          <t>UC-IDs awaiting a delegated decision</t>
        </is>
      </c>
      <c r="B8" s="148">
        <f>IF(OR(ISBLANK('Controlled Inputs'!B14),OR('Controlled Inputs'!E14="",'Controlled Inputs'!F14="",'Controlled Inputs'!G14="")),"",'Controlled Inputs'!B14)</f>
        <v/>
      </c>
      <c r="C8" s="148">
        <f>IF(OR(ISBLANK('Controlled Inputs'!C14),OR('Controlled Inputs'!E14="",'Controlled Inputs'!F14="",'Controlled Inputs'!G14="")),"",'Controlled Inputs'!C14)</f>
        <v/>
      </c>
      <c r="D8" s="148">
        <f>IF(OR(NOT(ISNUMBER(B8)),NOT(ISNUMBER(C8))),"",IF(B8&gt;C8,"Up",IF(B8&lt;C8,"Down","Flat")))</f>
        <v/>
      </c>
      <c r="E8" s="148">
        <f>IF(ISBLANK('Controlled Inputs'!D14),"",'Controlled Inputs'!D14)</f>
        <v/>
      </c>
      <c r="F8" s="103">
        <f>IF(AND(NOT(ISBLANK('Controlled Inputs'!B14)),OR('Controlled Inputs'!E14="",'Controlled Inputs'!F14="",'Controlled Inputs'!G14="")),"Withheld — source, as-at or checker missing",IF(ISBLANK('Controlled Inputs'!H14),"",'Controlled Inputs'!H14))</f>
        <v/>
      </c>
    </row>
    <row r="9" ht="24" customHeight="1" s="36">
      <c r="A9" s="126" t="inlineStr">
        <is>
          <t>Open incidents</t>
        </is>
      </c>
      <c r="B9" s="148">
        <f>IF(OR(ISBLANK('Controlled Inputs'!B15),OR('Controlled Inputs'!E15="",'Controlled Inputs'!F15="",'Controlled Inputs'!G15="")),"",'Controlled Inputs'!B15)</f>
        <v/>
      </c>
      <c r="C9" s="148">
        <f>IF(OR(ISBLANK('Controlled Inputs'!C15),OR('Controlled Inputs'!E15="",'Controlled Inputs'!F15="",'Controlled Inputs'!G15="")),"",'Controlled Inputs'!C15)</f>
        <v/>
      </c>
      <c r="D9" s="148">
        <f>IF(OR(NOT(ISNUMBER(B9)),NOT(ISNUMBER(C9))),"",IF(B9&gt;C9,"Up",IF(B9&lt;C9,"Down","Flat")))</f>
        <v/>
      </c>
      <c r="E9" s="148">
        <f>IF(ISBLANK('Controlled Inputs'!D15),"",'Controlled Inputs'!D15)</f>
        <v/>
      </c>
      <c r="F9" s="103">
        <f>IF(AND(NOT(ISBLANK('Controlled Inputs'!B15)),OR('Controlled Inputs'!E15="",'Controlled Inputs'!F15="",'Controlled Inputs'!G15="")),"Withheld — source, as-at or checker missing",IF(ISBLANK('Controlled Inputs'!H15),"",'Controlled Inputs'!H15))</f>
        <v/>
      </c>
    </row>
    <row r="10" ht="24" customHeight="1" s="36">
      <c r="A10" s="126" t="inlineStr">
        <is>
          <t>Assurance activities completed</t>
        </is>
      </c>
      <c r="B10" s="148">
        <f>IF(OR(ISBLANK('Controlled Inputs'!B16),OR('Controlled Inputs'!E16="",'Controlled Inputs'!F16="",'Controlled Inputs'!G16="")),"",'Controlled Inputs'!B16)</f>
        <v/>
      </c>
      <c r="C10" s="148">
        <f>IF(OR(ISBLANK('Controlled Inputs'!C16),OR('Controlled Inputs'!E16="",'Controlled Inputs'!F16="",'Controlled Inputs'!G16="")),"",'Controlled Inputs'!C16)</f>
        <v/>
      </c>
      <c r="D10" s="148">
        <f>IF(OR(NOT(ISNUMBER(B10)),NOT(ISNUMBER(C10))),"",IF(B10&gt;C10,"Up",IF(B10&lt;C10,"Down","Flat")))</f>
        <v/>
      </c>
      <c r="E10" s="148">
        <f>IF(ISBLANK('Controlled Inputs'!D16),"",'Controlled Inputs'!D16)</f>
        <v/>
      </c>
      <c r="F10" s="103">
        <f>IF(AND(NOT(ISBLANK('Controlled Inputs'!B16)),OR('Controlled Inputs'!E16="",'Controlled Inputs'!F16="",'Controlled Inputs'!G16="")),"Withheld — source, as-at or checker missing",IF(ISBLANK('Controlled Inputs'!H16),"",'Controlled Inputs'!H16))</f>
        <v/>
      </c>
    </row>
    <row r="11" ht="24" customHeight="1" s="36">
      <c r="A11" s="126" t="inlineStr">
        <is>
          <t>Outstanding governance actions</t>
        </is>
      </c>
      <c r="B11" s="148">
        <f>IF(OR(ISBLANK('Controlled Inputs'!B17),OR('Controlled Inputs'!E17="",'Controlled Inputs'!F17="",'Controlled Inputs'!G17="")),"",'Controlled Inputs'!B17)</f>
        <v/>
      </c>
      <c r="C11" s="148">
        <f>IF(OR(ISBLANK('Controlled Inputs'!C17),OR('Controlled Inputs'!E17="",'Controlled Inputs'!F17="",'Controlled Inputs'!G17="")),"",'Controlled Inputs'!C17)</f>
        <v/>
      </c>
      <c r="D11" s="148">
        <f>IF(OR(NOT(ISNUMBER(B11)),NOT(ISNUMBER(C11))),"",IF(B11&gt;C11,"Up",IF(B11&lt;C11,"Down","Flat")))</f>
        <v/>
      </c>
      <c r="E11" s="148">
        <f>IF(ISBLANK('Controlled Inputs'!D17),"",'Controlled Inputs'!D17)</f>
        <v/>
      </c>
      <c r="F11" s="103">
        <f>IF(AND(NOT(ISBLANK('Controlled Inputs'!B17)),OR('Controlled Inputs'!E17="",'Controlled Inputs'!F17="",'Controlled Inputs'!G17="")),"Withheld — source, as-at or checker missing",IF(ISBLANK('Controlled Inputs'!H17),"",'Controlled Inputs'!H17))</f>
        <v/>
      </c>
    </row>
    <row r="12" ht="24" customHeight="1" s="36">
      <c r="A12" s="126" t="inlineStr">
        <is>
          <t>Compliance status (% compliant)</t>
        </is>
      </c>
      <c r="B12" s="149">
        <f>IF(OR(ISBLANK('Controlled Inputs'!B18),OR('Controlled Inputs'!E18="",'Controlled Inputs'!F18="",'Controlled Inputs'!G18="")),"",'Controlled Inputs'!B18)</f>
        <v/>
      </c>
      <c r="C12" s="149">
        <f>IF(OR(ISBLANK('Controlled Inputs'!C18),OR('Controlled Inputs'!E18="",'Controlled Inputs'!F18="",'Controlled Inputs'!G18="")),"",'Controlled Inputs'!C18)</f>
        <v/>
      </c>
      <c r="D12" s="148">
        <f>IF(OR(NOT(ISNUMBER(B12)),NOT(ISNUMBER(C12))),"",IF(B12&gt;C12,"Up",IF(B12&lt;C12,"Down","Flat")))</f>
        <v/>
      </c>
      <c r="E12" s="148">
        <f>IF(ISBLANK('Controlled Inputs'!D18),"",'Controlled Inputs'!D18)</f>
        <v/>
      </c>
      <c r="F12" s="103">
        <f>IF(AND(NOT(ISBLANK('Controlled Inputs'!B18)),OR('Controlled Inputs'!E18="",'Controlled Inputs'!F18="",'Controlled Inputs'!G18="")),"Withheld — source, as-at or checker missing",IF(ISBLANK('Controlled Inputs'!H18),"",'Controlled Inputs'!H18))</f>
        <v/>
      </c>
    </row>
    <row r="13" ht="24" customHeight="1" s="36">
      <c r="A13" s="126" t="inlineStr">
        <is>
          <t>Benefits realisation measures</t>
        </is>
      </c>
      <c r="B13" s="148">
        <f>IF(OR(ISBLANK('Controlled Inputs'!B19),OR('Controlled Inputs'!E19="",'Controlled Inputs'!F19="",'Controlled Inputs'!G19="")),"",'Controlled Inputs'!B19)</f>
        <v/>
      </c>
      <c r="C13" s="148">
        <f>IF(OR(ISBLANK('Controlled Inputs'!C19),OR('Controlled Inputs'!E19="",'Controlled Inputs'!F19="",'Controlled Inputs'!G19="")),"",'Controlled Inputs'!C19)</f>
        <v/>
      </c>
      <c r="D13" s="148">
        <f>IF(OR(NOT(ISNUMBER(B13)),NOT(ISNUMBER(C13))),"",IF(B13&gt;C13,"Up",IF(B13&lt;C13,"Down","Flat")))</f>
        <v/>
      </c>
      <c r="E13" s="148">
        <f>IF(ISBLANK('Controlled Inputs'!D19),"",'Controlled Inputs'!D19)</f>
        <v/>
      </c>
      <c r="F13" s="103">
        <f>IF(AND(NOT(ISBLANK('Controlled Inputs'!B19)),OR('Controlled Inputs'!E19="",'Controlled Inputs'!F19="",'Controlled Inputs'!G19="")),"Withheld — source, as-at or checker missing",IF(ISBLANK('Controlled Inputs'!H19),"",'Controlled Inputs'!H19))</f>
        <v/>
      </c>
    </row>
    <row r="14" ht="24" customHeight="1" s="36">
      <c r="A14" s="126" t="inlineStr">
        <is>
          <t>Training and capability indicators</t>
        </is>
      </c>
      <c r="B14" s="148">
        <f>IF(OR(ISBLANK('Controlled Inputs'!B20),OR('Controlled Inputs'!E20="",'Controlled Inputs'!F20="",'Controlled Inputs'!G20="")),"",'Controlled Inputs'!B20)</f>
        <v/>
      </c>
      <c r="C14" s="148">
        <f>IF(OR(ISBLANK('Controlled Inputs'!C20),OR('Controlled Inputs'!E20="",'Controlled Inputs'!F20="",'Controlled Inputs'!G20="")),"",'Controlled Inputs'!C20)</f>
        <v/>
      </c>
      <c r="D14" s="148">
        <f>IF(OR(NOT(ISNUMBER(B14)),NOT(ISNUMBER(C14))),"",IF(B14&gt;C14,"Up",IF(B14&lt;C14,"Down","Flat")))</f>
        <v/>
      </c>
      <c r="E14" s="148">
        <f>IF(ISBLANK('Controlled Inputs'!D20),"",'Controlled Inputs'!D20)</f>
        <v/>
      </c>
      <c r="F14" s="103">
        <f>IF(AND(NOT(ISBLANK('Controlled Inputs'!B20)),OR('Controlled Inputs'!E20="",'Controlled Inputs'!F20="",'Controlled Inputs'!G20="")),"Withheld — source, as-at or checker missing",IF(ISBLANK('Controlled Inputs'!H20),"",'Controlled Inputs'!H20))</f>
        <v/>
      </c>
    </row>
    <row r="15">
      <c r="A15" s="150" t="n"/>
      <c r="B15" s="150" t="n"/>
      <c r="C15" s="150" t="n"/>
      <c r="D15" s="150" t="n"/>
      <c r="E15" s="150" t="n"/>
      <c r="F15" s="150" t="n"/>
    </row>
    <row r="16" ht="15" customHeight="1" s="36">
      <c r="A16" s="151" t="inlineStr">
        <is>
          <t>UC-ID risk classification distribution (effective tier per UC-ID)</t>
        </is>
      </c>
      <c r="B16" s="106" t="n"/>
      <c r="C16" s="106" t="n"/>
      <c r="D16" s="106" t="n"/>
      <c r="E16" s="106" t="n"/>
      <c r="F16" s="106" t="n"/>
    </row>
    <row r="17" ht="23.25" customHeight="1" s="36">
      <c r="A17" s="101" t="inlineStr">
        <is>
          <t>Risk tier</t>
        </is>
      </c>
      <c r="B17" s="101" t="inlineStr">
        <is>
          <t>Number of UC-IDs</t>
        </is>
      </c>
      <c r="C17" s="101" t="inlineStr">
        <is>
          <t>Share of UC-IDs</t>
        </is>
      </c>
      <c r="D17" s="106" t="n"/>
      <c r="E17" s="106" t="n"/>
      <c r="F17" s="107" t="n"/>
    </row>
    <row r="18" ht="15" customHeight="1" s="36">
      <c r="A18" s="126" t="inlineStr">
        <is>
          <t>Critical</t>
        </is>
      </c>
      <c r="B18" s="148">
        <f>IF(ISBLANK('Controlled Inputs'!B24),"",'Controlled Inputs'!B24)</f>
        <v/>
      </c>
      <c r="C18" s="154">
        <f>IF(OR(NOT(ISNUMBER(B18)),NOT(ISNUMBER($B$23)),$B$23=0),"",B18/$B$23)</f>
        <v/>
      </c>
      <c r="D18" s="106" t="n"/>
      <c r="E18" s="106" t="n"/>
      <c r="F18" s="106" t="n"/>
    </row>
    <row r="19" ht="15" customHeight="1" s="36">
      <c r="A19" s="126" t="inlineStr">
        <is>
          <t>High</t>
        </is>
      </c>
      <c r="B19" s="148">
        <f>IF(ISBLANK('Controlled Inputs'!B25),"",'Controlled Inputs'!B25)</f>
        <v/>
      </c>
      <c r="C19" s="154">
        <f>IF(OR(NOT(ISNUMBER(B19)),NOT(ISNUMBER($B$23)),$B$23=0),"",B19/$B$23)</f>
        <v/>
      </c>
      <c r="D19" s="106" t="n"/>
      <c r="E19" s="106" t="n"/>
      <c r="F19" s="106" t="n"/>
    </row>
    <row r="20" ht="15" customHeight="1" s="36">
      <c r="A20" s="126" t="inlineStr">
        <is>
          <t>Medium</t>
        </is>
      </c>
      <c r="B20" s="148">
        <f>IF(ISBLANK('Controlled Inputs'!B26),"",'Controlled Inputs'!B26)</f>
        <v/>
      </c>
      <c r="C20" s="154">
        <f>IF(OR(NOT(ISNUMBER(B20)),NOT(ISNUMBER($B$23)),$B$23=0),"",B20/$B$23)</f>
        <v/>
      </c>
      <c r="D20" s="106" t="n"/>
      <c r="E20" s="106" t="n"/>
      <c r="F20" s="106" t="n"/>
    </row>
    <row r="21" ht="15" customHeight="1" s="36">
      <c r="A21" s="126" t="inlineStr">
        <is>
          <t>Low</t>
        </is>
      </c>
      <c r="B21" s="148">
        <f>IF(ISBLANK('Controlled Inputs'!B27),"",'Controlled Inputs'!B27)</f>
        <v/>
      </c>
      <c r="C21" s="154">
        <f>IF(OR(NOT(ISNUMBER(B21)),NOT(ISNUMBER($B$23)),$B$23=0),"",B21/$B$23)</f>
        <v/>
      </c>
      <c r="D21" s="106" t="n"/>
      <c r="E21" s="106" t="n"/>
      <c r="F21" s="106" t="n"/>
    </row>
    <row r="22" s="36">
      <c r="A22" s="126" t="inlineStr">
        <is>
          <t>Unclassified / assessment incomplete</t>
        </is>
      </c>
      <c r="B22" s="148">
        <f>IF(ISBLANK('Controlled Inputs'!B28),"",'Controlled Inputs'!B28)</f>
        <v/>
      </c>
      <c r="C22" s="154">
        <f>IF(OR(NOT(ISNUMBER(B22)),NOT(ISNUMBER($B$23)),$B$23=0),"",B22/$B$23)</f>
        <v/>
      </c>
      <c r="D22" s="106" t="n"/>
      <c r="E22" s="106" t="n"/>
      <c r="F22" s="106" t="n"/>
    </row>
    <row r="23" ht="15" customHeight="1" s="36">
      <c r="A23" s="134" t="inlineStr">
        <is>
          <t>Total UC-IDs</t>
        </is>
      </c>
      <c r="B23" s="155">
        <f>IF(COUNT(B18:B22)=0,"",SUM(B18:B22))</f>
        <v/>
      </c>
      <c r="C23" s="156" t="n"/>
      <c r="D23" s="106" t="n"/>
      <c r="E23" s="106" t="n"/>
      <c r="F23" s="106" t="n"/>
    </row>
    <row r="24" ht="15" customHeight="1" s="36">
      <c r="A24" s="157" t="inlineStr">
        <is>
          <t>Reconciliation control</t>
        </is>
      </c>
    </row>
    <row r="25" ht="15" customHeight="1" s="36">
      <c r="A25" s="113" t="inlineStr">
        <is>
          <t>Check</t>
        </is>
      </c>
      <c r="B25" s="113" t="inlineStr">
        <is>
          <t>Extract rows</t>
        </is>
      </c>
      <c r="C25" s="113" t="inlineStr">
        <is>
          <t>Dashboard total</t>
        </is>
      </c>
      <c r="D25" s="113" t="inlineStr">
        <is>
          <t>Difference</t>
        </is>
      </c>
      <c r="E25" s="113" t="inlineStr">
        <is>
          <t>Status</t>
        </is>
      </c>
      <c r="F25" s="113" t="inlineStr">
        <is>
          <t>Source extract ID</t>
        </is>
      </c>
    </row>
    <row r="26" ht="15" customHeight="1" s="36">
      <c r="A26" s="114" t="inlineStr">
        <is>
          <t>UC-ID count</t>
        </is>
      </c>
      <c r="B26" s="114">
        <f>IF(ISBLANK('Controlled Inputs'!B31),"",'Controlled Inputs'!B31)</f>
        <v/>
      </c>
      <c r="C26" s="114">
        <f>IF(NOT(ISNUMBER(B26)),"",B23)</f>
        <v/>
      </c>
      <c r="D26" s="114">
        <f>IF(OR(NOT(ISNUMBER(B26)),NOT(ISNUMBER(C26))),"",C26-B26)</f>
        <v/>
      </c>
      <c r="E26" s="114">
        <f>'Controlled Inputs'!E31</f>
        <v/>
      </c>
      <c r="F26" s="114">
        <f>IF(ISBLANK('Controlled Inputs'!B6),"",'Controlled Inputs'!B6)</f>
        <v/>
      </c>
    </row>
    <row r="27">
      <c r="A27" s="150" t="n"/>
      <c r="B27" s="150" t="n"/>
      <c r="C27" s="150" t="n"/>
      <c r="D27" s="150" t="n"/>
      <c r="E27" s="150" t="n"/>
      <c r="F27" s="150" t="n"/>
    </row>
    <row r="28" ht="22.5" customHeight="1" s="36">
      <c r="A28" s="115" t="inlineStr">
        <is>
          <t>Release control: do not circulate this dashboard until the source extract is identified, the data cut is recorded, the checker is named and the UC-ID reconciliation status is Reconciled. A blank count is not zero: enter 0 for an empty tier.</t>
        </is>
      </c>
      <c r="B28" s="116" t="n"/>
      <c r="C28" s="116" t="n"/>
      <c r="D28" s="116" t="n"/>
      <c r="E28" s="116" t="n"/>
      <c r="F28" s="117" t="n"/>
    </row>
    <row r="29" ht="22.5" customHeight="1" s="36">
      <c r="A29" s="118" t="n"/>
      <c r="B29" s="119" t="n"/>
      <c r="C29" s="119" t="n"/>
      <c r="D29" s="119" t="n"/>
      <c r="E29" s="119" t="n"/>
      <c r="F29" s="120" t="n"/>
    </row>
    <row r="30" ht="15" customHeight="1" s="36">
      <c r="A30" s="163" t="inlineStr">
        <is>
          <t>Post-deployment live-risk indicators</t>
        </is>
      </c>
    </row>
    <row r="31" ht="15" customHeight="1" s="36">
      <c r="A31" s="144" t="inlineStr">
        <is>
          <t>Indicator</t>
        </is>
      </c>
      <c r="B31" s="144" t="inlineStr">
        <is>
          <t>Current period</t>
        </is>
      </c>
      <c r="C31" s="144" t="inlineStr">
        <is>
          <t>Previous period</t>
        </is>
      </c>
      <c r="D31" s="144" t="inlineStr">
        <is>
          <t>Trend</t>
        </is>
      </c>
      <c r="E31" s="144" t="inlineStr">
        <is>
          <t>RAG</t>
        </is>
      </c>
      <c r="F31" s="144" t="inlineStr">
        <is>
          <t>Notes / commentary</t>
        </is>
      </c>
    </row>
    <row r="32" ht="15" customHeight="1" s="36">
      <c r="A32" s="165" t="inlineStr">
        <is>
          <t>UC-IDs with overdue reviews</t>
        </is>
      </c>
      <c r="B32" s="164">
        <f>IF(OR(ISBLANK('Controlled Inputs'!B35),OR('Controlled Inputs'!E35="",'Controlled Inputs'!F35="",'Controlled Inputs'!G35="")),"",'Controlled Inputs'!B35)</f>
        <v/>
      </c>
      <c r="C32" s="164">
        <f>IF(OR(ISBLANK('Controlled Inputs'!C35),OR('Controlled Inputs'!E35="",'Controlled Inputs'!F35="",'Controlled Inputs'!G35="")),"",'Controlled Inputs'!C35)</f>
        <v/>
      </c>
      <c r="D32" s="164">
        <f>IF(OR(NOT(ISNUMBER(B32)),NOT(ISNUMBER(C32))),"",IF(B32&gt;C32,"Up",IF(B32&lt;C32,"Down","Flat")))</f>
        <v/>
      </c>
      <c r="E32" s="164">
        <f>IF(ISBLANK('Controlled Inputs'!D35),"",'Controlled Inputs'!D35)</f>
        <v/>
      </c>
      <c r="F32" s="164">
        <f>IF(AND(NOT(ISBLANK('Controlled Inputs'!B35)),OR('Controlled Inputs'!E35="",'Controlled Inputs'!F35="",'Controlled Inputs'!G35="")),"Withheld — source, as-at or checker missing",IF(ISBLANK('Controlled Inputs'!H35),"",'Controlled Inputs'!H35))</f>
        <v/>
      </c>
    </row>
    <row r="33" ht="26.25" customHeight="1" s="36">
      <c r="A33" s="165" t="inlineStr">
        <is>
          <t>High/Critical UC-IDs without current monitoring evidence</t>
        </is>
      </c>
      <c r="B33" s="164">
        <f>IF(OR(ISBLANK('Controlled Inputs'!B36),OR('Controlled Inputs'!E36="",'Controlled Inputs'!F36="",'Controlled Inputs'!G36="")),"",'Controlled Inputs'!B36)</f>
        <v/>
      </c>
      <c r="C33" s="164">
        <f>IF(OR(ISBLANK('Controlled Inputs'!C36),OR('Controlled Inputs'!E36="",'Controlled Inputs'!F36="",'Controlled Inputs'!G36="")),"",'Controlled Inputs'!C36)</f>
        <v/>
      </c>
      <c r="D33" s="164">
        <f>IF(OR(NOT(ISNUMBER(B33)),NOT(ISNUMBER(C33))),"",IF(B33&gt;C33,"Up",IF(B33&lt;C33,"Down","Flat")))</f>
        <v/>
      </c>
      <c r="E33" s="164">
        <f>IF(ISBLANK('Controlled Inputs'!D36),"",'Controlled Inputs'!D36)</f>
        <v/>
      </c>
      <c r="F33" s="164">
        <f>IF(AND(NOT(ISBLANK('Controlled Inputs'!B36)),OR('Controlled Inputs'!E36="",'Controlled Inputs'!F36="",'Controlled Inputs'!G36="")),"Withheld — source, as-at or checker missing",IF(ISBLANK('Controlled Inputs'!H36),"",'Controlled Inputs'!H36))</f>
        <v/>
      </c>
    </row>
    <row r="34" ht="26.25" customHeight="1" s="36">
      <c r="A34" s="165" t="inlineStr">
        <is>
          <t>UC-IDs outside approved performance, fairness or drift thresholds</t>
        </is>
      </c>
      <c r="B34" s="164">
        <f>IF(OR(ISBLANK('Controlled Inputs'!B37),OR('Controlled Inputs'!E37="",'Controlled Inputs'!F37="",'Controlled Inputs'!G37="")),"",'Controlled Inputs'!B37)</f>
        <v/>
      </c>
      <c r="C34" s="164">
        <f>IF(OR(ISBLANK('Controlled Inputs'!C37),OR('Controlled Inputs'!E37="",'Controlled Inputs'!F37="",'Controlled Inputs'!G37="")),"",'Controlled Inputs'!C37)</f>
        <v/>
      </c>
      <c r="D34" s="164">
        <f>IF(OR(NOT(ISNUMBER(B34)),NOT(ISNUMBER(C34))),"",IF(B34&gt;C34,"Up",IF(B34&lt;C34,"Down","Flat")))</f>
        <v/>
      </c>
      <c r="E34" s="164">
        <f>IF(ISBLANK('Controlled Inputs'!D37),"",'Controlled Inputs'!D37)</f>
        <v/>
      </c>
      <c r="F34" s="164">
        <f>IF(AND(NOT(ISBLANK('Controlled Inputs'!B37)),OR('Controlled Inputs'!E37="",'Controlled Inputs'!F37="",'Controlled Inputs'!G37="")),"Withheld — source, as-at or checker missing",IF(ISBLANK('Controlled Inputs'!H37),"",'Controlled Inputs'!H37))</f>
        <v/>
      </c>
    </row>
    <row r="35" ht="26.25" customHeight="1" s="36">
      <c r="A35" s="165" t="inlineStr">
        <is>
          <t>UC-IDs requiring reassessment after breach or material change</t>
        </is>
      </c>
      <c r="B35" s="164">
        <f>IF(OR(ISBLANK('Controlled Inputs'!B38),OR('Controlled Inputs'!E38="",'Controlled Inputs'!F38="",'Controlled Inputs'!G38="")),"",'Controlled Inputs'!B38)</f>
        <v/>
      </c>
      <c r="C35" s="164">
        <f>IF(OR(ISBLANK('Controlled Inputs'!C38),OR('Controlled Inputs'!E38="",'Controlled Inputs'!F38="",'Controlled Inputs'!G38="")),"",'Controlled Inputs'!C38)</f>
        <v/>
      </c>
      <c r="D35" s="164">
        <f>IF(OR(NOT(ISNUMBER(B35)),NOT(ISNUMBER(C35))),"",IF(B35&gt;C35,"Up",IF(B35&lt;C35,"Down","Flat")))</f>
        <v/>
      </c>
      <c r="E35" s="164">
        <f>IF(ISBLANK('Controlled Inputs'!D38),"",'Controlled Inputs'!D38)</f>
        <v/>
      </c>
      <c r="F35" s="164">
        <f>IF(AND(NOT(ISBLANK('Controlled Inputs'!B38)),OR('Controlled Inputs'!E38="",'Controlled Inputs'!F38="",'Controlled Inputs'!G38="")),"Withheld — source, as-at or checker missing",IF(ISBLANK('Controlled Inputs'!H38),"",'Controlled Inputs'!H38))</f>
        <v/>
      </c>
    </row>
    <row r="36" ht="15" customHeight="1" s="36">
      <c r="A36" s="165" t="inlineStr">
        <is>
          <t>Open High/Critical post-deployment risks</t>
        </is>
      </c>
      <c r="B36" s="164">
        <f>IF(OR(ISBLANK('Controlled Inputs'!B39),OR('Controlled Inputs'!E39="",'Controlled Inputs'!F39="",'Controlled Inputs'!G39="")),"",'Controlled Inputs'!B39)</f>
        <v/>
      </c>
      <c r="C36" s="164">
        <f>IF(OR(ISBLANK('Controlled Inputs'!C39),OR('Controlled Inputs'!E39="",'Controlled Inputs'!F39="",'Controlled Inputs'!G39="")),"",'Controlled Inputs'!C39)</f>
        <v/>
      </c>
      <c r="D36" s="164">
        <f>IF(OR(NOT(ISNUMBER(B36)),NOT(ISNUMBER(C36))),"",IF(B36&gt;C36,"Up",IF(B36&lt;C36,"Down","Flat")))</f>
        <v/>
      </c>
      <c r="E36" s="164">
        <f>IF(ISBLANK('Controlled Inputs'!D39),"",'Controlled Inputs'!D39)</f>
        <v/>
      </c>
      <c r="F36" s="164">
        <f>IF(AND(NOT(ISBLANK('Controlled Inputs'!B39)),OR('Controlled Inputs'!E39="",'Controlled Inputs'!F39="",'Controlled Inputs'!G39="")),"Withheld — source, as-at or checker missing",IF(ISBLANK('Controlled Inputs'!H39),"",'Controlled Inputs'!H39))</f>
        <v/>
      </c>
    </row>
    <row r="37">
      <c r="A37" s="150" t="n"/>
      <c r="B37" s="150" t="n"/>
      <c r="C37" s="150" t="n"/>
      <c r="D37" s="150" t="n"/>
      <c r="E37" s="150" t="n"/>
      <c r="F37" s="150" t="n"/>
    </row>
    <row r="38">
      <c r="A38" s="150" t="n"/>
      <c r="B38" s="150" t="n"/>
      <c r="C38" s="150" t="n"/>
      <c r="D38" s="150" t="n"/>
      <c r="E38" s="150" t="n"/>
      <c r="F38" s="150" t="n"/>
    </row>
    <row r="39">
      <c r="A39" s="168" t="inlineStr">
        <is>
          <t>Use-specific decision snapshot</t>
        </is>
      </c>
      <c r="B39" s="168" t="n"/>
      <c r="C39" s="168" t="n"/>
      <c r="D39" s="168" t="n"/>
      <c r="E39" s="168" t="n"/>
      <c r="F39" s="168" t="n"/>
    </row>
    <row r="40" ht="37" customHeight="1" s="36">
      <c r="A40" s="165" t="inlineStr">
        <is>
          <t>Systems with system-baseline status Approved (NOT use approvals)</t>
        </is>
      </c>
      <c r="B40" s="164">
        <f>IF(ISBLANK('Controlled Inputs'!B42),"",'Controlled Inputs'!B42)</f>
        <v/>
      </c>
      <c r="C40" s="164">
        <f>IF(ISBLANK('Controlled Inputs'!C42),"",'Controlled Inputs'!C42)</f>
        <v/>
      </c>
      <c r="D40" s="164">
        <f>IF(OR(NOT(ISNUMBER(B40)),NOT(ISNUMBER(C40))),"",IF(B40&gt;C40,"Up",IF(B40&lt;C40,"Down","Flat")))</f>
        <v/>
      </c>
      <c r="E40" s="164">
        <f>IF(ISBLANK('Controlled Inputs'!D42),"",'Controlled Inputs'!D42)</f>
        <v/>
      </c>
      <c r="F40" s="164">
        <f>IF(ISBLANK('Controlled Inputs'!H42),"",'Controlled Inputs'!H42)</f>
        <v/>
      </c>
    </row>
    <row r="41" ht="37" customHeight="1" s="36">
      <c r="A41" s="165" t="inlineStr">
        <is>
          <t>UC-IDs in reconciled snapshot</t>
        </is>
      </c>
      <c r="B41" s="164">
        <f>IF(OR(ISBLANK('Controlled Inputs'!B43),'Controlled Inputs'!B49&lt;&gt;"Reconciled"),"",'Controlled Inputs'!B43)</f>
        <v/>
      </c>
      <c r="C41" s="164">
        <f>IF(OR(ISBLANK('Controlled Inputs'!C43),'Controlled Inputs'!B49&lt;&gt;"Reconciled"),"",'Controlled Inputs'!C43)</f>
        <v/>
      </c>
      <c r="D41" s="164">
        <f>IF(OR(NOT(ISNUMBER(B41)),NOT(ISNUMBER(C41))),"",IF(B41&gt;C41,"Up",IF(B41&lt;C41,"Down","Flat")))</f>
        <v/>
      </c>
      <c r="E41" s="164">
        <f>IF(ISBLANK('Controlled Inputs'!D43),"",'Controlled Inputs'!D43)</f>
        <v/>
      </c>
      <c r="F41" s="164">
        <f>IF(ISBLANK('Controlled Inputs'!H43),"",'Controlled Inputs'!H43)</f>
        <v/>
      </c>
    </row>
    <row r="42" ht="37" customHeight="1" s="36">
      <c r="A42" s="165" t="inlineStr">
        <is>
          <t>UC-IDs with UC-specific unconditional Approved decision</t>
        </is>
      </c>
      <c r="B42" s="164">
        <f>IF(OR(ISBLANK('Controlled Inputs'!B44),'Controlled Inputs'!B49&lt;&gt;"Reconciled"),"",'Controlled Inputs'!B44)</f>
        <v/>
      </c>
      <c r="C42" s="164">
        <f>IF(OR(ISBLANK('Controlled Inputs'!C44),'Controlled Inputs'!B49&lt;&gt;"Reconciled"),"",'Controlled Inputs'!C44)</f>
        <v/>
      </c>
      <c r="D42" s="164">
        <f>IF(OR(NOT(ISNUMBER(B42)),NOT(ISNUMBER(C42))),"",IF(B42&gt;C42,"Up",IF(B42&lt;C42,"Down","Flat")))</f>
        <v/>
      </c>
      <c r="E42" s="164">
        <f>IF(ISBLANK('Controlled Inputs'!D44),"",'Controlled Inputs'!D44)</f>
        <v/>
      </c>
      <c r="F42" s="164">
        <f>IF(ISBLANK('Controlled Inputs'!H44),"",'Controlled Inputs'!H44)</f>
        <v/>
      </c>
    </row>
    <row r="43" ht="37" customHeight="1" s="36">
      <c r="A43" s="165" t="inlineStr">
        <is>
          <t>UC-IDs with Approved with conditions (not unconditional)</t>
        </is>
      </c>
      <c r="B43" s="164">
        <f>IF(OR(ISBLANK('Controlled Inputs'!B45),'Controlled Inputs'!B49&lt;&gt;"Reconciled"),"",'Controlled Inputs'!B45)</f>
        <v/>
      </c>
      <c r="C43" s="164">
        <f>IF(OR(ISBLANK('Controlled Inputs'!C45),'Controlled Inputs'!B49&lt;&gt;"Reconciled"),"",'Controlled Inputs'!C45)</f>
        <v/>
      </c>
      <c r="D43" s="164">
        <f>IF(OR(NOT(ISNUMBER(B43)),NOT(ISNUMBER(C43))),"",IF(B43&gt;C43,"Up",IF(B43&lt;C43,"Down","Flat")))</f>
        <v/>
      </c>
      <c r="E43" s="164">
        <f>IF(ISBLANK('Controlled Inputs'!D45),"",'Controlled Inputs'!D45)</f>
        <v/>
      </c>
      <c r="F43" s="164">
        <f>IF(ISBLANK('Controlled Inputs'!H45),"",'Controlled Inputs'!H45)</f>
        <v/>
      </c>
    </row>
    <row r="44" ht="50" customHeight="1" s="36">
      <c r="A44" s="165" t="inlineStr">
        <is>
          <t>UC-IDs not currently approved: Pending / Deferred / Rejected / Suspended / Retired / expired / not yet effective</t>
        </is>
      </c>
      <c r="B44" s="164">
        <f>IF(OR(ISBLANK('Controlled Inputs'!B46),'Controlled Inputs'!B49&lt;&gt;"Reconciled"),"",'Controlled Inputs'!B46)</f>
        <v/>
      </c>
      <c r="C44" s="164">
        <f>IF(OR(ISBLANK('Controlled Inputs'!C46),'Controlled Inputs'!B49&lt;&gt;"Reconciled"),"",'Controlled Inputs'!C46)</f>
        <v/>
      </c>
      <c r="D44" s="164">
        <f>IF(OR(NOT(ISNUMBER(B44)),NOT(ISNUMBER(C44))),"",IF(B44&gt;C44,"Up",IF(B44&lt;C44,"Down","Flat")))</f>
        <v/>
      </c>
      <c r="E44" s="164">
        <f>IF(ISBLANK('Controlled Inputs'!D46),"",'Controlled Inputs'!D46)</f>
        <v/>
      </c>
      <c r="F44" s="164">
        <f>IF(ISBLANK('Controlled Inputs'!H46),"",'Controlled Inputs'!H46)</f>
        <v/>
      </c>
    </row>
    <row r="45" ht="37" customHeight="1" s="36">
      <c r="A45" s="165" t="inlineStr">
        <is>
          <t>UC-IDs Unknown / Unverified / Conflict / missing source or date</t>
        </is>
      </c>
      <c r="B45" s="164">
        <f>IF(OR(ISBLANK('Controlled Inputs'!B47),'Controlled Inputs'!B49&lt;&gt;"Reconciled"),"",'Controlled Inputs'!B47)</f>
        <v/>
      </c>
      <c r="C45" s="164">
        <f>IF(OR(ISBLANK('Controlled Inputs'!C47),'Controlled Inputs'!B49&lt;&gt;"Reconciled"),"",'Controlled Inputs'!C47)</f>
        <v/>
      </c>
      <c r="D45" s="164">
        <f>IF(OR(NOT(ISNUMBER(B45)),NOT(ISNUMBER(C45))),"",IF(B45&gt;C45,"Up",IF(B45&lt;C45,"Down","Flat")))</f>
        <v/>
      </c>
      <c r="E45" s="164">
        <f>IF(ISBLANK('Controlled Inputs'!D47),"",'Controlled Inputs'!D47)</f>
        <v/>
      </c>
      <c r="F45" s="164">
        <f>IF(ISBLANK('Controlled Inputs'!H47),"",'Controlled Inputs'!H47)</f>
        <v/>
      </c>
    </row>
    <row r="46" ht="37" customHeight="1" s="36">
      <c r="A46" s="165" t="inlineStr">
        <is>
          <t>Systems with ≥1 unapproved, conditional or unknown use</t>
        </is>
      </c>
      <c r="B46" s="164">
        <f>IF(OR(ISBLANK('Controlled Inputs'!B48),'Controlled Inputs'!B49&lt;&gt;"Reconciled"),"",'Controlled Inputs'!B48)</f>
        <v/>
      </c>
      <c r="C46" s="164">
        <f>IF(OR(ISBLANK('Controlled Inputs'!C48),'Controlled Inputs'!B49&lt;&gt;"Reconciled"),"",'Controlled Inputs'!C48)</f>
        <v/>
      </c>
      <c r="D46" s="164">
        <f>IF(OR(NOT(ISNUMBER(B46)),NOT(ISNUMBER(C46))),"",IF(B46&gt;C46,"Up",IF(B46&lt;C46,"Down","Flat")))</f>
        <v/>
      </c>
      <c r="E46" s="164">
        <f>IF(ISBLANK('Controlled Inputs'!D48),"",'Controlled Inputs'!D48)</f>
        <v/>
      </c>
      <c r="F46" s="164">
        <f>IF(ISBLANK('Controlled Inputs'!H48),"",'Controlled Inputs'!H48)</f>
        <v/>
      </c>
    </row>
    <row r="48" ht="15" customHeight="1" s="36">
      <c r="A48" s="163" t="inlineStr">
        <is>
          <t>Portfolio and assessment-quality indicators (Proposed — for Council confirmation)</t>
        </is>
      </c>
    </row>
    <row r="49" ht="15" customHeight="1" s="36">
      <c r="A49" s="144" t="inlineStr">
        <is>
          <t>Indicator</t>
        </is>
      </c>
      <c r="B49" s="144" t="inlineStr">
        <is>
          <t>Current period</t>
        </is>
      </c>
      <c r="C49" s="144" t="inlineStr">
        <is>
          <t>Previous period</t>
        </is>
      </c>
      <c r="D49" s="144" t="inlineStr">
        <is>
          <t>Trend</t>
        </is>
      </c>
      <c r="E49" s="144" t="inlineStr">
        <is>
          <t>RAG</t>
        </is>
      </c>
      <c r="F49" s="144" t="inlineStr">
        <is>
          <t>Notes / commentary</t>
        </is>
      </c>
    </row>
    <row r="50" ht="37" customHeight="1" s="36">
      <c r="A50" s="165" t="inlineStr">
        <is>
          <t>Largest dependency concentration: share of mapped AIR-IDs relying on one model, data asset, interface/tool or supplier (%)</t>
        </is>
      </c>
      <c r="B50" s="164">
        <f>IF(OR(ISBLANK('Controlled Inputs'!B74),OR('Controlled Inputs'!E74="",'Controlled Inputs'!F74="",'Controlled Inputs'!G74="")),"",'Controlled Inputs'!B74)</f>
        <v/>
      </c>
      <c r="C50" s="164">
        <f>IF(OR(ISBLANK('Controlled Inputs'!C74),OR('Controlled Inputs'!E74="",'Controlled Inputs'!F74="",'Controlled Inputs'!G74="")),"",'Controlled Inputs'!C74)</f>
        <v/>
      </c>
      <c r="D50" s="164">
        <f>IF(OR(NOT(ISNUMBER(B50)),NOT(ISNUMBER(C50))),"",IF(B50&gt;C50,"Up",IF(B50&lt;C50,"Down","Flat")))</f>
        <v/>
      </c>
      <c r="E50" s="164">
        <f>IF(ISBLANK('Controlled Inputs'!D74),"",'Controlled Inputs'!D74)</f>
        <v/>
      </c>
      <c r="F50" s="164">
        <f>IF(AND(NOT(ISBLANK('Controlled Inputs'!B74)),OR('Controlled Inputs'!E74="",'Controlled Inputs'!F74="",'Controlled Inputs'!G74="")),"Withheld — source, as-at or checker missing",IF(ISBLANK('Controlled Inputs'!H74),"",'Controlled Inputs'!H74))</f>
        <v/>
      </c>
    </row>
    <row r="51" ht="26.25" customHeight="1" s="36">
      <c r="A51" s="165" t="inlineStr">
        <is>
          <t>Assessor consistency: moderation-sample tier agreement (%)</t>
        </is>
      </c>
      <c r="B51" s="164">
        <f>IF(OR(ISBLANK('Controlled Inputs'!B75),OR('Controlled Inputs'!E75="",'Controlled Inputs'!F75="",'Controlled Inputs'!G75="")),"",'Controlled Inputs'!B75)</f>
        <v/>
      </c>
      <c r="C51" s="164">
        <f>IF(OR(ISBLANK('Controlled Inputs'!C75),OR('Controlled Inputs'!E75="",'Controlled Inputs'!F75="",'Controlled Inputs'!G75="")),"",'Controlled Inputs'!C75)</f>
        <v/>
      </c>
      <c r="D51" s="164">
        <f>IF(OR(NOT(ISNUMBER(B51)),NOT(ISNUMBER(C51))),"",IF(B51&gt;C51,"Up",IF(B51&lt;C51,"Down","Flat")))</f>
        <v/>
      </c>
      <c r="E51" s="164">
        <f>IF(ISBLANK('Controlled Inputs'!D75),"",'Controlled Inputs'!D75)</f>
        <v/>
      </c>
      <c r="F51" s="164">
        <f>IF(AND(NOT(ISBLANK('Controlled Inputs'!B75)),OR('Controlled Inputs'!E75="",'Controlled Inputs'!F75="",'Controlled Inputs'!G75="")),"Withheld — source, as-at or checker missing",IF(ISBLANK('Controlled Inputs'!H75),"",'Controlled Inputs'!H75))</f>
        <v/>
      </c>
    </row>
    <row r="52" ht="36" customHeight="1" s="36">
      <c r="A52" s="115" t="inlineStr">
        <is>
          <t>Proposed measures (AIG-AIMS-10 M-16 and M-17), entered as percentages from 0 to 100. For the dependency concentration, name the dependency and the High/Critical UC-IDs relying on it in Notes (source: AIG-INV-05 Dependency concentration). Targets and RAG criteria are set by the Council. A blank is not zero.</t>
        </is>
      </c>
      <c r="B52" s="181" t="n"/>
      <c r="C52" s="181" t="n"/>
      <c r="D52" s="181" t="n"/>
      <c r="E52" s="181" t="n"/>
      <c r="F52" s="97" t="n"/>
    </row>
  </sheetData>
  <mergeCells count="19">
    <mergeCell ref="A16:F16"/>
    <mergeCell ref="C17:F17"/>
    <mergeCell ref="C23:F23"/>
    <mergeCell ref="E5:F5"/>
    <mergeCell ref="C19:F19"/>
    <mergeCell ref="A28:F29"/>
    <mergeCell ref="A2:F2"/>
    <mergeCell ref="E4:F4"/>
    <mergeCell ref="C18:F18"/>
    <mergeCell ref="A52:F52"/>
    <mergeCell ref="C20:F20"/>
    <mergeCell ref="A48:F48"/>
    <mergeCell ref="A30:F30"/>
    <mergeCell ref="C22:F22"/>
    <mergeCell ref="A24:F24"/>
    <mergeCell ref="B5:C5"/>
    <mergeCell ref="A1:F1"/>
    <mergeCell ref="C21:F21"/>
    <mergeCell ref="B4:C4"/>
  </mergeCells>
  <conditionalFormatting sqref="E7:E14">
    <cfRule type="cellIs" rank="0" priority="2" equalAverage="0" operator="equal" aboveAverage="0" dxfId="0" percent="0" bottom="0">
      <formula>"Green"</formula>
    </cfRule>
    <cfRule type="cellIs" rank="0" priority="3" equalAverage="0" operator="equal" aboveAverage="0" dxfId="1" percent="0" bottom="0">
      <formula>"Amber"</formula>
    </cfRule>
    <cfRule type="cellIs" rank="0" priority="4" equalAverage="0" operator="equal" aboveAverage="0" dxfId="2" percent="0" bottom="0">
      <formula>"Red"</formula>
    </cfRule>
  </conditionalFormatting>
  <conditionalFormatting sqref="B18:B22">
    <cfRule type="dataBar" priority="5">
      <dataBar minLength="10" maxLength="90" showValue="1">
        <cfvo type="min" val="0"/>
        <cfvo type="max" val="0"/>
        <color rgb="FF0A2342"/>
      </dataBar>
    </cfRule>
  </conditionalFormatting>
  <conditionalFormatting sqref="E26">
    <cfRule type="containsText" rank="0" priority="6" equalAverage="0" operator="containsText" aboveAverage="0" dxfId="3" text="Reconciled" percent="0" bottom="0">
      <formula>NOT(ISERROR(SEARCH("Reconciled",E26)))</formula>
    </cfRule>
    <cfRule type="containsText" rank="0" priority="7" equalAverage="0" operator="containsText" aboveAverage="0" dxfId="4" text="Investigate" percent="0" bottom="0">
      <formula>NOT(ISERROR(SEARCH("Investigate",E26)))</formula>
    </cfRule>
    <cfRule type="containsText" rank="0" priority="8" equalAverage="0" operator="containsText" aboveAverage="0" dxfId="5" text="Incomplete" percent="0" bottom="0">
      <formula>NOT(ISERROR(SEARCH("Incomplete",E26)))</formula>
    </cfRule>
  </conditionalFormatting>
  <conditionalFormatting sqref="E50:E51">
    <cfRule type="cellIs" priority="9" operator="equal" dxfId="0">
      <formula>"Green"</formula>
    </cfRule>
    <cfRule type="cellIs" priority="10" operator="equal" dxfId="1">
      <formula>"Amber"</formula>
    </cfRule>
    <cfRule type="cellIs" priority="11" operator="equal" dxfId="2">
      <formula>"Red"</formula>
    </cfRule>
  </conditionalFormatting>
  <pageMargins left="0.7" right="0.7" top="0.75" bottom="0.75" header="0.3" footer="0.3"/>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H75"/>
  <sheetViews>
    <sheetView showGridLines="0" workbookViewId="0">
      <selection activeCell="A1" sqref="A1"/>
    </sheetView>
  </sheetViews>
  <sheetFormatPr baseColWidth="8" defaultColWidth="9.47265625" defaultRowHeight="15"/>
  <cols>
    <col width="59" customWidth="1" style="173" min="1" max="1"/>
    <col width="16" customWidth="1" style="36" min="2" max="2"/>
    <col width="16" customWidth="1" style="36" min="3" max="3"/>
    <col width="12" customWidth="1" style="173" min="4" max="4"/>
    <col width="34" customWidth="1" style="173" min="5" max="5"/>
    <col width="20" customWidth="1" style="173" min="6" max="6"/>
    <col width="20" customWidth="1" style="173" min="7" max="7"/>
    <col width="35" customWidth="1" style="173" min="8" max="8"/>
  </cols>
  <sheetData>
    <row r="1" ht="25.5" customHeight="1" s="36">
      <c r="A1" s="146" t="inlineStr">
        <is>
          <t>The Council — Dashboard Controlled Inputs</t>
        </is>
      </c>
    </row>
    <row r="2" ht="33" customHeight="1" s="36">
      <c r="A2" s="169" t="inlineStr">
        <is>
          <t>Enter or paste point-in-time figures here, not on the Dashboard. Each metric must identify its source record, data cut and checker; a figure without them is withheld from the Dashboard. See the Measure definitions sheet. A blank is not zero.</t>
        </is>
      </c>
    </row>
    <row r="3">
      <c r="A3" s="125" t="n"/>
      <c r="B3" s="125" t="n"/>
      <c r="C3" s="125" t="n"/>
      <c r="D3" s="125" t="n"/>
      <c r="E3" s="125" t="n"/>
      <c r="F3" s="125" t="n"/>
      <c r="G3" s="125" t="n"/>
      <c r="H3" s="125" t="n"/>
    </row>
    <row r="4" ht="15" customHeight="1" s="36">
      <c r="A4" s="170" t="inlineStr">
        <is>
          <t>Reporting period</t>
        </is>
      </c>
      <c r="B4" s="171" t="n"/>
      <c r="C4" s="125" t="n"/>
      <c r="D4" s="125" t="n"/>
      <c r="E4" s="125" t="n"/>
      <c r="F4" s="125" t="n"/>
      <c r="G4" s="125" t="n"/>
      <c r="H4" s="125" t="n"/>
    </row>
    <row r="5" ht="15" customHeight="1" s="36">
      <c r="A5" s="170" t="inlineStr">
        <is>
          <t>Data as at</t>
        </is>
      </c>
      <c r="B5" s="172" t="n"/>
      <c r="C5" s="125" t="n"/>
      <c r="D5" s="125" t="n"/>
      <c r="E5" s="125" t="n"/>
      <c r="F5" s="125" t="n"/>
      <c r="G5" s="125" t="n"/>
      <c r="H5" s="125" t="n"/>
    </row>
    <row r="6" ht="15" customHeight="1" s="36">
      <c r="A6" s="170" t="inlineStr">
        <is>
          <t>Source extract ID</t>
        </is>
      </c>
      <c r="B6" s="171" t="n"/>
      <c r="C6" s="125" t="n"/>
      <c r="D6" s="125" t="n"/>
      <c r="E6" s="125" t="n"/>
      <c r="F6" s="125" t="n"/>
      <c r="G6" s="125" t="n"/>
      <c r="H6" s="125" t="n"/>
    </row>
    <row r="7" ht="15" customHeight="1" s="36">
      <c r="A7" s="170" t="inlineStr">
        <is>
          <t>Source register filename / version</t>
        </is>
      </c>
      <c r="B7" s="171" t="n"/>
      <c r="C7" s="125" t="n"/>
      <c r="D7" s="125" t="n"/>
      <c r="E7" s="125" t="n"/>
      <c r="F7" s="125" t="n"/>
      <c r="G7" s="125" t="n"/>
      <c r="H7" s="125" t="n"/>
    </row>
    <row r="8" ht="15" customHeight="1" s="36">
      <c r="A8" s="170" t="inlineStr">
        <is>
          <t>Prepared by</t>
        </is>
      </c>
      <c r="B8" s="171" t="n"/>
      <c r="C8" s="125" t="n"/>
      <c r="D8" s="125" t="n"/>
      <c r="E8" s="125" t="n"/>
      <c r="F8" s="125" t="n"/>
      <c r="G8" s="125" t="n"/>
      <c r="H8" s="125" t="n"/>
    </row>
    <row r="9" ht="15" customHeight="1" s="36">
      <c r="A9" s="170" t="inlineStr">
        <is>
          <t>Checked by</t>
        </is>
      </c>
      <c r="B9" s="171" t="n"/>
      <c r="C9" s="125" t="n"/>
      <c r="D9" s="125" t="n"/>
      <c r="E9" s="125" t="n"/>
      <c r="F9" s="125" t="n"/>
      <c r="G9" s="125" t="n"/>
      <c r="H9" s="125" t="n"/>
    </row>
    <row r="10" ht="15" customHeight="1" s="36">
      <c r="A10" s="170" t="inlineStr">
        <is>
          <t>Check date</t>
        </is>
      </c>
      <c r="B10" s="172" t="n"/>
      <c r="C10" s="125" t="n"/>
      <c r="D10" s="125" t="n"/>
      <c r="E10" s="125" t="n"/>
      <c r="F10" s="125" t="n"/>
      <c r="G10" s="125" t="n"/>
      <c r="H10" s="125" t="n"/>
    </row>
    <row r="11">
      <c r="A11" s="125" t="n"/>
      <c r="B11" s="125" t="n"/>
      <c r="C11" s="125" t="n"/>
      <c r="D11" s="125" t="n"/>
      <c r="E11" s="125" t="n"/>
      <c r="F11" s="125" t="n"/>
      <c r="G11" s="125" t="n"/>
      <c r="H11" s="125" t="n"/>
    </row>
    <row r="12" ht="33" customHeight="1" s="36">
      <c r="A12" s="113" t="inlineStr">
        <is>
          <t>Indicator</t>
        </is>
      </c>
      <c r="B12" s="113" t="inlineStr">
        <is>
          <t>Current period</t>
        </is>
      </c>
      <c r="C12" s="113" t="inlineStr">
        <is>
          <t>Previous period</t>
        </is>
      </c>
      <c r="D12" s="113" t="inlineStr">
        <is>
          <t>RAG</t>
        </is>
      </c>
      <c r="E12" s="113" t="inlineStr">
        <is>
          <t>Source record / file</t>
        </is>
      </c>
      <c r="F12" s="113" t="inlineStr">
        <is>
          <t>Source data as at</t>
        </is>
      </c>
      <c r="G12" s="113" t="inlineStr">
        <is>
          <t>Reconciled / checked by</t>
        </is>
      </c>
      <c r="H12" s="113" t="inlineStr">
        <is>
          <t>Notes</t>
        </is>
      </c>
    </row>
    <row r="13" ht="27" customHeight="1" s="36">
      <c r="A13" s="145" t="inlineStr">
        <is>
          <t>AIR-IDs with ≥1 authorised UC-ID in operation</t>
        </is>
      </c>
      <c r="B13" s="171" t="n"/>
      <c r="C13" s="171" t="n"/>
      <c r="D13" s="171" t="n"/>
      <c r="E13" s="171" t="n"/>
      <c r="F13" s="172" t="n"/>
      <c r="G13" s="171" t="n"/>
      <c r="H13" s="171" t="n"/>
    </row>
    <row r="14" ht="27" customHeight="1" s="36">
      <c r="A14" s="145" t="inlineStr">
        <is>
          <t>UC-IDs awaiting a delegated decision</t>
        </is>
      </c>
      <c r="B14" s="171" t="n"/>
      <c r="C14" s="171" t="n"/>
      <c r="D14" s="171" t="n"/>
      <c r="E14" s="171" t="n"/>
      <c r="F14" s="172" t="n"/>
      <c r="G14" s="171" t="n"/>
      <c r="H14" s="171" t="n"/>
    </row>
    <row r="15" ht="27" customHeight="1" s="36">
      <c r="A15" s="145" t="inlineStr">
        <is>
          <t>Open incidents</t>
        </is>
      </c>
      <c r="B15" s="171" t="n"/>
      <c r="C15" s="171" t="n"/>
      <c r="D15" s="171" t="n"/>
      <c r="E15" s="171" t="n"/>
      <c r="F15" s="172" t="n"/>
      <c r="G15" s="171" t="n"/>
      <c r="H15" s="171" t="n"/>
    </row>
    <row r="16" ht="27" customHeight="1" s="36">
      <c r="A16" s="145" t="inlineStr">
        <is>
          <t>Assurance activities completed</t>
        </is>
      </c>
      <c r="B16" s="171" t="n"/>
      <c r="C16" s="171" t="n"/>
      <c r="D16" s="171" t="n"/>
      <c r="E16" s="171" t="n"/>
      <c r="F16" s="172" t="n"/>
      <c r="G16" s="171" t="n"/>
      <c r="H16" s="171" t="n"/>
    </row>
    <row r="17" ht="27" customHeight="1" s="36">
      <c r="A17" s="145" t="inlineStr">
        <is>
          <t>Outstanding governance actions</t>
        </is>
      </c>
      <c r="B17" s="171" t="n"/>
      <c r="C17" s="171" t="n"/>
      <c r="D17" s="171" t="n"/>
      <c r="E17" s="171" t="n"/>
      <c r="F17" s="172" t="n"/>
      <c r="G17" s="171" t="n"/>
      <c r="H17" s="171" t="n"/>
    </row>
    <row r="18" ht="27" customHeight="1" s="36">
      <c r="A18" s="145" t="inlineStr">
        <is>
          <t>Compliance status (% compliant)</t>
        </is>
      </c>
      <c r="B18" s="174" t="n"/>
      <c r="C18" s="174" t="n"/>
      <c r="D18" s="171" t="n"/>
      <c r="E18" s="171" t="n"/>
      <c r="F18" s="172" t="n"/>
      <c r="G18" s="171" t="n"/>
      <c r="H18" s="171" t="n"/>
    </row>
    <row r="19" ht="27" customHeight="1" s="36">
      <c r="A19" s="145" t="inlineStr">
        <is>
          <t>Benefits realisation measures</t>
        </is>
      </c>
      <c r="B19" s="171" t="n"/>
      <c r="C19" s="171" t="n"/>
      <c r="D19" s="171" t="n"/>
      <c r="E19" s="171" t="n"/>
      <c r="F19" s="172" t="n"/>
      <c r="G19" s="171" t="n"/>
      <c r="H19" s="171" t="n"/>
    </row>
    <row r="20" ht="27" customHeight="1" s="36">
      <c r="A20" s="145" t="inlineStr">
        <is>
          <t>Training and capability indicators</t>
        </is>
      </c>
      <c r="B20" s="171" t="n"/>
      <c r="C20" s="171" t="n"/>
      <c r="D20" s="171" t="n"/>
      <c r="E20" s="171" t="n"/>
      <c r="F20" s="172" t="n"/>
      <c r="G20" s="171" t="n"/>
      <c r="H20" s="171" t="n"/>
    </row>
    <row r="21">
      <c r="A21" s="150" t="n"/>
      <c r="B21" s="150" t="n"/>
      <c r="C21" s="150" t="n"/>
      <c r="D21" s="150" t="n"/>
      <c r="E21" s="150" t="n"/>
      <c r="F21" s="150" t="n"/>
      <c r="G21" s="150" t="n"/>
      <c r="H21" s="150" t="n"/>
    </row>
    <row r="22" ht="15" customHeight="1" s="36">
      <c r="A22" s="157" t="inlineStr">
        <is>
          <t>UC-ID risk classification distribution (count each UC-ID once, at its effective tier, from the UC-ID current view)</t>
        </is>
      </c>
    </row>
    <row r="23" ht="21.75" customHeight="1" s="36">
      <c r="A23" s="113" t="inlineStr">
        <is>
          <t>Risk tier</t>
        </is>
      </c>
      <c r="B23" s="113" t="inlineStr">
        <is>
          <t>Current count (UC-IDs)</t>
        </is>
      </c>
      <c r="C23" s="113" t="inlineStr">
        <is>
          <t>Previous count</t>
        </is>
      </c>
      <c r="D23" s="113" t="inlineStr">
        <is>
          <t>Source record / file</t>
        </is>
      </c>
      <c r="E23" s="113" t="inlineStr">
        <is>
          <t>Source data as at</t>
        </is>
      </c>
      <c r="F23" s="113" t="inlineStr">
        <is>
          <t>Reconciled / checked by</t>
        </is>
      </c>
      <c r="G23" s="150" t="n"/>
      <c r="H23" s="150" t="n"/>
    </row>
    <row r="24" ht="15" customHeight="1" s="36">
      <c r="A24" s="145" t="inlineStr">
        <is>
          <t>Critical</t>
        </is>
      </c>
      <c r="B24" s="171" t="n"/>
      <c r="C24" s="171" t="n"/>
      <c r="D24" s="171" t="n"/>
      <c r="E24" s="172" t="n"/>
      <c r="F24" s="171" t="n"/>
      <c r="G24" s="150" t="n"/>
      <c r="H24" s="150" t="n"/>
    </row>
    <row r="25" ht="15" customHeight="1" s="36">
      <c r="A25" s="145" t="inlineStr">
        <is>
          <t>High</t>
        </is>
      </c>
      <c r="B25" s="171" t="n"/>
      <c r="C25" s="171" t="n"/>
      <c r="D25" s="171" t="n"/>
      <c r="E25" s="172" t="n"/>
      <c r="F25" s="171" t="n"/>
      <c r="G25" s="150" t="n"/>
      <c r="H25" s="150" t="n"/>
    </row>
    <row r="26" ht="15" customHeight="1" s="36">
      <c r="A26" s="145" t="inlineStr">
        <is>
          <t>Medium</t>
        </is>
      </c>
      <c r="B26" s="171" t="n"/>
      <c r="C26" s="171" t="n"/>
      <c r="D26" s="171" t="n"/>
      <c r="E26" s="172" t="n"/>
      <c r="F26" s="171" t="n"/>
      <c r="G26" s="150" t="n"/>
      <c r="H26" s="150" t="n"/>
    </row>
    <row r="27" ht="15" customHeight="1" s="36">
      <c r="A27" s="145" t="inlineStr">
        <is>
          <t>Low</t>
        </is>
      </c>
      <c r="B27" s="171" t="n"/>
      <c r="C27" s="171" t="n"/>
      <c r="D27" s="171" t="n"/>
      <c r="E27" s="172" t="n"/>
      <c r="F27" s="171" t="n"/>
      <c r="G27" s="150" t="n"/>
      <c r="H27" s="150" t="n"/>
    </row>
    <row r="28">
      <c r="A28" s="145" t="inlineStr">
        <is>
          <t>Unclassified / assessment incomplete</t>
        </is>
      </c>
      <c r="B28" s="171" t="n"/>
      <c r="C28" s="171" t="n"/>
      <c r="D28" s="171" t="n"/>
      <c r="E28" s="172" t="n"/>
      <c r="F28" s="171" t="n"/>
      <c r="G28" s="150" t="n"/>
      <c r="H28" s="150" t="n"/>
    </row>
    <row r="29" ht="15" customHeight="1" s="36">
      <c r="A29" s="157" t="inlineStr">
        <is>
          <t>Portfolio reconciliation</t>
        </is>
      </c>
    </row>
    <row r="30" ht="21.75" customHeight="1" s="36">
      <c r="A30" s="113" t="inlineStr">
        <is>
          <t>Check</t>
        </is>
      </c>
      <c r="B30" s="113" t="inlineStr">
        <is>
          <t>Source extract rows (UC-IDs)</t>
        </is>
      </c>
      <c r="C30" s="113" t="inlineStr">
        <is>
          <t>Tier distribution total</t>
        </is>
      </c>
      <c r="D30" s="113" t="inlineStr">
        <is>
          <t>Difference</t>
        </is>
      </c>
      <c r="E30" s="113" t="inlineStr">
        <is>
          <t>Status</t>
        </is>
      </c>
      <c r="F30" s="113" t="inlineStr">
        <is>
          <t>Checked by</t>
        </is>
      </c>
      <c r="G30" s="150" t="n"/>
      <c r="H30" s="150" t="n"/>
    </row>
    <row r="31" ht="15" customHeight="1" s="36">
      <c r="A31" s="175" t="inlineStr">
        <is>
          <t>UC-ID count</t>
        </is>
      </c>
      <c r="B31" s="171" t="n"/>
      <c r="C31" s="114">
        <f>IF(COUNT(B24:B28)=0,"",SUM(B24:B28))</f>
        <v/>
      </c>
      <c r="D31" s="114">
        <f>IF(OR(B31="",C31=""),"",C31-B31)</f>
        <v/>
      </c>
      <c r="E31" s="114">
        <f>IF(B31="","Incomplete",IF(COUNT(B24:B28)&lt;5,"Incomplete — enter 0 for an empty tier (blank is not zero)",IF(D31&lt;&gt;0,"Investigate",IF(OR($B$5="",$B$6="",$B$9="",$B$10="",COUNTBLANK(D24:F28)&gt;0),"Source verification required","Reconciled"))))</f>
        <v/>
      </c>
      <c r="F31" s="114">
        <f>IF(B9="","",B9)</f>
        <v/>
      </c>
      <c r="G31" s="150" t="n"/>
      <c r="H31" s="150" t="n"/>
    </row>
    <row r="32">
      <c r="A32" s="150" t="n"/>
      <c r="B32" s="150" t="n"/>
      <c r="C32" s="150" t="n"/>
      <c r="D32" s="150" t="n"/>
      <c r="E32" s="150" t="n"/>
      <c r="F32" s="150" t="n"/>
      <c r="G32" s="150" t="n"/>
      <c r="H32" s="150" t="n"/>
    </row>
    <row r="33" ht="15" customHeight="1" s="36">
      <c r="A33" s="163" t="inlineStr">
        <is>
          <t>Post-deployment live-risk indicators</t>
        </is>
      </c>
    </row>
    <row r="34" ht="26.25" customHeight="1" s="36">
      <c r="A34" s="144" t="inlineStr">
        <is>
          <t>Indicator</t>
        </is>
      </c>
      <c r="B34" s="144" t="inlineStr">
        <is>
          <t>Current period</t>
        </is>
      </c>
      <c r="C34" s="144" t="inlineStr">
        <is>
          <t>Previous period</t>
        </is>
      </c>
      <c r="D34" s="144" t="inlineStr">
        <is>
          <t>RAG</t>
        </is>
      </c>
      <c r="E34" s="144" t="inlineStr">
        <is>
          <t>Source record / file</t>
        </is>
      </c>
      <c r="F34" s="144" t="inlineStr">
        <is>
          <t>Source data as at</t>
        </is>
      </c>
      <c r="G34" s="144" t="inlineStr">
        <is>
          <t>Reconciled / checked by</t>
        </is>
      </c>
      <c r="H34" s="144" t="inlineStr">
        <is>
          <t>Notes</t>
        </is>
      </c>
    </row>
    <row r="35" ht="26.25" customHeight="1" s="36">
      <c r="A35" s="145" t="inlineStr">
        <is>
          <t>UC-IDs with overdue reviews</t>
        </is>
      </c>
      <c r="B35" s="177" t="n"/>
      <c r="C35" s="177" t="n"/>
      <c r="D35" s="177" t="n"/>
      <c r="E35" s="177" t="n"/>
      <c r="F35" s="177" t="n"/>
      <c r="G35" s="177" t="n"/>
      <c r="H35" s="177" t="n"/>
    </row>
    <row r="36" ht="26.25" customHeight="1" s="36">
      <c r="A36" s="145" t="inlineStr">
        <is>
          <t>High/Critical UC-IDs without current monitoring evidence</t>
        </is>
      </c>
      <c r="B36" s="177" t="n"/>
      <c r="C36" s="177" t="n"/>
      <c r="D36" s="177" t="n"/>
      <c r="E36" s="177" t="n"/>
      <c r="F36" s="177" t="n"/>
      <c r="G36" s="177" t="n"/>
      <c r="H36" s="177" t="n"/>
    </row>
    <row r="37" ht="26.25" customHeight="1" s="36">
      <c r="A37" s="145" t="inlineStr">
        <is>
          <t>UC-IDs outside approved performance, fairness or drift thresholds</t>
        </is>
      </c>
      <c r="B37" s="177" t="n"/>
      <c r="C37" s="177" t="n"/>
      <c r="D37" s="177" t="n"/>
      <c r="E37" s="177" t="n"/>
      <c r="F37" s="177" t="n"/>
      <c r="G37" s="177" t="n"/>
      <c r="H37" s="177" t="n"/>
    </row>
    <row r="38" ht="39" customHeight="1" s="36">
      <c r="A38" s="145" t="inlineStr">
        <is>
          <t>UC-IDs requiring reassessment after breach or material change</t>
        </is>
      </c>
      <c r="B38" s="177" t="n"/>
      <c r="C38" s="177" t="n"/>
      <c r="D38" s="177" t="n"/>
      <c r="E38" s="177" t="n"/>
      <c r="F38" s="177" t="n"/>
      <c r="G38" s="177" t="n"/>
      <c r="H38" s="177" t="n"/>
    </row>
    <row r="39" ht="26.25" customHeight="1" s="36">
      <c r="A39" s="145" t="inlineStr">
        <is>
          <t>Open High/Critical post-deployment risks</t>
        </is>
      </c>
      <c r="B39" s="177" t="n"/>
      <c r="C39" s="177" t="n"/>
      <c r="D39" s="177" t="n"/>
      <c r="E39" s="177" t="n"/>
      <c r="F39" s="177" t="n"/>
      <c r="G39" s="177" t="n"/>
      <c r="H39" s="177" t="n"/>
    </row>
    <row r="40" ht="30" customHeight="1" s="36">
      <c r="A40" s="145" t="inlineStr">
        <is>
          <t>Manually reconciled UC-ID snapshot: source evidence and independent check required before counts display. System baseline remains separate.</t>
        </is>
      </c>
    </row>
    <row r="41">
      <c r="A41" s="113" t="inlineStr">
        <is>
          <t>Indicator</t>
        </is>
      </c>
      <c r="B41" s="113" t="inlineStr">
        <is>
          <t>Current period</t>
        </is>
      </c>
      <c r="C41" s="113" t="inlineStr">
        <is>
          <t>Previous period</t>
        </is>
      </c>
      <c r="D41" s="113" t="inlineStr">
        <is>
          <t>RAG</t>
        </is>
      </c>
      <c r="E41" s="113" t="inlineStr">
        <is>
          <t>Source file / view and reconciliation cut-off</t>
        </is>
      </c>
      <c r="F41" s="113" t="inlineStr">
        <is>
          <t>Source as at</t>
        </is>
      </c>
      <c r="G41" s="113" t="inlineStr">
        <is>
          <t>Independent reconciler</t>
        </is>
      </c>
      <c r="H41" s="113" t="inlineStr">
        <is>
          <t>Notes / exceptions</t>
        </is>
      </c>
    </row>
    <row r="42" ht="38" customHeight="1" s="36">
      <c r="A42" s="145" t="inlineStr">
        <is>
          <t>Systems with system-baseline status Approved (NOT use approvals)</t>
        </is>
      </c>
      <c r="B42" s="171" t="n"/>
      <c r="C42" s="171" t="n"/>
      <c r="D42" s="171" t="n"/>
      <c r="E42" s="171" t="n"/>
      <c r="F42" s="172" t="n"/>
      <c r="G42" s="171" t="n"/>
      <c r="H42" s="171" t="n"/>
    </row>
    <row r="43" ht="38" customHeight="1" s="36">
      <c r="A43" s="145" t="inlineStr">
        <is>
          <t>UC-IDs in reconciled snapshot</t>
        </is>
      </c>
      <c r="B43" s="171" t="n"/>
      <c r="C43" s="171" t="n"/>
      <c r="D43" s="171" t="n"/>
      <c r="E43" s="171" t="n"/>
      <c r="F43" s="172" t="n"/>
      <c r="G43" s="171" t="n"/>
      <c r="H43" s="171" t="n"/>
    </row>
    <row r="44" ht="38" customHeight="1" s="36">
      <c r="A44" s="145" t="inlineStr">
        <is>
          <t>UC-IDs with UC-specific unconditional Approved decision</t>
        </is>
      </c>
      <c r="B44" s="171" t="n"/>
      <c r="C44" s="171" t="n"/>
      <c r="D44" s="171" t="n"/>
      <c r="E44" s="171" t="n"/>
      <c r="F44" s="172" t="n"/>
      <c r="G44" s="171" t="n"/>
      <c r="H44" s="171" t="n"/>
    </row>
    <row r="45" ht="38" customHeight="1" s="36">
      <c r="A45" s="145" t="inlineStr">
        <is>
          <t>UC-IDs with Approved with conditions (not counted as unconditional)</t>
        </is>
      </c>
      <c r="B45" s="171" t="n"/>
      <c r="C45" s="171" t="n"/>
      <c r="D45" s="171" t="n"/>
      <c r="E45" s="171" t="n"/>
      <c r="F45" s="172" t="n"/>
      <c r="G45" s="171" t="n"/>
      <c r="H45" s="171" t="n"/>
    </row>
    <row r="46" ht="50" customHeight="1" s="36">
      <c r="A46" s="145" t="inlineStr">
        <is>
          <t>UC-IDs not currently approved: Pending / Deferred / Rejected / Suspended / Retired / expired / not yet effective</t>
        </is>
      </c>
      <c r="B46" s="171" t="n"/>
      <c r="C46" s="171" t="n"/>
      <c r="D46" s="171" t="n"/>
      <c r="E46" s="171" t="n"/>
      <c r="F46" s="172" t="n"/>
      <c r="G46" s="171" t="n"/>
      <c r="H46" s="171" t="n"/>
    </row>
    <row r="47" ht="38" customHeight="1" s="36">
      <c r="A47" s="145" t="inlineStr">
        <is>
          <t>UC-IDs Unknown / Unverified / Conflict / missing source or date</t>
        </is>
      </c>
      <c r="B47" s="171" t="n"/>
      <c r="C47" s="171" t="n"/>
      <c r="D47" s="171" t="n"/>
      <c r="E47" s="171" t="n"/>
      <c r="F47" s="172" t="n"/>
      <c r="G47" s="171" t="n"/>
      <c r="H47" s="171" t="n"/>
    </row>
    <row r="48" ht="38" customHeight="1" s="36">
      <c r="A48" s="145" t="inlineStr">
        <is>
          <t>Systems with ≥1 unapproved, conditional or unknown use</t>
        </is>
      </c>
      <c r="B48" s="171" t="n"/>
      <c r="C48" s="171" t="n"/>
      <c r="D48" s="171" t="n"/>
      <c r="E48" s="171" t="n"/>
      <c r="F48" s="172" t="n"/>
      <c r="G48" s="171" t="n"/>
      <c r="H48" s="171" t="n"/>
    </row>
    <row r="49">
      <c r="A49" s="157" t="inlineStr">
        <is>
          <t>UC-ID count and source reconciliation (total = sum of the four status buckets above; source / as-at / checker required)</t>
        </is>
      </c>
      <c r="B49" s="150">
        <f>IF(COUNT(B43:B47)&lt;5,"Incomplete",IF(B43&lt;&gt;SUM(B44:B47),"Investigate",IF(OR($B$5="",$B$6="",$B$9="",$B$10="",COUNTBLANK(E43:G47)&gt;0),"Source verification required","Reconciled")))</f>
        <v/>
      </c>
      <c r="C49" s="150" t="inlineStr">
        <is>
          <t>System baseline Approved count is reported separately and is never summed into UC approvals.</t>
        </is>
      </c>
      <c r="D49" s="150" t="n"/>
      <c r="E49" s="150" t="n"/>
      <c r="F49" s="150" t="n"/>
      <c r="G49" s="150" t="n"/>
      <c r="H49" s="150" t="n"/>
    </row>
    <row r="51">
      <c r="A51" s="145" t="inlineStr">
        <is>
          <t>UC-ID current view ‘Derived position’ → UC-ID bucket (Proposed — for Council confirmation)</t>
        </is>
      </c>
    </row>
    <row r="52">
      <c r="A52" s="113" t="inlineStr">
        <is>
          <t>Derived position value (UC-ID current view, column W)</t>
        </is>
      </c>
      <c r="B52" s="113" t="inlineStr">
        <is>
          <t>Bucket row</t>
        </is>
      </c>
      <c r="C52" s="181" t="n"/>
      <c r="D52" s="181" t="n"/>
      <c r="E52" s="181" t="n"/>
      <c r="F52" s="181" t="n"/>
      <c r="G52" s="181" t="n"/>
      <c r="H52" s="97" t="n"/>
    </row>
    <row r="53">
      <c r="A53" s="145" t="inlineStr">
        <is>
          <t>SOURCE-RECONCILED USE-SPECIFIC APPROVAL — CONFIRM SOURCE</t>
        </is>
      </c>
      <c r="B53" s="171" t="inlineStr">
        <is>
          <t>44 Unconditional Approved</t>
        </is>
      </c>
      <c r="C53" s="181" t="n"/>
      <c r="D53" s="181" t="n"/>
      <c r="E53" s="181" t="n"/>
      <c r="F53" s="181" t="n"/>
      <c r="G53" s="181" t="n"/>
      <c r="H53" s="97" t="n"/>
    </row>
    <row r="54">
      <c r="A54" s="145" t="inlineStr">
        <is>
          <t>CONDITIONAL — NEVER COUNT AS UNCONDITIONAL APPROVAL</t>
        </is>
      </c>
      <c r="B54" s="171" t="inlineStr">
        <is>
          <t>45 Approved with conditions</t>
        </is>
      </c>
      <c r="C54" s="181" t="n"/>
      <c r="D54" s="181" t="n"/>
      <c r="E54" s="181" t="n"/>
      <c r="F54" s="181" t="n"/>
      <c r="G54" s="181" t="n"/>
      <c r="H54" s="97" t="n"/>
    </row>
    <row r="55">
      <c r="A55" s="145" t="inlineStr">
        <is>
          <t>NOT APPROVED / STATUS NOT CURRENT</t>
        </is>
      </c>
      <c r="B55" s="171" t="inlineStr">
        <is>
          <t>46 Not currently approved</t>
        </is>
      </c>
      <c r="C55" s="181" t="n"/>
      <c r="D55" s="181" t="n"/>
      <c r="E55" s="181" t="n"/>
      <c r="F55" s="181" t="n"/>
      <c r="G55" s="181" t="n"/>
      <c r="H55" s="97" t="n"/>
    </row>
    <row r="56">
      <c r="A56" s="145" t="inlineStr">
        <is>
          <t>NOT YET EFFECTIVE</t>
        </is>
      </c>
      <c r="B56" s="171" t="inlineStr">
        <is>
          <t>46 Not currently approved</t>
        </is>
      </c>
      <c r="C56" s="181" t="n"/>
      <c r="D56" s="181" t="n"/>
      <c r="E56" s="181" t="n"/>
      <c r="F56" s="181" t="n"/>
      <c r="G56" s="181" t="n"/>
      <c r="H56" s="97" t="n"/>
    </row>
    <row r="57">
      <c r="A57" s="145" t="inlineStr">
        <is>
          <t>EXPIRED / REVIEW DUE</t>
        </is>
      </c>
      <c r="B57" s="171" t="inlineStr">
        <is>
          <t>46 Not currently approved</t>
        </is>
      </c>
      <c r="C57" s="181" t="n"/>
      <c r="D57" s="181" t="n"/>
      <c r="E57" s="181" t="n"/>
      <c r="F57" s="181" t="n"/>
      <c r="G57" s="181" t="n"/>
      <c r="H57" s="97" t="n"/>
    </row>
    <row r="58">
      <c r="A58" s="145" t="inlineStr">
        <is>
          <t>NOT APPROVED / OUTCOME NOT RECOGNISED</t>
        </is>
      </c>
      <c r="B58" s="171" t="inlineStr">
        <is>
          <t>46 Not currently approved</t>
        </is>
      </c>
      <c r="C58" s="181" t="n"/>
      <c r="D58" s="181" t="n"/>
      <c r="E58" s="181" t="n"/>
      <c r="F58" s="181" t="n"/>
      <c r="G58" s="181" t="n"/>
      <c r="H58" s="97" t="n"/>
    </row>
    <row r="59">
      <c r="A59" s="145" t="inlineStr">
        <is>
          <t>CONDITIONAL — CONDITIONS NOT VERIFIED</t>
        </is>
      </c>
      <c r="B59" s="171" t="inlineStr">
        <is>
          <t>47 Unknown / unverified / conflict</t>
        </is>
      </c>
      <c r="C59" s="181" t="n"/>
      <c r="D59" s="181" t="n"/>
      <c r="E59" s="181" t="n"/>
      <c r="F59" s="181" t="n"/>
      <c r="G59" s="181" t="n"/>
      <c r="H59" s="97" t="n"/>
    </row>
    <row r="60">
      <c r="A60" s="145" t="inlineStr">
        <is>
          <t>CONDITION / OUTCOME CONFLICT</t>
        </is>
      </c>
      <c r="B60" s="171" t="inlineStr">
        <is>
          <t>47 Unknown / unverified / conflict</t>
        </is>
      </c>
      <c r="C60" s="181" t="n"/>
      <c r="D60" s="181" t="n"/>
      <c r="E60" s="181" t="n"/>
      <c r="F60" s="181" t="n"/>
      <c r="G60" s="181" t="n"/>
      <c r="H60" s="97" t="n"/>
    </row>
    <row r="61">
      <c r="A61" s="145" t="inlineStr">
        <is>
          <t>UNVERIFIED / CONFLICT</t>
        </is>
      </c>
      <c r="B61" s="171" t="inlineStr">
        <is>
          <t>47 Unknown / unverified / conflict</t>
        </is>
      </c>
      <c r="C61" s="181" t="n"/>
      <c r="D61" s="181" t="n"/>
      <c r="E61" s="181" t="n"/>
      <c r="F61" s="181" t="n"/>
      <c r="G61" s="181" t="n"/>
      <c r="H61" s="97" t="n"/>
    </row>
    <row r="62">
      <c r="A62" s="145" t="inlineStr">
        <is>
          <t>EVIDENCE INCOMPLETE</t>
        </is>
      </c>
      <c r="B62" s="171" t="inlineStr">
        <is>
          <t>47 Unknown / unverified / conflict</t>
        </is>
      </c>
      <c r="C62" s="181" t="n"/>
      <c r="D62" s="181" t="n"/>
      <c r="E62" s="181" t="n"/>
      <c r="F62" s="181" t="n"/>
      <c r="G62" s="181" t="n"/>
      <c r="H62" s="97" t="n"/>
    </row>
    <row r="63">
      <c r="A63" s="145" t="inlineStr">
        <is>
          <t>DATES NOT VERIFIED</t>
        </is>
      </c>
      <c r="B63" s="171" t="inlineStr">
        <is>
          <t>47 Unknown / unverified / conflict</t>
        </is>
      </c>
      <c r="C63" s="181" t="n"/>
      <c r="D63" s="181" t="n"/>
      <c r="E63" s="181" t="n"/>
      <c r="F63" s="181" t="n"/>
      <c r="G63" s="181" t="n"/>
      <c r="H63" s="97" t="n"/>
    </row>
    <row r="64">
      <c r="A64" s="145" t="inlineStr">
        <is>
          <t>INVALID DATE RANGE</t>
        </is>
      </c>
      <c r="B64" s="171" t="inlineStr">
        <is>
          <t>47 Unknown / unverified / conflict</t>
        </is>
      </c>
      <c r="C64" s="181" t="n"/>
      <c r="D64" s="181" t="n"/>
      <c r="E64" s="181" t="n"/>
      <c r="F64" s="181" t="n"/>
      <c r="G64" s="181" t="n"/>
      <c r="H64" s="97" t="n"/>
    </row>
    <row r="65">
      <c r="A65" s="145" t="inlineStr">
        <is>
          <t>REVIEW INTERVAL EXCEEDS TIER CADENCE</t>
        </is>
      </c>
      <c r="B65" s="171" t="inlineStr">
        <is>
          <t>47 Unknown / unverified / conflict</t>
        </is>
      </c>
      <c r="C65" s="181" t="n"/>
      <c r="D65" s="181" t="n"/>
      <c r="E65" s="181" t="n"/>
      <c r="F65" s="181" t="n"/>
      <c r="G65" s="181" t="n"/>
      <c r="H65" s="97" t="n"/>
    </row>
    <row r="66">
      <c r="A66" s="145" t="inlineStr">
        <is>
          <t>NOT UC-SCOPED</t>
        </is>
      </c>
      <c r="B66" s="171" t="inlineStr">
        <is>
          <t>47 Unknown / unverified / conflict</t>
        </is>
      </c>
      <c r="C66" s="181" t="n"/>
      <c r="D66" s="181" t="n"/>
      <c r="E66" s="181" t="n"/>
      <c r="F66" s="181" t="n"/>
      <c r="G66" s="181" t="n"/>
      <c r="H66" s="97" t="n"/>
    </row>
    <row r="67">
      <c r="A67" s="145" t="inlineStr">
        <is>
          <t>DUPLICATE UC-ID — CONFLICT</t>
        </is>
      </c>
      <c r="B67" s="171" t="inlineStr">
        <is>
          <t>47 Unknown / unverified / conflict</t>
        </is>
      </c>
      <c r="C67" s="181" t="n"/>
      <c r="D67" s="181" t="n"/>
      <c r="E67" s="181" t="n"/>
      <c r="F67" s="181" t="n"/>
      <c r="G67" s="181" t="n"/>
      <c r="H67" s="97" t="n"/>
    </row>
    <row r="68">
      <c r="A68" s="145" t="inlineStr">
        <is>
          <t>TIER / PRIORITY NOT RECOGNISED</t>
        </is>
      </c>
      <c r="B68" s="171" t="inlineStr">
        <is>
          <t>47 Unknown / unverified / conflict</t>
        </is>
      </c>
      <c r="C68" s="181" t="n"/>
      <c r="D68" s="181" t="n"/>
      <c r="E68" s="181" t="n"/>
      <c r="F68" s="181" t="n"/>
      <c r="G68" s="181" t="n"/>
      <c r="H68" s="97" t="n"/>
    </row>
    <row r="69">
      <c r="A69" s="145" t="inlineStr">
        <is>
          <t>UC-ID MISSING</t>
        </is>
      </c>
      <c r="B69" s="171" t="inlineStr">
        <is>
          <t>Not counted — fix the row (no UC-ID)</t>
        </is>
      </c>
      <c r="C69" s="181" t="n"/>
      <c r="D69" s="181" t="n"/>
      <c r="E69" s="181" t="n"/>
      <c r="F69" s="181" t="n"/>
      <c r="G69" s="181" t="n"/>
      <c r="H69" s="97" t="n"/>
    </row>
    <row r="70">
      <c r="A70" s="145" t="inlineStr">
        <is>
          <t>Rule</t>
        </is>
      </c>
      <c r="B70" s="171" t="inlineStr">
        <is>
          <t>Each UC-ID is counted in exactly one bucket; row 43 must equal the sum of rows 44–47. Row 48 counts AIR-IDs, not UC-IDs.</t>
        </is>
      </c>
      <c r="C70" s="181" t="n"/>
      <c r="D70" s="181" t="n"/>
      <c r="E70" s="181" t="n"/>
      <c r="F70" s="181" t="n"/>
      <c r="G70" s="181" t="n"/>
      <c r="H70" s="97" t="n"/>
    </row>
    <row r="72" ht="15" customHeight="1" s="36">
      <c r="A72" s="163" t="inlineStr">
        <is>
          <t>Portfolio and assessment-quality indicators (Proposed — for Council confirmation)</t>
        </is>
      </c>
    </row>
    <row r="73" ht="26.25" customHeight="1" s="36">
      <c r="A73" s="144" t="inlineStr">
        <is>
          <t>Indicator</t>
        </is>
      </c>
      <c r="B73" s="144" t="inlineStr">
        <is>
          <t>Current period</t>
        </is>
      </c>
      <c r="C73" s="144" t="inlineStr">
        <is>
          <t>Previous period</t>
        </is>
      </c>
      <c r="D73" s="144" t="inlineStr">
        <is>
          <t>RAG</t>
        </is>
      </c>
      <c r="E73" s="144" t="inlineStr">
        <is>
          <t>Source record / file</t>
        </is>
      </c>
      <c r="F73" s="144" t="inlineStr">
        <is>
          <t>Source data as at</t>
        </is>
      </c>
      <c r="G73" s="144" t="inlineStr">
        <is>
          <t>Reconciled / checked by</t>
        </is>
      </c>
      <c r="H73" s="144" t="inlineStr">
        <is>
          <t>Notes</t>
        </is>
      </c>
    </row>
    <row r="74" ht="39" customHeight="1" s="36">
      <c r="A74" s="145" t="inlineStr">
        <is>
          <t>Largest dependency concentration: share of mapped AIR-IDs relying on one model, data asset, interface/tool or supplier (%)</t>
        </is>
      </c>
      <c r="B74" s="177" t="n"/>
      <c r="C74" s="177" t="n"/>
      <c r="D74" s="177" t="n"/>
      <c r="E74" s="177" t="n"/>
      <c r="F74" s="177" t="n"/>
      <c r="G74" s="177" t="n"/>
      <c r="H74" s="177" t="n"/>
    </row>
    <row r="75" ht="26.25" customHeight="1" s="36">
      <c r="A75" s="145" t="inlineStr">
        <is>
          <t>Assessor consistency: moderation-sample tier agreement (%)</t>
        </is>
      </c>
      <c r="B75" s="177" t="n"/>
      <c r="C75" s="177" t="n"/>
      <c r="D75" s="177" t="n"/>
      <c r="E75" s="177" t="n"/>
      <c r="F75" s="177" t="n"/>
      <c r="G75" s="177" t="n"/>
      <c r="H75" s="177" t="n"/>
    </row>
  </sheetData>
  <mergeCells count="27">
    <mergeCell ref="B68:H68"/>
    <mergeCell ref="B65:H65"/>
    <mergeCell ref="A51:H51"/>
    <mergeCell ref="B55:H55"/>
    <mergeCell ref="B64:H64"/>
    <mergeCell ref="A1:H1"/>
    <mergeCell ref="B63:H63"/>
    <mergeCell ref="B54:H54"/>
    <mergeCell ref="B62:H62"/>
    <mergeCell ref="B59:H59"/>
    <mergeCell ref="B66:H66"/>
    <mergeCell ref="B56:H56"/>
    <mergeCell ref="B58:H58"/>
    <mergeCell ref="B52:H52"/>
    <mergeCell ref="A2:H2"/>
    <mergeCell ref="B70:H70"/>
    <mergeCell ref="A33:H33"/>
    <mergeCell ref="B60:H60"/>
    <mergeCell ref="B67:H67"/>
    <mergeCell ref="A22:H22"/>
    <mergeCell ref="B61:H61"/>
    <mergeCell ref="A29:H29"/>
    <mergeCell ref="B57:H57"/>
    <mergeCell ref="B53:H53"/>
    <mergeCell ref="A72:H72"/>
    <mergeCell ref="B69:H69"/>
    <mergeCell ref="A40:H40"/>
  </mergeCells>
  <conditionalFormatting sqref="E31">
    <cfRule type="containsText" rank="0" priority="2" equalAverage="0" operator="containsText" aboveAverage="0" dxfId="3" text="Reconciled" percent="0" bottom="0">
      <formula>NOT(ISERROR(SEARCH("Reconciled",E31)))</formula>
    </cfRule>
    <cfRule type="containsText" rank="0" priority="3" equalAverage="0" operator="containsText" aboveAverage="0" dxfId="4" text="Investigate" percent="0" bottom="0">
      <formula>NOT(ISERROR(SEARCH("Investigate",E31)))</formula>
    </cfRule>
    <cfRule type="containsText" rank="0" priority="4" equalAverage="0" operator="containsText" aboveAverage="0" dxfId="5" text="Incomplete" percent="0" bottom="0">
      <formula>NOT(ISERROR(SEARCH("Incomplete",E31)))</formula>
    </cfRule>
  </conditionalFormatting>
  <dataValidations count="8">
    <dataValidation sqref="D13:D20" showDropDown="0" showInputMessage="0" showErrorMessage="0" allowBlank="0" type="list" errorStyle="stop" operator="between">
      <formula1>"Green,Amber,Red"</formula1>
      <formula2>0</formula2>
    </dataValidation>
    <dataValidation sqref="D35" showDropDown="0" showInputMessage="0" showErrorMessage="0" allowBlank="0" type="list" errorStyle="stop" operator="between">
      <formula1>"Green,Amber,Red"</formula1>
      <formula2>0</formula2>
    </dataValidation>
    <dataValidation sqref="D36" showDropDown="0" showInputMessage="0" showErrorMessage="0" allowBlank="0" type="list" errorStyle="stop" operator="between">
      <formula1>"Green,Amber,Red"</formula1>
      <formula2>0</formula2>
    </dataValidation>
    <dataValidation sqref="D37" showDropDown="0" showInputMessage="0" showErrorMessage="0" allowBlank="0" type="list" errorStyle="stop" operator="between">
      <formula1>"Green,Amber,Red"</formula1>
      <formula2>0</formula2>
    </dataValidation>
    <dataValidation sqref="D38" showDropDown="0" showInputMessage="0" showErrorMessage="0" allowBlank="0" type="list" errorStyle="stop" operator="between">
      <formula1>"Green,Amber,Red"</formula1>
      <formula2>0</formula2>
    </dataValidation>
    <dataValidation sqref="D39" showDropDown="0" showInputMessage="0" showErrorMessage="0" allowBlank="0" type="list" errorStyle="stop" operator="between">
      <formula1>"Green,Amber,Red"</formula1>
      <formula2>0</formula2>
    </dataValidation>
    <dataValidation sqref="D74:D75" showDropDown="0" showInputMessage="0" showErrorMessage="0" allowBlank="1" type="list">
      <formula1>"Green,Amber,Red"</formula1>
    </dataValidation>
    <dataValidation sqref="B74:C75" showDropDown="0" showInputMessage="0" showErrorMessage="1" allowBlank="1" errorTitle="Percentage" error="Enter a percentage from 0 to 100 (for example 40 for 40%). Leave blank if not supplied." type="decimal" operator="between">
      <formula1>0</formula1>
      <formula2>100</formula2>
    </dataValidation>
  </dataValidations>
  <pageMargins left="0.7" right="0.7" top="0.75" bottom="0.75" header="0.3" footer="0.3"/>
  <pageSetup orientation="landscape" paperSize="9" fitToHeight="0" fitToWidth="1"/>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I21"/>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7" customWidth="1" style="36" min="1" max="1"/>
    <col width="34" customWidth="1" style="36" min="2" max="2"/>
    <col width="40" customWidth="1" style="36" min="3" max="3"/>
    <col width="30" customWidth="1" style="36" min="4" max="4"/>
    <col width="18" customWidth="1" style="36" min="5" max="5"/>
    <col width="38" customWidth="1" style="36" min="6" max="6"/>
    <col width="26" customWidth="1" style="36" min="7" max="7"/>
    <col width="38" customWidth="1" style="36" min="8" max="8"/>
    <col width="14" customWidth="1" style="36" min="9" max="9"/>
  </cols>
  <sheetData>
    <row r="1">
      <c r="A1" s="146" t="inlineStr">
        <is>
          <t>AIG-OPS-06 — Measure definitions (controlled with this workbook, v1.4 draft)</t>
        </is>
      </c>
    </row>
    <row r="2" ht="45" customHeight="1" s="36">
      <c r="A2" s="169" t="inlineStr">
        <is>
          <t>Each Dashboard figure must match this definition. Counts are taken at the Controlled Inputs ‘Data as at’ cut from the named source. A blank means not supplied and is never treated as zero. RAG criteria are proposed defaults for Council confirmation.</t>
        </is>
      </c>
    </row>
    <row r="4">
      <c r="A4" s="113" t="inlineStr">
        <is>
          <t>Ref</t>
        </is>
      </c>
      <c r="B4" s="113" t="inlineStr">
        <is>
          <t>Dashboard indicator</t>
        </is>
      </c>
      <c r="C4" s="113" t="inlineStr">
        <is>
          <t>What is counted (numerator)</t>
        </is>
      </c>
      <c r="D4" s="113" t="inlineStr">
        <is>
          <t>Population / denominator</t>
        </is>
      </c>
      <c r="E4" s="113" t="inlineStr">
        <is>
          <t>Unit</t>
        </is>
      </c>
      <c r="F4" s="113" t="inlineStr">
        <is>
          <t>Source record and date field</t>
        </is>
      </c>
      <c r="G4" s="113" t="inlineStr">
        <is>
          <t>Blank handling</t>
        </is>
      </c>
      <c r="H4" s="113" t="inlineStr">
        <is>
          <t>RAG criteria (Proposed — for Council confirmation)</t>
        </is>
      </c>
      <c r="I4" s="113" t="inlineStr">
        <is>
          <t>Playbook ref</t>
        </is>
      </c>
    </row>
    <row r="5" ht="60" customHeight="1" s="36">
      <c r="A5" s="171" t="inlineStr">
        <is>
          <t>M01</t>
        </is>
      </c>
      <c r="B5" s="171" t="inlineStr">
        <is>
          <t>AIR-IDs with ≥1 authorised UC-ID in operation</t>
        </is>
      </c>
      <c r="C5" s="171" t="inlineStr">
        <is>
          <t>AIR-IDs (systems) with at least one UC-ID whose current delegated decision authorises operation</t>
        </is>
      </c>
      <c r="D5" s="171" t="inlineStr">
        <is>
          <t>All AIR-IDs in AIG-INV-04</t>
        </is>
      </c>
      <c r="E5" s="171" t="inlineStr">
        <is>
          <t>Count of AIR-IDs</t>
        </is>
      </c>
      <c r="F5" s="171" t="inlineStr">
        <is>
          <t>AIG-INV-04 AI Register (Operational Status) + UC-ID current view; as-at cut</t>
        </is>
      </c>
      <c r="G5" s="171" t="inlineStr">
        <is>
          <t>Blank = not supplied</t>
        </is>
      </c>
      <c r="H5" s="171" t="inlineStr">
        <is>
          <t>Not RAG-rated (context measure)</t>
        </is>
      </c>
      <c r="I5" s="171" t="inlineStr">
        <is>
          <t>§6.9.7; AIG-OPS-05</t>
        </is>
      </c>
    </row>
    <row r="6" ht="60" customHeight="1" s="36">
      <c r="A6" s="171" t="inlineStr">
        <is>
          <t>M02</t>
        </is>
      </c>
      <c r="B6" s="171" t="inlineStr">
        <is>
          <t>UC-IDs awaiting a delegated decision</t>
        </is>
      </c>
      <c r="C6" s="171" t="inlineStr">
        <is>
          <t>UC-IDs with a completed assessment and no recorded delegated decision (Pending)</t>
        </is>
      </c>
      <c r="D6" s="171" t="inlineStr">
        <is>
          <t>All UC-IDs in the UC-ID current view</t>
        </is>
      </c>
      <c r="E6" s="171" t="inlineStr">
        <is>
          <t>Count of UC-IDs</t>
        </is>
      </c>
      <c r="F6" s="171" t="inlineStr">
        <is>
          <t>UC-ID current view (Decision outcome = Pending); AIG-DEC-04 Gate plan target dates</t>
        </is>
      </c>
      <c r="G6" s="171" t="inlineStr">
        <is>
          <t>Blank = not supplied</t>
        </is>
      </c>
      <c r="H6" s="171" t="inlineStr">
        <is>
          <t>Red: any waiting &gt; 60 days; Amber: any waiting 30–60 days; Green: none &gt; 30 days</t>
        </is>
      </c>
      <c r="I6" s="171" t="inlineStr">
        <is>
          <t>§6.9.7</t>
        </is>
      </c>
    </row>
    <row r="7" ht="60" customHeight="1" s="36">
      <c r="A7" s="171" t="inlineStr">
        <is>
          <t>M03</t>
        </is>
      </c>
      <c r="B7" s="171" t="inlineStr">
        <is>
          <t>Open incidents</t>
        </is>
      </c>
      <c r="C7" s="171" t="inlineStr">
        <is>
          <t>Incident records not formally closed</t>
        </is>
      </c>
      <c r="D7" s="171" t="inlineStr">
        <is>
          <t>All AIG-OPS-03 incident records</t>
        </is>
      </c>
      <c r="E7" s="171" t="inlineStr">
        <is>
          <t>Count of incidents</t>
        </is>
      </c>
      <c r="F7" s="171" t="inlineStr">
        <is>
          <t>AIG-OPS-03 incident log (status, report date)</t>
        </is>
      </c>
      <c r="G7" s="171" t="inlineStr">
        <is>
          <t>Blank = not supplied</t>
        </is>
      </c>
      <c r="H7" s="171" t="inlineStr">
        <is>
          <t>Red: any open High/Critical incident; Amber: any other open incident; Green: none</t>
        </is>
      </c>
      <c r="I7" s="171" t="inlineStr">
        <is>
          <t>§6.6; D8</t>
        </is>
      </c>
    </row>
    <row r="8" ht="60" customHeight="1" s="36">
      <c r="A8" s="171" t="inlineStr">
        <is>
          <t>M04</t>
        </is>
      </c>
      <c r="B8" s="171" t="inlineStr">
        <is>
          <t>Assurance activities completed</t>
        </is>
      </c>
      <c r="C8" s="171" t="inlineStr">
        <is>
          <t>Planned assurance activities completed in the period</t>
        </is>
      </c>
      <c r="D8" s="171" t="inlineStr">
        <is>
          <t>Assurance activities planned for the period</t>
        </is>
      </c>
      <c r="E8" s="171" t="inlineStr">
        <is>
          <t>Count (state n of N in Notes)</t>
        </is>
      </c>
      <c r="F8" s="171" t="inlineStr">
        <is>
          <t>AIMS monitoring plan / AIG-DEC-04 Gate plan (Plan state)</t>
        </is>
      </c>
      <c r="G8" s="171" t="inlineStr">
        <is>
          <t>Blank = not supplied</t>
        </is>
      </c>
      <c r="H8" s="171" t="inlineStr">
        <is>
          <t>Green ≥ 90% of plan; Amber 75–89%; Red &lt; 75%</t>
        </is>
      </c>
      <c r="I8" s="171" t="inlineStr">
        <is>
          <t>§6.9</t>
        </is>
      </c>
    </row>
    <row r="9" ht="60" customHeight="1" s="36">
      <c r="A9" s="171" t="inlineStr">
        <is>
          <t>M05</t>
        </is>
      </c>
      <c r="B9" s="171" t="inlineStr">
        <is>
          <t>Outstanding governance actions</t>
        </is>
      </c>
      <c r="C9" s="171" t="inlineStr">
        <is>
          <t>Open AIG-DEC-04 conditions and AIMS actions past due at the as-at cut (Overdue derived, not typed)</t>
        </is>
      </c>
      <c r="D9" s="171" t="inlineStr">
        <is>
          <t>All open conditions and actions</t>
        </is>
      </c>
      <c r="E9" s="171" t="inlineStr">
        <is>
          <t>Count</t>
        </is>
      </c>
      <c r="F9" s="171" t="inlineStr">
        <is>
          <t>AIG-DEC-04 Conditions (State, Due date); AIG-AIMS-08</t>
        </is>
      </c>
      <c r="G9" s="171" t="inlineStr">
        <is>
          <t>Blank = not supplied</t>
        </is>
      </c>
      <c r="H9" s="171" t="inlineStr">
        <is>
          <t>Red: any High/Critical UC-ID affected; Amber: any other UC-ID affected; Green: none</t>
        </is>
      </c>
      <c r="I9" s="171" t="inlineStr">
        <is>
          <t>Annex G.2</t>
        </is>
      </c>
    </row>
    <row r="10" ht="60" customHeight="1" s="36">
      <c r="A10" s="171" t="inlineStr">
        <is>
          <t>M06</t>
        </is>
      </c>
      <c r="B10" s="171" t="inlineStr">
        <is>
          <t>Compliance status (% compliant)</t>
        </is>
      </c>
      <c r="C10" s="171" t="inlineStr">
        <is>
          <t>Controls or requirements assessed as compliant</t>
        </is>
      </c>
      <c r="D10" s="171" t="inlineStr">
        <is>
          <t>Controls or requirements assessed in the period</t>
        </is>
      </c>
      <c r="E10" s="171" t="inlineStr">
        <is>
          <t>Percentage 0–100 (enter 85 for 85%)</t>
        </is>
      </c>
      <c r="F10" s="171" t="inlineStr">
        <is>
          <t>AIG-AIMS-06 conformity register; AIG-ASS-03 checklist results</t>
        </is>
      </c>
      <c r="G10" s="171" t="inlineStr">
        <is>
          <t>Blank = not supplied; not assessed ≠ compliant</t>
        </is>
      </c>
      <c r="H10" s="171" t="inlineStr">
        <is>
          <t>Green ≥ 95; Amber 85–94; Red &lt; 85</t>
        </is>
      </c>
      <c r="I10" s="171" t="inlineStr">
        <is>
          <t>§6.9</t>
        </is>
      </c>
    </row>
    <row r="11" ht="60" customHeight="1" s="36">
      <c r="A11" s="171" t="inlineStr">
        <is>
          <t>M07</t>
        </is>
      </c>
      <c r="B11" s="171" t="inlineStr">
        <is>
          <t>Benefits realisation measures</t>
        </is>
      </c>
      <c r="C11" s="171" t="inlineStr">
        <is>
          <t>UC-IDs meeting their approved benefit measure</t>
        </is>
      </c>
      <c r="D11" s="171" t="inlineStr">
        <is>
          <t>UC-IDs with an approved benefit measure</t>
        </is>
      </c>
      <c r="E11" s="171" t="inlineStr">
        <is>
          <t>Count (state n of N in Notes)</t>
        </is>
      </c>
      <c r="F11" s="171" t="inlineStr">
        <is>
          <t>AIG-OPS-02 Monitoring Log (Metric Category = Benefits / Outcomes)</t>
        </is>
      </c>
      <c r="G11" s="171" t="inlineStr">
        <is>
          <t>Blank = not supplied</t>
        </is>
      </c>
      <c r="H11" s="171" t="inlineStr">
        <is>
          <t>Green ≥ 80%; Amber 60–79%; Red &lt; 60%</t>
        </is>
      </c>
      <c r="I11" s="171" t="inlineStr">
        <is>
          <t>§6.4</t>
        </is>
      </c>
    </row>
    <row r="12" ht="60" customHeight="1" s="36">
      <c r="A12" s="171" t="inlineStr">
        <is>
          <t>M08</t>
        </is>
      </c>
      <c r="B12" s="171" t="inlineStr">
        <is>
          <t>Training and capability indicators</t>
        </is>
      </c>
      <c r="C12" s="171" t="inlineStr">
        <is>
          <t>Staff in AI roles with required training current</t>
        </is>
      </c>
      <c r="D12" s="171" t="inlineStr">
        <is>
          <t>Staff in AI roles (AIG-AIMS-04)</t>
        </is>
      </c>
      <c r="E12" s="171" t="inlineStr">
        <is>
          <t>Percentage 0–100</t>
        </is>
      </c>
      <c r="F12" s="171" t="inlineStr">
        <is>
          <t>AIG-AIMS-04 competence records</t>
        </is>
      </c>
      <c r="G12" s="171" t="inlineStr">
        <is>
          <t>Blank = not supplied</t>
        </is>
      </c>
      <c r="H12" s="171" t="inlineStr">
        <is>
          <t>Green ≥ 90; Amber 75–89; Red &lt; 75</t>
        </is>
      </c>
      <c r="I12" s="171" t="inlineStr">
        <is>
          <t>§5; ISO/IEC 42001 7.2</t>
        </is>
      </c>
    </row>
    <row r="13" ht="60" customHeight="1" s="36">
      <c r="A13" s="171" t="inlineStr">
        <is>
          <t>M09</t>
        </is>
      </c>
      <c r="B13" s="171" t="inlineStr">
        <is>
          <t>UC-ID risk classification distribution</t>
        </is>
      </c>
      <c r="C13" s="171" t="inlineStr">
        <is>
          <t>UC-IDs by effective governance tier (Critical/High/Medium/Low) plus Unclassified</t>
        </is>
      </c>
      <c r="D13" s="171" t="inlineStr">
        <is>
          <t>All UC-IDs in the UC-ID current view</t>
        </is>
      </c>
      <c r="E13" s="171" t="inlineStr">
        <is>
          <t>Count of UC-IDs</t>
        </is>
      </c>
      <c r="F13" s="171" t="inlineStr">
        <is>
          <t>UC-ID current view (Risk tier), from AIG-ASS-02</t>
        </is>
      </c>
      <c r="G13" s="171" t="inlineStr">
        <is>
          <t>Enter 0 for an empty tier; a blank tier count stops reconciliation</t>
        </is>
      </c>
      <c r="H13" s="171" t="inlineStr">
        <is>
          <t>Not RAG-rated</t>
        </is>
      </c>
      <c r="I13" s="171" t="inlineStr">
        <is>
          <t>§4.4.8; §6.9.7</t>
        </is>
      </c>
    </row>
    <row r="14" ht="60" customHeight="1" s="36">
      <c r="A14" s="171" t="inlineStr">
        <is>
          <t>M10</t>
        </is>
      </c>
      <c r="B14" s="171" t="inlineStr">
        <is>
          <t>UC-IDs with overdue reviews</t>
        </is>
      </c>
      <c r="C14" s="171" t="inlineStr">
        <is>
          <t>UC-IDs whose next review date is before the as-at cut</t>
        </is>
      </c>
      <c r="D14" s="171" t="inlineStr">
        <is>
          <t>All UC-IDs in operation</t>
        </is>
      </c>
      <c r="E14" s="171" t="inlineStr">
        <is>
          <t>Count of UC-IDs</t>
        </is>
      </c>
      <c r="F14" s="171" t="inlineStr">
        <is>
          <t>AIG-OPS-02 Monitoring Log (Next Review Date, Risk tier)</t>
        </is>
      </c>
      <c r="G14" s="171" t="inlineStr">
        <is>
          <t>Blank = not supplied</t>
        </is>
      </c>
      <c r="H14" s="171" t="inlineStr">
        <is>
          <t>Red: any High/Critical UC-ID affected; Amber: any other UC-ID affected; Green: none</t>
        </is>
      </c>
      <c r="I14" s="171" t="inlineStr">
        <is>
          <t>E.6; D3 cadences</t>
        </is>
      </c>
    </row>
    <row r="15" ht="60" customHeight="1" s="36">
      <c r="A15" s="171" t="inlineStr">
        <is>
          <t>M11</t>
        </is>
      </c>
      <c r="B15" s="171" t="inlineStr">
        <is>
          <t>High/Critical UC-IDs without current monitoring evidence</t>
        </is>
      </c>
      <c r="C15" s="171" t="inlineStr">
        <is>
          <t>High/Critical UC-IDs with no monitoring row inside the tier cadence (High quarterly; Critical monthly formal review)</t>
        </is>
      </c>
      <c r="D15" s="171" t="inlineStr">
        <is>
          <t>High/Critical UC-IDs in operation</t>
        </is>
      </c>
      <c r="E15" s="171" t="inlineStr">
        <is>
          <t>Count of UC-IDs</t>
        </is>
      </c>
      <c r="F15" s="171" t="inlineStr">
        <is>
          <t>AIG-OPS-02 Monitoring Log (Review Date, Risk tier)</t>
        </is>
      </c>
      <c r="G15" s="171" t="inlineStr">
        <is>
          <t>Blank = not supplied</t>
        </is>
      </c>
      <c r="H15" s="171" t="inlineStr">
        <is>
          <t>Red: any; Green: none</t>
        </is>
      </c>
      <c r="I15" s="171" t="inlineStr">
        <is>
          <t>E.6; D3</t>
        </is>
      </c>
    </row>
    <row r="16" ht="60" customHeight="1" s="36">
      <c r="A16" s="171" t="inlineStr">
        <is>
          <t>M12</t>
        </is>
      </c>
      <c r="B16" s="171" t="inlineStr">
        <is>
          <t>UC-IDs outside approved performance, fairness or drift thresholds</t>
        </is>
      </c>
      <c r="C16" s="171" t="inlineStr">
        <is>
          <t>UC-IDs with a threshold breach (Threshold Breach? = Yes) in the period</t>
        </is>
      </c>
      <c r="D16" s="171" t="inlineStr">
        <is>
          <t>UC-IDs monitored in the period</t>
        </is>
      </c>
      <c r="E16" s="171" t="inlineStr">
        <is>
          <t>Count of UC-IDs</t>
        </is>
      </c>
      <c r="F16" s="171" t="inlineStr">
        <is>
          <t>AIG-OPS-02 Monitoring Log (Threshold Breach?, Metric Category)</t>
        </is>
      </c>
      <c r="G16" s="171" t="inlineStr">
        <is>
          <t>Blank = not supplied; Unknown is reported separately in Notes</t>
        </is>
      </c>
      <c r="H16" s="171" t="inlineStr">
        <is>
          <t>Red: any High/Critical UC-ID affected; Amber: any other UC-ID affected; Green: none</t>
        </is>
      </c>
      <c r="I16" s="171" t="inlineStr">
        <is>
          <t>E.6</t>
        </is>
      </c>
    </row>
    <row r="17" ht="60" customHeight="1" s="36">
      <c r="A17" s="171" t="inlineStr">
        <is>
          <t>M13</t>
        </is>
      </c>
      <c r="B17" s="171" t="inlineStr">
        <is>
          <t>UC-IDs requiring reassessment after breach or material change</t>
        </is>
      </c>
      <c r="C17" s="171" t="inlineStr">
        <is>
          <t>UC-IDs with Risk Reassessment Required? = Yes not yet reassessed</t>
        </is>
      </c>
      <c r="D17" s="171" t="inlineStr">
        <is>
          <t>UC-IDs in operation</t>
        </is>
      </c>
      <c r="E17" s="171" t="inlineStr">
        <is>
          <t>Count of UC-IDs</t>
        </is>
      </c>
      <c r="F17" s="171" t="inlineStr">
        <is>
          <t>AIG-OPS-02 Monitoring Log (Reassessment trigger, Risk Reassessment Required?, Reassessment ref)</t>
        </is>
      </c>
      <c r="G17" s="171" t="inlineStr">
        <is>
          <t>Blank = not supplied</t>
        </is>
      </c>
      <c r="H17" s="171" t="inlineStr">
        <is>
          <t>Red: any High/Critical UC-ID affected; Amber: any other UC-ID affected; Green: none</t>
        </is>
      </c>
      <c r="I17" s="171" t="inlineStr">
        <is>
          <t>E.4; E.6</t>
        </is>
      </c>
    </row>
    <row r="18" ht="60" customHeight="1" s="36">
      <c r="A18" s="171" t="inlineStr">
        <is>
          <t>M14</t>
        </is>
      </c>
      <c r="B18" s="171" t="inlineStr">
        <is>
          <t>Open High/Critical post-deployment risks</t>
        </is>
      </c>
      <c r="C18" s="171" t="inlineStr">
        <is>
          <t>High/Critical residual risks open after post-deployment review</t>
        </is>
      </c>
      <c r="D18" s="171" t="inlineStr">
        <is>
          <t>UC-IDs in operation</t>
        </is>
      </c>
      <c r="E18" s="171" t="inlineStr">
        <is>
          <t>Count of risks</t>
        </is>
      </c>
      <c r="F18" s="171" t="inlineStr">
        <is>
          <t>AIG-OPS-02 (Residual Risk After Review); AIG-ASS-02</t>
        </is>
      </c>
      <c r="G18" s="171" t="inlineStr">
        <is>
          <t>Blank = not supplied</t>
        </is>
      </c>
      <c r="H18" s="171" t="inlineStr">
        <is>
          <t>Red: any; Green: none</t>
        </is>
      </c>
      <c r="I18" s="171" t="inlineStr">
        <is>
          <t>E.6</t>
        </is>
      </c>
    </row>
    <row r="19" ht="60" customHeight="1" s="36">
      <c r="A19" s="171" t="inlineStr">
        <is>
          <t>M15</t>
        </is>
      </c>
      <c r="B19" s="171" t="inlineStr">
        <is>
          <t>UC-ID decision snapshot (rows 41–46)</t>
        </is>
      </c>
      <c r="C19" s="171" t="inlineStr">
        <is>
          <t>UC-IDs by Derived position bucket (mapping table on Controlled Inputs)</t>
        </is>
      </c>
      <c r="D19" s="171" t="inlineStr">
        <is>
          <t>All UC-IDs in the reconciled UC-ID current view</t>
        </is>
      </c>
      <c r="E19" s="171" t="inlineStr">
        <is>
          <t>Count of UC-IDs (row 46 counts AIR-IDs)</t>
        </is>
      </c>
      <c r="F19" s="171" t="inlineStr">
        <is>
          <t>UC-ID current view (Derived position at its as-at date)</t>
        </is>
      </c>
      <c r="G19" s="171" t="inlineStr">
        <is>
          <t>Displayed only when reconciliation = Reconciled</t>
        </is>
      </c>
      <c r="H19" s="171" t="inlineStr">
        <is>
          <t>Not RAG-rated</t>
        </is>
      </c>
      <c r="I19" s="171" t="inlineStr">
        <is>
          <t>§3.10.4; D6</t>
        </is>
      </c>
    </row>
    <row r="20" ht="60" customHeight="1" s="36">
      <c r="A20" s="171" t="inlineStr">
        <is>
          <t>M16</t>
        </is>
      </c>
      <c r="B20" s="171" t="inlineStr">
        <is>
          <t>Largest dependency concentration (share of mapped AIR-IDs)</t>
        </is>
      </c>
      <c r="C20" s="171" t="inlineStr">
        <is>
          <t>Largest share of AIR-IDs relying on any one model, data asset, interface/tool or supplier; name the dependency and the High/Critical UC-IDs relying on it in Notes</t>
        </is>
      </c>
      <c r="D20" s="171" t="inlineStr">
        <is>
          <t>Distinct AIR-IDs on the AIG-INV-05 System map (components) or in the controlled AIG-INV-04 extract (suppliers)</t>
        </is>
      </c>
      <c r="E20" s="171" t="inlineStr">
        <is>
          <t>Percentage 0–100 (enter 40 for 40%)</t>
        </is>
      </c>
      <c r="F20" s="171" t="inlineStr">
        <is>
          <t>AIG-INV-05 Dependency concentration (Largest share overall; confirmed, QA-clean links only) at its as-at date; AIG-AIMS-10 M-16</t>
        </is>
      </c>
      <c r="G20" s="171" t="inlineStr">
        <is>
          <t>Blank = not supplied; zero is not absence of a dependency</t>
        </is>
      </c>
      <c r="H20" s="171" t="inlineStr">
        <is>
          <t>Not RAG-rated until the Council sets the threshold for concern in AIG-INV-05; flagged concentrations are reported to the AI Assurance Board (Proposed — for Council confirmation)</t>
        </is>
      </c>
      <c r="I20" s="171" t="inlineStr">
        <is>
          <t>§4.5.8; AIG-OPS-05</t>
        </is>
      </c>
    </row>
    <row r="21" ht="60" customHeight="1" s="36">
      <c r="A21" s="171" t="inlineStr">
        <is>
          <t>M17</t>
        </is>
      </c>
      <c r="B21" s="171" t="inlineStr">
        <is>
          <t>Assessor consistency (moderation-sample tier agreement)</t>
        </is>
      </c>
      <c r="C21" s="171" t="inlineStr">
        <is>
          <t>Moderation-sample assessments where the second assessor's tier matches the original</t>
        </is>
      </c>
      <c r="D21" s="171" t="inlineStr">
        <is>
          <t>Medium and Low assessments in the quarter's moderation sample (second assessor does not see the original scores)</t>
        </is>
      </c>
      <c r="E21" s="171" t="inlineStr">
        <is>
          <t>Percentage 0–100</t>
        </is>
      </c>
      <c r="F21" s="171" t="inlineStr">
        <is>
          <t>Moderation sample records (original and second-assessor tiers, AIG-ASS-02); AIG-AIMS-10 M-17</t>
        </is>
      </c>
      <c r="G21" s="171" t="inlineStr">
        <is>
          <t>Blank = not supplied; no sample is not full agreement</t>
        </is>
      </c>
      <c r="H21" s="171" t="inlineStr">
        <is>
          <t>Target and RAG criteria set by the Council; any whole-band difference is reviewed by the AI Governance Working Group (Proposed — for Council confirmation)</t>
        </is>
      </c>
      <c r="I21" s="171" t="inlineStr">
        <is>
          <t>Assessor consistency (Playbook §4.4.9); AIG-AIMS-10 M-17</t>
        </is>
      </c>
    </row>
  </sheetData>
  <mergeCells count="2">
    <mergeCell ref="A1:I1"/>
    <mergeCell ref="A2:I2"/>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ColWidth="9.47265625" defaultRowHeight="15"/>
  <cols>
    <col width="24" customWidth="1" style="173" min="1" max="1"/>
    <col width="45" customWidth="1" style="173" min="2" max="2"/>
    <col width="49" customWidth="1" style="173" min="3" max="3"/>
    <col width="21.97999954223633" customWidth="1" style="173" min="4" max="4"/>
    <col width="9.789999961853027" customWidth="1" style="173" min="5" max="6"/>
  </cols>
  <sheetData>
    <row r="1" ht="25.5" customHeight="1" s="36">
      <c r="A1" s="146" t="inlineStr">
        <is>
          <t>AIG-OPS-06 — Document Control</t>
        </is>
      </c>
    </row>
    <row r="2" ht="33" customHeight="1" s="36">
      <c r="A2" s="169" t="inlineStr">
        <is>
          <t>Controlled working template. Draft for Council review; not Council-adopted and not effective until formally approved.</t>
        </is>
      </c>
    </row>
    <row r="3">
      <c r="A3" s="125" t="n"/>
      <c r="B3" s="125" t="n"/>
      <c r="C3" s="125" t="n"/>
      <c r="D3" s="125" t="n"/>
      <c r="E3" s="125" t="n"/>
      <c r="F3" s="125" t="n"/>
    </row>
    <row r="4" ht="15" customHeight="1" s="36">
      <c r="A4" s="113" t="inlineStr">
        <is>
          <t>Field</t>
        </is>
      </c>
      <c r="B4" s="113" t="inlineStr">
        <is>
          <t>Controlled value</t>
        </is>
      </c>
      <c r="C4" s="150" t="n"/>
      <c r="D4" s="150" t="n"/>
      <c r="E4" s="150" t="n"/>
      <c r="F4" s="150" t="n"/>
    </row>
    <row r="5" ht="25.5" customHeight="1" s="36">
      <c r="A5" s="178" t="inlineStr">
        <is>
          <t>Document ID</t>
        </is>
      </c>
      <c r="B5" s="179" t="inlineStr">
        <is>
          <t>AIG-OPS-06</t>
        </is>
      </c>
      <c r="C5" s="150" t="n"/>
      <c r="D5" s="150" t="n"/>
      <c r="E5" s="150" t="n"/>
      <c r="F5" s="150" t="n"/>
    </row>
    <row r="6" ht="25.5" customHeight="1" s="36">
      <c r="A6" s="178" t="inlineStr">
        <is>
          <t>Artefact</t>
        </is>
      </c>
      <c r="B6" s="179" t="inlineStr">
        <is>
          <t>AI Governance Dashboard</t>
        </is>
      </c>
      <c r="C6" s="150" t="n"/>
      <c r="D6" s="150" t="n"/>
      <c r="E6" s="150" t="n"/>
      <c r="F6" s="150" t="n"/>
    </row>
    <row r="7" ht="25.5" customHeight="1" s="36">
      <c r="A7" s="178" t="inlineStr">
        <is>
          <t>Version</t>
        </is>
      </c>
      <c r="B7" s="179" t="inlineStr">
        <is>
          <t>1.4 draft</t>
        </is>
      </c>
      <c r="C7" s="150" t="n"/>
      <c r="D7" s="150" t="n"/>
      <c r="E7" s="150" t="n"/>
      <c r="F7" s="150" t="n"/>
    </row>
    <row r="8" ht="25.5" customHeight="1" s="36">
      <c r="A8" s="178" t="inlineStr">
        <is>
          <t>Status</t>
        </is>
      </c>
      <c r="B8" s="179" t="inlineStr">
        <is>
          <t>Draft for Council review</t>
        </is>
      </c>
      <c r="C8" s="150" t="n"/>
      <c r="D8" s="150" t="n"/>
      <c r="E8" s="150" t="n"/>
      <c r="F8" s="150" t="n"/>
    </row>
    <row r="9" ht="25.5" customHeight="1" s="36">
      <c r="A9" s="178" t="inlineStr">
        <is>
          <t>Document owner</t>
        </is>
      </c>
      <c r="B9" s="179" t="inlineStr">
        <is>
          <t>AI Governance Lead</t>
        </is>
      </c>
      <c r="C9" s="150" t="n"/>
      <c r="D9" s="150" t="n"/>
      <c r="E9" s="150" t="n"/>
      <c r="F9" s="150" t="n"/>
    </row>
    <row r="10" ht="25.5" customHeight="1" s="36">
      <c r="A10" s="178" t="inlineStr">
        <is>
          <t>Approving body</t>
        </is>
      </c>
      <c r="B10" s="179" t="inlineStr">
        <is>
          <t>Competent Council authority under Constitution and Scheme of Delegation; AI Assurance Board provides assurance where applicable</t>
        </is>
      </c>
      <c r="C10" s="150" t="n"/>
      <c r="D10" s="150" t="n"/>
      <c r="E10" s="150" t="n"/>
      <c r="F10" s="150" t="n"/>
    </row>
    <row r="11" ht="25.5" customHeight="1" s="36">
      <c r="A11" s="178" t="inlineStr">
        <is>
          <t>Approval date</t>
        </is>
      </c>
      <c r="B11" s="179" t="inlineStr">
        <is>
          <t>Not yet approved</t>
        </is>
      </c>
      <c r="C11" s="150" t="n"/>
      <c r="D11" s="150" t="n"/>
      <c r="E11" s="150" t="n"/>
      <c r="F11" s="150" t="n"/>
    </row>
    <row r="12" ht="25.5" customHeight="1" s="36">
      <c r="A12" s="178" t="inlineStr">
        <is>
          <t>Effective date</t>
        </is>
      </c>
      <c r="B12" s="179" t="inlineStr">
        <is>
          <t>Not yet effective</t>
        </is>
      </c>
      <c r="C12" s="150" t="n"/>
      <c r="D12" s="150" t="n"/>
      <c r="E12" s="150" t="n"/>
      <c r="F12" s="150" t="n"/>
    </row>
    <row r="13" ht="25.5" customHeight="1" s="36">
      <c r="A13" s="178" t="inlineStr">
        <is>
          <t>Next review date</t>
        </is>
      </c>
      <c r="B13" s="179" t="inlineStr">
        <is>
          <t>To be set on approval: 12 months after effective date or sooner following material change</t>
        </is>
      </c>
      <c r="C13" s="150" t="n"/>
      <c r="D13" s="150" t="n"/>
      <c r="E13" s="150" t="n"/>
      <c r="F13" s="150" t="n"/>
    </row>
    <row r="14">
      <c r="A14" s="150" t="n"/>
      <c r="B14" s="150" t="n"/>
      <c r="C14" s="150" t="n"/>
      <c r="D14" s="150" t="n"/>
      <c r="E14" s="150" t="n"/>
      <c r="F14" s="150" t="n"/>
    </row>
    <row r="15" ht="15" customHeight="1" s="36">
      <c r="A15" s="170" t="inlineStr">
        <is>
          <t>Change history</t>
        </is>
      </c>
      <c r="B15" s="181" t="n"/>
      <c r="C15" s="181" t="n"/>
      <c r="D15" s="181" t="n"/>
      <c r="E15" s="181" t="n"/>
      <c r="F15" s="97" t="n"/>
    </row>
    <row r="16" ht="15" customHeight="1" s="36">
      <c r="A16" s="113" t="inlineStr">
        <is>
          <t>Version</t>
        </is>
      </c>
      <c r="B16" s="113" t="inlineStr">
        <is>
          <t>Date</t>
        </is>
      </c>
      <c r="C16" s="113" t="inlineStr">
        <is>
          <t>Change</t>
        </is>
      </c>
      <c r="D16" s="113" t="inlineStr">
        <is>
          <t>Author / owner</t>
        </is>
      </c>
      <c r="E16" s="150" t="n"/>
      <c r="F16" s="150" t="n"/>
    </row>
    <row r="17" ht="43.5" customHeight="1" s="36">
      <c r="A17" s="182" t="inlineStr">
        <is>
          <t>1.0 draft</t>
        </is>
      </c>
      <c r="B17" s="182" t="inlineStr">
        <is>
          <t>6 August 2026</t>
        </is>
      </c>
      <c r="C17" s="182" t="inlineStr">
        <is>
          <t>Step 4.3 spreadsheet QA controls and document-control baseline established.</t>
        </is>
      </c>
      <c r="D17" s="182" t="inlineStr">
        <is>
          <t>AI Governance Lead</t>
        </is>
      </c>
      <c r="E17" s="150" t="n"/>
      <c r="F17" s="150" t="n"/>
    </row>
    <row r="18" ht="43.5" customHeight="1" s="36">
      <c r="A18" s="182" t="inlineStr">
        <is>
          <t>1.1 draft</t>
        </is>
      </c>
      <c r="B18" s="182" t="inlineStr">
        <is>
          <t>6 August 2026</t>
        </is>
      </c>
      <c r="C18" s="182" t="inlineStr">
        <is>
          <t>Formula guard added so blank portfolio totals display blank rather than an error.</t>
        </is>
      </c>
      <c r="D18" s="182" t="inlineStr">
        <is>
          <t>AI Governance Lead</t>
        </is>
      </c>
      <c r="E18" s="150" t="n"/>
      <c r="F18" s="150" t="n"/>
    </row>
    <row r="19" s="36">
      <c r="A19" s="182" t="inlineStr">
        <is>
          <t>1.2 draft</t>
        </is>
      </c>
      <c r="B19" s="182" t="inlineStr">
        <is>
          <t>Not recorded in source</t>
        </is>
      </c>
      <c r="C19" s="182" t="inlineStr">
        <is>
          <t>Not recorded in source (placeholder added during QA remediation so the history is continuous).</t>
        </is>
      </c>
      <c r="D19" s="182" t="inlineStr">
        <is>
          <t>Not recorded in source</t>
        </is>
      </c>
      <c r="E19" s="150" t="n"/>
      <c r="F19" s="150" t="n"/>
    </row>
    <row r="20" s="36">
      <c r="A20" s="182" t="inlineStr">
        <is>
          <t>1.3 draft</t>
        </is>
      </c>
      <c r="B20" s="182" t="inlineStr">
        <is>
          <t>29 September 2026</t>
        </is>
      </c>
      <c r="C20" s="182" t="inlineStr">
        <is>
          <t>QA remediation — applied findings QA-102, QA-212, QA-218, QA-237, QA-240, QA-251, QA-273, QA-274, QA-275, QA-280, QA-286, QA-291 (see QA change log).</t>
        </is>
      </c>
      <c r="D20" s="182" t="inlineStr">
        <is>
          <t>AI Governance Lead</t>
        </is>
      </c>
      <c r="E20" s="150" t="n"/>
      <c r="F20" s="150" t="n"/>
    </row>
    <row r="21" ht="72" customHeight="1" s="36">
      <c r="A21" s="182" t="inlineStr">
        <is>
          <t>1.4 draft</t>
        </is>
      </c>
      <c r="B21" s="182" t="inlineStr">
        <is>
          <t>30 September 2026</t>
        </is>
      </c>
      <c r="C21" s="182" t="inlineStr">
        <is>
          <t>v3.9: added proposed indicators M16 (largest dependency concentration, from AIG-INV-05; AIG-AIMS-10 M-16) and M17 (assessor consistency; AIG-AIMS-10 M-17): Controlled Inputs rows 72 to 75, Dashboard rows 48 to 52 with the same release control (withheld until source, as-at and checker are recorded) and Measure definitions rows 20 to 21. Proposed — for Council confirmation.</t>
        </is>
      </c>
      <c r="D21" s="182" t="inlineStr">
        <is>
          <t>AI Governance Lead</t>
        </is>
      </c>
      <c r="E21" s="150" t="n"/>
      <c r="F21" s="150" t="n"/>
    </row>
    <row r="22" ht="15" customHeight="1" s="36">
      <c r="A22" s="115" t="inlineStr">
        <is>
          <t>Classification: OFFICIAL. Approval, effective and review dates must be completed by the document owner following formal governance approval.</t>
        </is>
      </c>
      <c r="B22" s="116" t="n"/>
      <c r="C22" s="116" t="n"/>
      <c r="D22" s="116" t="n"/>
      <c r="E22" s="116" t="n"/>
      <c r="F22" s="117" t="n"/>
    </row>
    <row r="23" ht="15" customHeight="1" s="36">
      <c r="A23" s="118" t="n"/>
      <c r="B23" s="119" t="n"/>
      <c r="C23" s="119" t="n"/>
      <c r="D23" s="119" t="n"/>
      <c r="E23" s="119" t="n"/>
      <c r="F23" s="120" t="n"/>
    </row>
  </sheetData>
  <mergeCells count="4">
    <mergeCell ref="A2:F2"/>
    <mergeCell ref="A1:F1"/>
    <mergeCell ref="A22:F23"/>
    <mergeCell ref="A15:F1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9"/>
  <sheetViews>
    <sheetView showGridLines="0" workbookViewId="0">
      <pane ySplit="4" topLeftCell="A5" activePane="bottomLeft" state="frozen"/>
      <selection activeCell="A1" sqref="A1"/>
    </sheetView>
  </sheetViews>
  <sheetFormatPr baseColWidth="8" defaultRowHeight="15"/>
  <cols>
    <col width="29" customWidth="1" style="36" min="1" max="1"/>
    <col width="57" customWidth="1" style="36" min="2" max="2"/>
    <col width="67" customWidth="1" style="36" min="3" max="3"/>
  </cols>
  <sheetData>
    <row r="1" ht="28" customHeight="1" s="36">
      <c r="A1" s="198" t="inlineStr">
        <is>
          <t>AIG-OPS-06 — PROPOSED AIG-INV-04/AIG-DEC-04 INTEGRATION NOTES</t>
        </is>
      </c>
    </row>
    <row r="2" ht="34" customHeight="1" s="36">
      <c r="A2" s="193"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row>
    <row r="3">
      <c r="A3" s="125" t="n"/>
      <c r="B3" s="125" t="n"/>
      <c r="C3" s="125" t="n"/>
    </row>
    <row r="4" ht="30" customHeight="1" s="36">
      <c r="A4" s="194" t="inlineStr">
        <is>
          <t>Contract area</t>
        </is>
      </c>
      <c r="B4" s="194" t="inlineStr">
        <is>
          <t>Authoritative key / authority</t>
        </is>
      </c>
      <c r="C4" s="194" t="inlineStr">
        <is>
          <t>Link / required handling and trigger</t>
        </is>
      </c>
    </row>
    <row r="5" ht="64" customHeight="1" s="36">
      <c r="A5" s="195" t="inlineStr">
        <is>
          <t>Portfolio authority / key</t>
        </is>
      </c>
      <c r="B5" s="196" t="inlineStr">
        <is>
          <t>AIG-INV-04 AI Register is the proposed system-level source; AIR-ID is the permanent join key. AIG-OPS-06 is a point-in-time reporting snapshot, not a competing register.</t>
        </is>
      </c>
      <c r="C5" s="196" t="inlineStr">
        <is>
          <t>Use the AIG-INV-04 source filename/version, extract ID, reconciliation date, reporting period and data-as-at cut in Controlled Inputs. Keep source row counts and checker evidence.</t>
        </is>
      </c>
    </row>
    <row r="6" ht="64" customHeight="1" s="36">
      <c r="A6" s="195" t="inlineStr">
        <is>
          <t>AIG-INV-04 AI Register and Assessment summary extract</t>
        </is>
      </c>
      <c r="B6" s="197" t="inlineStr">
        <is>
          <t>Reconcile the extract to AIG-INV-04 AI Register and the associated Assessment summary for the same AIR-ID population and data cut. Include relevant lifecycle/approval, risk and assurance indicators only after source validation.</t>
        </is>
      </c>
      <c r="C6" s="197" t="inlineStr">
        <is>
          <t>Identify the AIG-INV-04 filename/version and extract ID; record source data-as-at, preparer, independent checker and check date. Preserve source references per indicator and reconcile count totals before reporting.</t>
        </is>
      </c>
    </row>
    <row r="7" ht="64" customHeight="1" s="36">
      <c r="A7" s="195" t="inlineStr">
        <is>
          <t>AIG-DEC-04 gate plan / events / conditions</t>
        </is>
      </c>
      <c r="B7" s="196" t="inlineStr">
        <is>
          <t>For gate coverage, use AIG-DEC-04 Gate plan (requirements and state), Gate events (dated decisions), and Conditions (open/resolved/overdue obligations) for the same AIR-ID and snapshot cut. Gate Map is a derived aid, not primary evidence.</t>
        </is>
      </c>
      <c r="C7" s="196" t="inlineStr">
        <is>
          <t>Reconcile each extract and its version/data cut to the AIG-INV-04 snapshot; retain query/extract reference, cut time, row counts, preparer/checker and reconciliation outcome. Distinguish planned gates from final events and open conditions.</t>
        </is>
      </c>
    </row>
    <row r="8" ht="64" customHeight="1" s="36">
      <c r="A8" s="195" t="inlineStr">
        <is>
          <t>Dashboard reporting contract</t>
        </is>
      </c>
      <c r="B8" s="197" t="inlineStr">
        <is>
          <t>Dashboard figures are controlled-input snapshot values and formulas remain unchanged. Every figure must identify the source record/file, source data-as-at and who reconciled it.</t>
        </is>
      </c>
      <c r="C8" s="197" t="inlineStr">
        <is>
          <t>Do not report unreconciled or mixed-cut values. If AIG-INV-04/AIG-DEC-04 data are missing, stale or inconsistent, flag/investigate in Notes and withhold a reconciled claim; never infer gate completion from a plan.</t>
        </is>
      </c>
    </row>
    <row r="9" ht="64" customHeight="1" s="36">
      <c r="A9" s="195" t="inlineStr">
        <is>
          <t>Change and refresh</t>
        </is>
      </c>
      <c r="B9" s="196" t="inlineStr">
        <is>
          <t>A refreshed dashboard is a new dated extract/snapshot; preserve prior cut and source/version identifiers for auditability.</t>
        </is>
      </c>
      <c r="C9" s="196" t="inlineStr">
        <is>
          <t>Re-run the reconciliation when AIG-INV-04 AI Register/Assessment summary or AIG-DEC-04 plans/events/conditions change; record the new extract ID, reporting period, data cut and independent check.</t>
        </is>
      </c>
    </row>
  </sheetData>
  <mergeCells count="2">
    <mergeCell ref="A1:C1"/>
    <mergeCell ref="A2:C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4"/>
  <sheetViews>
    <sheetView workbookViewId="0">
      <pane xSplit="1" ySplit="2" topLeftCell="B3" activePane="bottomRight" state="frozen"/>
      <selection activeCell="A1" sqref="A1"/>
    </sheetView>
  </sheetViews>
  <sheetFormatPr baseColWidth="8" defaultRowHeight="15"/>
  <cols>
    <col width="16" customWidth="1" style="36" min="1" max="1"/>
    <col width="54" customWidth="1" style="36" min="2" max="2"/>
    <col width="70" customWidth="1" style="36" min="3" max="3"/>
    <col width="58" customWidth="1" style="36" min="4" max="4"/>
    <col width="28" customWidth="1" style="36" min="5" max="5"/>
  </cols>
  <sheetData>
    <row r="1">
      <c r="A1" s="150" t="inlineStr">
        <is>
          <t>PROPOSED QA INDEX — NOT APPROVED. A source reference does not establish applicability or compliance. See AIG-AIMS-05 and AIG-AIMS-13; owners must validate the current source, case-specific scope, control evidence and adopted status.</t>
        </is>
      </c>
      <c r="B1" s="150" t="n"/>
      <c r="C1" s="150" t="n"/>
      <c r="D1" s="150" t="n"/>
      <c r="E1" s="150" t="n"/>
    </row>
    <row r="2">
      <c r="A2" s="204" t="inlineStr">
        <is>
          <t>Requirement ID</t>
        </is>
      </c>
      <c r="B2" s="204" t="inlineStr">
        <is>
          <t>Instrument / edition</t>
        </is>
      </c>
      <c r="C2" s="204" t="inlineStr">
        <is>
          <t>Conditional scope / relevance</t>
        </is>
      </c>
      <c r="D2" s="204" t="inlineStr">
        <is>
          <t>Source URL</t>
        </is>
      </c>
      <c r="E2" s="204" t="inlineStr">
        <is>
          <t>Owner validation status</t>
        </is>
      </c>
    </row>
    <row r="3" ht="43" customHeight="1" s="36">
      <c r="A3" s="203" t="inlineStr">
        <is>
          <t>REQ-036</t>
        </is>
      </c>
      <c r="B3" s="203" t="inlineStr">
        <is>
          <t>Algorithmic Transparency Recording Standard (ATRS)</t>
        </is>
      </c>
      <c r="C3" s="203" t="inlineStr">
        <is>
          <t>Central-government mandatory scope is distinct from proposed local-authority adoption.</t>
        </is>
      </c>
      <c r="D3" s="203" t="inlineStr">
        <is>
          <t>https://www.gov.uk/government/publications/guidance-for-organisations-using-the-algorithmic-transparency-recording-standard/algorithmic-transparency-recording-standard-guidance-for-public-sector-bodies</t>
        </is>
      </c>
      <c r="E3" s="203" t="inlineStr">
        <is>
          <t>Specialist validation required</t>
        </is>
      </c>
    </row>
    <row r="4" ht="43" customHeight="1" s="36">
      <c r="A4" s="203" t="inlineStr">
        <is>
          <t>REQ-040</t>
        </is>
      </c>
      <c r="B4" s="203" t="inlineStr">
        <is>
          <t>ISO/IEC 42001:2023 Artificial intelligence management system</t>
        </is>
      </c>
      <c r="C4" s="203" t="inlineStr">
        <is>
          <t>Proposed management-system design mapping; licensed clause review and adoption needed.</t>
        </is>
      </c>
      <c r="D4" s="203" t="inlineStr">
        <is>
          <t>https://www.iso.org/standard/42001</t>
        </is>
      </c>
      <c r="E4" s="203" t="inlineStr">
        <is>
          <t>Specialist validation required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9" customWidth="1" style="36" min="1" max="1"/>
    <col width="96" customWidth="1" style="36" min="2" max="2"/>
  </cols>
  <sheetData>
    <row r="1">
      <c r="A1" s="215" t="inlineStr">
        <is>
          <t>AIG-OPS-06 / PROPOSED THREE-ARTEFACT SOURCE CONTRACT</t>
        </is>
      </c>
      <c r="B1" s="199" t="n"/>
    </row>
    <row r="2">
      <c r="A2" s="125" t="n"/>
      <c r="B2" s="125" t="n"/>
    </row>
    <row r="3" ht="45" customHeight="1" s="36">
      <c r="A3" s="211" t="inlineStr">
        <is>
          <t>Status</t>
        </is>
      </c>
      <c r="B3" s="212" t="inlineStr">
        <is>
          <t>PROPOSED INTEGRATION DESIGN ONLY. This sheet does not amend the artefact's native assessment, decision authority, data or formulas.</t>
        </is>
      </c>
    </row>
    <row r="4" ht="48" customHeight="1" s="36">
      <c r="A4" s="213" t="inlineStr">
        <is>
          <t>Role of this file</t>
        </is>
      </c>
      <c r="B4" s="214" t="inlineStr">
        <is>
          <t>Estate dashboard: Source counts from a dated AIG-INV-04 extract, gate events/conditions from a separate dated AIG-DEC-04 extract, and map coverage only from confirmed, QA-clean map links. Label each extract/version/as-at; never infer approval from map counts.</t>
        </is>
      </c>
    </row>
    <row r="5" ht="45" customHeight="1" s="36">
      <c r="A5" s="211" t="inlineStr">
        <is>
          <t>AIG-INV-04 source</t>
        </is>
      </c>
      <c r="B5" s="212" t="inlineStr">
        <is>
          <t>Separate AIG-INV-04 AI Register: official AIR-ID, current position, in-file Assessment summary/Evidence index. Reconcile against authoritative AIG-INV-04 before using a copied value.</t>
        </is>
      </c>
    </row>
    <row r="6" ht="45" customHeight="1" s="36">
      <c r="A6" s="213" t="inlineStr">
        <is>
          <t>AIG-DEC-04 source</t>
        </is>
      </c>
      <c r="B6" s="214" t="inlineStr">
        <is>
          <t>Separate AIG-DEC-04 Gate Log: prospective Gate plan, dated Gate events, event-linked Conditions. A planned gate is not a decision. A decision requires AIG-DEC-03 or approved minutes and proper delegation.</t>
        </is>
      </c>
    </row>
    <row r="7" ht="48" customHeight="1" s="36">
      <c r="A7" s="211" t="inlineStr">
        <is>
          <t>Map source</t>
        </is>
      </c>
      <c r="B7" s="212" t="inlineStr">
        <is>
          <t>Proposed standalone Capabilities and System Map (candidate catalogue ID AIG-INV-05): UC/CAP and component relationship pointers. Edge ID is not an approval or permission; AIG-AGT-04/AIG-AGT-05 remain sources of agent scope/authority.</t>
        </is>
      </c>
    </row>
    <row r="8" ht="48" customHeight="1" s="36">
      <c r="A8" s="213" t="inlineStr">
        <is>
          <t>Data exchange</t>
        </is>
      </c>
      <c r="B8" s="214" t="inlineStr">
        <is>
          <t>Use controlled AIR-ID across files. Where applicable reference exact Event ID, Condition ID, Evidence ID, AG-ID and Edge ID. Record source file/version/as-at with imported or quoted evidence; no live cross-workbook formula is assumed.</t>
        </is>
      </c>
    </row>
    <row r="9" ht="45" customHeight="1" s="36">
      <c r="A9" s="211" t="inlineStr">
        <is>
          <t>Change trigger</t>
        </is>
      </c>
      <c r="B9" s="212" t="inlineStr">
        <is>
          <t>New or expanded system/tool access, or a material model, data, interface, purpose or agent change: log the map change, obtain owner reassessment and escalate to the proper AIG-DEC-04 gate/AIG-DEC-03 decision when required.</t>
        </is>
      </c>
    </row>
    <row r="10" ht="48" customHeight="1" s="36">
      <c r="A10" s="213" t="inlineStr">
        <is>
          <t>Validation before use</t>
        </is>
      </c>
      <c r="B10" s="214"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AIG-OPS-06 AI Governance Dashboard</dc:title>
  <dc:description xmlns:dc="http://purl.org/dc/elements/1.1/">Classification: OFFICIAL. Draft for Council review; not Council-adopted.</dc:description>
  <dc:subject xmlns:dc="http://purl.org/dc/elements/1.1/">AI governance dashboard — v1.4 draft</dc:subject>
  <dcterms:created xmlns:dcterms="http://purl.org/dc/terms/" xmlns:xsi="http://www.w3.org/2001/XMLSchema-instance" xsi:type="dcterms:W3CDTF">2026-09-29T17:55:42Z</dcterms:created>
  <dcterms:modified xmlns:dcterms="http://purl.org/dc/terms/" xmlns:xsi="http://www.w3.org/2001/XMLSchema-instance" xsi:type="dcterms:W3CDTF">2026-09-30T07:14:37Z</dcterms:modified>
  <cp:lastModifiedBy>AI Governance Lead</cp:lastModifiedBy>
  <cp:category>The Council AI governance suite v3.9.9</cp:category>
  <cp:keywords>OFFICIAL; Draft for Council review</cp:keywords>
</cp:coreProperties>
</file>