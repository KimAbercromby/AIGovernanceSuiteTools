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isk Assessment" sheetId="1" state="visible" r:id="rId1"/>
    <sheet xmlns:r="http://schemas.openxmlformats.org/officeDocument/2006/relationships" name="Document Control" sheetId="2" state="visible" r:id="rId2"/>
    <sheet xmlns:r="http://schemas.openxmlformats.org/officeDocument/2006/relationships" name="Triage Import" sheetId="3" state="visible" r:id="rId3"/>
    <sheet xmlns:r="http://schemas.openxmlformats.org/officeDocument/2006/relationships" name="INTEGRATION INV-04 DEC-04" sheetId="4" state="visible" r:id="rId4"/>
    <sheet xmlns:r="http://schemas.openxmlformats.org/officeDocument/2006/relationships" name="STANDARDS SCOPE QA" sheetId="5" state="visible" r:id="rId5"/>
    <sheet xmlns:r="http://schemas.openxmlformats.org/officeDocument/2006/relationships" name="MAP &amp; SPLIT CONTRACT" sheetId="6" state="visible" r:id="rId6"/>
  </sheets>
  <definedNames/>
</workbook>
</file>

<file path=xl/styles.xml><?xml version="1.0" encoding="utf-8"?>
<styleSheet xmlns="http://schemas.openxmlformats.org/spreadsheetml/2006/main">
  <numFmts count="1">
    <numFmt numFmtId="164" formatCode="0.0"/>
  </numFmts>
  <fonts count="38">
    <font>
      <name val="Arial"/>
      <sz val="10"/>
    </font>
    <font>
      <name val="Arial"/>
      <sz val="10"/>
    </font>
    <font>
      <name val="Arial"/>
      <sz val="10"/>
    </font>
    <font>
      <name val="Arial"/>
      <sz val="10"/>
    </font>
    <font>
      <name val="Arial"/>
      <color theme="1"/>
      <sz val="11"/>
    </font>
    <font>
      <name val="Arial"/>
      <b val="1"/>
      <color rgb="FFFFFFFF"/>
      <sz val="16"/>
    </font>
    <font>
      <name val="Arial"/>
      <i val="1"/>
      <color rgb="FF333333"/>
      <sz val="9"/>
    </font>
    <font>
      <name val="Arial"/>
      <b val="1"/>
      <color rgb="FF000000"/>
      <sz val="10"/>
    </font>
    <font>
      <name val="Arial"/>
      <b val="1"/>
      <color rgb="FF1F4E79"/>
      <sz val="10"/>
    </font>
    <font>
      <name val="Arial"/>
      <b val="1"/>
      <color rgb="FF0A2342"/>
      <sz val="10"/>
    </font>
    <font>
      <name val="Arial"/>
      <b val="1"/>
      <color rgb="FFFFFFFF"/>
      <sz val="9"/>
    </font>
    <font>
      <name val="Arial"/>
      <color rgb="FF000000"/>
      <sz val="10"/>
    </font>
    <font>
      <name val="Arial"/>
      <color rgb="FF333333"/>
      <sz val="9"/>
    </font>
    <font>
      <name val="Arial"/>
      <b val="1"/>
      <color rgb="FF000000"/>
      <sz val="11"/>
    </font>
    <font>
      <name val="Arial"/>
      <b val="1"/>
      <color rgb="FF0A2342"/>
      <sz val="12"/>
    </font>
    <font>
      <name val="Arial"/>
      <b val="1"/>
      <color rgb="FF0A2342"/>
      <sz val="11"/>
    </font>
    <font>
      <name val="Arial"/>
      <b val="1"/>
      <color rgb="FFC00000"/>
      <sz val="11"/>
    </font>
    <font>
      <name val="Arial"/>
      <i val="1"/>
      <color rgb="FF222222"/>
      <sz val="9"/>
    </font>
    <font>
      <name val="Arial"/>
      <b val="1"/>
      <color rgb="FF0A2342"/>
      <sz val="9"/>
    </font>
    <font>
      <name val="Arial"/>
      <color rgb="FF222222"/>
      <sz val="9"/>
    </font>
    <font>
      <name val="Arial"/>
      <b val="1"/>
      <color rgb="FF122C47"/>
      <sz val="10"/>
    </font>
    <font>
      <name val="Arial"/>
      <b val="1"/>
      <color rgb="FFFFFFFF"/>
      <sz val="10"/>
    </font>
    <font>
      <name val="Arial"/>
      <color rgb="FF1A1A1A"/>
      <sz val="10"/>
    </font>
    <font>
      <name val="Arial"/>
      <i val="1"/>
      <color rgb="FF1A1A1A"/>
      <sz val="10"/>
    </font>
    <font>
      <name val="Arial"/>
      <b val="1"/>
      <color rgb="FFFFFFFF"/>
      <sz val="15"/>
    </font>
    <font>
      <name val="Arial"/>
      <i val="1"/>
      <color rgb="FF17202A"/>
      <sz val="10"/>
    </font>
    <font>
      <name val="Arial"/>
      <color rgb="FF17202A"/>
      <sz val="10"/>
    </font>
    <font>
      <name val="Arial"/>
      <color rgb="FF0A2342"/>
      <sz val="10"/>
    </font>
    <font>
      <name val="Arial"/>
      <i val="1"/>
      <color rgb="FF66727F"/>
      <sz val="10"/>
    </font>
    <font>
      <name val="Arial"/>
      <b val="1"/>
      <color rgb="FF17202A"/>
      <sz val="10"/>
    </font>
    <font>
      <b val="1"/>
      <color rgb="FFFFFFFF"/>
      <sz val="13"/>
    </font>
    <font>
      <i val="1"/>
      <sz val="10"/>
    </font>
    <font>
      <b val="1"/>
      <color rgb="FF17365D"/>
    </font>
    <font>
      <sz val="10"/>
    </font>
    <font>
      <b val="1"/>
      <color rgb="FFFFFFFF"/>
    </font>
    <font>
      <name val="Aptos Display"/>
      <b val="1"/>
      <color rgb="FF17324F"/>
      <sz val="16"/>
    </font>
    <font>
      <name val="Aptos"/>
      <b val="1"/>
      <color rgb="FF17324F"/>
      <sz val="11"/>
    </font>
    <font>
      <name val="Aptos"/>
      <color rgb="FF17324F"/>
      <sz val="11"/>
    </font>
  </fonts>
  <fills count="31">
    <fill>
      <patternFill/>
    </fill>
    <fill>
      <patternFill patternType="gray125"/>
    </fill>
    <fill>
      <patternFill patternType="solid">
        <fgColor rgb="FF0B2848"/>
      </patternFill>
    </fill>
    <fill>
      <patternFill patternType="solid">
        <fgColor rgb="FFEEF1F5"/>
      </patternFill>
    </fill>
    <fill>
      <patternFill patternType="solid">
        <fgColor rgb="FFDCE9F7"/>
      </patternFill>
    </fill>
    <fill>
      <patternFill patternType="solid">
        <fgColor rgb="FFC9A442"/>
      </patternFill>
    </fill>
    <fill>
      <patternFill patternType="solid">
        <fgColor rgb="FFE9EDF2"/>
      </patternFill>
    </fill>
    <fill>
      <patternFill patternType="solid">
        <fgColor rgb="FFFFF8E1"/>
      </patternFill>
    </fill>
    <fill>
      <patternFill patternType="solid">
        <fgColor rgb="FFD9E6F5"/>
      </patternFill>
    </fill>
    <fill>
      <patternFill patternType="solid">
        <fgColor rgb="FFFCE8E6"/>
      </patternFill>
    </fill>
    <fill>
      <patternFill patternType="solid">
        <fgColor rgb="FFFFF4CC"/>
      </patternFill>
    </fill>
    <fill>
      <patternFill patternType="solid">
        <fgColor rgb="FFFFFFFF"/>
      </patternFill>
    </fill>
    <fill>
      <patternFill patternType="solid">
        <fgColor rgb="FF122C47"/>
      </patternFill>
    </fill>
    <fill>
      <patternFill patternType="solid">
        <fgColor rgb="FF0A2342"/>
      </patternFill>
    </fill>
    <fill>
      <patternFill patternType="solid">
        <fgColor rgb="FFEEF5FA"/>
      </patternFill>
    </fill>
    <fill>
      <patternFill patternType="solid">
        <fgColor rgb="FFE8F3E9"/>
      </patternFill>
    </fill>
    <fill>
      <patternFill patternType="solid">
        <fgColor rgb="FFFFF5D6"/>
      </patternFill>
    </fill>
    <fill>
      <patternFill patternType="solid">
        <fgColor rgb="FFDDEAF5"/>
      </patternFill>
    </fill>
    <fill>
      <patternFill patternType="solid">
        <fgColor rgb="FFE9EDF1"/>
      </patternFill>
    </fill>
    <fill>
      <patternFill patternType="solid">
        <fgColor rgb="FFFFF8DD"/>
      </patternFill>
    </fill>
    <fill>
      <patternFill patternType="solid">
        <fgColor rgb="FFD6AF3F"/>
      </patternFill>
    </fill>
    <fill>
      <patternFill patternType="solid">
        <fgColor rgb="FFF6D5D5"/>
      </patternFill>
    </fill>
    <fill>
      <patternFill patternType="solid">
        <fgColor rgb="FF17365D"/>
      </patternFill>
    </fill>
    <fill>
      <patternFill patternType="solid">
        <fgColor rgb="FFF2F2F2"/>
      </patternFill>
    </fill>
    <fill>
      <patternFill patternType="solid">
        <fgColor rgb="FFD9EAF7"/>
      </patternFill>
    </fill>
    <fill>
      <patternFill patternType="solid">
        <fgColor rgb="FFF7FAFC"/>
      </patternFill>
    </fill>
    <fill>
      <patternFill patternType="solid">
        <fgColor rgb="FF17354F"/>
      </patternFill>
    </fill>
    <fill>
      <patternFill patternType="solid">
        <fgColor rgb="FFEAF4F3"/>
      </patternFill>
    </fill>
    <fill>
      <patternFill patternType="solid">
        <fgColor rgb="FFF5F9FA"/>
      </patternFill>
    </fill>
    <fill>
      <patternFill patternType="solid">
        <fgColor rgb="FFFFF2CC"/>
      </patternFill>
    </fill>
    <fill>
      <patternFill patternType="solid">
        <fgColor rgb="FFF8D879"/>
      </patternFill>
    </fill>
  </fills>
  <borders count="36">
    <border/>
    <border>
      <left style="thin">
        <color rgb="FFB7BFC9"/>
      </left>
      <right style="thin">
        <color rgb="FFB7BFC9"/>
      </right>
      <top style="thin">
        <color rgb="FFB7BFC9"/>
      </top>
      <bottom style="thin">
        <color rgb="FFB7BFC9"/>
      </bottom>
    </border>
    <border>
      <left style="thin">
        <color rgb="FFD9DCE1"/>
      </left>
      <right style="thin">
        <color rgb="FFD9DCE1"/>
      </right>
      <top style="thin">
        <color rgb="FFD9DCE1"/>
      </top>
      <bottom style="thin">
        <color rgb="FFD9DCE1"/>
      </bottom>
    </border>
    <border>
      <left style="thin">
        <color rgb="FFE6B8B7"/>
      </left>
      <right style="thin">
        <color rgb="FFE6B8B7"/>
      </right>
      <top style="thin">
        <color rgb="FFE6B8B7"/>
      </top>
      <bottom style="thin">
        <color rgb="FFE6B8B7"/>
      </bottom>
    </border>
    <border>
      <left style="thin">
        <color rgb="FFC9D0D8"/>
      </left>
      <right style="thin">
        <color rgb="FFC9D0D8"/>
      </right>
      <top style="thin">
        <color rgb="FFC9D0D8"/>
      </top>
      <bottom style="thin">
        <color rgb="FFC9D0D8"/>
      </bottom>
    </border>
    <border>
      <top style="thin">
        <color rgb="FFB7BFC9"/>
      </top>
    </border>
    <border>
      <right style="thin">
        <color rgb="FFB7BFC9"/>
      </right>
      <top style="thin">
        <color rgb="FFB7BFC9"/>
      </top>
    </border>
    <border>
      <top style="thin">
        <color rgb="FFB7BFC9"/>
      </top>
      <bottom style="thin">
        <color rgb="FFB7BFC9"/>
      </bottom>
    </border>
    <border>
      <right style="thin">
        <color rgb="FFB7BFC9"/>
      </right>
      <top style="thin">
        <color rgb="FFB7BFC9"/>
      </top>
      <bottom style="thin">
        <color rgb="FFB7BFC9"/>
      </bottom>
    </border>
    <border>
      <top style="thin">
        <color rgb="FFD9DCE1"/>
      </top>
    </border>
    <border>
      <right style="thin">
        <color rgb="FFD9DCE1"/>
      </right>
      <top style="thin">
        <color rgb="FFD9DCE1"/>
      </top>
    </border>
    <border>
      <top style="thin">
        <color rgb="FFD9DCE1"/>
      </top>
      <bottom style="thin">
        <color rgb="FFD9DCE1"/>
      </bottom>
    </border>
    <border>
      <right style="thin">
        <color rgb="FFD9DCE1"/>
      </right>
      <top style="thin">
        <color rgb="FFD9DCE1"/>
      </top>
      <bottom style="thin">
        <color rgb="FFD9DCE1"/>
      </bottom>
    </border>
    <border>
      <top style="thin">
        <color rgb="FFE6B8B7"/>
      </top>
    </border>
    <border>
      <right style="thin">
        <color rgb="FFE6B8B7"/>
      </right>
      <top style="thin">
        <color rgb="FFE6B8B7"/>
      </top>
    </border>
    <border>
      <top style="thin">
        <color rgb="FFE6B8B7"/>
      </top>
      <bottom style="thin">
        <color rgb="FFE6B8B7"/>
      </bottom>
    </border>
    <border>
      <right style="thin">
        <color rgb="FFE6B8B7"/>
      </right>
      <top style="thin">
        <color rgb="FFE6B8B7"/>
      </top>
      <bottom style="thin">
        <color rgb="FFE6B8B7"/>
      </bottom>
    </border>
    <border>
      <top style="thin">
        <color rgb="FFC9D0D8"/>
      </top>
    </border>
    <border>
      <right style="thin">
        <color rgb="FFC9D0D8"/>
      </right>
      <top style="thin">
        <color rgb="FFC9D0D8"/>
      </top>
    </border>
    <border>
      <top style="thin">
        <color rgb="FFC9D0D8"/>
      </top>
      <bottom style="thin">
        <color rgb="FFC9D0D8"/>
      </bottom>
    </border>
    <border>
      <right style="thin">
        <color rgb="FFC9D0D8"/>
      </right>
      <top style="thin">
        <color rgb="FFC9D0D8"/>
      </top>
      <bottom style="thin">
        <color rgb="FFC9D0D8"/>
      </bottom>
    </border>
    <border>
      <left style="thin">
        <color rgb="FFC9D0D8"/>
      </left>
    </border>
    <border>
      <right style="thin">
        <color rgb="FFC9D0D8"/>
      </right>
    </border>
    <border>
      <left style="thin">
        <color rgb="FFC9D0D8"/>
      </left>
      <bottom style="thin">
        <color rgb="FFC9D0D8"/>
      </bottom>
    </border>
    <border>
      <bottom style="thin">
        <color rgb="FFC9D0D8"/>
      </bottom>
    </border>
    <border>
      <right style="thin">
        <color rgb="FFC9D0D8"/>
      </right>
      <bottom style="thin">
        <color rgb="FFC9D0D8"/>
      </bottom>
    </border>
    <border>
      <left style="thin">
        <color rgb="FFBFBFBF"/>
      </left>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BFBFBF"/>
      </top>
      <bottom style="thin">
        <color rgb="FFBFBFBF"/>
      </bottom>
    </border>
    <border>
      <right style="thin">
        <color rgb="FFBFBFBF"/>
      </right>
      <top style="thin">
        <color rgb="FFBFBFBF"/>
      </top>
      <bottom style="thin">
        <color rgb="FFBFBFBF"/>
      </bottom>
    </border>
    <border/>
    <border/>
    <border/>
    <border/>
    <border/>
  </borders>
  <cellStyleXfs count="6">
    <xf numFmtId="0" fontId="3" fillId="0" borderId="35" applyAlignment="1">
      <alignment horizontal="general" vertical="bottom"/>
    </xf>
    <xf numFmtId="43" fontId="3" fillId="0" borderId="35"/>
    <xf numFmtId="41" fontId="3" fillId="0" borderId="35"/>
    <xf numFmtId="44" fontId="3" fillId="0" borderId="35"/>
    <xf numFmtId="42" fontId="3" fillId="0" borderId="35"/>
    <xf numFmtId="9" fontId="3" fillId="0" borderId="35"/>
  </cellStyleXfs>
  <cellXfs count="23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left" vertical="center"/>
    </xf>
    <xf numFmtId="0" fontId="6" fillId="0" borderId="0" applyAlignment="1" pivotButton="0" quotePrefix="0" xfId="0">
      <alignment horizontal="left" vertical="center" wrapText="1"/>
    </xf>
    <xf numFmtId="0" fontId="7" fillId="3" borderId="1" applyAlignment="1" pivotButton="0" quotePrefix="0" xfId="0">
      <alignment horizontal="left" vertical="center" wrapText="1"/>
    </xf>
    <xf numFmtId="0" fontId="8" fillId="4" borderId="1" applyAlignment="1" pivotButton="0" quotePrefix="0" xfId="0">
      <alignment horizontal="left" vertical="center"/>
    </xf>
    <xf numFmtId="0" fontId="9" fillId="0" borderId="0" applyAlignment="1" pivotButton="0" quotePrefix="0" xfId="0">
      <alignment horizontal="left" vertical="center" wrapText="1"/>
    </xf>
    <xf numFmtId="0" fontId="10" fillId="2" borderId="1" applyAlignment="1" pivotButton="0" quotePrefix="0" xfId="0">
      <alignment horizontal="left" vertical="center" wrapText="1"/>
    </xf>
    <xf numFmtId="0" fontId="10" fillId="2" borderId="1" applyAlignment="1" pivotButton="0" quotePrefix="0" xfId="0">
      <alignment horizontal="center" vertical="center" wrapText="1"/>
    </xf>
    <xf numFmtId="0" fontId="11" fillId="0" borderId="1" applyAlignment="1" pivotButton="0" quotePrefix="0" xfId="0">
      <alignment horizontal="left" vertical="center" wrapText="1"/>
    </xf>
    <xf numFmtId="0" fontId="8" fillId="4" borderId="1" applyAlignment="1" pivotButton="0" quotePrefix="0" xfId="0">
      <alignment horizontal="center" vertical="center"/>
    </xf>
    <xf numFmtId="0" fontId="12" fillId="0" borderId="1" applyAlignment="1" pivotButton="0" quotePrefix="0" xfId="0">
      <alignment horizontal="left" vertical="center" wrapText="1"/>
    </xf>
    <xf numFmtId="0" fontId="13" fillId="3" borderId="1" applyAlignment="1" pivotButton="0" quotePrefix="0" xfId="0">
      <alignment horizontal="center" vertical="center"/>
    </xf>
    <xf numFmtId="164" fontId="13" fillId="3" borderId="1" applyAlignment="1" pivotButton="0" quotePrefix="0" xfId="0">
      <alignment horizontal="center" vertical="center"/>
    </xf>
    <xf numFmtId="164" fontId="14" fillId="5" borderId="1" applyAlignment="1" pivotButton="0" quotePrefix="0" xfId="0">
      <alignment horizontal="center" vertical="center"/>
    </xf>
    <xf numFmtId="0" fontId="14" fillId="5" borderId="1" applyAlignment="1" pivotButton="0" quotePrefix="0" xfId="0">
      <alignment horizontal="center" vertical="center"/>
    </xf>
    <xf numFmtId="0" fontId="15" fillId="6" borderId="2" applyAlignment="1" pivotButton="0" quotePrefix="0" xfId="0">
      <alignment horizontal="general" vertical="center" wrapText="1"/>
    </xf>
    <xf numFmtId="0" fontId="15" fillId="7" borderId="2" applyAlignment="1" pivotButton="0" quotePrefix="0" xfId="0">
      <alignment horizontal="general" vertical="center" wrapText="1"/>
    </xf>
    <xf numFmtId="0" fontId="4" fillId="8" borderId="2" applyAlignment="1" pivotButton="0" quotePrefix="0" xfId="0">
      <alignment horizontal="general" vertical="center" wrapText="1"/>
    </xf>
    <xf numFmtId="0" fontId="16" fillId="9" borderId="3" applyAlignment="1" pivotButton="0" quotePrefix="0" xfId="0">
      <alignment horizontal="general" vertical="center" wrapText="1"/>
    </xf>
    <xf numFmtId="0" fontId="5" fillId="2" borderId="0" applyAlignment="1" pivotButton="0" quotePrefix="0" xfId="0">
      <alignment horizontal="general" vertical="center"/>
    </xf>
    <xf numFmtId="0" fontId="17" fillId="10" borderId="0" applyAlignment="1" pivotButton="0" quotePrefix="0" xfId="0">
      <alignment horizontal="general" vertical="center" wrapText="1"/>
    </xf>
    <xf numFmtId="0" fontId="10" fillId="2" borderId="4" applyAlignment="1" pivotButton="0" quotePrefix="0" xfId="0">
      <alignment horizontal="center" vertical="center" wrapText="1"/>
    </xf>
    <xf numFmtId="0" fontId="18" fillId="3" borderId="4" applyAlignment="1" pivotButton="0" quotePrefix="0" xfId="0">
      <alignment horizontal="general" vertical="top" wrapText="1"/>
    </xf>
    <xf numFmtId="0" fontId="19" fillId="11" borderId="4" applyAlignment="1" pivotButton="0" quotePrefix="0" xfId="0">
      <alignment horizontal="general" vertical="top" wrapText="1"/>
    </xf>
    <xf numFmtId="0" fontId="15" fillId="3" borderId="4" applyAlignment="1" pivotButton="0" quotePrefix="0" xfId="0">
      <alignment horizontal="general" vertical="bottom"/>
    </xf>
    <xf numFmtId="0" fontId="19" fillId="0" borderId="4" applyAlignment="1" pivotButton="0" quotePrefix="0" xfId="0">
      <alignment horizontal="general" vertical="top" wrapText="1"/>
    </xf>
    <xf numFmtId="0" fontId="17" fillId="10" borderId="4" applyAlignment="1" pivotButton="0" quotePrefix="0" xfId="0">
      <alignment horizontal="general" vertical="center" wrapText="1"/>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left" vertical="center"/>
    </xf>
    <xf numFmtId="0" fontId="6" fillId="0" borderId="0" applyAlignment="1" pivotButton="0" quotePrefix="0" xfId="0">
      <alignment horizontal="left" vertical="center" wrapText="1"/>
    </xf>
    <xf numFmtId="0" fontId="7" fillId="3" borderId="1" applyAlignment="1" pivotButton="0" quotePrefix="0" xfId="0">
      <alignment horizontal="left" vertical="center" wrapText="1"/>
    </xf>
    <xf numFmtId="0" fontId="8" fillId="4" borderId="1" applyAlignment="1" pivotButton="0" quotePrefix="0" xfId="0">
      <alignment horizontal="left" vertical="center"/>
    </xf>
    <xf numFmtId="0" fontId="0" fillId="0" borderId="7" pivotButton="0" quotePrefix="0" xfId="0"/>
    <xf numFmtId="0" fontId="0" fillId="0" borderId="8" pivotButton="0" quotePrefix="0" xfId="0"/>
    <xf numFmtId="0" fontId="9" fillId="0" borderId="0" applyAlignment="1" pivotButton="0" quotePrefix="0" xfId="0">
      <alignment horizontal="left" vertical="center" wrapText="1"/>
    </xf>
    <xf numFmtId="0" fontId="10" fillId="2" borderId="1" applyAlignment="1" pivotButton="0" quotePrefix="0" xfId="0">
      <alignment horizontal="left" vertical="center" wrapText="1"/>
    </xf>
    <xf numFmtId="0" fontId="10" fillId="2" borderId="1" applyAlignment="1" pivotButton="0" quotePrefix="0" xfId="0">
      <alignment horizontal="center" vertical="center" wrapText="1"/>
    </xf>
    <xf numFmtId="0" fontId="11" fillId="0" borderId="1" applyAlignment="1" pivotButton="0" quotePrefix="0" xfId="0">
      <alignment horizontal="left" vertical="center" wrapText="1"/>
    </xf>
    <xf numFmtId="0" fontId="8" fillId="4" borderId="1" applyAlignment="1" pivotButton="0" quotePrefix="0" xfId="0">
      <alignment horizontal="center" vertical="center"/>
    </xf>
    <xf numFmtId="0" fontId="12" fillId="0" borderId="1" applyAlignment="1" pivotButton="0" quotePrefix="0" xfId="0">
      <alignment horizontal="left" vertical="center" wrapText="1"/>
    </xf>
    <xf numFmtId="0" fontId="13" fillId="3" borderId="1" applyAlignment="1" pivotButton="0" quotePrefix="0" xfId="0">
      <alignment horizontal="center" vertical="center"/>
    </xf>
    <xf numFmtId="164" fontId="13" fillId="3" borderId="1" applyAlignment="1" pivotButton="0" quotePrefix="0" xfId="0">
      <alignment horizontal="center" vertical="center"/>
    </xf>
    <xf numFmtId="164" fontId="14" fillId="5" borderId="1" applyAlignment="1" pivotButton="0" quotePrefix="0" xfId="0">
      <alignment horizontal="center" vertical="center"/>
    </xf>
    <xf numFmtId="0" fontId="14" fillId="5" borderId="1" applyAlignment="1" pivotButton="0" quotePrefix="0" xfId="0">
      <alignment horizontal="center" vertical="center"/>
    </xf>
    <xf numFmtId="0" fontId="15" fillId="6" borderId="2" applyAlignment="1" pivotButton="0" quotePrefix="0" xfId="0">
      <alignment horizontal="general" vertical="center" wrapText="1"/>
    </xf>
    <xf numFmtId="0" fontId="15" fillId="7" borderId="2" applyAlignment="1" pivotButton="0" quotePrefix="0" xfId="0">
      <alignment horizontal="general" vertical="center" wrapText="1"/>
    </xf>
    <xf numFmtId="0" fontId="0" fillId="0" borderId="11" pivotButton="0" quotePrefix="0" xfId="0"/>
    <xf numFmtId="0" fontId="0" fillId="0" borderId="12" pivotButton="0" quotePrefix="0" xfId="0"/>
    <xf numFmtId="0" fontId="4" fillId="8" borderId="2" applyAlignment="1" pivotButton="0" quotePrefix="0" xfId="0">
      <alignment horizontal="general" vertical="center" wrapText="1"/>
    </xf>
    <xf numFmtId="0" fontId="16" fillId="9" borderId="3" applyAlignment="1" pivotButton="0" quotePrefix="0" xfId="0">
      <alignment horizontal="general" vertical="center" wrapText="1"/>
    </xf>
    <xf numFmtId="0" fontId="0" fillId="0" borderId="15" pivotButton="0" quotePrefix="0" xfId="0"/>
    <xf numFmtId="0" fontId="0" fillId="0" borderId="16" pivotButton="0" quotePrefix="0" xfId="0"/>
    <xf numFmtId="0" fontId="20" fillId="0" borderId="0" pivotButton="0" quotePrefix="0" xfId="0"/>
    <xf numFmtId="0" fontId="21" fillId="12" borderId="26" applyAlignment="1" pivotButton="0" quotePrefix="0" xfId="0">
      <alignment vertical="center" wrapText="1"/>
    </xf>
    <xf numFmtId="0" fontId="22" fillId="0" borderId="26" applyAlignment="1" pivotButton="0" quotePrefix="0" xfId="0">
      <alignment vertical="top" wrapText="1"/>
    </xf>
    <xf numFmtId="0" fontId="23" fillId="0" borderId="26" applyAlignment="1" pivotButton="0" quotePrefix="0" xfId="0">
      <alignment vertical="top" wrapText="1"/>
    </xf>
    <xf numFmtId="0" fontId="0" fillId="0" borderId="29" pivotButton="0" quotePrefix="0" xfId="0"/>
    <xf numFmtId="0" fontId="0" fillId="0" borderId="30" pivotButton="0" quotePrefix="0" xfId="0"/>
    <xf numFmtId="0" fontId="5" fillId="2" borderId="0" applyAlignment="1" pivotButton="0" quotePrefix="0" xfId="0">
      <alignment horizontal="general" vertical="center"/>
    </xf>
    <xf numFmtId="0" fontId="17" fillId="10" borderId="0" applyAlignment="1" pivotButton="0" quotePrefix="0" xfId="0">
      <alignment horizontal="general" vertical="center" wrapText="1"/>
    </xf>
    <xf numFmtId="0" fontId="10" fillId="2" borderId="4" applyAlignment="1" pivotButton="0" quotePrefix="0" xfId="0">
      <alignment horizontal="center" vertical="center" wrapText="1"/>
    </xf>
    <xf numFmtId="0" fontId="18" fillId="3" borderId="4" applyAlignment="1" pivotButton="0" quotePrefix="0" xfId="0">
      <alignment horizontal="general" vertical="top" wrapText="1"/>
    </xf>
    <xf numFmtId="0" fontId="19" fillId="11" borderId="4" applyAlignment="1" pivotButton="0" quotePrefix="0" xfId="0">
      <alignment horizontal="general" vertical="top" wrapText="1"/>
    </xf>
    <xf numFmtId="0" fontId="15" fillId="3" borderId="4" applyAlignment="1" pivotButton="0" quotePrefix="0" xfId="0">
      <alignment horizontal="general" vertical="bottom"/>
    </xf>
    <xf numFmtId="0" fontId="0" fillId="0" borderId="19" pivotButton="0" quotePrefix="0" xfId="0"/>
    <xf numFmtId="0" fontId="0" fillId="0" borderId="20" pivotButton="0" quotePrefix="0" xfId="0"/>
    <xf numFmtId="0" fontId="19" fillId="0" borderId="4" applyAlignment="1" pivotButton="0" quotePrefix="0" xfId="0">
      <alignment horizontal="general" vertical="top" wrapText="1"/>
    </xf>
    <xf numFmtId="0" fontId="22" fillId="0" borderId="0" applyAlignment="1" pivotButton="0" quotePrefix="0" xfId="0">
      <alignment vertical="top" wrapText="1"/>
    </xf>
    <xf numFmtId="0" fontId="17" fillId="10" borderId="4" applyAlignment="1" pivotButton="0" quotePrefix="0" xfId="0">
      <alignment horizontal="general" vertical="center" wrapText="1"/>
    </xf>
    <xf numFmtId="0" fontId="0" fillId="0" borderId="17" pivotButton="0" quotePrefix="0" xfId="0"/>
    <xf numFmtId="0" fontId="0" fillId="0" borderId="18"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left" vertical="center"/>
    </xf>
    <xf numFmtId="0" fontId="6" fillId="0" borderId="0" applyAlignment="1" pivotButton="0" quotePrefix="0" xfId="0">
      <alignment horizontal="left" vertical="center" wrapText="1"/>
    </xf>
    <xf numFmtId="0" fontId="7" fillId="3" borderId="1" applyAlignment="1" pivotButton="0" quotePrefix="0" xfId="0">
      <alignment horizontal="left" vertical="center" wrapText="1"/>
    </xf>
    <xf numFmtId="0" fontId="8" fillId="4" borderId="1" applyAlignment="1" pivotButton="0" quotePrefix="0" xfId="0">
      <alignment horizontal="left" vertical="center"/>
    </xf>
    <xf numFmtId="0" fontId="9" fillId="0" borderId="0" applyAlignment="1" pivotButton="0" quotePrefix="0" xfId="0">
      <alignment horizontal="left" vertical="center" wrapText="1"/>
    </xf>
    <xf numFmtId="0" fontId="10" fillId="2" borderId="1" applyAlignment="1" pivotButton="0" quotePrefix="0" xfId="0">
      <alignment horizontal="left" vertical="center" wrapText="1"/>
    </xf>
    <xf numFmtId="0" fontId="10" fillId="2" borderId="1" applyAlignment="1" pivotButton="0" quotePrefix="0" xfId="0">
      <alignment horizontal="center" vertical="center" wrapText="1"/>
    </xf>
    <xf numFmtId="0" fontId="11" fillId="0" borderId="1" applyAlignment="1" pivotButton="0" quotePrefix="0" xfId="0">
      <alignment horizontal="left" vertical="center" wrapText="1"/>
    </xf>
    <xf numFmtId="0" fontId="8" fillId="4" borderId="1" applyAlignment="1" pivotButton="0" quotePrefix="0" xfId="0">
      <alignment horizontal="center" vertical="center"/>
    </xf>
    <xf numFmtId="0" fontId="12" fillId="0" borderId="1" applyAlignment="1" pivotButton="0" quotePrefix="0" xfId="0">
      <alignment horizontal="left" vertical="center" wrapText="1"/>
    </xf>
    <xf numFmtId="0" fontId="13" fillId="3" borderId="1" applyAlignment="1" pivotButton="0" quotePrefix="0" xfId="0">
      <alignment horizontal="center" vertical="center"/>
    </xf>
    <xf numFmtId="164" fontId="13" fillId="3" borderId="1" applyAlignment="1" pivotButton="0" quotePrefix="0" xfId="0">
      <alignment horizontal="center" vertical="center"/>
    </xf>
    <xf numFmtId="164" fontId="14" fillId="5" borderId="1" applyAlignment="1" pivotButton="0" quotePrefix="0" xfId="0">
      <alignment horizontal="center" vertical="center"/>
    </xf>
    <xf numFmtId="0" fontId="14" fillId="5" borderId="1" applyAlignment="1" pivotButton="0" quotePrefix="0" xfId="0">
      <alignment horizontal="center" vertical="center"/>
    </xf>
    <xf numFmtId="0" fontId="15" fillId="6" borderId="2" applyAlignment="1" pivotButton="0" quotePrefix="0" xfId="0">
      <alignment horizontal="general" vertical="center" wrapText="1"/>
    </xf>
    <xf numFmtId="0" fontId="15" fillId="7" borderId="2" applyAlignment="1" pivotButton="0" quotePrefix="0" xfId="0">
      <alignment horizontal="general" vertical="center" wrapText="1"/>
    </xf>
    <xf numFmtId="0" fontId="4" fillId="8" borderId="2" applyAlignment="1" pivotButton="0" quotePrefix="0" xfId="0">
      <alignment horizontal="general" vertical="center" wrapText="1"/>
    </xf>
    <xf numFmtId="0" fontId="16" fillId="9" borderId="3" applyAlignment="1" pivotButton="0" quotePrefix="0" xfId="0">
      <alignment horizontal="general" vertical="center" wrapText="1"/>
    </xf>
    <xf numFmtId="0" fontId="5" fillId="2" borderId="0" applyAlignment="1" pivotButton="0" quotePrefix="0" xfId="0">
      <alignment horizontal="general" vertical="center"/>
    </xf>
    <xf numFmtId="0" fontId="17" fillId="10" borderId="0" applyAlignment="1" pivotButton="0" quotePrefix="0" xfId="0">
      <alignment horizontal="general" vertical="center" wrapText="1"/>
    </xf>
    <xf numFmtId="0" fontId="10" fillId="2" borderId="4" applyAlignment="1" pivotButton="0" quotePrefix="0" xfId="0">
      <alignment horizontal="center" vertical="center" wrapText="1"/>
    </xf>
    <xf numFmtId="0" fontId="18" fillId="3" borderId="4" applyAlignment="1" pivotButton="0" quotePrefix="0" xfId="0">
      <alignment horizontal="general" vertical="top" wrapText="1"/>
    </xf>
    <xf numFmtId="0" fontId="19" fillId="11" borderId="4" applyAlignment="1" pivotButton="0" quotePrefix="0" xfId="0">
      <alignment horizontal="general" vertical="top" wrapText="1"/>
    </xf>
    <xf numFmtId="0" fontId="15" fillId="3" borderId="4" applyAlignment="1" pivotButton="0" quotePrefix="0" xfId="0">
      <alignment horizontal="general" vertical="bottom"/>
    </xf>
    <xf numFmtId="0" fontId="19" fillId="0" borderId="4" applyAlignment="1" pivotButton="0" quotePrefix="0" xfId="0">
      <alignment horizontal="general" vertical="top" wrapText="1"/>
    </xf>
    <xf numFmtId="0" fontId="17" fillId="10" borderId="4" applyAlignment="1" pivotButton="0" quotePrefix="0" xfId="0">
      <alignment horizontal="general" vertical="center" wrapText="1"/>
    </xf>
    <xf numFmtId="0" fontId="0" fillId="0" borderId="0" pivotButton="0" quotePrefix="0" xfId="0"/>
    <xf numFmtId="0" fontId="0" fillId="0" borderId="7" pivotButton="0" quotePrefix="0" xfId="0"/>
    <xf numFmtId="0" fontId="0" fillId="0" borderId="8" pivotButton="0" quotePrefix="0" xfId="0"/>
    <xf numFmtId="0" fontId="0" fillId="0" borderId="11" pivotButton="0" quotePrefix="0" xfId="0"/>
    <xf numFmtId="0" fontId="0" fillId="0" borderId="12" pivotButton="0" quotePrefix="0" xfId="0"/>
    <xf numFmtId="0" fontId="0" fillId="0" borderId="15" pivotButton="0" quotePrefix="0" xfId="0"/>
    <xf numFmtId="0" fontId="0" fillId="0" borderId="16" pivotButton="0" quotePrefix="0" xfId="0"/>
    <xf numFmtId="0" fontId="20" fillId="0" borderId="0" pivotButton="0" quotePrefix="0" xfId="0"/>
    <xf numFmtId="0" fontId="21" fillId="12" borderId="26" applyAlignment="1" pivotButton="0" quotePrefix="0" xfId="0">
      <alignment vertical="center" wrapText="1"/>
    </xf>
    <xf numFmtId="0" fontId="22" fillId="0" borderId="26" applyAlignment="1" pivotButton="0" quotePrefix="0" xfId="0">
      <alignment vertical="top" wrapText="1"/>
    </xf>
    <xf numFmtId="0" fontId="23" fillId="0" borderId="26" applyAlignment="1" pivotButton="0" quotePrefix="0" xfId="0">
      <alignment vertical="top" wrapText="1"/>
    </xf>
    <xf numFmtId="0" fontId="0" fillId="0" borderId="29" pivotButton="0" quotePrefix="0" xfId="0"/>
    <xf numFmtId="0" fontId="0" fillId="0" borderId="30" pivotButton="0" quotePrefix="0" xfId="0"/>
    <xf numFmtId="0" fontId="0" fillId="0" borderId="19" pivotButton="0" quotePrefix="0" xfId="0"/>
    <xf numFmtId="0" fontId="0" fillId="0" borderId="20" pivotButton="0" quotePrefix="0" xfId="0"/>
    <xf numFmtId="0" fontId="22" fillId="0" borderId="0" applyAlignment="1" pivotButton="0" quotePrefix="0" xfId="0">
      <alignment vertical="top" wrapText="1"/>
    </xf>
    <xf numFmtId="0" fontId="0" fillId="0" borderId="17" pivotButton="0" quotePrefix="0" xfId="0"/>
    <xf numFmtId="0" fontId="0" fillId="0" borderId="18" pivotButton="0" quotePrefix="0" xfId="0"/>
    <xf numFmtId="0" fontId="0" fillId="0" borderId="23" pivotButton="0" quotePrefix="0" xfId="0"/>
    <xf numFmtId="0" fontId="0" fillId="0" borderId="24" pivotButton="0" quotePrefix="0" xfId="0"/>
    <xf numFmtId="0" fontId="0" fillId="0" borderId="25" pivotButton="0" quotePrefix="0" xfId="0"/>
    <xf numFmtId="0" fontId="0" fillId="13" borderId="0" applyAlignment="1" pivotButton="0" quotePrefix="0" xfId="0">
      <alignment horizontal="general" vertical="bottom"/>
    </xf>
    <xf numFmtId="0" fontId="24" fillId="13" borderId="0" applyAlignment="1" pivotButton="0" quotePrefix="0" xfId="0">
      <alignment horizontal="general" vertical="bottom"/>
    </xf>
    <xf numFmtId="0" fontId="24" fillId="13" borderId="0" applyAlignment="1" pivotButton="0" quotePrefix="0" xfId="0">
      <alignment horizontal="general" vertical="center"/>
    </xf>
    <xf numFmtId="0" fontId="0" fillId="14" borderId="0" applyAlignment="1" pivotButton="0" quotePrefix="0" xfId="0">
      <alignment horizontal="general" vertical="bottom"/>
    </xf>
    <xf numFmtId="0" fontId="25" fillId="14" borderId="0" applyAlignment="1" pivotButton="0" quotePrefix="0" xfId="0">
      <alignment horizontal="general" vertical="bottom"/>
    </xf>
    <xf numFmtId="0" fontId="25" fillId="14" borderId="0" applyAlignment="1" pivotButton="0" quotePrefix="0" xfId="0">
      <alignment horizontal="general" vertical="bottom" wrapText="1"/>
    </xf>
    <xf numFmtId="0" fontId="25" fillId="14" borderId="0" applyAlignment="1" pivotButton="0" quotePrefix="0" xfId="0">
      <alignment horizontal="general" vertical="top" wrapText="1"/>
    </xf>
    <xf numFmtId="0" fontId="21" fillId="13" borderId="0" applyAlignment="1" pivotButton="0" quotePrefix="0" xfId="0">
      <alignment horizontal="general" vertical="bottom"/>
    </xf>
    <xf numFmtId="0" fontId="21" fillId="13" borderId="0" applyAlignment="1" pivotButton="0" quotePrefix="0" xfId="0">
      <alignment horizontal="general" vertical="bottom" wrapText="1"/>
    </xf>
    <xf numFmtId="0" fontId="21" fillId="13" borderId="0" applyAlignment="1" pivotButton="0" quotePrefix="0" xfId="0">
      <alignment horizontal="general" vertical="center" wrapText="1"/>
    </xf>
    <xf numFmtId="0" fontId="26" fillId="0" borderId="0" applyAlignment="1" pivotButton="0" quotePrefix="0" xfId="0">
      <alignment horizontal="general" vertical="bottom"/>
    </xf>
    <xf numFmtId="0" fontId="26" fillId="0" borderId="0" applyAlignment="1" pivotButton="0" quotePrefix="0" xfId="0">
      <alignment horizontal="general" vertical="bottom"/>
    </xf>
    <xf numFmtId="0" fontId="26" fillId="0" borderId="31" applyAlignment="1" pivotButton="0" quotePrefix="0" xfId="0">
      <alignment horizontal="general" vertical="bottom"/>
    </xf>
    <xf numFmtId="0" fontId="26" fillId="0" borderId="0" applyAlignment="1" pivotButton="0" quotePrefix="0" xfId="0">
      <alignment horizontal="general" vertical="bottom" wrapText="1"/>
    </xf>
    <xf numFmtId="0" fontId="26" fillId="0" borderId="31" applyAlignment="1" pivotButton="0" quotePrefix="0" xfId="0">
      <alignment horizontal="general" vertical="bottom" wrapText="1"/>
    </xf>
    <xf numFmtId="0" fontId="26" fillId="0" borderId="0" applyAlignment="1" pivotButton="0" quotePrefix="0" xfId="0">
      <alignment horizontal="general" vertical="top" wrapText="1"/>
    </xf>
    <xf numFmtId="0" fontId="26" fillId="0" borderId="31" applyAlignment="1" pivotButton="0" quotePrefix="0" xfId="0">
      <alignment horizontal="general" vertical="top" wrapText="1"/>
    </xf>
    <xf numFmtId="0" fontId="26" fillId="15" borderId="0" applyAlignment="1" pivotButton="0" quotePrefix="0" xfId="0">
      <alignment horizontal="general" vertical="top" wrapText="1"/>
    </xf>
    <xf numFmtId="0" fontId="26" fillId="16" borderId="0" applyAlignment="1" pivotButton="0" quotePrefix="0" xfId="0">
      <alignment horizontal="general" vertical="top" wrapText="1"/>
    </xf>
    <xf numFmtId="0" fontId="26" fillId="15" borderId="31" applyAlignment="1" pivotButton="0" quotePrefix="0" xfId="0">
      <alignment horizontal="general" vertical="top" wrapText="1"/>
    </xf>
    <xf numFmtId="0" fontId="26" fillId="17" borderId="0" applyAlignment="1" pivotButton="0" quotePrefix="0" xfId="0">
      <alignment horizontal="general" vertical="top" wrapText="1"/>
    </xf>
    <xf numFmtId="0" fontId="26" fillId="17" borderId="31" applyAlignment="1" pivotButton="0" quotePrefix="0" xfId="0">
      <alignment horizontal="general" vertical="top" wrapText="1"/>
    </xf>
    <xf numFmtId="0" fontId="27" fillId="17" borderId="0" applyAlignment="1" pivotButton="0" quotePrefix="0" xfId="0">
      <alignment horizontal="general" vertical="top" wrapText="1"/>
    </xf>
    <xf numFmtId="0" fontId="27" fillId="17" borderId="31" applyAlignment="1" pivotButton="0" quotePrefix="0" xfId="0">
      <alignment horizontal="general" vertical="top" wrapText="1"/>
    </xf>
    <xf numFmtId="0" fontId="0" fillId="18" borderId="0" applyAlignment="1" pivotButton="0" quotePrefix="0" xfId="0">
      <alignment horizontal="general" vertical="bottom"/>
    </xf>
    <xf numFmtId="0" fontId="28" fillId="18" borderId="0" applyAlignment="1" pivotButton="0" quotePrefix="0" xfId="0">
      <alignment horizontal="general" vertical="bottom"/>
    </xf>
    <xf numFmtId="0" fontId="28" fillId="18" borderId="0" applyAlignment="1" pivotButton="0" quotePrefix="0" xfId="0">
      <alignment horizontal="general" vertical="bottom" wrapText="1"/>
    </xf>
    <xf numFmtId="0" fontId="9" fillId="14" borderId="0" applyAlignment="1" pivotButton="0" quotePrefix="0" xfId="0">
      <alignment horizontal="general" vertical="bottom"/>
    </xf>
    <xf numFmtId="0" fontId="9" fillId="14" borderId="32" applyAlignment="1" pivotButton="0" quotePrefix="0" xfId="0">
      <alignment horizontal="general" vertical="bottom"/>
    </xf>
    <xf numFmtId="0" fontId="9" fillId="14" borderId="32" applyAlignment="1" pivotButton="0" quotePrefix="0" xfId="0">
      <alignment horizontal="general" vertical="center"/>
    </xf>
    <xf numFmtId="0" fontId="0" fillId="17" borderId="0" applyAlignment="1" pivotButton="0" quotePrefix="0" xfId="0">
      <alignment horizontal="general" vertical="bottom"/>
    </xf>
    <xf numFmtId="0" fontId="0" fillId="19" borderId="0" applyAlignment="1" pivotButton="0" quotePrefix="0" xfId="0">
      <alignment horizontal="general" vertical="bottom"/>
    </xf>
    <xf numFmtId="0" fontId="0" fillId="20" borderId="0" applyAlignment="1" pivotButton="0" quotePrefix="0" xfId="0">
      <alignment horizontal="general" vertical="bottom"/>
    </xf>
    <xf numFmtId="0" fontId="9" fillId="0" borderId="0" applyAlignment="1" pivotButton="0" quotePrefix="0" xfId="0">
      <alignment horizontal="general" vertical="bottom"/>
    </xf>
    <xf numFmtId="0" fontId="0" fillId="21" borderId="0" applyAlignment="1" pivotButton="0" quotePrefix="0" xfId="0">
      <alignment horizontal="general" vertical="bottom"/>
    </xf>
    <xf numFmtId="0" fontId="0" fillId="0" borderId="0" applyAlignment="1" pivotButton="0" quotePrefix="0" xfId="0">
      <alignment horizontal="general" vertical="bottom" wrapText="1"/>
    </xf>
    <xf numFmtId="0" fontId="9" fillId="14" borderId="32" applyAlignment="1" pivotButton="0" quotePrefix="0" xfId="0">
      <alignment horizontal="general" vertical="center" wrapText="1"/>
    </xf>
    <xf numFmtId="0" fontId="0" fillId="17" borderId="0" applyAlignment="1" pivotButton="0" quotePrefix="0" xfId="0">
      <alignment horizontal="general" vertical="bottom" wrapText="1"/>
    </xf>
    <xf numFmtId="0" fontId="0" fillId="14" borderId="0" applyAlignment="1" pivotButton="0" quotePrefix="0" xfId="0">
      <alignment horizontal="general" vertical="bottom" wrapText="1"/>
    </xf>
    <xf numFmtId="0" fontId="0" fillId="19" borderId="0" applyAlignment="1" pivotButton="0" quotePrefix="0" xfId="0">
      <alignment horizontal="general" vertical="bottom" wrapText="1"/>
    </xf>
    <xf numFmtId="0" fontId="9" fillId="0" borderId="0" applyAlignment="1" pivotButton="0" quotePrefix="0" xfId="0">
      <alignment horizontal="general" vertical="bottom" wrapText="1"/>
    </xf>
    <xf numFmtId="0" fontId="0" fillId="20" borderId="0" applyAlignment="1" pivotButton="0" quotePrefix="0" xfId="0">
      <alignment horizontal="general" vertical="bottom" wrapText="1"/>
    </xf>
    <xf numFmtId="0" fontId="0" fillId="21" borderId="0" applyAlignment="1" pivotButton="0" quotePrefix="0" xfId="0">
      <alignment horizontal="general" vertical="bottom" wrapText="1"/>
    </xf>
    <xf numFmtId="0" fontId="0" fillId="0" borderId="0" applyAlignment="1" pivotButton="0" quotePrefix="0" xfId="0">
      <alignment horizontal="general" vertical="top" wrapText="1"/>
    </xf>
    <xf numFmtId="0" fontId="9" fillId="14" borderId="32" applyAlignment="1" pivotButton="0" quotePrefix="0" xfId="0">
      <alignment horizontal="general" vertical="top" wrapText="1"/>
    </xf>
    <xf numFmtId="0" fontId="0" fillId="17" borderId="0" applyAlignment="1" pivotButton="0" quotePrefix="0" xfId="0">
      <alignment horizontal="general" vertical="top" wrapText="1"/>
    </xf>
    <xf numFmtId="0" fontId="0" fillId="14" borderId="0" applyAlignment="1" pivotButton="0" quotePrefix="0" xfId="0">
      <alignment horizontal="general" vertical="top" wrapText="1"/>
    </xf>
    <xf numFmtId="0" fontId="0" fillId="19" borderId="0" applyAlignment="1" pivotButton="0" quotePrefix="0" xfId="0">
      <alignment horizontal="general" vertical="top" wrapText="1"/>
    </xf>
    <xf numFmtId="0" fontId="21" fillId="13" borderId="0" applyAlignment="1" pivotButton="0" quotePrefix="0" xfId="0">
      <alignment horizontal="general" vertical="top" wrapText="1"/>
    </xf>
    <xf numFmtId="0" fontId="9" fillId="0" borderId="0" applyAlignment="1" pivotButton="0" quotePrefix="0" xfId="0">
      <alignment horizontal="general" vertical="top" wrapText="1"/>
    </xf>
    <xf numFmtId="0" fontId="0" fillId="20" borderId="0" applyAlignment="1" pivotButton="0" quotePrefix="0" xfId="0">
      <alignment horizontal="general" vertical="top" wrapText="1"/>
    </xf>
    <xf numFmtId="0" fontId="0" fillId="21" borderId="0" applyAlignment="1" pivotButton="0" quotePrefix="0" xfId="0">
      <alignment horizontal="general" vertical="top" wrapText="1"/>
    </xf>
    <xf numFmtId="0" fontId="26" fillId="0" borderId="0" applyAlignment="1" pivotButton="0" quotePrefix="0" xfId="0">
      <alignment horizontal="general" vertical="top" wrapText="1"/>
    </xf>
    <xf numFmtId="0" fontId="29" fillId="14" borderId="32" applyAlignment="1" pivotButton="0" quotePrefix="0" xfId="0">
      <alignment horizontal="general" vertical="top" wrapText="1"/>
    </xf>
    <xf numFmtId="0" fontId="26" fillId="17" borderId="0" applyAlignment="1" pivotButton="0" quotePrefix="0" xfId="0">
      <alignment horizontal="general" vertical="top" wrapText="1"/>
    </xf>
    <xf numFmtId="0" fontId="26" fillId="14" borderId="0" applyAlignment="1" pivotButton="0" quotePrefix="0" xfId="0">
      <alignment horizontal="general" vertical="top" wrapText="1"/>
    </xf>
    <xf numFmtId="0" fontId="26" fillId="19" borderId="0" applyAlignment="1" pivotButton="0" quotePrefix="0" xfId="0">
      <alignment horizontal="general" vertical="top" wrapText="1"/>
    </xf>
    <xf numFmtId="0" fontId="29" fillId="13" borderId="0" applyAlignment="1" pivotButton="0" quotePrefix="0" xfId="0">
      <alignment horizontal="general" vertical="top" wrapText="1"/>
    </xf>
    <xf numFmtId="0" fontId="29" fillId="0" borderId="0" applyAlignment="1" pivotButton="0" quotePrefix="0" xfId="0">
      <alignment horizontal="general" vertical="top" wrapText="1"/>
    </xf>
    <xf numFmtId="0" fontId="26" fillId="20" borderId="0" applyAlignment="1" pivotButton="0" quotePrefix="0" xfId="0">
      <alignment horizontal="general" vertical="top" wrapText="1"/>
    </xf>
    <xf numFmtId="0" fontId="26" fillId="21" borderId="0" applyAlignment="1" pivotButton="0" quotePrefix="0" xfId="0">
      <alignment horizontal="general" vertical="top" wrapText="1"/>
    </xf>
    <xf numFmtId="0" fontId="9" fillId="0" borderId="0" applyAlignment="1" pivotButton="0" quotePrefix="0" xfId="0">
      <alignment horizontal="general" vertical="top" wrapText="1"/>
    </xf>
    <xf numFmtId="0" fontId="26" fillId="14" borderId="0" applyAlignment="1" pivotButton="0" quotePrefix="0" xfId="0">
      <alignment horizontal="general" vertical="top" wrapText="1"/>
    </xf>
    <xf numFmtId="0" fontId="26" fillId="0" borderId="33" applyAlignment="1" pivotButton="0" quotePrefix="0" xfId="0">
      <alignment horizontal="general" vertical="top" wrapText="1"/>
    </xf>
    <xf numFmtId="0" fontId="9" fillId="0" borderId="34" applyAlignment="1" pivotButton="0" quotePrefix="0" xfId="0">
      <alignment horizontal="general" vertical="top" wrapText="1"/>
    </xf>
    <xf numFmtId="0" fontId="26" fillId="17" borderId="34" applyAlignment="1" pivotButton="0" quotePrefix="0" xfId="0">
      <alignment horizontal="general" vertical="top" wrapText="1"/>
    </xf>
    <xf numFmtId="0" fontId="26" fillId="14" borderId="34" applyAlignment="1" pivotButton="0" quotePrefix="0" xfId="0">
      <alignment horizontal="general" vertical="top" wrapText="1"/>
    </xf>
    <xf numFmtId="0" fontId="26" fillId="0" borderId="35" applyAlignment="1" pivotButton="0" quotePrefix="0" xfId="0">
      <alignment horizontal="general" vertical="top" wrapText="1"/>
    </xf>
    <xf numFmtId="0" fontId="26" fillId="19" borderId="0" applyAlignment="1" pivotButton="0" quotePrefix="0" xfId="0">
      <alignment horizontal="general" vertical="top" wrapText="1"/>
    </xf>
    <xf numFmtId="0" fontId="26" fillId="19" borderId="34" applyAlignment="1" pivotButton="0" quotePrefix="0" xfId="0">
      <alignment horizontal="general" vertical="top" wrapText="1"/>
    </xf>
    <xf numFmtId="0" fontId="21" fillId="13" borderId="0" applyAlignment="1" pivotButton="0" quotePrefix="0" xfId="0">
      <alignment horizontal="general" vertical="top" wrapText="1"/>
    </xf>
    <xf numFmtId="0" fontId="21" fillId="13" borderId="33" applyAlignment="1" pivotButton="0" quotePrefix="0" xfId="0">
      <alignment horizontal="general" vertical="top" wrapText="1"/>
    </xf>
    <xf numFmtId="0" fontId="26" fillId="0" borderId="34" applyAlignment="1" pivotButton="0" quotePrefix="0" xfId="0">
      <alignment horizontal="general" vertical="top" wrapText="1"/>
    </xf>
    <xf numFmtId="0" fontId="26" fillId="20" borderId="34" applyAlignment="1" pivotButton="0" quotePrefix="0" xfId="0">
      <alignment horizontal="general" vertical="top" wrapText="1"/>
    </xf>
    <xf numFmtId="0" fontId="26" fillId="20" borderId="0" applyAlignment="1" pivotButton="0" quotePrefix="0" xfId="0">
      <alignment horizontal="general" vertical="top" wrapText="1"/>
    </xf>
    <xf numFmtId="0" fontId="26" fillId="21" borderId="34" applyAlignment="1" pivotButton="0" quotePrefix="0" xfId="0">
      <alignment horizontal="general" vertical="top" wrapText="1"/>
    </xf>
    <xf numFmtId="0" fontId="26" fillId="21" borderId="0" applyAlignment="1" pivotButton="0" quotePrefix="0" xfId="0">
      <alignment horizontal="general" vertical="top" wrapText="1"/>
    </xf>
    <xf numFmtId="0" fontId="28" fillId="0" borderId="23" pivotButton="0" quotePrefix="0" xfId="0"/>
    <xf numFmtId="0" fontId="28" fillId="0" borderId="24" pivotButton="0" quotePrefix="0" xfId="0"/>
    <xf numFmtId="0" fontId="28" fillId="0" borderId="23" applyAlignment="1" pivotButton="0" quotePrefix="0" xfId="0">
      <alignment wrapText="1"/>
    </xf>
    <xf numFmtId="0" fontId="28" fillId="0" borderId="24" applyAlignment="1" pivotButton="0" quotePrefix="0" xfId="0">
      <alignment wrapText="1"/>
    </xf>
    <xf numFmtId="0" fontId="0" fillId="0" borderId="17" applyAlignment="1" pivotButton="0" quotePrefix="0" xfId="0">
      <alignment wrapText="1"/>
    </xf>
    <xf numFmtId="0" fontId="24" fillId="13" borderId="35" applyAlignment="1" pivotButton="0" quotePrefix="0" xfId="0">
      <alignment horizontal="general" vertical="center"/>
    </xf>
    <xf numFmtId="0" fontId="0" fillId="0" borderId="35" pivotButton="0" quotePrefix="0" xfId="0"/>
    <xf numFmtId="0" fontId="25" fillId="14" borderId="35" applyAlignment="1" pivotButton="0" quotePrefix="0" xfId="0">
      <alignment horizontal="general" vertical="top" wrapText="1"/>
    </xf>
    <xf numFmtId="0" fontId="28" fillId="18" borderId="35" applyAlignment="1" pivotButton="0" quotePrefix="0" xfId="0">
      <alignment horizontal="general" vertical="bottom" wrapText="1"/>
    </xf>
    <xf numFmtId="0" fontId="9" fillId="14" borderId="35" applyAlignment="1" pivotButton="0" quotePrefix="0" xfId="0">
      <alignment horizontal="general" vertical="top" wrapText="1"/>
    </xf>
    <xf numFmtId="0" fontId="26" fillId="17" borderId="35" applyAlignment="1" pivotButton="0" quotePrefix="0" xfId="0">
      <alignment horizontal="general" vertical="top" wrapText="1"/>
    </xf>
    <xf numFmtId="0" fontId="9" fillId="0" borderId="35" applyAlignment="1" pivotButton="0" quotePrefix="0" xfId="0">
      <alignment horizontal="general" vertical="top" wrapText="1"/>
    </xf>
    <xf numFmtId="0" fontId="26" fillId="19" borderId="35" applyAlignment="1" pivotButton="0" quotePrefix="0" xfId="0">
      <alignment horizontal="general" vertical="top" wrapText="1"/>
    </xf>
    <xf numFmtId="0" fontId="21" fillId="13" borderId="35" applyAlignment="1" pivotButton="0" quotePrefix="0" xfId="0">
      <alignment horizontal="general" vertical="top" wrapText="1"/>
    </xf>
    <xf numFmtId="0" fontId="26" fillId="21" borderId="35" applyAlignment="1" pivotButton="0" quotePrefix="0" xfId="0">
      <alignment horizontal="general" vertical="top" wrapText="1"/>
    </xf>
    <xf numFmtId="0" fontId="26" fillId="20" borderId="35" applyAlignment="1" pivotButton="0" quotePrefix="0" xfId="0">
      <alignment horizontal="general" vertical="top" wrapText="1"/>
    </xf>
    <xf numFmtId="0" fontId="5" fillId="2" borderId="35" applyAlignment="1" pivotButton="0" quotePrefix="0" xfId="0">
      <alignment horizontal="general" vertical="center"/>
    </xf>
    <xf numFmtId="0" fontId="17" fillId="10" borderId="35" applyAlignment="1" pivotButton="0" quotePrefix="0" xfId="0">
      <alignment horizontal="general" vertical="center" wrapText="1"/>
    </xf>
    <xf numFmtId="0" fontId="30" fillId="22" borderId="0" applyAlignment="1" pivotButton="0" quotePrefix="0" xfId="0">
      <alignment vertical="top" wrapText="1"/>
    </xf>
    <xf numFmtId="0" fontId="31" fillId="23" borderId="0" applyAlignment="1" pivotButton="0" quotePrefix="0" xfId="0">
      <alignment vertical="top" wrapText="1"/>
    </xf>
    <xf numFmtId="0" fontId="32" fillId="24" borderId="0" applyAlignment="1" pivotButton="0" quotePrefix="0" xfId="0">
      <alignment vertical="top" wrapText="1"/>
    </xf>
    <xf numFmtId="0" fontId="33" fillId="25" borderId="0" applyAlignment="1" pivotButton="0" quotePrefix="0" xfId="0">
      <alignment vertical="top" wrapText="1"/>
    </xf>
    <xf numFmtId="0" fontId="33" fillId="0" borderId="0" applyAlignment="1" pivotButton="0" quotePrefix="0" xfId="0">
      <alignment vertical="top" wrapText="1"/>
    </xf>
    <xf numFmtId="0" fontId="34" fillId="26" borderId="0" pivotButton="0" quotePrefix="0" xfId="0"/>
    <xf numFmtId="0" fontId="0" fillId="0" borderId="0" applyAlignment="1" pivotButton="0" quotePrefix="0" xfId="0">
      <alignment vertical="top" wrapText="1"/>
    </xf>
    <xf numFmtId="0" fontId="35" fillId="0" borderId="0" pivotButton="0" quotePrefix="0" xfId="0"/>
    <xf numFmtId="0" fontId="36" fillId="27" borderId="0" applyAlignment="1" pivotButton="0" quotePrefix="0" xfId="0">
      <alignment vertical="top" wrapText="1"/>
    </xf>
    <xf numFmtId="0" fontId="37" fillId="27" borderId="0" applyAlignment="1" pivotButton="0" quotePrefix="0" xfId="0">
      <alignment vertical="top" wrapText="1"/>
    </xf>
    <xf numFmtId="0" fontId="36" fillId="28" borderId="0" applyAlignment="1" pivotButton="0" quotePrefix="0" xfId="0">
      <alignment vertical="top" wrapText="1"/>
    </xf>
    <xf numFmtId="0" fontId="37" fillId="28" borderId="0" applyAlignment="1" pivotButton="0" quotePrefix="0" xfId="0">
      <alignment vertical="top" wrapText="1"/>
    </xf>
    <xf numFmtId="0" fontId="0" fillId="29" borderId="0" applyAlignment="1" pivotButton="0" quotePrefix="0" xfId="0">
      <alignment horizontal="general" vertical="bottom"/>
    </xf>
    <xf numFmtId="0" fontId="0" fillId="30" borderId="0" applyAlignment="1" pivotButton="0" quotePrefix="0" xfId="0">
      <alignment horizontal="general" vertical="bottom"/>
    </xf>
    <xf numFmtId="0" fontId="0" fillId="29" borderId="0" applyAlignment="1" pivotButton="0" quotePrefix="0" xfId="0">
      <alignment horizontal="general" vertical="bottom" wrapText="1"/>
    </xf>
    <xf numFmtId="0" fontId="0" fillId="30" borderId="0" applyAlignment="1" pivotButton="0" quotePrefix="0" xfId="0">
      <alignment horizontal="general" vertical="bottom" wrapText="1"/>
    </xf>
    <xf numFmtId="0" fontId="0" fillId="0" borderId="0" applyAlignment="1" pivotButton="0" quotePrefix="0" xfId="0">
      <alignment wrapText="1"/>
    </xf>
    <xf numFmtId="0" fontId="26" fillId="0" borderId="0" applyAlignment="1" pivotButton="0" quotePrefix="0" xfId="0">
      <alignment horizontal="general" vertical="top" wrapText="1"/>
    </xf>
    <xf numFmtId="0" fontId="0" fillId="0" borderId="35" applyAlignment="1" pivotButton="0" quotePrefix="0" xfId="0">
      <alignment horizontal="general" vertical="bottom"/>
    </xf>
  </cellXfs>
  <cellStyles count="6">
    <cellStyle name="Normal" xfId="0"/>
    <cellStyle name="Comma" xfId="1"/>
    <cellStyle name="Comma [0]" xfId="2"/>
    <cellStyle name="Currency" xfId="3"/>
    <cellStyle name="Currency [0]" xfId="4"/>
    <cellStyle name="Percent" xfId="5"/>
  </cellStyles>
  <dxfs count="5">
    <dxf>
      <font>
        <b val="1"/>
        <color rgb="FF9C0006"/>
      </font>
      <fill>
        <patternFill>
          <bgColor rgb="FFF4CCCC"/>
        </patternFill>
      </fill>
    </dxf>
    <dxf>
      <font>
        <b val="1"/>
        <color rgb="FF222222"/>
      </font>
      <fill>
        <patternFill>
          <bgColor rgb="FFFCE5CD"/>
        </patternFill>
      </fill>
    </dxf>
    <dxf/>
    <dxf/>
    <dxf/>
  </dxfs>
  <colors>
    <indexedColors>
      <rgbColor rgb="FF000000"/>
      <rgbColor rgb="FFFFFFFF"/>
      <rgbColor rgb="FFC00000"/>
      <rgbColor rgb="FF00FF00"/>
      <rgbColor rgb="FF0000FF"/>
      <rgbColor rgb="FFFCE8E6"/>
      <rgbColor rgb="FFFF00FF"/>
      <rgbColor rgb="FF00FFFF"/>
      <rgbColor rgb="FF9C0006"/>
      <rgbColor rgb="FF008000"/>
      <rgbColor rgb="FF000080"/>
      <rgbColor rgb="FF808000"/>
      <rgbColor rgb="FF800080"/>
      <rgbColor rgb="FF008080"/>
      <rgbColor rgb="FFB7BFC9"/>
      <rgbColor rgb="FF808080"/>
      <rgbColor rgb="FFEEF1F5"/>
      <rgbColor rgb="FF993366"/>
      <rgbColor rgb="FFFFF4CC"/>
      <rgbColor rgb="FFDCE9F7"/>
      <rgbColor rgb="FF660066"/>
      <rgbColor rgb="FFFF8080"/>
      <rgbColor rgb="FF0066CC"/>
      <rgbColor rgb="FFC9D0D8"/>
      <rgbColor rgb="FF000080"/>
      <rgbColor rgb="FFFF00FF"/>
      <rgbColor rgb="FFFFFF00"/>
      <rgbColor rgb="FF00FFFF"/>
      <rgbColor rgb="FF800080"/>
      <rgbColor rgb="FF800000"/>
      <rgbColor rgb="FF008080"/>
      <rgbColor rgb="FF0000FF"/>
      <rgbColor rgb="FF00CCFF"/>
      <rgbColor rgb="FFD9E6F5"/>
      <rgbColor rgb="FFE9EDF2"/>
      <rgbColor rgb="FFFFF8E1"/>
      <rgbColor rgb="FFD9DCE1"/>
      <rgbColor rgb="FFE6B8B7"/>
      <rgbColor rgb="FFFCE5CD"/>
      <rgbColor rgb="FFF4CCCC"/>
      <rgbColor rgb="FF3366FF"/>
      <rgbColor rgb="FF33CCCC"/>
      <rgbColor rgb="FF99CC00"/>
      <rgbColor rgb="FFFFCC00"/>
      <rgbColor rgb="FFC9A442"/>
      <rgbColor rgb="FFFF6600"/>
      <rgbColor rgb="FF666699"/>
      <rgbColor rgb="FF969696"/>
      <rgbColor rgb="FF0B2848"/>
      <rgbColor rgb="FF339966"/>
      <rgbColor rgb="FF0A2342"/>
      <rgbColor rgb="FF222222"/>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E103"/>
  <sheetViews>
    <sheetView showGridLines="0" workbookViewId="0">
      <pane ySplit="5" topLeftCell="A6" activePane="bottomLeft" state="frozen"/>
      <selection activeCell="A1" sqref="A1"/>
    </sheetView>
  </sheetViews>
  <sheetFormatPr baseColWidth="8" defaultColWidth="9.54296875" defaultRowHeight="15"/>
  <cols>
    <col width="34" customWidth="1" style="77" min="1" max="1"/>
    <col width="24" customWidth="1" style="104" min="2" max="2"/>
    <col width="24" customWidth="1" style="104" min="3" max="3"/>
    <col width="58" customWidth="1" style="77" min="4" max="4"/>
    <col width="24" customWidth="1" style="104" min="5" max="5"/>
  </cols>
  <sheetData>
    <row r="1" ht="28" customHeight="1" s="104">
      <c r="A1" s="207" t="inlineStr">
        <is>
          <t>The Council — AI Risk Assessment Worksheet</t>
        </is>
      </c>
      <c r="B1" s="208" t="n"/>
      <c r="C1" s="208" t="n"/>
      <c r="D1" s="208" t="n"/>
    </row>
    <row r="2" ht="34" customHeight="1" s="104">
      <c r="A2" s="209" t="inlineStr">
        <is>
          <t>Governance-use worksheet · AIG-ASS-02 v1.10 draft · Draft for Council review. The web triage pre-populates factual fields; the assessor confirms or amends scores and evidence.</t>
        </is>
      </c>
      <c r="B2" s="208" t="n"/>
      <c r="C2" s="208" t="n"/>
      <c r="D2" s="208" t="n"/>
    </row>
    <row r="3" ht="34" customHeight="1" s="104">
      <c r="A3" s="210" t="inlineStr">
        <is>
          <t>Colour key: blue = pre-populated from triage • pale yellow = assessor input/confirmation • gold = calculated result. Where a confirmed score differs from triage, record the reason in Step 6.</t>
        </is>
      </c>
      <c r="B3" s="208" t="n"/>
      <c r="C3" s="208" t="n"/>
      <c r="D3" s="208" t="n"/>
    </row>
    <row r="4" ht="19.5" customHeight="1" s="104">
      <c r="A4" s="237" t="n"/>
      <c r="B4" s="192" t="n"/>
      <c r="C4" s="208" t="n"/>
      <c r="D4" s="208" t="n"/>
    </row>
    <row r="5" ht="22" customHeight="1" s="104">
      <c r="A5" s="211" t="inlineStr">
        <is>
          <t>Triage context — pre-populated from the canonical web triage record</t>
        </is>
      </c>
      <c r="B5" s="208" t="n"/>
      <c r="C5" s="208" t="n"/>
      <c r="D5" s="208" t="n"/>
    </row>
    <row r="6" ht="19.5" customHeight="1" s="104">
      <c r="A6" s="186" t="inlineStr">
        <is>
          <t>System / model name</t>
        </is>
      </c>
      <c r="B6" s="212">
        <f>IF('Triage Import'!B6="","",'Triage Import'!B6)</f>
        <v/>
      </c>
      <c r="C6" s="208" t="n"/>
      <c r="D6" s="208" t="n"/>
    </row>
    <row r="7">
      <c r="A7" s="186" t="inlineStr">
        <is>
          <t>AIR-ID</t>
        </is>
      </c>
      <c r="B7" s="179">
        <f>IF('Triage Import'!B5="","",'Triage Import'!B5)</f>
        <v/>
      </c>
      <c r="C7" s="187" t="inlineStr">
        <is>
          <t>Triage</t>
        </is>
      </c>
      <c r="D7" s="188" t="inlineStr">
        <is>
          <t>Persistent key across all governance artefacts.</t>
        </is>
      </c>
    </row>
    <row r="8" ht="34" customHeight="1" s="104">
      <c r="A8" s="213" t="inlineStr">
        <is>
          <t>Purpose / description</t>
        </is>
      </c>
      <c r="B8" s="208">
        <f>IF('Triage Import'!B7="","",'Triage Import'!B7)</f>
        <v/>
      </c>
      <c r="C8" s="208" t="n"/>
      <c r="D8" s="208" t="n"/>
    </row>
    <row r="9" ht="19.5" customHeight="1" s="104">
      <c r="A9" s="186" t="inlineStr">
        <is>
          <t>Service area</t>
        </is>
      </c>
      <c r="B9" s="212">
        <f>IF('Triage Import'!B8="","",'Triage Import'!B8)</f>
        <v/>
      </c>
      <c r="C9" s="208" t="n"/>
      <c r="D9" s="188" t="str"/>
    </row>
    <row r="10" ht="30" customHeight="1" s="104">
      <c r="A10" s="186" t="inlineStr">
        <is>
          <t>Service owner</t>
        </is>
      </c>
      <c r="B10" s="212">
        <f>IF('Triage Import'!B9="","",'Triage Import'!B9)</f>
        <v/>
      </c>
      <c r="C10" s="208" t="n"/>
      <c r="D10" s="188" t="str"/>
    </row>
    <row r="11" ht="30" customHeight="1" s="104">
      <c r="A11" s="186" t="inlineStr">
        <is>
          <t>Triage date</t>
        </is>
      </c>
      <c r="B11" s="212">
        <f>IF('Triage Import'!B17="","",'Triage Import'!B17)</f>
        <v/>
      </c>
      <c r="C11" s="208" t="n"/>
      <c r="D11" s="188" t="str"/>
    </row>
    <row r="12" ht="30" customHeight="1" s="104">
      <c r="A12" s="186" t="inlineStr">
        <is>
          <t>AGPI score (0–100)</t>
        </is>
      </c>
      <c r="B12" s="212">
        <f>IF('Triage Import'!B18="","",'Triage Import'!B18)</f>
        <v/>
      </c>
      <c r="C12" s="208" t="n"/>
      <c r="D12" s="188" t="inlineStr">
        <is>
          <t>Governance-priority score from AIG-ASS-01/web triage.</t>
        </is>
      </c>
    </row>
    <row r="13" ht="30" customHeight="1" s="104">
      <c r="A13" s="186" t="inlineStr">
        <is>
          <t>Raw AGPI priority</t>
        </is>
      </c>
      <c r="B13" s="212">
        <f>IF('Triage Import'!B19="","",'Triage Import'!B19)</f>
        <v/>
      </c>
      <c r="C13" s="208" t="n"/>
      <c r="D13" s="188" t="inlineStr">
        <is>
          <t>Governance priority produced by AGPI before any formally authorised governance-priority uplift.</t>
        </is>
      </c>
    </row>
    <row r="14" ht="30" customHeight="1" s="104">
      <c r="A14" s="189" t="inlineStr">
        <is>
          <t>Effective governance priority</t>
        </is>
      </c>
      <c r="B14" s="212">
        <f>IF('Triage Import'!B21="","",'Triage Import'!B21)</f>
        <v/>
      </c>
      <c r="C14" s="208" t="n"/>
      <c r="D14" s="192" t="inlineStr">
        <is>
          <t>Stricter of raw AGPI priority and any formally authorised governance-priority uplift. This is not derived from the mandatory risk floor.</t>
        </is>
      </c>
    </row>
    <row r="15" ht="25.5" customHeight="1" s="104">
      <c r="A15" s="237" t="inlineStr">
        <is>
          <t>Risk assessment scope</t>
        </is>
      </c>
      <c r="B15" s="192">
        <f>IF('Triage Import'!B63="","",'Triage Import'!B63)</f>
        <v/>
      </c>
      <c r="C15" s="208" t="n"/>
      <c r="D15" s="237" t="inlineStr">
        <is>
          <t>A shared baseline can provide evidence but does not replace the assessment of materially different use contexts.</t>
        </is>
      </c>
    </row>
    <row r="16" ht="22" customHeight="1" s="104">
      <c r="A16" s="211" t="inlineStr">
        <is>
          <t>Assessment ownership — completed by the assessor</t>
        </is>
      </c>
      <c r="B16" s="208" t="n"/>
      <c r="C16" s="208" t="n"/>
      <c r="D16" s="208" t="n"/>
    </row>
    <row r="17" ht="19.5" customHeight="1" s="104">
      <c r="A17" s="213" t="inlineStr">
        <is>
          <t>Assessed by</t>
        </is>
      </c>
      <c r="B17" s="214" t="n"/>
      <c r="C17" s="208" t="n"/>
      <c r="D17" s="188" t="inlineStr">
        <is>
          <t>Name and role of the assessor.</t>
        </is>
      </c>
    </row>
    <row r="18" ht="30" customHeight="1" s="104">
      <c r="A18" s="186" t="inlineStr">
        <is>
          <t>Assessment date</t>
        </is>
      </c>
      <c r="B18" s="214" t="str"/>
      <c r="C18" s="208" t="n"/>
      <c r="D18" s="188" t="inlineStr">
        <is>
          <t>Date detailed assessment was confirmed.</t>
        </is>
      </c>
    </row>
    <row r="19" ht="30" customHeight="1" s="104">
      <c r="A19" s="189" t="inlineStr">
        <is>
          <t>Evidence bundle / case reference</t>
        </is>
      </c>
      <c r="B19" s="214" t="str"/>
      <c r="C19" s="208" t="n"/>
      <c r="D19" s="192" t="inlineStr">
        <is>
          <t>Reference evidence rather than duplicating it in this worksheet.</t>
        </is>
      </c>
    </row>
    <row r="20">
      <c r="A20" s="237" t="inlineStr">
        <is>
          <t>UC-ID / use outcome assessed</t>
        </is>
      </c>
      <c r="B20" s="237">
        <f>IF('Triage Import'!B62="","",'Triage Import'!B62)</f>
        <v/>
      </c>
      <c r="C20" s="237" t="inlineStr">
        <is>
          <t>Scope-key check</t>
        </is>
      </c>
      <c r="D20" s="237">
        <f>IF(OR(B15="UC-ID specific",B15="UC-ID-specific"),IF(B20="","UC-ID REQUIRED","UC-ID recorded"),IF(B15="Shared system baseline",IF(B20&lt;&gt;"","REMOVE UC-ID OR CORRECT SCOPE","SYSTEM BASELINE ONLY — NOT USE APPROVAL"),"ASSESSMENT SCOPE REQUIRED"))</f>
        <v/>
      </c>
      <c r="E20" s="192" t="inlineStr">
        <is>
          <t>Use one assessment per materially different UC-ID; cite shared controls and evidence by source reference. Assessment outputs route assurance and are not approval.</t>
        </is>
      </c>
    </row>
    <row r="21" ht="34" customHeight="1" s="104">
      <c r="A21" s="211" t="inlineStr">
        <is>
          <t>Step 1 — Impact: confirm or amend triage scores (1 Minimal to 5 Severe)</t>
        </is>
      </c>
      <c r="B21" s="208" t="n"/>
      <c r="C21" s="208" t="n"/>
      <c r="D21" s="208" t="n"/>
    </row>
    <row r="22" ht="24" customHeight="1" s="104">
      <c r="A22" s="195" t="inlineStr">
        <is>
          <t>Impact dimension</t>
        </is>
      </c>
      <c r="B22" s="215" t="inlineStr">
        <is>
          <t>Triage score</t>
        </is>
      </c>
      <c r="C22" s="208" t="inlineStr">
        <is>
          <t>Confirmed score</t>
        </is>
      </c>
      <c r="D22" s="196" t="inlineStr">
        <is>
          <t>What it covers</t>
        </is>
      </c>
    </row>
    <row r="23" ht="34" customHeight="1" s="104">
      <c r="A23" s="237" t="inlineStr">
        <is>
          <t>Resident Impact</t>
        </is>
      </c>
      <c r="B23" s="212">
        <f>IF('Triage Import'!B22="","",'Triage Import'!B22)</f>
        <v/>
      </c>
      <c r="C23" s="208">
        <f>IF(B23="","",B23)</f>
        <v/>
      </c>
      <c r="D23" s="188" t="inlineStr">
        <is>
          <t>Physical, psychological, financial or social harm to individuals or communities, including vulnerable groups.</t>
        </is>
      </c>
    </row>
    <row r="24" ht="34" customHeight="1" s="104">
      <c r="A24" s="237" t="inlineStr">
        <is>
          <t>Legal &amp; Regulatory Impact</t>
        </is>
      </c>
      <c r="B24" s="212">
        <f>IF('Triage Import'!B23="","",'Triage Import'!B23)</f>
        <v/>
      </c>
      <c r="C24" s="208">
        <f>IF(B24="","",B24)</f>
        <v/>
      </c>
      <c r="D24" s="188" t="inlineStr">
        <is>
          <t>Regulatory sanctions, enforcement, legal proceedings or breach of statutory obligations.</t>
        </is>
      </c>
    </row>
    <row r="25" ht="34" customHeight="1" s="104">
      <c r="A25" s="237" t="inlineStr">
        <is>
          <t>Reputational Impact</t>
        </is>
      </c>
      <c r="B25" s="212">
        <f>IF('Triage Import'!B24="","",'Triage Import'!B24)</f>
        <v/>
      </c>
      <c r="C25" s="208">
        <f>IF(B25="","",B25)</f>
        <v/>
      </c>
      <c r="D25" s="188" t="inlineStr">
        <is>
          <t>Damage to public trust, media coverage, political scrutiny or the Council's standing.</t>
        </is>
      </c>
    </row>
    <row r="26" ht="34" customHeight="1" s="104">
      <c r="A26" s="237" t="inlineStr">
        <is>
          <t>Operational Impact</t>
        </is>
      </c>
      <c r="B26" s="179">
        <f>IF('Triage Import'!B25="","",'Triage Import'!B25)</f>
        <v/>
      </c>
      <c r="C26" s="193">
        <f>IF(B26="","",B26)</f>
        <v/>
      </c>
      <c r="D26" s="188" t="inlineStr">
        <is>
          <t>Disruption to service delivery, operational failures, remediation cost and impact on staff.</t>
        </is>
      </c>
    </row>
    <row r="27" ht="34" customHeight="1" s="104">
      <c r="A27" s="192" t="inlineStr">
        <is>
          <t>Financial Impact</t>
        </is>
      </c>
      <c r="B27" s="208">
        <f>IF('Triage Import'!B26="","",'Triage Import'!B26)</f>
        <v/>
      </c>
      <c r="C27" s="208">
        <f>IF(B27="","",B27)</f>
        <v/>
      </c>
      <c r="D27" s="208" t="inlineStr">
        <is>
          <t>Direct financial costs including compensation, regulatory fines, remediation expenditure and lost efficiency.</t>
        </is>
      </c>
    </row>
    <row r="28" ht="34" customHeight="1" s="104">
      <c r="A28" s="189" t="inlineStr">
        <is>
          <t>Impact score (I) — highest confirmed dimension</t>
        </is>
      </c>
      <c r="B28" s="192" t="str"/>
      <c r="C28" s="208">
        <f>IF(COUNT(C23:C27)&lt;5,"",IF(OR(MIN(C23:C27)&lt;1,MAX(C23:C27)&gt;5),"Invalid score",MAX(C23:C27)))</f>
        <v/>
      </c>
      <c r="D28" s="208" t="inlineStr">
        <is>
          <t>Confirmed impact is the highest of five 1–5 dimensions. An incomplete or out-of-range score leaves the risk route incomplete. Impact floor (Proposed — for Council confirmation): any confirmed 5 (Severe) sets a minimum governing tier of Medium, whatever the likelihood (E28).</t>
        </is>
      </c>
      <c r="E28" s="199">
        <f>IF(C28=5,"Impact floor (Severe impact) → Medium","")</f>
        <v/>
      </c>
    </row>
    <row r="29" ht="27.75" customHeight="1" s="104">
      <c r="A29" s="237" t="n"/>
      <c r="B29" s="192" t="n"/>
      <c r="C29" s="208" t="n"/>
      <c r="D29" s="208" t="n"/>
    </row>
    <row r="30" ht="34" customHeight="1" s="104">
      <c r="A30" s="211" t="inlineStr">
        <is>
          <t>Step 2 — Likelihood and control effectiveness: confirm or amend triage scores</t>
        </is>
      </c>
      <c r="B30" s="208" t="n"/>
      <c r="C30" s="208" t="n"/>
      <c r="D30" s="208" t="n"/>
    </row>
    <row r="31" ht="27.75" customHeight="1" s="104">
      <c r="A31" s="195" t="inlineStr">
        <is>
          <t>Metric</t>
        </is>
      </c>
      <c r="B31" s="215" t="inlineStr">
        <is>
          <t>Triage score</t>
        </is>
      </c>
      <c r="C31" s="208" t="inlineStr">
        <is>
          <t>Confirmed score</t>
        </is>
      </c>
      <c r="D31" s="208" t="n"/>
    </row>
    <row r="32" ht="34" customHeight="1" s="104">
      <c r="A32" s="237" t="inlineStr">
        <is>
          <t>Likelihood (L)</t>
        </is>
      </c>
      <c r="B32" s="212">
        <f>IF('Triage Import'!B27="","",'Triage Import'!B27)</f>
        <v/>
      </c>
      <c r="C32" s="208">
        <f>IF(B32="","",B32)</f>
        <v/>
      </c>
      <c r="D32" s="208" t="n"/>
    </row>
    <row r="33" ht="34" customHeight="1" s="104">
      <c r="A33" s="197" t="inlineStr">
        <is>
          <t>Control Effectiveness (C)</t>
        </is>
      </c>
      <c r="B33" s="212">
        <f>IF('Triage Import'!B28="","",'Triage Import'!B28)</f>
        <v/>
      </c>
      <c r="C33" s="208">
        <f>IF(B33="","",B33)</f>
        <v/>
      </c>
      <c r="D33" s="208" t="n"/>
    </row>
    <row r="34" ht="27.75" customHeight="1" s="104">
      <c r="A34" s="237" t="n"/>
      <c r="B34" s="192" t="n"/>
      <c r="C34" s="208" t="n"/>
      <c r="D34" s="208" t="n"/>
    </row>
    <row r="35" ht="34" customHeight="1" s="104">
      <c r="A35" s="211" t="inlineStr">
        <is>
          <t>Step 3 — Risk results and governance floor</t>
        </is>
      </c>
      <c r="B35" s="208" t="n"/>
      <c r="C35" s="208" t="n"/>
      <c r="D35" s="208" t="n"/>
    </row>
    <row r="36">
      <c r="A36" s="195" t="inlineStr">
        <is>
          <t>Result</t>
        </is>
      </c>
      <c r="B36" s="195" t="inlineStr">
        <is>
          <t>Triage result</t>
        </is>
      </c>
      <c r="C36" s="195" t="inlineStr">
        <is>
          <t>Confirmed / calculated result</t>
        </is>
      </c>
      <c r="D36" s="196" t="inlineStr">
        <is>
          <t>Rule / note</t>
        </is>
      </c>
    </row>
    <row r="37" ht="27.75" customHeight="1" s="104">
      <c r="A37" s="237" t="inlineStr">
        <is>
          <t>Inherent risk score (L × I)</t>
        </is>
      </c>
      <c r="B37" s="212">
        <f>IF('Triage Import'!B30="","",'Triage Import'!B30)</f>
        <v/>
      </c>
      <c r="C37" s="208">
        <f>IF(OR(NOT(ISNUMBER(C28)),NOT(ISNUMBER(C32))),"",IF(OR(C32&lt;1,C32&gt;5),"",C32*C28))</f>
        <v/>
      </c>
      <c r="D37" s="236" t="inlineStr">
        <is>
          <t>Controls evidenced?</t>
        </is>
      </c>
      <c r="E37" s="234" t="n"/>
    </row>
    <row r="38" ht="27.75" customHeight="1" s="104">
      <c r="A38" s="237" t="inlineStr">
        <is>
          <t>Inherent risk tier</t>
        </is>
      </c>
      <c r="B38" s="212">
        <f>IF('Triage Import'!B31="","",'Triage Import'!B31)</f>
        <v/>
      </c>
      <c r="C38" s="208">
        <f>IF(C37="","",IF(C37&gt;=16,"Critical",IF(C37&gt;=11,"High",IF(C37&gt;=6,"Medium","Low"))))</f>
        <v/>
      </c>
      <c r="D38" s="236" t="inlineStr">
        <is>
          <t>Control evidence ref</t>
        </is>
      </c>
      <c r="E38" s="234" t="n"/>
    </row>
    <row r="39" ht="27.75" customHeight="1" s="104">
      <c r="A39" s="237" t="inlineStr">
        <is>
          <t>Control effectiveness factor (C ÷ 5)</t>
        </is>
      </c>
      <c r="B39" s="212" t="n"/>
      <c r="C39" s="208">
        <f>IF(NOT(ISNUMBER(C33)),"",IF(OR(C33&lt;1,C33&gt;5),"",C33/5))</f>
        <v/>
      </c>
      <c r="D39" s="236" t="inlineStr">
        <is>
          <t>Independent check?</t>
        </is>
      </c>
      <c r="E39" s="234" t="n"/>
    </row>
    <row r="40" ht="27.75" customHeight="1" s="104">
      <c r="A40" s="237" t="inlineStr">
        <is>
          <t>Residual risk score</t>
        </is>
      </c>
      <c r="B40" s="212">
        <f>IF('Triage Import'!B32="","",'Triage Import'!B32)</f>
        <v/>
      </c>
      <c r="C40" s="208">
        <f>IF(OR(C37="",C39=""),"",C37*C39)</f>
        <v/>
      </c>
      <c r="D40" s="236" t="inlineStr">
        <is>
          <t>Verification ref</t>
        </is>
      </c>
      <c r="E40" s="234" t="n"/>
    </row>
    <row r="41" ht="27.75" customHeight="1" s="104">
      <c r="A41" s="237" t="inlineStr">
        <is>
          <t>Residual risk tier</t>
        </is>
      </c>
      <c r="B41" s="212">
        <f>IF('Triage Import'!B33="","",'Triage Import'!B33)</f>
        <v/>
      </c>
      <c r="C41" s="208">
        <f>IF(C40="","",IF(C40&gt;15,"Critical",IF(C40&gt;10,"High",IF(C40&gt;5,"Medium","Low"))))</f>
        <v/>
      </c>
      <c r="D41" s="236" t="inlineStr">
        <is>
          <t>Reduced tier eligible?</t>
        </is>
      </c>
      <c r="E41" s="235">
        <f>IF(AND(E37="Yes",E38&lt;&gt;"",OR(AND(C38&lt;&gt;"High",C38&lt;&gt;"Critical"),AND(E39="Yes",E40&lt;&gt;""))),"Yes","No")</f>
        <v/>
      </c>
    </row>
    <row r="42">
      <c r="A42" s="237" t="inlineStr">
        <is>
          <t>Mandatory risk floor</t>
        </is>
      </c>
      <c r="B42" s="179">
        <f>IF('Triage Import'!B41="","",'Triage Import'!B41)</f>
        <v/>
      </c>
      <c r="C42" s="199">
        <f>IF(COUNTIF(C50:C56,"Yes")+COUNTIF(C50:C56,"No")+COUNTIF(C56,"Unsure")&lt;7,"Incomplete",IF(OR(C54="Yes",C56="Yes",C56="Unsure"),"Critical",IF(COUNTIF(C50:C56,"Yes")&gt;0,"High","Low")))</f>
        <v/>
      </c>
      <c r="D42" s="237" t="inlineStr">
        <is>
          <t>Critical for statutory or agentic trigger; High for any other mandatory trigger. This is a risk-routing floor and does not rewrite AGPI governance priority.</t>
        </is>
      </c>
    </row>
    <row r="43" ht="60" customHeight="1" s="104">
      <c r="A43" s="237" t="inlineStr">
        <is>
          <t>Effective governance tier</t>
        </is>
      </c>
      <c r="B43" s="179">
        <f>IF('Triage Import'!B42="","",'Triage Import'!B42)</f>
        <v/>
      </c>
      <c r="C43" s="199">
        <f>IF(OR(C82="AGENTIC TRIGGER CONFLICT",C82="Incomplete",C38="",C41="",C42="Incomplete"),"Incomplete",INDEX({"Low","Medium","High","Critical"},MAX(MATCH(IF(E41="Yes",C41,C38),{"Low","Medium","High","Critical"},0),MATCH(C42,{"Low","Medium","High","Critical"},0),IF(C82="Critical",4,IF(C82="High",3,IF(C82="Medium",2,1))),IF(C28=5,2,1))))</f>
        <v/>
      </c>
      <c r="D43" s="237" t="inlineStr">
        <is>
          <t>Inherent tier until controls are evidenced; High/Critical reduction requires independent verification. The trigger floor, the impact floor (any confirmed Impact 5 → at least Medium; Proposed — for Council confirmation) and the agentic floor (row 82) always apply; the highest wins. B43 is the web triage pre-control tier (no control-based reduction).</t>
        </is>
      </c>
    </row>
    <row r="44" ht="34" customHeight="1" s="104">
      <c r="A44" s="237" t="inlineStr">
        <is>
          <t>Tier floor rationale</t>
        </is>
      </c>
      <c r="B44" s="179">
        <f>IF('Triage Import'!B43="","",'Triage Import'!B43)</f>
        <v/>
      </c>
      <c r="C44" s="199">
        <f>IF(C82="AGENTIC TRIGGER CONFLICT","AGENTIC TRIGGER CONFLICT — Step 5 shows action without per-action review but C56 = No; correct C56 or the Step 5 scores",IF(AND(C82="Incomplete",C66="Yes"),"Incomplete — Step 5 agentic scores required",IF(AND(OR(C82="Critical",C82="High",C82="Medium"),C43=C82,C42&lt;&gt;C43),"Agentic pathway floor (D7) — higher of risk and agency pathways",IF(C43="Incomplete","Incomplete",IF(AND(C43="Medium",C28=5,IF(E41="Yes",C41,C38)="Low"),"Impact floor (Severe impact) → Medium",IF(E41="Yes",IF(C43=C42,"Mandatory trigger floor","Evidenced controls — residual tier"),IF(AND(C42&lt;&gt;"Low",C43=C42),"Mandatory trigger floor; controls not verified","Inherent tier pending control evidence and verification")))))))</f>
        <v/>
      </c>
      <c r="D44" s="188" t="inlineStr">
        <is>
          <t>Shows why governance routing is stricter than residual risk alone.</t>
        </is>
      </c>
    </row>
    <row r="45">
      <c r="A45" s="197" t="inlineStr">
        <is>
          <t>Assurance intensity</t>
        </is>
      </c>
      <c r="B45" s="190">
        <f>IF('Triage Import'!B44="","",'Triage Import'!B44)</f>
        <v/>
      </c>
      <c r="C45" s="198">
        <f>IF(C43="Incomplete","Incomplete",IF(OR(COUNTIF(C50:C56,"Yes")&gt;0,C56="Unsure",C43="Critical"),"Comprehensive / immediate",IF(C43="High","Enhanced",IF(C43="Medium","Standard","Proportionate"))))</f>
        <v/>
      </c>
      <c r="D45" s="192" t="inlineStr">
        <is>
          <t>Comprehensive / Enhanced / Standard / Proportionate. Indicative assurance depth from the governing tier and mandatory triggers only (not a Playbook-defined scale). The AGPI priority (B13/B14) sets urgency and sequencing, not assurance depth or route.</t>
        </is>
      </c>
    </row>
    <row r="46">
      <c r="A46" s="237" t="n"/>
      <c r="B46" s="237" t="n"/>
      <c r="C46" s="237" t="n"/>
      <c r="D46" s="237" t="n"/>
    </row>
    <row r="47" ht="34" customHeight="1" s="104">
      <c r="A47" s="211" t="inlineStr">
        <is>
          <t>Step 4 — Mandatory escalation triggers: confirm the triage answers</t>
        </is>
      </c>
      <c r="B47" s="208" t="n"/>
      <c r="C47" s="208" t="n"/>
      <c r="D47" s="208" t="n"/>
    </row>
    <row r="48">
      <c r="A48" s="195" t="inlineStr">
        <is>
          <t>Trigger</t>
        </is>
      </c>
      <c r="B48" s="195" t="inlineStr">
        <is>
          <t>Triage answer</t>
        </is>
      </c>
      <c r="C48" s="195" t="inlineStr">
        <is>
          <t>Confirmed answer</t>
        </is>
      </c>
      <c r="D48" s="196" t="inlineStr">
        <is>
          <t>Governance effect</t>
        </is>
      </c>
    </row>
    <row r="49">
      <c r="A49" s="237" t="n"/>
      <c r="B49" s="237" t="n"/>
      <c r="C49" s="237" t="n"/>
      <c r="D49" s="188" t="n"/>
    </row>
    <row r="50" ht="34" customHeight="1" s="104">
      <c r="A50" s="237" t="inlineStr">
        <is>
          <t>Processing of special category personal data (UK GDPR)</t>
        </is>
      </c>
      <c r="B50" s="179">
        <f>IF('Triage Import'!B34="","",'Triage Import'!B34)</f>
        <v/>
      </c>
      <c r="C50" s="193">
        <f>IF(B50="","",B50)</f>
        <v/>
      </c>
      <c r="D50" s="188" t="inlineStr">
        <is>
          <t>Minimum High.</t>
        </is>
      </c>
    </row>
    <row r="51" ht="34" customHeight="1" s="104">
      <c r="A51" s="237" t="inlineStr">
        <is>
          <t>Use in relation to vulnerable residents (children, adults with care/support needs, people experiencing homelessness)</t>
        </is>
      </c>
      <c r="B51" s="179">
        <f>IF('Triage Import'!B35="","",'Triage Import'!B35)</f>
        <v/>
      </c>
      <c r="C51" s="193">
        <f>IF(B51="","",B51)</f>
        <v/>
      </c>
      <c r="D51" s="188" t="inlineStr">
        <is>
          <t>Minimum High.</t>
        </is>
      </c>
    </row>
    <row r="52" ht="34" customHeight="1" s="104">
      <c r="A52" s="237" t="inlineStr">
        <is>
          <t>Directly influences housing allocation, social care assessments or homelessness prevention decisions</t>
        </is>
      </c>
      <c r="B52" s="179">
        <f>IF('Triage Import'!B36="","",'Triage Import'!B36)</f>
        <v/>
      </c>
      <c r="C52" s="193">
        <f>IF(B52="","",B52)</f>
        <v/>
      </c>
      <c r="D52" s="188" t="inlineStr">
        <is>
          <t>Minimum High.</t>
        </is>
      </c>
    </row>
    <row r="53" ht="34" customHeight="1" s="104">
      <c r="A53" s="237" t="inlineStr">
        <is>
          <t>Novel or first-of-type AI deployment with no prior Council operational experience</t>
        </is>
      </c>
      <c r="B53" s="179">
        <f>IF('Triage Import'!B37="","",'Triage Import'!B37)</f>
        <v/>
      </c>
      <c r="C53" s="193">
        <f>IF(B53="","",B53)</f>
        <v/>
      </c>
      <c r="D53" s="188" t="inlineStr">
        <is>
          <t>Minimum High.</t>
        </is>
      </c>
    </row>
    <row r="54" ht="34" customHeight="1" s="104">
      <c r="A54" s="237" t="inlineStr">
        <is>
          <t>Produces or directly informs statutory decisions</t>
        </is>
      </c>
      <c r="B54" s="179">
        <f>IF('Triage Import'!B38="","",'Triage Import'!B38)</f>
        <v/>
      </c>
      <c r="C54" s="193">
        <f>IF(B54="","",B54)</f>
        <v/>
      </c>
      <c r="D54" s="188" t="inlineStr">
        <is>
          <t>Minimum Critical.</t>
        </is>
      </c>
    </row>
    <row r="55" ht="34" customHeight="1" s="104">
      <c r="A55" s="237" t="inlineStr">
        <is>
          <t>Significant AI supplier or model changes that materially alter the risk profile of an existing deployment</t>
        </is>
      </c>
      <c r="B55" s="179">
        <f>IF('Triage Import'!B39="","",'Triage Import'!B39)</f>
        <v/>
      </c>
      <c r="C55" s="193">
        <f>IF(B55="","",B55)</f>
        <v/>
      </c>
      <c r="D55" s="188" t="inlineStr">
        <is>
          <t>Minimum High.</t>
        </is>
      </c>
    </row>
    <row r="56" ht="34" customHeight="1" s="104">
      <c r="A56" s="237" t="inlineStr">
        <is>
          <t>Executes actions autonomously without human review of each individual action</t>
        </is>
      </c>
      <c r="B56" s="179">
        <f>IF('Triage Import'!B40="","",'Triage Import'!B40)</f>
        <v/>
      </c>
      <c r="C56" s="193">
        <f>IF(B56="","",B56)</f>
        <v/>
      </c>
      <c r="D56" s="188" t="inlineStr">
        <is>
          <t>Minimum Critical. Unsure is treated as Yes (no per-action human review). Must agree with Step 5 (see row 82).</t>
        </is>
      </c>
    </row>
    <row r="57">
      <c r="A57" s="237" t="n"/>
      <c r="B57" s="237" t="n"/>
      <c r="C57" s="237" t="n"/>
      <c r="D57" s="188" t="n"/>
    </row>
    <row r="58">
      <c r="A58" s="186" t="inlineStr">
        <is>
          <t>Mandatory escalation required</t>
        </is>
      </c>
      <c r="B58" s="237" t="str"/>
      <c r="C58" s="199">
        <f>IF(COUNTIF(C50:C56,"Yes")+COUNTIF(C50:C56,"No")+COUNTIF(C56,"Unsure")&lt;7,"Incomplete — answer all triggers",IF(COUNTIF(C50:C56,"Yes")+COUNTIF(C56,"Unsure")=0,"No","Yes — governance uplift required"))</f>
        <v/>
      </c>
      <c r="D58" s="188" t="inlineStr">
        <is>
          <t>Any confirmed Yes requires governance uplift.</t>
        </is>
      </c>
    </row>
    <row r="59">
      <c r="A59" s="213" t="inlineStr">
        <is>
          <t>Minimum tier from triggers</t>
        </is>
      </c>
      <c r="B59" s="208" t="n"/>
      <c r="C59" s="208" t="n"/>
      <c r="D59" s="188" t="inlineStr">
        <is>
          <t>High for any trigger; Critical for statutory or agentic action.</t>
        </is>
      </c>
    </row>
    <row r="60" ht="34" customHeight="1" s="104">
      <c r="A60" s="186" t="inlineStr">
        <is>
          <t>Effective governance pathway</t>
        </is>
      </c>
      <c r="B60" s="237" t="str"/>
      <c r="C60" s="199">
        <f>IF(C43="Incomplete","Incomplete — assessment required",IF(C43="Critical","Critical — relevant delegated decision forum + Executive Sponsor/Leadership oversight; AI Assurance Board assurance opinion/recommendation",IF(C43="High","High — relevant delegated decision forum; AI Assurance Board assurance opinion/recommendation",IF(C43="Medium","Medium — AI Governance Working Group review; decision by the officer or forum with confirmed delegation","Low — decision by the officer or forum with confirmed delegation (Service Owner/Service Manager only if delegated); Service Owner self-assessment and annual review"))))</f>
        <v/>
      </c>
      <c r="D60" s="188" t="inlineStr">
        <is>
          <t>The governing tier (risk tier with trigger, impact and agentic floors) sets the minimum decision/assurance route; the AGPI priority sets urgency only. The AI Assurance Board gives assurance, not approval.</t>
        </is>
      </c>
    </row>
    <row r="61" ht="34" customHeight="1" s="104">
      <c r="A61" s="186" t="inlineStr">
        <is>
          <t>Governance Decision Record / uplift rationale</t>
        </is>
      </c>
      <c r="B61" s="237" t="str"/>
      <c r="C61" s="193" t="n"/>
      <c r="D61" s="188" t="inlineStr">
        <is>
          <t>Record the rationale/conditions in AIG-DEC-03 and reference it here rather than duplicating the decision.</t>
        </is>
      </c>
    </row>
    <row r="62" ht="34" customHeight="1" s="104">
      <c r="A62" s="189" t="inlineStr">
        <is>
          <t>Core deployment control</t>
        </is>
      </c>
      <c r="B62" s="197" t="str"/>
      <c r="C62" s="200">
        <f>IF(OR(C43="Incomplete",C58="Incomplete — answer all triggers"),"Do not deploy — complete the assessment",IF(C43="Critical","Do not deploy until Critical pathway approval is recorded",IF(C43="High","Do not deploy until High pathway approval is recorded","Deploy only after the required approval is recorded")))</f>
        <v/>
      </c>
      <c r="D62" s="192" t="inlineStr">
        <is>
          <t>Deployment remains conditional on the effective pathway and recorded approval.</t>
        </is>
      </c>
    </row>
    <row r="63">
      <c r="A63" s="237" t="n"/>
      <c r="B63" s="237" t="n"/>
      <c r="C63" s="237" t="n"/>
      <c r="D63" s="237" t="n"/>
    </row>
    <row r="64" ht="34" customHeight="1" s="104">
      <c r="A64" s="211" t="inlineStr">
        <is>
          <t>Step 5 — Agentic assessment: pre-populated where the system can act. These are the scores used for tiering; rationale and evidence are recorded in AIG-AGT-04 Agency Profile (the record).</t>
        </is>
      </c>
      <c r="B64" s="208" t="n"/>
      <c r="C64" s="208" t="n"/>
      <c r="D64" s="208" t="n"/>
    </row>
    <row r="65">
      <c r="A65" s="195" t="inlineStr">
        <is>
          <t>Agentic field</t>
        </is>
      </c>
      <c r="B65" s="195" t="inlineStr">
        <is>
          <t>Triage value</t>
        </is>
      </c>
      <c r="C65" s="195" t="inlineStr">
        <is>
          <t>Confirmed / recorded value</t>
        </is>
      </c>
      <c r="D65" s="196" t="inlineStr">
        <is>
          <t>Note</t>
        </is>
      </c>
      <c r="E65" s="196" t="inlineStr">
        <is>
          <t>AIG-AGT-04 Agency Profile ref (rationale and evidence recorded there)</t>
        </is>
      </c>
    </row>
    <row r="66">
      <c r="A66" s="237" t="inlineStr">
        <is>
          <t>Is Agent (can it act?)</t>
        </is>
      </c>
      <c r="B66" s="179">
        <f>IF('Triage Import'!B46="","",'Triage Import'!B46)</f>
        <v/>
      </c>
      <c r="C66" s="193">
        <f>IF(B66="","",B66)</f>
        <v/>
      </c>
      <c r="D66" s="188" t="inlineStr">
        <is>
          <t>The “can it act?” screen includes human-approved actions.</t>
        </is>
      </c>
    </row>
    <row r="67">
      <c r="A67" s="237" t="inlineStr">
        <is>
          <t>Consequence</t>
        </is>
      </c>
      <c r="B67" s="179">
        <f>IF('Triage Import'!B47="","",'Triage Import'!B47)</f>
        <v/>
      </c>
      <c r="C67" s="193">
        <f>IF(B67="","",B67)</f>
        <v/>
      </c>
      <c r="D67" s="188" t="inlineStr">
        <is>
          <t>0 trivial to 5 catastrophic / irreversible.</t>
        </is>
      </c>
      <c r="E67" s="208" t="n"/>
    </row>
    <row r="68">
      <c r="A68" s="237" t="inlineStr">
        <is>
          <t>Autonomy</t>
        </is>
      </c>
      <c r="B68" s="179">
        <f>IF('Triage Import'!B48="","",'Triage Import'!B48)</f>
        <v/>
      </c>
      <c r="C68" s="193">
        <f>IF(B68="","",B68)</f>
        <v/>
      </c>
      <c r="D68" s="188" t="inlineStr">
        <is>
          <t>0 no action to 5 open-ended / persistent.</t>
        </is>
      </c>
      <c r="E68" s="208" t="n"/>
    </row>
    <row r="69">
      <c r="A69" s="237" t="inlineStr">
        <is>
          <t>Authority</t>
        </is>
      </c>
      <c r="B69" s="179">
        <f>IF('Triage Import'!B49="","",'Triage Import'!B49)</f>
        <v/>
      </c>
      <c r="C69" s="193">
        <f>IF(B69="","",B69)</f>
        <v/>
      </c>
      <c r="D69" s="188" t="inlineStr">
        <is>
          <t>0 information only to 5 highly consequential.</t>
        </is>
      </c>
      <c r="E69" s="208" t="n"/>
    </row>
    <row r="70">
      <c r="A70" s="237" t="inlineStr">
        <is>
          <t>Reach</t>
        </is>
      </c>
      <c r="B70" s="179">
        <f>IF('Triage Import'!B50="","",'Triage Import'!B50)</f>
        <v/>
      </c>
      <c r="C70" s="193">
        <f>IF(B70="","",B70)</f>
        <v/>
      </c>
      <c r="D70" s="188" t="inlineStr">
        <is>
          <t>0 isolated to 5 broad / public / physical.</t>
        </is>
      </c>
      <c r="E70" s="208" t="n"/>
    </row>
    <row r="71">
      <c r="A71" s="237" t="inlineStr">
        <is>
          <t>Controllability (reversed)</t>
        </is>
      </c>
      <c r="B71" s="179">
        <f>IF('Triage Import'!B51="","",'Triage Import'!B51)</f>
        <v/>
      </c>
      <c r="C71" s="193">
        <f>IF(B71="","",B71)</f>
        <v/>
      </c>
      <c r="D71" s="188" t="inlineStr">
        <is>
          <t>0 instant stop + rollback to 5 effectively irreversible.</t>
        </is>
      </c>
      <c r="E71" s="208" t="n"/>
    </row>
    <row r="72">
      <c r="A72" s="237" t="inlineStr">
        <is>
          <t>Autonomy level</t>
        </is>
      </c>
      <c r="B72" s="179">
        <f>IF('Triage Import'!B52="","",'Triage Import'!B52)</f>
        <v/>
      </c>
      <c r="C72" s="193">
        <f>IF(B72="","",B72)</f>
        <v/>
      </c>
      <c r="D72" s="188" t="inlineStr">
        <is>
          <t>A0–A5.</t>
        </is>
      </c>
    </row>
    <row r="73">
      <c r="A73" s="237" t="inlineStr">
        <is>
          <t>Agency tier</t>
        </is>
      </c>
      <c r="B73" s="179">
        <f>IF('Triage Import'!B53="","",'Triage Import'!B53)</f>
        <v/>
      </c>
      <c r="C73" s="193">
        <f>IF(B73="","",B73)</f>
        <v/>
      </c>
      <c r="D73" s="188" t="inlineStr">
        <is>
          <t>T0–T5.</t>
        </is>
      </c>
    </row>
    <row r="74" ht="34" customHeight="1" s="104">
      <c r="A74" s="237" t="inlineStr">
        <is>
          <t>Agentic pathway</t>
        </is>
      </c>
      <c r="B74" s="179">
        <f>IF('Triage Import'!B54="","",'Triage Import'!B54)</f>
        <v/>
      </c>
      <c r="C74" s="193">
        <f>IF(B74="","",B74)</f>
        <v/>
      </c>
      <c r="D74" s="188" t="inlineStr">
        <is>
          <t>Governance pathway from agentic triage.</t>
        </is>
      </c>
    </row>
    <row r="75">
      <c r="A75" s="237" t="inlineStr">
        <is>
          <t>Kill-switch demonstrated</t>
        </is>
      </c>
      <c r="B75" s="179">
        <f>IF('Triage Import'!B55="","",'Triage Import'!B55)</f>
        <v/>
      </c>
      <c r="C75" s="193">
        <f>IF(B75="","",B75)</f>
        <v/>
      </c>
      <c r="D75" s="188" t="inlineStr">
        <is>
          <t>Required control evidence.</t>
        </is>
      </c>
    </row>
    <row r="76">
      <c r="A76" s="237" t="inlineStr">
        <is>
          <t>Rollback capability</t>
        </is>
      </c>
      <c r="B76" s="179">
        <f>IF('Triage Import'!B56="","",'Triage Import'!B56)</f>
        <v/>
      </c>
      <c r="C76" s="193">
        <f>IF(B76="","",B76)</f>
        <v/>
      </c>
      <c r="D76" s="188" t="inlineStr">
        <is>
          <t>Required control evidence.</t>
        </is>
      </c>
    </row>
    <row r="77">
      <c r="A77" s="237" t="inlineStr">
        <is>
          <t>Boundaries tested</t>
        </is>
      </c>
      <c r="B77" s="179">
        <f>IF('Triage Import'!B57="","",'Triage Import'!B57)</f>
        <v/>
      </c>
      <c r="C77" s="193">
        <f>IF(B77="","",B77)</f>
        <v/>
      </c>
      <c r="D77" s="188" t="inlineStr">
        <is>
          <t>Required control evidence.</t>
        </is>
      </c>
    </row>
    <row r="78" ht="34" customHeight="1" s="104">
      <c r="A78" s="237" t="inlineStr">
        <is>
          <t>Agentic flags</t>
        </is>
      </c>
      <c r="B78" s="179">
        <f>IF('Triage Import'!B58="","",'Triage Import'!B58)</f>
        <v/>
      </c>
      <c r="C78" s="193">
        <f>IF(B78="","",B78)</f>
        <v/>
      </c>
      <c r="D78" s="188" t="inlineStr">
        <is>
          <t>Containment / control flags.</t>
        </is>
      </c>
    </row>
    <row r="79" ht="34" customHeight="1" s="104">
      <c r="A79" s="237" t="inlineStr">
        <is>
          <t>Agentic escalations</t>
        </is>
      </c>
      <c r="B79" s="179">
        <f>IF('Triage Import'!B59="","",'Triage Import'!B59)</f>
        <v/>
      </c>
      <c r="C79" s="193">
        <f>IF(B79="","",B79)</f>
        <v/>
      </c>
      <c r="D79" s="188" t="inlineStr">
        <is>
          <t>Escalation reasons.</t>
        </is>
      </c>
    </row>
    <row r="80">
      <c r="A80" s="237" t="inlineStr">
        <is>
          <t>Agent Record (ASBOM) ref</t>
        </is>
      </c>
      <c r="B80" s="179">
        <f>IF('Triage Import'!B61="","",'Triage Import'!B61)</f>
        <v/>
      </c>
      <c r="C80" s="193">
        <f>IF(B80="","",B80)</f>
        <v/>
      </c>
      <c r="D80" s="188" t="inlineStr">
        <is>
          <t>Full composition/authority record remains in AIG-AGT-04.</t>
        </is>
      </c>
    </row>
    <row r="81" ht="34" customHeight="1" s="104">
      <c r="A81" s="197" t="inlineStr">
        <is>
          <t>Agentic deployment control</t>
        </is>
      </c>
      <c r="B81" s="190">
        <f>IF('Triage Import'!B60="","",'Triage Import'!B60)</f>
        <v/>
      </c>
      <c r="C81" s="200">
        <f>IF(B81="","",B81)</f>
        <v/>
      </c>
      <c r="D81" s="192" t="inlineStr">
        <is>
          <t>Agentic deployment constraint.</t>
        </is>
      </c>
    </row>
    <row r="82">
      <c r="A82" s="197" t="inlineStr">
        <is>
          <t>Agentic floor and trigger consistency (D7)</t>
        </is>
      </c>
      <c r="B82" s="190" t="inlineStr">
        <is>
          <t>Proposed — for Council confirmation</t>
        </is>
      </c>
      <c r="C82" s="199">
        <f>IF(C66&lt;&gt;"Yes","",IF(COUNT(C67:C71)&lt;5,"Incomplete",IF(AND(C56="No",OR(C68&gt;=2,IF(ISNUMBER(MATCH(LEFT(C73,2),{"T0","T1","T2","T3","T4","T5"},0)),INDEX({"None","None","Medium","High","High","Critical"},MATCH(LEFT(C73,2),{"T0","T1","T2","T3","T4","T5"},0)),IF(OR(LEFT(C74,9)="Executive",LEFT(C74,8)="Critical",ISNUMBER(SEARCH("minimum pathway Critical",C74))),"Critical",IF(OR(LEFT(C74,4)="High",ISNUMBER(SEARCH("minimum pathway High",C74)),ISNUMBER(SEARCH("(higher gate)",C74))),"High",IF(OR(LEFT(C74,6)="Medium",LEFT(C74,23)="Agentic controls review",ISNUMBER(SEARCH("minimum pathway Medium",C74))),"Medium","None"))))="Critical")),"AGENTIC TRIGGER CONFLICT",IF(ISNUMBER(MATCH(LEFT(C73,2),{"T0","T1","T2","T3","T4","T5"},0)),INDEX({"None","None","Medium","High","High","Critical"},MATCH(LEFT(C73,2),{"T0","T1","T2","T3","T4","T5"},0)),IF(OR(LEFT(C74,9)="Executive",LEFT(C74,8)="Critical",ISNUMBER(SEARCH("minimum pathway Critical",C74))),"Critical",IF(OR(LEFT(C74,4)="High",ISNUMBER(SEARCH("minimum pathway High",C74)),ISNUMBER(SEARCH("(higher gate)",C74))),"High",IF(OR(LEFT(C74,6)="Medium",LEFT(C74,23)="Agentic controls review",ISNUMBER(SEARCH("minimum pathway Medium",C74))),"Medium","None")))))))</f>
        <v/>
      </c>
      <c r="D82" s="192" t="inlineStr">
        <is>
          <t>Governing tier = highest of the risk tier, the trigger floors, the impact floor and the agency-tier pathway; none lowers another. The agentic floor is read from the agency tier token in C73 (T0–T5) by exact match; only where C73 holds no tier is the controlled pathway wording in C74 used, by its leading label or its “minimum pathway” phrase (never by searching free text for “Critical”). Autonomy 2+ (executes without a human executing each action) or a T5 / Critical agentic pathway with C56 = No is a conflict and holds the tier at Incomplete. Tier mapping (T5/Critical/Executive → Critical; T3–T4/High → High; T2/Medium → Medium; T0–T1 → None) is proposed for Council confirmation, as in the Gate Map (AIG-DEC-01, Agentic pathway) and AIG-AGT-03 §6. T4 is raised to Critical by the C56 trigger floor where actions run without evidenced per-action human review.</t>
        </is>
      </c>
    </row>
    <row r="83" ht="34" customHeight="1" s="104">
      <c r="A83" s="211" t="inlineStr">
        <is>
          <t>Five kinds of agentic risk — professional judgement (complete where Is Agent = Yes)</t>
        </is>
      </c>
      <c r="B83" s="208" t="n"/>
      <c r="C83" s="208" t="n"/>
      <c r="D83" s="208" t="n"/>
    </row>
    <row r="84">
      <c r="A84" s="195" t="inlineStr">
        <is>
          <t>Risk kind</t>
        </is>
      </c>
      <c r="B84" s="195" t="inlineStr">
        <is>
          <t>Considered? (Yes/No)</t>
        </is>
      </c>
      <c r="C84" s="195" t="inlineStr">
        <is>
          <t>Assessment note</t>
        </is>
      </c>
      <c r="D84" s="196" t="inlineStr">
        <is>
          <t>What it means</t>
        </is>
      </c>
    </row>
    <row r="85" ht="34" customHeight="1" s="104">
      <c r="A85" s="237" t="inlineStr">
        <is>
          <t>Model risk</t>
        </is>
      </c>
      <c r="B85" s="193" t="str"/>
      <c r="C85" s="193" t="str"/>
      <c r="D85" s="188" t="inlineStr">
        <is>
          <t>The model behaves incorrectly.</t>
        </is>
      </c>
    </row>
    <row r="86" ht="34" customHeight="1" s="104">
      <c r="A86" s="237" t="inlineStr">
        <is>
          <t>Agent risk</t>
        </is>
      </c>
      <c r="B86" s="193" t="str"/>
      <c r="C86" s="193" t="str"/>
      <c r="D86" s="188" t="inlineStr">
        <is>
          <t>The agent plans incorrectly or pursues an objective unexpectedly.</t>
        </is>
      </c>
    </row>
    <row r="87" ht="34" customHeight="1" s="104">
      <c r="A87" s="237" t="inlineStr">
        <is>
          <t>Tool risk</t>
        </is>
      </c>
      <c r="B87" s="193" t="str"/>
      <c r="C87" s="193" t="str"/>
      <c r="D87" s="188" t="inlineStr">
        <is>
          <t>The agent misuses a connected capability.</t>
        </is>
      </c>
    </row>
    <row r="88" ht="34" customHeight="1" s="104">
      <c r="A88" s="237" t="inlineStr">
        <is>
          <t>Environment risk</t>
        </is>
      </c>
      <c r="B88" s="193" t="str"/>
      <c r="C88" s="193" t="str"/>
      <c r="D88" s="188" t="inlineStr">
        <is>
          <t>The surrounding system permits an unexpected consequence.</t>
        </is>
      </c>
    </row>
    <row r="89" ht="34" customHeight="1" s="104">
      <c r="A89" s="197" t="inlineStr">
        <is>
          <t>Emergent / systemic risk</t>
        </is>
      </c>
      <c r="B89" s="194" t="str"/>
      <c r="C89" s="194" t="str"/>
      <c r="D89" s="192" t="inlineStr">
        <is>
          <t>Individually acceptable components interact to create an unacceptable outcome.</t>
        </is>
      </c>
    </row>
    <row r="90">
      <c r="A90" s="237" t="n"/>
      <c r="B90" s="237" t="n"/>
      <c r="C90" s="237" t="n"/>
      <c r="D90" s="237" t="n"/>
    </row>
    <row r="91" ht="34" customHeight="1" s="104">
      <c r="A91" s="211" t="inlineStr">
        <is>
          <t>Step 6 — Professional judgement, evidence and treatment</t>
        </is>
      </c>
      <c r="B91" s="208" t="n"/>
      <c r="C91" s="208" t="n"/>
      <c r="D91" s="208" t="n"/>
    </row>
    <row r="92" ht="52" customHeight="1" s="104">
      <c r="A92" s="237" t="inlineStr">
        <is>
          <t>Key risk / failure scenario</t>
        </is>
      </c>
      <c r="B92" s="214" t="str"/>
      <c r="C92" s="208" t="n"/>
      <c r="D92" s="188" t="inlineStr">
        <is>
          <t>Describe the material failure scenario(s) not already evident from the scores.</t>
        </is>
      </c>
    </row>
    <row r="93" ht="52" customHeight="1" s="104">
      <c r="A93" s="237" t="inlineStr">
        <is>
          <t>Control effectiveness rationale</t>
        </is>
      </c>
      <c r="B93" s="214" t="str"/>
      <c r="C93" s="208" t="n"/>
      <c r="D93" s="188" t="inlineStr">
        <is>
          <t>Explain why the confirmed control score is justified.</t>
        </is>
      </c>
    </row>
    <row r="94" ht="52" customHeight="1" s="104">
      <c r="A94" s="237" t="inlineStr">
        <is>
          <t>Evidence references</t>
        </is>
      </c>
      <c r="B94" s="214" t="str"/>
      <c r="C94" s="208" t="n"/>
      <c r="D94" s="188" t="inlineStr">
        <is>
          <t>Reference testing, DPIA/EIA/HRA, supplier evidence, Model Card, security review or other case evidence.</t>
        </is>
      </c>
    </row>
    <row r="95" ht="52" customHeight="1" s="104">
      <c r="A95" s="237" t="inlineStr">
        <is>
          <t>Residual risk rationale</t>
        </is>
      </c>
      <c r="B95" s="214" t="str"/>
      <c r="C95" s="208" t="n"/>
      <c r="D95" s="188" t="inlineStr">
        <is>
          <t>Explain why the residual risk is acceptable or requires further treatment.</t>
        </is>
      </c>
    </row>
    <row r="96" ht="52" customHeight="1" s="104">
      <c r="A96" s="237" t="inlineStr">
        <is>
          <t>Risk treatment / approval conditions</t>
        </is>
      </c>
      <c r="B96" s="214" t="str"/>
      <c r="C96" s="208" t="n"/>
      <c r="D96" s="188" t="inlineStr">
        <is>
          <t>Actions or conditions required before/after deployment; detailed decision remains in AIG-DEC-03.</t>
        </is>
      </c>
    </row>
    <row r="97" ht="34" customHeight="1" s="104">
      <c r="A97" s="237" t="inlineStr">
        <is>
          <t>Risk / treatment owner</t>
        </is>
      </c>
      <c r="B97" s="214" t="str"/>
      <c r="C97" s="208" t="n"/>
      <c r="D97" s="188" t="inlineStr">
        <is>
          <t>Named accountable owner for outstanding treatment.</t>
        </is>
      </c>
    </row>
    <row r="98" ht="34" customHeight="1" s="104">
      <c r="A98" s="237" t="inlineStr">
        <is>
          <t>Next review / monitoring trigger</t>
        </is>
      </c>
      <c r="B98" s="214" t="str"/>
      <c r="C98" s="208" t="n"/>
      <c r="D98" s="188" t="inlineStr">
        <is>
          <t>Date or trigger; monitoring details belong in AIG-OPS-02.</t>
        </is>
      </c>
    </row>
    <row r="99" ht="52" customHeight="1" s="104">
      <c r="A99" s="237" t="inlineStr">
        <is>
          <t>Assessor conclusion</t>
        </is>
      </c>
      <c r="B99" s="214" t="str"/>
      <c r="C99" s="208" t="n"/>
      <c r="D99" s="188" t="inlineStr">
        <is>
          <t>Concise conclusion for assurance/decision forum.</t>
        </is>
      </c>
    </row>
    <row r="100" ht="64" customHeight="1" s="104">
      <c r="A100" s="237" t="inlineStr">
        <is>
          <t>Priority vs governing tier (T1 safeguard — Proposed, for Council confirmation)</t>
        </is>
      </c>
      <c r="B100" s="217">
        <f>IF(OR(C43="",C43="Incomplete",IF(B14&lt;&gt;"",B14,B13)=""),"",IF(OR(AND(LEFT(IF(B14&lt;&gt;"",B14,B13),10)="Priority 1",OR(C43="Low",C43="Medium")),AND(LEFT(IF(B14&lt;&gt;"",B14,B13),10)="Priority 2",C43="Low")),"Record reason in Step 6: "&amp;IF(B14&lt;&gt;"",B14,B13)&amp;" but governing tier "&amp;C43,"No priority/tier gap"))</f>
        <v/>
      </c>
      <c r="C100" s="208" t="n"/>
      <c r="D100" s="188" t="inlineStr">
        <is>
          <t>AGPI priority sets urgency and sequencing; the governing tier sets the route. Where the priority is P1 or P2 but the governing tier is lower than the guide (P1 → High/Critical; P2 → Medium/High), the AI Governance Working Group records the reason in the residual risk rationale (row 95) and may raise, never lower, the tier.</t>
        </is>
      </c>
    </row>
    <row r="101" ht="34" customHeight="1" s="104">
      <c r="A101" s="186" t="inlineStr">
        <is>
          <t>Overall deployment control</t>
        </is>
      </c>
      <c r="B101" s="216">
        <f>IF(C66="Yes",C62&amp;" | Agentic: "&amp;C81,C62)</f>
        <v/>
      </c>
      <c r="C101" s="208" t="n"/>
      <c r="D101" s="188" t="inlineStr">
        <is>
          <t>Applies both the core risk pathway and any agentic control.</t>
        </is>
      </c>
    </row>
    <row r="102" ht="34" customHeight="1" s="104">
      <c r="A102" s="189" t="inlineStr">
        <is>
          <t>Assessment status</t>
        </is>
      </c>
      <c r="B102" s="217">
        <f>IF(OR(B6="",B7="",B17="",B18="",C66="",AND(D20&lt;&gt;"UC-ID recorded",D20&lt;&gt;"SYSTEM BASELINE ONLY — NOT USE APPROVAL"),COUNT(C23:C27)&lt;5,C32="",C33="",COUNTIF(C50:C56,"Yes")+COUNTIF(C50:C56,"No")+COUNTIF(C56,"Unsure")&lt;7),"Incomplete — assessment required",IF(AND(C66="Yes",COUNT(C67:C71)&lt;5),"Incomplete — agentic assessment required",IF(C82="AGENTIC TRIGGER CONFLICT","Incomplete — agentic trigger conflict",IF(B99="","Scoring complete — record evidence/rationale and decision before deployment","Assessment complete — delegated decision still required"))))</f>
        <v/>
      </c>
      <c r="C102" s="208" t="n"/>
      <c r="D102" s="192" t="inlineStr">
        <is>
          <t>Needs scope key (D20), UC-ID or explicit baseline, assessor, date and Is Agent. Scoring complete is not approval; the decision is recorded in AIG-DEC-03 and the dated event in AIG-DEC-04.</t>
        </is>
      </c>
    </row>
    <row r="103">
      <c r="A103" s="237" t="n"/>
      <c r="B103" s="237" t="n"/>
      <c r="C103" s="237" t="n"/>
      <c r="D103" s="237" t="n"/>
    </row>
  </sheetData>
  <mergeCells count="38">
    <mergeCell ref="B97:C97"/>
    <mergeCell ref="A5:D5"/>
    <mergeCell ref="B100:C100"/>
    <mergeCell ref="A91:D91"/>
    <mergeCell ref="A35:D35"/>
    <mergeCell ref="B93:C93"/>
    <mergeCell ref="B102:C102"/>
    <mergeCell ref="B96:C96"/>
    <mergeCell ref="B29:D29"/>
    <mergeCell ref="B18:C18"/>
    <mergeCell ref="B34:D34"/>
    <mergeCell ref="B12:C12"/>
    <mergeCell ref="B11:C11"/>
    <mergeCell ref="A83:D83"/>
    <mergeCell ref="B98:C98"/>
    <mergeCell ref="A30:D30"/>
    <mergeCell ref="A64:D64"/>
    <mergeCell ref="B101:C101"/>
    <mergeCell ref="B14:C14"/>
    <mergeCell ref="B17:C17"/>
    <mergeCell ref="B6:D6"/>
    <mergeCell ref="B13:C13"/>
    <mergeCell ref="A1:D1"/>
    <mergeCell ref="B19:C19"/>
    <mergeCell ref="B4:D4"/>
    <mergeCell ref="B10:C10"/>
    <mergeCell ref="B99:C99"/>
    <mergeCell ref="A16:D16"/>
    <mergeCell ref="B9:C9"/>
    <mergeCell ref="A59:C59"/>
    <mergeCell ref="B92:C92"/>
    <mergeCell ref="B15:C15"/>
    <mergeCell ref="B95:C95"/>
    <mergeCell ref="A3:D3"/>
    <mergeCell ref="A21:D21"/>
    <mergeCell ref="B94:C94"/>
    <mergeCell ref="A2:D2"/>
    <mergeCell ref="A47:D47"/>
  </mergeCells>
  <conditionalFormatting sqref="C43">
    <cfRule type="expression" priority="1" dxfId="2">
      <formula>$C43="Critical"</formula>
    </cfRule>
    <cfRule type="expression" priority="2" dxfId="3">
      <formula>$C43="High"</formula>
    </cfRule>
  </conditionalFormatting>
  <conditionalFormatting sqref="C62">
    <cfRule type="expression" priority="3" dxfId="4">
      <formula>LEFT($C62,13)="Do not deploy"</formula>
    </cfRule>
  </conditionalFormatting>
  <dataValidations count="11">
    <dataValidation sqref="C23:C27" showDropDown="0" showInputMessage="0" showErrorMessage="0" allowBlank="0" type="list">
      <formula1>"1,2,3,4,5"</formula1>
    </dataValidation>
    <dataValidation sqref="C32:C33" showDropDown="0" showInputMessage="0" showErrorMessage="0" allowBlank="0" type="list">
      <formula1>"1,2,3,4,5"</formula1>
    </dataValidation>
    <dataValidation sqref="C50:C55" showDropDown="0" showInputMessage="0" showErrorMessage="0" allowBlank="0" type="list">
      <formula1>"Yes,No"</formula1>
    </dataValidation>
    <dataValidation sqref="C66" showDropDown="0" showInputMessage="0" showErrorMessage="0" allowBlank="0" type="list">
      <formula1>"Yes,No"</formula1>
    </dataValidation>
    <dataValidation sqref="C67:C71" showDropDown="0" showInputMessage="0" showErrorMessage="0" allowBlank="0" type="list">
      <formula1>"0,1,2,3,4,5"</formula1>
    </dataValidation>
    <dataValidation sqref="C75:C77" showDropDown="0" showInputMessage="0" showErrorMessage="0" allowBlank="0" type="list">
      <formula1>"Yes,No"</formula1>
    </dataValidation>
    <dataValidation sqref="B85:B89" showDropDown="0" showInputMessage="0" showErrorMessage="0" allowBlank="0" type="list">
      <formula1>"Yes,No,N/A — not agentic"</formula1>
    </dataValidation>
    <dataValidation sqref="E37" showDropDown="0" showInputMessage="0" showErrorMessage="0" allowBlank="0" type="list">
      <formula1>"Yes,No"</formula1>
    </dataValidation>
    <dataValidation sqref="E39" showDropDown="0" showInputMessage="0" showErrorMessage="0" allowBlank="0" type="list">
      <formula1>"Yes,No"</formula1>
    </dataValidation>
    <dataValidation sqref="C61" showDropDown="0" showInputMessage="1" showErrorMessage="1" allowBlank="1" promptTitle="Decision record ref" prompt="Enter the AIG-DEC-03 record or approved-minutes reference once the decision is made." errorStyle="stop"/>
    <dataValidation sqref="C56" showDropDown="0" showInputMessage="1" showErrorMessage="1" allowBlank="1" promptTitle="Autonomous action trigger" prompt="Unsure about per-action human review is treated as Yes (no per-action review) — decision D7." type="list" errorStyle="stop">
      <formula1>"Yes,No,Unsure"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ColWidth="9.47265625" defaultRowHeight="15"/>
  <cols>
    <col width="21.97999954223633" customWidth="1" style="77" min="1" max="1"/>
    <col width="41.52000045776367" customWidth="1" style="77" min="2" max="2"/>
    <col width="39.08000183105469" customWidth="1" style="77" min="3" max="3"/>
    <col width="21.97999954223633" customWidth="1" style="77" min="4" max="4"/>
    <col width="9.789999961853027" customWidth="1" style="77" min="5" max="6"/>
  </cols>
  <sheetData>
    <row r="1" ht="25.5" customHeight="1" s="104">
      <c r="A1" s="218" t="inlineStr">
        <is>
          <t>AIG-ASS-02 — Document Control</t>
        </is>
      </c>
      <c r="B1" s="208" t="n"/>
      <c r="C1" s="208" t="n"/>
      <c r="D1" s="208" t="n"/>
      <c r="E1" s="208" t="n"/>
      <c r="F1" s="208" t="n"/>
    </row>
    <row r="2" ht="33" customHeight="1" s="104">
      <c r="A2" s="219" t="inlineStr">
        <is>
          <t>Controlled working template. Draft for Council review; not Council-adopted and not effective until formally approved.</t>
        </is>
      </c>
      <c r="B2" s="208" t="n"/>
      <c r="C2" s="208" t="n"/>
      <c r="D2" s="208" t="n"/>
      <c r="E2" s="208" t="n"/>
      <c r="F2" s="208" t="n"/>
    </row>
    <row r="4" ht="15" customHeight="1" s="104">
      <c r="A4" s="98" t="inlineStr">
        <is>
          <t>Field</t>
        </is>
      </c>
      <c r="B4" s="98" t="inlineStr">
        <is>
          <t>Controlled value</t>
        </is>
      </c>
    </row>
    <row r="5" ht="25.5" customHeight="1" s="104">
      <c r="A5" s="99" t="inlineStr">
        <is>
          <t>Document ID</t>
        </is>
      </c>
      <c r="B5" s="100" t="inlineStr">
        <is>
          <t>AIG-ASS-02</t>
        </is>
      </c>
    </row>
    <row r="6" ht="25.5" customHeight="1" s="104">
      <c r="A6" s="99" t="inlineStr">
        <is>
          <t>Artefact</t>
        </is>
      </c>
      <c r="B6" s="100" t="inlineStr">
        <is>
          <t>AI Risk Assessment Worksheet</t>
        </is>
      </c>
    </row>
    <row r="7" ht="25.5" customHeight="1" s="104">
      <c r="A7" s="99" t="inlineStr">
        <is>
          <t>Version</t>
        </is>
      </c>
      <c r="B7" s="100" t="inlineStr">
        <is>
          <t>1.10 draft</t>
        </is>
      </c>
    </row>
    <row r="8" ht="25.5" customHeight="1" s="104">
      <c r="A8" s="99" t="inlineStr">
        <is>
          <t>Status</t>
        </is>
      </c>
      <c r="B8" s="100" t="inlineStr">
        <is>
          <t>Draft for Council review</t>
        </is>
      </c>
    </row>
    <row r="9" ht="25.5" customHeight="1" s="104">
      <c r="A9" s="99" t="inlineStr">
        <is>
          <t>Document owner</t>
        </is>
      </c>
      <c r="B9" s="100" t="inlineStr">
        <is>
          <t>AI Governance Lead</t>
        </is>
      </c>
    </row>
    <row r="10" ht="25.5" customHeight="1" s="104">
      <c r="A10" s="99" t="inlineStr">
        <is>
          <t>Approving body</t>
        </is>
      </c>
      <c r="B10" s="100" t="inlineStr">
        <is>
          <t>Competent Council authority under Constitution and Scheme of Delegation; AI Assurance Board provides assurance where applicable</t>
        </is>
      </c>
    </row>
    <row r="11" ht="25.5" customHeight="1" s="104">
      <c r="A11" s="99" t="inlineStr">
        <is>
          <t>Approval date</t>
        </is>
      </c>
      <c r="B11" s="100" t="inlineStr">
        <is>
          <t>Not yet approved</t>
        </is>
      </c>
    </row>
    <row r="12" ht="25.5" customHeight="1" s="104">
      <c r="A12" s="99" t="inlineStr">
        <is>
          <t>Effective date</t>
        </is>
      </c>
      <c r="B12" s="100" t="inlineStr">
        <is>
          <t>Not yet effective</t>
        </is>
      </c>
    </row>
    <row r="13" ht="25.5" customHeight="1" s="104">
      <c r="A13" s="99" t="inlineStr">
        <is>
          <t>Next review date</t>
        </is>
      </c>
      <c r="B13" s="100" t="inlineStr">
        <is>
          <t>To be set on approval: 12 months after effective date or sooner following material change</t>
        </is>
      </c>
    </row>
    <row r="15" ht="15" customHeight="1" s="104">
      <c r="A15" s="101" t="inlineStr">
        <is>
          <t>Change history</t>
        </is>
      </c>
      <c r="B15" s="117" t="n"/>
      <c r="C15" s="117" t="n"/>
      <c r="D15" s="117" t="n"/>
      <c r="E15" s="117" t="n"/>
      <c r="F15" s="118" t="n"/>
    </row>
    <row r="16" ht="15" customHeight="1" s="104">
      <c r="A16" s="98" t="inlineStr">
        <is>
          <t>Version</t>
        </is>
      </c>
      <c r="B16" s="98" t="inlineStr">
        <is>
          <t>Date</t>
        </is>
      </c>
      <c r="C16" s="98" t="inlineStr">
        <is>
          <t>Change</t>
        </is>
      </c>
      <c r="D16" s="98" t="inlineStr">
        <is>
          <t>Author / owner</t>
        </is>
      </c>
    </row>
    <row r="17" s="104">
      <c r="A17" s="102" t="inlineStr">
        <is>
          <t>1.0 draft</t>
        </is>
      </c>
      <c r="B17" s="102" t="inlineStr">
        <is>
          <t>6 August 2026</t>
        </is>
      </c>
      <c r="C17" s="102" t="inlineStr">
        <is>
          <t>Step 4.3 spreadsheet QA controls and document-control baseline established.</t>
        </is>
      </c>
      <c r="D17" s="102" t="inlineStr">
        <is>
          <t>AI Governance Lead</t>
        </is>
      </c>
    </row>
    <row r="18" s="104">
      <c r="A18" s="102" t="inlineStr">
        <is>
          <t>1.1 draft</t>
        </is>
      </c>
      <c r="B18" s="102" t="inlineStr">
        <is>
          <t>Not recorded in source</t>
        </is>
      </c>
      <c r="C18" s="102" t="inlineStr">
        <is>
          <t>Not recorded in source (placeholder added during QA remediation so the history is continuous).</t>
        </is>
      </c>
      <c r="D18" s="102" t="inlineStr">
        <is>
          <t>Not recorded in source</t>
        </is>
      </c>
    </row>
    <row r="19" s="104">
      <c r="A19" s="102" t="inlineStr">
        <is>
          <t>1.2 draft</t>
        </is>
      </c>
      <c r="B19" s="102" t="inlineStr">
        <is>
          <t>20 September 2026</t>
        </is>
      </c>
      <c r="C19" s="102" t="inlineStr">
        <is>
          <t>Lean operating model: clarified governance-led completion, source evidence by reference, and no duplicate Service Owner paperwork; decision routing remains with the effective delegated authority.</t>
        </is>
      </c>
      <c r="D19" s="102" t="inlineStr">
        <is>
          <t>AI Governance Lead</t>
        </is>
      </c>
    </row>
    <row r="20" s="104">
      <c r="A20" s="102" t="inlineStr">
        <is>
          <t>1.3 draft</t>
        </is>
      </c>
      <c r="B20" s="102" t="inlineStr">
        <is>
          <t>Not recorded in source</t>
        </is>
      </c>
      <c r="C20" s="102" t="inlineStr">
        <is>
          <t>Not recorded in source (placeholder added during QA remediation so the history is continuous).</t>
        </is>
      </c>
      <c r="D20" s="102" t="inlineStr">
        <is>
          <t>Not recorded in source</t>
        </is>
      </c>
    </row>
    <row r="21" s="104">
      <c r="A21" s="102" t="inlineStr">
        <is>
          <t>1.4 draft</t>
        </is>
      </c>
      <c r="B21" s="102" t="inlineStr">
        <is>
          <t>Not recorded in source</t>
        </is>
      </c>
      <c r="C21" s="102" t="inlineStr">
        <is>
          <t>Not recorded in source (placeholder added during QA remediation so the history is continuous).</t>
        </is>
      </c>
      <c r="D21" s="102" t="inlineStr">
        <is>
          <t>Not recorded in source</t>
        </is>
      </c>
    </row>
    <row r="22" s="104">
      <c r="A22" s="102" t="inlineStr">
        <is>
          <t>1.5 draft</t>
        </is>
      </c>
      <c r="B22" s="102" t="inlineStr">
        <is>
          <t>23 September 2026</t>
        </is>
      </c>
      <c r="C22" s="102" t="inlineStr">
        <is>
          <t>Agentic classification and triage revision: Is Agent includes human-approved actions. Export fields and scoring unchanged.</t>
        </is>
      </c>
      <c r="D22" s="102" t="inlineStr">
        <is>
          <t>AI Governance Lead</t>
        </is>
      </c>
    </row>
    <row r="23" s="104">
      <c r="A23" s="102" t="inlineStr">
        <is>
          <t>1.6 draft</t>
        </is>
      </c>
      <c r="B23" s="102" t="inlineStr">
        <is>
          <t>28 September 2026</t>
        </is>
      </c>
      <c r="C23" s="102" t="inlineStr">
        <is>
          <t>Repair score inputs and formulas; align tier bands, evidence gate, scope vocabulary, validation and warnings.</t>
        </is>
      </c>
      <c r="D23" s="102" t="inlineStr">
        <is>
          <t>AI Governance Lead</t>
        </is>
      </c>
    </row>
    <row r="24" s="104">
      <c r="A24" s="102" t="inlineStr">
        <is>
          <t>1.7 draft</t>
        </is>
      </c>
      <c r="B24" s="102" t="inlineStr">
        <is>
          <t>29 September 2026</t>
        </is>
      </c>
      <c r="C24" s="102" t="inlineStr">
        <is>
          <t>QA remediation — applied findings QA-208, QA-215, QA-218, QA-235, QA-240, QA-247, QA-251, QA-263, QA-264, QA-273, QA-279, QA-280, QA-284, QA-290, QA-291 (see QA change log).</t>
        </is>
      </c>
      <c r="D24" s="102" t="inlineStr">
        <is>
          <t>AI Governance Lead</t>
        </is>
      </c>
    </row>
    <row r="25" s="104">
      <c r="A25" s="102" t="inlineStr">
        <is>
          <t>1.8 draft</t>
        </is>
      </c>
      <c r="B25" s="102" t="inlineStr">
        <is>
          <t>30 September 2026</t>
        </is>
      </c>
      <c r="C25" s="102" t="inlineStr">
        <is>
          <t>v3.8: impact floor added to the effective governing tier (any confirmed Impact 5 → at least Medium; flag “Impact floor (Severe impact) → Medium” in E28 and the tier floor rationale); assurance intensity now follows the governing tier and triggers only (AGPI priority sets urgency, not depth or route); Step 6 priority vs governing tier safeguard line (row 100). Final tidy-up: D66 “Can-it-act gate” → “can it act?” screen (“gate” is reserved for Gate 0 to Gate 8). Proposed — for Council confirmation.</t>
        </is>
      </c>
      <c r="D25" s="102" t="inlineStr">
        <is>
          <t>AI Governance Lead</t>
        </is>
      </c>
    </row>
    <row r="26" s="104">
      <c r="A26" s="102" t="inlineStr">
        <is>
          <t>1.9 draft</t>
        </is>
      </c>
      <c r="B26" s="102" t="inlineStr">
        <is>
          <t>30 September 2026</t>
        </is>
      </c>
      <c r="C26" s="102" t="inlineStr">
        <is>
          <t>v3.9.1: the agentic floor (row 82) now applies the T2 minimum pathway: T2 bounded agent (or an agentic pathway at Medium) sets a governing tier of at least Medium, as in the Gate Map (AIG-DEC-01 v1.6, Agentic pathway), AIG-AGT-02, AIG-AGT-03 §6 and the Playbook (Appendix F.2). C82 returns Medium, the governing tier (C43) ranks it, the tier floor rationale (C44) names it and the D82 note gives the full mapping (T0 and T1 none; T2 Medium; T3 High; T4 High, Critical through the C56 floor without evidenced per-action review; T5 Critical). Earlier versions applied T3 to T5 only. Proposed — for Council confirmation.</t>
        </is>
      </c>
      <c r="D26" s="102" t="inlineStr">
        <is>
          <t>AI Governance Lead</t>
        </is>
      </c>
    </row>
    <row r="27" s="104">
      <c r="A27" s="102" t="inlineStr">
        <is>
          <t>1.10 draft</t>
        </is>
      </c>
      <c r="B27" s="102" t="inlineStr">
        <is>
          <t>30 September 2026</t>
        </is>
      </c>
      <c r="C27" s="102" t="inlineStr">
        <is>
          <t>v3.9.2: the agentic floor (C82) now reads the agency tier token in C73 (T0–T5) by exact match (T0–T1 none; T2 Medium; T3–T4 High; T5 Critical) and uses the controlled pathway wording in C74 only where no tier is recorded, by its leading label or “minimum pathway” phrase. It no longer searches C74 for the word “Critical”, so the controlled T4 wording “High (Critical where actions run without evidenced per-action human review)” no longer raises a false AGENTIC TRIGGER CONFLICT; T4 still reaches Critical through the C56 trigger floor (scenario finding W-09; 1,944-case grid re-run). Triage Import E20/E21 notes: the AIG-ASS-01 §3.9.6 trigger floor is a rule, not an uplift (W-05). Proposed — for Council confirmation.</t>
        </is>
      </c>
      <c r="D27" s="102" t="inlineStr">
        <is>
          <t>AI Governance Lead</t>
        </is>
      </c>
    </row>
    <row r="28" s="104">
      <c r="A28" s="238" t="inlineStr">
        <is>
          <t>Classification: OFFICIAL. Approval, effective and review dates must be completed by the document owner following formal governance approval.</t>
        </is>
      </c>
      <c r="B28" s="208" t="n"/>
      <c r="C28" s="208" t="n"/>
      <c r="D28" s="208" t="n"/>
      <c r="E28" s="208" t="n"/>
      <c r="F28" s="208" t="n"/>
    </row>
  </sheetData>
  <mergeCells count="4">
    <mergeCell ref="A1:F1"/>
    <mergeCell ref="A2:F2"/>
    <mergeCell ref="A15:F15"/>
    <mergeCell ref="A28:F2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34" customWidth="1" style="104" min="1" max="1"/>
    <col width="28" customWidth="1" style="104" min="2" max="2"/>
    <col width="28" customWidth="1" style="104" min="3" max="3"/>
    <col width="26" customWidth="1" style="104" min="4" max="4"/>
    <col width="54" customWidth="1" style="104" min="5" max="5"/>
  </cols>
  <sheetData>
    <row r="1" ht="28" customHeight="1" s="104">
      <c r="A1" s="207" t="inlineStr">
        <is>
          <t>AIG-ASS-02 — Triage Import / Pre-population Map</t>
        </is>
      </c>
      <c r="B1" s="208" t="n"/>
      <c r="C1" s="208" t="n"/>
      <c r="D1" s="208" t="n"/>
      <c r="E1" s="208" t="n"/>
    </row>
    <row r="2" ht="44" customHeight="1" s="104">
      <c r="A2" s="209" t="inlineStr">
        <is>
          <t>Paste / generate one canonical triage record here. For each use-specific assessment, copy the exact AIR-ID, UC-ID, priority and facts from the corresponding UC-scoped AIG-ASS-01 triage; this import is not synchronised.</t>
        </is>
      </c>
      <c r="B2" s="208" t="n"/>
      <c r="C2" s="208" t="n"/>
      <c r="D2" s="208" t="n"/>
      <c r="E2" s="208" t="n"/>
    </row>
    <row r="4">
      <c r="A4" s="134" t="inlineStr">
        <is>
          <t>Canonical field</t>
        </is>
      </c>
      <c r="B4" s="134" t="inlineStr">
        <is>
          <t>Value</t>
        </is>
      </c>
      <c r="C4" s="134" t="inlineStr">
        <is>
          <t>Capture status</t>
        </is>
      </c>
      <c r="D4" s="134" t="inlineStr">
        <is>
          <t>Used in AIG-ASS-02</t>
        </is>
      </c>
      <c r="E4" s="134" t="inlineStr">
        <is>
          <t>Implementation note</t>
        </is>
      </c>
    </row>
    <row r="5">
      <c r="A5" s="237" t="inlineStr">
        <is>
          <t>AIR-ID</t>
        </is>
      </c>
      <c r="B5" s="147" t="str"/>
      <c r="C5" s="142" t="inlineStr">
        <is>
          <t>AUTO — current web triage</t>
        </is>
      </c>
      <c r="D5" s="237" t="inlineStr">
        <is>
          <t>Identity</t>
        </is>
      </c>
      <c r="E5" s="237" t="inlineStr">
        <is>
          <t>Direct profile field.</t>
        </is>
      </c>
    </row>
    <row r="6">
      <c r="A6" s="237" t="inlineStr">
        <is>
          <t>System / Model Name</t>
        </is>
      </c>
      <c r="B6" s="147" t="str"/>
      <c r="C6" s="142" t="inlineStr">
        <is>
          <t>AUTO — current web triage</t>
        </is>
      </c>
      <c r="D6" s="237" t="inlineStr">
        <is>
          <t>Identity</t>
        </is>
      </c>
      <c r="E6" s="237" t="inlineStr">
        <is>
          <t>Direct profile field.</t>
        </is>
      </c>
    </row>
    <row r="7">
      <c r="A7" s="237" t="inlineStr">
        <is>
          <t>Purpose / Description</t>
        </is>
      </c>
      <c r="B7" s="147" t="str"/>
      <c r="C7" s="142" t="inlineStr">
        <is>
          <t>AUTO — current web triage</t>
        </is>
      </c>
      <c r="D7" s="237" t="inlineStr">
        <is>
          <t>Identity</t>
        </is>
      </c>
      <c r="E7" s="237" t="inlineStr">
        <is>
          <t>Direct profile field.</t>
        </is>
      </c>
    </row>
    <row r="8">
      <c r="A8" s="237" t="inlineStr">
        <is>
          <t>Service Area</t>
        </is>
      </c>
      <c r="B8" s="147" t="str"/>
      <c r="C8" s="142" t="inlineStr">
        <is>
          <t>AUTO — current web triage</t>
        </is>
      </c>
      <c r="D8" s="237" t="inlineStr">
        <is>
          <t>Identity</t>
        </is>
      </c>
      <c r="E8" s="237" t="inlineStr">
        <is>
          <t>Direct profile field.</t>
        </is>
      </c>
    </row>
    <row r="9">
      <c r="A9" s="237" t="inlineStr">
        <is>
          <t>Service Owner</t>
        </is>
      </c>
      <c r="B9" s="147" t="str"/>
      <c r="C9" s="142" t="inlineStr">
        <is>
          <t>AUTO — current web triage</t>
        </is>
      </c>
      <c r="D9" s="237" t="inlineStr">
        <is>
          <t>Identity</t>
        </is>
      </c>
      <c r="E9" s="237" t="inlineStr">
        <is>
          <t>Direct profile field.</t>
        </is>
      </c>
    </row>
    <row r="10">
      <c r="A10" s="237" t="inlineStr">
        <is>
          <t>Supplier / Developer</t>
        </is>
      </c>
      <c r="B10" s="147" t="str"/>
      <c r="C10" s="142" t="inlineStr">
        <is>
          <t>AUTO — current web triage</t>
        </is>
      </c>
      <c r="D10" s="237" t="inlineStr">
        <is>
          <t>Context</t>
        </is>
      </c>
      <c r="E10" s="237" t="inlineStr">
        <is>
          <t>Direct profile field; retained for traceability.</t>
        </is>
      </c>
    </row>
    <row r="11">
      <c r="A11" s="237" t="inlineStr">
        <is>
          <t>Source</t>
        </is>
      </c>
      <c r="B11" s="147" t="str"/>
      <c r="C11" s="142" t="inlineStr">
        <is>
          <t>AUTO — current web triage</t>
        </is>
      </c>
      <c r="D11" s="237" t="inlineStr">
        <is>
          <t>Context</t>
        </is>
      </c>
      <c r="E11" s="237" t="inlineStr">
        <is>
          <t>Direct profile field.</t>
        </is>
      </c>
    </row>
    <row r="12">
      <c r="A12" s="237" t="inlineStr">
        <is>
          <t>AI Capability</t>
        </is>
      </c>
      <c r="B12" s="147" t="str"/>
      <c r="C12" s="142" t="inlineStr">
        <is>
          <t>AUTO — current web triage</t>
        </is>
      </c>
      <c r="D12" s="237" t="inlineStr">
        <is>
          <t>Context / agentic gate</t>
        </is>
      </c>
      <c r="E12" s="237" t="inlineStr">
        <is>
          <t>Direct profile field.</t>
        </is>
      </c>
    </row>
    <row r="13">
      <c r="A13" s="237" t="inlineStr">
        <is>
          <t>Automated Action Authority</t>
        </is>
      </c>
      <c r="B13" s="147" t="str"/>
      <c r="C13" s="142" t="inlineStr">
        <is>
          <t>AUTO — current web triage</t>
        </is>
      </c>
      <c r="D13" s="237" t="inlineStr">
        <is>
          <t>Agentic context</t>
        </is>
      </c>
      <c r="E13" s="237" t="inlineStr">
        <is>
          <t>Direct profile field.</t>
        </is>
      </c>
    </row>
    <row r="14">
      <c r="A14" s="237" t="inlineStr">
        <is>
          <t>Systems / Tools Accessed</t>
        </is>
      </c>
      <c r="B14" s="147" t="str"/>
      <c r="C14" s="142" t="inlineStr">
        <is>
          <t>AUTO — current web triage</t>
        </is>
      </c>
      <c r="D14" s="237" t="inlineStr">
        <is>
          <t>Agentic context</t>
        </is>
      </c>
      <c r="E14" s="237" t="inlineStr">
        <is>
          <t>Direct profile field.</t>
        </is>
      </c>
    </row>
    <row r="15">
      <c r="A15" s="237" t="inlineStr">
        <is>
          <t>Lifecycle Stage</t>
        </is>
      </c>
      <c r="B15" s="147" t="str"/>
      <c r="C15" s="142" t="inlineStr">
        <is>
          <t>AUTO — current web triage</t>
        </is>
      </c>
      <c r="D15" s="237" t="inlineStr">
        <is>
          <t>Context</t>
        </is>
      </c>
      <c r="E15" s="237" t="inlineStr">
        <is>
          <t>Direct profile field.</t>
        </is>
      </c>
    </row>
    <row r="16">
      <c r="A16" s="237" t="inlineStr">
        <is>
          <t>Personal / Special Category Data</t>
        </is>
      </c>
      <c r="B16" s="147" t="str"/>
      <c r="C16" s="142" t="inlineStr">
        <is>
          <t>AUTO — current web triage</t>
        </is>
      </c>
      <c r="D16" s="237" t="inlineStr">
        <is>
          <t>Escalation context</t>
        </is>
      </c>
      <c r="E16" s="237" t="inlineStr">
        <is>
          <t>Direct profile field.</t>
        </is>
      </c>
    </row>
    <row r="17">
      <c r="A17" s="237" t="inlineStr">
        <is>
          <t>Triage Date</t>
        </is>
      </c>
      <c r="B17" s="147" t="str"/>
      <c r="C17" s="142" t="inlineStr">
        <is>
          <t>DERIVED — current web triage</t>
        </is>
      </c>
      <c r="D17" s="237" t="inlineStr">
        <is>
          <t>Identity</t>
        </is>
      </c>
      <c r="E17" s="237" t="inlineStr">
        <is>
          <t>Generated at export.</t>
        </is>
      </c>
    </row>
    <row r="18">
      <c r="A18" s="237" t="inlineStr">
        <is>
          <t>AGPI Score (0-100)</t>
        </is>
      </c>
      <c r="B18" s="147" t="str"/>
      <c r="C18" s="142" t="inlineStr">
        <is>
          <t>DERIVED — current web triage</t>
        </is>
      </c>
      <c r="D18" s="237" t="inlineStr">
        <is>
          <t>Triage context</t>
        </is>
      </c>
      <c r="E18" s="237" t="inlineStr">
        <is>
          <t>Calculated from the six AGPI dimensions.</t>
        </is>
      </c>
    </row>
    <row r="19">
      <c r="A19" s="237" t="inlineStr">
        <is>
          <t>Raw AGPI Priority</t>
        </is>
      </c>
      <c r="B19" s="147" t="str"/>
      <c r="C19" s="142" t="inlineStr">
        <is>
          <t>DERIVED — current web triage</t>
        </is>
      </c>
      <c r="D19" s="237" t="inlineStr">
        <is>
          <t>Triage context</t>
        </is>
      </c>
      <c r="E19" s="237" t="inlineStr">
        <is>
          <t>Current results.priority.label.</t>
        </is>
      </c>
    </row>
    <row r="20">
      <c r="A20" s="237" t="inlineStr">
        <is>
          <t>Authorised Governance Priority Uplift</t>
        </is>
      </c>
      <c r="B20" s="147" t="str"/>
      <c r="C20" s="143" t="inlineStr">
        <is>
          <t>MANUAL / GOVERNANCE — optional</t>
        </is>
      </c>
      <c r="D20" s="237" t="inlineStr">
        <is>
          <t>Triage context</t>
        </is>
      </c>
      <c r="E20" s="237" t="inlineStr">
        <is>
          <t>Optional formally authorised uplift to a stricter AGPI governance priority. Do not populate this from mandatory risk triggers or the risk-tier floor. The §3.9.6 trigger floor (a use meeting a §4.4.6 trigger is at least Priority 4 – Routine) is a rule already applied in the AIG-ASS-01 priority (B17, row 24), not an uplift, and needs no override record.</t>
        </is>
      </c>
    </row>
    <row r="21">
      <c r="A21" s="237" t="inlineStr">
        <is>
          <t>Effective Governance Priority</t>
        </is>
      </c>
      <c r="B21" s="147" t="str"/>
      <c r="C21" s="143" t="inlineStr">
        <is>
          <t>DERIVED — raw AGPI + authorised uplift</t>
        </is>
      </c>
      <c r="D21" s="237" t="inlineStr">
        <is>
          <t>Triage context</t>
        </is>
      </c>
      <c r="E21" s="237" t="inlineStr">
        <is>
          <t>Stricter of Raw AGPI Priority (which already includes the AIG-ASS-01 priority and trigger floors) and any authorised governance-priority uplift only. Risk classification remains separate in Mandatory Risk Floor / Effective Governance Tier.</t>
        </is>
      </c>
    </row>
    <row r="22">
      <c r="A22" s="237" t="inlineStr">
        <is>
          <t>Resident Impact</t>
        </is>
      </c>
      <c r="B22" s="147" t="str"/>
      <c r="C22" s="142" t="inlineStr">
        <is>
          <t>AUTO — current web triage</t>
        </is>
      </c>
      <c r="D22" s="237" t="inlineStr">
        <is>
          <t>Step 1</t>
        </is>
      </c>
      <c r="E22" s="237" t="inlineStr">
        <is>
          <t>Impact score 1–5.</t>
        </is>
      </c>
    </row>
    <row r="23">
      <c r="A23" s="237" t="inlineStr">
        <is>
          <t>Legal and Regulatory Impact</t>
        </is>
      </c>
      <c r="B23" s="147" t="str"/>
      <c r="C23" s="142" t="inlineStr">
        <is>
          <t>AUTO — current web triage</t>
        </is>
      </c>
      <c r="D23" s="237" t="inlineStr">
        <is>
          <t>Step 1</t>
        </is>
      </c>
      <c r="E23" s="237" t="inlineStr">
        <is>
          <t>Impact score 1–5.</t>
        </is>
      </c>
    </row>
    <row r="24">
      <c r="A24" s="237" t="inlineStr">
        <is>
          <t>Reputational Impact</t>
        </is>
      </c>
      <c r="B24" s="147" t="str"/>
      <c r="C24" s="142" t="inlineStr">
        <is>
          <t>AUTO — current web triage</t>
        </is>
      </c>
      <c r="D24" s="237" t="inlineStr">
        <is>
          <t>Step 1</t>
        </is>
      </c>
      <c r="E24" s="237" t="inlineStr">
        <is>
          <t>Impact score 1–5.</t>
        </is>
      </c>
    </row>
    <row r="25">
      <c r="A25" s="237" t="inlineStr">
        <is>
          <t>Operational Impact</t>
        </is>
      </c>
      <c r="B25" s="147" t="str"/>
      <c r="C25" s="142" t="inlineStr">
        <is>
          <t>AUTO — current web triage</t>
        </is>
      </c>
      <c r="D25" s="237" t="inlineStr">
        <is>
          <t>Step 1</t>
        </is>
      </c>
      <c r="E25" s="237" t="inlineStr">
        <is>
          <t>Impact score 1–5.</t>
        </is>
      </c>
    </row>
    <row r="26">
      <c r="A26" s="237" t="inlineStr">
        <is>
          <t>Financial Impact</t>
        </is>
      </c>
      <c r="B26" s="147" t="str"/>
      <c r="C26" s="142" t="inlineStr">
        <is>
          <t>AUTO — current web triage</t>
        </is>
      </c>
      <c r="D26" s="237" t="inlineStr">
        <is>
          <t>Step 1</t>
        </is>
      </c>
      <c r="E26" s="237" t="inlineStr">
        <is>
          <t>Impact score 1–5.</t>
        </is>
      </c>
    </row>
    <row r="27">
      <c r="A27" s="237" t="inlineStr">
        <is>
          <t>Likelihood</t>
        </is>
      </c>
      <c r="B27" s="147" t="str"/>
      <c r="C27" s="142" t="inlineStr">
        <is>
          <t>AUTO — current web triage</t>
        </is>
      </c>
      <c r="D27" s="237" t="inlineStr">
        <is>
          <t>Step 2</t>
        </is>
      </c>
      <c r="E27" s="237" t="inlineStr">
        <is>
          <t>Risk likelihood score 1–5.</t>
        </is>
      </c>
    </row>
    <row r="28">
      <c r="A28" s="237" t="inlineStr">
        <is>
          <t>Control Effectiveness</t>
        </is>
      </c>
      <c r="B28" s="147" t="str"/>
      <c r="C28" s="142" t="inlineStr">
        <is>
          <t>AUTO — current web triage</t>
        </is>
      </c>
      <c r="D28" s="237" t="inlineStr">
        <is>
          <t>Step 2</t>
        </is>
      </c>
      <c r="E28" s="237" t="inlineStr">
        <is>
          <t>1 Very Strong to 5 Ineffective.</t>
        </is>
      </c>
    </row>
    <row r="29">
      <c r="A29" s="237" t="inlineStr">
        <is>
          <t>Impact Score</t>
        </is>
      </c>
      <c r="B29" s="147" t="str"/>
      <c r="C29" s="142" t="inlineStr">
        <is>
          <t>DERIVED — current web triage</t>
        </is>
      </c>
      <c r="D29" s="237" t="inlineStr">
        <is>
          <t>Step 3</t>
        </is>
      </c>
      <c r="E29" s="237" t="inlineStr">
        <is>
          <t>Maximum of the five impact dimensions.</t>
        </is>
      </c>
    </row>
    <row r="30">
      <c r="A30" s="237" t="inlineStr">
        <is>
          <t>Inherent Risk Score</t>
        </is>
      </c>
      <c r="B30" s="147" t="str"/>
      <c r="C30" s="142" t="inlineStr">
        <is>
          <t>DERIVED — current web triage</t>
        </is>
      </c>
      <c r="D30" s="237" t="inlineStr">
        <is>
          <t>Step 3</t>
        </is>
      </c>
      <c r="E30" s="237" t="inlineStr">
        <is>
          <t>Likelihood × impact.</t>
        </is>
      </c>
    </row>
    <row r="31">
      <c r="A31" s="237" t="inlineStr">
        <is>
          <t>Inherent Risk Tier</t>
        </is>
      </c>
      <c r="B31" s="147" t="str"/>
      <c r="C31" s="142" t="inlineStr">
        <is>
          <t>DERIVED — current web triage</t>
        </is>
      </c>
      <c r="D31" s="237" t="inlineStr">
        <is>
          <t>Step 3</t>
        </is>
      </c>
      <c r="E31" s="237" t="inlineStr">
        <is>
          <t>Tier from inherent score.</t>
        </is>
      </c>
    </row>
    <row r="32">
      <c r="A32" s="237" t="inlineStr">
        <is>
          <t>Residual Risk Score</t>
        </is>
      </c>
      <c r="B32" s="147" t="str"/>
      <c r="C32" s="142" t="inlineStr">
        <is>
          <t>DERIVED — current web triage</t>
        </is>
      </c>
      <c r="D32" s="237" t="inlineStr">
        <is>
          <t>Step 3</t>
        </is>
      </c>
      <c r="E32" s="237" t="inlineStr">
        <is>
          <t>Inherent × control factor.</t>
        </is>
      </c>
    </row>
    <row r="33">
      <c r="A33" s="237" t="inlineStr">
        <is>
          <t>Residual Risk Tier</t>
        </is>
      </c>
      <c r="B33" s="147" t="str"/>
      <c r="C33" s="142" t="inlineStr">
        <is>
          <t>DERIVED — current web triage</t>
        </is>
      </c>
      <c r="D33" s="237" t="inlineStr">
        <is>
          <t>Step 3</t>
        </is>
      </c>
      <c r="E33" s="237" t="inlineStr">
        <is>
          <t>Tier from residual score.</t>
        </is>
      </c>
    </row>
    <row r="34">
      <c r="A34" s="237" t="inlineStr">
        <is>
          <t>Trigger — Special Category Data</t>
        </is>
      </c>
      <c r="B34" s="147" t="str"/>
      <c r="C34" s="142" t="inlineStr">
        <is>
          <t>AUTO — current web triage</t>
        </is>
      </c>
      <c r="D34" s="237" t="inlineStr">
        <is>
          <t>Step 4</t>
        </is>
      </c>
      <c r="E34" s="237" t="inlineStr">
        <is>
          <t>Yes/No.</t>
        </is>
      </c>
    </row>
    <row r="35">
      <c r="A35" s="237" t="inlineStr">
        <is>
          <t>Trigger — Vulnerable Residents</t>
        </is>
      </c>
      <c r="B35" s="147" t="str"/>
      <c r="C35" s="142" t="inlineStr">
        <is>
          <t>AUTO — current web triage</t>
        </is>
      </c>
      <c r="D35" s="237" t="inlineStr">
        <is>
          <t>Step 4</t>
        </is>
      </c>
      <c r="E35" s="237" t="inlineStr">
        <is>
          <t>Yes/No.</t>
        </is>
      </c>
    </row>
    <row r="36">
      <c r="A36" s="237" t="inlineStr">
        <is>
          <t>Trigger — Housing/Care/Homelessness</t>
        </is>
      </c>
      <c r="B36" s="147" t="str"/>
      <c r="C36" s="142" t="inlineStr">
        <is>
          <t>AUTO — current web triage</t>
        </is>
      </c>
      <c r="D36" s="237" t="inlineStr">
        <is>
          <t>Step 4</t>
        </is>
      </c>
      <c r="E36" s="237" t="inlineStr">
        <is>
          <t>Yes/No.</t>
        </is>
      </c>
    </row>
    <row r="37">
      <c r="A37" s="237" t="inlineStr">
        <is>
          <t>Trigger — Novel Deployment</t>
        </is>
      </c>
      <c r="B37" s="147" t="str"/>
      <c r="C37" s="142" t="inlineStr">
        <is>
          <t>AUTO — current web triage</t>
        </is>
      </c>
      <c r="D37" s="237" t="inlineStr">
        <is>
          <t>Step 4</t>
        </is>
      </c>
      <c r="E37" s="237" t="inlineStr">
        <is>
          <t>Yes/No.</t>
        </is>
      </c>
    </row>
    <row r="38">
      <c r="A38" s="237" t="inlineStr">
        <is>
          <t>Trigger — Statutory Decisions</t>
        </is>
      </c>
      <c r="B38" s="147" t="str"/>
      <c r="C38" s="142" t="inlineStr">
        <is>
          <t>AUTO — current web triage</t>
        </is>
      </c>
      <c r="D38" s="237" t="inlineStr">
        <is>
          <t>Step 4</t>
        </is>
      </c>
      <c r="E38" s="237" t="inlineStr">
        <is>
          <t>Yes/No.</t>
        </is>
      </c>
    </row>
    <row r="39">
      <c r="A39" s="237" t="inlineStr">
        <is>
          <t>Trigger — Material Change</t>
        </is>
      </c>
      <c r="B39" s="147" t="str"/>
      <c r="C39" s="142" t="inlineStr">
        <is>
          <t>AUTO — current web triage</t>
        </is>
      </c>
      <c r="D39" s="237" t="inlineStr">
        <is>
          <t>Step 4</t>
        </is>
      </c>
      <c r="E39" s="237" t="inlineStr">
        <is>
          <t>Yes/No.</t>
        </is>
      </c>
    </row>
    <row r="40">
      <c r="A40" s="237" t="inlineStr">
        <is>
          <t>Trigger — Agentic Autonomous Action</t>
        </is>
      </c>
      <c r="B40" s="147" t="str"/>
      <c r="C40" s="142" t="inlineStr">
        <is>
          <t>AUTO — current web triage</t>
        </is>
      </c>
      <c r="D40" s="237" t="inlineStr">
        <is>
          <t>Step 4</t>
        </is>
      </c>
      <c r="E40" s="237" t="inlineStr">
        <is>
          <t>Yes/No.</t>
        </is>
      </c>
    </row>
    <row r="41">
      <c r="A41" s="237" t="inlineStr">
        <is>
          <t>Mandatory Risk Floor</t>
        </is>
      </c>
      <c r="B41" s="147" t="str"/>
      <c r="C41" s="142" t="inlineStr">
        <is>
          <t>DERIVED — current web triage</t>
        </is>
      </c>
      <c r="D41" s="237" t="inlineStr">
        <is>
          <t>Step 3 / 4</t>
        </is>
      </c>
      <c r="E41" s="237" t="inlineStr">
        <is>
          <t>Critical for statutory or agentic trigger; High for any other trigger; otherwise Low.</t>
        </is>
      </c>
    </row>
    <row r="42">
      <c r="A42" s="237" t="inlineStr">
        <is>
          <t>Effective Governance Tier</t>
        </is>
      </c>
      <c r="B42" s="147" t="str"/>
      <c r="C42" s="142" t="inlineStr">
        <is>
          <t>DERIVED — current web triage</t>
        </is>
      </c>
      <c r="D42" s="237" t="inlineStr">
        <is>
          <t>Step 3 / 4</t>
        </is>
      </c>
      <c r="E42" s="237" t="inlineStr">
        <is>
          <t>Pre-control tier from web triage: highest of inherent tier, residual tier and mandatory risk floor (no control-based reduction). The confirmed tier in Risk Assessment C43 applies the Playbook §4.4.3 evidenced-control reduction, the impact floor (any confirmed Impact 5 → at least Medium) and the agentic floor.</t>
        </is>
      </c>
    </row>
    <row r="43">
      <c r="A43" s="237" t="inlineStr">
        <is>
          <t>Tier Floor Reason</t>
        </is>
      </c>
      <c r="B43" s="147" t="str"/>
      <c r="C43" s="142" t="inlineStr">
        <is>
          <t>DERIVED — current web triage</t>
        </is>
      </c>
      <c r="D43" s="237" t="inlineStr">
        <is>
          <t>Step 3</t>
        </is>
      </c>
      <c r="E43" s="237" t="inlineStr">
        <is>
          <t>Explains inherent and/or mandatory uplift.</t>
        </is>
      </c>
    </row>
    <row r="44">
      <c r="A44" s="237" t="inlineStr">
        <is>
          <t>Assurance Intensity</t>
        </is>
      </c>
      <c r="B44" s="147" t="str"/>
      <c r="C44" s="142" t="inlineStr">
        <is>
          <t>DERIVED — current web triage</t>
        </is>
      </c>
      <c r="D44" s="237" t="inlineStr">
        <is>
          <t>Step 3</t>
        </is>
      </c>
      <c r="E44" s="237" t="inlineStr">
        <is>
          <t>Comprehensive / Enhanced / Standard / Proportionate. Risk Assessment C45 derives it from the governing tier and triggers only; the AGPI priority does not raise assurance depth (v3.8, T1).</t>
        </is>
      </c>
    </row>
    <row r="45">
      <c r="A45" s="237" t="inlineStr">
        <is>
          <t>Governance Status</t>
        </is>
      </c>
      <c r="B45" s="147" t="str"/>
      <c r="C45" s="142" t="inlineStr">
        <is>
          <t>DERIVED — current web triage</t>
        </is>
      </c>
      <c r="D45" s="237" t="inlineStr">
        <is>
          <t>Assessment status</t>
        </is>
      </c>
      <c r="E45" s="237" t="inlineStr">
        <is>
          <t>Triage complete; formal approvals pending.</t>
        </is>
      </c>
    </row>
    <row r="46" ht="38" customHeight="1" s="104">
      <c r="A46" s="237" t="inlineStr">
        <is>
          <t>Is Agent</t>
        </is>
      </c>
      <c r="B46" s="147" t="str"/>
      <c r="C46" s="142" t="inlineStr">
        <is>
          <t>DERIVED — current web triage</t>
        </is>
      </c>
      <c r="D46" s="237" t="inlineStr">
        <is>
          <t>Step 5</t>
        </is>
      </c>
      <c r="E46" s="237" t="inlineStr">
        <is>
          <t>Yes if it can act, including when a human approves each action, or its capability is Agentic AI.</t>
        </is>
      </c>
    </row>
    <row r="47">
      <c r="A47" s="237" t="inlineStr">
        <is>
          <t>Agentic Consequence</t>
        </is>
      </c>
      <c r="B47" s="147" t="str"/>
      <c r="C47" s="142" t="inlineStr">
        <is>
          <t>AUTO — current Agentic Triage</t>
        </is>
      </c>
      <c r="D47" s="237" t="inlineStr">
        <is>
          <t>Step 5</t>
        </is>
      </c>
      <c r="E47" s="237" t="inlineStr">
        <is>
          <t>0–5.</t>
        </is>
      </c>
    </row>
    <row r="48">
      <c r="A48" s="237" t="inlineStr">
        <is>
          <t>Agentic Autonomy</t>
        </is>
      </c>
      <c r="B48" s="147" t="str"/>
      <c r="C48" s="142" t="inlineStr">
        <is>
          <t>AUTO — current Agentic Triage</t>
        </is>
      </c>
      <c r="D48" s="237" t="inlineStr">
        <is>
          <t>Step 5</t>
        </is>
      </c>
      <c r="E48" s="237" t="inlineStr">
        <is>
          <t>0–5.</t>
        </is>
      </c>
    </row>
    <row r="49">
      <c r="A49" s="237" t="inlineStr">
        <is>
          <t>Agentic Authority</t>
        </is>
      </c>
      <c r="B49" s="147" t="str"/>
      <c r="C49" s="142" t="inlineStr">
        <is>
          <t>AUTO — current Agentic Triage</t>
        </is>
      </c>
      <c r="D49" s="237" t="inlineStr">
        <is>
          <t>Step 5</t>
        </is>
      </c>
      <c r="E49" s="237" t="inlineStr">
        <is>
          <t>0–5.</t>
        </is>
      </c>
    </row>
    <row r="50">
      <c r="A50" s="237" t="inlineStr">
        <is>
          <t>Agentic Reach</t>
        </is>
      </c>
      <c r="B50" s="147" t="str"/>
      <c r="C50" s="142" t="inlineStr">
        <is>
          <t>AUTO — current Agentic Triage</t>
        </is>
      </c>
      <c r="D50" s="237" t="inlineStr">
        <is>
          <t>Step 5</t>
        </is>
      </c>
      <c r="E50" s="237" t="inlineStr">
        <is>
          <t>0–5.</t>
        </is>
      </c>
    </row>
    <row r="51">
      <c r="A51" s="237" t="inlineStr">
        <is>
          <t>Agentic Controllability</t>
        </is>
      </c>
      <c r="B51" s="147" t="str"/>
      <c r="C51" s="142" t="inlineStr">
        <is>
          <t>AUTO — current Agentic Triage</t>
        </is>
      </c>
      <c r="D51" s="237" t="inlineStr">
        <is>
          <t>Step 5</t>
        </is>
      </c>
      <c r="E51" s="237" t="inlineStr">
        <is>
          <t>0–5 reversed.</t>
        </is>
      </c>
    </row>
    <row r="52">
      <c r="A52" s="237" t="inlineStr">
        <is>
          <t>Autonomy Level</t>
        </is>
      </c>
      <c r="B52" s="147" t="str"/>
      <c r="C52" s="142" t="inlineStr">
        <is>
          <t>DERIVED — current Agentic Triage</t>
        </is>
      </c>
      <c r="D52" s="237" t="inlineStr">
        <is>
          <t>Step 5</t>
        </is>
      </c>
      <c r="E52" s="237" t="inlineStr">
        <is>
          <t>A0–A5 label.</t>
        </is>
      </c>
    </row>
    <row r="53">
      <c r="A53" s="237" t="inlineStr">
        <is>
          <t>Agency Tier</t>
        </is>
      </c>
      <c r="B53" s="147" t="str"/>
      <c r="C53" s="142" t="inlineStr">
        <is>
          <t>DERIVED — current Agentic Triage</t>
        </is>
      </c>
      <c r="D53" s="237" t="inlineStr">
        <is>
          <t>Step 5</t>
        </is>
      </c>
      <c r="E53" s="237" t="inlineStr">
        <is>
          <t>T0–T5 label.</t>
        </is>
      </c>
    </row>
    <row r="54">
      <c r="A54" s="237" t="inlineStr">
        <is>
          <t>Agentic Pathway</t>
        </is>
      </c>
      <c r="B54" s="147" t="str"/>
      <c r="C54" s="142" t="inlineStr">
        <is>
          <t>DERIVED — current Agentic Triage</t>
        </is>
      </c>
      <c r="D54" s="237" t="inlineStr">
        <is>
          <t>Step 5</t>
        </is>
      </c>
      <c r="E54" s="237" t="inlineStr">
        <is>
          <t>Governance pathway.</t>
        </is>
      </c>
    </row>
    <row r="55">
      <c r="A55" s="237" t="inlineStr">
        <is>
          <t>Kill-switch Demonstrated</t>
        </is>
      </c>
      <c r="B55" s="147" t="str"/>
      <c r="C55" s="142" t="inlineStr">
        <is>
          <t>AUTO — current Agentic Triage</t>
        </is>
      </c>
      <c r="D55" s="237" t="inlineStr">
        <is>
          <t>Step 5</t>
        </is>
      </c>
      <c r="E55" s="237" t="inlineStr">
        <is>
          <t>Yes/No from agentic controls.</t>
        </is>
      </c>
    </row>
    <row r="56">
      <c r="A56" s="237" t="inlineStr">
        <is>
          <t>Rollback Capability</t>
        </is>
      </c>
      <c r="B56" s="147" t="str"/>
      <c r="C56" s="142" t="inlineStr">
        <is>
          <t>AUTO — current Agentic Triage</t>
        </is>
      </c>
      <c r="D56" s="237" t="inlineStr">
        <is>
          <t>Step 5</t>
        </is>
      </c>
      <c r="E56" s="237" t="inlineStr">
        <is>
          <t>Yes/No from agentic controls.</t>
        </is>
      </c>
    </row>
    <row r="57">
      <c r="A57" s="237" t="inlineStr">
        <is>
          <t>Boundaries Tested</t>
        </is>
      </c>
      <c r="B57" s="147" t="str"/>
      <c r="C57" s="142" t="inlineStr">
        <is>
          <t>AUTO — current Agentic Triage</t>
        </is>
      </c>
      <c r="D57" s="237" t="inlineStr">
        <is>
          <t>Step 5</t>
        </is>
      </c>
      <c r="E57" s="237" t="inlineStr">
        <is>
          <t>Yes/No from agentic controls.</t>
        </is>
      </c>
    </row>
    <row r="58">
      <c r="A58" s="237" t="inlineStr">
        <is>
          <t>Agentic Flags</t>
        </is>
      </c>
      <c r="B58" s="147" t="str"/>
      <c r="C58" s="142" t="inlineStr">
        <is>
          <t>DERIVED — current Agentic Triage</t>
        </is>
      </c>
      <c r="D58" s="237" t="inlineStr">
        <is>
          <t>Step 5</t>
        </is>
      </c>
      <c r="E58" s="237" t="inlineStr">
        <is>
          <t>Containment/control flags.</t>
        </is>
      </c>
    </row>
    <row r="59">
      <c r="A59" s="237" t="inlineStr">
        <is>
          <t>Agentic Escalations</t>
        </is>
      </c>
      <c r="B59" s="147" t="str"/>
      <c r="C59" s="142" t="inlineStr">
        <is>
          <t>DERIVED — current Agentic Triage</t>
        </is>
      </c>
      <c r="D59" s="237" t="inlineStr">
        <is>
          <t>Step 5</t>
        </is>
      </c>
      <c r="E59" s="237" t="inlineStr">
        <is>
          <t>Escalation reasons.</t>
        </is>
      </c>
    </row>
    <row r="60">
      <c r="A60" s="237" t="inlineStr">
        <is>
          <t>Agentic Deployment Control</t>
        </is>
      </c>
      <c r="B60" s="147" t="str"/>
      <c r="C60" s="142" t="inlineStr">
        <is>
          <t>DERIVED — current Agentic Triage</t>
        </is>
      </c>
      <c r="D60" s="237" t="inlineStr">
        <is>
          <t>Step 5 / final control</t>
        </is>
      </c>
      <c r="E60" s="237" t="inlineStr">
        <is>
          <t>Deployment constraint from agentic logic.</t>
        </is>
      </c>
    </row>
    <row r="61">
      <c r="A61" s="141" t="inlineStr">
        <is>
          <t>Agent Record (ASBOM) Ref</t>
        </is>
      </c>
      <c r="B61" s="148" t="str"/>
      <c r="C61" s="144" t="inlineStr">
        <is>
          <t>AUTO — current Agentic Triage</t>
        </is>
      </c>
      <c r="D61" s="141" t="inlineStr">
        <is>
          <t>Step 5</t>
        </is>
      </c>
      <c r="E61" s="141" t="inlineStr">
        <is>
          <t>Reference entered by user.</t>
        </is>
      </c>
    </row>
    <row r="62">
      <c r="A62" s="141" t="inlineStr">
        <is>
          <t>UC-ID (blank only for explicit system baseline)</t>
        </is>
      </c>
      <c r="B62" s="148" t="n"/>
      <c r="C62" s="144" t="inlineStr">
        <is>
          <t>Scope key</t>
        </is>
      </c>
      <c r="D62" s="141" t="inlineStr">
        <is>
          <t>Enter stable UC-ID when this triage / risk assessment is use-specific.</t>
        </is>
      </c>
    </row>
    <row r="63" ht="70" customHeight="1" s="104">
      <c r="A63" s="141" t="inlineStr">
        <is>
          <t>Triage / assessment scope</t>
        </is>
      </c>
      <c r="B63" s="148" t="n"/>
      <c r="C63" s="144" t="inlineStr">
        <is>
          <t>ASSESSOR INPUT</t>
        </is>
      </c>
      <c r="D63" s="141" t="inlineStr">
        <is>
          <t>Scope key</t>
        </is>
      </c>
      <c r="E63" s="141" t="inlineStr">
        <is>
          <t>Select UC-ID specific for a use assessment or Shared system baseline for shared controls. A shared baseline never approves a use.</t>
        </is>
      </c>
    </row>
  </sheetData>
  <mergeCells count="2">
    <mergeCell ref="A2:E2"/>
    <mergeCell ref="A1:E1"/>
  </mergeCells>
  <dataValidations count="1">
    <dataValidation sqref="B63" showDropDown="0" showInputMessage="0" showErrorMessage="0" allowBlank="1" type="list">
      <formula1>"UC-ID specific,Shared system baseline"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5" topLeftCell="A6" activePane="bottomLeft" state="frozen"/>
      <selection activeCell="A1" sqref="A1"/>
    </sheetView>
  </sheetViews>
  <sheetFormatPr baseColWidth="8" defaultRowHeight="15"/>
  <cols>
    <col width="23" customWidth="1" style="104" min="1" max="1"/>
    <col width="40" customWidth="1" style="104" min="2" max="2"/>
    <col width="43" customWidth="1" style="104" min="3" max="3"/>
    <col width="28" customWidth="1" style="104" min="4" max="4"/>
    <col width="62" customWidth="1" style="104" min="5" max="5"/>
    <col width="53" customWidth="1" style="104" min="6" max="6"/>
    <col width="48" customWidth="1" style="104" min="7" max="7"/>
    <col width="55" customWidth="1" style="104" min="8" max="8"/>
  </cols>
  <sheetData>
    <row r="1" ht="25" customHeight="1" s="104">
      <c r="A1" s="220" t="inlineStr">
        <is>
          <t>PROPOSED INTEGRATION CONTRACT — AIG-INV-04 / AIG-DEC-03 / AIG-DEC-04 / AIG-OPS-02</t>
        </is>
      </c>
      <c r="B1" s="220" t="n"/>
      <c r="C1" s="220" t="n"/>
      <c r="D1" s="220" t="n"/>
      <c r="E1" s="220" t="n"/>
      <c r="F1" s="220" t="n"/>
      <c r="G1" s="220" t="n"/>
      <c r="H1" s="220" t="n"/>
    </row>
    <row r="2" ht="31" customHeight="1" s="104">
      <c r="A2" s="221"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c r="B2" s="221" t="n"/>
      <c r="C2" s="221" t="n"/>
      <c r="D2" s="221" t="n"/>
      <c r="E2" s="221" t="n"/>
      <c r="F2" s="221" t="n"/>
      <c r="G2" s="221" t="n"/>
      <c r="H2" s="221" t="n"/>
    </row>
    <row r="3" ht="31" customHeight="1" s="104">
      <c r="A3" s="221" t="inlineStr">
        <is>
          <t>Native evidence index: AIG-INV-04 → Evidence index. Evidence IDs locate native records; they do not replace the underlying artefact, decision or minute.</t>
        </is>
      </c>
      <c r="B3" s="221" t="n"/>
      <c r="C3" s="221" t="n"/>
      <c r="D3" s="221" t="n"/>
      <c r="E3" s="221" t="n"/>
      <c r="F3" s="221" t="n"/>
      <c r="G3" s="221" t="n"/>
      <c r="H3" s="221" t="n"/>
    </row>
    <row r="4" ht="31" customHeight="1" s="104">
      <c r="A4" s="221" t="inlineStr">
        <is>
          <t>Provenance rule: every reused fact/result must carry its source record/sheet and row (or document section/record ID), source version and as-of/snapshot date. Leave unavailable provenance explicitly missing; do not fabricate it.</t>
        </is>
      </c>
      <c r="B4" s="221" t="n"/>
      <c r="C4" s="221" t="n"/>
      <c r="D4" s="221" t="n"/>
      <c r="E4" s="221" t="n"/>
      <c r="F4" s="221" t="n"/>
      <c r="G4" s="221" t="n"/>
      <c r="H4" s="221" t="n"/>
    </row>
    <row r="5" ht="42" customHeight="1" s="104">
      <c r="A5" s="222" t="inlineStr">
        <is>
          <t>Integration relationship</t>
        </is>
      </c>
      <c r="B5" s="222" t="inlineStr">
        <is>
          <t>Native source / artefact</t>
        </is>
      </c>
      <c r="C5" s="222" t="inlineStr">
        <is>
          <t>Native record locator</t>
        </is>
      </c>
      <c r="D5" s="222" t="inlineStr">
        <is>
          <t>Join key(s)</t>
        </is>
      </c>
      <c r="E5" s="222" t="inlineStr">
        <is>
          <t>Proposed integration rule / use</t>
        </is>
      </c>
      <c r="F5" s="222" t="inlineStr">
        <is>
          <t>Required provenance: row, version, as-of</t>
        </is>
      </c>
      <c r="G5" s="222" t="inlineStr">
        <is>
          <t>Blank / zero handling</t>
        </is>
      </c>
      <c r="H5" s="222" t="inlineStr">
        <is>
          <t>Reporting / audit reconciliation</t>
        </is>
      </c>
    </row>
    <row r="6" ht="90" customHeight="1" s="104">
      <c r="A6" s="223" t="inlineStr">
        <is>
          <t>Key/evidence joins</t>
        </is>
      </c>
      <c r="B6" s="223" t="inlineStr">
        <is>
          <t>AIG-INV-04 (AI Register; Evidence index)</t>
        </is>
      </c>
      <c r="C6" s="223" t="inlineStr">
        <is>
          <t>AI Register: AIR-ID; Evidence index: Evidence ID + AIR-ID</t>
        </is>
      </c>
      <c r="D6" s="223" t="inlineStr">
        <is>
          <t>AIR-ID</t>
        </is>
      </c>
      <c r="E6" s="223" t="inlineStr">
        <is>
          <t>Use AIR-ID for all system-level joins; use Evidence ID to point to an indexed evidence record. Do not join on system name.</t>
        </is>
      </c>
      <c r="F6" s="223" t="inlineStr">
        <is>
          <t>Native source row (sheet + row), artefact/record ID, source version, evidence date and source as-of/snapshot date; location/link where permitted.</t>
        </is>
      </c>
      <c r="G6" s="223" t="inlineStr">
        <is>
          <t>Blank means unknown/not supplied/not applicable only when explicitly marked; never coerce blank to 0 or infer an evidence record.</t>
        </is>
      </c>
      <c r="H6" s="223" t="inlineStr">
        <is>
          <t>Reconcile unique AIR-ID and the evidence index reference against the native AIG-INV-04 workbook before relying on it.</t>
        </is>
      </c>
    </row>
    <row r="7" ht="90" customHeight="1" s="104">
      <c r="A7" s="224" t="inlineStr">
        <is>
          <t>Risk assessment</t>
        </is>
      </c>
      <c r="B7" s="224" t="inlineStr">
        <is>
          <t>AIG-ASS-02 Risk Assessment Worksheet</t>
        </is>
      </c>
      <c r="C7" s="224" t="inlineStr">
        <is>
          <t>Risk Assessment + Document Control</t>
        </is>
      </c>
      <c r="D7" s="224" t="inlineStr">
        <is>
          <t>AIR-ID</t>
        </is>
      </c>
      <c r="E7" s="224" t="inlineStr">
        <is>
          <t>Link the current assessment to the system record; retain assessment details and scoring rationale in AIG-ASS-02, not duplicated here.</t>
        </is>
      </c>
      <c r="F7" s="224" t="inlineStr">
        <is>
          <t>AIG-ASS-02 version; worksheet row/section or assessment record identifier; assessment date; source evidence IDs; as-of date for inputs.</t>
        </is>
      </c>
      <c r="G7" s="224" t="inlineStr">
        <is>
          <t>Unanswered risk or score is not zero and must not be treated as a completed assessment.</t>
        </is>
      </c>
      <c r="H7" s="224" t="inlineStr">
        <is>
          <t>Confirm risk inputs and calculated result against the native AIG-ASS-02 record and indexed evidence.</t>
        </is>
      </c>
    </row>
    <row r="8" ht="90" customHeight="1" s="104">
      <c r="A8" s="223" t="inlineStr">
        <is>
          <t>Decision / minutes</t>
        </is>
      </c>
      <c r="B8" s="223" t="inlineStr">
        <is>
          <t>AIG-DEC-03 Governance Decision Record and the native forum minutes</t>
        </is>
      </c>
      <c r="C8" s="223" t="inlineStr">
        <is>
          <t>Decision record ID; meeting/minute reference</t>
        </is>
      </c>
      <c r="D8" s="223" t="inlineStr">
        <is>
          <t>AIR-ID + Decision Record ID; relate to AIG-DEC-04 Event ID where present</t>
        </is>
      </c>
      <c r="E8" s="223" t="inlineStr">
        <is>
          <t>AIG-DEC-03 owns the reasoned decision; minutes remain native records; cross-reference, do not reproduce the decision narrative.</t>
        </is>
      </c>
      <c r="F8" s="223" t="inlineStr">
        <is>
          <t>Decision-record version/ID, meeting/minute reference, record row/section, decision date and as-of date.</t>
        </is>
      </c>
      <c r="G8" s="223" t="inlineStr">
        <is>
          <t>No decision, approver or date is inferred from a paper, plan or empty field.</t>
        </is>
      </c>
      <c r="H8" s="223" t="inlineStr">
        <is>
          <t>Reconcile the decision record and minute reference with delegated authority and corresponding AIG-DEC-04 event.</t>
        </is>
      </c>
    </row>
    <row r="9" ht="90" customHeight="1" s="104">
      <c r="A9" s="224" t="inlineStr">
        <is>
          <t>Gate plan / event / condition</t>
        </is>
      </c>
      <c r="B9" s="224" t="inlineStr">
        <is>
          <t>AIG-DEC-04 AI Governance Gate Log</t>
        </is>
      </c>
      <c r="C9" s="224" t="inlineStr">
        <is>
          <t>Gate Log record; native Event ID, AIR-ID, conditions and due/status fields</t>
        </is>
      </c>
      <c r="D9" s="224" t="inlineStr">
        <is>
          <t>AIR-ID + Event ID; Condition ID if assigned by the Council</t>
        </is>
      </c>
      <c r="E9" s="224" t="inlineStr">
        <is>
          <t>Distinguish proposed/planned gate from dated event; conditions are attached to an event. Do not treat a plan as an approval.</t>
        </is>
      </c>
      <c r="F9" s="224" t="inlineStr">
        <is>
          <t>Native sheet + row, Event ID, Condition reference, AIG-DEC-04 version and as-of/snapshot date.</t>
        </is>
      </c>
      <c r="G9" s="224" t="inlineStr">
        <is>
          <t>Missing date/status remains missing; open, overdue, waived and not applicable are distinct states, not numeric zero.</t>
        </is>
      </c>
      <c r="H9" s="224" t="inlineStr">
        <is>
          <t>Match event, condition, evidence reference and latest recorded decision; investigate inconsistencies.</t>
        </is>
      </c>
    </row>
    <row r="10" ht="90" customHeight="1" s="104">
      <c r="A10" s="223" t="inlineStr">
        <is>
          <t>Live monitoring / review</t>
        </is>
      </c>
      <c r="B10" s="223" t="inlineStr">
        <is>
          <t>AIG-OPS-02 AI Post-Deployment Monitoring and Review Log</t>
        </is>
      </c>
      <c r="C10" s="223" t="inlineStr">
        <is>
          <t>Monitoring Log; Sampling Method; record row</t>
        </is>
      </c>
      <c r="D10" s="223" t="inlineStr">
        <is>
          <t>AIR-ID + monitoring period + metric/review record; Event ID/Condition ref when relevant</t>
        </is>
      </c>
      <c r="E10" s="223" t="inlineStr">
        <is>
          <t>Link observed result and reproducible sample to AIG-OPS-02; threshold breaches trigger documented consideration and, where applicable, AIG-DEC-04 escalation.</t>
        </is>
      </c>
      <c r="F10" s="223" t="inlineStr">
        <is>
          <t>AIG-OPS-02 version, Monitoring Log row, monitoring period, review date, sample source/population and as-of date.</t>
        </is>
      </c>
      <c r="G10" s="223" t="inlineStr">
        <is>
          <t>Blank result/sample/threshold is not zero, compliance or no breach.</t>
        </is>
      </c>
      <c r="H10" s="223" t="inlineStr">
        <is>
          <t>Reproduce sample and compare actual result with the approved threshold; trace breach response to AIG-DEC-03/AIG-DEC-04/AIG-OPS-03/AIG-AIMS-08 as appropriate.</t>
        </is>
      </c>
    </row>
    <row r="11" ht="90" customHeight="1" s="104">
      <c r="A11" s="224" t="inlineStr">
        <is>
          <t>Reporting population</t>
        </is>
      </c>
      <c r="B11" s="224" t="inlineStr">
        <is>
          <t>AIG-INV-04 AI Register and Assessment summary; AIG-DEC-03 and native minutes; AIG-DEC-04 plan/event/condition; AIG-OPS-02</t>
        </is>
      </c>
      <c r="C11" s="224" t="inlineStr">
        <is>
          <t>Source records for each reporting period; native evidence index for evidence pointers</t>
        </is>
      </c>
      <c r="D11" s="224" t="inlineStr">
        <is>
          <t>AIR-ID, Evidence ID, Decision Record ID, Event ID, Condition ref, monitoring period</t>
        </is>
      </c>
      <c r="E11" s="224" t="inlineStr">
        <is>
          <t>Report at the declared snapshot date; show numerator, denominator, exclusions, missing/unknown and not-applicable separately. Report plans versus completed events separately.</t>
        </is>
      </c>
      <c r="F11" s="224" t="inlineStr">
        <is>
          <t>Freeze reporting as-of date; retain the source workbook/document version and source row identifiers for each sampled/aggregated record.</t>
        </is>
      </c>
      <c r="G11" s="224" t="inlineStr">
        <is>
          <t>Do not count blanks as zero or complete; distinguish zero observed from no data and from not applicable.</t>
        </is>
      </c>
      <c r="H11" s="224" t="inlineStr">
        <is>
          <t>Reconcile totals to source populations and document filters, period, exclusions and unresolved links.</t>
        </is>
      </c>
    </row>
    <row r="12" ht="90" customHeight="1" s="104">
      <c r="A12" s="223" t="inlineStr">
        <is>
          <t>Audit sampling</t>
        </is>
      </c>
      <c r="B12" s="223" t="inlineStr">
        <is>
          <t>AIG-AIMS-07 Internal Audit Programme and Procedure; sample sources AIG-INV-04 AI Register/Assessment summary, AIG-DEC-03/minutes, AIG-DEC-04 plan/event/condition, AIG-OPS-02 log</t>
        </is>
      </c>
      <c r="C12" s="223" t="inlineStr">
        <is>
          <t>Auditor-selected native records; evidence index is a locator, not a substitute for evidence</t>
        </is>
      </c>
      <c r="D12" s="223" t="inlineStr">
        <is>
          <t>AIR-ID + each native record key above</t>
        </is>
      </c>
      <c r="E12" s="223" t="inlineStr">
        <is>
          <t>Record sampling frame, population size, inclusion/exclusion criteria, selection method and seed/date where random; inspect source records rather than only summary views.</t>
        </is>
      </c>
      <c r="F12" s="223" t="inlineStr">
        <is>
          <t>Record each sampled native sheet/document and row/record ID, version, source as-of date, retrieval date, criterion tested, and evidence index reference.</t>
        </is>
      </c>
      <c r="G12" s="223" t="inlineStr">
        <is>
          <t>An absent record is a sample finding/gap, not a zero; unknown is not pass.</t>
        </is>
      </c>
      <c r="H12" s="223" t="inlineStr">
        <is>
          <t>Auditor records independent selection, trace-back and reproducibility in the AIG-AIMS-07 audit working papers/findings.</t>
        </is>
      </c>
    </row>
    <row r="13" ht="90" customHeight="1" s="104">
      <c r="A13" s="224" t="inlineStr">
        <is>
          <t>Native evidence index</t>
        </is>
      </c>
      <c r="B13" s="224" t="inlineStr">
        <is>
          <t>AIG-INV-04 Evidence index (native evidence index)</t>
        </is>
      </c>
      <c r="C13" s="224" t="inlineStr">
        <is>
          <t>Evidence ID, AIR-ID, artefact/record ID, version, evidence/decision date, status, location/link, gate/condition reference as present</t>
        </is>
      </c>
      <c r="D13" s="224" t="inlineStr">
        <is>
          <t>Evidence ID + AIR-ID; optionally Event ID / Condition ref</t>
        </is>
      </c>
      <c r="E13" s="224" t="inlineStr">
        <is>
          <t>Use as a pointer to the authoritative artefact, not as the decision itself or a copied evidence store. Preserve its native metadata.</t>
        </is>
      </c>
      <c r="F13" s="224" t="inlineStr">
        <is>
          <t>Capture source row, source workbook version and as-of date alongside index metadata when reporting/auditing.</t>
        </is>
      </c>
      <c r="G13" s="224" t="inlineStr">
        <is>
          <t>Empty index fields signal missing provenance; do not supply invented versions, dates, links or approval.</t>
        </is>
      </c>
      <c r="H13" s="224" t="inlineStr">
        <is>
          <t>Check that linked artefact exists, version matches, is appropriate to the question and has not been superseded.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0"/>
  <sheetViews>
    <sheetView workbookViewId="0">
      <pane xSplit="1" ySplit="2" topLeftCell="B3" activePane="bottomRight" state="frozen"/>
      <selection activeCell="A1" sqref="A1"/>
    </sheetView>
  </sheetViews>
  <sheetFormatPr baseColWidth="8" defaultRowHeight="15"/>
  <cols>
    <col width="21" customWidth="1" style="104" min="1" max="1"/>
    <col width="70" customWidth="1" style="104" min="2" max="2"/>
    <col width="96" customWidth="1" style="104" min="3" max="3"/>
    <col width="84" customWidth="1" style="104" min="4" max="4"/>
    <col width="33" customWidth="1" style="104" min="5" max="5"/>
  </cols>
  <sheetData>
    <row r="1">
      <c r="A1" s="76" t="inlineStr">
        <is>
          <t>PROPOSED QA INDEX — NOT APPROVED. A source reference does not establish applicability or compliance. See AIG-AIMS-05 and AIG-AIMS-13; owners must validate the current source, case-specific scope, control evidence and adopted status.</t>
        </is>
      </c>
    </row>
    <row r="2">
      <c r="A2" s="225" t="inlineStr">
        <is>
          <t>Requirement ID</t>
        </is>
      </c>
      <c r="B2" s="225" t="inlineStr">
        <is>
          <t>Instrument / edition</t>
        </is>
      </c>
      <c r="C2" s="225" t="inlineStr">
        <is>
          <t>Conditional scope / relevance</t>
        </is>
      </c>
      <c r="D2" s="225" t="inlineStr">
        <is>
          <t>Source URL</t>
        </is>
      </c>
      <c r="E2" s="225" t="inlineStr">
        <is>
          <t>Owner validation status</t>
        </is>
      </c>
    </row>
    <row r="3" ht="43" customHeight="1" s="104">
      <c r="A3" s="226" t="inlineStr">
        <is>
          <t>REQ-001</t>
        </is>
      </c>
      <c r="B3" s="226" t="inlineStr">
        <is>
          <t>UK General Data Protection Regulation (UK GDPR), as amended</t>
        </is>
      </c>
      <c r="C3" s="226" t="inlineStr">
        <is>
          <t>Where personal data is processed; test each UK GDPR provision separately.</t>
        </is>
      </c>
      <c r="D3" s="226" t="inlineStr">
        <is>
          <t>https://www.legislation.gov.uk/eur/2016/679/contents</t>
        </is>
      </c>
      <c r="E3" s="226" t="inlineStr">
        <is>
          <t>Specialist validation required</t>
        </is>
      </c>
    </row>
    <row r="4" ht="43" customHeight="1" s="104">
      <c r="A4" s="226" t="inlineStr">
        <is>
          <t>REQ-005</t>
        </is>
      </c>
      <c r="B4" s="226" t="inlineStr">
        <is>
          <t>Equality Act 2010, including Public Sector Equality Duty section 149</t>
        </is>
      </c>
      <c r="C4" s="226" t="inlineStr">
        <is>
          <t>Public authority due regard under s.149; case-level equality screening is not risk-tier gated.</t>
        </is>
      </c>
      <c r="D4" s="226" t="inlineStr">
        <is>
          <t>https://www.legislation.gov.uk/ukpga/2010/15/section/149</t>
        </is>
      </c>
      <c r="E4" s="226" t="inlineStr">
        <is>
          <t>Specialist validation required</t>
        </is>
      </c>
    </row>
    <row r="5" ht="43" customHeight="1" s="104">
      <c r="A5" s="226" t="inlineStr">
        <is>
          <t>REQ-006</t>
        </is>
      </c>
      <c r="B5" s="226" t="inlineStr">
        <is>
          <t>Human Rights Act 1998</t>
        </is>
      </c>
      <c r="C5" s="226" t="inlineStr">
        <is>
          <t>Public-authority compatibility under s.6; assess Convention rights engaged by the case.</t>
        </is>
      </c>
      <c r="D5" s="226" t="inlineStr">
        <is>
          <t>https://www.legislation.gov.uk/ukpga/1998/42/contents</t>
        </is>
      </c>
      <c r="E5" s="226" t="inlineStr">
        <is>
          <t>Specialist validation required</t>
        </is>
      </c>
    </row>
    <row r="6" ht="43" customHeight="1" s="104">
      <c r="A6" s="226" t="inlineStr">
        <is>
          <t>REQ-014</t>
        </is>
      </c>
      <c r="B6" s="226" t="inlineStr">
        <is>
          <t>Local Government Act 1999 (Best Value Duty) and 2024 statutory guidance</t>
        </is>
      </c>
      <c r="C6" s="226" t="inlineStr">
        <is>
          <t>Screen the legislation and statutory guidance requirement against this artefact's actual use and record evidence/version in the AIG-AIMS-05 entry for this requirement.</t>
        </is>
      </c>
      <c r="D6" s="226" t="inlineStr">
        <is>
          <t>https://www.gov.uk/government/publications/best-value-standards-and-intervention-a-statutory-guide-for-best-value-authorities</t>
        </is>
      </c>
      <c r="E6" s="226" t="inlineStr">
        <is>
          <t>Specialist validation required</t>
        </is>
      </c>
    </row>
    <row r="7" ht="43" customHeight="1" s="104">
      <c r="A7" s="226" t="inlineStr">
        <is>
          <t>REQ-033</t>
        </is>
      </c>
      <c r="B7" s="226" t="inlineStr">
        <is>
          <t>ICO Guidance on AI and Data Protection and AI Risk Toolkit</t>
        </is>
      </c>
      <c r="C7" s="226" t="inlineStr">
        <is>
          <t>Screen the regulatory guidance requirement against this artefact's actual use and record evidence/version in the AIG-AIMS-05 entry for this requirement.</t>
        </is>
      </c>
      <c r="D7" s="226" t="inlineStr">
        <is>
          <t>https://ico.org.uk/for-organisations/uk-gdpr-guidance-and-resources/artificial-intelligence/guidance-on-ai-and-data-protection/</t>
        </is>
      </c>
      <c r="E7" s="226" t="inlineStr">
        <is>
          <t>Specialist validation required</t>
        </is>
      </c>
    </row>
    <row r="8" ht="43" customHeight="1" s="104">
      <c r="A8" s="226" t="inlineStr">
        <is>
          <t>REQ-035</t>
        </is>
      </c>
      <c r="B8" s="226" t="inlineStr">
        <is>
          <t>EHRC Artificial Intelligence in Public Services and PSED guidance</t>
        </is>
      </c>
      <c r="C8" s="226" t="inlineStr">
        <is>
          <t>Screen the regulatory guidance requirement against this artefact's actual use and record evidence/version in the AIG-AIMS-05 entry for this requirement.</t>
        </is>
      </c>
      <c r="D8" s="226" t="inlineStr">
        <is>
          <t>https://www.equalityhumanrights.com/guidance/artificial-intelligence-public-services</t>
        </is>
      </c>
      <c r="E8" s="226" t="inlineStr">
        <is>
          <t>Specialist validation required</t>
        </is>
      </c>
    </row>
    <row r="9" ht="43" customHeight="1" s="104">
      <c r="A9" s="226" t="inlineStr">
        <is>
          <t>REQ-041</t>
        </is>
      </c>
      <c r="B9" s="226" t="inlineStr">
        <is>
          <t>ISO/IEC 23894:2023 AI — Guidance on risk management</t>
        </is>
      </c>
      <c r="C9" s="226" t="inlineStr">
        <is>
          <t>Voluntary risk-management guidance; proposed alignment, not statutory conformity.</t>
        </is>
      </c>
      <c r="D9" s="226" t="inlineStr">
        <is>
          <t>https://www.iso.org/standard/77304.html</t>
        </is>
      </c>
      <c r="E9" s="226" t="inlineStr">
        <is>
          <t>Specialist validation required</t>
        </is>
      </c>
    </row>
    <row r="10" ht="43" customHeight="1" s="104">
      <c r="A10" s="226" t="inlineStr">
        <is>
          <t>NIST-AI-100-1</t>
        </is>
      </c>
      <c r="B10" s="226" t="inlineStr">
        <is>
          <t>NIST AI Risk Management Framework 1.0 (NIST AI 100-1, January 2023)</t>
        </is>
      </c>
      <c r="C10" s="226" t="inlineStr">
        <is>
          <t>Voluntary alignment reference; not certification or statutory conformity</t>
        </is>
      </c>
      <c r="D10" s="226" t="inlineStr">
        <is>
          <t>https://www.nist.gov/publications/artificial-intelligence-risk-management-framework-ai-rmf-10</t>
        </is>
      </c>
      <c r="E10" s="226" t="inlineStr">
        <is>
          <t>Voluntary alignment reference; not certification or statutory conformity</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104" min="1" max="1"/>
    <col width="112" customWidth="1" style="104" min="2" max="2"/>
  </cols>
  <sheetData>
    <row r="1">
      <c r="A1" s="227" t="inlineStr">
        <is>
          <t>AIG-ASS-02 / PROPOSED THREE-ARTEFACT SOURCE CONTRACT</t>
        </is>
      </c>
    </row>
    <row r="3" ht="45" customHeight="1" s="104">
      <c r="A3" s="228" t="inlineStr">
        <is>
          <t>Status</t>
        </is>
      </c>
      <c r="B3" s="229" t="inlineStr">
        <is>
          <t>PROPOSED INTEGRATION DESIGN ONLY. This sheet does not amend the artefact's native assessment, decision authority, data or formulas.</t>
        </is>
      </c>
    </row>
    <row r="4" ht="45" customHeight="1" s="104">
      <c r="A4" s="230" t="inlineStr">
        <is>
          <t>Role of this file</t>
        </is>
      </c>
      <c r="B4" s="231" t="inlineStr">
        <is>
          <t>Risk assessment: AIG-ASS-02 owns inherent/control/residual assessment; AIG-INV-04 Assessment summary holds only a pointer. A map edge never proves a risk control operates.</t>
        </is>
      </c>
    </row>
    <row r="5" ht="45" customHeight="1" s="104">
      <c r="A5" s="228" t="inlineStr">
        <is>
          <t>AIG-INV-04 source</t>
        </is>
      </c>
      <c r="B5" s="229" t="inlineStr">
        <is>
          <t>Separate AIG-INV-04 AI Register: official AIR-ID, current position, in-file Assessment summary/Evidence index. Reconcile against authoritative AIG-INV-04 before using a copied value.</t>
        </is>
      </c>
    </row>
    <row r="6" ht="45" customHeight="1" s="104">
      <c r="A6" s="230" t="inlineStr">
        <is>
          <t>AIG-DEC-04 source</t>
        </is>
      </c>
      <c r="B6" s="231" t="inlineStr">
        <is>
          <t>Separate AIG-DEC-04 Gate Log: prospective Gate plan, dated Gate events, event-linked Conditions. A planned gate is not a decision. A decision requires AIG-DEC-03 or approved minutes and proper delegation.</t>
        </is>
      </c>
    </row>
    <row r="7" ht="48" customHeight="1" s="104">
      <c r="A7" s="228" t="inlineStr">
        <is>
          <t>Map source</t>
        </is>
      </c>
      <c r="B7" s="229" t="inlineStr">
        <is>
          <t>Proposed standalone Capabilities and System Map (candidate catalogue ID AIG-INV-05): UC/CAP and component relationship pointers. Edge ID is not an approval or permission; AIG-AGT-04/AIG-AGT-05 remain sources of agent scope/authority.</t>
        </is>
      </c>
    </row>
    <row r="8" ht="48" customHeight="1" s="104">
      <c r="A8" s="230" t="inlineStr">
        <is>
          <t>Data exchange</t>
        </is>
      </c>
      <c r="B8" s="231" t="inlineStr">
        <is>
          <t>Use controlled AIR-ID across files. Where applicable reference exact Event ID, Condition ID, Evidence ID, AG-ID and Edge ID. Record source file/version/as-at with imported or quoted evidence; no live cross-workbook formula is assumed.</t>
        </is>
      </c>
    </row>
    <row r="9" ht="45" customHeight="1" s="104">
      <c r="A9" s="228" t="inlineStr">
        <is>
          <t>Change trigger</t>
        </is>
      </c>
      <c r="B9" s="229" t="inlineStr">
        <is>
          <t>New or expanded system/tool access, or a material model, data, interface, purpose or agent change: log the map change, obtain owner reassessment and escalate to the proper AIG-DEC-04 gate/AIG-DEC-03 decision when required.</t>
        </is>
      </c>
    </row>
    <row r="10" ht="48" customHeight="1" s="104">
      <c r="A10" s="230" t="inlineStr">
        <is>
          <t>Validation before use</t>
        </is>
      </c>
      <c r="B10" s="231"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AIG-ASS-02 AI Risk Assessment Worksheet</dc:title>
  <dc:description xmlns:dc="http://purl.org/dc/elements/1.1/">Classification: OFFICIAL. Draft for Council review; not Council-adopted.</dc:description>
  <dc:subject xmlns:dc="http://purl.org/dc/elements/1.1/">AI risk assessment worksheet — v1.10 draft</dc:subject>
  <dcterms:created xmlns:dcterms="http://purl.org/dc/terms/" xmlns:xsi="http://www.w3.org/2001/XMLSchema-instance" xsi:type="dcterms:W3CDTF">2026-09-29T17:38:56Z</dcterms:created>
  <dcterms:modified xmlns:dcterms="http://purl.org/dc/terms/" xmlns:xsi="http://www.w3.org/2001/XMLSchema-instance" xsi:type="dcterms:W3CDTF">2026-09-30T12:00:00Z</dcterms:modified>
  <cp:lastModifiedBy>AI Governance Lead</cp:lastModifiedBy>
  <cp:category>The Council AI governance suite v3.9.9</cp:category>
  <cp:keywords>OFFICIAL; Draft for Council review</cp:keywords>
</cp:coreProperties>
</file>